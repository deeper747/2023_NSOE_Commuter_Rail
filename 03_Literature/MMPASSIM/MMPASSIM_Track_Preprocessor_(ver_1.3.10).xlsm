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styles.xml" ContentType="application/vnd.openxmlformats-officedocument.spreadsheetml.styles+xml"/>
  <Override PartName="/xl/theme/theme1.xml" ContentType="application/vnd.openxmlformats-officedocument.theme+xml"/>
  <Override PartName="/xl/worksheets/sheet2.xml" ContentType="application/vnd.openxmlformats-officedocument.spreadsheetml.worksheet+xml"/>
  <Override PartName="/xl/worksheets/sheet1.xml" ContentType="application/vnd.openxmlformats-officedocument.spreadsheetml.worksheet+xml"/>
  <Override PartName="/xl/vbaProject.bin" ContentType="application/vnd.ms-office.vbaProject"/>
  <Override PartName="/xl/charts/chart1.xml" ContentType="application/vnd.openxmlformats-officedocument.drawingml.chart+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80" windowWidth="19440" windowHeight="10755"/>
  </bookViews>
  <sheets>
    <sheet name="Readme" sheetId="3" r:id="rId1"/>
    <sheet name="Track Data" sheetId="1" r:id="rId2"/>
  </sheets>
  <definedNames>
    <definedName name="_xlnm._FilterDatabase" localSheetId="1" hidden="1">'Track Data'!$N$1:$Q$6011</definedName>
  </definedNames>
  <calcPr calcId="145621" calcMode="autoNoTable" iterate="1"/>
</workbook>
</file>

<file path=xl/calcChain.xml><?xml version="1.0" encoding="utf-8"?>
<calcChain xmlns="http://schemas.openxmlformats.org/spreadsheetml/2006/main">
  <c r="A29" i="3" l="1"/>
  <c r="A30" i="3" s="1"/>
  <c r="A31" i="3" s="1"/>
  <c r="A32" i="3" s="1"/>
  <c r="A33" i="3" s="1"/>
  <c r="A34" i="3" s="1"/>
  <c r="A35" i="3" s="1"/>
  <c r="A36" i="3" s="1"/>
  <c r="A37" i="3" s="1"/>
  <c r="A38" i="3" s="1"/>
  <c r="A39" i="3" s="1"/>
  <c r="AL25" i="1" l="1"/>
  <c r="AJ24" i="1"/>
  <c r="AL22" i="1"/>
  <c r="AJ21" i="1"/>
  <c r="AL19" i="1"/>
  <c r="AJ18" i="1"/>
  <c r="AM16" i="1"/>
  <c r="AL16" i="1"/>
  <c r="AK15" i="1"/>
  <c r="AJ15" i="1" l="1"/>
  <c r="AM25" i="1" l="1"/>
  <c r="AK24" i="1"/>
  <c r="AM22" i="1"/>
  <c r="AK21" i="1"/>
  <c r="AM19" i="1"/>
  <c r="AK18" i="1"/>
  <c r="AH2" i="1" l="1"/>
  <c r="AK10" i="1"/>
  <c r="AK9" i="1"/>
  <c r="AK8" i="1"/>
  <c r="AK7" i="1"/>
  <c r="AK6" i="1"/>
  <c r="AK5" i="1"/>
  <c r="AK4" i="1"/>
  <c r="AK11" i="1" l="1"/>
  <c r="AF2" i="1"/>
  <c r="DE66" i="1" l="1"/>
  <c r="DE107" i="1" s="1"/>
  <c r="DB66" i="1"/>
  <c r="DB107" i="1" s="1"/>
  <c r="DE65" i="1"/>
  <c r="DC65" i="1" s="1"/>
  <c r="DC106" i="1" s="1"/>
  <c r="DB65" i="1"/>
  <c r="DB106" i="1" s="1"/>
  <c r="DE64" i="1"/>
  <c r="DC64" i="1" s="1"/>
  <c r="DC105" i="1" s="1"/>
  <c r="DB64" i="1"/>
  <c r="DB105" i="1" s="1"/>
  <c r="DE63" i="1"/>
  <c r="DC63" i="1" s="1"/>
  <c r="DB63" i="1"/>
  <c r="DB104" i="1" s="1"/>
  <c r="DE62" i="1"/>
  <c r="DD62" i="1" s="1"/>
  <c r="DD103" i="1" s="1"/>
  <c r="DB62" i="1"/>
  <c r="DB103" i="1" s="1"/>
  <c r="DE61" i="1"/>
  <c r="DE102" i="1" s="1"/>
  <c r="DB61" i="1"/>
  <c r="DB102" i="1" s="1"/>
  <c r="DE60" i="1"/>
  <c r="DD60" i="1" s="1"/>
  <c r="DD101" i="1" s="1"/>
  <c r="DB60" i="1"/>
  <c r="DB101" i="1" s="1"/>
  <c r="DE59" i="1"/>
  <c r="DC59" i="1" s="1"/>
  <c r="DC100" i="1" s="1"/>
  <c r="DB59" i="1"/>
  <c r="DB100" i="1" s="1"/>
  <c r="DE58" i="1"/>
  <c r="DC58" i="1" s="1"/>
  <c r="DC99" i="1" s="1"/>
  <c r="DB58" i="1"/>
  <c r="DB99" i="1" s="1"/>
  <c r="DE57" i="1"/>
  <c r="DC57" i="1" s="1"/>
  <c r="DC98" i="1" s="1"/>
  <c r="DB57" i="1"/>
  <c r="DB98" i="1" s="1"/>
  <c r="DE56" i="1"/>
  <c r="DC56" i="1" s="1"/>
  <c r="DC97" i="1" s="1"/>
  <c r="DB56" i="1"/>
  <c r="DB97" i="1" s="1"/>
  <c r="DE55" i="1"/>
  <c r="DC55" i="1" s="1"/>
  <c r="DB55" i="1"/>
  <c r="DB96" i="1" s="1"/>
  <c r="DE54" i="1"/>
  <c r="DE95" i="1" s="1"/>
  <c r="DB54" i="1"/>
  <c r="DB95" i="1" s="1"/>
  <c r="DE53" i="1"/>
  <c r="DC53" i="1" s="1"/>
  <c r="DC94" i="1" s="1"/>
  <c r="DB53" i="1"/>
  <c r="DB94" i="1" s="1"/>
  <c r="DE52" i="1"/>
  <c r="DD52" i="1" s="1"/>
  <c r="DD93" i="1" s="1"/>
  <c r="DB52" i="1"/>
  <c r="DB93" i="1" s="1"/>
  <c r="DE51" i="1"/>
  <c r="DC51" i="1" s="1"/>
  <c r="DB51" i="1"/>
  <c r="DB92" i="1" s="1"/>
  <c r="DE50" i="1"/>
  <c r="DC50" i="1" s="1"/>
  <c r="DC91" i="1" s="1"/>
  <c r="DB50" i="1"/>
  <c r="DB91" i="1" s="1"/>
  <c r="DE49" i="1"/>
  <c r="DC49" i="1" s="1"/>
  <c r="DB49" i="1"/>
  <c r="DB90" i="1" s="1"/>
  <c r="DE48" i="1"/>
  <c r="DC48" i="1" s="1"/>
  <c r="DC88" i="1" s="1"/>
  <c r="DB48" i="1"/>
  <c r="DB88" i="1" s="1"/>
  <c r="DE47" i="1"/>
  <c r="DC47" i="1" s="1"/>
  <c r="DB47" i="1"/>
  <c r="DB87" i="1" s="1"/>
  <c r="DE46" i="1"/>
  <c r="DD46" i="1" s="1"/>
  <c r="DD86" i="1" s="1"/>
  <c r="DB46" i="1"/>
  <c r="DE45" i="1"/>
  <c r="DC45" i="1" s="1"/>
  <c r="DC85" i="1" s="1"/>
  <c r="DB45" i="1"/>
  <c r="DB85" i="1" s="1"/>
  <c r="DE44" i="1"/>
  <c r="DD44" i="1" s="1"/>
  <c r="DD84" i="1" s="1"/>
  <c r="DB44" i="1"/>
  <c r="DB84" i="1" s="1"/>
  <c r="DE43" i="1"/>
  <c r="DC43" i="1" s="1"/>
  <c r="DC83" i="1" s="1"/>
  <c r="DB43" i="1"/>
  <c r="DB83" i="1" s="1"/>
  <c r="DE42" i="1"/>
  <c r="DE82" i="1" s="1"/>
  <c r="DB42" i="1"/>
  <c r="DB82" i="1" s="1"/>
  <c r="DE41" i="1"/>
  <c r="DC41" i="1" s="1"/>
  <c r="DC81" i="1" s="1"/>
  <c r="DB41" i="1"/>
  <c r="DB81" i="1" s="1"/>
  <c r="DE40" i="1"/>
  <c r="DE80" i="1" s="1"/>
  <c r="DB40" i="1"/>
  <c r="DB80" i="1" s="1"/>
  <c r="DE39" i="1"/>
  <c r="DC39" i="1" s="1"/>
  <c r="DB39" i="1"/>
  <c r="DB79" i="1" s="1"/>
  <c r="DE38" i="1"/>
  <c r="DE78" i="1" s="1"/>
  <c r="DB38" i="1"/>
  <c r="DB78" i="1" s="1"/>
  <c r="DE37" i="1"/>
  <c r="DD37" i="1" s="1"/>
  <c r="DD77" i="1" s="1"/>
  <c r="DB37" i="1"/>
  <c r="DB77" i="1" s="1"/>
  <c r="DE36" i="1"/>
  <c r="DD36" i="1" s="1"/>
  <c r="DD76" i="1" s="1"/>
  <c r="DB36" i="1"/>
  <c r="DB76" i="1" s="1"/>
  <c r="DE35" i="1"/>
  <c r="DD35" i="1" s="1"/>
  <c r="DD75" i="1" s="1"/>
  <c r="DB35" i="1"/>
  <c r="DB75" i="1" s="1"/>
  <c r="DE34" i="1"/>
  <c r="DE74" i="1" s="1"/>
  <c r="DB34" i="1"/>
  <c r="DB74" i="1" s="1"/>
  <c r="DE33" i="1"/>
  <c r="DC33" i="1" s="1"/>
  <c r="DC73" i="1" s="1"/>
  <c r="DB33" i="1"/>
  <c r="DB73" i="1" s="1"/>
  <c r="DE32" i="1"/>
  <c r="DE72" i="1" s="1"/>
  <c r="DB32" i="1"/>
  <c r="DB72" i="1" s="1"/>
  <c r="DE31" i="1"/>
  <c r="DC31" i="1" s="1"/>
  <c r="DB31" i="1"/>
  <c r="DB71" i="1" s="1"/>
  <c r="DE30" i="1"/>
  <c r="DD30" i="1"/>
  <c r="DC30" i="1"/>
  <c r="CU66" i="1"/>
  <c r="CU107" i="1" s="1"/>
  <c r="CR66" i="1"/>
  <c r="CR107" i="1" s="1"/>
  <c r="CU65" i="1"/>
  <c r="CT65" i="1" s="1"/>
  <c r="CT106" i="1" s="1"/>
  <c r="CR65" i="1"/>
  <c r="CR106" i="1" s="1"/>
  <c r="CU64" i="1"/>
  <c r="CT64" i="1" s="1"/>
  <c r="CT105" i="1" s="1"/>
  <c r="CR64" i="1"/>
  <c r="CU63" i="1"/>
  <c r="CT63" i="1" s="1"/>
  <c r="CT104" i="1" s="1"/>
  <c r="CR63" i="1"/>
  <c r="CR104" i="1" s="1"/>
  <c r="CU62" i="1"/>
  <c r="CR62" i="1"/>
  <c r="CR103" i="1" s="1"/>
  <c r="CU61" i="1"/>
  <c r="CU102" i="1" s="1"/>
  <c r="CR61" i="1"/>
  <c r="CR102" i="1" s="1"/>
  <c r="CU60" i="1"/>
  <c r="CT60" i="1" s="1"/>
  <c r="CT101" i="1" s="1"/>
  <c r="CR60" i="1"/>
  <c r="CR101" i="1" s="1"/>
  <c r="CU59" i="1"/>
  <c r="CT59" i="1" s="1"/>
  <c r="CT100" i="1" s="1"/>
  <c r="CR59" i="1"/>
  <c r="CR100" i="1" s="1"/>
  <c r="CU58" i="1"/>
  <c r="CS58" i="1" s="1"/>
  <c r="CS99" i="1" s="1"/>
  <c r="CR58" i="1"/>
  <c r="CR99" i="1" s="1"/>
  <c r="CU57" i="1"/>
  <c r="CS57" i="1" s="1"/>
  <c r="CS98" i="1" s="1"/>
  <c r="CR57" i="1"/>
  <c r="CR98" i="1" s="1"/>
  <c r="CU56" i="1"/>
  <c r="CU97" i="1" s="1"/>
  <c r="CR56" i="1"/>
  <c r="CR97" i="1" s="1"/>
  <c r="CU55" i="1"/>
  <c r="CS55" i="1" s="1"/>
  <c r="CS96" i="1" s="1"/>
  <c r="CR55" i="1"/>
  <c r="CR96" i="1" s="1"/>
  <c r="CU54" i="1"/>
  <c r="CR54" i="1"/>
  <c r="CR95" i="1" s="1"/>
  <c r="CU53" i="1"/>
  <c r="CU94" i="1" s="1"/>
  <c r="CR53" i="1"/>
  <c r="CR94" i="1" s="1"/>
  <c r="CU52" i="1"/>
  <c r="CT52" i="1" s="1"/>
  <c r="CT93" i="1" s="1"/>
  <c r="CR52" i="1"/>
  <c r="CR93" i="1" s="1"/>
  <c r="CU51" i="1"/>
  <c r="CU92" i="1" s="1"/>
  <c r="CR51" i="1"/>
  <c r="CR92" i="1" s="1"/>
  <c r="CU50" i="1"/>
  <c r="CT50" i="1" s="1"/>
  <c r="CT91" i="1" s="1"/>
  <c r="CR50" i="1"/>
  <c r="CR91" i="1" s="1"/>
  <c r="CU49" i="1"/>
  <c r="CS49" i="1" s="1"/>
  <c r="CR49" i="1"/>
  <c r="CR90" i="1" s="1"/>
  <c r="CU48" i="1"/>
  <c r="CT48" i="1" s="1"/>
  <c r="CT88" i="1" s="1"/>
  <c r="CR48" i="1"/>
  <c r="CR88" i="1" s="1"/>
  <c r="CU47" i="1"/>
  <c r="CS47" i="1" s="1"/>
  <c r="CS87" i="1" s="1"/>
  <c r="CR47" i="1"/>
  <c r="CR87" i="1" s="1"/>
  <c r="CU46" i="1"/>
  <c r="CU86" i="1" s="1"/>
  <c r="CR46" i="1"/>
  <c r="CR86" i="1" s="1"/>
  <c r="CU45" i="1"/>
  <c r="CT45" i="1" s="1"/>
  <c r="CT85" i="1" s="1"/>
  <c r="CR45" i="1"/>
  <c r="CR85" i="1" s="1"/>
  <c r="CU44" i="1"/>
  <c r="CT44" i="1" s="1"/>
  <c r="CT84" i="1" s="1"/>
  <c r="CR44" i="1"/>
  <c r="CR84" i="1" s="1"/>
  <c r="CU43" i="1"/>
  <c r="CT43" i="1" s="1"/>
  <c r="CT83" i="1" s="1"/>
  <c r="CR43" i="1"/>
  <c r="CR83" i="1" s="1"/>
  <c r="CU42" i="1"/>
  <c r="CT42" i="1" s="1"/>
  <c r="CT82" i="1" s="1"/>
  <c r="CR42" i="1"/>
  <c r="CR82" i="1" s="1"/>
  <c r="CU41" i="1"/>
  <c r="CS41" i="1" s="1"/>
  <c r="CS81" i="1" s="1"/>
  <c r="CR41" i="1"/>
  <c r="CR81" i="1" s="1"/>
  <c r="CU40" i="1"/>
  <c r="CU80" i="1" s="1"/>
  <c r="CR40" i="1"/>
  <c r="CU39" i="1"/>
  <c r="CS39" i="1" s="1"/>
  <c r="CS79" i="1" s="1"/>
  <c r="CR39" i="1"/>
  <c r="CR79" i="1" s="1"/>
  <c r="CU38" i="1"/>
  <c r="CR38" i="1"/>
  <c r="CR78" i="1" s="1"/>
  <c r="CU37" i="1"/>
  <c r="CS37" i="1" s="1"/>
  <c r="CS77" i="1" s="1"/>
  <c r="CR37" i="1"/>
  <c r="CR77" i="1" s="1"/>
  <c r="CU36" i="1"/>
  <c r="CT36" i="1" s="1"/>
  <c r="CT76" i="1" s="1"/>
  <c r="CR36" i="1"/>
  <c r="CR76" i="1" s="1"/>
  <c r="CU35" i="1"/>
  <c r="CT35" i="1" s="1"/>
  <c r="CT75" i="1" s="1"/>
  <c r="CR35" i="1"/>
  <c r="CR75" i="1" s="1"/>
  <c r="CU34" i="1"/>
  <c r="CT34" i="1" s="1"/>
  <c r="CT74" i="1" s="1"/>
  <c r="CR34" i="1"/>
  <c r="CR74" i="1" s="1"/>
  <c r="CU33" i="1"/>
  <c r="CT33" i="1" s="1"/>
  <c r="CT73" i="1" s="1"/>
  <c r="CR33" i="1"/>
  <c r="CR73" i="1" s="1"/>
  <c r="CU32" i="1"/>
  <c r="CU72" i="1" s="1"/>
  <c r="CR32" i="1"/>
  <c r="CR72" i="1" s="1"/>
  <c r="CU31" i="1"/>
  <c r="CT31" i="1" s="1"/>
  <c r="CT71" i="1" s="1"/>
  <c r="CR31" i="1"/>
  <c r="CR71" i="1" s="1"/>
  <c r="CU30" i="1"/>
  <c r="CT30" i="1"/>
  <c r="CS30" i="1"/>
  <c r="CK66" i="1"/>
  <c r="CI66" i="1" s="1"/>
  <c r="CI107" i="1" s="1"/>
  <c r="CH66" i="1"/>
  <c r="CH107" i="1" s="1"/>
  <c r="CK65" i="1"/>
  <c r="CI65" i="1" s="1"/>
  <c r="CH65" i="1"/>
  <c r="CK64" i="1"/>
  <c r="CK105" i="1" s="1"/>
  <c r="CH64" i="1"/>
  <c r="CH105" i="1" s="1"/>
  <c r="CK63" i="1"/>
  <c r="CK104" i="1" s="1"/>
  <c r="CH63" i="1"/>
  <c r="CH104" i="1" s="1"/>
  <c r="CK62" i="1"/>
  <c r="CK103" i="1" s="1"/>
  <c r="CH62" i="1"/>
  <c r="CH103" i="1" s="1"/>
  <c r="CK61" i="1"/>
  <c r="CJ61" i="1" s="1"/>
  <c r="CJ102" i="1" s="1"/>
  <c r="CH61" i="1"/>
  <c r="CH102" i="1" s="1"/>
  <c r="CK60" i="1"/>
  <c r="CJ60" i="1" s="1"/>
  <c r="CJ101" i="1" s="1"/>
  <c r="CH60" i="1"/>
  <c r="CH101" i="1" s="1"/>
  <c r="CK59" i="1"/>
  <c r="CK100" i="1" s="1"/>
  <c r="CH59" i="1"/>
  <c r="CH100" i="1" s="1"/>
  <c r="CK58" i="1"/>
  <c r="CK99" i="1" s="1"/>
  <c r="CH58" i="1"/>
  <c r="CH99" i="1" s="1"/>
  <c r="CK57" i="1"/>
  <c r="CI57" i="1" s="1"/>
  <c r="CH57" i="1"/>
  <c r="CH98" i="1" s="1"/>
  <c r="CK56" i="1"/>
  <c r="CK97" i="1" s="1"/>
  <c r="CH56" i="1"/>
  <c r="CH97" i="1" s="1"/>
  <c r="CK55" i="1"/>
  <c r="CI55" i="1" s="1"/>
  <c r="CI96" i="1" s="1"/>
  <c r="CH55" i="1"/>
  <c r="CH96" i="1" s="1"/>
  <c r="CK54" i="1"/>
  <c r="CI54" i="1" s="1"/>
  <c r="CI95" i="1" s="1"/>
  <c r="CH54" i="1"/>
  <c r="CH95" i="1" s="1"/>
  <c r="CK53" i="1"/>
  <c r="CJ53" i="1" s="1"/>
  <c r="CJ94" i="1" s="1"/>
  <c r="CH53" i="1"/>
  <c r="CH94" i="1" s="1"/>
  <c r="CK52" i="1"/>
  <c r="CJ52" i="1" s="1"/>
  <c r="CJ93" i="1" s="1"/>
  <c r="CH52" i="1"/>
  <c r="CH93" i="1" s="1"/>
  <c r="CK51" i="1"/>
  <c r="CK92" i="1" s="1"/>
  <c r="CH51" i="1"/>
  <c r="CH92" i="1" s="1"/>
  <c r="CK50" i="1"/>
  <c r="CI50" i="1" s="1"/>
  <c r="CI91" i="1" s="1"/>
  <c r="CH50" i="1"/>
  <c r="CH91" i="1" s="1"/>
  <c r="CK49" i="1"/>
  <c r="CI49" i="1" s="1"/>
  <c r="CH49" i="1"/>
  <c r="CH90" i="1" s="1"/>
  <c r="CK48" i="1"/>
  <c r="CK88" i="1" s="1"/>
  <c r="CH48" i="1"/>
  <c r="CH88" i="1" s="1"/>
  <c r="CK47" i="1"/>
  <c r="CK87" i="1" s="1"/>
  <c r="CH47" i="1"/>
  <c r="CH87" i="1" s="1"/>
  <c r="CK46" i="1"/>
  <c r="CK86" i="1" s="1"/>
  <c r="CH46" i="1"/>
  <c r="CH86" i="1" s="1"/>
  <c r="CK45" i="1"/>
  <c r="CK85" i="1" s="1"/>
  <c r="CH45" i="1"/>
  <c r="CH85" i="1" s="1"/>
  <c r="CK44" i="1"/>
  <c r="CJ44" i="1" s="1"/>
  <c r="CJ84" i="1" s="1"/>
  <c r="CH44" i="1"/>
  <c r="CH84" i="1" s="1"/>
  <c r="CK43" i="1"/>
  <c r="CJ43" i="1" s="1"/>
  <c r="CJ83" i="1" s="1"/>
  <c r="CH43" i="1"/>
  <c r="CH83" i="1" s="1"/>
  <c r="CK42" i="1"/>
  <c r="CJ42" i="1" s="1"/>
  <c r="CJ82" i="1" s="1"/>
  <c r="CH42" i="1"/>
  <c r="CH82" i="1" s="1"/>
  <c r="CK41" i="1"/>
  <c r="CJ41" i="1" s="1"/>
  <c r="CJ81" i="1" s="1"/>
  <c r="CH41" i="1"/>
  <c r="CK40" i="1"/>
  <c r="CK80" i="1" s="1"/>
  <c r="CH40" i="1"/>
  <c r="CH80" i="1" s="1"/>
  <c r="CK39" i="1"/>
  <c r="CJ39" i="1" s="1"/>
  <c r="CJ79" i="1" s="1"/>
  <c r="CH39" i="1"/>
  <c r="CH79" i="1" s="1"/>
  <c r="CK38" i="1"/>
  <c r="CK78" i="1" s="1"/>
  <c r="CH38" i="1"/>
  <c r="CH78" i="1" s="1"/>
  <c r="CK37" i="1"/>
  <c r="CI37" i="1" s="1"/>
  <c r="CI77" i="1" s="1"/>
  <c r="CH37" i="1"/>
  <c r="CH77" i="1" s="1"/>
  <c r="CK36" i="1"/>
  <c r="CJ36" i="1" s="1"/>
  <c r="CJ76" i="1" s="1"/>
  <c r="CH36" i="1"/>
  <c r="CH76" i="1" s="1"/>
  <c r="CK35" i="1"/>
  <c r="CJ35" i="1" s="1"/>
  <c r="CJ75" i="1" s="1"/>
  <c r="CH35" i="1"/>
  <c r="CH75" i="1" s="1"/>
  <c r="CK34" i="1"/>
  <c r="CJ34" i="1" s="1"/>
  <c r="CJ74" i="1" s="1"/>
  <c r="CH34" i="1"/>
  <c r="CH74" i="1" s="1"/>
  <c r="CK33" i="1"/>
  <c r="CJ33" i="1" s="1"/>
  <c r="CJ73" i="1" s="1"/>
  <c r="CH33" i="1"/>
  <c r="CH73" i="1" s="1"/>
  <c r="CK32" i="1"/>
  <c r="CJ32" i="1" s="1"/>
  <c r="CJ72" i="1" s="1"/>
  <c r="CH32" i="1"/>
  <c r="CH72" i="1" s="1"/>
  <c r="CK31" i="1"/>
  <c r="CK71" i="1" s="1"/>
  <c r="CH31" i="1"/>
  <c r="CH71" i="1" s="1"/>
  <c r="CK30" i="1"/>
  <c r="CJ30" i="1"/>
  <c r="CI30" i="1"/>
  <c r="CA66" i="1"/>
  <c r="BY66" i="1" s="1"/>
  <c r="BY107" i="1" s="1"/>
  <c r="BX66" i="1"/>
  <c r="BX107" i="1" s="1"/>
  <c r="CA65" i="1"/>
  <c r="BZ65" i="1" s="1"/>
  <c r="BZ106" i="1" s="1"/>
  <c r="BX65" i="1"/>
  <c r="BX106" i="1" s="1"/>
  <c r="CA64" i="1"/>
  <c r="BZ64" i="1" s="1"/>
  <c r="BZ105" i="1" s="1"/>
  <c r="BX64" i="1"/>
  <c r="BX105" i="1" s="1"/>
  <c r="CA63" i="1"/>
  <c r="CA104" i="1" s="1"/>
  <c r="BX63" i="1"/>
  <c r="BX104" i="1" s="1"/>
  <c r="CA62" i="1"/>
  <c r="BX62" i="1"/>
  <c r="BX103" i="1" s="1"/>
  <c r="CA61" i="1"/>
  <c r="CA102" i="1" s="1"/>
  <c r="BX61" i="1"/>
  <c r="BX102" i="1" s="1"/>
  <c r="CA60" i="1"/>
  <c r="BZ60" i="1" s="1"/>
  <c r="BZ101" i="1" s="1"/>
  <c r="BX60" i="1"/>
  <c r="BX101" i="1" s="1"/>
  <c r="CA59" i="1"/>
  <c r="BZ59" i="1" s="1"/>
  <c r="BZ100" i="1" s="1"/>
  <c r="BX59" i="1"/>
  <c r="BX100" i="1" s="1"/>
  <c r="CA58" i="1"/>
  <c r="BZ58" i="1" s="1"/>
  <c r="BZ99" i="1" s="1"/>
  <c r="BX58" i="1"/>
  <c r="BX99" i="1" s="1"/>
  <c r="CA57" i="1"/>
  <c r="CA98" i="1" s="1"/>
  <c r="BX57" i="1"/>
  <c r="BX98" i="1" s="1"/>
  <c r="CA56" i="1"/>
  <c r="BZ56" i="1" s="1"/>
  <c r="BZ97" i="1" s="1"/>
  <c r="BX56" i="1"/>
  <c r="BX97" i="1" s="1"/>
  <c r="CA55" i="1"/>
  <c r="CA96" i="1" s="1"/>
  <c r="BX55" i="1"/>
  <c r="BX96" i="1" s="1"/>
  <c r="CA54" i="1"/>
  <c r="CA95" i="1" s="1"/>
  <c r="BX54" i="1"/>
  <c r="BX95" i="1" s="1"/>
  <c r="CA53" i="1"/>
  <c r="BY53" i="1" s="1"/>
  <c r="BX53" i="1"/>
  <c r="BX94" i="1" s="1"/>
  <c r="CA52" i="1"/>
  <c r="BZ52" i="1" s="1"/>
  <c r="BZ93" i="1" s="1"/>
  <c r="BX52" i="1"/>
  <c r="BX93" i="1" s="1"/>
  <c r="CA51" i="1"/>
  <c r="BZ51" i="1" s="1"/>
  <c r="BZ92" i="1" s="1"/>
  <c r="BX51" i="1"/>
  <c r="BX92" i="1" s="1"/>
  <c r="CA50" i="1"/>
  <c r="BY50" i="1" s="1"/>
  <c r="BY91" i="1" s="1"/>
  <c r="BX50" i="1"/>
  <c r="BX91" i="1" s="1"/>
  <c r="CA49" i="1"/>
  <c r="BY49" i="1" s="1"/>
  <c r="BX49" i="1"/>
  <c r="BX90" i="1" s="1"/>
  <c r="CA48" i="1"/>
  <c r="BY48" i="1" s="1"/>
  <c r="BY88" i="1" s="1"/>
  <c r="BX48" i="1"/>
  <c r="BX88" i="1" s="1"/>
  <c r="CA47" i="1"/>
  <c r="BY47" i="1" s="1"/>
  <c r="BY87" i="1" s="1"/>
  <c r="BX47" i="1"/>
  <c r="BX87" i="1" s="1"/>
  <c r="CA46" i="1"/>
  <c r="CA86" i="1" s="1"/>
  <c r="BX46" i="1"/>
  <c r="BX86" i="1" s="1"/>
  <c r="CA45" i="1"/>
  <c r="BY45" i="1" s="1"/>
  <c r="BX45" i="1"/>
  <c r="BX85" i="1" s="1"/>
  <c r="CA44" i="1"/>
  <c r="BZ44" i="1" s="1"/>
  <c r="BZ84" i="1" s="1"/>
  <c r="BX44" i="1"/>
  <c r="BX84" i="1" s="1"/>
  <c r="CA43" i="1"/>
  <c r="BZ43" i="1" s="1"/>
  <c r="BZ83" i="1" s="1"/>
  <c r="BX43" i="1"/>
  <c r="BX83" i="1" s="1"/>
  <c r="CA42" i="1"/>
  <c r="BY42" i="1" s="1"/>
  <c r="BY82" i="1" s="1"/>
  <c r="BX42" i="1"/>
  <c r="BX82" i="1" s="1"/>
  <c r="CA41" i="1"/>
  <c r="BZ41" i="1" s="1"/>
  <c r="BZ81" i="1" s="1"/>
  <c r="BX41" i="1"/>
  <c r="BX81" i="1" s="1"/>
  <c r="CA40" i="1"/>
  <c r="BZ40" i="1" s="1"/>
  <c r="BZ80" i="1" s="1"/>
  <c r="BX40" i="1"/>
  <c r="BX80" i="1" s="1"/>
  <c r="CA39" i="1"/>
  <c r="BZ39" i="1" s="1"/>
  <c r="BZ79" i="1" s="1"/>
  <c r="BX39" i="1"/>
  <c r="BX79" i="1" s="1"/>
  <c r="CA38" i="1"/>
  <c r="BX38" i="1"/>
  <c r="BX78" i="1" s="1"/>
  <c r="CA37" i="1"/>
  <c r="BY37" i="1" s="1"/>
  <c r="BX37" i="1"/>
  <c r="BX77" i="1" s="1"/>
  <c r="CA36" i="1"/>
  <c r="BZ36" i="1" s="1"/>
  <c r="BZ76" i="1" s="1"/>
  <c r="BX36" i="1"/>
  <c r="BX76" i="1" s="1"/>
  <c r="CA35" i="1"/>
  <c r="BZ35" i="1" s="1"/>
  <c r="BZ75" i="1" s="1"/>
  <c r="BX35" i="1"/>
  <c r="BX75" i="1" s="1"/>
  <c r="CA34" i="1"/>
  <c r="BY34" i="1" s="1"/>
  <c r="BY74" i="1" s="1"/>
  <c r="BX34" i="1"/>
  <c r="BX74" i="1" s="1"/>
  <c r="CA33" i="1"/>
  <c r="BY33" i="1" s="1"/>
  <c r="BY73" i="1" s="1"/>
  <c r="BX33" i="1"/>
  <c r="BX73" i="1" s="1"/>
  <c r="CA32" i="1"/>
  <c r="BY32" i="1" s="1"/>
  <c r="BY72" i="1" s="1"/>
  <c r="BX32" i="1"/>
  <c r="BX72" i="1" s="1"/>
  <c r="CA31" i="1"/>
  <c r="BY31" i="1" s="1"/>
  <c r="BY71" i="1" s="1"/>
  <c r="BX31" i="1"/>
  <c r="BX71" i="1" s="1"/>
  <c r="CA30" i="1"/>
  <c r="BZ30" i="1"/>
  <c r="BY30" i="1"/>
  <c r="DB86" i="1"/>
  <c r="CR105" i="1"/>
  <c r="CR80" i="1"/>
  <c r="CH106" i="1"/>
  <c r="CH81" i="1"/>
  <c r="DE96" i="1" l="1"/>
  <c r="DC37" i="1"/>
  <c r="DC77" i="1" s="1"/>
  <c r="DE91" i="1"/>
  <c r="BY41" i="1"/>
  <c r="BY81" i="1" s="1"/>
  <c r="CU73" i="1"/>
  <c r="DE77" i="1"/>
  <c r="DC61" i="1"/>
  <c r="DC102" i="1" s="1"/>
  <c r="CJ50" i="1"/>
  <c r="CJ91" i="1" s="1"/>
  <c r="BZ63" i="1"/>
  <c r="BZ104" i="1" s="1"/>
  <c r="BY61" i="1"/>
  <c r="BY102" i="1" s="1"/>
  <c r="CT47" i="1"/>
  <c r="CT87" i="1" s="1"/>
  <c r="CU71" i="1"/>
  <c r="CT61" i="1"/>
  <c r="CT102" i="1" s="1"/>
  <c r="BZ45" i="1"/>
  <c r="BZ85" i="1" s="1"/>
  <c r="CA85" i="1"/>
  <c r="CJ49" i="1"/>
  <c r="CJ56" i="1"/>
  <c r="CJ97" i="1" s="1"/>
  <c r="CI64" i="1"/>
  <c r="CI105" i="1" s="1"/>
  <c r="DD55" i="1"/>
  <c r="DD96" i="1" s="1"/>
  <c r="DC34" i="1"/>
  <c r="DC74" i="1" s="1"/>
  <c r="DC66" i="1"/>
  <c r="DC107" i="1" s="1"/>
  <c r="DD31" i="1"/>
  <c r="DD71" i="1" s="1"/>
  <c r="DD49" i="1"/>
  <c r="DD63" i="1"/>
  <c r="DD104" i="1" s="1"/>
  <c r="DE100" i="1"/>
  <c r="DD33" i="1"/>
  <c r="DD73" i="1" s="1"/>
  <c r="DD39" i="1"/>
  <c r="DD79" i="1" s="1"/>
  <c r="DD54" i="1"/>
  <c r="DD95" i="1" s="1"/>
  <c r="CK102" i="1"/>
  <c r="CK91" i="1"/>
  <c r="CJ66" i="1"/>
  <c r="CJ107" i="1" s="1"/>
  <c r="BY55" i="1"/>
  <c r="BY96" i="1" s="1"/>
  <c r="CS50" i="1"/>
  <c r="CS91" i="1" s="1"/>
  <c r="CU99" i="1"/>
  <c r="CT41" i="1"/>
  <c r="CT81" i="1" s="1"/>
  <c r="CU82" i="1"/>
  <c r="CU106" i="1"/>
  <c r="CU98" i="1"/>
  <c r="CT39" i="1"/>
  <c r="CT79" i="1" s="1"/>
  <c r="CS42" i="1"/>
  <c r="CS82" i="1" s="1"/>
  <c r="CA106" i="1"/>
  <c r="CA97" i="1"/>
  <c r="BY65" i="1"/>
  <c r="BY106" i="1" s="1"/>
  <c r="CJ55" i="1"/>
  <c r="CJ96" i="1" s="1"/>
  <c r="CJ58" i="1"/>
  <c r="CJ99" i="1" s="1"/>
  <c r="CJ65" i="1"/>
  <c r="CJ106" i="1" s="1"/>
  <c r="DE86" i="1"/>
  <c r="DE103" i="1"/>
  <c r="DE87" i="1"/>
  <c r="DD51" i="1"/>
  <c r="DD92" i="1" s="1"/>
  <c r="DC42" i="1"/>
  <c r="DC82" i="1" s="1"/>
  <c r="DD61" i="1"/>
  <c r="DD102" i="1" s="1"/>
  <c r="DC46" i="1"/>
  <c r="DC86" i="1" s="1"/>
  <c r="DD59" i="1"/>
  <c r="DD100" i="1" s="1"/>
  <c r="DE106" i="1"/>
  <c r="DE92" i="1"/>
  <c r="DC32" i="1"/>
  <c r="DC72" i="1" s="1"/>
  <c r="DD41" i="1"/>
  <c r="DD81" i="1" s="1"/>
  <c r="DE98" i="1"/>
  <c r="DE85" i="1"/>
  <c r="DD45" i="1"/>
  <c r="DD85" i="1" s="1"/>
  <c r="DC54" i="1"/>
  <c r="DC95" i="1" s="1"/>
  <c r="DD65" i="1"/>
  <c r="DD106" i="1" s="1"/>
  <c r="CK96" i="1"/>
  <c r="CK81" i="1"/>
  <c r="CJ37" i="1"/>
  <c r="CJ77" i="1" s="1"/>
  <c r="CA81" i="1"/>
  <c r="CU91" i="1"/>
  <c r="CS48" i="1"/>
  <c r="CS88" i="1" s="1"/>
  <c r="CT58" i="1"/>
  <c r="CT99" i="1" s="1"/>
  <c r="CU83" i="1"/>
  <c r="CT56" i="1"/>
  <c r="CT97" i="1" s="1"/>
  <c r="CT53" i="1"/>
  <c r="CT94" i="1" s="1"/>
  <c r="CU87" i="1"/>
  <c r="DE79" i="1"/>
  <c r="DE94" i="1"/>
  <c r="CA87" i="1"/>
  <c r="DE88" i="1"/>
  <c r="DE99" i="1"/>
  <c r="CA107" i="1"/>
  <c r="CU81" i="1"/>
  <c r="DE75" i="1"/>
  <c r="BZ57" i="1"/>
  <c r="BZ98" i="1" s="1"/>
  <c r="CI33" i="1"/>
  <c r="CI73" i="1" s="1"/>
  <c r="CI40" i="1"/>
  <c r="CI80" i="1" s="1"/>
  <c r="CT49" i="1"/>
  <c r="CT55" i="1"/>
  <c r="CT96" i="1" s="1"/>
  <c r="CS61" i="1"/>
  <c r="CS102" i="1" s="1"/>
  <c r="DD38" i="1"/>
  <c r="DD78" i="1" s="1"/>
  <c r="DD43" i="1"/>
  <c r="DD83" i="1" s="1"/>
  <c r="DD53" i="1"/>
  <c r="DD94" i="1" s="1"/>
  <c r="CU79" i="1"/>
  <c r="CU96" i="1"/>
  <c r="BZ49" i="1"/>
  <c r="BY56" i="1"/>
  <c r="BY97" i="1" s="1"/>
  <c r="CI42" i="1"/>
  <c r="CI82" i="1" s="1"/>
  <c r="CJ45" i="1"/>
  <c r="CJ85" i="1" s="1"/>
  <c r="CI61" i="1"/>
  <c r="CI102" i="1" s="1"/>
  <c r="CT37" i="1"/>
  <c r="CT77" i="1" s="1"/>
  <c r="CS40" i="1"/>
  <c r="CS80" i="1" s="1"/>
  <c r="DC35" i="1"/>
  <c r="DC75" i="1" s="1"/>
  <c r="DD47" i="1"/>
  <c r="DD87" i="1" s="1"/>
  <c r="DD57" i="1"/>
  <c r="DD98" i="1" s="1"/>
  <c r="DC62" i="1"/>
  <c r="DC103" i="1" s="1"/>
  <c r="CU93" i="1"/>
  <c r="DE71" i="1"/>
  <c r="CT40" i="1"/>
  <c r="CT80" i="1" s="1"/>
  <c r="CT51" i="1"/>
  <c r="CT92" i="1" s="1"/>
  <c r="CT57" i="1"/>
  <c r="CT98" i="1" s="1"/>
  <c r="DC40" i="1"/>
  <c r="DC80" i="1" s="1"/>
  <c r="DE83" i="1"/>
  <c r="DE104" i="1"/>
  <c r="DI96" i="1"/>
  <c r="CA105" i="1"/>
  <c r="CK73" i="1"/>
  <c r="CK107" i="1"/>
  <c r="DI82" i="1"/>
  <c r="DC38" i="1"/>
  <c r="DC78" i="1" s="1"/>
  <c r="CU105" i="1"/>
  <c r="CY96" i="1"/>
  <c r="CU85" i="1"/>
  <c r="CI63" i="1"/>
  <c r="CI104" i="1" s="1"/>
  <c r="CS31" i="1"/>
  <c r="CS71" i="1" s="1"/>
  <c r="CS33" i="1"/>
  <c r="CS73" i="1" s="1"/>
  <c r="CS45" i="1"/>
  <c r="CS85" i="1" s="1"/>
  <c r="CS64" i="1"/>
  <c r="CS105" i="1" s="1"/>
  <c r="CS66" i="1"/>
  <c r="CS107" i="1" s="1"/>
  <c r="CA79" i="1"/>
  <c r="CA99" i="1"/>
  <c r="BZ48" i="1"/>
  <c r="BZ88" i="1" s="1"/>
  <c r="BY57" i="1"/>
  <c r="BY98" i="1" s="1"/>
  <c r="BY63" i="1"/>
  <c r="BY104" i="1" s="1"/>
  <c r="CI31" i="1"/>
  <c r="CI71" i="1" s="1"/>
  <c r="CI47" i="1"/>
  <c r="CI87" i="1" s="1"/>
  <c r="CI58" i="1"/>
  <c r="CI99" i="1" s="1"/>
  <c r="CJ63" i="1"/>
  <c r="CJ104" i="1" s="1"/>
  <c r="CT66" i="1"/>
  <c r="CT107" i="1" s="1"/>
  <c r="CU74" i="1"/>
  <c r="BZ32" i="1"/>
  <c r="BZ72" i="1" s="1"/>
  <c r="BY39" i="1"/>
  <c r="BY79" i="1" s="1"/>
  <c r="BZ55" i="1"/>
  <c r="BZ96" i="1" s="1"/>
  <c r="CI56" i="1"/>
  <c r="CI97" i="1" s="1"/>
  <c r="CS53" i="1"/>
  <c r="CS94" i="1" s="1"/>
  <c r="CM96" i="1"/>
  <c r="CS32" i="1"/>
  <c r="CS72" i="1" s="1"/>
  <c r="CS34" i="1"/>
  <c r="CS74" i="1" s="1"/>
  <c r="CS63" i="1"/>
  <c r="CS104" i="1" s="1"/>
  <c r="CS65" i="1"/>
  <c r="CS106" i="1" s="1"/>
  <c r="CU104" i="1"/>
  <c r="BY58" i="1"/>
  <c r="BY99" i="1" s="1"/>
  <c r="CJ51" i="1"/>
  <c r="CJ92" i="1" s="1"/>
  <c r="CJ59" i="1"/>
  <c r="CJ100" i="1" s="1"/>
  <c r="CT32" i="1"/>
  <c r="CT72" i="1" s="1"/>
  <c r="CS56" i="1"/>
  <c r="CS97" i="1" s="1"/>
  <c r="CK72" i="1"/>
  <c r="CK94" i="1"/>
  <c r="CK82" i="1"/>
  <c r="CK98" i="1"/>
  <c r="BZ33" i="1"/>
  <c r="BZ73" i="1" s="1"/>
  <c r="BZ47" i="1"/>
  <c r="BZ87" i="1" s="1"/>
  <c r="BZ53" i="1"/>
  <c r="BZ94" i="1" s="1"/>
  <c r="CJ31" i="1"/>
  <c r="CJ71" i="1" s="1"/>
  <c r="CI38" i="1"/>
  <c r="CI78" i="1" s="1"/>
  <c r="CJ40" i="1"/>
  <c r="CJ80" i="1" s="1"/>
  <c r="CI45" i="1"/>
  <c r="CI85" i="1" s="1"/>
  <c r="CJ47" i="1"/>
  <c r="CJ87" i="1" s="1"/>
  <c r="CK77" i="1"/>
  <c r="CA93" i="1"/>
  <c r="BZ31" i="1"/>
  <c r="BZ71" i="1" s="1"/>
  <c r="BZ37" i="1"/>
  <c r="BZ77" i="1" s="1"/>
  <c r="BY64" i="1"/>
  <c r="BY105" i="1" s="1"/>
  <c r="CJ57" i="1"/>
  <c r="CJ98" i="1" s="1"/>
  <c r="CI62" i="1"/>
  <c r="CI103" i="1" s="1"/>
  <c r="CJ64" i="1"/>
  <c r="CJ105" i="1" s="1"/>
  <c r="CO82" i="1"/>
  <c r="CK106" i="1"/>
  <c r="BY40" i="1"/>
  <c r="BY80" i="1" s="1"/>
  <c r="CI32" i="1"/>
  <c r="CI72" i="1" s="1"/>
  <c r="CI34" i="1"/>
  <c r="CI74" i="1" s="1"/>
  <c r="CI39" i="1"/>
  <c r="CI79" i="1" s="1"/>
  <c r="CI41" i="1"/>
  <c r="CI81" i="1" s="1"/>
  <c r="CI48" i="1"/>
  <c r="CI88" i="1" s="1"/>
  <c r="CI53" i="1"/>
  <c r="CI94" i="1" s="1"/>
  <c r="CK79" i="1"/>
  <c r="CA73" i="1"/>
  <c r="CK74" i="1"/>
  <c r="CI46" i="1"/>
  <c r="CI86" i="1" s="1"/>
  <c r="CJ48" i="1"/>
  <c r="CJ88" i="1" s="1"/>
  <c r="CA77" i="1"/>
  <c r="CA91" i="1"/>
  <c r="BZ61" i="1"/>
  <c r="BZ102" i="1" s="1"/>
  <c r="CA101" i="1"/>
  <c r="CA71" i="1"/>
  <c r="CA94" i="1"/>
  <c r="DC71" i="1"/>
  <c r="DC96" i="1"/>
  <c r="DC87" i="1"/>
  <c r="DC79" i="1"/>
  <c r="DC104" i="1"/>
  <c r="DE73" i="1"/>
  <c r="DE81" i="1"/>
  <c r="DE93" i="1"/>
  <c r="DE97" i="1"/>
  <c r="DE105" i="1"/>
  <c r="DD32" i="1"/>
  <c r="DD72" i="1" s="1"/>
  <c r="DD40" i="1"/>
  <c r="DD80" i="1" s="1"/>
  <c r="DD48" i="1"/>
  <c r="DD88" i="1" s="1"/>
  <c r="DD56" i="1"/>
  <c r="DD97" i="1" s="1"/>
  <c r="DD64" i="1"/>
  <c r="DD105" i="1" s="1"/>
  <c r="DE76" i="1"/>
  <c r="DC92" i="1"/>
  <c r="DG96" i="1"/>
  <c r="DH96" i="1"/>
  <c r="DD34" i="1"/>
  <c r="DD74" i="1" s="1"/>
  <c r="DD42" i="1"/>
  <c r="DD82" i="1" s="1"/>
  <c r="DD50" i="1"/>
  <c r="DD91" i="1" s="1"/>
  <c r="DD58" i="1"/>
  <c r="DD99" i="1" s="1"/>
  <c r="DD66" i="1"/>
  <c r="DD107" i="1" s="1"/>
  <c r="DE84" i="1"/>
  <c r="DC36" i="1"/>
  <c r="DC76" i="1" s="1"/>
  <c r="DC44" i="1"/>
  <c r="DC84" i="1" s="1"/>
  <c r="DC52" i="1"/>
  <c r="DC93" i="1" s="1"/>
  <c r="DC60" i="1"/>
  <c r="DC101" i="1" s="1"/>
  <c r="DE101" i="1"/>
  <c r="CU103" i="1"/>
  <c r="CS38" i="1"/>
  <c r="CS78" i="1" s="1"/>
  <c r="CS46" i="1"/>
  <c r="CS86" i="1" s="1"/>
  <c r="CS54" i="1"/>
  <c r="CS95" i="1" s="1"/>
  <c r="CS62" i="1"/>
  <c r="CS103" i="1" s="1"/>
  <c r="CU76" i="1"/>
  <c r="CU88" i="1"/>
  <c r="CU100" i="1"/>
  <c r="CS35" i="1"/>
  <c r="CS75" i="1" s="1"/>
  <c r="CT38" i="1"/>
  <c r="CT78" i="1" s="1"/>
  <c r="CS43" i="1"/>
  <c r="CS83" i="1" s="1"/>
  <c r="CT46" i="1"/>
  <c r="CT86" i="1" s="1"/>
  <c r="CS51" i="1"/>
  <c r="CS92" i="1" s="1"/>
  <c r="CT54" i="1"/>
  <c r="CT95" i="1" s="1"/>
  <c r="CS59" i="1"/>
  <c r="CS100" i="1" s="1"/>
  <c r="CT62" i="1"/>
  <c r="CT103" i="1" s="1"/>
  <c r="CU75" i="1"/>
  <c r="CU95" i="1"/>
  <c r="CX96" i="1"/>
  <c r="CU77" i="1"/>
  <c r="CU101" i="1"/>
  <c r="CS36" i="1"/>
  <c r="CS76" i="1" s="1"/>
  <c r="CS44" i="1"/>
  <c r="CS84" i="1" s="1"/>
  <c r="CS52" i="1"/>
  <c r="CS93" i="1" s="1"/>
  <c r="CS60" i="1"/>
  <c r="CS101" i="1" s="1"/>
  <c r="CU78" i="1"/>
  <c r="CY82" i="1"/>
  <c r="CW96" i="1"/>
  <c r="CU84" i="1"/>
  <c r="CI106" i="1"/>
  <c r="CI98" i="1"/>
  <c r="CK75" i="1"/>
  <c r="CK95" i="1"/>
  <c r="CN96" i="1"/>
  <c r="CI35" i="1"/>
  <c r="CI75" i="1" s="1"/>
  <c r="CJ38" i="1"/>
  <c r="CJ78" i="1" s="1"/>
  <c r="CI43" i="1"/>
  <c r="CI83" i="1" s="1"/>
  <c r="CJ46" i="1"/>
  <c r="CJ86" i="1" s="1"/>
  <c r="CI51" i="1"/>
  <c r="CI92" i="1" s="1"/>
  <c r="CJ54" i="1"/>
  <c r="CJ95" i="1" s="1"/>
  <c r="CI59" i="1"/>
  <c r="CI100" i="1" s="1"/>
  <c r="CJ62" i="1"/>
  <c r="CJ103" i="1" s="1"/>
  <c r="CK84" i="1"/>
  <c r="CO96" i="1"/>
  <c r="CK83" i="1"/>
  <c r="CK76" i="1"/>
  <c r="CI36" i="1"/>
  <c r="CI76" i="1" s="1"/>
  <c r="CI44" i="1"/>
  <c r="CI84" i="1" s="1"/>
  <c r="CI52" i="1"/>
  <c r="CI93" i="1" s="1"/>
  <c r="CI60" i="1"/>
  <c r="CI101" i="1" s="1"/>
  <c r="CK101" i="1"/>
  <c r="CK93" i="1"/>
  <c r="CA83" i="1"/>
  <c r="BY85" i="1"/>
  <c r="CA103" i="1"/>
  <c r="BY38" i="1"/>
  <c r="BY78" i="1" s="1"/>
  <c r="BY46" i="1"/>
  <c r="BY86" i="1" s="1"/>
  <c r="BY54" i="1"/>
  <c r="BY95" i="1" s="1"/>
  <c r="BY62" i="1"/>
  <c r="BY103" i="1" s="1"/>
  <c r="CA76" i="1"/>
  <c r="CA88" i="1"/>
  <c r="CA100" i="1"/>
  <c r="BY35" i="1"/>
  <c r="BY75" i="1" s="1"/>
  <c r="BZ38" i="1"/>
  <c r="BZ78" i="1" s="1"/>
  <c r="BY43" i="1"/>
  <c r="BY83" i="1" s="1"/>
  <c r="BZ46" i="1"/>
  <c r="BZ86" i="1" s="1"/>
  <c r="BY51" i="1"/>
  <c r="BY92" i="1" s="1"/>
  <c r="BZ54" i="1"/>
  <c r="BZ95" i="1" s="1"/>
  <c r="BY59" i="1"/>
  <c r="BY100" i="1" s="1"/>
  <c r="BZ62" i="1"/>
  <c r="BZ103" i="1" s="1"/>
  <c r="CA78" i="1"/>
  <c r="CE82" i="1"/>
  <c r="CC96" i="1"/>
  <c r="CA72" i="1"/>
  <c r="CA80" i="1"/>
  <c r="CA84" i="1"/>
  <c r="CA92" i="1"/>
  <c r="BY94" i="1"/>
  <c r="CE96" i="1"/>
  <c r="BZ34" i="1"/>
  <c r="BZ74" i="1" s="1"/>
  <c r="BZ42" i="1"/>
  <c r="BZ82" i="1" s="1"/>
  <c r="BZ50" i="1"/>
  <c r="BZ91" i="1" s="1"/>
  <c r="BZ66" i="1"/>
  <c r="BZ107" i="1" s="1"/>
  <c r="CA75" i="1"/>
  <c r="BY77" i="1"/>
  <c r="CD96" i="1"/>
  <c r="BY36" i="1"/>
  <c r="BY76" i="1" s="1"/>
  <c r="BY44" i="1"/>
  <c r="BY84" i="1" s="1"/>
  <c r="BY52" i="1"/>
  <c r="BY93" i="1" s="1"/>
  <c r="BY60" i="1"/>
  <c r="BY101" i="1" s="1"/>
  <c r="CA74" i="1"/>
  <c r="CA82" i="1"/>
  <c r="DG82" i="1" l="1"/>
  <c r="DH82" i="1"/>
  <c r="CW82" i="1"/>
  <c r="CX82" i="1"/>
  <c r="CM82" i="1"/>
  <c r="CN82" i="1"/>
  <c r="CD82" i="1"/>
  <c r="CC82" i="1"/>
  <c r="Q6011" i="1" l="1"/>
  <c r="Q6010" i="1"/>
  <c r="Q6009" i="1"/>
  <c r="Q6008" i="1"/>
  <c r="Q6007" i="1"/>
  <c r="Q6006" i="1"/>
  <c r="Q6005" i="1"/>
  <c r="Q6004" i="1"/>
  <c r="Q6003" i="1"/>
  <c r="Q6002" i="1"/>
  <c r="Q6001" i="1"/>
  <c r="Q6000" i="1"/>
  <c r="Q5999" i="1"/>
  <c r="Q5998" i="1"/>
  <c r="Q5997" i="1"/>
  <c r="Q5996" i="1"/>
  <c r="Q5995" i="1"/>
  <c r="Q5994" i="1"/>
  <c r="Q5993" i="1"/>
  <c r="Q5992" i="1"/>
  <c r="Q5991" i="1"/>
  <c r="Q5990" i="1"/>
  <c r="Q5989" i="1"/>
  <c r="Q5988" i="1"/>
  <c r="Q5987" i="1"/>
  <c r="Q5986" i="1"/>
  <c r="Q5985" i="1"/>
  <c r="Q5984" i="1"/>
  <c r="Q5983" i="1"/>
  <c r="Q5982" i="1"/>
  <c r="Q5981" i="1"/>
  <c r="Q5980" i="1"/>
  <c r="Q5979" i="1"/>
  <c r="Q5978" i="1"/>
  <c r="Q5977" i="1"/>
  <c r="Q5976" i="1"/>
  <c r="Q5975" i="1"/>
  <c r="Q5974" i="1"/>
  <c r="Q5973" i="1"/>
  <c r="Q5972" i="1"/>
  <c r="Q5971" i="1"/>
  <c r="Q5970" i="1"/>
  <c r="Q5969" i="1"/>
  <c r="Q5968" i="1"/>
  <c r="Q5967" i="1"/>
  <c r="Q5966" i="1"/>
  <c r="Q5965" i="1"/>
  <c r="Q5964" i="1"/>
  <c r="Q5963" i="1"/>
  <c r="Q5962" i="1"/>
  <c r="Q5961" i="1"/>
  <c r="Q5960" i="1"/>
  <c r="Q5959" i="1"/>
  <c r="Q5958" i="1"/>
  <c r="Q5957" i="1"/>
  <c r="Q5956" i="1"/>
  <c r="Q5955" i="1"/>
  <c r="Q5954" i="1"/>
  <c r="Q5953" i="1"/>
  <c r="Q5952" i="1"/>
  <c r="Q5951" i="1"/>
  <c r="Q5950" i="1"/>
  <c r="Q5949" i="1"/>
  <c r="Q5948" i="1"/>
  <c r="Q5947" i="1"/>
  <c r="Q5946" i="1"/>
  <c r="Q5945" i="1"/>
  <c r="Q5944" i="1"/>
  <c r="Q5943" i="1"/>
  <c r="Q5942" i="1"/>
  <c r="Q5941" i="1"/>
  <c r="Q5940" i="1"/>
  <c r="Q5939" i="1"/>
  <c r="Q5938" i="1"/>
  <c r="Q5937" i="1"/>
  <c r="Q5936" i="1"/>
  <c r="Q5935" i="1"/>
  <c r="Q5934" i="1"/>
  <c r="Q5933" i="1"/>
  <c r="Q5932" i="1"/>
  <c r="Q5931" i="1"/>
  <c r="Q5930" i="1"/>
  <c r="Q5929" i="1"/>
  <c r="Q5928" i="1"/>
  <c r="Q5927" i="1"/>
  <c r="Q5926" i="1"/>
  <c r="Q5925" i="1"/>
  <c r="Q5924" i="1"/>
  <c r="Q5923" i="1"/>
  <c r="Q5922" i="1"/>
  <c r="Q5921" i="1"/>
  <c r="Q5920" i="1"/>
  <c r="Q5919" i="1"/>
  <c r="Q5918" i="1"/>
  <c r="Q5917" i="1"/>
  <c r="Q5916" i="1"/>
  <c r="Q5915" i="1"/>
  <c r="Q5914" i="1"/>
  <c r="Q5913" i="1"/>
  <c r="Q5912" i="1"/>
  <c r="Q5911" i="1"/>
  <c r="Q5910" i="1"/>
  <c r="Q5909" i="1"/>
  <c r="Q5908" i="1"/>
  <c r="Q5907" i="1"/>
  <c r="Q5906" i="1"/>
  <c r="Q5905" i="1"/>
  <c r="Q5904" i="1"/>
  <c r="Q5903" i="1"/>
  <c r="Q5902" i="1"/>
  <c r="Q5901" i="1"/>
  <c r="Q5900" i="1"/>
  <c r="Q5899" i="1"/>
  <c r="Q5898" i="1"/>
  <c r="Q5897" i="1"/>
  <c r="Q5896" i="1"/>
  <c r="Q5895" i="1"/>
  <c r="Q5894" i="1"/>
  <c r="Q5893" i="1"/>
  <c r="Q5892" i="1"/>
  <c r="Q5891" i="1"/>
  <c r="Q5890" i="1"/>
  <c r="Q5889" i="1"/>
  <c r="Q5888" i="1"/>
  <c r="Q5887" i="1"/>
  <c r="Q5886" i="1"/>
  <c r="Q5885" i="1"/>
  <c r="Q5884" i="1"/>
  <c r="Q5883" i="1"/>
  <c r="Q5882" i="1"/>
  <c r="Q5881" i="1"/>
  <c r="Q5880" i="1"/>
  <c r="Q5879" i="1"/>
  <c r="Q5878" i="1"/>
  <c r="Q5877" i="1"/>
  <c r="Q5876" i="1"/>
  <c r="Q5875" i="1"/>
  <c r="Q5874" i="1"/>
  <c r="Q5873" i="1"/>
  <c r="Q5872" i="1"/>
  <c r="Q5871" i="1"/>
  <c r="Q5870" i="1"/>
  <c r="Q5869" i="1"/>
  <c r="Q5868" i="1"/>
  <c r="Q5867" i="1"/>
  <c r="Q5866" i="1"/>
  <c r="Q5865" i="1"/>
  <c r="Q5864" i="1"/>
  <c r="Q5863" i="1"/>
  <c r="Q5862" i="1"/>
  <c r="Q5861" i="1"/>
  <c r="Q5860" i="1"/>
  <c r="Q5859" i="1"/>
  <c r="Q5858" i="1"/>
  <c r="Q5857" i="1"/>
  <c r="Q5856" i="1"/>
  <c r="Q5855" i="1"/>
  <c r="Q5854" i="1"/>
  <c r="Q5853" i="1"/>
  <c r="Q5852" i="1"/>
  <c r="Q5851" i="1"/>
  <c r="Q5850" i="1"/>
  <c r="Q5849" i="1"/>
  <c r="Q5848" i="1"/>
  <c r="Q5847" i="1"/>
  <c r="Q5846" i="1"/>
  <c r="Q5845" i="1"/>
  <c r="Q5844" i="1"/>
  <c r="Q5843" i="1"/>
  <c r="Q5842" i="1"/>
  <c r="Q5841" i="1"/>
  <c r="Q5840" i="1"/>
  <c r="Q5839" i="1"/>
  <c r="Q5838" i="1"/>
  <c r="Q5837" i="1"/>
  <c r="Q5836" i="1"/>
  <c r="Q5835" i="1"/>
  <c r="Q5834" i="1"/>
  <c r="Q5833" i="1"/>
  <c r="Q5832" i="1"/>
  <c r="Q5831" i="1"/>
  <c r="Q5830" i="1"/>
  <c r="Q5829" i="1"/>
  <c r="Q5828" i="1"/>
  <c r="Q5827" i="1"/>
  <c r="Q5826" i="1"/>
  <c r="Q5825" i="1"/>
  <c r="Q5824" i="1"/>
  <c r="Q5823" i="1"/>
  <c r="Q5822" i="1"/>
  <c r="Q5821" i="1"/>
  <c r="Q5820" i="1"/>
  <c r="Q5819" i="1"/>
  <c r="Q5818" i="1"/>
  <c r="Q5817" i="1"/>
  <c r="Q5816" i="1"/>
  <c r="Q5815" i="1"/>
  <c r="Q5814" i="1"/>
  <c r="Q5813" i="1"/>
  <c r="Q5812" i="1"/>
  <c r="Q5811" i="1"/>
  <c r="Q5810" i="1"/>
  <c r="Q5809" i="1"/>
  <c r="Q5808" i="1"/>
  <c r="Q5807" i="1"/>
  <c r="Q5806" i="1"/>
  <c r="Q5805" i="1"/>
  <c r="Q5804" i="1"/>
  <c r="Q5803" i="1"/>
  <c r="Q5802" i="1"/>
  <c r="Q5801" i="1"/>
  <c r="Q5800" i="1"/>
  <c r="Q5799" i="1"/>
  <c r="Q5798" i="1"/>
  <c r="Q5797" i="1"/>
  <c r="Q5796" i="1"/>
  <c r="Q5795" i="1"/>
  <c r="Q5794" i="1"/>
  <c r="Q5793" i="1"/>
  <c r="Q5792" i="1"/>
  <c r="Q5791" i="1"/>
  <c r="Q5790" i="1"/>
  <c r="Q5789" i="1"/>
  <c r="Q5788" i="1"/>
  <c r="Q5787" i="1"/>
  <c r="Q5786" i="1"/>
  <c r="Q5785" i="1"/>
  <c r="Q5784" i="1"/>
  <c r="Q5783" i="1"/>
  <c r="Q5782" i="1"/>
  <c r="Q5781" i="1"/>
  <c r="Q5780" i="1"/>
  <c r="Q5779" i="1"/>
  <c r="Q5778" i="1"/>
  <c r="Q5777" i="1"/>
  <c r="Q5776" i="1"/>
  <c r="Q5775" i="1"/>
  <c r="Q5774" i="1"/>
  <c r="Q5773" i="1"/>
  <c r="Q5772" i="1"/>
  <c r="Q5771" i="1"/>
  <c r="Q5770" i="1"/>
  <c r="Q5769" i="1"/>
  <c r="Q5768" i="1"/>
  <c r="Q5767" i="1"/>
  <c r="Q5766" i="1"/>
  <c r="Q5765" i="1"/>
  <c r="Q5764" i="1"/>
  <c r="Q5763" i="1"/>
  <c r="Q5762" i="1"/>
  <c r="Q5761" i="1"/>
  <c r="Q5760" i="1"/>
  <c r="Q5759" i="1"/>
  <c r="Q5758" i="1"/>
  <c r="Q5757" i="1"/>
  <c r="Q5756" i="1"/>
  <c r="Q5755" i="1"/>
  <c r="Q5754" i="1"/>
  <c r="Q5753" i="1"/>
  <c r="Q5752" i="1"/>
  <c r="Q5751" i="1"/>
  <c r="Q5750" i="1"/>
  <c r="Q5749" i="1"/>
  <c r="Q5748" i="1"/>
  <c r="Q5747" i="1"/>
  <c r="Q5746" i="1"/>
  <c r="Q5745" i="1"/>
  <c r="Q5744" i="1"/>
  <c r="Q5743" i="1"/>
  <c r="Q5742" i="1"/>
  <c r="Q5741" i="1"/>
  <c r="Q5740" i="1"/>
  <c r="Q5739" i="1"/>
  <c r="Q5738" i="1"/>
  <c r="Q5737" i="1"/>
  <c r="Q5736" i="1"/>
  <c r="Q5735" i="1"/>
  <c r="Q5734" i="1"/>
  <c r="Q5733" i="1"/>
  <c r="Q5732" i="1"/>
  <c r="Q5731" i="1"/>
  <c r="Q5730" i="1"/>
  <c r="Q5729" i="1"/>
  <c r="Q5728" i="1"/>
  <c r="Q5727" i="1"/>
  <c r="Q5726" i="1"/>
  <c r="Q5725" i="1"/>
  <c r="Q5724" i="1"/>
  <c r="Q5723" i="1"/>
  <c r="Q5722" i="1"/>
  <c r="Q5721" i="1"/>
  <c r="Q5720" i="1"/>
  <c r="Q5719" i="1"/>
  <c r="Q5718" i="1"/>
  <c r="Q5717" i="1"/>
  <c r="Q5716" i="1"/>
  <c r="Q5715" i="1"/>
  <c r="Q5714" i="1"/>
  <c r="Q5713" i="1"/>
  <c r="Q5712" i="1"/>
  <c r="Q5711" i="1"/>
  <c r="Q5710" i="1"/>
  <c r="Q5709" i="1"/>
  <c r="Q5708" i="1"/>
  <c r="Q5707" i="1"/>
  <c r="Q5706" i="1"/>
  <c r="Q5705" i="1"/>
  <c r="Q5704" i="1"/>
  <c r="Q5703" i="1"/>
  <c r="Q5702" i="1"/>
  <c r="Q5701" i="1"/>
  <c r="Q5700" i="1"/>
  <c r="Q5699" i="1"/>
  <c r="Q5698" i="1"/>
  <c r="Q5697" i="1"/>
  <c r="Q5696" i="1"/>
  <c r="Q5695" i="1"/>
  <c r="Q5694" i="1"/>
  <c r="Q5693" i="1"/>
  <c r="Q5692" i="1"/>
  <c r="Q5691" i="1"/>
  <c r="Q5690" i="1"/>
  <c r="Q5689" i="1"/>
  <c r="Q5688" i="1"/>
  <c r="Q5687" i="1"/>
  <c r="Q5686" i="1"/>
  <c r="Q5685" i="1"/>
  <c r="Q5684" i="1"/>
  <c r="Q5683" i="1"/>
  <c r="Q5682" i="1"/>
  <c r="Q5681" i="1"/>
  <c r="Q5680" i="1"/>
  <c r="Q5679" i="1"/>
  <c r="Q5678" i="1"/>
  <c r="Q5677" i="1"/>
  <c r="Q5676" i="1"/>
  <c r="Q5675" i="1"/>
  <c r="Q5674" i="1"/>
  <c r="Q5673" i="1"/>
  <c r="Q5672" i="1"/>
  <c r="Q5671" i="1"/>
  <c r="Q5670" i="1"/>
  <c r="Q5669" i="1"/>
  <c r="Q5668" i="1"/>
  <c r="Q5667" i="1"/>
  <c r="Q5666" i="1"/>
  <c r="Q5665" i="1"/>
  <c r="Q5664" i="1"/>
  <c r="Q5663" i="1"/>
  <c r="Q5662" i="1"/>
  <c r="Q5661" i="1"/>
  <c r="Q5660" i="1"/>
  <c r="Q5659" i="1"/>
  <c r="Q5658" i="1"/>
  <c r="Q5657" i="1"/>
  <c r="Q5656" i="1"/>
  <c r="Q5655" i="1"/>
  <c r="Q5654" i="1"/>
  <c r="Q5653" i="1"/>
  <c r="Q5652" i="1"/>
  <c r="Q5651" i="1"/>
  <c r="Q5650" i="1"/>
  <c r="Q5649" i="1"/>
  <c r="Q5648" i="1"/>
  <c r="Q5647" i="1"/>
  <c r="Q5646" i="1"/>
  <c r="Q5645" i="1"/>
  <c r="Q5644" i="1"/>
  <c r="Q5643" i="1"/>
  <c r="Q5642" i="1"/>
  <c r="Q5641" i="1"/>
  <c r="Q5640" i="1"/>
  <c r="Q5639" i="1"/>
  <c r="Q5638" i="1"/>
  <c r="Q5637" i="1"/>
  <c r="Q5636" i="1"/>
  <c r="Q5635" i="1"/>
  <c r="Q5634" i="1"/>
  <c r="Q5633" i="1"/>
  <c r="Q5632" i="1"/>
  <c r="Q5631" i="1"/>
  <c r="Q5630" i="1"/>
  <c r="Q5629" i="1"/>
  <c r="Q5628" i="1"/>
  <c r="Q5627" i="1"/>
  <c r="Q5626" i="1"/>
  <c r="Q5625" i="1"/>
  <c r="Q5624" i="1"/>
  <c r="Q5623" i="1"/>
  <c r="Q5622" i="1"/>
  <c r="Q5621" i="1"/>
  <c r="Q5620" i="1"/>
  <c r="Q5619" i="1"/>
  <c r="Q5618" i="1"/>
  <c r="Q5617" i="1"/>
  <c r="Q5616" i="1"/>
  <c r="Q5615" i="1"/>
  <c r="Q5614" i="1"/>
  <c r="Q5613" i="1"/>
  <c r="Q5612" i="1"/>
  <c r="Q5611" i="1"/>
  <c r="Q5610" i="1"/>
  <c r="Q5609" i="1"/>
  <c r="Q5608" i="1"/>
  <c r="Q5607" i="1"/>
  <c r="Q5606" i="1"/>
  <c r="Q5605" i="1"/>
  <c r="Q5604" i="1"/>
  <c r="Q5603" i="1"/>
  <c r="Q5602" i="1"/>
  <c r="Q5601" i="1"/>
  <c r="Q5600" i="1"/>
  <c r="Q5599" i="1"/>
  <c r="Q5598" i="1"/>
  <c r="Q5597" i="1"/>
  <c r="Q5596" i="1"/>
  <c r="Q5595" i="1"/>
  <c r="Q5594" i="1"/>
  <c r="Q5593" i="1"/>
  <c r="Q5592" i="1"/>
  <c r="Q5591" i="1"/>
  <c r="Q5590" i="1"/>
  <c r="Q5589" i="1"/>
  <c r="Q5588" i="1"/>
  <c r="Q5587" i="1"/>
  <c r="Q5586" i="1"/>
  <c r="Q5585" i="1"/>
  <c r="Q5584" i="1"/>
  <c r="Q5583" i="1"/>
  <c r="Q5582" i="1"/>
  <c r="Q5581" i="1"/>
  <c r="Q5580" i="1"/>
  <c r="Q5579" i="1"/>
  <c r="Q5578" i="1"/>
  <c r="Q5577" i="1"/>
  <c r="Q5576" i="1"/>
  <c r="Q5575" i="1"/>
  <c r="Q5574" i="1"/>
  <c r="Q5573" i="1"/>
  <c r="Q5572" i="1"/>
  <c r="Q5571" i="1"/>
  <c r="Q5570" i="1"/>
  <c r="Q5569" i="1"/>
  <c r="Q5568" i="1"/>
  <c r="Q5567" i="1"/>
  <c r="Q5566" i="1"/>
  <c r="Q5565" i="1"/>
  <c r="Q5564" i="1"/>
  <c r="Q5563" i="1"/>
  <c r="Q5562" i="1"/>
  <c r="Q5561" i="1"/>
  <c r="Q5560" i="1"/>
  <c r="Q5559" i="1"/>
  <c r="Q5558" i="1"/>
  <c r="Q5557" i="1"/>
  <c r="Q5556" i="1"/>
  <c r="Q5555" i="1"/>
  <c r="Q5554" i="1"/>
  <c r="Q5553" i="1"/>
  <c r="Q5552" i="1"/>
  <c r="Q5551" i="1"/>
  <c r="Q5550" i="1"/>
  <c r="Q5549" i="1"/>
  <c r="Q5548" i="1"/>
  <c r="Q5547" i="1"/>
  <c r="Q5546" i="1"/>
  <c r="Q5545" i="1"/>
  <c r="Q5544" i="1"/>
  <c r="Q5543" i="1"/>
  <c r="Q5542" i="1"/>
  <c r="Q5541" i="1"/>
  <c r="Q5540" i="1"/>
  <c r="Q5539" i="1"/>
  <c r="Q5538" i="1"/>
  <c r="Q5537" i="1"/>
  <c r="Q5536" i="1"/>
  <c r="Q5535" i="1"/>
  <c r="Q5534" i="1"/>
  <c r="Q5533" i="1"/>
  <c r="Q5532" i="1"/>
  <c r="Q5531" i="1"/>
  <c r="Q5530" i="1"/>
  <c r="Q5529" i="1"/>
  <c r="Q5528" i="1"/>
  <c r="Q5527" i="1"/>
  <c r="Q5526" i="1"/>
  <c r="Q5525" i="1"/>
  <c r="Q5524" i="1"/>
  <c r="Q5523" i="1"/>
  <c r="Q5522" i="1"/>
  <c r="Q5521" i="1"/>
  <c r="Q5520" i="1"/>
  <c r="Q5519" i="1"/>
  <c r="Q5518" i="1"/>
  <c r="Q5517" i="1"/>
  <c r="Q5516" i="1"/>
  <c r="Q5515" i="1"/>
  <c r="Q5514" i="1"/>
  <c r="Q5513" i="1"/>
  <c r="Q5512" i="1"/>
  <c r="Q5511" i="1"/>
  <c r="Q5510" i="1"/>
  <c r="Q5509" i="1"/>
  <c r="Q5508" i="1"/>
  <c r="Q5507" i="1"/>
  <c r="Q5506" i="1"/>
  <c r="Q5505" i="1"/>
  <c r="Q5504" i="1"/>
  <c r="Q5503" i="1"/>
  <c r="Q5502" i="1"/>
  <c r="Q5501" i="1"/>
  <c r="Q5500" i="1"/>
  <c r="Q5499" i="1"/>
  <c r="Q5498" i="1"/>
  <c r="Q5497" i="1"/>
  <c r="Q5496" i="1"/>
  <c r="Q5495" i="1"/>
  <c r="Q5494" i="1"/>
  <c r="Q5493" i="1"/>
  <c r="Q5492" i="1"/>
  <c r="Q5491" i="1"/>
  <c r="Q5490" i="1"/>
  <c r="Q5489" i="1"/>
  <c r="Q5488" i="1"/>
  <c r="Q5487" i="1"/>
  <c r="Q5486" i="1"/>
  <c r="Q5485" i="1"/>
  <c r="Q5484" i="1"/>
  <c r="Q5483" i="1"/>
  <c r="Q5482" i="1"/>
  <c r="Q5481" i="1"/>
  <c r="Q5480" i="1"/>
  <c r="Q5479" i="1"/>
  <c r="Q5478" i="1"/>
  <c r="Q5477" i="1"/>
  <c r="Q5476" i="1"/>
  <c r="Q5475" i="1"/>
  <c r="Q5474" i="1"/>
  <c r="Q5473" i="1"/>
  <c r="Q5472" i="1"/>
  <c r="Q5471" i="1"/>
  <c r="Q5470" i="1"/>
  <c r="Q5469" i="1"/>
  <c r="Q5468" i="1"/>
  <c r="Q5467" i="1"/>
  <c r="Q5466" i="1"/>
  <c r="Q5465" i="1"/>
  <c r="Q5464" i="1"/>
  <c r="Q5463" i="1"/>
  <c r="Q5462" i="1"/>
  <c r="Q5461" i="1"/>
  <c r="Q5460" i="1"/>
  <c r="Q5459" i="1"/>
  <c r="Q5458" i="1"/>
  <c r="Q5457" i="1"/>
  <c r="Q5456" i="1"/>
  <c r="Q5455" i="1"/>
  <c r="Q5454" i="1"/>
  <c r="Q5453" i="1"/>
  <c r="Q5452" i="1"/>
  <c r="Q5451" i="1"/>
  <c r="Q5450" i="1"/>
  <c r="Q5449" i="1"/>
  <c r="Q5448" i="1"/>
  <c r="Q5447" i="1"/>
  <c r="Q5446" i="1"/>
  <c r="Q5445" i="1"/>
  <c r="Q5444" i="1"/>
  <c r="Q5443" i="1"/>
  <c r="Q5442" i="1"/>
  <c r="Q5441" i="1"/>
  <c r="Q5440" i="1"/>
  <c r="Q5439" i="1"/>
  <c r="Q5438" i="1"/>
  <c r="Q5437" i="1"/>
  <c r="Q5436" i="1"/>
  <c r="Q5435" i="1"/>
  <c r="Q5434" i="1"/>
  <c r="Q5433" i="1"/>
  <c r="Q5432" i="1"/>
  <c r="Q5431" i="1"/>
  <c r="Q5430" i="1"/>
  <c r="Q5429" i="1"/>
  <c r="Q5428" i="1"/>
  <c r="Q5427" i="1"/>
  <c r="Q5426" i="1"/>
  <c r="Q5425" i="1"/>
  <c r="Q5424" i="1"/>
  <c r="Q5423" i="1"/>
  <c r="Q5422" i="1"/>
  <c r="Q5421" i="1"/>
  <c r="Q5420" i="1"/>
  <c r="Q5419" i="1"/>
  <c r="Q5418" i="1"/>
  <c r="Q5417" i="1"/>
  <c r="Q5416" i="1"/>
  <c r="Q5415" i="1"/>
  <c r="Q5414" i="1"/>
  <c r="Q5413" i="1"/>
  <c r="Q5412" i="1"/>
  <c r="Q5411" i="1"/>
  <c r="Q5410" i="1"/>
  <c r="Q5409" i="1"/>
  <c r="Q5408" i="1"/>
  <c r="Q5407" i="1"/>
  <c r="Q5406" i="1"/>
  <c r="Q5405" i="1"/>
  <c r="Q5404" i="1"/>
  <c r="Q5403" i="1"/>
  <c r="Q5402" i="1"/>
  <c r="Q5401" i="1"/>
  <c r="Q5400" i="1"/>
  <c r="Q5399" i="1"/>
  <c r="Q5398" i="1"/>
  <c r="Q5397" i="1"/>
  <c r="Q5396" i="1"/>
  <c r="Q5395" i="1"/>
  <c r="Q5394" i="1"/>
  <c r="Q5393" i="1"/>
  <c r="Q5392" i="1"/>
  <c r="Q5391" i="1"/>
  <c r="Q5390" i="1"/>
  <c r="Q5389" i="1"/>
  <c r="Q5388" i="1"/>
  <c r="Q5387" i="1"/>
  <c r="Q5386" i="1"/>
  <c r="Q5385" i="1"/>
  <c r="Q5384" i="1"/>
  <c r="Q5383" i="1"/>
  <c r="Q5382" i="1"/>
  <c r="Q5381" i="1"/>
  <c r="Q5380" i="1"/>
  <c r="Q5379" i="1"/>
  <c r="Q5378" i="1"/>
  <c r="Q5377" i="1"/>
  <c r="Q5376" i="1"/>
  <c r="Q5375" i="1"/>
  <c r="Q5374" i="1"/>
  <c r="Q5373" i="1"/>
  <c r="Q5372" i="1"/>
  <c r="Q5371" i="1"/>
  <c r="Q5370" i="1"/>
  <c r="Q5369" i="1"/>
  <c r="Q5368" i="1"/>
  <c r="Q5367" i="1"/>
  <c r="Q5366" i="1"/>
  <c r="Q5365" i="1"/>
  <c r="Q5364" i="1"/>
  <c r="Q5363" i="1"/>
  <c r="Q5362" i="1"/>
  <c r="Q5361" i="1"/>
  <c r="Q5360" i="1"/>
  <c r="Q5359" i="1"/>
  <c r="Q5358" i="1"/>
  <c r="Q5357" i="1"/>
  <c r="Q5356" i="1"/>
  <c r="Q5355" i="1"/>
  <c r="Q5354" i="1"/>
  <c r="Q5353" i="1"/>
  <c r="Q5352" i="1"/>
  <c r="Q5351" i="1"/>
  <c r="Q5350" i="1"/>
  <c r="Q5349" i="1"/>
  <c r="Q5348" i="1"/>
  <c r="Q5347" i="1"/>
  <c r="Q5346" i="1"/>
  <c r="Q5345" i="1"/>
  <c r="Q5344" i="1"/>
  <c r="Q5343" i="1"/>
  <c r="Q5342" i="1"/>
  <c r="Q5341" i="1"/>
  <c r="Q5340" i="1"/>
  <c r="Q5339" i="1"/>
  <c r="Q5338" i="1"/>
  <c r="Q5337" i="1"/>
  <c r="Q5336" i="1"/>
  <c r="Q5335" i="1"/>
  <c r="Q5334" i="1"/>
  <c r="Q5333" i="1"/>
  <c r="Q5332" i="1"/>
  <c r="Q5331" i="1"/>
  <c r="Q5330" i="1"/>
  <c r="Q5329" i="1"/>
  <c r="Q5328" i="1"/>
  <c r="Q5327" i="1"/>
  <c r="Q5326" i="1"/>
  <c r="Q5325" i="1"/>
  <c r="Q5324" i="1"/>
  <c r="Q5323" i="1"/>
  <c r="Q5322" i="1"/>
  <c r="Q5321" i="1"/>
  <c r="Q5320" i="1"/>
  <c r="Q5319" i="1"/>
  <c r="Q5318" i="1"/>
  <c r="Q5317" i="1"/>
  <c r="Q5316" i="1"/>
  <c r="Q5315" i="1"/>
  <c r="Q5314" i="1"/>
  <c r="Q5313" i="1"/>
  <c r="Q5312" i="1"/>
  <c r="Q5311" i="1"/>
  <c r="Q5310" i="1"/>
  <c r="Q5309" i="1"/>
  <c r="Q5308" i="1"/>
  <c r="Q5307" i="1"/>
  <c r="Q5306" i="1"/>
  <c r="Q5305" i="1"/>
  <c r="Q5304" i="1"/>
  <c r="Q5303" i="1"/>
  <c r="Q5302" i="1"/>
  <c r="Q5301" i="1"/>
  <c r="Q5300" i="1"/>
  <c r="Q5299" i="1"/>
  <c r="Q5298" i="1"/>
  <c r="Q5297" i="1"/>
  <c r="Q5296" i="1"/>
  <c r="Q5295" i="1"/>
  <c r="Q5294" i="1"/>
  <c r="Q5293" i="1"/>
  <c r="Q5292" i="1"/>
  <c r="Q5291" i="1"/>
  <c r="Q5290" i="1"/>
  <c r="Q5289" i="1"/>
  <c r="Q5288" i="1"/>
  <c r="Q5287" i="1"/>
  <c r="Q5286" i="1"/>
  <c r="Q5285" i="1"/>
  <c r="Q5284" i="1"/>
  <c r="Q5283" i="1"/>
  <c r="Q5282" i="1"/>
  <c r="Q5281" i="1"/>
  <c r="Q5280" i="1"/>
  <c r="Q5279" i="1"/>
  <c r="Q5278" i="1"/>
  <c r="Q5277" i="1"/>
  <c r="Q5276" i="1"/>
  <c r="Q5275" i="1"/>
  <c r="Q5274" i="1"/>
  <c r="Q5273" i="1"/>
  <c r="Q5272" i="1"/>
  <c r="Q5271" i="1"/>
  <c r="Q5270" i="1"/>
  <c r="Q5269" i="1"/>
  <c r="Q5268" i="1"/>
  <c r="Q5267" i="1"/>
  <c r="Q5266" i="1"/>
  <c r="Q5265" i="1"/>
  <c r="Q5264" i="1"/>
  <c r="Q5263" i="1"/>
  <c r="Q5262" i="1"/>
  <c r="Q5261" i="1"/>
  <c r="Q5260" i="1"/>
  <c r="Q5259" i="1"/>
  <c r="Q5258" i="1"/>
  <c r="Q5257" i="1"/>
  <c r="Q5256" i="1"/>
  <c r="Q5255" i="1"/>
  <c r="Q5254" i="1"/>
  <c r="Q5253" i="1"/>
  <c r="Q5252" i="1"/>
  <c r="Q5251" i="1"/>
  <c r="Q5250" i="1"/>
  <c r="Q5249" i="1"/>
  <c r="Q5248" i="1"/>
  <c r="Q5247" i="1"/>
  <c r="Q5246" i="1"/>
  <c r="Q5245" i="1"/>
  <c r="Q5244" i="1"/>
  <c r="Q5243" i="1"/>
  <c r="Q5242" i="1"/>
  <c r="Q5241" i="1"/>
  <c r="Q5240" i="1"/>
  <c r="Q5239" i="1"/>
  <c r="Q5238" i="1"/>
  <c r="Q5237" i="1"/>
  <c r="Q5236" i="1"/>
  <c r="Q5235" i="1"/>
  <c r="Q5234" i="1"/>
  <c r="Q5233" i="1"/>
  <c r="Q5232" i="1"/>
  <c r="Q5231" i="1"/>
  <c r="Q5230" i="1"/>
  <c r="Q5229" i="1"/>
  <c r="Q5228" i="1"/>
  <c r="Q5227" i="1"/>
  <c r="Q5226" i="1"/>
  <c r="Q5225" i="1"/>
  <c r="Q5224" i="1"/>
  <c r="Q5223" i="1"/>
  <c r="Q5222" i="1"/>
  <c r="Q5221" i="1"/>
  <c r="Q5220" i="1"/>
  <c r="Q5219" i="1"/>
  <c r="Q5218" i="1"/>
  <c r="Q5217" i="1"/>
  <c r="Q5216" i="1"/>
  <c r="Q5215" i="1"/>
  <c r="Q5214" i="1"/>
  <c r="Q5213" i="1"/>
  <c r="Q5212" i="1"/>
  <c r="Q5211" i="1"/>
  <c r="Q5210" i="1"/>
  <c r="Q5209" i="1"/>
  <c r="Q5208" i="1"/>
  <c r="Q5207" i="1"/>
  <c r="Q5206" i="1"/>
  <c r="Q5205" i="1"/>
  <c r="Q5204" i="1"/>
  <c r="Q5203" i="1"/>
  <c r="Q5202" i="1"/>
  <c r="Q5201" i="1"/>
  <c r="Q5200" i="1"/>
  <c r="Q5199" i="1"/>
  <c r="Q5198" i="1"/>
  <c r="Q5197" i="1"/>
  <c r="Q5196" i="1"/>
  <c r="Q5195" i="1"/>
  <c r="Q5194" i="1"/>
  <c r="Q5193" i="1"/>
  <c r="Q5192" i="1"/>
  <c r="Q5191" i="1"/>
  <c r="Q5190" i="1"/>
  <c r="Q5189" i="1"/>
  <c r="Q5188" i="1"/>
  <c r="Q5187" i="1"/>
  <c r="Q5186" i="1"/>
  <c r="Q5185" i="1"/>
  <c r="Q5184" i="1"/>
  <c r="Q5183" i="1"/>
  <c r="Q5182" i="1"/>
  <c r="Q5181" i="1"/>
  <c r="Q5180" i="1"/>
  <c r="Q5179" i="1"/>
  <c r="Q5178" i="1"/>
  <c r="Q5177" i="1"/>
  <c r="Q5176" i="1"/>
  <c r="Q5175" i="1"/>
  <c r="Q5174" i="1"/>
  <c r="Q5173" i="1"/>
  <c r="Q5172" i="1"/>
  <c r="Q5171" i="1"/>
  <c r="Q5170" i="1"/>
  <c r="Q5169" i="1"/>
  <c r="Q5168" i="1"/>
  <c r="Q5167" i="1"/>
  <c r="Q5166" i="1"/>
  <c r="Q5165" i="1"/>
  <c r="Q5164" i="1"/>
  <c r="Q5163" i="1"/>
  <c r="Q5162" i="1"/>
  <c r="Q5161" i="1"/>
  <c r="Q5160" i="1"/>
  <c r="Q5159" i="1"/>
  <c r="Q5158" i="1"/>
  <c r="Q5157" i="1"/>
  <c r="Q5156" i="1"/>
  <c r="Q5155" i="1"/>
  <c r="Q5154" i="1"/>
  <c r="Q5153" i="1"/>
  <c r="Q5152" i="1"/>
  <c r="Q5151" i="1"/>
  <c r="Q5150" i="1"/>
  <c r="Q5149" i="1"/>
  <c r="Q5148" i="1"/>
  <c r="Q5147" i="1"/>
  <c r="Q5146" i="1"/>
  <c r="Q5145" i="1"/>
  <c r="Q5144" i="1"/>
  <c r="Q5143" i="1"/>
  <c r="Q5142" i="1"/>
  <c r="Q5141" i="1"/>
  <c r="Q5140" i="1"/>
  <c r="Q5139" i="1"/>
  <c r="Q5138" i="1"/>
  <c r="Q5137" i="1"/>
  <c r="Q5136" i="1"/>
  <c r="Q5135" i="1"/>
  <c r="Q5134" i="1"/>
  <c r="Q5133" i="1"/>
  <c r="Q5132" i="1"/>
  <c r="Q5131" i="1"/>
  <c r="Q5130" i="1"/>
  <c r="Q5129" i="1"/>
  <c r="Q5128" i="1"/>
  <c r="Q5127" i="1"/>
  <c r="Q5126" i="1"/>
  <c r="Q5125" i="1"/>
  <c r="Q5124" i="1"/>
  <c r="Q5123" i="1"/>
  <c r="Q5122" i="1"/>
  <c r="Q5121" i="1"/>
  <c r="Q5120" i="1"/>
  <c r="Q5119" i="1"/>
  <c r="Q5118" i="1"/>
  <c r="Q5117" i="1"/>
  <c r="Q5116" i="1"/>
  <c r="Q5115" i="1"/>
  <c r="Q5114" i="1"/>
  <c r="Q5113" i="1"/>
  <c r="Q5112" i="1"/>
  <c r="Q5111" i="1"/>
  <c r="Q5110" i="1"/>
  <c r="Q5109" i="1"/>
  <c r="Q5108" i="1"/>
  <c r="Q5107" i="1"/>
  <c r="Q5106" i="1"/>
  <c r="Q5105" i="1"/>
  <c r="Q5104" i="1"/>
  <c r="Q5103" i="1"/>
  <c r="Q5102" i="1"/>
  <c r="Q5101" i="1"/>
  <c r="Q5100" i="1"/>
  <c r="Q5099" i="1"/>
  <c r="Q5098" i="1"/>
  <c r="Q5097" i="1"/>
  <c r="Q5096" i="1"/>
  <c r="Q5095" i="1"/>
  <c r="Q5094" i="1"/>
  <c r="Q5093" i="1"/>
  <c r="Q5092" i="1"/>
  <c r="Q5091" i="1"/>
  <c r="Q5090" i="1"/>
  <c r="Q5089" i="1"/>
  <c r="Q5088" i="1"/>
  <c r="Q5087" i="1"/>
  <c r="Q5086" i="1"/>
  <c r="Q5085" i="1"/>
  <c r="Q5084" i="1"/>
  <c r="Q5083" i="1"/>
  <c r="Q5082" i="1"/>
  <c r="Q5081" i="1"/>
  <c r="Q5080" i="1"/>
  <c r="Q5079" i="1"/>
  <c r="Q5078" i="1"/>
  <c r="Q5077" i="1"/>
  <c r="Q5076" i="1"/>
  <c r="Q5075" i="1"/>
  <c r="Q5074" i="1"/>
  <c r="Q5073" i="1"/>
  <c r="Q5072" i="1"/>
  <c r="Q5071" i="1"/>
  <c r="Q5070" i="1"/>
  <c r="Q5069" i="1"/>
  <c r="Q5068" i="1"/>
  <c r="Q5067" i="1"/>
  <c r="Q5066" i="1"/>
  <c r="Q5065" i="1"/>
  <c r="Q5064" i="1"/>
  <c r="Q5063" i="1"/>
  <c r="Q5062" i="1"/>
  <c r="Q5061" i="1"/>
  <c r="Q5060" i="1"/>
  <c r="Q5059" i="1"/>
  <c r="Q5058" i="1"/>
  <c r="Q5057" i="1"/>
  <c r="Q5056" i="1"/>
  <c r="Q5055" i="1"/>
  <c r="Q5054" i="1"/>
  <c r="Q5053" i="1"/>
  <c r="Q5052" i="1"/>
  <c r="Q5051" i="1"/>
  <c r="Q5050" i="1"/>
  <c r="Q5049" i="1"/>
  <c r="Q5048" i="1"/>
  <c r="Q5047" i="1"/>
  <c r="Q5046" i="1"/>
  <c r="Q5045" i="1"/>
  <c r="Q5044" i="1"/>
  <c r="Q5043" i="1"/>
  <c r="Q5042" i="1"/>
  <c r="Q5041" i="1"/>
  <c r="Q5040" i="1"/>
  <c r="Q5039" i="1"/>
  <c r="Q5038" i="1"/>
  <c r="Q5037" i="1"/>
  <c r="Q5036" i="1"/>
  <c r="Q5035" i="1"/>
  <c r="Q5034" i="1"/>
  <c r="Q5033" i="1"/>
  <c r="Q5032" i="1"/>
  <c r="Q5031" i="1"/>
  <c r="Q5030" i="1"/>
  <c r="Q5029" i="1"/>
  <c r="Q5028" i="1"/>
  <c r="Q5027" i="1"/>
  <c r="Q5026" i="1"/>
  <c r="Q5025" i="1"/>
  <c r="Q5024" i="1"/>
  <c r="Q5023" i="1"/>
  <c r="Q5022" i="1"/>
  <c r="Q5021" i="1"/>
  <c r="Q5020" i="1"/>
  <c r="Q5019" i="1"/>
  <c r="Q5018" i="1"/>
  <c r="Q5017" i="1"/>
  <c r="Q5016" i="1"/>
  <c r="Q5015" i="1"/>
  <c r="Q5014" i="1"/>
  <c r="Q5013" i="1"/>
  <c r="Q5012" i="1"/>
  <c r="Q5011" i="1"/>
  <c r="Q5010" i="1"/>
  <c r="Q5009" i="1"/>
  <c r="Q5008" i="1"/>
  <c r="Q5007" i="1"/>
  <c r="Q5006" i="1"/>
  <c r="Q5005" i="1"/>
  <c r="Q5004" i="1"/>
  <c r="Q5003" i="1"/>
  <c r="Q5002" i="1"/>
  <c r="Q5001" i="1"/>
  <c r="Q5000" i="1"/>
  <c r="Q4999" i="1"/>
  <c r="Q4998" i="1"/>
  <c r="Q4997" i="1"/>
  <c r="Q4996" i="1"/>
  <c r="Q4995" i="1"/>
  <c r="Q4994" i="1"/>
  <c r="Q4993" i="1"/>
  <c r="Q4992" i="1"/>
  <c r="Q4991" i="1"/>
  <c r="Q4990" i="1"/>
  <c r="Q4989" i="1"/>
  <c r="Q4988" i="1"/>
  <c r="Q4987" i="1"/>
  <c r="Q4986" i="1"/>
  <c r="Q4985" i="1"/>
  <c r="Q4984" i="1"/>
  <c r="Q4983" i="1"/>
  <c r="Q4982" i="1"/>
  <c r="Q4981" i="1"/>
  <c r="Q4980" i="1"/>
  <c r="Q4979" i="1"/>
  <c r="Q4978" i="1"/>
  <c r="Q4977" i="1"/>
  <c r="Q4976" i="1"/>
  <c r="Q4975" i="1"/>
  <c r="Q4974" i="1"/>
  <c r="Q4973" i="1"/>
  <c r="Q4972" i="1"/>
  <c r="Q4971" i="1"/>
  <c r="Q4970" i="1"/>
  <c r="Q4969" i="1"/>
  <c r="Q4968" i="1"/>
  <c r="Q4967" i="1"/>
  <c r="Q4966" i="1"/>
  <c r="Q4965" i="1"/>
  <c r="Q4964" i="1"/>
  <c r="Q4963" i="1"/>
  <c r="Q4962" i="1"/>
  <c r="Q4961" i="1"/>
  <c r="Q4960" i="1"/>
  <c r="Q4959" i="1"/>
  <c r="Q4958" i="1"/>
  <c r="Q4957" i="1"/>
  <c r="Q4956" i="1"/>
  <c r="Q4955" i="1"/>
  <c r="Q4954" i="1"/>
  <c r="Q4953" i="1"/>
  <c r="Q4952" i="1"/>
  <c r="Q4951" i="1"/>
  <c r="Q4950" i="1"/>
  <c r="Q4949" i="1"/>
  <c r="Q4948" i="1"/>
  <c r="Q4947" i="1"/>
  <c r="Q4946" i="1"/>
  <c r="Q4945" i="1"/>
  <c r="Q4944" i="1"/>
  <c r="Q4943" i="1"/>
  <c r="Q4942" i="1"/>
  <c r="Q4941" i="1"/>
  <c r="Q4940" i="1"/>
  <c r="Q4939" i="1"/>
  <c r="Q4938" i="1"/>
  <c r="Q4937" i="1"/>
  <c r="Q4936" i="1"/>
  <c r="Q4935" i="1"/>
  <c r="Q4934" i="1"/>
  <c r="Q4933" i="1"/>
  <c r="Q4932" i="1"/>
  <c r="Q4931" i="1"/>
  <c r="Q4930" i="1"/>
  <c r="Q4929" i="1"/>
  <c r="Q4928" i="1"/>
  <c r="Q4927" i="1"/>
  <c r="Q4926" i="1"/>
  <c r="Q4925" i="1"/>
  <c r="Q4924" i="1"/>
  <c r="Q4923" i="1"/>
  <c r="Q4922" i="1"/>
  <c r="Q4921" i="1"/>
  <c r="Q4920" i="1"/>
  <c r="Q4919" i="1"/>
  <c r="Q4918" i="1"/>
  <c r="Q4917" i="1"/>
  <c r="Q4916" i="1"/>
  <c r="Q4915" i="1"/>
  <c r="Q4914" i="1"/>
  <c r="Q4913" i="1"/>
  <c r="Q4912" i="1"/>
  <c r="Q4911" i="1"/>
  <c r="Q4910" i="1"/>
  <c r="Q4909" i="1"/>
  <c r="Q4908" i="1"/>
  <c r="Q4907" i="1"/>
  <c r="Q4906" i="1"/>
  <c r="Q4905" i="1"/>
  <c r="Q4904" i="1"/>
  <c r="Q4903" i="1"/>
  <c r="Q4902" i="1"/>
  <c r="Q4901" i="1"/>
  <c r="Q4900" i="1"/>
  <c r="Q4899" i="1"/>
  <c r="Q4898" i="1"/>
  <c r="Q4897" i="1"/>
  <c r="Q4896" i="1"/>
  <c r="Q4895" i="1"/>
  <c r="Q4894" i="1"/>
  <c r="Q4893" i="1"/>
  <c r="Q4892" i="1"/>
  <c r="Q4891" i="1"/>
  <c r="Q4890" i="1"/>
  <c r="Q4889" i="1"/>
  <c r="Q4888" i="1"/>
  <c r="Q4887" i="1"/>
  <c r="Q4886" i="1"/>
  <c r="Q4885" i="1"/>
  <c r="Q4884" i="1"/>
  <c r="Q4883" i="1"/>
  <c r="Q4882" i="1"/>
  <c r="Q4881" i="1"/>
  <c r="Q4880" i="1"/>
  <c r="Q4879" i="1"/>
  <c r="Q4878" i="1"/>
  <c r="Q4877" i="1"/>
  <c r="Q4876" i="1"/>
  <c r="Q4875" i="1"/>
  <c r="Q4874" i="1"/>
  <c r="Q4873" i="1"/>
  <c r="Q4872" i="1"/>
  <c r="Q4871" i="1"/>
  <c r="Q4870" i="1"/>
  <c r="Q4869" i="1"/>
  <c r="Q4868" i="1"/>
  <c r="Q4867" i="1"/>
  <c r="Q4866" i="1"/>
  <c r="Q4865" i="1"/>
  <c r="Q4864" i="1"/>
  <c r="Q4863" i="1"/>
  <c r="Q4862" i="1"/>
  <c r="Q4861" i="1"/>
  <c r="Q4860" i="1"/>
  <c r="Q4859" i="1"/>
  <c r="Q4858" i="1"/>
  <c r="Q4857" i="1"/>
  <c r="Q4856" i="1"/>
  <c r="Q4855" i="1"/>
  <c r="Q4854" i="1"/>
  <c r="Q4853" i="1"/>
  <c r="Q4852" i="1"/>
  <c r="Q4851" i="1"/>
  <c r="Q4850" i="1"/>
  <c r="Q4849" i="1"/>
  <c r="Q4848" i="1"/>
  <c r="Q4847" i="1"/>
  <c r="Q4846" i="1"/>
  <c r="Q4845" i="1"/>
  <c r="Q4844" i="1"/>
  <c r="Q4843" i="1"/>
  <c r="Q4842" i="1"/>
  <c r="Q4841" i="1"/>
  <c r="Q4840" i="1"/>
  <c r="Q4839" i="1"/>
  <c r="Q4838" i="1"/>
  <c r="Q4837" i="1"/>
  <c r="Q4836" i="1"/>
  <c r="Q4835" i="1"/>
  <c r="Q4834" i="1"/>
  <c r="Q4833" i="1"/>
  <c r="Q4832" i="1"/>
  <c r="Q4831" i="1"/>
  <c r="Q4830" i="1"/>
  <c r="Q4829" i="1"/>
  <c r="Q4828" i="1"/>
  <c r="Q4827" i="1"/>
  <c r="Q4826" i="1"/>
  <c r="Q4825" i="1"/>
  <c r="Q4824" i="1"/>
  <c r="Q4823" i="1"/>
  <c r="Q4822" i="1"/>
  <c r="Q4821" i="1"/>
  <c r="Q4820" i="1"/>
  <c r="Q4819" i="1"/>
  <c r="Q4818" i="1"/>
  <c r="Q4817" i="1"/>
  <c r="Q4816" i="1"/>
  <c r="Q4815" i="1"/>
  <c r="Q4814" i="1"/>
  <c r="Q4813" i="1"/>
  <c r="Q4812" i="1"/>
  <c r="Q4811" i="1"/>
  <c r="Q4810" i="1"/>
  <c r="Q4809" i="1"/>
  <c r="Q4808" i="1"/>
  <c r="Q4807" i="1"/>
  <c r="Q4806" i="1"/>
  <c r="Q4805" i="1"/>
  <c r="Q4804" i="1"/>
  <c r="Q4803" i="1"/>
  <c r="Q4802" i="1"/>
  <c r="Q4801" i="1"/>
  <c r="Q4800" i="1"/>
  <c r="Q4799" i="1"/>
  <c r="Q4798" i="1"/>
  <c r="Q4797" i="1"/>
  <c r="Q4796" i="1"/>
  <c r="Q4795" i="1"/>
  <c r="Q4794" i="1"/>
  <c r="Q4793" i="1"/>
  <c r="Q4792" i="1"/>
  <c r="Q4791" i="1"/>
  <c r="Q4790" i="1"/>
  <c r="Q4789" i="1"/>
  <c r="Q4788" i="1"/>
  <c r="Q4787" i="1"/>
  <c r="Q4786" i="1"/>
  <c r="Q4785" i="1"/>
  <c r="Q4784" i="1"/>
  <c r="Q4783" i="1"/>
  <c r="Q4782" i="1"/>
  <c r="Q4781" i="1"/>
  <c r="Q4780" i="1"/>
  <c r="Q4779" i="1"/>
  <c r="Q4778" i="1"/>
  <c r="Q4777" i="1"/>
  <c r="Q4776" i="1"/>
  <c r="Q4775" i="1"/>
  <c r="Q4774" i="1"/>
  <c r="Q4773" i="1"/>
  <c r="Q4772" i="1"/>
  <c r="Q4771" i="1"/>
  <c r="Q4770" i="1"/>
  <c r="Q4769" i="1"/>
  <c r="Q4768" i="1"/>
  <c r="Q4767" i="1"/>
  <c r="Q4766" i="1"/>
  <c r="Q4765" i="1"/>
  <c r="Q4764" i="1"/>
  <c r="Q4763" i="1"/>
  <c r="Q4762" i="1"/>
  <c r="Q4761" i="1"/>
  <c r="Q4760" i="1"/>
  <c r="Q4759" i="1"/>
  <c r="Q4758" i="1"/>
  <c r="Q4757" i="1"/>
  <c r="Q4756" i="1"/>
  <c r="Q4755" i="1"/>
  <c r="Q4754" i="1"/>
  <c r="Q4753" i="1"/>
  <c r="Q4752" i="1"/>
  <c r="Q4751" i="1"/>
  <c r="Q4750" i="1"/>
  <c r="Q4749" i="1"/>
  <c r="Q4748" i="1"/>
  <c r="Q4747" i="1"/>
  <c r="Q4746" i="1"/>
  <c r="Q4745" i="1"/>
  <c r="Q4744" i="1"/>
  <c r="Q4743" i="1"/>
  <c r="Q4742" i="1"/>
  <c r="Q4741" i="1"/>
  <c r="Q4740" i="1"/>
  <c r="Q4739" i="1"/>
  <c r="Q4738" i="1"/>
  <c r="Q4737" i="1"/>
  <c r="Q4736" i="1"/>
  <c r="Q4735" i="1"/>
  <c r="Q4734" i="1"/>
  <c r="Q4733" i="1"/>
  <c r="Q4732" i="1"/>
  <c r="Q4731" i="1"/>
  <c r="Q4730" i="1"/>
  <c r="Q4729" i="1"/>
  <c r="Q4728" i="1"/>
  <c r="Q4727" i="1"/>
  <c r="Q4726" i="1"/>
  <c r="Q4725" i="1"/>
  <c r="Q4724" i="1"/>
  <c r="Q4723" i="1"/>
  <c r="Q4722" i="1"/>
  <c r="Q4721" i="1"/>
  <c r="Q4720" i="1"/>
  <c r="Q4719" i="1"/>
  <c r="Q4718" i="1"/>
  <c r="Q4717" i="1"/>
  <c r="Q4716" i="1"/>
  <c r="Q4715" i="1"/>
  <c r="Q4714" i="1"/>
  <c r="Q4713" i="1"/>
  <c r="Q4712" i="1"/>
  <c r="Q4711" i="1"/>
  <c r="Q4710" i="1"/>
  <c r="Q4709" i="1"/>
  <c r="Q4708" i="1"/>
  <c r="Q4707" i="1"/>
  <c r="Q4706" i="1"/>
  <c r="Q4705" i="1"/>
  <c r="Q4704" i="1"/>
  <c r="Q4703" i="1"/>
  <c r="Q4702" i="1"/>
  <c r="Q4701" i="1"/>
  <c r="Q4700" i="1"/>
  <c r="Q4699" i="1"/>
  <c r="Q4698" i="1"/>
  <c r="Q4697" i="1"/>
  <c r="Q4696" i="1"/>
  <c r="Q4695" i="1"/>
  <c r="Q4694" i="1"/>
  <c r="Q4693" i="1"/>
  <c r="Q4692" i="1"/>
  <c r="Q4691" i="1"/>
  <c r="Q4690" i="1"/>
  <c r="Q4689" i="1"/>
  <c r="Q4688" i="1"/>
  <c r="Q4687" i="1"/>
  <c r="Q4686" i="1"/>
  <c r="Q4685" i="1"/>
  <c r="Q4684" i="1"/>
  <c r="Q4683" i="1"/>
  <c r="Q4682" i="1"/>
  <c r="Q4681" i="1"/>
  <c r="Q4680" i="1"/>
  <c r="Q4679" i="1"/>
  <c r="Q4678" i="1"/>
  <c r="Q4677" i="1"/>
  <c r="Q4676" i="1"/>
  <c r="Q4675" i="1"/>
  <c r="Q4674" i="1"/>
  <c r="Q4673" i="1"/>
  <c r="Q4672" i="1"/>
  <c r="Q4671" i="1"/>
  <c r="Q4670" i="1"/>
  <c r="Q4669" i="1"/>
  <c r="Q4668" i="1"/>
  <c r="Q4667" i="1"/>
  <c r="Q4666" i="1"/>
  <c r="Q4665" i="1"/>
  <c r="Q4664" i="1"/>
  <c r="Q4663" i="1"/>
  <c r="Q4662" i="1"/>
  <c r="Q4661" i="1"/>
  <c r="Q4660" i="1"/>
  <c r="Q4659" i="1"/>
  <c r="Q4658" i="1"/>
  <c r="Q4657" i="1"/>
  <c r="Q4656" i="1"/>
  <c r="Q4655" i="1"/>
  <c r="Q4654" i="1"/>
  <c r="Q4653" i="1"/>
  <c r="Q4652" i="1"/>
  <c r="Q4651" i="1"/>
  <c r="Q4650" i="1"/>
  <c r="Q4649" i="1"/>
  <c r="Q4648" i="1"/>
  <c r="Q4647" i="1"/>
  <c r="Q4646" i="1"/>
  <c r="Q4645" i="1"/>
  <c r="Q4644" i="1"/>
  <c r="Q4643" i="1"/>
  <c r="Q4642" i="1"/>
  <c r="Q4641" i="1"/>
  <c r="Q4640" i="1"/>
  <c r="Q4639" i="1"/>
  <c r="Q4638" i="1"/>
  <c r="Q4637" i="1"/>
  <c r="Q4636" i="1"/>
  <c r="Q4635" i="1"/>
  <c r="Q4634" i="1"/>
  <c r="Q4633" i="1"/>
  <c r="Q4632" i="1"/>
  <c r="Q4631" i="1"/>
  <c r="Q4630" i="1"/>
  <c r="Q4629" i="1"/>
  <c r="Q4628" i="1"/>
  <c r="Q4627" i="1"/>
  <c r="Q4626" i="1"/>
  <c r="Q4625" i="1"/>
  <c r="Q4624" i="1"/>
  <c r="Q4623" i="1"/>
  <c r="Q4622" i="1"/>
  <c r="Q4621" i="1"/>
  <c r="Q4620" i="1"/>
  <c r="Q4619" i="1"/>
  <c r="Q4618" i="1"/>
  <c r="Q4617" i="1"/>
  <c r="Q4616" i="1"/>
  <c r="Q4615" i="1"/>
  <c r="Q4614" i="1"/>
  <c r="Q4613" i="1"/>
  <c r="Q4612" i="1"/>
  <c r="Q4611" i="1"/>
  <c r="Q4610" i="1"/>
  <c r="Q4609" i="1"/>
  <c r="Q4608" i="1"/>
  <c r="Q4607" i="1"/>
  <c r="Q4606" i="1"/>
  <c r="Q4605" i="1"/>
  <c r="Q4604" i="1"/>
  <c r="Q4603" i="1"/>
  <c r="Q4602" i="1"/>
  <c r="Q4601" i="1"/>
  <c r="Q4600" i="1"/>
  <c r="Q4599" i="1"/>
  <c r="Q4598" i="1"/>
  <c r="Q4597" i="1"/>
  <c r="Q4596" i="1"/>
  <c r="Q4595" i="1"/>
  <c r="Q4594" i="1"/>
  <c r="Q4593" i="1"/>
  <c r="Q4592" i="1"/>
  <c r="Q4591" i="1"/>
  <c r="Q4590" i="1"/>
  <c r="Q4589" i="1"/>
  <c r="Q4588" i="1"/>
  <c r="Q4587" i="1"/>
  <c r="Q4586" i="1"/>
  <c r="Q4585" i="1"/>
  <c r="Q4584" i="1"/>
  <c r="Q4583" i="1"/>
  <c r="Q4582" i="1"/>
  <c r="Q4581" i="1"/>
  <c r="Q4580" i="1"/>
  <c r="Q4579" i="1"/>
  <c r="Q4578" i="1"/>
  <c r="Q4577" i="1"/>
  <c r="Q4576" i="1"/>
  <c r="Q4575" i="1"/>
  <c r="Q4574" i="1"/>
  <c r="Q4573" i="1"/>
  <c r="Q4572" i="1"/>
  <c r="Q4571" i="1"/>
  <c r="Q4570" i="1"/>
  <c r="Q4569" i="1"/>
  <c r="Q4568" i="1"/>
  <c r="Q4567" i="1"/>
  <c r="Q4566" i="1"/>
  <c r="Q4565" i="1"/>
  <c r="Q4564" i="1"/>
  <c r="Q4563" i="1"/>
  <c r="Q4562" i="1"/>
  <c r="Q4561" i="1"/>
  <c r="Q4560" i="1"/>
  <c r="Q4559" i="1"/>
  <c r="Q4558" i="1"/>
  <c r="Q4557" i="1"/>
  <c r="Q4556" i="1"/>
  <c r="Q4555" i="1"/>
  <c r="Q4554" i="1"/>
  <c r="Q4553" i="1"/>
  <c r="Q4552" i="1"/>
  <c r="Q4551" i="1"/>
  <c r="Q4550" i="1"/>
  <c r="Q4549" i="1"/>
  <c r="Q4548" i="1"/>
  <c r="Q4547" i="1"/>
  <c r="Q4546" i="1"/>
  <c r="Q4545" i="1"/>
  <c r="Q4544" i="1"/>
  <c r="Q4543" i="1"/>
  <c r="Q4542" i="1"/>
  <c r="Q4541" i="1"/>
  <c r="Q4540" i="1"/>
  <c r="Q4539" i="1"/>
  <c r="Q4538" i="1"/>
  <c r="Q4537" i="1"/>
  <c r="Q4536" i="1"/>
  <c r="Q4535" i="1"/>
  <c r="Q4534" i="1"/>
  <c r="Q4533" i="1"/>
  <c r="Q4532" i="1"/>
  <c r="Q4531" i="1"/>
  <c r="Q4530" i="1"/>
  <c r="Q4529" i="1"/>
  <c r="Q4528" i="1"/>
  <c r="Q4527" i="1"/>
  <c r="Q4526" i="1"/>
  <c r="Q4525" i="1"/>
  <c r="Q4524" i="1"/>
  <c r="Q4523" i="1"/>
  <c r="Q4522" i="1"/>
  <c r="Q4521" i="1"/>
  <c r="Q4520" i="1"/>
  <c r="Q4519" i="1"/>
  <c r="Q4518" i="1"/>
  <c r="Q4517" i="1"/>
  <c r="Q4516" i="1"/>
  <c r="Q4515" i="1"/>
  <c r="Q4514" i="1"/>
  <c r="Q4513" i="1"/>
  <c r="Q4512" i="1"/>
  <c r="Q4511" i="1"/>
  <c r="Q4510" i="1"/>
  <c r="Q4509" i="1"/>
  <c r="Q4508" i="1"/>
  <c r="Q4507" i="1"/>
  <c r="Q4506" i="1"/>
  <c r="Q4505" i="1"/>
  <c r="Q4504" i="1"/>
  <c r="Q4503" i="1"/>
  <c r="Q4502" i="1"/>
  <c r="Q4501" i="1"/>
  <c r="Q4500" i="1"/>
  <c r="Q4499" i="1"/>
  <c r="Q4498" i="1"/>
  <c r="Q4497" i="1"/>
  <c r="Q4496" i="1"/>
  <c r="Q4495" i="1"/>
  <c r="Q4494" i="1"/>
  <c r="Q4493" i="1"/>
  <c r="Q4492" i="1"/>
  <c r="Q4491" i="1"/>
  <c r="Q4490" i="1"/>
  <c r="Q4489" i="1"/>
  <c r="Q4488" i="1"/>
  <c r="Q4487" i="1"/>
  <c r="Q4486" i="1"/>
  <c r="Q4485" i="1"/>
  <c r="Q4484" i="1"/>
  <c r="Q4483" i="1"/>
  <c r="Q4482" i="1"/>
  <c r="Q4481" i="1"/>
  <c r="Q4480" i="1"/>
  <c r="Q4479" i="1"/>
  <c r="Q4478" i="1"/>
  <c r="Q4477" i="1"/>
  <c r="Q4476" i="1"/>
  <c r="Q4475" i="1"/>
  <c r="Q4474" i="1"/>
  <c r="Q4473" i="1"/>
  <c r="Q4472" i="1"/>
  <c r="Q4471" i="1"/>
  <c r="Q4470" i="1"/>
  <c r="Q4469" i="1"/>
  <c r="Q4468" i="1"/>
  <c r="Q4467" i="1"/>
  <c r="Q4466" i="1"/>
  <c r="Q4465" i="1"/>
  <c r="Q4464" i="1"/>
  <c r="Q4463" i="1"/>
  <c r="Q4462" i="1"/>
  <c r="Q4461" i="1"/>
  <c r="Q4460" i="1"/>
  <c r="Q4459" i="1"/>
  <c r="Q4458" i="1"/>
  <c r="Q4457" i="1"/>
  <c r="Q4456" i="1"/>
  <c r="Q4455" i="1"/>
  <c r="Q4454" i="1"/>
  <c r="Q4453" i="1"/>
  <c r="Q4452" i="1"/>
  <c r="Q4451" i="1"/>
  <c r="Q4450" i="1"/>
  <c r="Q4449" i="1"/>
  <c r="Q4448" i="1"/>
  <c r="Q4447" i="1"/>
  <c r="Q4446" i="1"/>
  <c r="Q4445" i="1"/>
  <c r="Q4444" i="1"/>
  <c r="Q4443" i="1"/>
  <c r="Q4442" i="1"/>
  <c r="Q4441" i="1"/>
  <c r="Q4440" i="1"/>
  <c r="Q4439" i="1"/>
  <c r="Q4438" i="1"/>
  <c r="Q4437" i="1"/>
  <c r="Q4436" i="1"/>
  <c r="Q4435" i="1"/>
  <c r="Q4434" i="1"/>
  <c r="Q4433" i="1"/>
  <c r="Q4432" i="1"/>
  <c r="Q4431" i="1"/>
  <c r="Q4430" i="1"/>
  <c r="Q4429" i="1"/>
  <c r="Q4428" i="1"/>
  <c r="Q4427" i="1"/>
  <c r="Q4426" i="1"/>
  <c r="Q4425" i="1"/>
  <c r="Q4424" i="1"/>
  <c r="Q4423" i="1"/>
  <c r="Q4422" i="1"/>
  <c r="Q4421" i="1"/>
  <c r="Q4420" i="1"/>
  <c r="Q4419" i="1"/>
  <c r="Q4418" i="1"/>
  <c r="Q4417" i="1"/>
  <c r="Q4416" i="1"/>
  <c r="Q4415" i="1"/>
  <c r="Q4414" i="1"/>
  <c r="Q4413" i="1"/>
  <c r="Q4412" i="1"/>
  <c r="Q4411" i="1"/>
  <c r="Q4410" i="1"/>
  <c r="Q4409" i="1"/>
  <c r="Q4408" i="1"/>
  <c r="Q4407" i="1"/>
  <c r="Q4406" i="1"/>
  <c r="Q4405" i="1"/>
  <c r="Q4404" i="1"/>
  <c r="Q4403" i="1"/>
  <c r="Q4402" i="1"/>
  <c r="Q4401" i="1"/>
  <c r="Q4400" i="1"/>
  <c r="Q4399" i="1"/>
  <c r="Q4398" i="1"/>
  <c r="Q4397" i="1"/>
  <c r="Q4396" i="1"/>
  <c r="Q4395" i="1"/>
  <c r="Q4394" i="1"/>
  <c r="Q4393" i="1"/>
  <c r="Q4392" i="1"/>
  <c r="Q4391" i="1"/>
  <c r="Q4390" i="1"/>
  <c r="Q4389" i="1"/>
  <c r="Q4388" i="1"/>
  <c r="Q4387" i="1"/>
  <c r="Q4386" i="1"/>
  <c r="Q4385" i="1"/>
  <c r="Q4384" i="1"/>
  <c r="Q4383" i="1"/>
  <c r="Q4382" i="1"/>
  <c r="Q4381" i="1"/>
  <c r="Q4380" i="1"/>
  <c r="Q4379" i="1"/>
  <c r="Q4378" i="1"/>
  <c r="Q4377" i="1"/>
  <c r="Q4376" i="1"/>
  <c r="Q4375" i="1"/>
  <c r="Q4374" i="1"/>
  <c r="Q4373" i="1"/>
  <c r="Q4372" i="1"/>
  <c r="Q4371" i="1"/>
  <c r="Q4370" i="1"/>
  <c r="Q4369" i="1"/>
  <c r="Q4368" i="1"/>
  <c r="Q4367" i="1"/>
  <c r="Q4366" i="1"/>
  <c r="Q4365" i="1"/>
  <c r="Q4364" i="1"/>
  <c r="Q4363" i="1"/>
  <c r="Q4362" i="1"/>
  <c r="Q4361" i="1"/>
  <c r="Q4360" i="1"/>
  <c r="Q4359" i="1"/>
  <c r="Q4358" i="1"/>
  <c r="Q4357" i="1"/>
  <c r="Q4356" i="1"/>
  <c r="Q4355" i="1"/>
  <c r="Q4354" i="1"/>
  <c r="Q4353" i="1"/>
  <c r="Q4352" i="1"/>
  <c r="Q4351" i="1"/>
  <c r="Q4350" i="1"/>
  <c r="Q4349" i="1"/>
  <c r="Q4348" i="1"/>
  <c r="Q4347" i="1"/>
  <c r="Q4346" i="1"/>
  <c r="Q4345" i="1"/>
  <c r="Q4344" i="1"/>
  <c r="Q4343" i="1"/>
  <c r="Q4342" i="1"/>
  <c r="Q4341" i="1"/>
  <c r="Q4340" i="1"/>
  <c r="Q4339" i="1"/>
  <c r="Q4338" i="1"/>
  <c r="Q4337" i="1"/>
  <c r="Q4336" i="1"/>
  <c r="Q4335" i="1"/>
  <c r="Q4334" i="1"/>
  <c r="Q4333" i="1"/>
  <c r="Q4332" i="1"/>
  <c r="Q4331" i="1"/>
  <c r="Q4330" i="1"/>
  <c r="Q4329" i="1"/>
  <c r="Q4328" i="1"/>
  <c r="Q4327" i="1"/>
  <c r="Q4326" i="1"/>
  <c r="Q4325" i="1"/>
  <c r="Q4324" i="1"/>
  <c r="Q4323" i="1"/>
  <c r="Q4322" i="1"/>
  <c r="Q4321" i="1"/>
  <c r="Q4320" i="1"/>
  <c r="Q4319" i="1"/>
  <c r="Q4318" i="1"/>
  <c r="Q4317" i="1"/>
  <c r="Q4316" i="1"/>
  <c r="Q4315" i="1"/>
  <c r="Q4314" i="1"/>
  <c r="Q4313" i="1"/>
  <c r="Q4312" i="1"/>
  <c r="Q4311" i="1"/>
  <c r="Q4310" i="1"/>
  <c r="Q4309" i="1"/>
  <c r="Q4308" i="1"/>
  <c r="Q4307" i="1"/>
  <c r="Q4306" i="1"/>
  <c r="Q4305" i="1"/>
  <c r="Q4304" i="1"/>
  <c r="Q4303" i="1"/>
  <c r="Q4302" i="1"/>
  <c r="Q4301" i="1"/>
  <c r="Q4300" i="1"/>
  <c r="Q4299" i="1"/>
  <c r="Q4298" i="1"/>
  <c r="Q4297" i="1"/>
  <c r="Q4296" i="1"/>
  <c r="Q4295" i="1"/>
  <c r="Q4294" i="1"/>
  <c r="Q4293" i="1"/>
  <c r="Q4292" i="1"/>
  <c r="Q4291" i="1"/>
  <c r="Q4290" i="1"/>
  <c r="Q4289" i="1"/>
  <c r="Q4288" i="1"/>
  <c r="Q4287" i="1"/>
  <c r="Q4286" i="1"/>
  <c r="Q4285" i="1"/>
  <c r="Q4284" i="1"/>
  <c r="Q4283" i="1"/>
  <c r="Q4282" i="1"/>
  <c r="Q4281" i="1"/>
  <c r="Q4280" i="1"/>
  <c r="Q4279" i="1"/>
  <c r="Q4278" i="1"/>
  <c r="Q4277" i="1"/>
  <c r="Q4276" i="1"/>
  <c r="Q4275" i="1"/>
  <c r="Q4274" i="1"/>
  <c r="Q4273" i="1"/>
  <c r="Q4272" i="1"/>
  <c r="Q4271" i="1"/>
  <c r="Q4270" i="1"/>
  <c r="Q4269" i="1"/>
  <c r="Q4268" i="1"/>
  <c r="Q4267" i="1"/>
  <c r="Q4266" i="1"/>
  <c r="Q4265" i="1"/>
  <c r="Q4264" i="1"/>
  <c r="Q4263" i="1"/>
  <c r="Q4262" i="1"/>
  <c r="Q4261" i="1"/>
  <c r="Q4260" i="1"/>
  <c r="Q4259" i="1"/>
  <c r="Q4258" i="1"/>
  <c r="Q4257" i="1"/>
  <c r="Q4256" i="1"/>
  <c r="Q4255" i="1"/>
  <c r="Q4254" i="1"/>
  <c r="Q4253" i="1"/>
  <c r="Q4252" i="1"/>
  <c r="Q4251" i="1"/>
  <c r="Q4250" i="1"/>
  <c r="Q4249" i="1"/>
  <c r="Q4248" i="1"/>
  <c r="Q4247" i="1"/>
  <c r="Q4246" i="1"/>
  <c r="Q4245" i="1"/>
  <c r="Q4244" i="1"/>
  <c r="Q4243" i="1"/>
  <c r="Q4242" i="1"/>
  <c r="Q4241" i="1"/>
  <c r="Q4240" i="1"/>
  <c r="Q4239" i="1"/>
  <c r="Q4238" i="1"/>
  <c r="Q4237" i="1"/>
  <c r="Q4236" i="1"/>
  <c r="Q4235" i="1"/>
  <c r="Q4234" i="1"/>
  <c r="Q4233" i="1"/>
  <c r="Q4232" i="1"/>
  <c r="Q4231" i="1"/>
  <c r="Q4230" i="1"/>
  <c r="Q4229" i="1"/>
  <c r="Q4228" i="1"/>
  <c r="Q4227" i="1"/>
  <c r="Q4226" i="1"/>
  <c r="Q4225" i="1"/>
  <c r="Q4224" i="1"/>
  <c r="Q4223" i="1"/>
  <c r="Q4222" i="1"/>
  <c r="Q4221" i="1"/>
  <c r="Q4220" i="1"/>
  <c r="Q4219" i="1"/>
  <c r="Q4218" i="1"/>
  <c r="Q4217" i="1"/>
  <c r="Q4216" i="1"/>
  <c r="Q4215" i="1"/>
  <c r="Q4214" i="1"/>
  <c r="Q4213" i="1"/>
  <c r="Q4212" i="1"/>
  <c r="Q4211" i="1"/>
  <c r="Q4210" i="1"/>
  <c r="Q4209" i="1"/>
  <c r="Q4208" i="1"/>
  <c r="Q4207" i="1"/>
  <c r="Q4206" i="1"/>
  <c r="Q4205" i="1"/>
  <c r="Q4204" i="1"/>
  <c r="Q4203" i="1"/>
  <c r="Q4202" i="1"/>
  <c r="Q4201" i="1"/>
  <c r="Q4200" i="1"/>
  <c r="Q4199" i="1"/>
  <c r="Q4198" i="1"/>
  <c r="Q4197" i="1"/>
  <c r="Q4196" i="1"/>
  <c r="Q4195" i="1"/>
  <c r="Q4194" i="1"/>
  <c r="Q4193" i="1"/>
  <c r="Q4192" i="1"/>
  <c r="Q4191" i="1"/>
  <c r="Q4190" i="1"/>
  <c r="Q4189" i="1"/>
  <c r="Q4188" i="1"/>
  <c r="Q4187" i="1"/>
  <c r="Q4186" i="1"/>
  <c r="Q4185" i="1"/>
  <c r="Q4184" i="1"/>
  <c r="Q4183" i="1"/>
  <c r="Q4182" i="1"/>
  <c r="Q4181" i="1"/>
  <c r="Q4180" i="1"/>
  <c r="Q4179" i="1"/>
  <c r="Q4178" i="1"/>
  <c r="Q4177" i="1"/>
  <c r="Q4176" i="1"/>
  <c r="Q4175" i="1"/>
  <c r="Q4174" i="1"/>
  <c r="Q4173" i="1"/>
  <c r="Q4172" i="1"/>
  <c r="Q4171" i="1"/>
  <c r="Q4170" i="1"/>
  <c r="Q4169" i="1"/>
  <c r="Q4168" i="1"/>
  <c r="Q4167" i="1"/>
  <c r="Q4166" i="1"/>
  <c r="Q4165" i="1"/>
  <c r="Q4164" i="1"/>
  <c r="Q4163" i="1"/>
  <c r="Q4162" i="1"/>
  <c r="Q4161" i="1"/>
  <c r="Q4160" i="1"/>
  <c r="Q4159" i="1"/>
  <c r="Q4158" i="1"/>
  <c r="Q4157" i="1"/>
  <c r="Q4156" i="1"/>
  <c r="Q4155" i="1"/>
  <c r="Q4154" i="1"/>
  <c r="Q4153" i="1"/>
  <c r="Q4152" i="1"/>
  <c r="Q4151" i="1"/>
  <c r="Q4150" i="1"/>
  <c r="Q4149" i="1"/>
  <c r="Q4148" i="1"/>
  <c r="Q4147" i="1"/>
  <c r="Q4146" i="1"/>
  <c r="Q4145" i="1"/>
  <c r="Q4144" i="1"/>
  <c r="Q4143" i="1"/>
  <c r="Q4142" i="1"/>
  <c r="Q4141" i="1"/>
  <c r="Q4140" i="1"/>
  <c r="Q4139" i="1"/>
  <c r="Q4138" i="1"/>
  <c r="Q4137" i="1"/>
  <c r="Q4136" i="1"/>
  <c r="Q4135" i="1"/>
  <c r="Q4134" i="1"/>
  <c r="Q4133" i="1"/>
  <c r="Q4132" i="1"/>
  <c r="Q4131" i="1"/>
  <c r="Q4130" i="1"/>
  <c r="Q4129" i="1"/>
  <c r="Q4128" i="1"/>
  <c r="Q4127" i="1"/>
  <c r="Q4126" i="1"/>
  <c r="Q4125" i="1"/>
  <c r="Q4124" i="1"/>
  <c r="Q4123" i="1"/>
  <c r="Q4122" i="1"/>
  <c r="Q4121" i="1"/>
  <c r="Q4120" i="1"/>
  <c r="Q4119" i="1"/>
  <c r="Q4118" i="1"/>
  <c r="Q4117" i="1"/>
  <c r="Q4116" i="1"/>
  <c r="Q4115" i="1"/>
  <c r="Q4114" i="1"/>
  <c r="Q4113" i="1"/>
  <c r="Q4112" i="1"/>
  <c r="Q4111" i="1"/>
  <c r="Q4110" i="1"/>
  <c r="Q4109" i="1"/>
  <c r="Q4108" i="1"/>
  <c r="Q4107" i="1"/>
  <c r="Q4106" i="1"/>
  <c r="Q4105" i="1"/>
  <c r="Q4104" i="1"/>
  <c r="Q4103" i="1"/>
  <c r="Q4102" i="1"/>
  <c r="Q4101" i="1"/>
  <c r="Q4100" i="1"/>
  <c r="Q4099" i="1"/>
  <c r="Q4098" i="1"/>
  <c r="Q4097" i="1"/>
  <c r="Q4096" i="1"/>
  <c r="Q4095" i="1"/>
  <c r="Q4094" i="1"/>
  <c r="Q4093" i="1"/>
  <c r="Q4092" i="1"/>
  <c r="Q4091" i="1"/>
  <c r="Q4090" i="1"/>
  <c r="Q4089" i="1"/>
  <c r="Q4088" i="1"/>
  <c r="Q4087" i="1"/>
  <c r="Q4086" i="1"/>
  <c r="Q4085" i="1"/>
  <c r="Q4084" i="1"/>
  <c r="Q4083" i="1"/>
  <c r="Q4082" i="1"/>
  <c r="Q4081" i="1"/>
  <c r="Q4080" i="1"/>
  <c r="Q4079" i="1"/>
  <c r="Q4078" i="1"/>
  <c r="Q4077" i="1"/>
  <c r="Q4076" i="1"/>
  <c r="Q4075" i="1"/>
  <c r="Q4074" i="1"/>
  <c r="Q4073" i="1"/>
  <c r="Q4072" i="1"/>
  <c r="Q4071" i="1"/>
  <c r="Q4070" i="1"/>
  <c r="Q4069" i="1"/>
  <c r="Q4068" i="1"/>
  <c r="Q4067" i="1"/>
  <c r="Q4066" i="1"/>
  <c r="Q4065" i="1"/>
  <c r="Q4064" i="1"/>
  <c r="Q4063" i="1"/>
  <c r="Q4062" i="1"/>
  <c r="Q4061" i="1"/>
  <c r="Q4060" i="1"/>
  <c r="Q4059" i="1"/>
  <c r="Q4058" i="1"/>
  <c r="Q4057" i="1"/>
  <c r="Q4056" i="1"/>
  <c r="Q4055" i="1"/>
  <c r="Q4054" i="1"/>
  <c r="Q4053" i="1"/>
  <c r="Q4052" i="1"/>
  <c r="Q4051" i="1"/>
  <c r="Q4050" i="1"/>
  <c r="Q4049" i="1"/>
  <c r="Q4048" i="1"/>
  <c r="Q4047" i="1"/>
  <c r="Q4046" i="1"/>
  <c r="Q4045" i="1"/>
  <c r="Q4044" i="1"/>
  <c r="Q4043" i="1"/>
  <c r="Q4042" i="1"/>
  <c r="Q4041" i="1"/>
  <c r="Q4040" i="1"/>
  <c r="Q4039" i="1"/>
  <c r="Q4038" i="1"/>
  <c r="Q4037" i="1"/>
  <c r="Q4036" i="1"/>
  <c r="Q4035" i="1"/>
  <c r="Q4034" i="1"/>
  <c r="Q4033" i="1"/>
  <c r="Q4032" i="1"/>
  <c r="Q4031" i="1"/>
  <c r="Q4030" i="1"/>
  <c r="Q4029" i="1"/>
  <c r="Q4028" i="1"/>
  <c r="Q4027" i="1"/>
  <c r="Q4026" i="1"/>
  <c r="Q4025" i="1"/>
  <c r="Q4024" i="1"/>
  <c r="Q4023" i="1"/>
  <c r="Q4022" i="1"/>
  <c r="Q4021" i="1"/>
  <c r="Q4020" i="1"/>
  <c r="Q4019" i="1"/>
  <c r="Q4018" i="1"/>
  <c r="Q4017" i="1"/>
  <c r="Q4016" i="1"/>
  <c r="Q4015" i="1"/>
  <c r="Q4014" i="1"/>
  <c r="Q4013" i="1"/>
  <c r="Q4012" i="1"/>
  <c r="Q4011" i="1"/>
  <c r="Q4010" i="1"/>
  <c r="Q4009" i="1"/>
  <c r="Q4008" i="1"/>
  <c r="Q4007" i="1"/>
  <c r="Q4006" i="1"/>
  <c r="Q4005" i="1"/>
  <c r="Q4004" i="1"/>
  <c r="Q4003" i="1"/>
  <c r="Q4002" i="1"/>
  <c r="Q4001" i="1"/>
  <c r="Q4000" i="1"/>
  <c r="Q3999" i="1"/>
  <c r="Q3998" i="1"/>
  <c r="Q3997" i="1"/>
  <c r="Q3996" i="1"/>
  <c r="Q3995" i="1"/>
  <c r="Q3994" i="1"/>
  <c r="Q3993" i="1"/>
  <c r="Q3992" i="1"/>
  <c r="Q3991" i="1"/>
  <c r="Q3990" i="1"/>
  <c r="Q3989" i="1"/>
  <c r="Q3988" i="1"/>
  <c r="Q3987" i="1"/>
  <c r="Q3986" i="1"/>
  <c r="Q3985" i="1"/>
  <c r="Q3984" i="1"/>
  <c r="Q3983" i="1"/>
  <c r="Q3982" i="1"/>
  <c r="Q3981" i="1"/>
  <c r="Q3980" i="1"/>
  <c r="Q3979" i="1"/>
  <c r="Q3978" i="1"/>
  <c r="Q3977" i="1"/>
  <c r="Q3976" i="1"/>
  <c r="Q3975" i="1"/>
  <c r="Q3974" i="1"/>
  <c r="Q3973" i="1"/>
  <c r="Q3972" i="1"/>
  <c r="Q3971" i="1"/>
  <c r="Q3970" i="1"/>
  <c r="Q3969" i="1"/>
  <c r="Q3968" i="1"/>
  <c r="Q3967" i="1"/>
  <c r="Q3966" i="1"/>
  <c r="Q3965" i="1"/>
  <c r="Q3964" i="1"/>
  <c r="Q3963" i="1"/>
  <c r="Q3962" i="1"/>
  <c r="Q3961" i="1"/>
  <c r="Q3960" i="1"/>
  <c r="Q3959" i="1"/>
  <c r="Q3958" i="1"/>
  <c r="Q3957" i="1"/>
  <c r="Q3956" i="1"/>
  <c r="Q3955" i="1"/>
  <c r="Q3954" i="1"/>
  <c r="Q3953" i="1"/>
  <c r="Q3952" i="1"/>
  <c r="Q3951" i="1"/>
  <c r="Q3950" i="1"/>
  <c r="Q3949" i="1"/>
  <c r="Q3948" i="1"/>
  <c r="Q3947" i="1"/>
  <c r="Q3946" i="1"/>
  <c r="Q3945" i="1"/>
  <c r="Q3944" i="1"/>
  <c r="Q3943" i="1"/>
  <c r="Q3942" i="1"/>
  <c r="Q3941" i="1"/>
  <c r="Q3940" i="1"/>
  <c r="Q3939" i="1"/>
  <c r="Q3938" i="1"/>
  <c r="Q3937" i="1"/>
  <c r="Q3936" i="1"/>
  <c r="Q3935" i="1"/>
  <c r="Q3934" i="1"/>
  <c r="Q3933" i="1"/>
  <c r="Q3932" i="1"/>
  <c r="Q3931" i="1"/>
  <c r="Q3930" i="1"/>
  <c r="Q3929" i="1"/>
  <c r="Q3928" i="1"/>
  <c r="Q3927" i="1"/>
  <c r="Q3926" i="1"/>
  <c r="Q3925" i="1"/>
  <c r="Q3924" i="1"/>
  <c r="Q3923" i="1"/>
  <c r="Q3922" i="1"/>
  <c r="Q3921" i="1"/>
  <c r="Q3920" i="1"/>
  <c r="Q3919" i="1"/>
  <c r="Q3918" i="1"/>
  <c r="Q3917" i="1"/>
  <c r="Q3916" i="1"/>
  <c r="Q3915" i="1"/>
  <c r="Q3914" i="1"/>
  <c r="Q3913" i="1"/>
  <c r="Q3912" i="1"/>
  <c r="Q3911" i="1"/>
  <c r="Q3910" i="1"/>
  <c r="Q3909" i="1"/>
  <c r="Q3908" i="1"/>
  <c r="Q3907" i="1"/>
  <c r="Q3906" i="1"/>
  <c r="Q3905" i="1"/>
  <c r="Q3904" i="1"/>
  <c r="Q3903" i="1"/>
  <c r="Q3902" i="1"/>
  <c r="Q3901" i="1"/>
  <c r="Q3900" i="1"/>
  <c r="Q3899" i="1"/>
  <c r="Q3898" i="1"/>
  <c r="Q3897" i="1"/>
  <c r="Q3896" i="1"/>
  <c r="Q3895" i="1"/>
  <c r="Q3894" i="1"/>
  <c r="Q3893" i="1"/>
  <c r="Q3892" i="1"/>
  <c r="Q3891" i="1"/>
  <c r="Q3890" i="1"/>
  <c r="Q3889" i="1"/>
  <c r="Q3888" i="1"/>
  <c r="Q3887" i="1"/>
  <c r="Q3886" i="1"/>
  <c r="Q3885" i="1"/>
  <c r="Q3884" i="1"/>
  <c r="Q3883" i="1"/>
  <c r="Q3882" i="1"/>
  <c r="Q3881" i="1"/>
  <c r="Q3880" i="1"/>
  <c r="Q3879" i="1"/>
  <c r="Q3878" i="1"/>
  <c r="Q3877" i="1"/>
  <c r="Q3876" i="1"/>
  <c r="Q3875" i="1"/>
  <c r="Q3874" i="1"/>
  <c r="Q3873" i="1"/>
  <c r="Q3872" i="1"/>
  <c r="Q3871" i="1"/>
  <c r="Q3870" i="1"/>
  <c r="Q3869" i="1"/>
  <c r="Q3868" i="1"/>
  <c r="Q3867" i="1"/>
  <c r="Q3866" i="1"/>
  <c r="Q3865" i="1"/>
  <c r="Q3864" i="1"/>
  <c r="Q3863" i="1"/>
  <c r="Q3862" i="1"/>
  <c r="Q3861" i="1"/>
  <c r="Q3860" i="1"/>
  <c r="Q3859" i="1"/>
  <c r="Q3858" i="1"/>
  <c r="Q3857" i="1"/>
  <c r="Q3856" i="1"/>
  <c r="Q3855" i="1"/>
  <c r="Q3854" i="1"/>
  <c r="Q3853" i="1"/>
  <c r="Q3852" i="1"/>
  <c r="Q3851" i="1"/>
  <c r="Q3850" i="1"/>
  <c r="Q3849" i="1"/>
  <c r="Q3848" i="1"/>
  <c r="Q3847" i="1"/>
  <c r="Q3846" i="1"/>
  <c r="Q3845" i="1"/>
  <c r="Q3844" i="1"/>
  <c r="Q3843" i="1"/>
  <c r="Q3842" i="1"/>
  <c r="Q3841" i="1"/>
  <c r="Q3840" i="1"/>
  <c r="Q3839" i="1"/>
  <c r="Q3838" i="1"/>
  <c r="Q3837" i="1"/>
  <c r="Q3836" i="1"/>
  <c r="Q3835" i="1"/>
  <c r="Q3834" i="1"/>
  <c r="Q3833" i="1"/>
  <c r="Q3832" i="1"/>
  <c r="Q3831" i="1"/>
  <c r="Q3830" i="1"/>
  <c r="Q3829" i="1"/>
  <c r="Q3828" i="1"/>
  <c r="Q3827" i="1"/>
  <c r="Q3826" i="1"/>
  <c r="Q3825" i="1"/>
  <c r="Q3824" i="1"/>
  <c r="Q3823" i="1"/>
  <c r="Q3822" i="1"/>
  <c r="Q3821" i="1"/>
  <c r="Q3820" i="1"/>
  <c r="Q3819" i="1"/>
  <c r="Q3818" i="1"/>
  <c r="Q3817" i="1"/>
  <c r="Q3816" i="1"/>
  <c r="Q3815" i="1"/>
  <c r="Q3814" i="1"/>
  <c r="Q3813" i="1"/>
  <c r="Q3812" i="1"/>
  <c r="Q3811" i="1"/>
  <c r="Q3810" i="1"/>
  <c r="Q3809" i="1"/>
  <c r="Q3808" i="1"/>
  <c r="Q3807" i="1"/>
  <c r="Q3806" i="1"/>
  <c r="Q3805" i="1"/>
  <c r="Q3804" i="1"/>
  <c r="Q3803" i="1"/>
  <c r="Q3802" i="1"/>
  <c r="Q3801" i="1"/>
  <c r="Q3800" i="1"/>
  <c r="Q3799" i="1"/>
  <c r="Q3798" i="1"/>
  <c r="Q3797" i="1"/>
  <c r="Q3796" i="1"/>
  <c r="Q3795" i="1"/>
  <c r="Q3794" i="1"/>
  <c r="Q3793" i="1"/>
  <c r="Q3792" i="1"/>
  <c r="Q3791" i="1"/>
  <c r="Q3790" i="1"/>
  <c r="Q3789" i="1"/>
  <c r="Q3788" i="1"/>
  <c r="Q3787" i="1"/>
  <c r="Q3786" i="1"/>
  <c r="Q3785" i="1"/>
  <c r="Q3784" i="1"/>
  <c r="Q3783" i="1"/>
  <c r="Q3782" i="1"/>
  <c r="Q3781" i="1"/>
  <c r="Q3780" i="1"/>
  <c r="Q3779" i="1"/>
  <c r="Q3778" i="1"/>
  <c r="Q3777" i="1"/>
  <c r="Q3776" i="1"/>
  <c r="Q3775" i="1"/>
  <c r="Q3774" i="1"/>
  <c r="Q3773" i="1"/>
  <c r="Q3772" i="1"/>
  <c r="Q3771" i="1"/>
  <c r="Q3770" i="1"/>
  <c r="Q3769" i="1"/>
  <c r="Q3768" i="1"/>
  <c r="Q3767" i="1"/>
  <c r="Q3766" i="1"/>
  <c r="Q3765" i="1"/>
  <c r="Q3764" i="1"/>
  <c r="Q3763" i="1"/>
  <c r="Q3762" i="1"/>
  <c r="Q3761" i="1"/>
  <c r="Q3760" i="1"/>
  <c r="Q3759" i="1"/>
  <c r="Q3758" i="1"/>
  <c r="Q3757" i="1"/>
  <c r="Q3756" i="1"/>
  <c r="Q3755" i="1"/>
  <c r="Q3754" i="1"/>
  <c r="Q3753" i="1"/>
  <c r="Q3752" i="1"/>
  <c r="Q3751" i="1"/>
  <c r="Q3750" i="1"/>
  <c r="Q3749" i="1"/>
  <c r="Q3748" i="1"/>
  <c r="Q3747" i="1"/>
  <c r="Q3746" i="1"/>
  <c r="Q3745" i="1"/>
  <c r="Q3744" i="1"/>
  <c r="Q3743" i="1"/>
  <c r="Q3742" i="1"/>
  <c r="Q3741" i="1"/>
  <c r="Q3740" i="1"/>
  <c r="Q3739" i="1"/>
  <c r="Q3738" i="1"/>
  <c r="Q3737" i="1"/>
  <c r="Q3736" i="1"/>
  <c r="Q3735" i="1"/>
  <c r="Q3734" i="1"/>
  <c r="Q3733" i="1"/>
  <c r="Q3732" i="1"/>
  <c r="Q3731" i="1"/>
  <c r="Q3730" i="1"/>
  <c r="Q3729" i="1"/>
  <c r="Q3728" i="1"/>
  <c r="Q3727" i="1"/>
  <c r="Q3726" i="1"/>
  <c r="Q3725" i="1"/>
  <c r="Q3724" i="1"/>
  <c r="Q3723" i="1"/>
  <c r="Q3722" i="1"/>
  <c r="Q3721" i="1"/>
  <c r="Q3720" i="1"/>
  <c r="Q3719" i="1"/>
  <c r="Q3718" i="1"/>
  <c r="Q3717" i="1"/>
  <c r="Q3716" i="1"/>
  <c r="Q3715" i="1"/>
  <c r="Q3714" i="1"/>
  <c r="Q3713" i="1"/>
  <c r="Q3712" i="1"/>
  <c r="Q3711" i="1"/>
  <c r="Q3710" i="1"/>
  <c r="Q3709" i="1"/>
  <c r="Q3708" i="1"/>
  <c r="Q3707" i="1"/>
  <c r="Q3706" i="1"/>
  <c r="Q3705" i="1"/>
  <c r="Q3704" i="1"/>
  <c r="Q3703" i="1"/>
  <c r="Q3702" i="1"/>
  <c r="Q3701" i="1"/>
  <c r="Q3700" i="1"/>
  <c r="Q3699" i="1"/>
  <c r="Q3698" i="1"/>
  <c r="Q3697" i="1"/>
  <c r="Q3696" i="1"/>
  <c r="Q3695" i="1"/>
  <c r="Q3694" i="1"/>
  <c r="Q3693" i="1"/>
  <c r="Q3692" i="1"/>
  <c r="Q3691" i="1"/>
  <c r="Q3690" i="1"/>
  <c r="Q3689" i="1"/>
  <c r="Q3688" i="1"/>
  <c r="Q3687" i="1"/>
  <c r="Q3686" i="1"/>
  <c r="Q3685" i="1"/>
  <c r="Q3684" i="1"/>
  <c r="Q3683" i="1"/>
  <c r="Q3682" i="1"/>
  <c r="Q3681" i="1"/>
  <c r="Q3680" i="1"/>
  <c r="Q3679" i="1"/>
  <c r="Q3678" i="1"/>
  <c r="Q3677" i="1"/>
  <c r="Q3676" i="1"/>
  <c r="Q3675" i="1"/>
  <c r="Q3674" i="1"/>
  <c r="Q3673" i="1"/>
  <c r="Q3672" i="1"/>
  <c r="Q3671" i="1"/>
  <c r="Q3670" i="1"/>
  <c r="Q3669" i="1"/>
  <c r="Q3668" i="1"/>
  <c r="Q3667" i="1"/>
  <c r="Q3666" i="1"/>
  <c r="Q3665" i="1"/>
  <c r="Q3664" i="1"/>
  <c r="Q3663" i="1"/>
  <c r="Q3662" i="1"/>
  <c r="Q3661" i="1"/>
  <c r="Q3660" i="1"/>
  <c r="Q3659" i="1"/>
  <c r="Q3658" i="1"/>
  <c r="Q3657" i="1"/>
  <c r="Q3656" i="1"/>
  <c r="Q3655" i="1"/>
  <c r="Q3654" i="1"/>
  <c r="Q3653" i="1"/>
  <c r="Q3652" i="1"/>
  <c r="Q3651" i="1"/>
  <c r="Q3650" i="1"/>
  <c r="Q3649" i="1"/>
  <c r="Q3648" i="1"/>
  <c r="Q3647" i="1"/>
  <c r="Q3646" i="1"/>
  <c r="Q3645" i="1"/>
  <c r="Q3644" i="1"/>
  <c r="Q3643" i="1"/>
  <c r="Q3642" i="1"/>
  <c r="Q3641" i="1"/>
  <c r="Q3640" i="1"/>
  <c r="Q3639" i="1"/>
  <c r="Q3638" i="1"/>
  <c r="Q3637" i="1"/>
  <c r="Q3636" i="1"/>
  <c r="Q3635" i="1"/>
  <c r="Q3634" i="1"/>
  <c r="Q3633" i="1"/>
  <c r="Q3632" i="1"/>
  <c r="Q3631" i="1"/>
  <c r="Q3630" i="1"/>
  <c r="Q3629" i="1"/>
  <c r="Q3628" i="1"/>
  <c r="Q3627" i="1"/>
  <c r="Q3626" i="1"/>
  <c r="Q3625" i="1"/>
  <c r="Q3624" i="1"/>
  <c r="Q3623" i="1"/>
  <c r="Q3622" i="1"/>
  <c r="Q3621" i="1"/>
  <c r="Q3620" i="1"/>
  <c r="Q3619" i="1"/>
  <c r="Q3618" i="1"/>
  <c r="Q3617" i="1"/>
  <c r="Q3616" i="1"/>
  <c r="Q3615" i="1"/>
  <c r="Q3614" i="1"/>
  <c r="Q3613" i="1"/>
  <c r="Q3612" i="1"/>
  <c r="Q3611" i="1"/>
  <c r="Q3610" i="1"/>
  <c r="Q3609" i="1"/>
  <c r="Q3608" i="1"/>
  <c r="Q3607" i="1"/>
  <c r="Q3606" i="1"/>
  <c r="Q3605" i="1"/>
  <c r="Q3604" i="1"/>
  <c r="Q3603" i="1"/>
  <c r="Q3602" i="1"/>
  <c r="Q3601" i="1"/>
  <c r="Q3600" i="1"/>
  <c r="Q3599" i="1"/>
  <c r="Q3598" i="1"/>
  <c r="Q3597" i="1"/>
  <c r="Q3596" i="1"/>
  <c r="Q3595" i="1"/>
  <c r="Q3594" i="1"/>
  <c r="Q3593" i="1"/>
  <c r="Q3592" i="1"/>
  <c r="Q3591" i="1"/>
  <c r="Q3590" i="1"/>
  <c r="Q3589" i="1"/>
  <c r="Q3588" i="1"/>
  <c r="Q3587" i="1"/>
  <c r="Q3586" i="1"/>
  <c r="Q3585" i="1"/>
  <c r="Q3584" i="1"/>
  <c r="Q3583" i="1"/>
  <c r="Q3582" i="1"/>
  <c r="Q3581" i="1"/>
  <c r="Q3580" i="1"/>
  <c r="Q3579" i="1"/>
  <c r="Q3578" i="1"/>
  <c r="Q3577" i="1"/>
  <c r="Q3576" i="1"/>
  <c r="Q3575" i="1"/>
  <c r="Q3574" i="1"/>
  <c r="Q3573" i="1"/>
  <c r="Q3572" i="1"/>
  <c r="Q3571" i="1"/>
  <c r="Q3570" i="1"/>
  <c r="Q3569" i="1"/>
  <c r="Q3568" i="1"/>
  <c r="Q3567" i="1"/>
  <c r="Q3566" i="1"/>
  <c r="Q3565" i="1"/>
  <c r="Q3564" i="1"/>
  <c r="Q3563" i="1"/>
  <c r="Q3562" i="1"/>
  <c r="Q3561" i="1"/>
  <c r="Q3560" i="1"/>
  <c r="Q3559" i="1"/>
  <c r="Q3558" i="1"/>
  <c r="Q3557" i="1"/>
  <c r="Q3556" i="1"/>
  <c r="Q3555" i="1"/>
  <c r="Q3554" i="1"/>
  <c r="Q3553" i="1"/>
  <c r="Q3552" i="1"/>
  <c r="Q3551" i="1"/>
  <c r="Q3550" i="1"/>
  <c r="Q3549" i="1"/>
  <c r="Q3548" i="1"/>
  <c r="Q3547" i="1"/>
  <c r="Q3546" i="1"/>
  <c r="Q3545" i="1"/>
  <c r="Q3544" i="1"/>
  <c r="Q3543" i="1"/>
  <c r="Q3542" i="1"/>
  <c r="Q3541" i="1"/>
  <c r="Q3540" i="1"/>
  <c r="Q3539" i="1"/>
  <c r="Q3538" i="1"/>
  <c r="Q3537" i="1"/>
  <c r="Q3536" i="1"/>
  <c r="Q3535" i="1"/>
  <c r="Q3534" i="1"/>
  <c r="Q3533" i="1"/>
  <c r="Q3532" i="1"/>
  <c r="Q3531" i="1"/>
  <c r="Q3530" i="1"/>
  <c r="Q3529" i="1"/>
  <c r="Q3528" i="1"/>
  <c r="Q3527" i="1"/>
  <c r="Q3526" i="1"/>
  <c r="Q3525" i="1"/>
  <c r="Q3524" i="1"/>
  <c r="Q3523" i="1"/>
  <c r="Q3522" i="1"/>
  <c r="Q3521" i="1"/>
  <c r="Q3520" i="1"/>
  <c r="Q3519" i="1"/>
  <c r="Q3518" i="1"/>
  <c r="Q3517" i="1"/>
  <c r="Q3516" i="1"/>
  <c r="Q3515" i="1"/>
  <c r="Q3514" i="1"/>
  <c r="Q3513" i="1"/>
  <c r="Q3512" i="1"/>
  <c r="Q3511" i="1"/>
  <c r="Q3510" i="1"/>
  <c r="Q3509" i="1"/>
  <c r="Q3508" i="1"/>
  <c r="Q3507" i="1"/>
  <c r="Q3506" i="1"/>
  <c r="Q3505" i="1"/>
  <c r="Q3504" i="1"/>
  <c r="Q3503" i="1"/>
  <c r="Q3502" i="1"/>
  <c r="Q3501" i="1"/>
  <c r="Q3500" i="1"/>
  <c r="Q3499" i="1"/>
  <c r="Q3498" i="1"/>
  <c r="Q3497" i="1"/>
  <c r="Q3496" i="1"/>
  <c r="Q3495" i="1"/>
  <c r="Q3494" i="1"/>
  <c r="Q3493" i="1"/>
  <c r="Q3492" i="1"/>
  <c r="Q3491" i="1"/>
  <c r="Q3490" i="1"/>
  <c r="Q3489" i="1"/>
  <c r="Q3488" i="1"/>
  <c r="Q3487" i="1"/>
  <c r="Q3486" i="1"/>
  <c r="Q3485" i="1"/>
  <c r="Q3484" i="1"/>
  <c r="Q3483" i="1"/>
  <c r="Q3482" i="1"/>
  <c r="Q3481" i="1"/>
  <c r="Q3480" i="1"/>
  <c r="Q3479" i="1"/>
  <c r="Q3478" i="1"/>
  <c r="Q3477" i="1"/>
  <c r="Q3476" i="1"/>
  <c r="Q3475" i="1"/>
  <c r="Q3474" i="1"/>
  <c r="Q3473" i="1"/>
  <c r="Q3472" i="1"/>
  <c r="Q3471" i="1"/>
  <c r="Q3470" i="1"/>
  <c r="Q3469" i="1"/>
  <c r="Q3468" i="1"/>
  <c r="Q3467" i="1"/>
  <c r="Q3466" i="1"/>
  <c r="Q3465" i="1"/>
  <c r="Q3464" i="1"/>
  <c r="Q3463" i="1"/>
  <c r="Q3462" i="1"/>
  <c r="Q3461" i="1"/>
  <c r="Q3460" i="1"/>
  <c r="Q3459" i="1"/>
  <c r="Q3458" i="1"/>
  <c r="Q3457" i="1"/>
  <c r="Q3456" i="1"/>
  <c r="Q3455" i="1"/>
  <c r="Q3454" i="1"/>
  <c r="Q3453" i="1"/>
  <c r="Q3452" i="1"/>
  <c r="Q3451" i="1"/>
  <c r="Q3450" i="1"/>
  <c r="Q3449" i="1"/>
  <c r="Q3448" i="1"/>
  <c r="Q3447" i="1"/>
  <c r="Q3446" i="1"/>
  <c r="Q3445" i="1"/>
  <c r="Q3444" i="1"/>
  <c r="Q3443" i="1"/>
  <c r="Q3442" i="1"/>
  <c r="Q3441" i="1"/>
  <c r="Q3440" i="1"/>
  <c r="Q3439" i="1"/>
  <c r="Q3438" i="1"/>
  <c r="Q3437" i="1"/>
  <c r="Q3436" i="1"/>
  <c r="Q3435" i="1"/>
  <c r="Q3434" i="1"/>
  <c r="Q3433" i="1"/>
  <c r="Q3432" i="1"/>
  <c r="Q3431" i="1"/>
  <c r="Q3430" i="1"/>
  <c r="Q3429" i="1"/>
  <c r="Q3428" i="1"/>
  <c r="Q3427" i="1"/>
  <c r="Q3426" i="1"/>
  <c r="Q3425" i="1"/>
  <c r="Q3424" i="1"/>
  <c r="Q3423" i="1"/>
  <c r="Q3422" i="1"/>
  <c r="Q3421" i="1"/>
  <c r="Q3420" i="1"/>
  <c r="Q3419" i="1"/>
  <c r="Q3418" i="1"/>
  <c r="Q3417" i="1"/>
  <c r="Q3416" i="1"/>
  <c r="Q3415" i="1"/>
  <c r="Q3414" i="1"/>
  <c r="Q3413" i="1"/>
  <c r="Q3412" i="1"/>
  <c r="Q3411" i="1"/>
  <c r="Q3410" i="1"/>
  <c r="Q3409" i="1"/>
  <c r="Q3408" i="1"/>
  <c r="Q3407" i="1"/>
  <c r="Q3406" i="1"/>
  <c r="Q3405" i="1"/>
  <c r="Q3404" i="1"/>
  <c r="Q3403" i="1"/>
  <c r="Q3402" i="1"/>
  <c r="Q3401" i="1"/>
  <c r="Q3400" i="1"/>
  <c r="Q3399" i="1"/>
  <c r="Q3398" i="1"/>
  <c r="Q3397" i="1"/>
  <c r="Q3396" i="1"/>
  <c r="Q3395" i="1"/>
  <c r="Q3394" i="1"/>
  <c r="Q3393" i="1"/>
  <c r="Q3392" i="1"/>
  <c r="Q3391" i="1"/>
  <c r="Q3390" i="1"/>
  <c r="Q3389" i="1"/>
  <c r="Q3388" i="1"/>
  <c r="Q3387" i="1"/>
  <c r="Q3386" i="1"/>
  <c r="Q3385" i="1"/>
  <c r="Q3384" i="1"/>
  <c r="Q3383" i="1"/>
  <c r="Q3382" i="1"/>
  <c r="Q3381" i="1"/>
  <c r="Q3380" i="1"/>
  <c r="Q3379" i="1"/>
  <c r="Q3378" i="1"/>
  <c r="Q3377" i="1"/>
  <c r="Q3376" i="1"/>
  <c r="Q3375" i="1"/>
  <c r="Q3374" i="1"/>
  <c r="Q3373" i="1"/>
  <c r="Q3372" i="1"/>
  <c r="Q3371" i="1"/>
  <c r="Q3370" i="1"/>
  <c r="Q3369" i="1"/>
  <c r="Q3368" i="1"/>
  <c r="Q3367" i="1"/>
  <c r="Q3366" i="1"/>
  <c r="Q3365" i="1"/>
  <c r="Q3364" i="1"/>
  <c r="Q3363" i="1"/>
  <c r="Q3362" i="1"/>
  <c r="Q3361" i="1"/>
  <c r="Q3360" i="1"/>
  <c r="Q3359" i="1"/>
  <c r="Q3358" i="1"/>
  <c r="Q3357" i="1"/>
  <c r="Q3356" i="1"/>
  <c r="Q3355" i="1"/>
  <c r="Q3354" i="1"/>
  <c r="Q3353" i="1"/>
  <c r="Q3352" i="1"/>
  <c r="Q3351" i="1"/>
  <c r="Q3350" i="1"/>
  <c r="Q3349" i="1"/>
  <c r="Q3348" i="1"/>
  <c r="Q3347" i="1"/>
  <c r="Q3346" i="1"/>
  <c r="Q3345" i="1"/>
  <c r="Q3344" i="1"/>
  <c r="Q3343" i="1"/>
  <c r="Q3342" i="1"/>
  <c r="Q3341" i="1"/>
  <c r="Q3340" i="1"/>
  <c r="Q3339" i="1"/>
  <c r="Q3338" i="1"/>
  <c r="Q3337" i="1"/>
  <c r="Q3336" i="1"/>
  <c r="Q3335" i="1"/>
  <c r="Q3334" i="1"/>
  <c r="Q3333" i="1"/>
  <c r="Q3332" i="1"/>
  <c r="Q3331" i="1"/>
  <c r="Q3330" i="1"/>
  <c r="Q3329" i="1"/>
  <c r="Q3328" i="1"/>
  <c r="Q3327" i="1"/>
  <c r="Q3326" i="1"/>
  <c r="Q3325" i="1"/>
  <c r="Q3324" i="1"/>
  <c r="Q3323" i="1"/>
  <c r="Q3322" i="1"/>
  <c r="Q3321" i="1"/>
  <c r="Q3320" i="1"/>
  <c r="Q3319" i="1"/>
  <c r="Q3318" i="1"/>
  <c r="Q3317" i="1"/>
  <c r="Q3316" i="1"/>
  <c r="Q3315" i="1"/>
  <c r="Q3314" i="1"/>
  <c r="Q3313" i="1"/>
  <c r="Q3312" i="1"/>
  <c r="Q3311" i="1"/>
  <c r="Q3310" i="1"/>
  <c r="Q3309" i="1"/>
  <c r="Q3308" i="1"/>
  <c r="Q3307" i="1"/>
  <c r="Q3306" i="1"/>
  <c r="Q3305" i="1"/>
  <c r="Q3304" i="1"/>
  <c r="Q3303" i="1"/>
  <c r="Q3302" i="1"/>
  <c r="Q3301" i="1"/>
  <c r="Q3300" i="1"/>
  <c r="Q3299" i="1"/>
  <c r="Q3298" i="1"/>
  <c r="Q3297" i="1"/>
  <c r="Q3296" i="1"/>
  <c r="Q3295" i="1"/>
  <c r="Q3294" i="1"/>
  <c r="Q3293" i="1"/>
  <c r="Q3292" i="1"/>
  <c r="Q3291" i="1"/>
  <c r="Q3290" i="1"/>
  <c r="Q3289" i="1"/>
  <c r="Q3288" i="1"/>
  <c r="Q3287" i="1"/>
  <c r="Q3286" i="1"/>
  <c r="Q3285" i="1"/>
  <c r="Q3284" i="1"/>
  <c r="Q3283" i="1"/>
  <c r="Q3282" i="1"/>
  <c r="Q3281" i="1"/>
  <c r="Q3280" i="1"/>
  <c r="Q3279" i="1"/>
  <c r="Q3278" i="1"/>
  <c r="Q3277" i="1"/>
  <c r="Q3276" i="1"/>
  <c r="Q3275" i="1"/>
  <c r="Q3274" i="1"/>
  <c r="Q3273" i="1"/>
  <c r="Q3272" i="1"/>
  <c r="Q3271" i="1"/>
  <c r="Q3270" i="1"/>
  <c r="Q3269" i="1"/>
  <c r="Q3268" i="1"/>
  <c r="Q3267" i="1"/>
  <c r="Q3266" i="1"/>
  <c r="Q3265" i="1"/>
  <c r="Q3264" i="1"/>
  <c r="Q3263" i="1"/>
  <c r="Q3262" i="1"/>
  <c r="Q3261" i="1"/>
  <c r="Q3260" i="1"/>
  <c r="Q3259" i="1"/>
  <c r="Q3258" i="1"/>
  <c r="Q3257" i="1"/>
  <c r="Q3256" i="1"/>
  <c r="Q3255" i="1"/>
  <c r="Q3254" i="1"/>
  <c r="Q3253" i="1"/>
  <c r="Q3252" i="1"/>
  <c r="Q3251" i="1"/>
  <c r="Q3250" i="1"/>
  <c r="Q3249" i="1"/>
  <c r="Q3248" i="1"/>
  <c r="Q3247" i="1"/>
  <c r="Q3246" i="1"/>
  <c r="Q3245" i="1"/>
  <c r="Q3244" i="1"/>
  <c r="Q3243" i="1"/>
  <c r="Q3242" i="1"/>
  <c r="Q3241" i="1"/>
  <c r="Q3240" i="1"/>
  <c r="Q3239" i="1"/>
  <c r="Q3238" i="1"/>
  <c r="Q3237" i="1"/>
  <c r="Q3236" i="1"/>
  <c r="Q3235" i="1"/>
  <c r="Q3234" i="1"/>
  <c r="Q3233" i="1"/>
  <c r="Q3232" i="1"/>
  <c r="Q3231" i="1"/>
  <c r="Q3230" i="1"/>
  <c r="Q3229" i="1"/>
  <c r="Q3228" i="1"/>
  <c r="Q3227" i="1"/>
  <c r="Q3226" i="1"/>
  <c r="Q3225" i="1"/>
  <c r="Q3224" i="1"/>
  <c r="Q3223" i="1"/>
  <c r="Q3222" i="1"/>
  <c r="Q3221" i="1"/>
  <c r="Q3220" i="1"/>
  <c r="Q3219" i="1"/>
  <c r="Q3218" i="1"/>
  <c r="Q3217" i="1"/>
  <c r="Q3216" i="1"/>
  <c r="Q3215" i="1"/>
  <c r="Q3214" i="1"/>
  <c r="Q3213" i="1"/>
  <c r="Q3212" i="1"/>
  <c r="Q3211" i="1"/>
  <c r="Q3210" i="1"/>
  <c r="Q3209" i="1"/>
  <c r="Q3208" i="1"/>
  <c r="Q3207" i="1"/>
  <c r="Q3206" i="1"/>
  <c r="Q3205" i="1"/>
  <c r="Q3204" i="1"/>
  <c r="Q3203" i="1"/>
  <c r="Q3202" i="1"/>
  <c r="Q3201" i="1"/>
  <c r="Q3200" i="1"/>
  <c r="Q3199" i="1"/>
  <c r="Q3198" i="1"/>
  <c r="Q3197" i="1"/>
  <c r="Q3196" i="1"/>
  <c r="Q3195" i="1"/>
  <c r="Q3194" i="1"/>
  <c r="Q3193" i="1"/>
  <c r="Q3192" i="1"/>
  <c r="Q3191" i="1"/>
  <c r="Q3190" i="1"/>
  <c r="Q3189" i="1"/>
  <c r="Q3188" i="1"/>
  <c r="Q3187" i="1"/>
  <c r="Q3186" i="1"/>
  <c r="Q3185" i="1"/>
  <c r="Q3184" i="1"/>
  <c r="Q3183" i="1"/>
  <c r="Q3182" i="1"/>
  <c r="Q3181" i="1"/>
  <c r="Q3180" i="1"/>
  <c r="Q3179" i="1"/>
  <c r="Q3178" i="1"/>
  <c r="Q3177" i="1"/>
  <c r="Q3176" i="1"/>
  <c r="Q3175" i="1"/>
  <c r="Q3174" i="1"/>
  <c r="Q3173" i="1"/>
  <c r="Q3172" i="1"/>
  <c r="Q3171" i="1"/>
  <c r="Q3170" i="1"/>
  <c r="Q3169" i="1"/>
  <c r="Q3168" i="1"/>
  <c r="Q3167" i="1"/>
  <c r="Q3166" i="1"/>
  <c r="Q3165" i="1"/>
  <c r="Q3164" i="1"/>
  <c r="Q3163" i="1"/>
  <c r="Q3162" i="1"/>
  <c r="Q3161" i="1"/>
  <c r="Q3160" i="1"/>
  <c r="Q3159" i="1"/>
  <c r="Q3158" i="1"/>
  <c r="Q3157" i="1"/>
  <c r="Q3156" i="1"/>
  <c r="Q3155" i="1"/>
  <c r="Q3154" i="1"/>
  <c r="Q3153" i="1"/>
  <c r="Q3152" i="1"/>
  <c r="Q3151" i="1"/>
  <c r="Q3150" i="1"/>
  <c r="Q3149" i="1"/>
  <c r="Q3148" i="1"/>
  <c r="Q3147" i="1"/>
  <c r="Q3146" i="1"/>
  <c r="Q3145" i="1"/>
  <c r="Q3144" i="1"/>
  <c r="Q3143" i="1"/>
  <c r="Q3142" i="1"/>
  <c r="Q3141" i="1"/>
  <c r="Q3140" i="1"/>
  <c r="Q3139" i="1"/>
  <c r="Q3138" i="1"/>
  <c r="Q3137" i="1"/>
  <c r="Q3136" i="1"/>
  <c r="Q3135" i="1"/>
  <c r="Q3134" i="1"/>
  <c r="Q3133" i="1"/>
  <c r="Q3132" i="1"/>
  <c r="Q3131" i="1"/>
  <c r="Q3130" i="1"/>
  <c r="Q3129" i="1"/>
  <c r="Q3128" i="1"/>
  <c r="Q3127" i="1"/>
  <c r="Q3126" i="1"/>
  <c r="Q3125" i="1"/>
  <c r="Q3124" i="1"/>
  <c r="Q3123" i="1"/>
  <c r="Q3122" i="1"/>
  <c r="Q3121" i="1"/>
  <c r="Q3120" i="1"/>
  <c r="Q3119" i="1"/>
  <c r="Q3118" i="1"/>
  <c r="Q3117" i="1"/>
  <c r="Q3116" i="1"/>
  <c r="Q3115" i="1"/>
  <c r="Q3114" i="1"/>
  <c r="Q3113" i="1"/>
  <c r="Q3112" i="1"/>
  <c r="Q3111" i="1"/>
  <c r="Q3110" i="1"/>
  <c r="Q3109" i="1"/>
  <c r="Q3108" i="1"/>
  <c r="Q3107" i="1"/>
  <c r="Q3106" i="1"/>
  <c r="Q3105" i="1"/>
  <c r="Q3104" i="1"/>
  <c r="Q3103" i="1"/>
  <c r="Q3102" i="1"/>
  <c r="Q3101" i="1"/>
  <c r="Q3100" i="1"/>
  <c r="Q3099" i="1"/>
  <c r="Q3098" i="1"/>
  <c r="Q3097" i="1"/>
  <c r="Q3096" i="1"/>
  <c r="Q3095" i="1"/>
  <c r="Q3094" i="1"/>
  <c r="Q3093" i="1"/>
  <c r="Q3092" i="1"/>
  <c r="Q3091" i="1"/>
  <c r="Q3090" i="1"/>
  <c r="Q3089" i="1"/>
  <c r="Q3088" i="1"/>
  <c r="Q3087" i="1"/>
  <c r="Q3086" i="1"/>
  <c r="Q3085" i="1"/>
  <c r="Q3084" i="1"/>
  <c r="Q3083" i="1"/>
  <c r="Q3082" i="1"/>
  <c r="Q3081" i="1"/>
  <c r="Q3080" i="1"/>
  <c r="Q3079" i="1"/>
  <c r="Q3078" i="1"/>
  <c r="Q3077" i="1"/>
  <c r="Q3076" i="1"/>
  <c r="Q3075" i="1"/>
  <c r="Q3074" i="1"/>
  <c r="Q3073" i="1"/>
  <c r="Q3072" i="1"/>
  <c r="Q3071" i="1"/>
  <c r="Q3070" i="1"/>
  <c r="Q3069" i="1"/>
  <c r="Q3068" i="1"/>
  <c r="Q3067" i="1"/>
  <c r="Q3066" i="1"/>
  <c r="Q3065" i="1"/>
  <c r="Q3064" i="1"/>
  <c r="Q3063" i="1"/>
  <c r="Q3062" i="1"/>
  <c r="Q3061" i="1"/>
  <c r="Q3060" i="1"/>
  <c r="Q3059" i="1"/>
  <c r="Q3058" i="1"/>
  <c r="Q3057" i="1"/>
  <c r="Q3056" i="1"/>
  <c r="Q3055" i="1"/>
  <c r="Q3054" i="1"/>
  <c r="Q3053" i="1"/>
  <c r="Q3052" i="1"/>
  <c r="Q3051" i="1"/>
  <c r="Q3050" i="1"/>
  <c r="Q3049" i="1"/>
  <c r="Q3048" i="1"/>
  <c r="Q3047" i="1"/>
  <c r="Q3046" i="1"/>
  <c r="Q3045" i="1"/>
  <c r="Q3044" i="1"/>
  <c r="Q3043" i="1"/>
  <c r="Q3042" i="1"/>
  <c r="Q3041" i="1"/>
  <c r="Q3040" i="1"/>
  <c r="Q3039" i="1"/>
  <c r="Q3038" i="1"/>
  <c r="Q3037" i="1"/>
  <c r="Q3036" i="1"/>
  <c r="Q3035" i="1"/>
  <c r="Q3034" i="1"/>
  <c r="Q3033" i="1"/>
  <c r="Q3032" i="1"/>
  <c r="Q3031" i="1"/>
  <c r="Q3030" i="1"/>
  <c r="Q3029" i="1"/>
  <c r="Q3028" i="1"/>
  <c r="Q3027" i="1"/>
  <c r="Q3026" i="1"/>
  <c r="Q3025" i="1"/>
  <c r="Q3024" i="1"/>
  <c r="Q3023" i="1"/>
  <c r="Q3022" i="1"/>
  <c r="Q3021" i="1"/>
  <c r="Q3020" i="1"/>
  <c r="Q3019" i="1"/>
  <c r="Q3018" i="1"/>
  <c r="Q3017" i="1"/>
  <c r="Q3016" i="1"/>
  <c r="Q3015" i="1"/>
  <c r="Q3014" i="1"/>
  <c r="Q3013" i="1"/>
  <c r="Q3012" i="1"/>
  <c r="Q3011" i="1"/>
  <c r="Q3010" i="1"/>
  <c r="Q3009" i="1"/>
  <c r="Q3008" i="1"/>
  <c r="Q3007" i="1"/>
  <c r="Q3006" i="1"/>
  <c r="Q3005" i="1"/>
  <c r="Q3004" i="1"/>
  <c r="Q3003" i="1"/>
  <c r="Q3002" i="1"/>
  <c r="Q3001" i="1"/>
  <c r="Q3000" i="1"/>
  <c r="Q2999" i="1"/>
  <c r="Q2998" i="1"/>
  <c r="Q2997" i="1"/>
  <c r="Q2996" i="1"/>
  <c r="Q2995" i="1"/>
  <c r="Q2994" i="1"/>
  <c r="Q2993" i="1"/>
  <c r="Q2992" i="1"/>
  <c r="Q2991" i="1"/>
  <c r="Q2990" i="1"/>
  <c r="Q2989" i="1"/>
  <c r="Q2988" i="1"/>
  <c r="Q2987" i="1"/>
  <c r="Q2986" i="1"/>
  <c r="Q2985" i="1"/>
  <c r="Q2984" i="1"/>
  <c r="Q2983" i="1"/>
  <c r="Q2982" i="1"/>
  <c r="Q2981" i="1"/>
  <c r="Q2980" i="1"/>
  <c r="Q2979" i="1"/>
  <c r="Q2978" i="1"/>
  <c r="Q2977" i="1"/>
  <c r="Q2976" i="1"/>
  <c r="Q2975" i="1"/>
  <c r="Q2974" i="1"/>
  <c r="Q2973" i="1"/>
  <c r="Q2972" i="1"/>
  <c r="Q2971" i="1"/>
  <c r="Q2970" i="1"/>
  <c r="Q2969" i="1"/>
  <c r="Q2968" i="1"/>
  <c r="Q2967" i="1"/>
  <c r="Q2966" i="1"/>
  <c r="Q2965" i="1"/>
  <c r="Q2964" i="1"/>
  <c r="Q2963" i="1"/>
  <c r="Q2962" i="1"/>
  <c r="Q2961" i="1"/>
  <c r="Q2960" i="1"/>
  <c r="Q2959" i="1"/>
  <c r="Q2958" i="1"/>
  <c r="Q2957" i="1"/>
  <c r="Q2956" i="1"/>
  <c r="Q2955" i="1"/>
  <c r="Q2954" i="1"/>
  <c r="Q2953" i="1"/>
  <c r="Q2952" i="1"/>
  <c r="Q2951" i="1"/>
  <c r="Q2950" i="1"/>
  <c r="Q2949" i="1"/>
  <c r="Q2948" i="1"/>
  <c r="Q2947" i="1"/>
  <c r="Q2946" i="1"/>
  <c r="Q2945" i="1"/>
  <c r="Q2944" i="1"/>
  <c r="Q2943" i="1"/>
  <c r="Q2942" i="1"/>
  <c r="Q2941" i="1"/>
  <c r="Q2940" i="1"/>
  <c r="Q2939" i="1"/>
  <c r="Q2938" i="1"/>
  <c r="Q2937" i="1"/>
  <c r="Q2936" i="1"/>
  <c r="Q2935" i="1"/>
  <c r="Q2934" i="1"/>
  <c r="Q2933" i="1"/>
  <c r="Q2932" i="1"/>
  <c r="Q2931" i="1"/>
  <c r="Q2930" i="1"/>
  <c r="Q2929" i="1"/>
  <c r="Q2928" i="1"/>
  <c r="Q2927" i="1"/>
  <c r="Q2926" i="1"/>
  <c r="Q2925" i="1"/>
  <c r="Q2924" i="1"/>
  <c r="Q2923" i="1"/>
  <c r="Q2922" i="1"/>
  <c r="Q2921" i="1"/>
  <c r="Q2920" i="1"/>
  <c r="Q2919" i="1"/>
  <c r="Q2918" i="1"/>
  <c r="Q2917" i="1"/>
  <c r="Q2916" i="1"/>
  <c r="Q2915" i="1"/>
  <c r="Q2914" i="1"/>
  <c r="Q2913" i="1"/>
  <c r="Q2912" i="1"/>
  <c r="Q2911" i="1"/>
  <c r="Q2910" i="1"/>
  <c r="Q2909" i="1"/>
  <c r="Q2908" i="1"/>
  <c r="Q2907" i="1"/>
  <c r="Q2906" i="1"/>
  <c r="Q2905" i="1"/>
  <c r="Q2904" i="1"/>
  <c r="Q2903" i="1"/>
  <c r="Q2902" i="1"/>
  <c r="Q2901" i="1"/>
  <c r="Q2900" i="1"/>
  <c r="Q2899" i="1"/>
  <c r="Q2898" i="1"/>
  <c r="Q2897" i="1"/>
  <c r="Q2896" i="1"/>
  <c r="Q2895" i="1"/>
  <c r="Q2894" i="1"/>
  <c r="Q2893" i="1"/>
  <c r="Q2892" i="1"/>
  <c r="Q2891" i="1"/>
  <c r="Q2890" i="1"/>
  <c r="Q2889" i="1"/>
  <c r="Q2888" i="1"/>
  <c r="Q2887" i="1"/>
  <c r="Q2886" i="1"/>
  <c r="Q2885" i="1"/>
  <c r="Q2884" i="1"/>
  <c r="Q2883" i="1"/>
  <c r="Q2882" i="1"/>
  <c r="Q2881" i="1"/>
  <c r="Q2880" i="1"/>
  <c r="Q2879" i="1"/>
  <c r="Q2878" i="1"/>
  <c r="Q2877" i="1"/>
  <c r="Q2876" i="1"/>
  <c r="Q2875" i="1"/>
  <c r="Q2874" i="1"/>
  <c r="Q2873" i="1"/>
  <c r="Q2872" i="1"/>
  <c r="Q2871" i="1"/>
  <c r="Q2870" i="1"/>
  <c r="Q2869" i="1"/>
  <c r="Q2868" i="1"/>
  <c r="Q2867" i="1"/>
  <c r="Q2866" i="1"/>
  <c r="Q2865" i="1"/>
  <c r="Q2864" i="1"/>
  <c r="Q2863" i="1"/>
  <c r="Q2862" i="1"/>
  <c r="Q2861" i="1"/>
  <c r="Q2860" i="1"/>
  <c r="Q2859" i="1"/>
  <c r="Q2858" i="1"/>
  <c r="Q2857" i="1"/>
  <c r="Q2856" i="1"/>
  <c r="Q2855" i="1"/>
  <c r="Q2854" i="1"/>
  <c r="Q2853" i="1"/>
  <c r="Q2852" i="1"/>
  <c r="Q2851" i="1"/>
  <c r="Q2850" i="1"/>
  <c r="Q2849" i="1"/>
  <c r="Q2848" i="1"/>
  <c r="Q2847" i="1"/>
  <c r="Q2846" i="1"/>
  <c r="Q2845" i="1"/>
  <c r="Q2844" i="1"/>
  <c r="Q2843" i="1"/>
  <c r="Q2842" i="1"/>
  <c r="Q2841" i="1"/>
  <c r="Q2840" i="1"/>
  <c r="Q2839" i="1"/>
  <c r="Q2838" i="1"/>
  <c r="Q2837" i="1"/>
  <c r="Q2836" i="1"/>
  <c r="Q2835" i="1"/>
  <c r="Q2834" i="1"/>
  <c r="Q2833" i="1"/>
  <c r="Q2832" i="1"/>
  <c r="Q2831" i="1"/>
  <c r="Q2830" i="1"/>
  <c r="Q2829" i="1"/>
  <c r="Q2828" i="1"/>
  <c r="Q2827" i="1"/>
  <c r="Q2826" i="1"/>
  <c r="Q2825" i="1"/>
  <c r="Q2824" i="1"/>
  <c r="Q2823" i="1"/>
  <c r="Q2822" i="1"/>
  <c r="Q2821" i="1"/>
  <c r="Q2820" i="1"/>
  <c r="Q2819" i="1"/>
  <c r="Q2818" i="1"/>
  <c r="Q2817" i="1"/>
  <c r="Q2816" i="1"/>
  <c r="Q2815" i="1"/>
  <c r="Q2814" i="1"/>
  <c r="Q2813" i="1"/>
  <c r="Q2812" i="1"/>
  <c r="Q2811" i="1"/>
  <c r="Q2810" i="1"/>
  <c r="Q2809" i="1"/>
  <c r="Q2808" i="1"/>
  <c r="Q2807" i="1"/>
  <c r="Q2806" i="1"/>
  <c r="Q2805" i="1"/>
  <c r="Q2804" i="1"/>
  <c r="Q2803" i="1"/>
  <c r="Q2802" i="1"/>
  <c r="Q2801" i="1"/>
  <c r="Q2800" i="1"/>
  <c r="Q2799" i="1"/>
  <c r="Q2798" i="1"/>
  <c r="Q2797" i="1"/>
  <c r="Q2796" i="1"/>
  <c r="Q2795" i="1"/>
  <c r="Q2794" i="1"/>
  <c r="Q2793" i="1"/>
  <c r="Q2792" i="1"/>
  <c r="Q2791" i="1"/>
  <c r="Q2790" i="1"/>
  <c r="Q2789" i="1"/>
  <c r="Q2788" i="1"/>
  <c r="Q2787" i="1"/>
  <c r="Q2786" i="1"/>
  <c r="Q2785" i="1"/>
  <c r="Q2784" i="1"/>
  <c r="Q2783" i="1"/>
  <c r="Q2782" i="1"/>
  <c r="Q2781" i="1"/>
  <c r="Q2780" i="1"/>
  <c r="Q2779" i="1"/>
  <c r="Q2778" i="1"/>
  <c r="Q2777" i="1"/>
  <c r="Q2776" i="1"/>
  <c r="Q2775" i="1"/>
  <c r="Q2774" i="1"/>
  <c r="Q2773" i="1"/>
  <c r="Q2772" i="1"/>
  <c r="Q2771" i="1"/>
  <c r="Q2770" i="1"/>
  <c r="Q2769" i="1"/>
  <c r="Q2768" i="1"/>
  <c r="Q2767" i="1"/>
  <c r="Q2766" i="1"/>
  <c r="Q2765" i="1"/>
  <c r="Q2764" i="1"/>
  <c r="Q2763" i="1"/>
  <c r="Q2762" i="1"/>
  <c r="Q2761" i="1"/>
  <c r="Q2760" i="1"/>
  <c r="Q2759" i="1"/>
  <c r="Q2758" i="1"/>
  <c r="Q2757" i="1"/>
  <c r="Q2756" i="1"/>
  <c r="Q2755" i="1"/>
  <c r="Q2754" i="1"/>
  <c r="Q2753" i="1"/>
  <c r="Q2752" i="1"/>
  <c r="Q2751" i="1"/>
  <c r="Q2750" i="1"/>
  <c r="Q2749" i="1"/>
  <c r="Q2748" i="1"/>
  <c r="Q2747" i="1"/>
  <c r="Q2746" i="1"/>
  <c r="Q2745" i="1"/>
  <c r="Q2744" i="1"/>
  <c r="Q2743" i="1"/>
  <c r="Q2742" i="1"/>
  <c r="Q2741" i="1"/>
  <c r="Q2740" i="1"/>
  <c r="Q2739" i="1"/>
  <c r="Q2738" i="1"/>
  <c r="Q2737" i="1"/>
  <c r="Q2736" i="1"/>
  <c r="Q2735" i="1"/>
  <c r="Q2734" i="1"/>
  <c r="Q2733" i="1"/>
  <c r="Q2732" i="1"/>
  <c r="Q2731" i="1"/>
  <c r="Q2730" i="1"/>
  <c r="Q2729" i="1"/>
  <c r="Q2728" i="1"/>
  <c r="Q2727" i="1"/>
  <c r="Q2726" i="1"/>
  <c r="Q2725" i="1"/>
  <c r="Q2724" i="1"/>
  <c r="Q2723" i="1"/>
  <c r="Q2722" i="1"/>
  <c r="Q2721" i="1"/>
  <c r="Q2720" i="1"/>
  <c r="Q2719" i="1"/>
  <c r="Q2718" i="1"/>
  <c r="Q2717" i="1"/>
  <c r="Q2716" i="1"/>
  <c r="Q2715" i="1"/>
  <c r="Q2714" i="1"/>
  <c r="Q2713" i="1"/>
  <c r="Q2712" i="1"/>
  <c r="Q2711" i="1"/>
  <c r="Q2710" i="1"/>
  <c r="Q2709" i="1"/>
  <c r="Q2708" i="1"/>
  <c r="Q2707" i="1"/>
  <c r="Q2706" i="1"/>
  <c r="Q2705" i="1"/>
  <c r="Q2704" i="1"/>
  <c r="Q2703" i="1"/>
  <c r="Q2702" i="1"/>
  <c r="Q2701" i="1"/>
  <c r="Q2700" i="1"/>
  <c r="Q2699" i="1"/>
  <c r="Q2698" i="1"/>
  <c r="Q2697" i="1"/>
  <c r="Q2696" i="1"/>
  <c r="Q2695" i="1"/>
  <c r="Q2694" i="1"/>
  <c r="Q2693" i="1"/>
  <c r="Q2692" i="1"/>
  <c r="Q2691" i="1"/>
  <c r="Q2690" i="1"/>
  <c r="Q2689" i="1"/>
  <c r="Q2688" i="1"/>
  <c r="Q2687" i="1"/>
  <c r="Q2686" i="1"/>
  <c r="Q2685" i="1"/>
  <c r="Q2684" i="1"/>
  <c r="Q2683" i="1"/>
  <c r="Q2682" i="1"/>
  <c r="Q2681" i="1"/>
  <c r="Q2680" i="1"/>
  <c r="Q2679" i="1"/>
  <c r="Q2678" i="1"/>
  <c r="Q2677" i="1"/>
  <c r="Q2676" i="1"/>
  <c r="Q2675" i="1"/>
  <c r="Q2674" i="1"/>
  <c r="Q2673" i="1"/>
  <c r="Q2672" i="1"/>
  <c r="Q2671" i="1"/>
  <c r="Q2670" i="1"/>
  <c r="Q2669" i="1"/>
  <c r="Q2668" i="1"/>
  <c r="Q2667" i="1"/>
  <c r="Q2666" i="1"/>
  <c r="Q2665" i="1"/>
  <c r="Q2664" i="1"/>
  <c r="Q2663" i="1"/>
  <c r="Q2662" i="1"/>
  <c r="Q2661" i="1"/>
  <c r="Q2660" i="1"/>
  <c r="Q2659" i="1"/>
  <c r="Q2658" i="1"/>
  <c r="Q2657" i="1"/>
  <c r="Q2656" i="1"/>
  <c r="Q2655" i="1"/>
  <c r="Q2654" i="1"/>
  <c r="Q2653" i="1"/>
  <c r="Q2652" i="1"/>
  <c r="Q2651" i="1"/>
  <c r="Q2650" i="1"/>
  <c r="Q2649" i="1"/>
  <c r="Q2648" i="1"/>
  <c r="Q2647" i="1"/>
  <c r="Q2646" i="1"/>
  <c r="Q2645" i="1"/>
  <c r="Q2644" i="1"/>
  <c r="Q2643" i="1"/>
  <c r="Q2642" i="1"/>
  <c r="Q2641" i="1"/>
  <c r="Q2640" i="1"/>
  <c r="Q2639" i="1"/>
  <c r="Q2638" i="1"/>
  <c r="Q2637" i="1"/>
  <c r="Q2636" i="1"/>
  <c r="Q2635" i="1"/>
  <c r="Q2634" i="1"/>
  <c r="Q2633" i="1"/>
  <c r="Q2632" i="1"/>
  <c r="Q2631" i="1"/>
  <c r="Q2630" i="1"/>
  <c r="Q2629" i="1"/>
  <c r="Q2628" i="1"/>
  <c r="Q2627" i="1"/>
  <c r="Q2626" i="1"/>
  <c r="Q2625" i="1"/>
  <c r="Q2624" i="1"/>
  <c r="Q2623" i="1"/>
  <c r="Q2622" i="1"/>
  <c r="Q2621" i="1"/>
  <c r="Q2620" i="1"/>
  <c r="Q2619" i="1"/>
  <c r="Q2618" i="1"/>
  <c r="Q2617" i="1"/>
  <c r="Q2616" i="1"/>
  <c r="Q2615" i="1"/>
  <c r="Q2614" i="1"/>
  <c r="Q2613" i="1"/>
  <c r="Q2612" i="1"/>
  <c r="Q2611" i="1"/>
  <c r="Q2610" i="1"/>
  <c r="Q2609" i="1"/>
  <c r="Q2608" i="1"/>
  <c r="Q2607" i="1"/>
  <c r="Q2606" i="1"/>
  <c r="Q2605" i="1"/>
  <c r="Q2604" i="1"/>
  <c r="Q2603" i="1"/>
  <c r="Q2602" i="1"/>
  <c r="Q2601" i="1"/>
  <c r="Q2600" i="1"/>
  <c r="Q2599" i="1"/>
  <c r="Q2598" i="1"/>
  <c r="Q2597" i="1"/>
  <c r="Q2596" i="1"/>
  <c r="Q2595" i="1"/>
  <c r="Q2594" i="1"/>
  <c r="Q2593" i="1"/>
  <c r="Q2592" i="1"/>
  <c r="Q2591" i="1"/>
  <c r="Q2590" i="1"/>
  <c r="Q2589" i="1"/>
  <c r="Q2588" i="1"/>
  <c r="Q2587" i="1"/>
  <c r="Q2586" i="1"/>
  <c r="Q2585" i="1"/>
  <c r="Q2584" i="1"/>
  <c r="Q2583" i="1"/>
  <c r="Q2582" i="1"/>
  <c r="Q2581" i="1"/>
  <c r="Q2580" i="1"/>
  <c r="Q2579" i="1"/>
  <c r="Q2578" i="1"/>
  <c r="Q2577" i="1"/>
  <c r="Q2576" i="1"/>
  <c r="Q2575" i="1"/>
  <c r="Q2574" i="1"/>
  <c r="Q2573" i="1"/>
  <c r="Q2572" i="1"/>
  <c r="Q2571" i="1"/>
  <c r="Q2570" i="1"/>
  <c r="Q2569" i="1"/>
  <c r="Q2568" i="1"/>
  <c r="Q2567" i="1"/>
  <c r="Q2566" i="1"/>
  <c r="Q2565" i="1"/>
  <c r="Q2564" i="1"/>
  <c r="Q2563" i="1"/>
  <c r="Q2562" i="1"/>
  <c r="Q2561" i="1"/>
  <c r="Q2560" i="1"/>
  <c r="Q2559" i="1"/>
  <c r="Q2558" i="1"/>
  <c r="Q2557" i="1"/>
  <c r="Q2556" i="1"/>
  <c r="Q2555" i="1"/>
  <c r="Q2554" i="1"/>
  <c r="Q2553" i="1"/>
  <c r="Q2552" i="1"/>
  <c r="Q2551" i="1"/>
  <c r="Q2550" i="1"/>
  <c r="Q2549" i="1"/>
  <c r="Q2548" i="1"/>
  <c r="Q2547" i="1"/>
  <c r="Q2546" i="1"/>
  <c r="Q2545" i="1"/>
  <c r="Q2544" i="1"/>
  <c r="Q2543" i="1"/>
  <c r="Q2542" i="1"/>
  <c r="Q2541" i="1"/>
  <c r="Q2540" i="1"/>
  <c r="Q2539" i="1"/>
  <c r="Q2538" i="1"/>
  <c r="Q2537" i="1"/>
  <c r="Q2536" i="1"/>
  <c r="Q2535" i="1"/>
  <c r="Q2534" i="1"/>
  <c r="Q2533" i="1"/>
  <c r="Q2532" i="1"/>
  <c r="Q2531" i="1"/>
  <c r="Q2530" i="1"/>
  <c r="Q2529" i="1"/>
  <c r="Q2528" i="1"/>
  <c r="Q2527" i="1"/>
  <c r="Q2526" i="1"/>
  <c r="Q2525" i="1"/>
  <c r="Q2524" i="1"/>
  <c r="Q2523" i="1"/>
  <c r="Q2522" i="1"/>
  <c r="Q2521" i="1"/>
  <c r="Q2520" i="1"/>
  <c r="Q2519" i="1"/>
  <c r="Q2518" i="1"/>
  <c r="Q2517" i="1"/>
  <c r="Q2516" i="1"/>
  <c r="Q2515" i="1"/>
  <c r="Q2514" i="1"/>
  <c r="Q2513" i="1"/>
  <c r="Q2512" i="1"/>
  <c r="Q2511" i="1"/>
  <c r="Q2510" i="1"/>
  <c r="Q2509" i="1"/>
  <c r="Q2508" i="1"/>
  <c r="Q2507" i="1"/>
  <c r="Q2506" i="1"/>
  <c r="Q2505" i="1"/>
  <c r="Q2504" i="1"/>
  <c r="Q2503" i="1"/>
  <c r="Q2502" i="1"/>
  <c r="Q2501" i="1"/>
  <c r="Q2500" i="1"/>
  <c r="Q2499" i="1"/>
  <c r="Q2498" i="1"/>
  <c r="Q2497" i="1"/>
  <c r="Q2496" i="1"/>
  <c r="Q2495" i="1"/>
  <c r="Q2494" i="1"/>
  <c r="Q2493" i="1"/>
  <c r="Q2492" i="1"/>
  <c r="Q2491" i="1"/>
  <c r="Q2490" i="1"/>
  <c r="Q2489" i="1"/>
  <c r="Q2488" i="1"/>
  <c r="Q2487" i="1"/>
  <c r="Q2486" i="1"/>
  <c r="Q2485" i="1"/>
  <c r="Q2484" i="1"/>
  <c r="Q2483" i="1"/>
  <c r="Q2482" i="1"/>
  <c r="Q2481" i="1"/>
  <c r="Q2480" i="1"/>
  <c r="Q2479" i="1"/>
  <c r="Q2478" i="1"/>
  <c r="Q2477" i="1"/>
  <c r="Q2476" i="1"/>
  <c r="Q2475" i="1"/>
  <c r="Q2474" i="1"/>
  <c r="Q2473" i="1"/>
  <c r="Q2472" i="1"/>
  <c r="Q2471" i="1"/>
  <c r="Q2470" i="1"/>
  <c r="Q2469" i="1"/>
  <c r="Q2468" i="1"/>
  <c r="Q2467" i="1"/>
  <c r="Q2466" i="1"/>
  <c r="Q2465" i="1"/>
  <c r="Q2464" i="1"/>
  <c r="Q2463" i="1"/>
  <c r="Q2462" i="1"/>
  <c r="Q2461" i="1"/>
  <c r="Q2460" i="1"/>
  <c r="Q2459" i="1"/>
  <c r="Q2458" i="1"/>
  <c r="Q2457" i="1"/>
  <c r="Q2456" i="1"/>
  <c r="Q2455" i="1"/>
  <c r="Q2454" i="1"/>
  <c r="Q2453" i="1"/>
  <c r="Q2452" i="1"/>
  <c r="Q2451" i="1"/>
  <c r="Q2450" i="1"/>
  <c r="Q2449" i="1"/>
  <c r="Q2448" i="1"/>
  <c r="Q2447" i="1"/>
  <c r="Q2446" i="1"/>
  <c r="Q2445" i="1"/>
  <c r="Q2444" i="1"/>
  <c r="Q2443" i="1"/>
  <c r="Q2442" i="1"/>
  <c r="Q2441" i="1"/>
  <c r="Q2440" i="1"/>
  <c r="Q2439" i="1"/>
  <c r="Q2438" i="1"/>
  <c r="Q2437" i="1"/>
  <c r="Q2436" i="1"/>
  <c r="Q2435" i="1"/>
  <c r="Q2434" i="1"/>
  <c r="Q2433" i="1"/>
  <c r="Q2432" i="1"/>
  <c r="Q2431" i="1"/>
  <c r="Q2430" i="1"/>
  <c r="Q2429" i="1"/>
  <c r="Q2428" i="1"/>
  <c r="Q2427" i="1"/>
  <c r="Q2426" i="1"/>
  <c r="Q2425" i="1"/>
  <c r="Q2424" i="1"/>
  <c r="Q2423" i="1"/>
  <c r="Q2422" i="1"/>
  <c r="Q2421" i="1"/>
  <c r="Q2420" i="1"/>
  <c r="Q2419" i="1"/>
  <c r="Q2418" i="1"/>
  <c r="Q2417" i="1"/>
  <c r="Q2416" i="1"/>
  <c r="Q2415" i="1"/>
  <c r="Q2414" i="1"/>
  <c r="Q2413" i="1"/>
  <c r="Q2412" i="1"/>
  <c r="Q2411" i="1"/>
  <c r="Q2410" i="1"/>
  <c r="Q2409" i="1"/>
  <c r="Q2408" i="1"/>
  <c r="Q2407" i="1"/>
  <c r="Q2406" i="1"/>
  <c r="Q2405" i="1"/>
  <c r="Q2404" i="1"/>
  <c r="Q2403" i="1"/>
  <c r="Q2402" i="1"/>
  <c r="Q2401" i="1"/>
  <c r="Q2400" i="1"/>
  <c r="Q2399" i="1"/>
  <c r="Q2398" i="1"/>
  <c r="Q2397" i="1"/>
  <c r="Q2396" i="1"/>
  <c r="Q2395" i="1"/>
  <c r="Q2394" i="1"/>
  <c r="Q2393" i="1"/>
  <c r="Q2392" i="1"/>
  <c r="Q2391" i="1"/>
  <c r="Q2390" i="1"/>
  <c r="Q2389" i="1"/>
  <c r="Q2388" i="1"/>
  <c r="Q2387" i="1"/>
  <c r="Q2386" i="1"/>
  <c r="Q2385" i="1"/>
  <c r="Q2384" i="1"/>
  <c r="Q2383" i="1"/>
  <c r="Q2382" i="1"/>
  <c r="Q2381" i="1"/>
  <c r="Q2380" i="1"/>
  <c r="Q2379" i="1"/>
  <c r="Q2378" i="1"/>
  <c r="Q2377" i="1"/>
  <c r="Q2376" i="1"/>
  <c r="Q2375" i="1"/>
  <c r="Q2374" i="1"/>
  <c r="Q2373" i="1"/>
  <c r="Q2372" i="1"/>
  <c r="Q2371" i="1"/>
  <c r="Q2370" i="1"/>
  <c r="Q2369" i="1"/>
  <c r="Q2368" i="1"/>
  <c r="Q2367" i="1"/>
  <c r="Q2366" i="1"/>
  <c r="Q2365" i="1"/>
  <c r="Q2364" i="1"/>
  <c r="Q2363" i="1"/>
  <c r="Q2362" i="1"/>
  <c r="Q2361" i="1"/>
  <c r="Q2360" i="1"/>
  <c r="Q2359" i="1"/>
  <c r="Q2358" i="1"/>
  <c r="Q2357" i="1"/>
  <c r="Q2356" i="1"/>
  <c r="Q2355" i="1"/>
  <c r="Q2354" i="1"/>
  <c r="Q2353" i="1"/>
  <c r="Q2352" i="1"/>
  <c r="Q2351" i="1"/>
  <c r="Q2350" i="1"/>
  <c r="Q2349" i="1"/>
  <c r="Q2348" i="1"/>
  <c r="Q2347" i="1"/>
  <c r="Q2346" i="1"/>
  <c r="Q2345" i="1"/>
  <c r="Q2344" i="1"/>
  <c r="Q2343" i="1"/>
  <c r="Q2342" i="1"/>
  <c r="Q2341" i="1"/>
  <c r="Q2340" i="1"/>
  <c r="Q2339" i="1"/>
  <c r="Q2338" i="1"/>
  <c r="Q2337" i="1"/>
  <c r="Q2336" i="1"/>
  <c r="Q2335" i="1"/>
  <c r="Q2334" i="1"/>
  <c r="Q2333" i="1"/>
  <c r="Q2332" i="1"/>
  <c r="Q2331" i="1"/>
  <c r="Q2330" i="1"/>
  <c r="Q2329" i="1"/>
  <c r="Q2328" i="1"/>
  <c r="Q2327" i="1"/>
  <c r="Q2326" i="1"/>
  <c r="Q2325" i="1"/>
  <c r="Q2324" i="1"/>
  <c r="Q2323" i="1"/>
  <c r="Q2322" i="1"/>
  <c r="Q2321" i="1"/>
  <c r="Q2320" i="1"/>
  <c r="Q2319" i="1"/>
  <c r="Q2318" i="1"/>
  <c r="Q2317" i="1"/>
  <c r="Q2316" i="1"/>
  <c r="Q2315" i="1"/>
  <c r="Q2314" i="1"/>
  <c r="Q2313" i="1"/>
  <c r="Q2312" i="1"/>
  <c r="Q2311" i="1"/>
  <c r="Q2310" i="1"/>
  <c r="Q2309" i="1"/>
  <c r="Q2308" i="1"/>
  <c r="Q2307" i="1"/>
  <c r="Q2306" i="1"/>
  <c r="Q2305" i="1"/>
  <c r="Q2304" i="1"/>
  <c r="Q2303" i="1"/>
  <c r="Q2302" i="1"/>
  <c r="Q2301" i="1"/>
  <c r="Q2300" i="1"/>
  <c r="Q2299" i="1"/>
  <c r="Q2298" i="1"/>
  <c r="Q2297" i="1"/>
  <c r="Q2296" i="1"/>
  <c r="Q2295" i="1"/>
  <c r="Q2294" i="1"/>
  <c r="Q2293" i="1"/>
  <c r="Q2292" i="1"/>
  <c r="Q2291" i="1"/>
  <c r="Q2290" i="1"/>
  <c r="Q2289" i="1"/>
  <c r="Q2288" i="1"/>
  <c r="Q2287" i="1"/>
  <c r="Q2286" i="1"/>
  <c r="Q2285" i="1"/>
  <c r="Q2284" i="1"/>
  <c r="Q2283" i="1"/>
  <c r="Q2282" i="1"/>
  <c r="Q2281" i="1"/>
  <c r="Q2280" i="1"/>
  <c r="Q2279" i="1"/>
  <c r="Q2278" i="1"/>
  <c r="Q2277" i="1"/>
  <c r="Q2276" i="1"/>
  <c r="Q2275" i="1"/>
  <c r="Q2274" i="1"/>
  <c r="Q2273" i="1"/>
  <c r="Q2272" i="1"/>
  <c r="Q2271" i="1"/>
  <c r="Q2270" i="1"/>
  <c r="Q2269" i="1"/>
  <c r="Q2268" i="1"/>
  <c r="Q2267" i="1"/>
  <c r="Q2266" i="1"/>
  <c r="Q2265" i="1"/>
  <c r="Q2264" i="1"/>
  <c r="Q2263" i="1"/>
  <c r="Q2262" i="1"/>
  <c r="Q2261" i="1"/>
  <c r="Q2260" i="1"/>
  <c r="Q2259" i="1"/>
  <c r="Q2258" i="1"/>
  <c r="Q2257" i="1"/>
  <c r="Q2256" i="1"/>
  <c r="Q2255" i="1"/>
  <c r="Q2254" i="1"/>
  <c r="Q2253" i="1"/>
  <c r="Q2252" i="1"/>
  <c r="Q2251" i="1"/>
  <c r="Q2250" i="1"/>
  <c r="Q2249" i="1"/>
  <c r="Q2248" i="1"/>
  <c r="Q2247" i="1"/>
  <c r="Q2246" i="1"/>
  <c r="Q2245" i="1"/>
  <c r="Q2244" i="1"/>
  <c r="Q2243" i="1"/>
  <c r="Q2242" i="1"/>
  <c r="Q2241" i="1"/>
  <c r="Q2240" i="1"/>
  <c r="Q2239" i="1"/>
  <c r="Q2238" i="1"/>
  <c r="Q2237" i="1"/>
  <c r="Q2236" i="1"/>
  <c r="Q2235" i="1"/>
  <c r="Q2234" i="1"/>
  <c r="Q2233" i="1"/>
  <c r="Q2232" i="1"/>
  <c r="Q2231" i="1"/>
  <c r="Q2230" i="1"/>
  <c r="Q2229" i="1"/>
  <c r="Q2228" i="1"/>
  <c r="Q2227" i="1"/>
  <c r="Q2226" i="1"/>
  <c r="Q2225" i="1"/>
  <c r="Q2224" i="1"/>
  <c r="Q2223" i="1"/>
  <c r="Q2222" i="1"/>
  <c r="Q2221" i="1"/>
  <c r="Q2220" i="1"/>
  <c r="Q2219" i="1"/>
  <c r="Q2218" i="1"/>
  <c r="Q2217" i="1"/>
  <c r="Q2216" i="1"/>
  <c r="Q2215" i="1"/>
  <c r="Q2214" i="1"/>
  <c r="Q2213" i="1"/>
  <c r="Q2212" i="1"/>
  <c r="Q2211" i="1"/>
  <c r="Q2210" i="1"/>
  <c r="Q2209" i="1"/>
  <c r="Q2208" i="1"/>
  <c r="Q2207" i="1"/>
  <c r="Q2206" i="1"/>
  <c r="Q2205" i="1"/>
  <c r="Q2204" i="1"/>
  <c r="Q2203" i="1"/>
  <c r="Q2202" i="1"/>
  <c r="Q2201" i="1"/>
  <c r="Q2200" i="1"/>
  <c r="Q2199" i="1"/>
  <c r="Q2198" i="1"/>
  <c r="Q2197" i="1"/>
  <c r="Q2196" i="1"/>
  <c r="Q2195" i="1"/>
  <c r="Q2194" i="1"/>
  <c r="Q2193" i="1"/>
  <c r="Q2192" i="1"/>
  <c r="Q2191" i="1"/>
  <c r="Q2190" i="1"/>
  <c r="Q2189" i="1"/>
  <c r="Q2188" i="1"/>
  <c r="Q2187" i="1"/>
  <c r="Q2186" i="1"/>
  <c r="Q2185" i="1"/>
  <c r="Q2184" i="1"/>
  <c r="Q2183" i="1"/>
  <c r="Q2182" i="1"/>
  <c r="Q2181" i="1"/>
  <c r="Q2180" i="1"/>
  <c r="Q2179" i="1"/>
  <c r="Q2178" i="1"/>
  <c r="Q2177" i="1"/>
  <c r="Q2176" i="1"/>
  <c r="Q2175" i="1"/>
  <c r="Q2174" i="1"/>
  <c r="Q2173" i="1"/>
  <c r="Q2172" i="1"/>
  <c r="Q2171" i="1"/>
  <c r="Q2170" i="1"/>
  <c r="Q2169" i="1"/>
  <c r="Q2168" i="1"/>
  <c r="Q2167" i="1"/>
  <c r="Q2166" i="1"/>
  <c r="Q2165" i="1"/>
  <c r="Q2164" i="1"/>
  <c r="Q2163" i="1"/>
  <c r="Q2162" i="1"/>
  <c r="Q2161" i="1"/>
  <c r="Q2160" i="1"/>
  <c r="Q2159" i="1"/>
  <c r="Q2158" i="1"/>
  <c r="Q2157" i="1"/>
  <c r="Q2156" i="1"/>
  <c r="Q2155" i="1"/>
  <c r="Q2154" i="1"/>
  <c r="Q2153" i="1"/>
  <c r="Q2152" i="1"/>
  <c r="Q2151" i="1"/>
  <c r="Q2150" i="1"/>
  <c r="Q2149" i="1"/>
  <c r="Q2148" i="1"/>
  <c r="Q2147" i="1"/>
  <c r="Q2146" i="1"/>
  <c r="Q2145" i="1"/>
  <c r="Q2144" i="1"/>
  <c r="Q2143" i="1"/>
  <c r="Q2142" i="1"/>
  <c r="Q2141" i="1"/>
  <c r="Q2140" i="1"/>
  <c r="Q2139" i="1"/>
  <c r="Q2138" i="1"/>
  <c r="Q2137" i="1"/>
  <c r="Q2136" i="1"/>
  <c r="Q2135" i="1"/>
  <c r="Q2134" i="1"/>
  <c r="Q2133" i="1"/>
  <c r="Q2132" i="1"/>
  <c r="Q2131" i="1"/>
  <c r="Q2130" i="1"/>
  <c r="Q2129" i="1"/>
  <c r="Q2128" i="1"/>
  <c r="Q2127" i="1"/>
  <c r="Q2126" i="1"/>
  <c r="Q2125" i="1"/>
  <c r="Q2124" i="1"/>
  <c r="Q2123" i="1"/>
  <c r="Q2122" i="1"/>
  <c r="Q2121" i="1"/>
  <c r="Q2120" i="1"/>
  <c r="Q2119" i="1"/>
  <c r="Q2118" i="1"/>
  <c r="Q2117" i="1"/>
  <c r="Q2116" i="1"/>
  <c r="Q2115" i="1"/>
  <c r="Q2114" i="1"/>
  <c r="Q2113" i="1"/>
  <c r="Q2112" i="1"/>
  <c r="Q2111" i="1"/>
  <c r="Q2110" i="1"/>
  <c r="Q2109" i="1"/>
  <c r="Q2108" i="1"/>
  <c r="Q2107" i="1"/>
  <c r="Q2106" i="1"/>
  <c r="Q2105" i="1"/>
  <c r="Q2104" i="1"/>
  <c r="Q2103" i="1"/>
  <c r="Q2102" i="1"/>
  <c r="Q2101" i="1"/>
  <c r="Q2100" i="1"/>
  <c r="Q2099" i="1"/>
  <c r="Q2098" i="1"/>
  <c r="Q2097" i="1"/>
  <c r="Q2096" i="1"/>
  <c r="Q2095" i="1"/>
  <c r="Q2094" i="1"/>
  <c r="Q2093" i="1"/>
  <c r="Q2092" i="1"/>
  <c r="Q2091" i="1"/>
  <c r="Q2090" i="1"/>
  <c r="Q2089" i="1"/>
  <c r="Q2088" i="1"/>
  <c r="Q2087" i="1"/>
  <c r="Q2086" i="1"/>
  <c r="Q2085" i="1"/>
  <c r="Q2084" i="1"/>
  <c r="Q2083" i="1"/>
  <c r="Q2082" i="1"/>
  <c r="Q2081" i="1"/>
  <c r="Q2080" i="1"/>
  <c r="Q2079" i="1"/>
  <c r="Q2078" i="1"/>
  <c r="Q2077" i="1"/>
  <c r="Q2076" i="1"/>
  <c r="Q2075" i="1"/>
  <c r="Q2074" i="1"/>
  <c r="Q2073" i="1"/>
  <c r="Q2072" i="1"/>
  <c r="Q2071" i="1"/>
  <c r="Q2070" i="1"/>
  <c r="Q2069" i="1"/>
  <c r="Q2068" i="1"/>
  <c r="Q2067" i="1"/>
  <c r="Q2066" i="1"/>
  <c r="Q2065" i="1"/>
  <c r="Q2064" i="1"/>
  <c r="Q2063" i="1"/>
  <c r="Q2062" i="1"/>
  <c r="Q2061" i="1"/>
  <c r="Q2060" i="1"/>
  <c r="Q2059" i="1"/>
  <c r="Q2058" i="1"/>
  <c r="Q2057" i="1"/>
  <c r="Q2056" i="1"/>
  <c r="Q2055" i="1"/>
  <c r="Q2054" i="1"/>
  <c r="Q2053" i="1"/>
  <c r="Q2052" i="1"/>
  <c r="Q2051" i="1"/>
  <c r="Q2050" i="1"/>
  <c r="Q2049" i="1"/>
  <c r="Q2048" i="1"/>
  <c r="Q2047" i="1"/>
  <c r="Q2046" i="1"/>
  <c r="Q2045" i="1"/>
  <c r="Q2044" i="1"/>
  <c r="Q2043" i="1"/>
  <c r="Q2042" i="1"/>
  <c r="Q2041" i="1"/>
  <c r="Q2040" i="1"/>
  <c r="Q2039" i="1"/>
  <c r="Q2038" i="1"/>
  <c r="Q2037" i="1"/>
  <c r="Q2036" i="1"/>
  <c r="Q2035" i="1"/>
  <c r="Q2034" i="1"/>
  <c r="Q2033" i="1"/>
  <c r="Q2032" i="1"/>
  <c r="Q2031" i="1"/>
  <c r="Q2030" i="1"/>
  <c r="Q2029" i="1"/>
  <c r="Q2028" i="1"/>
  <c r="Q2027" i="1"/>
  <c r="Q2026" i="1"/>
  <c r="Q2025" i="1"/>
  <c r="Q2024" i="1"/>
  <c r="Q2023" i="1"/>
  <c r="Q2022" i="1"/>
  <c r="Q2021" i="1"/>
  <c r="Q2020" i="1"/>
  <c r="Q2019" i="1"/>
  <c r="Q2018" i="1"/>
  <c r="Q2017" i="1"/>
  <c r="Q2016" i="1"/>
  <c r="Q2015" i="1"/>
  <c r="Q2014" i="1"/>
  <c r="Q2013" i="1"/>
  <c r="Q2012" i="1"/>
  <c r="Q2011" i="1"/>
  <c r="Q2010" i="1"/>
  <c r="Q2009" i="1"/>
  <c r="Q2008" i="1"/>
  <c r="Q2007" i="1"/>
  <c r="Q2006" i="1"/>
  <c r="Q2005" i="1"/>
  <c r="Q2004" i="1"/>
  <c r="Q2003" i="1"/>
  <c r="Q2002" i="1"/>
  <c r="Q2001" i="1"/>
  <c r="Q2000" i="1"/>
  <c r="Q1999" i="1"/>
  <c r="Q1998" i="1"/>
  <c r="Q1997" i="1"/>
  <c r="Q1996" i="1"/>
  <c r="Q1995" i="1"/>
  <c r="Q1994" i="1"/>
  <c r="Q1993" i="1"/>
  <c r="Q1992" i="1"/>
  <c r="Q1991" i="1"/>
  <c r="Q1990" i="1"/>
  <c r="Q1989" i="1"/>
  <c r="Q1988" i="1"/>
  <c r="Q1987" i="1"/>
  <c r="Q1986" i="1"/>
  <c r="Q1985" i="1"/>
  <c r="Q1984" i="1"/>
  <c r="Q1983" i="1"/>
  <c r="Q1982" i="1"/>
  <c r="Q1981" i="1"/>
  <c r="Q1980" i="1"/>
  <c r="Q1979" i="1"/>
  <c r="Q1978" i="1"/>
  <c r="Q1977" i="1"/>
  <c r="Q1976" i="1"/>
  <c r="Q1975" i="1"/>
  <c r="Q1974" i="1"/>
  <c r="Q1973" i="1"/>
  <c r="Q1972" i="1"/>
  <c r="Q1971" i="1"/>
  <c r="Q1970" i="1"/>
  <c r="Q1969" i="1"/>
  <c r="Q1968" i="1"/>
  <c r="Q1967" i="1"/>
  <c r="Q1966" i="1"/>
  <c r="Q1965" i="1"/>
  <c r="Q1964" i="1"/>
  <c r="Q1963" i="1"/>
  <c r="Q1962" i="1"/>
  <c r="Q1961" i="1"/>
  <c r="Q1960" i="1"/>
  <c r="Q1959" i="1"/>
  <c r="Q1958" i="1"/>
  <c r="Q1957" i="1"/>
  <c r="Q1956" i="1"/>
  <c r="Q1955" i="1"/>
  <c r="Q1954" i="1"/>
  <c r="Q1953" i="1"/>
  <c r="Q1952" i="1"/>
  <c r="Q1951" i="1"/>
  <c r="Q1950" i="1"/>
  <c r="Q1949" i="1"/>
  <c r="Q1948" i="1"/>
  <c r="Q1947" i="1"/>
  <c r="Q1946" i="1"/>
  <c r="Q1945" i="1"/>
  <c r="Q1944" i="1"/>
  <c r="Q1943" i="1"/>
  <c r="Q1942" i="1"/>
  <c r="Q1941" i="1"/>
  <c r="Q1940" i="1"/>
  <c r="Q1939" i="1"/>
  <c r="Q1938" i="1"/>
  <c r="Q1937" i="1"/>
  <c r="Q1936" i="1"/>
  <c r="Q1935" i="1"/>
  <c r="Q1934" i="1"/>
  <c r="Q1933" i="1"/>
  <c r="Q1932" i="1"/>
  <c r="Q1931" i="1"/>
  <c r="Q1930" i="1"/>
  <c r="Q1929" i="1"/>
  <c r="Q1928" i="1"/>
  <c r="Q1927" i="1"/>
  <c r="Q1926" i="1"/>
  <c r="Q1925" i="1"/>
  <c r="Q1924" i="1"/>
  <c r="Q1923" i="1"/>
  <c r="Q1922" i="1"/>
  <c r="Q1921" i="1"/>
  <c r="Q1920" i="1"/>
  <c r="Q1919" i="1"/>
  <c r="Q1918" i="1"/>
  <c r="Q1917" i="1"/>
  <c r="Q1916" i="1"/>
  <c r="Q1915" i="1"/>
  <c r="Q1914" i="1"/>
  <c r="Q1913" i="1"/>
  <c r="Q1912" i="1"/>
  <c r="Q1911" i="1"/>
  <c r="Q1910" i="1"/>
  <c r="Q1909" i="1"/>
  <c r="Q1908" i="1"/>
  <c r="Q1907" i="1"/>
  <c r="Q1906" i="1"/>
  <c r="Q1905" i="1"/>
  <c r="Q1904" i="1"/>
  <c r="Q1903" i="1"/>
  <c r="Q1902" i="1"/>
  <c r="Q1901" i="1"/>
  <c r="Q1900" i="1"/>
  <c r="Q1899" i="1"/>
  <c r="Q1898" i="1"/>
  <c r="Q1897" i="1"/>
  <c r="Q1896" i="1"/>
  <c r="Q1895" i="1"/>
  <c r="Q1894" i="1"/>
  <c r="Q1893" i="1"/>
  <c r="Q1892" i="1"/>
  <c r="Q1891" i="1"/>
  <c r="Q1890" i="1"/>
  <c r="Q1889" i="1"/>
  <c r="Q1888" i="1"/>
  <c r="Q1887" i="1"/>
  <c r="Q1886" i="1"/>
  <c r="Q1885" i="1"/>
  <c r="Q1884" i="1"/>
  <c r="Q1883" i="1"/>
  <c r="Q1882" i="1"/>
  <c r="Q1881" i="1"/>
  <c r="Q1880" i="1"/>
  <c r="Q1879" i="1"/>
  <c r="Q1878" i="1"/>
  <c r="Q1877" i="1"/>
  <c r="Q1876" i="1"/>
  <c r="Q1875" i="1"/>
  <c r="Q1874" i="1"/>
  <c r="Q1873" i="1"/>
  <c r="Q1872" i="1"/>
  <c r="Q1871" i="1"/>
  <c r="Q1870" i="1"/>
  <c r="Q1869" i="1"/>
  <c r="Q1868" i="1"/>
  <c r="Q1867" i="1"/>
  <c r="Q1866" i="1"/>
  <c r="Q1865" i="1"/>
  <c r="Q1864" i="1"/>
  <c r="Q1863" i="1"/>
  <c r="Q1862" i="1"/>
  <c r="Q1861" i="1"/>
  <c r="Q1860" i="1"/>
  <c r="Q1859" i="1"/>
  <c r="Q1858" i="1"/>
  <c r="Q1857" i="1"/>
  <c r="Q1856" i="1"/>
  <c r="Q1855" i="1"/>
  <c r="Q1854" i="1"/>
  <c r="Q1853" i="1"/>
  <c r="Q1852" i="1"/>
  <c r="Q1851" i="1"/>
  <c r="Q1850" i="1"/>
  <c r="Q1849" i="1"/>
  <c r="Q1848" i="1"/>
  <c r="Q1847" i="1"/>
  <c r="Q1846" i="1"/>
  <c r="Q1845" i="1"/>
  <c r="Q1844" i="1"/>
  <c r="Q1843" i="1"/>
  <c r="Q1842" i="1"/>
  <c r="Q1841" i="1"/>
  <c r="Q1840" i="1"/>
  <c r="Q1839" i="1"/>
  <c r="Q1838" i="1"/>
  <c r="Q1837" i="1"/>
  <c r="Q1836" i="1"/>
  <c r="Q1835" i="1"/>
  <c r="Q1834" i="1"/>
  <c r="Q1833" i="1"/>
  <c r="Q1832" i="1"/>
  <c r="Q1831" i="1"/>
  <c r="Q1830" i="1"/>
  <c r="Q1829" i="1"/>
  <c r="Q1828" i="1"/>
  <c r="Q1827" i="1"/>
  <c r="Q1826" i="1"/>
  <c r="Q1825" i="1"/>
  <c r="Q1824" i="1"/>
  <c r="Q1823" i="1"/>
  <c r="Q1822" i="1"/>
  <c r="Q1821" i="1"/>
  <c r="Q1820" i="1"/>
  <c r="Q1819" i="1"/>
  <c r="Q1818" i="1"/>
  <c r="Q1817" i="1"/>
  <c r="Q1816" i="1"/>
  <c r="Q1815" i="1"/>
  <c r="Q1814" i="1"/>
  <c r="Q1813" i="1"/>
  <c r="Q1812" i="1"/>
  <c r="Q1811" i="1"/>
  <c r="Q1810" i="1"/>
  <c r="Q1809" i="1"/>
  <c r="Q1808" i="1"/>
  <c r="Q1807" i="1"/>
  <c r="Q1806" i="1"/>
  <c r="Q1805" i="1"/>
  <c r="Q1804" i="1"/>
  <c r="Q1803" i="1"/>
  <c r="Q1802" i="1"/>
  <c r="Q1801" i="1"/>
  <c r="Q1800" i="1"/>
  <c r="Q1799" i="1"/>
  <c r="Q1798" i="1"/>
  <c r="Q1797" i="1"/>
  <c r="Q1796" i="1"/>
  <c r="Q1795" i="1"/>
  <c r="Q1794" i="1"/>
  <c r="Q1793" i="1"/>
  <c r="Q1792" i="1"/>
  <c r="Q1791" i="1"/>
  <c r="Q1790" i="1"/>
  <c r="Q1789" i="1"/>
  <c r="Q1788" i="1"/>
  <c r="Q1787" i="1"/>
  <c r="Q1786" i="1"/>
  <c r="Q1785" i="1"/>
  <c r="Q1784" i="1"/>
  <c r="Q1783" i="1"/>
  <c r="Q1782" i="1"/>
  <c r="Q1781" i="1"/>
  <c r="Q1780" i="1"/>
  <c r="Q1779" i="1"/>
  <c r="Q1778" i="1"/>
  <c r="Q1777" i="1"/>
  <c r="Q1776" i="1"/>
  <c r="Q1775" i="1"/>
  <c r="Q1774" i="1"/>
  <c r="Q1773" i="1"/>
  <c r="Q1772" i="1"/>
  <c r="Q1771" i="1"/>
  <c r="Q1770" i="1"/>
  <c r="Q1769" i="1"/>
  <c r="Q1768" i="1"/>
  <c r="Q1767" i="1"/>
  <c r="Q1766" i="1"/>
  <c r="Q1765" i="1"/>
  <c r="Q1764" i="1"/>
  <c r="Q1763" i="1"/>
  <c r="Q1762" i="1"/>
  <c r="Q1761" i="1"/>
  <c r="Q1760" i="1"/>
  <c r="Q1759" i="1"/>
  <c r="Q1758" i="1"/>
  <c r="Q1757" i="1"/>
  <c r="Q1756" i="1"/>
  <c r="Q1755" i="1"/>
  <c r="Q1754" i="1"/>
  <c r="Q1753" i="1"/>
  <c r="Q1752" i="1"/>
  <c r="Q1751" i="1"/>
  <c r="Q1750" i="1"/>
  <c r="Q1749" i="1"/>
  <c r="Q1748" i="1"/>
  <c r="Q1747" i="1"/>
  <c r="Q1746" i="1"/>
  <c r="Q1745" i="1"/>
  <c r="Q1744" i="1"/>
  <c r="Q1743" i="1"/>
  <c r="Q1742" i="1"/>
  <c r="Q1741" i="1"/>
  <c r="Q1740" i="1"/>
  <c r="Q1739" i="1"/>
  <c r="Q1738" i="1"/>
  <c r="Q1737" i="1"/>
  <c r="Q1736" i="1"/>
  <c r="Q1735" i="1"/>
  <c r="Q1734" i="1"/>
  <c r="Q1733" i="1"/>
  <c r="Q1732" i="1"/>
  <c r="Q1731" i="1"/>
  <c r="Q1730" i="1"/>
  <c r="Q1729" i="1"/>
  <c r="Q1728" i="1"/>
  <c r="Q1727" i="1"/>
  <c r="Q1726" i="1"/>
  <c r="Q1725" i="1"/>
  <c r="Q1724" i="1"/>
  <c r="Q1723" i="1"/>
  <c r="Q1722" i="1"/>
  <c r="Q1721" i="1"/>
  <c r="Q1720" i="1"/>
  <c r="Q1719" i="1"/>
  <c r="Q1718" i="1"/>
  <c r="Q1717" i="1"/>
  <c r="Q1716" i="1"/>
  <c r="Q1715" i="1"/>
  <c r="Q1714" i="1"/>
  <c r="Q1713" i="1"/>
  <c r="Q1712" i="1"/>
  <c r="Q1711" i="1"/>
  <c r="Q1710" i="1"/>
  <c r="Q1709" i="1"/>
  <c r="Q1708" i="1"/>
  <c r="Q1707" i="1"/>
  <c r="Q1706" i="1"/>
  <c r="Q1705" i="1"/>
  <c r="Q1704" i="1"/>
  <c r="Q1703" i="1"/>
  <c r="Q1702" i="1"/>
  <c r="Q1701" i="1"/>
  <c r="Q1700" i="1"/>
  <c r="Q1699" i="1"/>
  <c r="Q1698" i="1"/>
  <c r="Q1697" i="1"/>
  <c r="Q1696" i="1"/>
  <c r="Q1695" i="1"/>
  <c r="Q1694" i="1"/>
  <c r="Q1693" i="1"/>
  <c r="Q1692" i="1"/>
  <c r="Q1691" i="1"/>
  <c r="Q1690" i="1"/>
  <c r="Q1689" i="1"/>
  <c r="Q1688" i="1"/>
  <c r="Q1687" i="1"/>
  <c r="Q1686" i="1"/>
  <c r="Q1685" i="1"/>
  <c r="Q1684" i="1"/>
  <c r="Q1683" i="1"/>
  <c r="Q1682" i="1"/>
  <c r="Q1681" i="1"/>
  <c r="Q1680" i="1"/>
  <c r="Q1679" i="1"/>
  <c r="Q1678" i="1"/>
  <c r="Q1677" i="1"/>
  <c r="Q1676" i="1"/>
  <c r="Q1675" i="1"/>
  <c r="Q1674" i="1"/>
  <c r="Q1673" i="1"/>
  <c r="Q1672" i="1"/>
  <c r="Q1671" i="1"/>
  <c r="Q1670" i="1"/>
  <c r="Q1669" i="1"/>
  <c r="Q1668" i="1"/>
  <c r="Q1667" i="1"/>
  <c r="Q1666" i="1"/>
  <c r="Q1665" i="1"/>
  <c r="Q1664" i="1"/>
  <c r="Q1663" i="1"/>
  <c r="Q1662" i="1"/>
  <c r="Q1661" i="1"/>
  <c r="Q1660" i="1"/>
  <c r="Q1659" i="1"/>
  <c r="Q1658" i="1"/>
  <c r="Q1657" i="1"/>
  <c r="Q1656" i="1"/>
  <c r="Q1655" i="1"/>
  <c r="Q1654" i="1"/>
  <c r="Q1653" i="1"/>
  <c r="Q1652" i="1"/>
  <c r="Q1651" i="1"/>
  <c r="Q1650" i="1"/>
  <c r="Q1649" i="1"/>
  <c r="Q1648" i="1"/>
  <c r="Q1647" i="1"/>
  <c r="Q1646" i="1"/>
  <c r="Q1645" i="1"/>
  <c r="Q1644" i="1"/>
  <c r="Q1643" i="1"/>
  <c r="Q1642" i="1"/>
  <c r="Q1641" i="1"/>
  <c r="Q1640" i="1"/>
  <c r="Q1639" i="1"/>
  <c r="Q1638" i="1"/>
  <c r="Q1637" i="1"/>
  <c r="Q1636" i="1"/>
  <c r="Q1635" i="1"/>
  <c r="Q1634" i="1"/>
  <c r="Q1633" i="1"/>
  <c r="Q1632" i="1"/>
  <c r="Q1631" i="1"/>
  <c r="Q1630" i="1"/>
  <c r="Q1629" i="1"/>
  <c r="Q1628" i="1"/>
  <c r="Q1627" i="1"/>
  <c r="Q1626" i="1"/>
  <c r="Q1625" i="1"/>
  <c r="Q1624" i="1"/>
  <c r="Q1623" i="1"/>
  <c r="Q1622" i="1"/>
  <c r="Q1621" i="1"/>
  <c r="Q1620" i="1"/>
  <c r="Q1619" i="1"/>
  <c r="Q1618" i="1"/>
  <c r="Q1617" i="1"/>
  <c r="Q1616" i="1"/>
  <c r="Q1615" i="1"/>
  <c r="Q1614" i="1"/>
  <c r="Q1613" i="1"/>
  <c r="Q1612" i="1"/>
  <c r="Q1611" i="1"/>
  <c r="Q1610" i="1"/>
  <c r="Q1609" i="1"/>
  <c r="Q1608" i="1"/>
  <c r="Q1607" i="1"/>
  <c r="Q1606" i="1"/>
  <c r="Q1605" i="1"/>
  <c r="Q1604" i="1"/>
  <c r="Q1603" i="1"/>
  <c r="Q1602" i="1"/>
  <c r="Q1601" i="1"/>
  <c r="Q1600" i="1"/>
  <c r="Q1599" i="1"/>
  <c r="Q1598" i="1"/>
  <c r="Q1597" i="1"/>
  <c r="Q1596" i="1"/>
  <c r="Q1595" i="1"/>
  <c r="Q1594" i="1"/>
  <c r="Q1593" i="1"/>
  <c r="Q1592" i="1"/>
  <c r="Q1591" i="1"/>
  <c r="Q1590" i="1"/>
  <c r="Q1589" i="1"/>
  <c r="Q1588" i="1"/>
  <c r="Q1587" i="1"/>
  <c r="Q1586" i="1"/>
  <c r="Q1585" i="1"/>
  <c r="Q1584" i="1"/>
  <c r="Q1583" i="1"/>
  <c r="Q1582" i="1"/>
  <c r="Q1581" i="1"/>
  <c r="Q1580" i="1"/>
  <c r="Q1579" i="1"/>
  <c r="Q1578" i="1"/>
  <c r="Q1577" i="1"/>
  <c r="Q1576" i="1"/>
  <c r="Q1575" i="1"/>
  <c r="Q1574" i="1"/>
  <c r="Q1573" i="1"/>
  <c r="Q1572" i="1"/>
  <c r="Q1571" i="1"/>
  <c r="Q1570" i="1"/>
  <c r="Q1569" i="1"/>
  <c r="Q1568" i="1"/>
  <c r="Q1567" i="1"/>
  <c r="Q1566" i="1"/>
  <c r="Q1565" i="1"/>
  <c r="Q1564" i="1"/>
  <c r="Q1563" i="1"/>
  <c r="Q1562" i="1"/>
  <c r="Q1561" i="1"/>
  <c r="Q1560" i="1"/>
  <c r="Q1559" i="1"/>
  <c r="Q1558" i="1"/>
  <c r="Q1557" i="1"/>
  <c r="Q1556" i="1"/>
  <c r="Q1555" i="1"/>
  <c r="Q1554" i="1"/>
  <c r="Q1553" i="1"/>
  <c r="Q1552" i="1"/>
  <c r="Q1551" i="1"/>
  <c r="Q1550" i="1"/>
  <c r="Q1549" i="1"/>
  <c r="Q1548" i="1"/>
  <c r="Q1547" i="1"/>
  <c r="Q1546" i="1"/>
  <c r="Q1545" i="1"/>
  <c r="Q1544" i="1"/>
  <c r="Q1543" i="1"/>
  <c r="Q1542" i="1"/>
  <c r="Q1541" i="1"/>
  <c r="Q1540" i="1"/>
  <c r="Q1539" i="1"/>
  <c r="Q1538" i="1"/>
  <c r="Q1537" i="1"/>
  <c r="Q1536" i="1"/>
  <c r="Q1535" i="1"/>
  <c r="Q1534" i="1"/>
  <c r="Q1533" i="1"/>
  <c r="Q1532" i="1"/>
  <c r="Q1531" i="1"/>
  <c r="Q1530" i="1"/>
  <c r="Q1529" i="1"/>
  <c r="Q1528" i="1"/>
  <c r="Q1527" i="1"/>
  <c r="Q1526" i="1"/>
  <c r="Q1525" i="1"/>
  <c r="Q1524" i="1"/>
  <c r="Q1523" i="1"/>
  <c r="Q1522" i="1"/>
  <c r="Q1521" i="1"/>
  <c r="Q1520" i="1"/>
  <c r="Q1519" i="1"/>
  <c r="Q1518" i="1"/>
  <c r="Q1517" i="1"/>
  <c r="Q1516" i="1"/>
  <c r="Q1515" i="1"/>
  <c r="Q1514" i="1"/>
  <c r="Q1513" i="1"/>
  <c r="Q1512" i="1"/>
  <c r="Q1511" i="1"/>
  <c r="Q1510" i="1"/>
  <c r="Q1509" i="1"/>
  <c r="Q1508" i="1"/>
  <c r="Q1507" i="1"/>
  <c r="Q1506" i="1"/>
  <c r="Q1505" i="1"/>
  <c r="Q1504" i="1"/>
  <c r="Q1503" i="1"/>
  <c r="Q1502" i="1"/>
  <c r="Q1501" i="1"/>
  <c r="Q1500" i="1"/>
  <c r="Q1499" i="1"/>
  <c r="Q1498" i="1"/>
  <c r="Q1497" i="1"/>
  <c r="Q1496" i="1"/>
  <c r="Q1495" i="1"/>
  <c r="Q1494" i="1"/>
  <c r="Q1493" i="1"/>
  <c r="Q1492" i="1"/>
  <c r="Q1491" i="1"/>
  <c r="Q1490" i="1"/>
  <c r="Q1489" i="1"/>
  <c r="Q1488" i="1"/>
  <c r="Q1487" i="1"/>
  <c r="Q1486" i="1"/>
  <c r="Q1485" i="1"/>
  <c r="Q1484" i="1"/>
  <c r="Q1483" i="1"/>
  <c r="Q1482" i="1"/>
  <c r="Q1481" i="1"/>
  <c r="Q1480" i="1"/>
  <c r="Q1479" i="1"/>
  <c r="Q1478" i="1"/>
  <c r="Q1477" i="1"/>
  <c r="Q1476" i="1"/>
  <c r="Q1475" i="1"/>
  <c r="Q1474" i="1"/>
  <c r="Q1473" i="1"/>
  <c r="Q1472" i="1"/>
  <c r="Q1471" i="1"/>
  <c r="Q1470" i="1"/>
  <c r="Q1469" i="1"/>
  <c r="Q1468" i="1"/>
  <c r="Q1467" i="1"/>
  <c r="Q1466" i="1"/>
  <c r="Q1465" i="1"/>
  <c r="Q1464" i="1"/>
  <c r="Q1463" i="1"/>
  <c r="Q1462" i="1"/>
  <c r="Q1461" i="1"/>
  <c r="Q1460" i="1"/>
  <c r="Q1459" i="1"/>
  <c r="Q1458" i="1"/>
  <c r="Q1457" i="1"/>
  <c r="Q1456" i="1"/>
  <c r="Q1455" i="1"/>
  <c r="Q1454" i="1"/>
  <c r="Q1453" i="1"/>
  <c r="Q1452" i="1"/>
  <c r="Q1451" i="1"/>
  <c r="Q1450" i="1"/>
  <c r="Q1449" i="1"/>
  <c r="Q1448" i="1"/>
  <c r="Q1447" i="1"/>
  <c r="Q1446" i="1"/>
  <c r="Q1445" i="1"/>
  <c r="Q1444" i="1"/>
  <c r="Q1443" i="1"/>
  <c r="Q1442" i="1"/>
  <c r="Q1441" i="1"/>
  <c r="Q1440" i="1"/>
  <c r="Q1439" i="1"/>
  <c r="Q1438" i="1"/>
  <c r="Q1437" i="1"/>
  <c r="Q1436" i="1"/>
  <c r="Q1435" i="1"/>
  <c r="Q1434" i="1"/>
  <c r="Q1433" i="1"/>
  <c r="Q1432" i="1"/>
  <c r="Q1431" i="1"/>
  <c r="Q1430" i="1"/>
  <c r="Q1429" i="1"/>
  <c r="Q1428" i="1"/>
  <c r="Q1427" i="1"/>
  <c r="Q1426" i="1"/>
  <c r="Q1425" i="1"/>
  <c r="Q1424" i="1"/>
  <c r="Q1423" i="1"/>
  <c r="Q1422" i="1"/>
  <c r="Q1421" i="1"/>
  <c r="Q1420" i="1"/>
  <c r="Q1419" i="1"/>
  <c r="Q1418" i="1"/>
  <c r="Q1417" i="1"/>
  <c r="Q1416" i="1"/>
  <c r="Q1415" i="1"/>
  <c r="Q1414" i="1"/>
  <c r="Q1413" i="1"/>
  <c r="Q1412" i="1"/>
  <c r="Q1411" i="1"/>
  <c r="Q1410" i="1"/>
  <c r="Q1409" i="1"/>
  <c r="Q1408" i="1"/>
  <c r="Q1407" i="1"/>
  <c r="Q1406" i="1"/>
  <c r="Q1405" i="1"/>
  <c r="Q1404" i="1"/>
  <c r="Q1403" i="1"/>
  <c r="Q1402" i="1"/>
  <c r="Q1401" i="1"/>
  <c r="Q1400" i="1"/>
  <c r="Q1399" i="1"/>
  <c r="Q1398" i="1"/>
  <c r="Q1397" i="1"/>
  <c r="Q1396" i="1"/>
  <c r="Q1395" i="1"/>
  <c r="Q1394" i="1"/>
  <c r="Q1393" i="1"/>
  <c r="Q1392" i="1"/>
  <c r="Q1391" i="1"/>
  <c r="Q1390" i="1"/>
  <c r="Q1389" i="1"/>
  <c r="Q1388" i="1"/>
  <c r="Q1387" i="1"/>
  <c r="Q1386" i="1"/>
  <c r="Q1385" i="1"/>
  <c r="Q1384" i="1"/>
  <c r="Q1383" i="1"/>
  <c r="Q1382" i="1"/>
  <c r="Q1381" i="1"/>
  <c r="Q1380" i="1"/>
  <c r="Q1379" i="1"/>
  <c r="Q1378" i="1"/>
  <c r="Q1377" i="1"/>
  <c r="Q1376" i="1"/>
  <c r="Q1375" i="1"/>
  <c r="Q1374" i="1"/>
  <c r="Q1373" i="1"/>
  <c r="Q1372" i="1"/>
  <c r="Q1371" i="1"/>
  <c r="Q1370" i="1"/>
  <c r="Q1369" i="1"/>
  <c r="Q1368" i="1"/>
  <c r="Q1367" i="1"/>
  <c r="Q1366" i="1"/>
  <c r="Q1365" i="1"/>
  <c r="Q1364" i="1"/>
  <c r="Q1363" i="1"/>
  <c r="Q1362" i="1"/>
  <c r="Q1361" i="1"/>
  <c r="Q1360" i="1"/>
  <c r="Q1359" i="1"/>
  <c r="Q1358" i="1"/>
  <c r="Q1357" i="1"/>
  <c r="Q1356" i="1"/>
  <c r="Q1355" i="1"/>
  <c r="Q1354" i="1"/>
  <c r="Q1353" i="1"/>
  <c r="Q1352" i="1"/>
  <c r="Q1351" i="1"/>
  <c r="Q1350" i="1"/>
  <c r="Q1349" i="1"/>
  <c r="Q1348" i="1"/>
  <c r="Q1347" i="1"/>
  <c r="Q1346" i="1"/>
  <c r="Q1345" i="1"/>
  <c r="Q1344" i="1"/>
  <c r="Q1343" i="1"/>
  <c r="Q1342" i="1"/>
  <c r="Q1341" i="1"/>
  <c r="Q1340" i="1"/>
  <c r="Q1339" i="1"/>
  <c r="Q1338" i="1"/>
  <c r="Q1337" i="1"/>
  <c r="Q1336" i="1"/>
  <c r="Q1335" i="1"/>
  <c r="Q1334" i="1"/>
  <c r="Q1333" i="1"/>
  <c r="Q1332" i="1"/>
  <c r="Q1331" i="1"/>
  <c r="Q1330" i="1"/>
  <c r="Q1329" i="1"/>
  <c r="Q1328" i="1"/>
  <c r="Q1327" i="1"/>
  <c r="Q1326" i="1"/>
  <c r="Q1325" i="1"/>
  <c r="Q1324" i="1"/>
  <c r="Q1323" i="1"/>
  <c r="Q1322" i="1"/>
  <c r="Q1321" i="1"/>
  <c r="Q1320" i="1"/>
  <c r="Q1319" i="1"/>
  <c r="Q1318" i="1"/>
  <c r="Q1317" i="1"/>
  <c r="Q1316" i="1"/>
  <c r="Q1315" i="1"/>
  <c r="Q1314" i="1"/>
  <c r="Q1313" i="1"/>
  <c r="Q1312" i="1"/>
  <c r="Q1311" i="1"/>
  <c r="Q1310" i="1"/>
  <c r="Q1309" i="1"/>
  <c r="Q1308" i="1"/>
  <c r="Q1307" i="1"/>
  <c r="Q1306" i="1"/>
  <c r="Q1305" i="1"/>
  <c r="Q1304" i="1"/>
  <c r="Q1303" i="1"/>
  <c r="Q1302" i="1"/>
  <c r="Q1301" i="1"/>
  <c r="Q1300" i="1"/>
  <c r="Q1299" i="1"/>
  <c r="Q1298" i="1"/>
  <c r="Q1297" i="1"/>
  <c r="Q1296" i="1"/>
  <c r="Q1295" i="1"/>
  <c r="Q1294" i="1"/>
  <c r="Q1293" i="1"/>
  <c r="Q1292" i="1"/>
  <c r="Q1291" i="1"/>
  <c r="Q1290" i="1"/>
  <c r="Q1289" i="1"/>
  <c r="Q1288" i="1"/>
  <c r="Q1287" i="1"/>
  <c r="Q1286" i="1"/>
  <c r="Q1285" i="1"/>
  <c r="Q1284" i="1"/>
  <c r="Q1283" i="1"/>
  <c r="Q1282" i="1"/>
  <c r="Q1281" i="1"/>
  <c r="Q1280" i="1"/>
  <c r="Q1279" i="1"/>
  <c r="Q1278" i="1"/>
  <c r="Q1277" i="1"/>
  <c r="Q1276" i="1"/>
  <c r="Q1275" i="1"/>
  <c r="Q1274" i="1"/>
  <c r="Q1273" i="1"/>
  <c r="Q1272" i="1"/>
  <c r="Q1271" i="1"/>
  <c r="Q1270" i="1"/>
  <c r="Q1269" i="1"/>
  <c r="Q1268" i="1"/>
  <c r="Q1267" i="1"/>
  <c r="Q1266" i="1"/>
  <c r="Q1265" i="1"/>
  <c r="Q1264" i="1"/>
  <c r="Q1263" i="1"/>
  <c r="Q1262" i="1"/>
  <c r="Q1261" i="1"/>
  <c r="Q1260" i="1"/>
  <c r="Q1259" i="1"/>
  <c r="Q1258" i="1"/>
  <c r="Q1257" i="1"/>
  <c r="Q1256" i="1"/>
  <c r="Q1255" i="1"/>
  <c r="Q1254" i="1"/>
  <c r="Q1253" i="1"/>
  <c r="Q1252" i="1"/>
  <c r="Q1251" i="1"/>
  <c r="Q1250" i="1"/>
  <c r="Q1249" i="1"/>
  <c r="Q1248" i="1"/>
  <c r="Q1247" i="1"/>
  <c r="Q1246" i="1"/>
  <c r="Q1245" i="1"/>
  <c r="Q1244" i="1"/>
  <c r="Q1243" i="1"/>
  <c r="Q1242" i="1"/>
  <c r="Q1241" i="1"/>
  <c r="Q1240" i="1"/>
  <c r="Q1239" i="1"/>
  <c r="Q1238" i="1"/>
  <c r="Q1237" i="1"/>
  <c r="Q1236" i="1"/>
  <c r="Q1235" i="1"/>
  <c r="Q1234" i="1"/>
  <c r="Q1233" i="1"/>
  <c r="Q1232" i="1"/>
  <c r="Q1231" i="1"/>
  <c r="Q1230" i="1"/>
  <c r="Q1229" i="1"/>
  <c r="Q1228" i="1"/>
  <c r="Q1227" i="1"/>
  <c r="Q1226" i="1"/>
  <c r="Q1225" i="1"/>
  <c r="Q1224" i="1"/>
  <c r="Q1223" i="1"/>
  <c r="Q1222" i="1"/>
  <c r="Q1221" i="1"/>
  <c r="Q1220" i="1"/>
  <c r="Q1219" i="1"/>
  <c r="Q1218" i="1"/>
  <c r="Q1217" i="1"/>
  <c r="Q1216" i="1"/>
  <c r="Q1215" i="1"/>
  <c r="Q1214" i="1"/>
  <c r="Q1213" i="1"/>
  <c r="Q1212" i="1"/>
  <c r="Q1211" i="1"/>
  <c r="Q1210" i="1"/>
  <c r="Q1209" i="1"/>
  <c r="Q1208" i="1"/>
  <c r="Q1207" i="1"/>
  <c r="Q1206" i="1"/>
  <c r="Q1205" i="1"/>
  <c r="Q1204" i="1"/>
  <c r="Q1203" i="1"/>
  <c r="Q1202" i="1"/>
  <c r="Q1201" i="1"/>
  <c r="Q1200" i="1"/>
  <c r="Q1199" i="1"/>
  <c r="Q1198" i="1"/>
  <c r="Q1197" i="1"/>
  <c r="Q1196" i="1"/>
  <c r="Q1195" i="1"/>
  <c r="Q1194" i="1"/>
  <c r="Q1193" i="1"/>
  <c r="Q1192" i="1"/>
  <c r="Q1191" i="1"/>
  <c r="Q1190" i="1"/>
  <c r="Q1189" i="1"/>
  <c r="Q1188" i="1"/>
  <c r="Q1187" i="1"/>
  <c r="Q1186" i="1"/>
  <c r="Q1185" i="1"/>
  <c r="Q1184" i="1"/>
  <c r="Q1183" i="1"/>
  <c r="Q1182" i="1"/>
  <c r="Q1181" i="1"/>
  <c r="Q1180" i="1"/>
  <c r="Q1179" i="1"/>
  <c r="Q1178" i="1"/>
  <c r="Q1177" i="1"/>
  <c r="Q1176" i="1"/>
  <c r="Q1175" i="1"/>
  <c r="Q1174" i="1"/>
  <c r="Q1173" i="1"/>
  <c r="Q1172" i="1"/>
  <c r="Q1171" i="1"/>
  <c r="Q1170" i="1"/>
  <c r="Q1169" i="1"/>
  <c r="Q1168" i="1"/>
  <c r="Q1167" i="1"/>
  <c r="Q1166" i="1"/>
  <c r="Q1165" i="1"/>
  <c r="Q1164" i="1"/>
  <c r="Q1163" i="1"/>
  <c r="Q1162" i="1"/>
  <c r="Q1161" i="1"/>
  <c r="Q1160" i="1"/>
  <c r="Q1159" i="1"/>
  <c r="Q1158" i="1"/>
  <c r="Q1157" i="1"/>
  <c r="Q1156" i="1"/>
  <c r="Q1155" i="1"/>
  <c r="Q1154" i="1"/>
  <c r="Q1153" i="1"/>
  <c r="Q1152" i="1"/>
  <c r="Q1151" i="1"/>
  <c r="Q1150" i="1"/>
  <c r="Q1149" i="1"/>
  <c r="Q1148" i="1"/>
  <c r="Q1147" i="1"/>
  <c r="Q1146" i="1"/>
  <c r="Q1145" i="1"/>
  <c r="Q1144" i="1"/>
  <c r="Q1143" i="1"/>
  <c r="Q1142" i="1"/>
  <c r="Q1141" i="1"/>
  <c r="Q1140" i="1"/>
  <c r="Q1139" i="1"/>
  <c r="Q1138" i="1"/>
  <c r="Q1135" i="1"/>
  <c r="Q1136" i="1" s="1"/>
  <c r="Q1134" i="1"/>
  <c r="Q1133" i="1"/>
  <c r="Q1132" i="1"/>
  <c r="Q1131" i="1"/>
  <c r="Q1130" i="1"/>
  <c r="Q1129" i="1"/>
  <c r="Q1128" i="1"/>
  <c r="Q1127" i="1"/>
  <c r="Q1126" i="1"/>
  <c r="Q1125" i="1"/>
  <c r="Q1124" i="1"/>
  <c r="Q1123" i="1"/>
  <c r="Q1122" i="1"/>
  <c r="Q1121" i="1"/>
  <c r="Q1120" i="1"/>
  <c r="Q1119" i="1"/>
  <c r="Q1118" i="1"/>
  <c r="Q1117" i="1"/>
  <c r="Q1116" i="1"/>
  <c r="Q1115" i="1"/>
  <c r="Q1114" i="1"/>
  <c r="Q1113" i="1"/>
  <c r="Q1112" i="1"/>
  <c r="Q1111" i="1"/>
  <c r="Q1110" i="1"/>
  <c r="Q1109" i="1"/>
  <c r="Q1108" i="1"/>
  <c r="Q1107" i="1"/>
  <c r="Q1106" i="1"/>
  <c r="Q1105" i="1"/>
  <c r="Q1104" i="1"/>
  <c r="Q1103" i="1"/>
  <c r="Q1102" i="1"/>
  <c r="Q1101" i="1"/>
  <c r="Q1100" i="1"/>
  <c r="Q1099" i="1"/>
  <c r="Q1098" i="1"/>
  <c r="Q1097" i="1"/>
  <c r="Q1096" i="1"/>
  <c r="Q1095" i="1"/>
  <c r="Q1094" i="1"/>
  <c r="Q1093" i="1"/>
  <c r="Q1092" i="1"/>
  <c r="Q1091" i="1"/>
  <c r="Q1090" i="1"/>
  <c r="Q1089" i="1"/>
  <c r="Q1088" i="1"/>
  <c r="Q1087" i="1"/>
  <c r="Q1086" i="1"/>
  <c r="Q1085" i="1"/>
  <c r="Q1084" i="1"/>
  <c r="Q1083" i="1"/>
  <c r="Q1082" i="1"/>
  <c r="Q1081" i="1"/>
  <c r="Q1080" i="1"/>
  <c r="Q1079" i="1"/>
  <c r="Q1078" i="1"/>
  <c r="Q1077" i="1"/>
  <c r="Q1076" i="1"/>
  <c r="Q1075" i="1"/>
  <c r="Q1074" i="1"/>
  <c r="Q1073" i="1"/>
  <c r="Q1072" i="1"/>
  <c r="Q1071" i="1"/>
  <c r="Q1070" i="1"/>
  <c r="Q1069" i="1"/>
  <c r="Q1068" i="1"/>
  <c r="Q1067" i="1"/>
  <c r="Q1066" i="1"/>
  <c r="Q1065" i="1"/>
  <c r="Q1064" i="1"/>
  <c r="Q1063" i="1"/>
  <c r="Q1062" i="1"/>
  <c r="Q1061" i="1"/>
  <c r="Q1060" i="1"/>
  <c r="Q1059" i="1"/>
  <c r="Q1058" i="1"/>
  <c r="Q1057" i="1"/>
  <c r="Q1056" i="1"/>
  <c r="Q1055" i="1"/>
  <c r="Q1054" i="1"/>
  <c r="Q1053" i="1"/>
  <c r="Q1052" i="1"/>
  <c r="Q1051" i="1"/>
  <c r="Q1050" i="1"/>
  <c r="Q1049" i="1"/>
  <c r="Q1048" i="1"/>
  <c r="Q1047" i="1"/>
  <c r="Q1046" i="1"/>
  <c r="Q1045" i="1"/>
  <c r="Q1044" i="1"/>
  <c r="Q1043" i="1"/>
  <c r="Q1042" i="1"/>
  <c r="Q1041" i="1"/>
  <c r="Q1040" i="1"/>
  <c r="Q1039" i="1"/>
  <c r="Q1038" i="1"/>
  <c r="Q1037" i="1"/>
  <c r="Q1036" i="1"/>
  <c r="Q1035" i="1"/>
  <c r="Q1034" i="1"/>
  <c r="Q1033" i="1"/>
  <c r="Q1032" i="1"/>
  <c r="Q1031" i="1"/>
  <c r="Q1030" i="1"/>
  <c r="Q1029" i="1"/>
  <c r="Q1028" i="1"/>
  <c r="Q1027" i="1"/>
  <c r="Q1026" i="1"/>
  <c r="Q1025" i="1"/>
  <c r="Q1024" i="1"/>
  <c r="Q1023" i="1"/>
  <c r="Q1022" i="1"/>
  <c r="Q1021" i="1"/>
  <c r="Q1020" i="1"/>
  <c r="Q1019" i="1"/>
  <c r="Q1018" i="1"/>
  <c r="Q1017" i="1"/>
  <c r="Q1016" i="1"/>
  <c r="Q1015" i="1"/>
  <c r="Q1014" i="1"/>
  <c r="Q1013" i="1"/>
  <c r="Q1012" i="1"/>
  <c r="Q1011" i="1"/>
  <c r="Q1010" i="1"/>
  <c r="Q1009" i="1"/>
  <c r="Q1008" i="1"/>
  <c r="Q1007" i="1"/>
  <c r="Q1006" i="1"/>
  <c r="Q1005" i="1"/>
  <c r="Q1004" i="1"/>
  <c r="Q1003" i="1"/>
  <c r="Q1002" i="1"/>
  <c r="Q1001" i="1"/>
  <c r="Q1000" i="1"/>
  <c r="Q999" i="1"/>
  <c r="Q998" i="1"/>
  <c r="Q997" i="1"/>
  <c r="Q996" i="1"/>
  <c r="Q995" i="1"/>
  <c r="Q994" i="1"/>
  <c r="Q993" i="1"/>
  <c r="Q992" i="1"/>
  <c r="Q991" i="1"/>
  <c r="Q990" i="1"/>
  <c r="Q989" i="1"/>
  <c r="Q988" i="1"/>
  <c r="Q987" i="1"/>
  <c r="Q986" i="1"/>
  <c r="Q985" i="1"/>
  <c r="Q984" i="1"/>
  <c r="Q983" i="1"/>
  <c r="Q982" i="1"/>
  <c r="Q981" i="1"/>
  <c r="Q980" i="1"/>
  <c r="Q979" i="1"/>
  <c r="Q978" i="1"/>
  <c r="Q977" i="1"/>
  <c r="Q976" i="1"/>
  <c r="Q975" i="1"/>
  <c r="Q974" i="1"/>
  <c r="Q973" i="1"/>
  <c r="Q972" i="1"/>
  <c r="Q971" i="1"/>
  <c r="Q970" i="1"/>
  <c r="Q969" i="1"/>
  <c r="Q968" i="1"/>
  <c r="Q967" i="1"/>
  <c r="Q966" i="1"/>
  <c r="Q965" i="1"/>
  <c r="Q964" i="1"/>
  <c r="Q963" i="1"/>
  <c r="Q962" i="1"/>
  <c r="Q961" i="1"/>
  <c r="Q960" i="1"/>
  <c r="Q959" i="1"/>
  <c r="Q958" i="1"/>
  <c r="Q957" i="1"/>
  <c r="Q956" i="1"/>
  <c r="Q955" i="1"/>
  <c r="Q954" i="1"/>
  <c r="Q953" i="1"/>
  <c r="Q952" i="1"/>
  <c r="Q951" i="1"/>
  <c r="Q950" i="1"/>
  <c r="Q949" i="1"/>
  <c r="Q948" i="1"/>
  <c r="Q947" i="1"/>
  <c r="Q946" i="1"/>
  <c r="Q945" i="1"/>
  <c r="Q944" i="1"/>
  <c r="Q943" i="1"/>
  <c r="Q942" i="1"/>
  <c r="Q941" i="1"/>
  <c r="Q940" i="1"/>
  <c r="Q939" i="1"/>
  <c r="Q938" i="1"/>
  <c r="Q937" i="1"/>
  <c r="Q936" i="1"/>
  <c r="Q935" i="1"/>
  <c r="Q934" i="1"/>
  <c r="Q933" i="1"/>
  <c r="Q932" i="1"/>
  <c r="Q931" i="1"/>
  <c r="Q930" i="1"/>
  <c r="Q929" i="1"/>
  <c r="Q928" i="1"/>
  <c r="Q927" i="1"/>
  <c r="Q926" i="1"/>
  <c r="Q925" i="1"/>
  <c r="Q924" i="1"/>
  <c r="Q923" i="1"/>
  <c r="Q922" i="1"/>
  <c r="Q921" i="1"/>
  <c r="Q920" i="1"/>
  <c r="Q919" i="1"/>
  <c r="Q918" i="1"/>
  <c r="Q917" i="1"/>
  <c r="Q916" i="1"/>
  <c r="Q915" i="1"/>
  <c r="Q914" i="1"/>
  <c r="Q913" i="1"/>
  <c r="Q912" i="1"/>
  <c r="Q911" i="1"/>
  <c r="Q910" i="1"/>
  <c r="Q909" i="1"/>
  <c r="Q908" i="1"/>
  <c r="Q907" i="1"/>
  <c r="Q906" i="1"/>
  <c r="Q905" i="1"/>
  <c r="Q904" i="1"/>
  <c r="Q903" i="1"/>
  <c r="Q902" i="1"/>
  <c r="Q901" i="1"/>
  <c r="Q900" i="1"/>
  <c r="Q899" i="1"/>
  <c r="Q898" i="1"/>
  <c r="Q897" i="1"/>
  <c r="Q896" i="1"/>
  <c r="Q895" i="1"/>
  <c r="Q894" i="1"/>
  <c r="Q893" i="1"/>
  <c r="Q892" i="1"/>
  <c r="Q891" i="1"/>
  <c r="Q890" i="1"/>
  <c r="Q889" i="1"/>
  <c r="Q888" i="1"/>
  <c r="Q887" i="1"/>
  <c r="Q886" i="1"/>
  <c r="Q885" i="1"/>
  <c r="Q884" i="1"/>
  <c r="Q883" i="1"/>
  <c r="Q882" i="1"/>
  <c r="Q881" i="1"/>
  <c r="Q880" i="1"/>
  <c r="Q879" i="1"/>
  <c r="Q878" i="1"/>
  <c r="Q877" i="1"/>
  <c r="Q876" i="1"/>
  <c r="Q875" i="1"/>
  <c r="Q874" i="1"/>
  <c r="Q873" i="1"/>
  <c r="Q872" i="1"/>
  <c r="Q871" i="1"/>
  <c r="Q870" i="1"/>
  <c r="Q869" i="1"/>
  <c r="Q868" i="1"/>
  <c r="Q867" i="1"/>
  <c r="Q866" i="1"/>
  <c r="Q865" i="1"/>
  <c r="Q864" i="1"/>
  <c r="Q863" i="1"/>
  <c r="Q862" i="1"/>
  <c r="Q861" i="1"/>
  <c r="Q860" i="1"/>
  <c r="Q859" i="1"/>
  <c r="Q858" i="1"/>
  <c r="Q857" i="1"/>
  <c r="Q856" i="1"/>
  <c r="Q855" i="1"/>
  <c r="Q854" i="1"/>
  <c r="Q853" i="1"/>
  <c r="Q852" i="1"/>
  <c r="Q851" i="1"/>
  <c r="Q850" i="1"/>
  <c r="Q849" i="1"/>
  <c r="Q848" i="1"/>
  <c r="Q847" i="1"/>
  <c r="Q846" i="1"/>
  <c r="Q845" i="1"/>
  <c r="Q844" i="1"/>
  <c r="Q843" i="1"/>
  <c r="Q842" i="1"/>
  <c r="Q841" i="1"/>
  <c r="Q840" i="1"/>
  <c r="Q839" i="1"/>
  <c r="Q838" i="1"/>
  <c r="Q837" i="1"/>
  <c r="Q836" i="1"/>
  <c r="Q835" i="1"/>
  <c r="Q834" i="1"/>
  <c r="Q833" i="1"/>
  <c r="Q832" i="1"/>
  <c r="Q831" i="1"/>
  <c r="Q830" i="1"/>
  <c r="Q829" i="1"/>
  <c r="Q828" i="1"/>
  <c r="Q827" i="1"/>
  <c r="Q826" i="1"/>
  <c r="Q825" i="1"/>
  <c r="Q824" i="1"/>
  <c r="Q823" i="1"/>
  <c r="Q822" i="1"/>
  <c r="Q821" i="1"/>
  <c r="Q820" i="1"/>
  <c r="Q819" i="1"/>
  <c r="Q818" i="1"/>
  <c r="Q817" i="1"/>
  <c r="Q816" i="1"/>
  <c r="Q815" i="1"/>
  <c r="Q814" i="1"/>
  <c r="Q813" i="1"/>
  <c r="Q812" i="1"/>
  <c r="Q811" i="1"/>
  <c r="Q810" i="1"/>
  <c r="Q809" i="1"/>
  <c r="Q808" i="1"/>
  <c r="Q807" i="1"/>
  <c r="Q806" i="1"/>
  <c r="Q805" i="1"/>
  <c r="Q804" i="1"/>
  <c r="Q803" i="1"/>
  <c r="Q802" i="1"/>
  <c r="Q801" i="1"/>
  <c r="Q800" i="1"/>
  <c r="Q799" i="1"/>
  <c r="Q798" i="1"/>
  <c r="Q797" i="1"/>
  <c r="Q796" i="1"/>
  <c r="Q795" i="1"/>
  <c r="Q794" i="1"/>
  <c r="Q793" i="1"/>
  <c r="Q792" i="1"/>
  <c r="Q791" i="1"/>
  <c r="Q790" i="1"/>
  <c r="Q789" i="1"/>
  <c r="Q788" i="1"/>
  <c r="Q787" i="1"/>
  <c r="Q786" i="1"/>
  <c r="Q785" i="1"/>
  <c r="Q784" i="1"/>
  <c r="Q783" i="1"/>
  <c r="Q782" i="1"/>
  <c r="Q781" i="1"/>
  <c r="Q780" i="1"/>
  <c r="Q779" i="1"/>
  <c r="Q778" i="1"/>
  <c r="Q777" i="1"/>
  <c r="Q776" i="1"/>
  <c r="Q775" i="1"/>
  <c r="Q774" i="1"/>
  <c r="Q773" i="1"/>
  <c r="Q772" i="1"/>
  <c r="Q771" i="1"/>
  <c r="Q770" i="1"/>
  <c r="Q769" i="1"/>
  <c r="Q768" i="1"/>
  <c r="Q767" i="1"/>
  <c r="Q766" i="1"/>
  <c r="Q765" i="1"/>
  <c r="Q764" i="1"/>
  <c r="Q763" i="1"/>
  <c r="Q762" i="1"/>
  <c r="Q761" i="1"/>
  <c r="Q760" i="1"/>
  <c r="Q759" i="1"/>
  <c r="Q758" i="1"/>
  <c r="Q757" i="1"/>
  <c r="Q756" i="1"/>
  <c r="Q755" i="1"/>
  <c r="Q754" i="1"/>
  <c r="Q753" i="1"/>
  <c r="Q752" i="1"/>
  <c r="Q751" i="1"/>
  <c r="Q750" i="1"/>
  <c r="Q749" i="1"/>
  <c r="Q748" i="1"/>
  <c r="Q747" i="1"/>
  <c r="Q746" i="1"/>
  <c r="Q745" i="1"/>
  <c r="Q744" i="1"/>
  <c r="Q743" i="1"/>
  <c r="Q742" i="1"/>
  <c r="Q741" i="1"/>
  <c r="Q740" i="1"/>
  <c r="Q739" i="1"/>
  <c r="Q738" i="1"/>
  <c r="Q737" i="1"/>
  <c r="Q736" i="1"/>
  <c r="Q735" i="1"/>
  <c r="Q734" i="1"/>
  <c r="Q733" i="1"/>
  <c r="Q732" i="1"/>
  <c r="Q731" i="1"/>
  <c r="Q730" i="1"/>
  <c r="Q729" i="1"/>
  <c r="Q728" i="1"/>
  <c r="Q727" i="1"/>
  <c r="Q726" i="1"/>
  <c r="Q725" i="1"/>
  <c r="Q724" i="1"/>
  <c r="Q723" i="1"/>
  <c r="Q722" i="1"/>
  <c r="Q721" i="1"/>
  <c r="Q720" i="1"/>
  <c r="Q719" i="1"/>
  <c r="Q718" i="1"/>
  <c r="Q717" i="1"/>
  <c r="Q716" i="1"/>
  <c r="Q715" i="1"/>
  <c r="Q714" i="1"/>
  <c r="Q713" i="1"/>
  <c r="Q712" i="1"/>
  <c r="Q711" i="1"/>
  <c r="Q710" i="1"/>
  <c r="Q709" i="1"/>
  <c r="Q708" i="1"/>
  <c r="Q707" i="1"/>
  <c r="Q706" i="1"/>
  <c r="Q705" i="1"/>
  <c r="Q704" i="1"/>
  <c r="Q703" i="1"/>
  <c r="Q702" i="1"/>
  <c r="Q701" i="1"/>
  <c r="Q700" i="1"/>
  <c r="Q699" i="1"/>
  <c r="Q698" i="1"/>
  <c r="Q697" i="1"/>
  <c r="Q696" i="1"/>
  <c r="Q695" i="1"/>
  <c r="Q694" i="1"/>
  <c r="Q693" i="1"/>
  <c r="Q692" i="1"/>
  <c r="Q691" i="1"/>
  <c r="Q690" i="1"/>
  <c r="Q689" i="1"/>
  <c r="Q688" i="1"/>
  <c r="Q687" i="1"/>
  <c r="Q686" i="1"/>
  <c r="Q685" i="1"/>
  <c r="Q684" i="1"/>
  <c r="Q683" i="1"/>
  <c r="Q682" i="1"/>
  <c r="Q681" i="1"/>
  <c r="Q680" i="1"/>
  <c r="Q679" i="1"/>
  <c r="Q678" i="1"/>
  <c r="Q677" i="1"/>
  <c r="Q676" i="1"/>
  <c r="Q675" i="1"/>
  <c r="Q674" i="1"/>
  <c r="Q673" i="1"/>
  <c r="Q672" i="1"/>
  <c r="Q671" i="1"/>
  <c r="Q670" i="1"/>
  <c r="Q669" i="1"/>
  <c r="Q668" i="1"/>
  <c r="Q667" i="1"/>
  <c r="Q666" i="1"/>
  <c r="Q665" i="1"/>
  <c r="Q664" i="1"/>
  <c r="Q663" i="1"/>
  <c r="Q662" i="1"/>
  <c r="Q661" i="1"/>
  <c r="Q660" i="1"/>
  <c r="Q659" i="1"/>
  <c r="Q658" i="1"/>
  <c r="Q657" i="1"/>
  <c r="Q656" i="1"/>
  <c r="Q655" i="1"/>
  <c r="Q654" i="1"/>
  <c r="Q653" i="1"/>
  <c r="Q652" i="1"/>
  <c r="Q651" i="1"/>
  <c r="Q650" i="1"/>
  <c r="Q649" i="1"/>
  <c r="Q648" i="1"/>
  <c r="Q647" i="1"/>
  <c r="Q646" i="1"/>
  <c r="Q645" i="1"/>
  <c r="Q644" i="1"/>
  <c r="Q643" i="1"/>
  <c r="Q642" i="1"/>
  <c r="Q641" i="1"/>
  <c r="Q640" i="1"/>
  <c r="Q639" i="1"/>
  <c r="Q638" i="1"/>
  <c r="Q637" i="1"/>
  <c r="Q636" i="1"/>
  <c r="Q635" i="1"/>
  <c r="Q634" i="1"/>
  <c r="Q633" i="1"/>
  <c r="Q632" i="1"/>
  <c r="Q631" i="1"/>
  <c r="Q630" i="1"/>
  <c r="Q629" i="1"/>
  <c r="Q628" i="1"/>
  <c r="Q627" i="1"/>
  <c r="Q626" i="1"/>
  <c r="Q625" i="1"/>
  <c r="Q624" i="1"/>
  <c r="Q623" i="1"/>
  <c r="Q622" i="1"/>
  <c r="Q621" i="1"/>
  <c r="Q620" i="1"/>
  <c r="Q619" i="1"/>
  <c r="Q618" i="1"/>
  <c r="Q617" i="1"/>
  <c r="Q616" i="1"/>
  <c r="Q615" i="1"/>
  <c r="Q614" i="1"/>
  <c r="Q613" i="1"/>
  <c r="Q612" i="1"/>
  <c r="Q611" i="1"/>
  <c r="Q610" i="1"/>
  <c r="Q609" i="1"/>
  <c r="Q608" i="1"/>
  <c r="Q607" i="1"/>
  <c r="Q606" i="1"/>
  <c r="Q605" i="1"/>
  <c r="Q604" i="1"/>
  <c r="Q603" i="1"/>
  <c r="Q602" i="1"/>
  <c r="Q601" i="1"/>
  <c r="Q600" i="1"/>
  <c r="Q599" i="1"/>
  <c r="Q598" i="1"/>
  <c r="Q597" i="1"/>
  <c r="Q596" i="1"/>
  <c r="Q595" i="1"/>
  <c r="Q594" i="1"/>
  <c r="Q593" i="1"/>
  <c r="Q592" i="1"/>
  <c r="Q591" i="1"/>
  <c r="Q590" i="1"/>
  <c r="Q589" i="1"/>
  <c r="Q588" i="1"/>
  <c r="Q587" i="1"/>
  <c r="Q586" i="1"/>
  <c r="Q585" i="1"/>
  <c r="Q584" i="1"/>
  <c r="Q583" i="1"/>
  <c r="Q582" i="1"/>
  <c r="Q581" i="1"/>
  <c r="Q580" i="1"/>
  <c r="Q579" i="1"/>
  <c r="Q578" i="1"/>
  <c r="Q577" i="1"/>
  <c r="Q576" i="1"/>
  <c r="Q575" i="1"/>
  <c r="Q574" i="1"/>
  <c r="Q573" i="1"/>
  <c r="Q572" i="1"/>
  <c r="Q571" i="1"/>
  <c r="Q570" i="1"/>
  <c r="Q569" i="1"/>
  <c r="Q568" i="1"/>
  <c r="Q567" i="1"/>
  <c r="Q566" i="1"/>
  <c r="Q565" i="1"/>
  <c r="Q564" i="1"/>
  <c r="Q563" i="1"/>
  <c r="Q562" i="1"/>
  <c r="Q561" i="1"/>
  <c r="Q560" i="1"/>
  <c r="Q559" i="1"/>
  <c r="Q558" i="1"/>
  <c r="Q557" i="1"/>
  <c r="Q556" i="1"/>
  <c r="Q555" i="1"/>
  <c r="Q554" i="1"/>
  <c r="Q553" i="1"/>
  <c r="Q552" i="1"/>
  <c r="Q551" i="1"/>
  <c r="Q550" i="1"/>
  <c r="Q549" i="1"/>
  <c r="Q548" i="1"/>
  <c r="Q547" i="1"/>
  <c r="Q546" i="1"/>
  <c r="Q545" i="1"/>
  <c r="Q544" i="1"/>
  <c r="Q543" i="1"/>
  <c r="Q542" i="1"/>
  <c r="Q541" i="1"/>
  <c r="Q540" i="1"/>
  <c r="Q539" i="1"/>
  <c r="Q538" i="1"/>
  <c r="Q537" i="1"/>
  <c r="Q536" i="1"/>
  <c r="Q535" i="1"/>
  <c r="Q534" i="1"/>
  <c r="Q533" i="1"/>
  <c r="Q532" i="1"/>
  <c r="Q531" i="1"/>
  <c r="Q530" i="1"/>
  <c r="Q529" i="1"/>
  <c r="Q528" i="1"/>
  <c r="Q527" i="1"/>
  <c r="Q526" i="1"/>
  <c r="Q525" i="1"/>
  <c r="Q524" i="1"/>
  <c r="Q523" i="1"/>
  <c r="Q522" i="1"/>
  <c r="Q521" i="1"/>
  <c r="Q520" i="1"/>
  <c r="Q519" i="1"/>
  <c r="Q518" i="1"/>
  <c r="Q517" i="1"/>
  <c r="Q516" i="1"/>
  <c r="Q515" i="1"/>
  <c r="Q514" i="1"/>
  <c r="Q513" i="1"/>
  <c r="Q512" i="1"/>
  <c r="Q511" i="1"/>
  <c r="Q510" i="1"/>
  <c r="Q509" i="1"/>
  <c r="Q508" i="1"/>
  <c r="Q507" i="1"/>
  <c r="Q506" i="1"/>
  <c r="Q505" i="1"/>
  <c r="Q504" i="1"/>
  <c r="Q503" i="1"/>
  <c r="Q502" i="1"/>
  <c r="Q501" i="1"/>
  <c r="Q500" i="1"/>
  <c r="Q499" i="1"/>
  <c r="Q498" i="1"/>
  <c r="Q497" i="1"/>
  <c r="Q496" i="1"/>
  <c r="Q495" i="1"/>
  <c r="Q494" i="1"/>
  <c r="Q493" i="1"/>
  <c r="Q492" i="1"/>
  <c r="Q491" i="1"/>
  <c r="Q490" i="1"/>
  <c r="Q489" i="1"/>
  <c r="Q488" i="1"/>
  <c r="Q487" i="1"/>
  <c r="Q486" i="1"/>
  <c r="Q485" i="1"/>
  <c r="Q484" i="1"/>
  <c r="Q483" i="1"/>
  <c r="Q482" i="1"/>
  <c r="Q481" i="1"/>
  <c r="Q480" i="1"/>
  <c r="Q479" i="1"/>
  <c r="Q478" i="1"/>
  <c r="Q477" i="1"/>
  <c r="Q476" i="1"/>
  <c r="Q475" i="1"/>
  <c r="Q474" i="1"/>
  <c r="Q473" i="1"/>
  <c r="Q472" i="1"/>
  <c r="Q471" i="1"/>
  <c r="Q470" i="1"/>
  <c r="Q469" i="1"/>
  <c r="Q468" i="1"/>
  <c r="Q467" i="1"/>
  <c r="Q466" i="1"/>
  <c r="Q465" i="1"/>
  <c r="Q464" i="1"/>
  <c r="Q463" i="1"/>
  <c r="Q462" i="1"/>
  <c r="Q461" i="1"/>
  <c r="Q460" i="1"/>
  <c r="Q459" i="1"/>
  <c r="Q458" i="1"/>
  <c r="Q457" i="1"/>
  <c r="Q456" i="1"/>
  <c r="Q455" i="1"/>
  <c r="Q454" i="1"/>
  <c r="Q453" i="1"/>
  <c r="Q452" i="1"/>
  <c r="Q451" i="1"/>
  <c r="Q450" i="1"/>
  <c r="Q449" i="1"/>
  <c r="Q448" i="1"/>
  <c r="Q447" i="1"/>
  <c r="Q446" i="1"/>
  <c r="Q445" i="1"/>
  <c r="Q444" i="1"/>
  <c r="Q443" i="1"/>
  <c r="Q442" i="1"/>
  <c r="Q441" i="1"/>
  <c r="Q440" i="1"/>
  <c r="Q439" i="1"/>
  <c r="Q438" i="1"/>
  <c r="Q437" i="1"/>
  <c r="Q436" i="1"/>
  <c r="Q435" i="1"/>
  <c r="Q434" i="1"/>
  <c r="Q433" i="1"/>
  <c r="Q432" i="1"/>
  <c r="Q431" i="1"/>
  <c r="Q430" i="1"/>
  <c r="Q429" i="1"/>
  <c r="Q428" i="1"/>
  <c r="Q427" i="1"/>
  <c r="Q426" i="1"/>
  <c r="Q425" i="1"/>
  <c r="Q424" i="1"/>
  <c r="Q423" i="1"/>
  <c r="Q422" i="1"/>
  <c r="Q421" i="1"/>
  <c r="Q420" i="1"/>
  <c r="Q419" i="1"/>
  <c r="Q418" i="1"/>
  <c r="Q417" i="1"/>
  <c r="Q416" i="1"/>
  <c r="Q415" i="1"/>
  <c r="Q414" i="1"/>
  <c r="Q413" i="1"/>
  <c r="Q412" i="1"/>
  <c r="Q411" i="1"/>
  <c r="Q410" i="1"/>
  <c r="Q409" i="1"/>
  <c r="Q408" i="1"/>
  <c r="Q407" i="1"/>
  <c r="Q406" i="1"/>
  <c r="Q405" i="1"/>
  <c r="Q404" i="1"/>
  <c r="Q403" i="1"/>
  <c r="Q402" i="1"/>
  <c r="Q401" i="1"/>
  <c r="Q400" i="1"/>
  <c r="Q399" i="1"/>
  <c r="Q398" i="1"/>
  <c r="Q397" i="1"/>
  <c r="Q396" i="1"/>
  <c r="Q395" i="1"/>
  <c r="Q394" i="1"/>
  <c r="Q393" i="1"/>
  <c r="Q392" i="1"/>
  <c r="Q391" i="1"/>
  <c r="Q390" i="1"/>
  <c r="Q389" i="1"/>
  <c r="Q388" i="1"/>
  <c r="Q387" i="1"/>
  <c r="Q386" i="1"/>
  <c r="Q385" i="1"/>
  <c r="Q384" i="1"/>
  <c r="Q383" i="1"/>
  <c r="Q382" i="1"/>
  <c r="Q381" i="1"/>
  <c r="Q380" i="1"/>
  <c r="Q379" i="1"/>
  <c r="Q378" i="1"/>
  <c r="Q377" i="1"/>
  <c r="Q376" i="1"/>
  <c r="Q375" i="1"/>
  <c r="Q374" i="1"/>
  <c r="Q373" i="1"/>
  <c r="Q372" i="1"/>
  <c r="Q371" i="1"/>
  <c r="Q370" i="1"/>
  <c r="Q369" i="1"/>
  <c r="Q368" i="1"/>
  <c r="Q367" i="1"/>
  <c r="Q366" i="1"/>
  <c r="Q365" i="1"/>
  <c r="Q364" i="1"/>
  <c r="Q363" i="1"/>
  <c r="Q362" i="1"/>
  <c r="Q361" i="1"/>
  <c r="Q360" i="1"/>
  <c r="Q359" i="1"/>
  <c r="Q358" i="1"/>
  <c r="Q357" i="1"/>
  <c r="Q356" i="1"/>
  <c r="Q355" i="1"/>
  <c r="Q354" i="1"/>
  <c r="Q353" i="1"/>
  <c r="Q352" i="1"/>
  <c r="Q351" i="1"/>
  <c r="Q350" i="1"/>
  <c r="Q349" i="1"/>
  <c r="Q348" i="1"/>
  <c r="Q347" i="1"/>
  <c r="Q346" i="1"/>
  <c r="Q345" i="1"/>
  <c r="Q344" i="1"/>
  <c r="Q343" i="1"/>
  <c r="Q342" i="1"/>
  <c r="Q341" i="1"/>
  <c r="Q340" i="1"/>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R1136" i="1" l="1"/>
  <c r="Q1137" i="1"/>
  <c r="U6011" i="1"/>
  <c r="T6011" i="1"/>
  <c r="R6011" i="1"/>
  <c r="P6011" i="1"/>
  <c r="U6010" i="1"/>
  <c r="T6010" i="1"/>
  <c r="R6010" i="1"/>
  <c r="P6010" i="1"/>
  <c r="U6009" i="1"/>
  <c r="T6009" i="1"/>
  <c r="R6009" i="1"/>
  <c r="P6009" i="1"/>
  <c r="U6008" i="1"/>
  <c r="T6008" i="1"/>
  <c r="R6008" i="1"/>
  <c r="P6008" i="1"/>
  <c r="U6007" i="1"/>
  <c r="T6007" i="1"/>
  <c r="R6007" i="1"/>
  <c r="P6007" i="1"/>
  <c r="U6006" i="1"/>
  <c r="T6006" i="1"/>
  <c r="R6006" i="1"/>
  <c r="P6006" i="1"/>
  <c r="U6005" i="1"/>
  <c r="T6005" i="1"/>
  <c r="R6005" i="1"/>
  <c r="P6005" i="1"/>
  <c r="U6004" i="1"/>
  <c r="T6004" i="1"/>
  <c r="R6004" i="1"/>
  <c r="P6004" i="1"/>
  <c r="U6003" i="1"/>
  <c r="T6003" i="1"/>
  <c r="R6003" i="1"/>
  <c r="P6003" i="1"/>
  <c r="U6002" i="1"/>
  <c r="T6002" i="1"/>
  <c r="R6002" i="1"/>
  <c r="P6002" i="1"/>
  <c r="U6001" i="1"/>
  <c r="T6001" i="1"/>
  <c r="R6001" i="1"/>
  <c r="P6001" i="1"/>
  <c r="U6000" i="1"/>
  <c r="T6000" i="1"/>
  <c r="R6000" i="1"/>
  <c r="P6000" i="1"/>
  <c r="U5999" i="1"/>
  <c r="T5999" i="1"/>
  <c r="R5999" i="1"/>
  <c r="P5999" i="1"/>
  <c r="U5998" i="1"/>
  <c r="T5998" i="1"/>
  <c r="R5998" i="1"/>
  <c r="P5998" i="1"/>
  <c r="U5997" i="1"/>
  <c r="T5997" i="1"/>
  <c r="R5997" i="1"/>
  <c r="P5997" i="1"/>
  <c r="U5996" i="1"/>
  <c r="T5996" i="1"/>
  <c r="R5996" i="1"/>
  <c r="P5996" i="1"/>
  <c r="U5995" i="1"/>
  <c r="T5995" i="1"/>
  <c r="R5995" i="1"/>
  <c r="P5995" i="1"/>
  <c r="U5994" i="1"/>
  <c r="T5994" i="1"/>
  <c r="R5994" i="1"/>
  <c r="P5994" i="1"/>
  <c r="U5993" i="1"/>
  <c r="T5993" i="1"/>
  <c r="R5993" i="1"/>
  <c r="P5993" i="1"/>
  <c r="U5992" i="1"/>
  <c r="T5992" i="1"/>
  <c r="R5992" i="1"/>
  <c r="P5992" i="1"/>
  <c r="U5991" i="1"/>
  <c r="T5991" i="1"/>
  <c r="R5991" i="1"/>
  <c r="P5991" i="1"/>
  <c r="U5990" i="1"/>
  <c r="T5990" i="1"/>
  <c r="R5990" i="1"/>
  <c r="P5990" i="1"/>
  <c r="U5989" i="1"/>
  <c r="T5989" i="1"/>
  <c r="R5989" i="1"/>
  <c r="P5989" i="1"/>
  <c r="U5988" i="1"/>
  <c r="T5988" i="1"/>
  <c r="R5988" i="1"/>
  <c r="P5988" i="1"/>
  <c r="U5987" i="1"/>
  <c r="T5987" i="1"/>
  <c r="R5987" i="1"/>
  <c r="P5987" i="1"/>
  <c r="U5986" i="1"/>
  <c r="T5986" i="1"/>
  <c r="R5986" i="1"/>
  <c r="P5986" i="1"/>
  <c r="U5985" i="1"/>
  <c r="T5985" i="1"/>
  <c r="R5985" i="1"/>
  <c r="P5985" i="1"/>
  <c r="U5984" i="1"/>
  <c r="T5984" i="1"/>
  <c r="R5984" i="1"/>
  <c r="P5984" i="1"/>
  <c r="U5983" i="1"/>
  <c r="T5983" i="1"/>
  <c r="R5983" i="1"/>
  <c r="P5983" i="1"/>
  <c r="U5982" i="1"/>
  <c r="T5982" i="1"/>
  <c r="R5982" i="1"/>
  <c r="P5982" i="1"/>
  <c r="U5981" i="1"/>
  <c r="T5981" i="1"/>
  <c r="R5981" i="1"/>
  <c r="P5981" i="1"/>
  <c r="U5980" i="1"/>
  <c r="T5980" i="1"/>
  <c r="R5980" i="1"/>
  <c r="P5980" i="1"/>
  <c r="U5979" i="1"/>
  <c r="T5979" i="1"/>
  <c r="R5979" i="1"/>
  <c r="P5979" i="1"/>
  <c r="U5978" i="1"/>
  <c r="T5978" i="1"/>
  <c r="R5978" i="1"/>
  <c r="P5978" i="1"/>
  <c r="U5977" i="1"/>
  <c r="T5977" i="1"/>
  <c r="R5977" i="1"/>
  <c r="P5977" i="1"/>
  <c r="U5976" i="1"/>
  <c r="T5976" i="1"/>
  <c r="R5976" i="1"/>
  <c r="P5976" i="1"/>
  <c r="U5975" i="1"/>
  <c r="T5975" i="1"/>
  <c r="R5975" i="1"/>
  <c r="P5975" i="1"/>
  <c r="U5974" i="1"/>
  <c r="T5974" i="1"/>
  <c r="R5974" i="1"/>
  <c r="P5974" i="1"/>
  <c r="U5973" i="1"/>
  <c r="T5973" i="1"/>
  <c r="R5973" i="1"/>
  <c r="P5973" i="1"/>
  <c r="U5972" i="1"/>
  <c r="T5972" i="1"/>
  <c r="R5972" i="1"/>
  <c r="P5972" i="1"/>
  <c r="U5971" i="1"/>
  <c r="T5971" i="1"/>
  <c r="R5971" i="1"/>
  <c r="P5971" i="1"/>
  <c r="U5970" i="1"/>
  <c r="T5970" i="1"/>
  <c r="R5970" i="1"/>
  <c r="P5970" i="1"/>
  <c r="U5969" i="1"/>
  <c r="T5969" i="1"/>
  <c r="R5969" i="1"/>
  <c r="P5969" i="1"/>
  <c r="U5968" i="1"/>
  <c r="T5968" i="1"/>
  <c r="R5968" i="1"/>
  <c r="P5968" i="1"/>
  <c r="U5967" i="1"/>
  <c r="T5967" i="1"/>
  <c r="R5967" i="1"/>
  <c r="P5967" i="1"/>
  <c r="U5966" i="1"/>
  <c r="T5966" i="1"/>
  <c r="R5966" i="1"/>
  <c r="P5966" i="1"/>
  <c r="U5965" i="1"/>
  <c r="T5965" i="1"/>
  <c r="R5965" i="1"/>
  <c r="P5965" i="1"/>
  <c r="U5964" i="1"/>
  <c r="T5964" i="1"/>
  <c r="R5964" i="1"/>
  <c r="P5964" i="1"/>
  <c r="U5963" i="1"/>
  <c r="T5963" i="1"/>
  <c r="R5963" i="1"/>
  <c r="P5963" i="1"/>
  <c r="U5962" i="1"/>
  <c r="T5962" i="1"/>
  <c r="R5962" i="1"/>
  <c r="P5962" i="1"/>
  <c r="U5961" i="1"/>
  <c r="T5961" i="1"/>
  <c r="R5961" i="1"/>
  <c r="P5961" i="1"/>
  <c r="U5960" i="1"/>
  <c r="T5960" i="1"/>
  <c r="R5960" i="1"/>
  <c r="P5960" i="1"/>
  <c r="U5959" i="1"/>
  <c r="T5959" i="1"/>
  <c r="R5959" i="1"/>
  <c r="P5959" i="1"/>
  <c r="U5958" i="1"/>
  <c r="T5958" i="1"/>
  <c r="R5958" i="1"/>
  <c r="P5958" i="1"/>
  <c r="U5957" i="1"/>
  <c r="T5957" i="1"/>
  <c r="R5957" i="1"/>
  <c r="P5957" i="1"/>
  <c r="U5956" i="1"/>
  <c r="T5956" i="1"/>
  <c r="R5956" i="1"/>
  <c r="P5956" i="1"/>
  <c r="U5955" i="1"/>
  <c r="T5955" i="1"/>
  <c r="R5955" i="1"/>
  <c r="P5955" i="1"/>
  <c r="U5954" i="1"/>
  <c r="T5954" i="1"/>
  <c r="R5954" i="1"/>
  <c r="P5954" i="1"/>
  <c r="U5953" i="1"/>
  <c r="T5953" i="1"/>
  <c r="R5953" i="1"/>
  <c r="P5953" i="1"/>
  <c r="U5952" i="1"/>
  <c r="T5952" i="1"/>
  <c r="R5952" i="1"/>
  <c r="P5952" i="1"/>
  <c r="U5951" i="1"/>
  <c r="T5951" i="1"/>
  <c r="R5951" i="1"/>
  <c r="P5951" i="1"/>
  <c r="U5950" i="1"/>
  <c r="T5950" i="1"/>
  <c r="R5950" i="1"/>
  <c r="P5950" i="1"/>
  <c r="U5949" i="1"/>
  <c r="T5949" i="1"/>
  <c r="R5949" i="1"/>
  <c r="P5949" i="1"/>
  <c r="U5948" i="1"/>
  <c r="T5948" i="1"/>
  <c r="R5948" i="1"/>
  <c r="P5948" i="1"/>
  <c r="U5947" i="1"/>
  <c r="T5947" i="1"/>
  <c r="R5947" i="1"/>
  <c r="P5947" i="1"/>
  <c r="U5946" i="1"/>
  <c r="T5946" i="1"/>
  <c r="R5946" i="1"/>
  <c r="P5946" i="1"/>
  <c r="U5945" i="1"/>
  <c r="T5945" i="1"/>
  <c r="R5945" i="1"/>
  <c r="P5945" i="1"/>
  <c r="U5944" i="1"/>
  <c r="T5944" i="1"/>
  <c r="R5944" i="1"/>
  <c r="P5944" i="1"/>
  <c r="U5943" i="1"/>
  <c r="T5943" i="1"/>
  <c r="R5943" i="1"/>
  <c r="P5943" i="1"/>
  <c r="U5942" i="1"/>
  <c r="T5942" i="1"/>
  <c r="R5942" i="1"/>
  <c r="P5942" i="1"/>
  <c r="U5941" i="1"/>
  <c r="T5941" i="1"/>
  <c r="R5941" i="1"/>
  <c r="P5941" i="1"/>
  <c r="U5940" i="1"/>
  <c r="T5940" i="1"/>
  <c r="R5940" i="1"/>
  <c r="P5940" i="1"/>
  <c r="U5939" i="1"/>
  <c r="T5939" i="1"/>
  <c r="R5939" i="1"/>
  <c r="P5939" i="1"/>
  <c r="U5938" i="1"/>
  <c r="T5938" i="1"/>
  <c r="R5938" i="1"/>
  <c r="P5938" i="1"/>
  <c r="U5937" i="1"/>
  <c r="T5937" i="1"/>
  <c r="R5937" i="1"/>
  <c r="P5937" i="1"/>
  <c r="U5936" i="1"/>
  <c r="T5936" i="1"/>
  <c r="R5936" i="1"/>
  <c r="P5936" i="1"/>
  <c r="U5935" i="1"/>
  <c r="T5935" i="1"/>
  <c r="R5935" i="1"/>
  <c r="P5935" i="1"/>
  <c r="U5934" i="1"/>
  <c r="T5934" i="1"/>
  <c r="R5934" i="1"/>
  <c r="P5934" i="1"/>
  <c r="U5933" i="1"/>
  <c r="T5933" i="1"/>
  <c r="R5933" i="1"/>
  <c r="P5933" i="1"/>
  <c r="U5932" i="1"/>
  <c r="T5932" i="1"/>
  <c r="R5932" i="1"/>
  <c r="P5932" i="1"/>
  <c r="U5931" i="1"/>
  <c r="T5931" i="1"/>
  <c r="R5931" i="1"/>
  <c r="P5931" i="1"/>
  <c r="U5930" i="1"/>
  <c r="T5930" i="1"/>
  <c r="R5930" i="1"/>
  <c r="P5930" i="1"/>
  <c r="U5929" i="1"/>
  <c r="T5929" i="1"/>
  <c r="R5929" i="1"/>
  <c r="P5929" i="1"/>
  <c r="U5928" i="1"/>
  <c r="T5928" i="1"/>
  <c r="R5928" i="1"/>
  <c r="P5928" i="1"/>
  <c r="U5927" i="1"/>
  <c r="T5927" i="1"/>
  <c r="R5927" i="1"/>
  <c r="P5927" i="1"/>
  <c r="U5926" i="1"/>
  <c r="T5926" i="1"/>
  <c r="R5926" i="1"/>
  <c r="P5926" i="1"/>
  <c r="U5925" i="1"/>
  <c r="T5925" i="1"/>
  <c r="R5925" i="1"/>
  <c r="P5925" i="1"/>
  <c r="U5924" i="1"/>
  <c r="T5924" i="1"/>
  <c r="R5924" i="1"/>
  <c r="P5924" i="1"/>
  <c r="U5923" i="1"/>
  <c r="T5923" i="1"/>
  <c r="R5923" i="1"/>
  <c r="P5923" i="1"/>
  <c r="U5922" i="1"/>
  <c r="T5922" i="1"/>
  <c r="R5922" i="1"/>
  <c r="P5922" i="1"/>
  <c r="U5921" i="1"/>
  <c r="T5921" i="1"/>
  <c r="R5921" i="1"/>
  <c r="P5921" i="1"/>
  <c r="U5920" i="1"/>
  <c r="T5920" i="1"/>
  <c r="R5920" i="1"/>
  <c r="P5920" i="1"/>
  <c r="U5919" i="1"/>
  <c r="T5919" i="1"/>
  <c r="R5919" i="1"/>
  <c r="P5919" i="1"/>
  <c r="U5918" i="1"/>
  <c r="T5918" i="1"/>
  <c r="R5918" i="1"/>
  <c r="P5918" i="1"/>
  <c r="U5917" i="1"/>
  <c r="T5917" i="1"/>
  <c r="R5917" i="1"/>
  <c r="P5917" i="1"/>
  <c r="U5916" i="1"/>
  <c r="T5916" i="1"/>
  <c r="R5916" i="1"/>
  <c r="P5916" i="1"/>
  <c r="U5915" i="1"/>
  <c r="T5915" i="1"/>
  <c r="R5915" i="1"/>
  <c r="P5915" i="1"/>
  <c r="U5914" i="1"/>
  <c r="T5914" i="1"/>
  <c r="R5914" i="1"/>
  <c r="P5914" i="1"/>
  <c r="U5913" i="1"/>
  <c r="T5913" i="1"/>
  <c r="R5913" i="1"/>
  <c r="P5913" i="1"/>
  <c r="U5912" i="1"/>
  <c r="T5912" i="1"/>
  <c r="R5912" i="1"/>
  <c r="P5912" i="1"/>
  <c r="U5911" i="1"/>
  <c r="T5911" i="1"/>
  <c r="R5911" i="1"/>
  <c r="P5911" i="1"/>
  <c r="U5910" i="1"/>
  <c r="T5910" i="1"/>
  <c r="R5910" i="1"/>
  <c r="P5910" i="1"/>
  <c r="U5909" i="1"/>
  <c r="T5909" i="1"/>
  <c r="R5909" i="1"/>
  <c r="P5909" i="1"/>
  <c r="U5908" i="1"/>
  <c r="T5908" i="1"/>
  <c r="R5908" i="1"/>
  <c r="P5908" i="1"/>
  <c r="U5907" i="1"/>
  <c r="T5907" i="1"/>
  <c r="R5907" i="1"/>
  <c r="P5907" i="1"/>
  <c r="U5906" i="1"/>
  <c r="T5906" i="1"/>
  <c r="R5906" i="1"/>
  <c r="P5906" i="1"/>
  <c r="U5905" i="1"/>
  <c r="T5905" i="1"/>
  <c r="R5905" i="1"/>
  <c r="P5905" i="1"/>
  <c r="U5904" i="1"/>
  <c r="T5904" i="1"/>
  <c r="R5904" i="1"/>
  <c r="P5904" i="1"/>
  <c r="U5903" i="1"/>
  <c r="T5903" i="1"/>
  <c r="R5903" i="1"/>
  <c r="P5903" i="1"/>
  <c r="U5902" i="1"/>
  <c r="T5902" i="1"/>
  <c r="R5902" i="1"/>
  <c r="P5902" i="1"/>
  <c r="U5901" i="1"/>
  <c r="T5901" i="1"/>
  <c r="R5901" i="1"/>
  <c r="P5901" i="1"/>
  <c r="U5900" i="1"/>
  <c r="T5900" i="1"/>
  <c r="R5900" i="1"/>
  <c r="P5900" i="1"/>
  <c r="U5899" i="1"/>
  <c r="T5899" i="1"/>
  <c r="R5899" i="1"/>
  <c r="P5899" i="1"/>
  <c r="U5898" i="1"/>
  <c r="T5898" i="1"/>
  <c r="R5898" i="1"/>
  <c r="P5898" i="1"/>
  <c r="U5897" i="1"/>
  <c r="T5897" i="1"/>
  <c r="R5897" i="1"/>
  <c r="P5897" i="1"/>
  <c r="U5896" i="1"/>
  <c r="T5896" i="1"/>
  <c r="R5896" i="1"/>
  <c r="P5896" i="1"/>
  <c r="U5895" i="1"/>
  <c r="T5895" i="1"/>
  <c r="R5895" i="1"/>
  <c r="P5895" i="1"/>
  <c r="U5894" i="1"/>
  <c r="T5894" i="1"/>
  <c r="R5894" i="1"/>
  <c r="P5894" i="1"/>
  <c r="U5893" i="1"/>
  <c r="T5893" i="1"/>
  <c r="R5893" i="1"/>
  <c r="P5893" i="1"/>
  <c r="U5892" i="1"/>
  <c r="T5892" i="1"/>
  <c r="R5892" i="1"/>
  <c r="P5892" i="1"/>
  <c r="U5891" i="1"/>
  <c r="T5891" i="1"/>
  <c r="R5891" i="1"/>
  <c r="P5891" i="1"/>
  <c r="U5890" i="1"/>
  <c r="T5890" i="1"/>
  <c r="R5890" i="1"/>
  <c r="P5890" i="1"/>
  <c r="U5889" i="1"/>
  <c r="T5889" i="1"/>
  <c r="R5889" i="1"/>
  <c r="P5889" i="1"/>
  <c r="U5888" i="1"/>
  <c r="T5888" i="1"/>
  <c r="R5888" i="1"/>
  <c r="P5888" i="1"/>
  <c r="U5887" i="1"/>
  <c r="T5887" i="1"/>
  <c r="R5887" i="1"/>
  <c r="P5887" i="1"/>
  <c r="U5886" i="1"/>
  <c r="T5886" i="1"/>
  <c r="R5886" i="1"/>
  <c r="P5886" i="1"/>
  <c r="U5885" i="1"/>
  <c r="T5885" i="1"/>
  <c r="R5885" i="1"/>
  <c r="P5885" i="1"/>
  <c r="U5884" i="1"/>
  <c r="T5884" i="1"/>
  <c r="R5884" i="1"/>
  <c r="P5884" i="1"/>
  <c r="U5883" i="1"/>
  <c r="T5883" i="1"/>
  <c r="R5883" i="1"/>
  <c r="P5883" i="1"/>
  <c r="U5882" i="1"/>
  <c r="T5882" i="1"/>
  <c r="R5882" i="1"/>
  <c r="P5882" i="1"/>
  <c r="U5881" i="1"/>
  <c r="T5881" i="1"/>
  <c r="R5881" i="1"/>
  <c r="P5881" i="1"/>
  <c r="U5880" i="1"/>
  <c r="T5880" i="1"/>
  <c r="R5880" i="1"/>
  <c r="P5880" i="1"/>
  <c r="U5879" i="1"/>
  <c r="T5879" i="1"/>
  <c r="R5879" i="1"/>
  <c r="P5879" i="1"/>
  <c r="U5878" i="1"/>
  <c r="T5878" i="1"/>
  <c r="R5878" i="1"/>
  <c r="P5878" i="1"/>
  <c r="U5877" i="1"/>
  <c r="T5877" i="1"/>
  <c r="R5877" i="1"/>
  <c r="P5877" i="1"/>
  <c r="U5876" i="1"/>
  <c r="T5876" i="1"/>
  <c r="R5876" i="1"/>
  <c r="P5876" i="1"/>
  <c r="U5875" i="1"/>
  <c r="T5875" i="1"/>
  <c r="R5875" i="1"/>
  <c r="P5875" i="1"/>
  <c r="U5874" i="1"/>
  <c r="T5874" i="1"/>
  <c r="R5874" i="1"/>
  <c r="P5874" i="1"/>
  <c r="U5873" i="1"/>
  <c r="T5873" i="1"/>
  <c r="R5873" i="1"/>
  <c r="P5873" i="1"/>
  <c r="U5872" i="1"/>
  <c r="T5872" i="1"/>
  <c r="R5872" i="1"/>
  <c r="P5872" i="1"/>
  <c r="U5871" i="1"/>
  <c r="T5871" i="1"/>
  <c r="R5871" i="1"/>
  <c r="P5871" i="1"/>
  <c r="U5870" i="1"/>
  <c r="T5870" i="1"/>
  <c r="R5870" i="1"/>
  <c r="P5870" i="1"/>
  <c r="U5869" i="1"/>
  <c r="T5869" i="1"/>
  <c r="R5869" i="1"/>
  <c r="P5869" i="1"/>
  <c r="U5868" i="1"/>
  <c r="T5868" i="1"/>
  <c r="R5868" i="1"/>
  <c r="P5868" i="1"/>
  <c r="U5867" i="1"/>
  <c r="T5867" i="1"/>
  <c r="R5867" i="1"/>
  <c r="P5867" i="1"/>
  <c r="U5866" i="1"/>
  <c r="T5866" i="1"/>
  <c r="R5866" i="1"/>
  <c r="P5866" i="1"/>
  <c r="U5865" i="1"/>
  <c r="T5865" i="1"/>
  <c r="R5865" i="1"/>
  <c r="P5865" i="1"/>
  <c r="U5864" i="1"/>
  <c r="T5864" i="1"/>
  <c r="R5864" i="1"/>
  <c r="P5864" i="1"/>
  <c r="U5863" i="1"/>
  <c r="T5863" i="1"/>
  <c r="R5863" i="1"/>
  <c r="P5863" i="1"/>
  <c r="U5862" i="1"/>
  <c r="T5862" i="1"/>
  <c r="R5862" i="1"/>
  <c r="P5862" i="1"/>
  <c r="U5861" i="1"/>
  <c r="T5861" i="1"/>
  <c r="R5861" i="1"/>
  <c r="P5861" i="1"/>
  <c r="U5860" i="1"/>
  <c r="T5860" i="1"/>
  <c r="R5860" i="1"/>
  <c r="P5860" i="1"/>
  <c r="U5859" i="1"/>
  <c r="T5859" i="1"/>
  <c r="R5859" i="1"/>
  <c r="P5859" i="1"/>
  <c r="U5858" i="1"/>
  <c r="T5858" i="1"/>
  <c r="R5858" i="1"/>
  <c r="P5858" i="1"/>
  <c r="U5857" i="1"/>
  <c r="T5857" i="1"/>
  <c r="R5857" i="1"/>
  <c r="P5857" i="1"/>
  <c r="U5856" i="1"/>
  <c r="T5856" i="1"/>
  <c r="R5856" i="1"/>
  <c r="P5856" i="1"/>
  <c r="U5855" i="1"/>
  <c r="T5855" i="1"/>
  <c r="R5855" i="1"/>
  <c r="P5855" i="1"/>
  <c r="U5854" i="1"/>
  <c r="T5854" i="1"/>
  <c r="R5854" i="1"/>
  <c r="P5854" i="1"/>
  <c r="U5853" i="1"/>
  <c r="T5853" i="1"/>
  <c r="R5853" i="1"/>
  <c r="P5853" i="1"/>
  <c r="U5852" i="1"/>
  <c r="T5852" i="1"/>
  <c r="R5852" i="1"/>
  <c r="P5852" i="1"/>
  <c r="U5851" i="1"/>
  <c r="T5851" i="1"/>
  <c r="R5851" i="1"/>
  <c r="P5851" i="1"/>
  <c r="U5850" i="1"/>
  <c r="T5850" i="1"/>
  <c r="R5850" i="1"/>
  <c r="P5850" i="1"/>
  <c r="U5849" i="1"/>
  <c r="T5849" i="1"/>
  <c r="R5849" i="1"/>
  <c r="P5849" i="1"/>
  <c r="U5848" i="1"/>
  <c r="T5848" i="1"/>
  <c r="R5848" i="1"/>
  <c r="P5848" i="1"/>
  <c r="U5847" i="1"/>
  <c r="T5847" i="1"/>
  <c r="R5847" i="1"/>
  <c r="P5847" i="1"/>
  <c r="U5846" i="1"/>
  <c r="T5846" i="1"/>
  <c r="R5846" i="1"/>
  <c r="P5846" i="1"/>
  <c r="U5845" i="1"/>
  <c r="T5845" i="1"/>
  <c r="R5845" i="1"/>
  <c r="P5845" i="1"/>
  <c r="U5844" i="1"/>
  <c r="T5844" i="1"/>
  <c r="R5844" i="1"/>
  <c r="P5844" i="1"/>
  <c r="U5843" i="1"/>
  <c r="T5843" i="1"/>
  <c r="R5843" i="1"/>
  <c r="P5843" i="1"/>
  <c r="U5842" i="1"/>
  <c r="T5842" i="1"/>
  <c r="R5842" i="1"/>
  <c r="P5842" i="1"/>
  <c r="U5841" i="1"/>
  <c r="T5841" i="1"/>
  <c r="R5841" i="1"/>
  <c r="P5841" i="1"/>
  <c r="U5840" i="1"/>
  <c r="T5840" i="1"/>
  <c r="R5840" i="1"/>
  <c r="P5840" i="1"/>
  <c r="U5839" i="1"/>
  <c r="T5839" i="1"/>
  <c r="R5839" i="1"/>
  <c r="P5839" i="1"/>
  <c r="U5838" i="1"/>
  <c r="T5838" i="1"/>
  <c r="R5838" i="1"/>
  <c r="P5838" i="1"/>
  <c r="U5837" i="1"/>
  <c r="T5837" i="1"/>
  <c r="R5837" i="1"/>
  <c r="P5837" i="1"/>
  <c r="U5836" i="1"/>
  <c r="T5836" i="1"/>
  <c r="R5836" i="1"/>
  <c r="P5836" i="1"/>
  <c r="U5835" i="1"/>
  <c r="T5835" i="1"/>
  <c r="R5835" i="1"/>
  <c r="P5835" i="1"/>
  <c r="U5834" i="1"/>
  <c r="T5834" i="1"/>
  <c r="R5834" i="1"/>
  <c r="P5834" i="1"/>
  <c r="U5833" i="1"/>
  <c r="T5833" i="1"/>
  <c r="R5833" i="1"/>
  <c r="P5833" i="1"/>
  <c r="U5832" i="1"/>
  <c r="T5832" i="1"/>
  <c r="R5832" i="1"/>
  <c r="P5832" i="1"/>
  <c r="U5831" i="1"/>
  <c r="T5831" i="1"/>
  <c r="R5831" i="1"/>
  <c r="P5831" i="1"/>
  <c r="U5830" i="1"/>
  <c r="T5830" i="1"/>
  <c r="R5830" i="1"/>
  <c r="P5830" i="1"/>
  <c r="U5829" i="1"/>
  <c r="T5829" i="1"/>
  <c r="R5829" i="1"/>
  <c r="P5829" i="1"/>
  <c r="U5828" i="1"/>
  <c r="T5828" i="1"/>
  <c r="R5828" i="1"/>
  <c r="P5828" i="1"/>
  <c r="U5827" i="1"/>
  <c r="T5827" i="1"/>
  <c r="R5827" i="1"/>
  <c r="P5827" i="1"/>
  <c r="U5826" i="1"/>
  <c r="T5826" i="1"/>
  <c r="R5826" i="1"/>
  <c r="P5826" i="1"/>
  <c r="U5825" i="1"/>
  <c r="T5825" i="1"/>
  <c r="R5825" i="1"/>
  <c r="P5825" i="1"/>
  <c r="U5824" i="1"/>
  <c r="T5824" i="1"/>
  <c r="R5824" i="1"/>
  <c r="P5824" i="1"/>
  <c r="U5823" i="1"/>
  <c r="T5823" i="1"/>
  <c r="R5823" i="1"/>
  <c r="P5823" i="1"/>
  <c r="U5822" i="1"/>
  <c r="T5822" i="1"/>
  <c r="R5822" i="1"/>
  <c r="P5822" i="1"/>
  <c r="U5821" i="1"/>
  <c r="T5821" i="1"/>
  <c r="R5821" i="1"/>
  <c r="P5821" i="1"/>
  <c r="U5820" i="1"/>
  <c r="T5820" i="1"/>
  <c r="R5820" i="1"/>
  <c r="P5820" i="1"/>
  <c r="U5819" i="1"/>
  <c r="T5819" i="1"/>
  <c r="R5819" i="1"/>
  <c r="P5819" i="1"/>
  <c r="U5818" i="1"/>
  <c r="T5818" i="1"/>
  <c r="R5818" i="1"/>
  <c r="P5818" i="1"/>
  <c r="U5817" i="1"/>
  <c r="T5817" i="1"/>
  <c r="R5817" i="1"/>
  <c r="P5817" i="1"/>
  <c r="U5816" i="1"/>
  <c r="T5816" i="1"/>
  <c r="R5816" i="1"/>
  <c r="P5816" i="1"/>
  <c r="U5815" i="1"/>
  <c r="T5815" i="1"/>
  <c r="R5815" i="1"/>
  <c r="P5815" i="1"/>
  <c r="U5814" i="1"/>
  <c r="T5814" i="1"/>
  <c r="R5814" i="1"/>
  <c r="P5814" i="1"/>
  <c r="U5813" i="1"/>
  <c r="T5813" i="1"/>
  <c r="R5813" i="1"/>
  <c r="P5813" i="1"/>
  <c r="U5812" i="1"/>
  <c r="T5812" i="1"/>
  <c r="R5812" i="1"/>
  <c r="P5812" i="1"/>
  <c r="U5811" i="1"/>
  <c r="T5811" i="1"/>
  <c r="R5811" i="1"/>
  <c r="P5811" i="1"/>
  <c r="U5810" i="1"/>
  <c r="T5810" i="1"/>
  <c r="R5810" i="1"/>
  <c r="P5810" i="1"/>
  <c r="U5809" i="1"/>
  <c r="T5809" i="1"/>
  <c r="R5809" i="1"/>
  <c r="P5809" i="1"/>
  <c r="U5808" i="1"/>
  <c r="T5808" i="1"/>
  <c r="R5808" i="1"/>
  <c r="P5808" i="1"/>
  <c r="U5807" i="1"/>
  <c r="T5807" i="1"/>
  <c r="R5807" i="1"/>
  <c r="P5807" i="1"/>
  <c r="U5806" i="1"/>
  <c r="T5806" i="1"/>
  <c r="R5806" i="1"/>
  <c r="P5806" i="1"/>
  <c r="U5805" i="1"/>
  <c r="T5805" i="1"/>
  <c r="R5805" i="1"/>
  <c r="P5805" i="1"/>
  <c r="U5804" i="1"/>
  <c r="T5804" i="1"/>
  <c r="R5804" i="1"/>
  <c r="P5804" i="1"/>
  <c r="U5803" i="1"/>
  <c r="T5803" i="1"/>
  <c r="R5803" i="1"/>
  <c r="P5803" i="1"/>
  <c r="U5802" i="1"/>
  <c r="T5802" i="1"/>
  <c r="R5802" i="1"/>
  <c r="P5802" i="1"/>
  <c r="U5801" i="1"/>
  <c r="T5801" i="1"/>
  <c r="R5801" i="1"/>
  <c r="P5801" i="1"/>
  <c r="U5800" i="1"/>
  <c r="T5800" i="1"/>
  <c r="R5800" i="1"/>
  <c r="P5800" i="1"/>
  <c r="U5799" i="1"/>
  <c r="T5799" i="1"/>
  <c r="R5799" i="1"/>
  <c r="P5799" i="1"/>
  <c r="U5798" i="1"/>
  <c r="T5798" i="1"/>
  <c r="R5798" i="1"/>
  <c r="P5798" i="1"/>
  <c r="U5797" i="1"/>
  <c r="T5797" i="1"/>
  <c r="R5797" i="1"/>
  <c r="P5797" i="1"/>
  <c r="U5796" i="1"/>
  <c r="T5796" i="1"/>
  <c r="R5796" i="1"/>
  <c r="P5796" i="1"/>
  <c r="U5795" i="1"/>
  <c r="T5795" i="1"/>
  <c r="R5795" i="1"/>
  <c r="P5795" i="1"/>
  <c r="U5794" i="1"/>
  <c r="T5794" i="1"/>
  <c r="R5794" i="1"/>
  <c r="P5794" i="1"/>
  <c r="U5793" i="1"/>
  <c r="T5793" i="1"/>
  <c r="R5793" i="1"/>
  <c r="P5793" i="1"/>
  <c r="U5792" i="1"/>
  <c r="T5792" i="1"/>
  <c r="R5792" i="1"/>
  <c r="P5792" i="1"/>
  <c r="U5791" i="1"/>
  <c r="T5791" i="1"/>
  <c r="R5791" i="1"/>
  <c r="P5791" i="1"/>
  <c r="U5790" i="1"/>
  <c r="T5790" i="1"/>
  <c r="R5790" i="1"/>
  <c r="P5790" i="1"/>
  <c r="U5789" i="1"/>
  <c r="T5789" i="1"/>
  <c r="R5789" i="1"/>
  <c r="P5789" i="1"/>
  <c r="U5788" i="1"/>
  <c r="T5788" i="1"/>
  <c r="R5788" i="1"/>
  <c r="P5788" i="1"/>
  <c r="U5787" i="1"/>
  <c r="T5787" i="1"/>
  <c r="R5787" i="1"/>
  <c r="P5787" i="1"/>
  <c r="U5786" i="1"/>
  <c r="T5786" i="1"/>
  <c r="R5786" i="1"/>
  <c r="P5786" i="1"/>
  <c r="U5785" i="1"/>
  <c r="T5785" i="1"/>
  <c r="R5785" i="1"/>
  <c r="P5785" i="1"/>
  <c r="U5784" i="1"/>
  <c r="T5784" i="1"/>
  <c r="R5784" i="1"/>
  <c r="P5784" i="1"/>
  <c r="U5783" i="1"/>
  <c r="T5783" i="1"/>
  <c r="R5783" i="1"/>
  <c r="P5783" i="1"/>
  <c r="U5782" i="1"/>
  <c r="T5782" i="1"/>
  <c r="R5782" i="1"/>
  <c r="P5782" i="1"/>
  <c r="U5781" i="1"/>
  <c r="T5781" i="1"/>
  <c r="R5781" i="1"/>
  <c r="P5781" i="1"/>
  <c r="U5780" i="1"/>
  <c r="T5780" i="1"/>
  <c r="R5780" i="1"/>
  <c r="P5780" i="1"/>
  <c r="U5779" i="1"/>
  <c r="T5779" i="1"/>
  <c r="R5779" i="1"/>
  <c r="P5779" i="1"/>
  <c r="U5778" i="1"/>
  <c r="T5778" i="1"/>
  <c r="R5778" i="1"/>
  <c r="P5778" i="1"/>
  <c r="U5777" i="1"/>
  <c r="T5777" i="1"/>
  <c r="R5777" i="1"/>
  <c r="P5777" i="1"/>
  <c r="U5776" i="1"/>
  <c r="T5776" i="1"/>
  <c r="R5776" i="1"/>
  <c r="P5776" i="1"/>
  <c r="U5775" i="1"/>
  <c r="T5775" i="1"/>
  <c r="R5775" i="1"/>
  <c r="P5775" i="1"/>
  <c r="U5774" i="1"/>
  <c r="T5774" i="1"/>
  <c r="R5774" i="1"/>
  <c r="P5774" i="1"/>
  <c r="U5773" i="1"/>
  <c r="T5773" i="1"/>
  <c r="R5773" i="1"/>
  <c r="P5773" i="1"/>
  <c r="U5772" i="1"/>
  <c r="T5772" i="1"/>
  <c r="R5772" i="1"/>
  <c r="P5772" i="1"/>
  <c r="U5771" i="1"/>
  <c r="T5771" i="1"/>
  <c r="R5771" i="1"/>
  <c r="P5771" i="1"/>
  <c r="U5770" i="1"/>
  <c r="T5770" i="1"/>
  <c r="R5770" i="1"/>
  <c r="P5770" i="1"/>
  <c r="U5769" i="1"/>
  <c r="T5769" i="1"/>
  <c r="R5769" i="1"/>
  <c r="P5769" i="1"/>
  <c r="U5768" i="1"/>
  <c r="T5768" i="1"/>
  <c r="R5768" i="1"/>
  <c r="P5768" i="1"/>
  <c r="U5767" i="1"/>
  <c r="T5767" i="1"/>
  <c r="R5767" i="1"/>
  <c r="P5767" i="1"/>
  <c r="U5766" i="1"/>
  <c r="T5766" i="1"/>
  <c r="R5766" i="1"/>
  <c r="P5766" i="1"/>
  <c r="U5765" i="1"/>
  <c r="T5765" i="1"/>
  <c r="R5765" i="1"/>
  <c r="P5765" i="1"/>
  <c r="U5764" i="1"/>
  <c r="T5764" i="1"/>
  <c r="R5764" i="1"/>
  <c r="P5764" i="1"/>
  <c r="U5763" i="1"/>
  <c r="T5763" i="1"/>
  <c r="R5763" i="1"/>
  <c r="P5763" i="1"/>
  <c r="U5762" i="1"/>
  <c r="T5762" i="1"/>
  <c r="R5762" i="1"/>
  <c r="P5762" i="1"/>
  <c r="U5761" i="1"/>
  <c r="T5761" i="1"/>
  <c r="R5761" i="1"/>
  <c r="P5761" i="1"/>
  <c r="U5760" i="1"/>
  <c r="T5760" i="1"/>
  <c r="R5760" i="1"/>
  <c r="P5760" i="1"/>
  <c r="U5759" i="1"/>
  <c r="T5759" i="1"/>
  <c r="R5759" i="1"/>
  <c r="P5759" i="1"/>
  <c r="U5758" i="1"/>
  <c r="T5758" i="1"/>
  <c r="R5758" i="1"/>
  <c r="P5758" i="1"/>
  <c r="U5757" i="1"/>
  <c r="T5757" i="1"/>
  <c r="R5757" i="1"/>
  <c r="P5757" i="1"/>
  <c r="U5756" i="1"/>
  <c r="T5756" i="1"/>
  <c r="R5756" i="1"/>
  <c r="P5756" i="1"/>
  <c r="U5755" i="1"/>
  <c r="T5755" i="1"/>
  <c r="R5755" i="1"/>
  <c r="P5755" i="1"/>
  <c r="U5754" i="1"/>
  <c r="T5754" i="1"/>
  <c r="R5754" i="1"/>
  <c r="P5754" i="1"/>
  <c r="U5753" i="1"/>
  <c r="T5753" i="1"/>
  <c r="R5753" i="1"/>
  <c r="P5753" i="1"/>
  <c r="U5752" i="1"/>
  <c r="T5752" i="1"/>
  <c r="R5752" i="1"/>
  <c r="P5752" i="1"/>
  <c r="U5751" i="1"/>
  <c r="T5751" i="1"/>
  <c r="R5751" i="1"/>
  <c r="P5751" i="1"/>
  <c r="U5750" i="1"/>
  <c r="T5750" i="1"/>
  <c r="R5750" i="1"/>
  <c r="P5750" i="1"/>
  <c r="U5749" i="1"/>
  <c r="T5749" i="1"/>
  <c r="R5749" i="1"/>
  <c r="P5749" i="1"/>
  <c r="U5748" i="1"/>
  <c r="T5748" i="1"/>
  <c r="R5748" i="1"/>
  <c r="P5748" i="1"/>
  <c r="U5747" i="1"/>
  <c r="T5747" i="1"/>
  <c r="R5747" i="1"/>
  <c r="P5747" i="1"/>
  <c r="U5746" i="1"/>
  <c r="T5746" i="1"/>
  <c r="R5746" i="1"/>
  <c r="P5746" i="1"/>
  <c r="U5745" i="1"/>
  <c r="T5745" i="1"/>
  <c r="R5745" i="1"/>
  <c r="P5745" i="1"/>
  <c r="U5744" i="1"/>
  <c r="T5744" i="1"/>
  <c r="R5744" i="1"/>
  <c r="P5744" i="1"/>
  <c r="U5743" i="1"/>
  <c r="T5743" i="1"/>
  <c r="R5743" i="1"/>
  <c r="P5743" i="1"/>
  <c r="U5742" i="1"/>
  <c r="T5742" i="1"/>
  <c r="R5742" i="1"/>
  <c r="P5742" i="1"/>
  <c r="U5741" i="1"/>
  <c r="T5741" i="1"/>
  <c r="R5741" i="1"/>
  <c r="P5741" i="1"/>
  <c r="U5740" i="1"/>
  <c r="T5740" i="1"/>
  <c r="R5740" i="1"/>
  <c r="P5740" i="1"/>
  <c r="U5739" i="1"/>
  <c r="T5739" i="1"/>
  <c r="R5739" i="1"/>
  <c r="P5739" i="1"/>
  <c r="U5738" i="1"/>
  <c r="T5738" i="1"/>
  <c r="R5738" i="1"/>
  <c r="P5738" i="1"/>
  <c r="U5737" i="1"/>
  <c r="T5737" i="1"/>
  <c r="R5737" i="1"/>
  <c r="P5737" i="1"/>
  <c r="U5736" i="1"/>
  <c r="T5736" i="1"/>
  <c r="R5736" i="1"/>
  <c r="P5736" i="1"/>
  <c r="U5735" i="1"/>
  <c r="T5735" i="1"/>
  <c r="R5735" i="1"/>
  <c r="P5735" i="1"/>
  <c r="U5734" i="1"/>
  <c r="T5734" i="1"/>
  <c r="R5734" i="1"/>
  <c r="P5734" i="1"/>
  <c r="U5733" i="1"/>
  <c r="T5733" i="1"/>
  <c r="R5733" i="1"/>
  <c r="P5733" i="1"/>
  <c r="U5732" i="1"/>
  <c r="T5732" i="1"/>
  <c r="R5732" i="1"/>
  <c r="P5732" i="1"/>
  <c r="U5731" i="1"/>
  <c r="T5731" i="1"/>
  <c r="R5731" i="1"/>
  <c r="P5731" i="1"/>
  <c r="U5730" i="1"/>
  <c r="T5730" i="1"/>
  <c r="R5730" i="1"/>
  <c r="P5730" i="1"/>
  <c r="U5729" i="1"/>
  <c r="T5729" i="1"/>
  <c r="R5729" i="1"/>
  <c r="P5729" i="1"/>
  <c r="U5728" i="1"/>
  <c r="T5728" i="1"/>
  <c r="R5728" i="1"/>
  <c r="P5728" i="1"/>
  <c r="U5727" i="1"/>
  <c r="T5727" i="1"/>
  <c r="R5727" i="1"/>
  <c r="P5727" i="1"/>
  <c r="U5726" i="1"/>
  <c r="T5726" i="1"/>
  <c r="R5726" i="1"/>
  <c r="P5726" i="1"/>
  <c r="U5725" i="1"/>
  <c r="T5725" i="1"/>
  <c r="R5725" i="1"/>
  <c r="P5725" i="1"/>
  <c r="U5724" i="1"/>
  <c r="T5724" i="1"/>
  <c r="R5724" i="1"/>
  <c r="P5724" i="1"/>
  <c r="U5723" i="1"/>
  <c r="T5723" i="1"/>
  <c r="R5723" i="1"/>
  <c r="P5723" i="1"/>
  <c r="U5722" i="1"/>
  <c r="T5722" i="1"/>
  <c r="R5722" i="1"/>
  <c r="P5722" i="1"/>
  <c r="U5721" i="1"/>
  <c r="T5721" i="1"/>
  <c r="R5721" i="1"/>
  <c r="P5721" i="1"/>
  <c r="U5720" i="1"/>
  <c r="T5720" i="1"/>
  <c r="R5720" i="1"/>
  <c r="P5720" i="1"/>
  <c r="U5719" i="1"/>
  <c r="T5719" i="1"/>
  <c r="R5719" i="1"/>
  <c r="P5719" i="1"/>
  <c r="U5718" i="1"/>
  <c r="T5718" i="1"/>
  <c r="R5718" i="1"/>
  <c r="P5718" i="1"/>
  <c r="U5717" i="1"/>
  <c r="T5717" i="1"/>
  <c r="R5717" i="1"/>
  <c r="P5717" i="1"/>
  <c r="U5716" i="1"/>
  <c r="T5716" i="1"/>
  <c r="R5716" i="1"/>
  <c r="P5716" i="1"/>
  <c r="U5715" i="1"/>
  <c r="T5715" i="1"/>
  <c r="R5715" i="1"/>
  <c r="P5715" i="1"/>
  <c r="U5714" i="1"/>
  <c r="T5714" i="1"/>
  <c r="R5714" i="1"/>
  <c r="P5714" i="1"/>
  <c r="U5713" i="1"/>
  <c r="T5713" i="1"/>
  <c r="R5713" i="1"/>
  <c r="P5713" i="1"/>
  <c r="U5712" i="1"/>
  <c r="T5712" i="1"/>
  <c r="R5712" i="1"/>
  <c r="P5712" i="1"/>
  <c r="U5711" i="1"/>
  <c r="T5711" i="1"/>
  <c r="R5711" i="1"/>
  <c r="P5711" i="1"/>
  <c r="U5710" i="1"/>
  <c r="T5710" i="1"/>
  <c r="R5710" i="1"/>
  <c r="P5710" i="1"/>
  <c r="U5709" i="1"/>
  <c r="T5709" i="1"/>
  <c r="R5709" i="1"/>
  <c r="P5709" i="1"/>
  <c r="U5708" i="1"/>
  <c r="T5708" i="1"/>
  <c r="R5708" i="1"/>
  <c r="P5708" i="1"/>
  <c r="U5707" i="1"/>
  <c r="T5707" i="1"/>
  <c r="R5707" i="1"/>
  <c r="P5707" i="1"/>
  <c r="U5706" i="1"/>
  <c r="T5706" i="1"/>
  <c r="R5706" i="1"/>
  <c r="P5706" i="1"/>
  <c r="U5705" i="1"/>
  <c r="T5705" i="1"/>
  <c r="R5705" i="1"/>
  <c r="P5705" i="1"/>
  <c r="U5704" i="1"/>
  <c r="T5704" i="1"/>
  <c r="R5704" i="1"/>
  <c r="P5704" i="1"/>
  <c r="U5703" i="1"/>
  <c r="T5703" i="1"/>
  <c r="R5703" i="1"/>
  <c r="P5703" i="1"/>
  <c r="U5702" i="1"/>
  <c r="T5702" i="1"/>
  <c r="R5702" i="1"/>
  <c r="P5702" i="1"/>
  <c r="U5701" i="1"/>
  <c r="T5701" i="1"/>
  <c r="R5701" i="1"/>
  <c r="P5701" i="1"/>
  <c r="U5700" i="1"/>
  <c r="T5700" i="1"/>
  <c r="R5700" i="1"/>
  <c r="P5700" i="1"/>
  <c r="U5699" i="1"/>
  <c r="T5699" i="1"/>
  <c r="R5699" i="1"/>
  <c r="P5699" i="1"/>
  <c r="U5698" i="1"/>
  <c r="T5698" i="1"/>
  <c r="R5698" i="1"/>
  <c r="P5698" i="1"/>
  <c r="U5697" i="1"/>
  <c r="T5697" i="1"/>
  <c r="R5697" i="1"/>
  <c r="P5697" i="1"/>
  <c r="U5696" i="1"/>
  <c r="T5696" i="1"/>
  <c r="R5696" i="1"/>
  <c r="P5696" i="1"/>
  <c r="U5695" i="1"/>
  <c r="T5695" i="1"/>
  <c r="R5695" i="1"/>
  <c r="P5695" i="1"/>
  <c r="U5694" i="1"/>
  <c r="T5694" i="1"/>
  <c r="R5694" i="1"/>
  <c r="P5694" i="1"/>
  <c r="U5693" i="1"/>
  <c r="T5693" i="1"/>
  <c r="R5693" i="1"/>
  <c r="P5693" i="1"/>
  <c r="U5692" i="1"/>
  <c r="T5692" i="1"/>
  <c r="R5692" i="1"/>
  <c r="P5692" i="1"/>
  <c r="U5691" i="1"/>
  <c r="T5691" i="1"/>
  <c r="R5691" i="1"/>
  <c r="P5691" i="1"/>
  <c r="U5690" i="1"/>
  <c r="T5690" i="1"/>
  <c r="R5690" i="1"/>
  <c r="P5690" i="1"/>
  <c r="U5689" i="1"/>
  <c r="T5689" i="1"/>
  <c r="R5689" i="1"/>
  <c r="P5689" i="1"/>
  <c r="U5688" i="1"/>
  <c r="T5688" i="1"/>
  <c r="R5688" i="1"/>
  <c r="P5688" i="1"/>
  <c r="U5687" i="1"/>
  <c r="T5687" i="1"/>
  <c r="R5687" i="1"/>
  <c r="P5687" i="1"/>
  <c r="U5686" i="1"/>
  <c r="T5686" i="1"/>
  <c r="R5686" i="1"/>
  <c r="P5686" i="1"/>
  <c r="U5685" i="1"/>
  <c r="T5685" i="1"/>
  <c r="R5685" i="1"/>
  <c r="P5685" i="1"/>
  <c r="U5684" i="1"/>
  <c r="T5684" i="1"/>
  <c r="R5684" i="1"/>
  <c r="P5684" i="1"/>
  <c r="U5683" i="1"/>
  <c r="T5683" i="1"/>
  <c r="R5683" i="1"/>
  <c r="P5683" i="1"/>
  <c r="U5682" i="1"/>
  <c r="T5682" i="1"/>
  <c r="R5682" i="1"/>
  <c r="P5682" i="1"/>
  <c r="U5681" i="1"/>
  <c r="T5681" i="1"/>
  <c r="R5681" i="1"/>
  <c r="P5681" i="1"/>
  <c r="U5680" i="1"/>
  <c r="T5680" i="1"/>
  <c r="R5680" i="1"/>
  <c r="P5680" i="1"/>
  <c r="U5679" i="1"/>
  <c r="T5679" i="1"/>
  <c r="R5679" i="1"/>
  <c r="P5679" i="1"/>
  <c r="U5678" i="1"/>
  <c r="T5678" i="1"/>
  <c r="R5678" i="1"/>
  <c r="P5678" i="1"/>
  <c r="U5677" i="1"/>
  <c r="T5677" i="1"/>
  <c r="R5677" i="1"/>
  <c r="P5677" i="1"/>
  <c r="U5676" i="1"/>
  <c r="T5676" i="1"/>
  <c r="R5676" i="1"/>
  <c r="P5676" i="1"/>
  <c r="U5675" i="1"/>
  <c r="T5675" i="1"/>
  <c r="R5675" i="1"/>
  <c r="P5675" i="1"/>
  <c r="U5674" i="1"/>
  <c r="T5674" i="1"/>
  <c r="R5674" i="1"/>
  <c r="P5674" i="1"/>
  <c r="U5673" i="1"/>
  <c r="T5673" i="1"/>
  <c r="R5673" i="1"/>
  <c r="P5673" i="1"/>
  <c r="U5672" i="1"/>
  <c r="T5672" i="1"/>
  <c r="R5672" i="1"/>
  <c r="P5672" i="1"/>
  <c r="U5671" i="1"/>
  <c r="T5671" i="1"/>
  <c r="R5671" i="1"/>
  <c r="P5671" i="1"/>
  <c r="U5670" i="1"/>
  <c r="T5670" i="1"/>
  <c r="R5670" i="1"/>
  <c r="P5670" i="1"/>
  <c r="U5669" i="1"/>
  <c r="T5669" i="1"/>
  <c r="R5669" i="1"/>
  <c r="P5669" i="1"/>
  <c r="U5668" i="1"/>
  <c r="T5668" i="1"/>
  <c r="R5668" i="1"/>
  <c r="P5668" i="1"/>
  <c r="U5667" i="1"/>
  <c r="T5667" i="1"/>
  <c r="R5667" i="1"/>
  <c r="P5667" i="1"/>
  <c r="U5666" i="1"/>
  <c r="T5666" i="1"/>
  <c r="R5666" i="1"/>
  <c r="P5666" i="1"/>
  <c r="U5665" i="1"/>
  <c r="T5665" i="1"/>
  <c r="R5665" i="1"/>
  <c r="P5665" i="1"/>
  <c r="U5664" i="1"/>
  <c r="T5664" i="1"/>
  <c r="R5664" i="1"/>
  <c r="P5664" i="1"/>
  <c r="U5663" i="1"/>
  <c r="T5663" i="1"/>
  <c r="R5663" i="1"/>
  <c r="P5663" i="1"/>
  <c r="U5662" i="1"/>
  <c r="T5662" i="1"/>
  <c r="R5662" i="1"/>
  <c r="P5662" i="1"/>
  <c r="U5661" i="1"/>
  <c r="T5661" i="1"/>
  <c r="R5661" i="1"/>
  <c r="P5661" i="1"/>
  <c r="U5660" i="1"/>
  <c r="T5660" i="1"/>
  <c r="R5660" i="1"/>
  <c r="P5660" i="1"/>
  <c r="U5659" i="1"/>
  <c r="T5659" i="1"/>
  <c r="R5659" i="1"/>
  <c r="P5659" i="1"/>
  <c r="U5658" i="1"/>
  <c r="T5658" i="1"/>
  <c r="R5658" i="1"/>
  <c r="P5658" i="1"/>
  <c r="U5657" i="1"/>
  <c r="T5657" i="1"/>
  <c r="R5657" i="1"/>
  <c r="P5657" i="1"/>
  <c r="U5656" i="1"/>
  <c r="T5656" i="1"/>
  <c r="R5656" i="1"/>
  <c r="P5656" i="1"/>
  <c r="U5655" i="1"/>
  <c r="T5655" i="1"/>
  <c r="R5655" i="1"/>
  <c r="P5655" i="1"/>
  <c r="U5654" i="1"/>
  <c r="T5654" i="1"/>
  <c r="R5654" i="1"/>
  <c r="P5654" i="1"/>
  <c r="U5653" i="1"/>
  <c r="T5653" i="1"/>
  <c r="R5653" i="1"/>
  <c r="P5653" i="1"/>
  <c r="U5652" i="1"/>
  <c r="T5652" i="1"/>
  <c r="R5652" i="1"/>
  <c r="P5652" i="1"/>
  <c r="U5651" i="1"/>
  <c r="T5651" i="1"/>
  <c r="R5651" i="1"/>
  <c r="P5651" i="1"/>
  <c r="U5650" i="1"/>
  <c r="T5650" i="1"/>
  <c r="R5650" i="1"/>
  <c r="P5650" i="1"/>
  <c r="U5649" i="1"/>
  <c r="T5649" i="1"/>
  <c r="R5649" i="1"/>
  <c r="P5649" i="1"/>
  <c r="U5648" i="1"/>
  <c r="T5648" i="1"/>
  <c r="R5648" i="1"/>
  <c r="P5648" i="1"/>
  <c r="U5647" i="1"/>
  <c r="T5647" i="1"/>
  <c r="R5647" i="1"/>
  <c r="P5647" i="1"/>
  <c r="U5646" i="1"/>
  <c r="T5646" i="1"/>
  <c r="R5646" i="1"/>
  <c r="P5646" i="1"/>
  <c r="U5645" i="1"/>
  <c r="T5645" i="1"/>
  <c r="R5645" i="1"/>
  <c r="P5645" i="1"/>
  <c r="U5644" i="1"/>
  <c r="T5644" i="1"/>
  <c r="R5644" i="1"/>
  <c r="P5644" i="1"/>
  <c r="U5643" i="1"/>
  <c r="T5643" i="1"/>
  <c r="R5643" i="1"/>
  <c r="P5643" i="1"/>
  <c r="U5642" i="1"/>
  <c r="T5642" i="1"/>
  <c r="R5642" i="1"/>
  <c r="P5642" i="1"/>
  <c r="U5641" i="1"/>
  <c r="T5641" i="1"/>
  <c r="R5641" i="1"/>
  <c r="P5641" i="1"/>
  <c r="U5640" i="1"/>
  <c r="T5640" i="1"/>
  <c r="R5640" i="1"/>
  <c r="P5640" i="1"/>
  <c r="U5639" i="1"/>
  <c r="T5639" i="1"/>
  <c r="R5639" i="1"/>
  <c r="P5639" i="1"/>
  <c r="U5638" i="1"/>
  <c r="T5638" i="1"/>
  <c r="R5638" i="1"/>
  <c r="P5638" i="1"/>
  <c r="U5637" i="1"/>
  <c r="T5637" i="1"/>
  <c r="R5637" i="1"/>
  <c r="P5637" i="1"/>
  <c r="U5636" i="1"/>
  <c r="T5636" i="1"/>
  <c r="R5636" i="1"/>
  <c r="P5636" i="1"/>
  <c r="U5635" i="1"/>
  <c r="T5635" i="1"/>
  <c r="R5635" i="1"/>
  <c r="P5635" i="1"/>
  <c r="U5634" i="1"/>
  <c r="T5634" i="1"/>
  <c r="R5634" i="1"/>
  <c r="P5634" i="1"/>
  <c r="U5633" i="1"/>
  <c r="T5633" i="1"/>
  <c r="R5633" i="1"/>
  <c r="P5633" i="1"/>
  <c r="U5632" i="1"/>
  <c r="T5632" i="1"/>
  <c r="R5632" i="1"/>
  <c r="P5632" i="1"/>
  <c r="U5631" i="1"/>
  <c r="T5631" i="1"/>
  <c r="R5631" i="1"/>
  <c r="P5631" i="1"/>
  <c r="U5630" i="1"/>
  <c r="T5630" i="1"/>
  <c r="R5630" i="1"/>
  <c r="P5630" i="1"/>
  <c r="U5629" i="1"/>
  <c r="T5629" i="1"/>
  <c r="R5629" i="1"/>
  <c r="P5629" i="1"/>
  <c r="U5628" i="1"/>
  <c r="T5628" i="1"/>
  <c r="R5628" i="1"/>
  <c r="P5628" i="1"/>
  <c r="U5627" i="1"/>
  <c r="T5627" i="1"/>
  <c r="R5627" i="1"/>
  <c r="P5627" i="1"/>
  <c r="U5626" i="1"/>
  <c r="T5626" i="1"/>
  <c r="R5626" i="1"/>
  <c r="P5626" i="1"/>
  <c r="U5625" i="1"/>
  <c r="T5625" i="1"/>
  <c r="R5625" i="1"/>
  <c r="P5625" i="1"/>
  <c r="U5624" i="1"/>
  <c r="T5624" i="1"/>
  <c r="R5624" i="1"/>
  <c r="P5624" i="1"/>
  <c r="U5623" i="1"/>
  <c r="T5623" i="1"/>
  <c r="R5623" i="1"/>
  <c r="P5623" i="1"/>
  <c r="U5622" i="1"/>
  <c r="T5622" i="1"/>
  <c r="R5622" i="1"/>
  <c r="P5622" i="1"/>
  <c r="U5621" i="1"/>
  <c r="T5621" i="1"/>
  <c r="R5621" i="1"/>
  <c r="P5621" i="1"/>
  <c r="U5620" i="1"/>
  <c r="T5620" i="1"/>
  <c r="R5620" i="1"/>
  <c r="P5620" i="1"/>
  <c r="U5619" i="1"/>
  <c r="T5619" i="1"/>
  <c r="R5619" i="1"/>
  <c r="P5619" i="1"/>
  <c r="U5618" i="1"/>
  <c r="T5618" i="1"/>
  <c r="R5618" i="1"/>
  <c r="P5618" i="1"/>
  <c r="U5617" i="1"/>
  <c r="T5617" i="1"/>
  <c r="R5617" i="1"/>
  <c r="P5617" i="1"/>
  <c r="U5616" i="1"/>
  <c r="T5616" i="1"/>
  <c r="R5616" i="1"/>
  <c r="P5616" i="1"/>
  <c r="U5615" i="1"/>
  <c r="T5615" i="1"/>
  <c r="R5615" i="1"/>
  <c r="P5615" i="1"/>
  <c r="U5614" i="1"/>
  <c r="T5614" i="1"/>
  <c r="R5614" i="1"/>
  <c r="P5614" i="1"/>
  <c r="U5613" i="1"/>
  <c r="T5613" i="1"/>
  <c r="R5613" i="1"/>
  <c r="P5613" i="1"/>
  <c r="U5612" i="1"/>
  <c r="T5612" i="1"/>
  <c r="R5612" i="1"/>
  <c r="P5612" i="1"/>
  <c r="U5611" i="1"/>
  <c r="T5611" i="1"/>
  <c r="R5611" i="1"/>
  <c r="P5611" i="1"/>
  <c r="U5610" i="1"/>
  <c r="T5610" i="1"/>
  <c r="R5610" i="1"/>
  <c r="P5610" i="1"/>
  <c r="U5609" i="1"/>
  <c r="T5609" i="1"/>
  <c r="R5609" i="1"/>
  <c r="P5609" i="1"/>
  <c r="U5608" i="1"/>
  <c r="T5608" i="1"/>
  <c r="R5608" i="1"/>
  <c r="P5608" i="1"/>
  <c r="U5607" i="1"/>
  <c r="T5607" i="1"/>
  <c r="R5607" i="1"/>
  <c r="P5607" i="1"/>
  <c r="U5606" i="1"/>
  <c r="T5606" i="1"/>
  <c r="R5606" i="1"/>
  <c r="P5606" i="1"/>
  <c r="U5605" i="1"/>
  <c r="T5605" i="1"/>
  <c r="R5605" i="1"/>
  <c r="P5605" i="1"/>
  <c r="U5604" i="1"/>
  <c r="T5604" i="1"/>
  <c r="R5604" i="1"/>
  <c r="P5604" i="1"/>
  <c r="U5603" i="1"/>
  <c r="T5603" i="1"/>
  <c r="R5603" i="1"/>
  <c r="P5603" i="1"/>
  <c r="U5602" i="1"/>
  <c r="T5602" i="1"/>
  <c r="R5602" i="1"/>
  <c r="P5602" i="1"/>
  <c r="U5601" i="1"/>
  <c r="T5601" i="1"/>
  <c r="R5601" i="1"/>
  <c r="P5601" i="1"/>
  <c r="U5600" i="1"/>
  <c r="T5600" i="1"/>
  <c r="R5600" i="1"/>
  <c r="P5600" i="1"/>
  <c r="U5599" i="1"/>
  <c r="T5599" i="1"/>
  <c r="R5599" i="1"/>
  <c r="P5599" i="1"/>
  <c r="U5598" i="1"/>
  <c r="T5598" i="1"/>
  <c r="R5598" i="1"/>
  <c r="P5598" i="1"/>
  <c r="U5597" i="1"/>
  <c r="T5597" i="1"/>
  <c r="R5597" i="1"/>
  <c r="P5597" i="1"/>
  <c r="U5596" i="1"/>
  <c r="T5596" i="1"/>
  <c r="R5596" i="1"/>
  <c r="P5596" i="1"/>
  <c r="U5595" i="1"/>
  <c r="T5595" i="1"/>
  <c r="R5595" i="1"/>
  <c r="P5595" i="1"/>
  <c r="U5594" i="1"/>
  <c r="T5594" i="1"/>
  <c r="R5594" i="1"/>
  <c r="P5594" i="1"/>
  <c r="U5593" i="1"/>
  <c r="T5593" i="1"/>
  <c r="R5593" i="1"/>
  <c r="P5593" i="1"/>
  <c r="U5592" i="1"/>
  <c r="T5592" i="1"/>
  <c r="R5592" i="1"/>
  <c r="P5592" i="1"/>
  <c r="U5591" i="1"/>
  <c r="T5591" i="1"/>
  <c r="R5591" i="1"/>
  <c r="P5591" i="1"/>
  <c r="U5590" i="1"/>
  <c r="T5590" i="1"/>
  <c r="R5590" i="1"/>
  <c r="P5590" i="1"/>
  <c r="U5589" i="1"/>
  <c r="T5589" i="1"/>
  <c r="R5589" i="1"/>
  <c r="P5589" i="1"/>
  <c r="U5588" i="1"/>
  <c r="T5588" i="1"/>
  <c r="R5588" i="1"/>
  <c r="P5588" i="1"/>
  <c r="U5587" i="1"/>
  <c r="T5587" i="1"/>
  <c r="R5587" i="1"/>
  <c r="P5587" i="1"/>
  <c r="U5586" i="1"/>
  <c r="T5586" i="1"/>
  <c r="R5586" i="1"/>
  <c r="P5586" i="1"/>
  <c r="U5585" i="1"/>
  <c r="T5585" i="1"/>
  <c r="R5585" i="1"/>
  <c r="P5585" i="1"/>
  <c r="U5584" i="1"/>
  <c r="T5584" i="1"/>
  <c r="R5584" i="1"/>
  <c r="P5584" i="1"/>
  <c r="U5583" i="1"/>
  <c r="T5583" i="1"/>
  <c r="R5583" i="1"/>
  <c r="P5583" i="1"/>
  <c r="U5582" i="1"/>
  <c r="T5582" i="1"/>
  <c r="R5582" i="1"/>
  <c r="P5582" i="1"/>
  <c r="U5581" i="1"/>
  <c r="T5581" i="1"/>
  <c r="R5581" i="1"/>
  <c r="P5581" i="1"/>
  <c r="U5580" i="1"/>
  <c r="T5580" i="1"/>
  <c r="R5580" i="1"/>
  <c r="P5580" i="1"/>
  <c r="U5579" i="1"/>
  <c r="T5579" i="1"/>
  <c r="R5579" i="1"/>
  <c r="P5579" i="1"/>
  <c r="U5578" i="1"/>
  <c r="T5578" i="1"/>
  <c r="R5578" i="1"/>
  <c r="P5578" i="1"/>
  <c r="U5577" i="1"/>
  <c r="T5577" i="1"/>
  <c r="R5577" i="1"/>
  <c r="P5577" i="1"/>
  <c r="U5576" i="1"/>
  <c r="T5576" i="1"/>
  <c r="R5576" i="1"/>
  <c r="P5576" i="1"/>
  <c r="U5575" i="1"/>
  <c r="T5575" i="1"/>
  <c r="R5575" i="1"/>
  <c r="P5575" i="1"/>
  <c r="U5574" i="1"/>
  <c r="T5574" i="1"/>
  <c r="R5574" i="1"/>
  <c r="P5574" i="1"/>
  <c r="U5573" i="1"/>
  <c r="T5573" i="1"/>
  <c r="R5573" i="1"/>
  <c r="P5573" i="1"/>
  <c r="U5572" i="1"/>
  <c r="T5572" i="1"/>
  <c r="R5572" i="1"/>
  <c r="P5572" i="1"/>
  <c r="U5571" i="1"/>
  <c r="T5571" i="1"/>
  <c r="R5571" i="1"/>
  <c r="P5571" i="1"/>
  <c r="U5570" i="1"/>
  <c r="T5570" i="1"/>
  <c r="R5570" i="1"/>
  <c r="P5570" i="1"/>
  <c r="U5569" i="1"/>
  <c r="T5569" i="1"/>
  <c r="R5569" i="1"/>
  <c r="P5569" i="1"/>
  <c r="U5568" i="1"/>
  <c r="T5568" i="1"/>
  <c r="R5568" i="1"/>
  <c r="P5568" i="1"/>
  <c r="U5567" i="1"/>
  <c r="T5567" i="1"/>
  <c r="R5567" i="1"/>
  <c r="P5567" i="1"/>
  <c r="U5566" i="1"/>
  <c r="T5566" i="1"/>
  <c r="R5566" i="1"/>
  <c r="P5566" i="1"/>
  <c r="U5565" i="1"/>
  <c r="T5565" i="1"/>
  <c r="R5565" i="1"/>
  <c r="P5565" i="1"/>
  <c r="U5564" i="1"/>
  <c r="T5564" i="1"/>
  <c r="R5564" i="1"/>
  <c r="P5564" i="1"/>
  <c r="U5563" i="1"/>
  <c r="T5563" i="1"/>
  <c r="R5563" i="1"/>
  <c r="P5563" i="1"/>
  <c r="U5562" i="1"/>
  <c r="T5562" i="1"/>
  <c r="R5562" i="1"/>
  <c r="P5562" i="1"/>
  <c r="U5561" i="1"/>
  <c r="T5561" i="1"/>
  <c r="R5561" i="1"/>
  <c r="P5561" i="1"/>
  <c r="U5560" i="1"/>
  <c r="T5560" i="1"/>
  <c r="R5560" i="1"/>
  <c r="P5560" i="1"/>
  <c r="U5559" i="1"/>
  <c r="T5559" i="1"/>
  <c r="R5559" i="1"/>
  <c r="P5559" i="1"/>
  <c r="U5558" i="1"/>
  <c r="T5558" i="1"/>
  <c r="R5558" i="1"/>
  <c r="P5558" i="1"/>
  <c r="U5557" i="1"/>
  <c r="T5557" i="1"/>
  <c r="R5557" i="1"/>
  <c r="P5557" i="1"/>
  <c r="U5556" i="1"/>
  <c r="T5556" i="1"/>
  <c r="R5556" i="1"/>
  <c r="P5556" i="1"/>
  <c r="U5555" i="1"/>
  <c r="T5555" i="1"/>
  <c r="R5555" i="1"/>
  <c r="P5555" i="1"/>
  <c r="U5554" i="1"/>
  <c r="T5554" i="1"/>
  <c r="R5554" i="1"/>
  <c r="P5554" i="1"/>
  <c r="U5553" i="1"/>
  <c r="T5553" i="1"/>
  <c r="R5553" i="1"/>
  <c r="P5553" i="1"/>
  <c r="U5552" i="1"/>
  <c r="T5552" i="1"/>
  <c r="R5552" i="1"/>
  <c r="P5552" i="1"/>
  <c r="U5551" i="1"/>
  <c r="T5551" i="1"/>
  <c r="R5551" i="1"/>
  <c r="P5551" i="1"/>
  <c r="U5550" i="1"/>
  <c r="T5550" i="1"/>
  <c r="R5550" i="1"/>
  <c r="P5550" i="1"/>
  <c r="U5549" i="1"/>
  <c r="T5549" i="1"/>
  <c r="R5549" i="1"/>
  <c r="P5549" i="1"/>
  <c r="U5548" i="1"/>
  <c r="T5548" i="1"/>
  <c r="R5548" i="1"/>
  <c r="P5548" i="1"/>
  <c r="U5547" i="1"/>
  <c r="T5547" i="1"/>
  <c r="R5547" i="1"/>
  <c r="P5547" i="1"/>
  <c r="U5546" i="1"/>
  <c r="T5546" i="1"/>
  <c r="R5546" i="1"/>
  <c r="P5546" i="1"/>
  <c r="U5545" i="1"/>
  <c r="T5545" i="1"/>
  <c r="R5545" i="1"/>
  <c r="P5545" i="1"/>
  <c r="U5544" i="1"/>
  <c r="T5544" i="1"/>
  <c r="R5544" i="1"/>
  <c r="P5544" i="1"/>
  <c r="U5543" i="1"/>
  <c r="T5543" i="1"/>
  <c r="R5543" i="1"/>
  <c r="P5543" i="1"/>
  <c r="U5542" i="1"/>
  <c r="T5542" i="1"/>
  <c r="R5542" i="1"/>
  <c r="P5542" i="1"/>
  <c r="U5541" i="1"/>
  <c r="T5541" i="1"/>
  <c r="R5541" i="1"/>
  <c r="P5541" i="1"/>
  <c r="U5540" i="1"/>
  <c r="T5540" i="1"/>
  <c r="R5540" i="1"/>
  <c r="P5540" i="1"/>
  <c r="U5539" i="1"/>
  <c r="T5539" i="1"/>
  <c r="R5539" i="1"/>
  <c r="P5539" i="1"/>
  <c r="U5538" i="1"/>
  <c r="T5538" i="1"/>
  <c r="R5538" i="1"/>
  <c r="P5538" i="1"/>
  <c r="U5537" i="1"/>
  <c r="T5537" i="1"/>
  <c r="R5537" i="1"/>
  <c r="P5537" i="1"/>
  <c r="U5536" i="1"/>
  <c r="T5536" i="1"/>
  <c r="R5536" i="1"/>
  <c r="P5536" i="1"/>
  <c r="U5535" i="1"/>
  <c r="T5535" i="1"/>
  <c r="R5535" i="1"/>
  <c r="P5535" i="1"/>
  <c r="U5534" i="1"/>
  <c r="T5534" i="1"/>
  <c r="R5534" i="1"/>
  <c r="P5534" i="1"/>
  <c r="U5533" i="1"/>
  <c r="T5533" i="1"/>
  <c r="R5533" i="1"/>
  <c r="P5533" i="1"/>
  <c r="U5532" i="1"/>
  <c r="T5532" i="1"/>
  <c r="R5532" i="1"/>
  <c r="P5532" i="1"/>
  <c r="U5531" i="1"/>
  <c r="T5531" i="1"/>
  <c r="R5531" i="1"/>
  <c r="P5531" i="1"/>
  <c r="U5530" i="1"/>
  <c r="T5530" i="1"/>
  <c r="R5530" i="1"/>
  <c r="P5530" i="1"/>
  <c r="U5529" i="1"/>
  <c r="T5529" i="1"/>
  <c r="R5529" i="1"/>
  <c r="P5529" i="1"/>
  <c r="U5528" i="1"/>
  <c r="T5528" i="1"/>
  <c r="R5528" i="1"/>
  <c r="P5528" i="1"/>
  <c r="U5527" i="1"/>
  <c r="T5527" i="1"/>
  <c r="R5527" i="1"/>
  <c r="P5527" i="1"/>
  <c r="U5526" i="1"/>
  <c r="T5526" i="1"/>
  <c r="R5526" i="1"/>
  <c r="P5526" i="1"/>
  <c r="U5525" i="1"/>
  <c r="T5525" i="1"/>
  <c r="R5525" i="1"/>
  <c r="P5525" i="1"/>
  <c r="U5524" i="1"/>
  <c r="T5524" i="1"/>
  <c r="R5524" i="1"/>
  <c r="P5524" i="1"/>
  <c r="U5523" i="1"/>
  <c r="T5523" i="1"/>
  <c r="R5523" i="1"/>
  <c r="P5523" i="1"/>
  <c r="U5522" i="1"/>
  <c r="T5522" i="1"/>
  <c r="R5522" i="1"/>
  <c r="P5522" i="1"/>
  <c r="U5521" i="1"/>
  <c r="T5521" i="1"/>
  <c r="R5521" i="1"/>
  <c r="P5521" i="1"/>
  <c r="U5520" i="1"/>
  <c r="T5520" i="1"/>
  <c r="R5520" i="1"/>
  <c r="P5520" i="1"/>
  <c r="U5519" i="1"/>
  <c r="T5519" i="1"/>
  <c r="R5519" i="1"/>
  <c r="P5519" i="1"/>
  <c r="U5518" i="1"/>
  <c r="T5518" i="1"/>
  <c r="R5518" i="1"/>
  <c r="P5518" i="1"/>
  <c r="U5517" i="1"/>
  <c r="T5517" i="1"/>
  <c r="R5517" i="1"/>
  <c r="P5517" i="1"/>
  <c r="U5516" i="1"/>
  <c r="T5516" i="1"/>
  <c r="R5516" i="1"/>
  <c r="P5516" i="1"/>
  <c r="U5515" i="1"/>
  <c r="T5515" i="1"/>
  <c r="R5515" i="1"/>
  <c r="P5515" i="1"/>
  <c r="U5514" i="1"/>
  <c r="T5514" i="1"/>
  <c r="R5514" i="1"/>
  <c r="P5514" i="1"/>
  <c r="U5513" i="1"/>
  <c r="T5513" i="1"/>
  <c r="R5513" i="1"/>
  <c r="P5513" i="1"/>
  <c r="U5512" i="1"/>
  <c r="T5512" i="1"/>
  <c r="R5512" i="1"/>
  <c r="P5512" i="1"/>
  <c r="U5511" i="1"/>
  <c r="T5511" i="1"/>
  <c r="R5511" i="1"/>
  <c r="P5511" i="1"/>
  <c r="U5510" i="1"/>
  <c r="T5510" i="1"/>
  <c r="R5510" i="1"/>
  <c r="P5510" i="1"/>
  <c r="U5509" i="1"/>
  <c r="T5509" i="1"/>
  <c r="R5509" i="1"/>
  <c r="P5509" i="1"/>
  <c r="U5508" i="1"/>
  <c r="T5508" i="1"/>
  <c r="R5508" i="1"/>
  <c r="P5508" i="1"/>
  <c r="U5507" i="1"/>
  <c r="T5507" i="1"/>
  <c r="R5507" i="1"/>
  <c r="P5507" i="1"/>
  <c r="U5506" i="1"/>
  <c r="T5506" i="1"/>
  <c r="R5506" i="1"/>
  <c r="P5506" i="1"/>
  <c r="U5505" i="1"/>
  <c r="T5505" i="1"/>
  <c r="R5505" i="1"/>
  <c r="P5505" i="1"/>
  <c r="U5504" i="1"/>
  <c r="T5504" i="1"/>
  <c r="R5504" i="1"/>
  <c r="P5504" i="1"/>
  <c r="U5503" i="1"/>
  <c r="T5503" i="1"/>
  <c r="R5503" i="1"/>
  <c r="P5503" i="1"/>
  <c r="U5502" i="1"/>
  <c r="T5502" i="1"/>
  <c r="R5502" i="1"/>
  <c r="P5502" i="1"/>
  <c r="U5501" i="1"/>
  <c r="T5501" i="1"/>
  <c r="R5501" i="1"/>
  <c r="P5501" i="1"/>
  <c r="U5500" i="1"/>
  <c r="T5500" i="1"/>
  <c r="R5500" i="1"/>
  <c r="P5500" i="1"/>
  <c r="U5499" i="1"/>
  <c r="T5499" i="1"/>
  <c r="R5499" i="1"/>
  <c r="P5499" i="1"/>
  <c r="U5498" i="1"/>
  <c r="T5498" i="1"/>
  <c r="R5498" i="1"/>
  <c r="P5498" i="1"/>
  <c r="U5497" i="1"/>
  <c r="T5497" i="1"/>
  <c r="R5497" i="1"/>
  <c r="P5497" i="1"/>
  <c r="U5496" i="1"/>
  <c r="T5496" i="1"/>
  <c r="R5496" i="1"/>
  <c r="P5496" i="1"/>
  <c r="U5495" i="1"/>
  <c r="T5495" i="1"/>
  <c r="R5495" i="1"/>
  <c r="P5495" i="1"/>
  <c r="U5494" i="1"/>
  <c r="T5494" i="1"/>
  <c r="R5494" i="1"/>
  <c r="P5494" i="1"/>
  <c r="U5493" i="1"/>
  <c r="T5493" i="1"/>
  <c r="R5493" i="1"/>
  <c r="P5493" i="1"/>
  <c r="U5492" i="1"/>
  <c r="T5492" i="1"/>
  <c r="R5492" i="1"/>
  <c r="P5492" i="1"/>
  <c r="U5491" i="1"/>
  <c r="T5491" i="1"/>
  <c r="R5491" i="1"/>
  <c r="P5491" i="1"/>
  <c r="U5490" i="1"/>
  <c r="T5490" i="1"/>
  <c r="R5490" i="1"/>
  <c r="P5490" i="1"/>
  <c r="U5489" i="1"/>
  <c r="T5489" i="1"/>
  <c r="R5489" i="1"/>
  <c r="P5489" i="1"/>
  <c r="U5488" i="1"/>
  <c r="T5488" i="1"/>
  <c r="R5488" i="1"/>
  <c r="P5488" i="1"/>
  <c r="U5487" i="1"/>
  <c r="T5487" i="1"/>
  <c r="R5487" i="1"/>
  <c r="P5487" i="1"/>
  <c r="U5486" i="1"/>
  <c r="T5486" i="1"/>
  <c r="R5486" i="1"/>
  <c r="P5486" i="1"/>
  <c r="U5485" i="1"/>
  <c r="T5485" i="1"/>
  <c r="R5485" i="1"/>
  <c r="P5485" i="1"/>
  <c r="U5484" i="1"/>
  <c r="T5484" i="1"/>
  <c r="R5484" i="1"/>
  <c r="P5484" i="1"/>
  <c r="U5483" i="1"/>
  <c r="T5483" i="1"/>
  <c r="R5483" i="1"/>
  <c r="P5483" i="1"/>
  <c r="U5482" i="1"/>
  <c r="T5482" i="1"/>
  <c r="R5482" i="1"/>
  <c r="P5482" i="1"/>
  <c r="U5481" i="1"/>
  <c r="T5481" i="1"/>
  <c r="R5481" i="1"/>
  <c r="P5481" i="1"/>
  <c r="U5480" i="1"/>
  <c r="T5480" i="1"/>
  <c r="R5480" i="1"/>
  <c r="P5480" i="1"/>
  <c r="U5479" i="1"/>
  <c r="T5479" i="1"/>
  <c r="R5479" i="1"/>
  <c r="P5479" i="1"/>
  <c r="U5478" i="1"/>
  <c r="T5478" i="1"/>
  <c r="R5478" i="1"/>
  <c r="P5478" i="1"/>
  <c r="U5477" i="1"/>
  <c r="T5477" i="1"/>
  <c r="R5477" i="1"/>
  <c r="P5477" i="1"/>
  <c r="U5476" i="1"/>
  <c r="T5476" i="1"/>
  <c r="R5476" i="1"/>
  <c r="P5476" i="1"/>
  <c r="U5475" i="1"/>
  <c r="T5475" i="1"/>
  <c r="R5475" i="1"/>
  <c r="P5475" i="1"/>
  <c r="U5474" i="1"/>
  <c r="T5474" i="1"/>
  <c r="R5474" i="1"/>
  <c r="P5474" i="1"/>
  <c r="U5473" i="1"/>
  <c r="T5473" i="1"/>
  <c r="R5473" i="1"/>
  <c r="P5473" i="1"/>
  <c r="U5472" i="1"/>
  <c r="T5472" i="1"/>
  <c r="R5472" i="1"/>
  <c r="P5472" i="1"/>
  <c r="U5471" i="1"/>
  <c r="T5471" i="1"/>
  <c r="R5471" i="1"/>
  <c r="P5471" i="1"/>
  <c r="U5470" i="1"/>
  <c r="T5470" i="1"/>
  <c r="R5470" i="1"/>
  <c r="P5470" i="1"/>
  <c r="U5469" i="1"/>
  <c r="T5469" i="1"/>
  <c r="R5469" i="1"/>
  <c r="P5469" i="1"/>
  <c r="U5468" i="1"/>
  <c r="T5468" i="1"/>
  <c r="R5468" i="1"/>
  <c r="P5468" i="1"/>
  <c r="U5467" i="1"/>
  <c r="T5467" i="1"/>
  <c r="R5467" i="1"/>
  <c r="P5467" i="1"/>
  <c r="U5466" i="1"/>
  <c r="T5466" i="1"/>
  <c r="R5466" i="1"/>
  <c r="P5466" i="1"/>
  <c r="U5465" i="1"/>
  <c r="T5465" i="1"/>
  <c r="R5465" i="1"/>
  <c r="P5465" i="1"/>
  <c r="U5464" i="1"/>
  <c r="T5464" i="1"/>
  <c r="R5464" i="1"/>
  <c r="P5464" i="1"/>
  <c r="U5463" i="1"/>
  <c r="T5463" i="1"/>
  <c r="R5463" i="1"/>
  <c r="P5463" i="1"/>
  <c r="U5462" i="1"/>
  <c r="T5462" i="1"/>
  <c r="R5462" i="1"/>
  <c r="P5462" i="1"/>
  <c r="U5461" i="1"/>
  <c r="T5461" i="1"/>
  <c r="R5461" i="1"/>
  <c r="P5461" i="1"/>
  <c r="U5460" i="1"/>
  <c r="T5460" i="1"/>
  <c r="R5460" i="1"/>
  <c r="P5460" i="1"/>
  <c r="U5459" i="1"/>
  <c r="T5459" i="1"/>
  <c r="R5459" i="1"/>
  <c r="P5459" i="1"/>
  <c r="U5458" i="1"/>
  <c r="T5458" i="1"/>
  <c r="R5458" i="1"/>
  <c r="P5458" i="1"/>
  <c r="U5457" i="1"/>
  <c r="T5457" i="1"/>
  <c r="R5457" i="1"/>
  <c r="P5457" i="1"/>
  <c r="U5456" i="1"/>
  <c r="T5456" i="1"/>
  <c r="R5456" i="1"/>
  <c r="P5456" i="1"/>
  <c r="U5455" i="1"/>
  <c r="T5455" i="1"/>
  <c r="R5455" i="1"/>
  <c r="P5455" i="1"/>
  <c r="U5454" i="1"/>
  <c r="T5454" i="1"/>
  <c r="R5454" i="1"/>
  <c r="P5454" i="1"/>
  <c r="U5453" i="1"/>
  <c r="T5453" i="1"/>
  <c r="R5453" i="1"/>
  <c r="P5453" i="1"/>
  <c r="U5452" i="1"/>
  <c r="T5452" i="1"/>
  <c r="R5452" i="1"/>
  <c r="P5452" i="1"/>
  <c r="U5451" i="1"/>
  <c r="T5451" i="1"/>
  <c r="R5451" i="1"/>
  <c r="P5451" i="1"/>
  <c r="U5450" i="1"/>
  <c r="T5450" i="1"/>
  <c r="R5450" i="1"/>
  <c r="P5450" i="1"/>
  <c r="U5449" i="1"/>
  <c r="T5449" i="1"/>
  <c r="R5449" i="1"/>
  <c r="P5449" i="1"/>
  <c r="U5448" i="1"/>
  <c r="T5448" i="1"/>
  <c r="R5448" i="1"/>
  <c r="P5448" i="1"/>
  <c r="U5447" i="1"/>
  <c r="T5447" i="1"/>
  <c r="R5447" i="1"/>
  <c r="P5447" i="1"/>
  <c r="U5446" i="1"/>
  <c r="T5446" i="1"/>
  <c r="R5446" i="1"/>
  <c r="P5446" i="1"/>
  <c r="U5445" i="1"/>
  <c r="T5445" i="1"/>
  <c r="R5445" i="1"/>
  <c r="P5445" i="1"/>
  <c r="U5444" i="1"/>
  <c r="T5444" i="1"/>
  <c r="R5444" i="1"/>
  <c r="P5444" i="1"/>
  <c r="U5443" i="1"/>
  <c r="T5443" i="1"/>
  <c r="R5443" i="1"/>
  <c r="P5443" i="1"/>
  <c r="U5442" i="1"/>
  <c r="T5442" i="1"/>
  <c r="R5442" i="1"/>
  <c r="P5442" i="1"/>
  <c r="U5441" i="1"/>
  <c r="T5441" i="1"/>
  <c r="R5441" i="1"/>
  <c r="P5441" i="1"/>
  <c r="U5440" i="1"/>
  <c r="T5440" i="1"/>
  <c r="R5440" i="1"/>
  <c r="P5440" i="1"/>
  <c r="U5439" i="1"/>
  <c r="T5439" i="1"/>
  <c r="R5439" i="1"/>
  <c r="P5439" i="1"/>
  <c r="U5438" i="1"/>
  <c r="T5438" i="1"/>
  <c r="R5438" i="1"/>
  <c r="P5438" i="1"/>
  <c r="U5437" i="1"/>
  <c r="T5437" i="1"/>
  <c r="R5437" i="1"/>
  <c r="P5437" i="1"/>
  <c r="U5436" i="1"/>
  <c r="T5436" i="1"/>
  <c r="R5436" i="1"/>
  <c r="P5436" i="1"/>
  <c r="U5435" i="1"/>
  <c r="T5435" i="1"/>
  <c r="R5435" i="1"/>
  <c r="P5435" i="1"/>
  <c r="U5434" i="1"/>
  <c r="T5434" i="1"/>
  <c r="R5434" i="1"/>
  <c r="P5434" i="1"/>
  <c r="U5433" i="1"/>
  <c r="T5433" i="1"/>
  <c r="R5433" i="1"/>
  <c r="P5433" i="1"/>
  <c r="U5432" i="1"/>
  <c r="T5432" i="1"/>
  <c r="R5432" i="1"/>
  <c r="P5432" i="1"/>
  <c r="U5431" i="1"/>
  <c r="T5431" i="1"/>
  <c r="R5431" i="1"/>
  <c r="P5431" i="1"/>
  <c r="U5430" i="1"/>
  <c r="T5430" i="1"/>
  <c r="R5430" i="1"/>
  <c r="P5430" i="1"/>
  <c r="U5429" i="1"/>
  <c r="T5429" i="1"/>
  <c r="R5429" i="1"/>
  <c r="P5429" i="1"/>
  <c r="U5428" i="1"/>
  <c r="T5428" i="1"/>
  <c r="R5428" i="1"/>
  <c r="P5428" i="1"/>
  <c r="U5427" i="1"/>
  <c r="T5427" i="1"/>
  <c r="R5427" i="1"/>
  <c r="P5427" i="1"/>
  <c r="U5426" i="1"/>
  <c r="T5426" i="1"/>
  <c r="R5426" i="1"/>
  <c r="P5426" i="1"/>
  <c r="U5425" i="1"/>
  <c r="T5425" i="1"/>
  <c r="R5425" i="1"/>
  <c r="P5425" i="1"/>
  <c r="U5424" i="1"/>
  <c r="T5424" i="1"/>
  <c r="R5424" i="1"/>
  <c r="P5424" i="1"/>
  <c r="U5423" i="1"/>
  <c r="T5423" i="1"/>
  <c r="R5423" i="1"/>
  <c r="P5423" i="1"/>
  <c r="U5422" i="1"/>
  <c r="T5422" i="1"/>
  <c r="R5422" i="1"/>
  <c r="P5422" i="1"/>
  <c r="U5421" i="1"/>
  <c r="T5421" i="1"/>
  <c r="R5421" i="1"/>
  <c r="P5421" i="1"/>
  <c r="U5420" i="1"/>
  <c r="T5420" i="1"/>
  <c r="R5420" i="1"/>
  <c r="P5420" i="1"/>
  <c r="U5419" i="1"/>
  <c r="T5419" i="1"/>
  <c r="R5419" i="1"/>
  <c r="P5419" i="1"/>
  <c r="U5418" i="1"/>
  <c r="T5418" i="1"/>
  <c r="R5418" i="1"/>
  <c r="P5418" i="1"/>
  <c r="U5417" i="1"/>
  <c r="T5417" i="1"/>
  <c r="R5417" i="1"/>
  <c r="P5417" i="1"/>
  <c r="U5416" i="1"/>
  <c r="T5416" i="1"/>
  <c r="R5416" i="1"/>
  <c r="P5416" i="1"/>
  <c r="U5415" i="1"/>
  <c r="T5415" i="1"/>
  <c r="R5415" i="1"/>
  <c r="P5415" i="1"/>
  <c r="U5414" i="1"/>
  <c r="T5414" i="1"/>
  <c r="R5414" i="1"/>
  <c r="P5414" i="1"/>
  <c r="U5413" i="1"/>
  <c r="T5413" i="1"/>
  <c r="R5413" i="1"/>
  <c r="P5413" i="1"/>
  <c r="U5412" i="1"/>
  <c r="T5412" i="1"/>
  <c r="R5412" i="1"/>
  <c r="P5412" i="1"/>
  <c r="U5411" i="1"/>
  <c r="T5411" i="1"/>
  <c r="R5411" i="1"/>
  <c r="P5411" i="1"/>
  <c r="U5410" i="1"/>
  <c r="T5410" i="1"/>
  <c r="R5410" i="1"/>
  <c r="P5410" i="1"/>
  <c r="U5409" i="1"/>
  <c r="T5409" i="1"/>
  <c r="R5409" i="1"/>
  <c r="P5409" i="1"/>
  <c r="U5408" i="1"/>
  <c r="T5408" i="1"/>
  <c r="R5408" i="1"/>
  <c r="P5408" i="1"/>
  <c r="U5407" i="1"/>
  <c r="T5407" i="1"/>
  <c r="R5407" i="1"/>
  <c r="P5407" i="1"/>
  <c r="U5406" i="1"/>
  <c r="T5406" i="1"/>
  <c r="R5406" i="1"/>
  <c r="P5406" i="1"/>
  <c r="U5405" i="1"/>
  <c r="T5405" i="1"/>
  <c r="R5405" i="1"/>
  <c r="P5405" i="1"/>
  <c r="U5404" i="1"/>
  <c r="T5404" i="1"/>
  <c r="R5404" i="1"/>
  <c r="P5404" i="1"/>
  <c r="U5403" i="1"/>
  <c r="T5403" i="1"/>
  <c r="R5403" i="1"/>
  <c r="P5403" i="1"/>
  <c r="U5402" i="1"/>
  <c r="T5402" i="1"/>
  <c r="R5402" i="1"/>
  <c r="P5402" i="1"/>
  <c r="U5401" i="1"/>
  <c r="T5401" i="1"/>
  <c r="R5401" i="1"/>
  <c r="P5401" i="1"/>
  <c r="U5400" i="1"/>
  <c r="T5400" i="1"/>
  <c r="R5400" i="1"/>
  <c r="P5400" i="1"/>
  <c r="U5399" i="1"/>
  <c r="T5399" i="1"/>
  <c r="R5399" i="1"/>
  <c r="P5399" i="1"/>
  <c r="U5398" i="1"/>
  <c r="T5398" i="1"/>
  <c r="R5398" i="1"/>
  <c r="P5398" i="1"/>
  <c r="U5397" i="1"/>
  <c r="T5397" i="1"/>
  <c r="R5397" i="1"/>
  <c r="P5397" i="1"/>
  <c r="U5396" i="1"/>
  <c r="T5396" i="1"/>
  <c r="R5396" i="1"/>
  <c r="P5396" i="1"/>
  <c r="U5395" i="1"/>
  <c r="T5395" i="1"/>
  <c r="R5395" i="1"/>
  <c r="P5395" i="1"/>
  <c r="U5394" i="1"/>
  <c r="T5394" i="1"/>
  <c r="R5394" i="1"/>
  <c r="P5394" i="1"/>
  <c r="U5393" i="1"/>
  <c r="T5393" i="1"/>
  <c r="R5393" i="1"/>
  <c r="P5393" i="1"/>
  <c r="U5392" i="1"/>
  <c r="T5392" i="1"/>
  <c r="R5392" i="1"/>
  <c r="P5392" i="1"/>
  <c r="U5391" i="1"/>
  <c r="T5391" i="1"/>
  <c r="R5391" i="1"/>
  <c r="P5391" i="1"/>
  <c r="U5390" i="1"/>
  <c r="T5390" i="1"/>
  <c r="R5390" i="1"/>
  <c r="P5390" i="1"/>
  <c r="U5389" i="1"/>
  <c r="T5389" i="1"/>
  <c r="R5389" i="1"/>
  <c r="P5389" i="1"/>
  <c r="U5388" i="1"/>
  <c r="T5388" i="1"/>
  <c r="R5388" i="1"/>
  <c r="P5388" i="1"/>
  <c r="U5387" i="1"/>
  <c r="T5387" i="1"/>
  <c r="R5387" i="1"/>
  <c r="P5387" i="1"/>
  <c r="U5386" i="1"/>
  <c r="T5386" i="1"/>
  <c r="R5386" i="1"/>
  <c r="P5386" i="1"/>
  <c r="U5385" i="1"/>
  <c r="T5385" i="1"/>
  <c r="R5385" i="1"/>
  <c r="P5385" i="1"/>
  <c r="U5384" i="1"/>
  <c r="T5384" i="1"/>
  <c r="R5384" i="1"/>
  <c r="P5384" i="1"/>
  <c r="U5383" i="1"/>
  <c r="T5383" i="1"/>
  <c r="R5383" i="1"/>
  <c r="P5383" i="1"/>
  <c r="U5382" i="1"/>
  <c r="T5382" i="1"/>
  <c r="R5382" i="1"/>
  <c r="P5382" i="1"/>
  <c r="U5381" i="1"/>
  <c r="T5381" i="1"/>
  <c r="R5381" i="1"/>
  <c r="P5381" i="1"/>
  <c r="U5380" i="1"/>
  <c r="T5380" i="1"/>
  <c r="R5380" i="1"/>
  <c r="P5380" i="1"/>
  <c r="U5379" i="1"/>
  <c r="T5379" i="1"/>
  <c r="R5379" i="1"/>
  <c r="P5379" i="1"/>
  <c r="U5378" i="1"/>
  <c r="T5378" i="1"/>
  <c r="R5378" i="1"/>
  <c r="P5378" i="1"/>
  <c r="U5377" i="1"/>
  <c r="T5377" i="1"/>
  <c r="R5377" i="1"/>
  <c r="P5377" i="1"/>
  <c r="U5376" i="1"/>
  <c r="T5376" i="1"/>
  <c r="R5376" i="1"/>
  <c r="P5376" i="1"/>
  <c r="U5375" i="1"/>
  <c r="T5375" i="1"/>
  <c r="R5375" i="1"/>
  <c r="P5375" i="1"/>
  <c r="U5374" i="1"/>
  <c r="T5374" i="1"/>
  <c r="R5374" i="1"/>
  <c r="P5374" i="1"/>
  <c r="U5373" i="1"/>
  <c r="T5373" i="1"/>
  <c r="R5373" i="1"/>
  <c r="P5373" i="1"/>
  <c r="U5372" i="1"/>
  <c r="T5372" i="1"/>
  <c r="R5372" i="1"/>
  <c r="P5372" i="1"/>
  <c r="U5371" i="1"/>
  <c r="T5371" i="1"/>
  <c r="R5371" i="1"/>
  <c r="P5371" i="1"/>
  <c r="U5370" i="1"/>
  <c r="T5370" i="1"/>
  <c r="R5370" i="1"/>
  <c r="P5370" i="1"/>
  <c r="U5369" i="1"/>
  <c r="T5369" i="1"/>
  <c r="R5369" i="1"/>
  <c r="P5369" i="1"/>
  <c r="U5368" i="1"/>
  <c r="T5368" i="1"/>
  <c r="R5368" i="1"/>
  <c r="P5368" i="1"/>
  <c r="U5367" i="1"/>
  <c r="T5367" i="1"/>
  <c r="R5367" i="1"/>
  <c r="P5367" i="1"/>
  <c r="U5366" i="1"/>
  <c r="T5366" i="1"/>
  <c r="R5366" i="1"/>
  <c r="P5366" i="1"/>
  <c r="U5365" i="1"/>
  <c r="T5365" i="1"/>
  <c r="R5365" i="1"/>
  <c r="P5365" i="1"/>
  <c r="U5364" i="1"/>
  <c r="T5364" i="1"/>
  <c r="R5364" i="1"/>
  <c r="P5364" i="1"/>
  <c r="U5363" i="1"/>
  <c r="T5363" i="1"/>
  <c r="R5363" i="1"/>
  <c r="P5363" i="1"/>
  <c r="U5362" i="1"/>
  <c r="T5362" i="1"/>
  <c r="R5362" i="1"/>
  <c r="P5362" i="1"/>
  <c r="U5361" i="1"/>
  <c r="T5361" i="1"/>
  <c r="R5361" i="1"/>
  <c r="P5361" i="1"/>
  <c r="U5360" i="1"/>
  <c r="T5360" i="1"/>
  <c r="R5360" i="1"/>
  <c r="P5360" i="1"/>
  <c r="U5359" i="1"/>
  <c r="T5359" i="1"/>
  <c r="R5359" i="1"/>
  <c r="P5359" i="1"/>
  <c r="U5358" i="1"/>
  <c r="T5358" i="1"/>
  <c r="R5358" i="1"/>
  <c r="P5358" i="1"/>
  <c r="U5357" i="1"/>
  <c r="T5357" i="1"/>
  <c r="R5357" i="1"/>
  <c r="P5357" i="1"/>
  <c r="U5356" i="1"/>
  <c r="T5356" i="1"/>
  <c r="R5356" i="1"/>
  <c r="P5356" i="1"/>
  <c r="U5355" i="1"/>
  <c r="T5355" i="1"/>
  <c r="R5355" i="1"/>
  <c r="P5355" i="1"/>
  <c r="U5354" i="1"/>
  <c r="T5354" i="1"/>
  <c r="R5354" i="1"/>
  <c r="P5354" i="1"/>
  <c r="U5353" i="1"/>
  <c r="T5353" i="1"/>
  <c r="R5353" i="1"/>
  <c r="P5353" i="1"/>
  <c r="U5352" i="1"/>
  <c r="T5352" i="1"/>
  <c r="R5352" i="1"/>
  <c r="P5352" i="1"/>
  <c r="U5351" i="1"/>
  <c r="T5351" i="1"/>
  <c r="R5351" i="1"/>
  <c r="P5351" i="1"/>
  <c r="U5350" i="1"/>
  <c r="T5350" i="1"/>
  <c r="R5350" i="1"/>
  <c r="P5350" i="1"/>
  <c r="U5349" i="1"/>
  <c r="T5349" i="1"/>
  <c r="R5349" i="1"/>
  <c r="P5349" i="1"/>
  <c r="U5348" i="1"/>
  <c r="T5348" i="1"/>
  <c r="R5348" i="1"/>
  <c r="P5348" i="1"/>
  <c r="U5347" i="1"/>
  <c r="T5347" i="1"/>
  <c r="R5347" i="1"/>
  <c r="P5347" i="1"/>
  <c r="U5346" i="1"/>
  <c r="T5346" i="1"/>
  <c r="R5346" i="1"/>
  <c r="P5346" i="1"/>
  <c r="U5345" i="1"/>
  <c r="T5345" i="1"/>
  <c r="R5345" i="1"/>
  <c r="P5345" i="1"/>
  <c r="U5344" i="1"/>
  <c r="T5344" i="1"/>
  <c r="R5344" i="1"/>
  <c r="P5344" i="1"/>
  <c r="U5343" i="1"/>
  <c r="T5343" i="1"/>
  <c r="R5343" i="1"/>
  <c r="P5343" i="1"/>
  <c r="U5342" i="1"/>
  <c r="T5342" i="1"/>
  <c r="R5342" i="1"/>
  <c r="P5342" i="1"/>
  <c r="U5341" i="1"/>
  <c r="T5341" i="1"/>
  <c r="R5341" i="1"/>
  <c r="P5341" i="1"/>
  <c r="U5340" i="1"/>
  <c r="T5340" i="1"/>
  <c r="R5340" i="1"/>
  <c r="P5340" i="1"/>
  <c r="U5339" i="1"/>
  <c r="T5339" i="1"/>
  <c r="R5339" i="1"/>
  <c r="P5339" i="1"/>
  <c r="U5338" i="1"/>
  <c r="T5338" i="1"/>
  <c r="R5338" i="1"/>
  <c r="P5338" i="1"/>
  <c r="U5337" i="1"/>
  <c r="T5337" i="1"/>
  <c r="R5337" i="1"/>
  <c r="P5337" i="1"/>
  <c r="U5336" i="1"/>
  <c r="T5336" i="1"/>
  <c r="R5336" i="1"/>
  <c r="P5336" i="1"/>
  <c r="U5335" i="1"/>
  <c r="T5335" i="1"/>
  <c r="R5335" i="1"/>
  <c r="P5335" i="1"/>
  <c r="U5334" i="1"/>
  <c r="T5334" i="1"/>
  <c r="R5334" i="1"/>
  <c r="P5334" i="1"/>
  <c r="U5333" i="1"/>
  <c r="T5333" i="1"/>
  <c r="R5333" i="1"/>
  <c r="P5333" i="1"/>
  <c r="U5332" i="1"/>
  <c r="T5332" i="1"/>
  <c r="R5332" i="1"/>
  <c r="P5332" i="1"/>
  <c r="U5331" i="1"/>
  <c r="T5331" i="1"/>
  <c r="R5331" i="1"/>
  <c r="P5331" i="1"/>
  <c r="U5330" i="1"/>
  <c r="T5330" i="1"/>
  <c r="R5330" i="1"/>
  <c r="P5330" i="1"/>
  <c r="U5329" i="1"/>
  <c r="T5329" i="1"/>
  <c r="R5329" i="1"/>
  <c r="P5329" i="1"/>
  <c r="U5328" i="1"/>
  <c r="T5328" i="1"/>
  <c r="R5328" i="1"/>
  <c r="P5328" i="1"/>
  <c r="U5327" i="1"/>
  <c r="T5327" i="1"/>
  <c r="R5327" i="1"/>
  <c r="P5327" i="1"/>
  <c r="U5326" i="1"/>
  <c r="T5326" i="1"/>
  <c r="R5326" i="1"/>
  <c r="P5326" i="1"/>
  <c r="U5325" i="1"/>
  <c r="T5325" i="1"/>
  <c r="R5325" i="1"/>
  <c r="P5325" i="1"/>
  <c r="U5324" i="1"/>
  <c r="T5324" i="1"/>
  <c r="R5324" i="1"/>
  <c r="P5324" i="1"/>
  <c r="U5323" i="1"/>
  <c r="T5323" i="1"/>
  <c r="R5323" i="1"/>
  <c r="P5323" i="1"/>
  <c r="U5322" i="1"/>
  <c r="T5322" i="1"/>
  <c r="R5322" i="1"/>
  <c r="P5322" i="1"/>
  <c r="U5321" i="1"/>
  <c r="T5321" i="1"/>
  <c r="R5321" i="1"/>
  <c r="P5321" i="1"/>
  <c r="U5320" i="1"/>
  <c r="T5320" i="1"/>
  <c r="R5320" i="1"/>
  <c r="P5320" i="1"/>
  <c r="U5319" i="1"/>
  <c r="T5319" i="1"/>
  <c r="R5319" i="1"/>
  <c r="P5319" i="1"/>
  <c r="U5318" i="1"/>
  <c r="T5318" i="1"/>
  <c r="R5318" i="1"/>
  <c r="P5318" i="1"/>
  <c r="U5317" i="1"/>
  <c r="T5317" i="1"/>
  <c r="R5317" i="1"/>
  <c r="P5317" i="1"/>
  <c r="U5316" i="1"/>
  <c r="T5316" i="1"/>
  <c r="R5316" i="1"/>
  <c r="P5316" i="1"/>
  <c r="U5315" i="1"/>
  <c r="T5315" i="1"/>
  <c r="R5315" i="1"/>
  <c r="P5315" i="1"/>
  <c r="U5314" i="1"/>
  <c r="T5314" i="1"/>
  <c r="R5314" i="1"/>
  <c r="P5314" i="1"/>
  <c r="U5313" i="1"/>
  <c r="T5313" i="1"/>
  <c r="R5313" i="1"/>
  <c r="P5313" i="1"/>
  <c r="U5312" i="1"/>
  <c r="T5312" i="1"/>
  <c r="R5312" i="1"/>
  <c r="P5312" i="1"/>
  <c r="U5311" i="1"/>
  <c r="T5311" i="1"/>
  <c r="R5311" i="1"/>
  <c r="P5311" i="1"/>
  <c r="U5310" i="1"/>
  <c r="T5310" i="1"/>
  <c r="R5310" i="1"/>
  <c r="P5310" i="1"/>
  <c r="U5309" i="1"/>
  <c r="T5309" i="1"/>
  <c r="R5309" i="1"/>
  <c r="P5309" i="1"/>
  <c r="U5308" i="1"/>
  <c r="T5308" i="1"/>
  <c r="R5308" i="1"/>
  <c r="P5308" i="1"/>
  <c r="U5307" i="1"/>
  <c r="T5307" i="1"/>
  <c r="R5307" i="1"/>
  <c r="P5307" i="1"/>
  <c r="U5306" i="1"/>
  <c r="T5306" i="1"/>
  <c r="R5306" i="1"/>
  <c r="P5306" i="1"/>
  <c r="U5305" i="1"/>
  <c r="T5305" i="1"/>
  <c r="R5305" i="1"/>
  <c r="P5305" i="1"/>
  <c r="U5304" i="1"/>
  <c r="T5304" i="1"/>
  <c r="R5304" i="1"/>
  <c r="P5304" i="1"/>
  <c r="U5303" i="1"/>
  <c r="T5303" i="1"/>
  <c r="R5303" i="1"/>
  <c r="P5303" i="1"/>
  <c r="U5302" i="1"/>
  <c r="T5302" i="1"/>
  <c r="R5302" i="1"/>
  <c r="P5302" i="1"/>
  <c r="U5301" i="1"/>
  <c r="T5301" i="1"/>
  <c r="R5301" i="1"/>
  <c r="P5301" i="1"/>
  <c r="U5300" i="1"/>
  <c r="T5300" i="1"/>
  <c r="R5300" i="1"/>
  <c r="P5300" i="1"/>
  <c r="U5299" i="1"/>
  <c r="T5299" i="1"/>
  <c r="R5299" i="1"/>
  <c r="P5299" i="1"/>
  <c r="U5298" i="1"/>
  <c r="T5298" i="1"/>
  <c r="R5298" i="1"/>
  <c r="P5298" i="1"/>
  <c r="U5297" i="1"/>
  <c r="T5297" i="1"/>
  <c r="R5297" i="1"/>
  <c r="P5297" i="1"/>
  <c r="U5296" i="1"/>
  <c r="T5296" i="1"/>
  <c r="R5296" i="1"/>
  <c r="P5296" i="1"/>
  <c r="U5295" i="1"/>
  <c r="T5295" i="1"/>
  <c r="R5295" i="1"/>
  <c r="P5295" i="1"/>
  <c r="U5294" i="1"/>
  <c r="T5294" i="1"/>
  <c r="R5294" i="1"/>
  <c r="P5294" i="1"/>
  <c r="U5293" i="1"/>
  <c r="T5293" i="1"/>
  <c r="R5293" i="1"/>
  <c r="P5293" i="1"/>
  <c r="U5292" i="1"/>
  <c r="T5292" i="1"/>
  <c r="R5292" i="1"/>
  <c r="P5292" i="1"/>
  <c r="U5291" i="1"/>
  <c r="T5291" i="1"/>
  <c r="R5291" i="1"/>
  <c r="P5291" i="1"/>
  <c r="U5290" i="1"/>
  <c r="T5290" i="1"/>
  <c r="R5290" i="1"/>
  <c r="P5290" i="1"/>
  <c r="U5289" i="1"/>
  <c r="T5289" i="1"/>
  <c r="R5289" i="1"/>
  <c r="P5289" i="1"/>
  <c r="U5288" i="1"/>
  <c r="T5288" i="1"/>
  <c r="R5288" i="1"/>
  <c r="P5288" i="1"/>
  <c r="U5287" i="1"/>
  <c r="T5287" i="1"/>
  <c r="R5287" i="1"/>
  <c r="P5287" i="1"/>
  <c r="U5286" i="1"/>
  <c r="T5286" i="1"/>
  <c r="R5286" i="1"/>
  <c r="P5286" i="1"/>
  <c r="U5285" i="1"/>
  <c r="T5285" i="1"/>
  <c r="R5285" i="1"/>
  <c r="P5285" i="1"/>
  <c r="U5284" i="1"/>
  <c r="T5284" i="1"/>
  <c r="R5284" i="1"/>
  <c r="P5284" i="1"/>
  <c r="U5283" i="1"/>
  <c r="T5283" i="1"/>
  <c r="R5283" i="1"/>
  <c r="P5283" i="1"/>
  <c r="U5282" i="1"/>
  <c r="T5282" i="1"/>
  <c r="R5282" i="1"/>
  <c r="P5282" i="1"/>
  <c r="U5281" i="1"/>
  <c r="T5281" i="1"/>
  <c r="R5281" i="1"/>
  <c r="P5281" i="1"/>
  <c r="U5280" i="1"/>
  <c r="T5280" i="1"/>
  <c r="R5280" i="1"/>
  <c r="P5280" i="1"/>
  <c r="U5279" i="1"/>
  <c r="T5279" i="1"/>
  <c r="R5279" i="1"/>
  <c r="P5279" i="1"/>
  <c r="U5278" i="1"/>
  <c r="T5278" i="1"/>
  <c r="R5278" i="1"/>
  <c r="P5278" i="1"/>
  <c r="U5277" i="1"/>
  <c r="T5277" i="1"/>
  <c r="R5277" i="1"/>
  <c r="P5277" i="1"/>
  <c r="U5276" i="1"/>
  <c r="T5276" i="1"/>
  <c r="R5276" i="1"/>
  <c r="P5276" i="1"/>
  <c r="U5275" i="1"/>
  <c r="T5275" i="1"/>
  <c r="R5275" i="1"/>
  <c r="P5275" i="1"/>
  <c r="U5274" i="1"/>
  <c r="T5274" i="1"/>
  <c r="R5274" i="1"/>
  <c r="P5274" i="1"/>
  <c r="U5273" i="1"/>
  <c r="T5273" i="1"/>
  <c r="R5273" i="1"/>
  <c r="P5273" i="1"/>
  <c r="U5272" i="1"/>
  <c r="T5272" i="1"/>
  <c r="R5272" i="1"/>
  <c r="P5272" i="1"/>
  <c r="U5271" i="1"/>
  <c r="T5271" i="1"/>
  <c r="R5271" i="1"/>
  <c r="P5271" i="1"/>
  <c r="U5270" i="1"/>
  <c r="T5270" i="1"/>
  <c r="R5270" i="1"/>
  <c r="P5270" i="1"/>
  <c r="U5269" i="1"/>
  <c r="T5269" i="1"/>
  <c r="R5269" i="1"/>
  <c r="P5269" i="1"/>
  <c r="U5268" i="1"/>
  <c r="T5268" i="1"/>
  <c r="R5268" i="1"/>
  <c r="P5268" i="1"/>
  <c r="U5267" i="1"/>
  <c r="T5267" i="1"/>
  <c r="R5267" i="1"/>
  <c r="P5267" i="1"/>
  <c r="U5266" i="1"/>
  <c r="T5266" i="1"/>
  <c r="R5266" i="1"/>
  <c r="P5266" i="1"/>
  <c r="U5265" i="1"/>
  <c r="T5265" i="1"/>
  <c r="R5265" i="1"/>
  <c r="P5265" i="1"/>
  <c r="U5264" i="1"/>
  <c r="T5264" i="1"/>
  <c r="R5264" i="1"/>
  <c r="P5264" i="1"/>
  <c r="U5263" i="1"/>
  <c r="T5263" i="1"/>
  <c r="R5263" i="1"/>
  <c r="P5263" i="1"/>
  <c r="U5262" i="1"/>
  <c r="T5262" i="1"/>
  <c r="R5262" i="1"/>
  <c r="P5262" i="1"/>
  <c r="U5261" i="1"/>
  <c r="T5261" i="1"/>
  <c r="R5261" i="1"/>
  <c r="P5261" i="1"/>
  <c r="U5260" i="1"/>
  <c r="T5260" i="1"/>
  <c r="R5260" i="1"/>
  <c r="P5260" i="1"/>
  <c r="U5259" i="1"/>
  <c r="T5259" i="1"/>
  <c r="R5259" i="1"/>
  <c r="P5259" i="1"/>
  <c r="U5258" i="1"/>
  <c r="T5258" i="1"/>
  <c r="R5258" i="1"/>
  <c r="P5258" i="1"/>
  <c r="U5257" i="1"/>
  <c r="T5257" i="1"/>
  <c r="R5257" i="1"/>
  <c r="P5257" i="1"/>
  <c r="U5256" i="1"/>
  <c r="T5256" i="1"/>
  <c r="R5256" i="1"/>
  <c r="P5256" i="1"/>
  <c r="U5255" i="1"/>
  <c r="T5255" i="1"/>
  <c r="R5255" i="1"/>
  <c r="P5255" i="1"/>
  <c r="U5254" i="1"/>
  <c r="T5254" i="1"/>
  <c r="R5254" i="1"/>
  <c r="P5254" i="1"/>
  <c r="U5253" i="1"/>
  <c r="T5253" i="1"/>
  <c r="R5253" i="1"/>
  <c r="P5253" i="1"/>
  <c r="U5252" i="1"/>
  <c r="T5252" i="1"/>
  <c r="R5252" i="1"/>
  <c r="P5252" i="1"/>
  <c r="U5251" i="1"/>
  <c r="T5251" i="1"/>
  <c r="R5251" i="1"/>
  <c r="P5251" i="1"/>
  <c r="U5250" i="1"/>
  <c r="T5250" i="1"/>
  <c r="R5250" i="1"/>
  <c r="P5250" i="1"/>
  <c r="U5249" i="1"/>
  <c r="T5249" i="1"/>
  <c r="R5249" i="1"/>
  <c r="P5249" i="1"/>
  <c r="U5248" i="1"/>
  <c r="T5248" i="1"/>
  <c r="R5248" i="1"/>
  <c r="P5248" i="1"/>
  <c r="U5247" i="1"/>
  <c r="T5247" i="1"/>
  <c r="R5247" i="1"/>
  <c r="P5247" i="1"/>
  <c r="U5246" i="1"/>
  <c r="T5246" i="1"/>
  <c r="R5246" i="1"/>
  <c r="P5246" i="1"/>
  <c r="U5245" i="1"/>
  <c r="T5245" i="1"/>
  <c r="R5245" i="1"/>
  <c r="P5245" i="1"/>
  <c r="U5244" i="1"/>
  <c r="T5244" i="1"/>
  <c r="R5244" i="1"/>
  <c r="P5244" i="1"/>
  <c r="U5243" i="1"/>
  <c r="T5243" i="1"/>
  <c r="R5243" i="1"/>
  <c r="P5243" i="1"/>
  <c r="U5242" i="1"/>
  <c r="T5242" i="1"/>
  <c r="R5242" i="1"/>
  <c r="P5242" i="1"/>
  <c r="U5241" i="1"/>
  <c r="T5241" i="1"/>
  <c r="R5241" i="1"/>
  <c r="P5241" i="1"/>
  <c r="U5240" i="1"/>
  <c r="T5240" i="1"/>
  <c r="R5240" i="1"/>
  <c r="P5240" i="1"/>
  <c r="U5239" i="1"/>
  <c r="T5239" i="1"/>
  <c r="R5239" i="1"/>
  <c r="P5239" i="1"/>
  <c r="U5238" i="1"/>
  <c r="T5238" i="1"/>
  <c r="R5238" i="1"/>
  <c r="P5238" i="1"/>
  <c r="U5237" i="1"/>
  <c r="T5237" i="1"/>
  <c r="R5237" i="1"/>
  <c r="P5237" i="1"/>
  <c r="U5236" i="1"/>
  <c r="T5236" i="1"/>
  <c r="R5236" i="1"/>
  <c r="P5236" i="1"/>
  <c r="U5235" i="1"/>
  <c r="T5235" i="1"/>
  <c r="R5235" i="1"/>
  <c r="P5235" i="1"/>
  <c r="U5234" i="1"/>
  <c r="T5234" i="1"/>
  <c r="R5234" i="1"/>
  <c r="P5234" i="1"/>
  <c r="U5233" i="1"/>
  <c r="T5233" i="1"/>
  <c r="R5233" i="1"/>
  <c r="P5233" i="1"/>
  <c r="U5232" i="1"/>
  <c r="T5232" i="1"/>
  <c r="R5232" i="1"/>
  <c r="P5232" i="1"/>
  <c r="U5231" i="1"/>
  <c r="T5231" i="1"/>
  <c r="R5231" i="1"/>
  <c r="P5231" i="1"/>
  <c r="U5230" i="1"/>
  <c r="T5230" i="1"/>
  <c r="R5230" i="1"/>
  <c r="P5230" i="1"/>
  <c r="U5229" i="1"/>
  <c r="T5229" i="1"/>
  <c r="R5229" i="1"/>
  <c r="P5229" i="1"/>
  <c r="U5228" i="1"/>
  <c r="T5228" i="1"/>
  <c r="R5228" i="1"/>
  <c r="P5228" i="1"/>
  <c r="U5227" i="1"/>
  <c r="T5227" i="1"/>
  <c r="R5227" i="1"/>
  <c r="P5227" i="1"/>
  <c r="U5226" i="1"/>
  <c r="T5226" i="1"/>
  <c r="R5226" i="1"/>
  <c r="P5226" i="1"/>
  <c r="U5225" i="1"/>
  <c r="T5225" i="1"/>
  <c r="R5225" i="1"/>
  <c r="P5225" i="1"/>
  <c r="U5224" i="1"/>
  <c r="T5224" i="1"/>
  <c r="R5224" i="1"/>
  <c r="P5224" i="1"/>
  <c r="U5223" i="1"/>
  <c r="T5223" i="1"/>
  <c r="R5223" i="1"/>
  <c r="P5223" i="1"/>
  <c r="U5222" i="1"/>
  <c r="T5222" i="1"/>
  <c r="R5222" i="1"/>
  <c r="P5222" i="1"/>
  <c r="U5221" i="1"/>
  <c r="T5221" i="1"/>
  <c r="R5221" i="1"/>
  <c r="P5221" i="1"/>
  <c r="U5220" i="1"/>
  <c r="T5220" i="1"/>
  <c r="R5220" i="1"/>
  <c r="P5220" i="1"/>
  <c r="U5219" i="1"/>
  <c r="T5219" i="1"/>
  <c r="R5219" i="1"/>
  <c r="P5219" i="1"/>
  <c r="U5218" i="1"/>
  <c r="T5218" i="1"/>
  <c r="R5218" i="1"/>
  <c r="P5218" i="1"/>
  <c r="U5217" i="1"/>
  <c r="T5217" i="1"/>
  <c r="R5217" i="1"/>
  <c r="P5217" i="1"/>
  <c r="U5216" i="1"/>
  <c r="T5216" i="1"/>
  <c r="R5216" i="1"/>
  <c r="P5216" i="1"/>
  <c r="U5215" i="1"/>
  <c r="T5215" i="1"/>
  <c r="R5215" i="1"/>
  <c r="P5215" i="1"/>
  <c r="U5214" i="1"/>
  <c r="T5214" i="1"/>
  <c r="R5214" i="1"/>
  <c r="P5214" i="1"/>
  <c r="U5213" i="1"/>
  <c r="T5213" i="1"/>
  <c r="R5213" i="1"/>
  <c r="P5213" i="1"/>
  <c r="U5212" i="1"/>
  <c r="T5212" i="1"/>
  <c r="R5212" i="1"/>
  <c r="P5212" i="1"/>
  <c r="U5211" i="1"/>
  <c r="T5211" i="1"/>
  <c r="R5211" i="1"/>
  <c r="P5211" i="1"/>
  <c r="U5210" i="1"/>
  <c r="T5210" i="1"/>
  <c r="R5210" i="1"/>
  <c r="P5210" i="1"/>
  <c r="U5209" i="1"/>
  <c r="T5209" i="1"/>
  <c r="R5209" i="1"/>
  <c r="P5209" i="1"/>
  <c r="U5208" i="1"/>
  <c r="T5208" i="1"/>
  <c r="R5208" i="1"/>
  <c r="P5208" i="1"/>
  <c r="U5207" i="1"/>
  <c r="T5207" i="1"/>
  <c r="R5207" i="1"/>
  <c r="P5207" i="1"/>
  <c r="U5206" i="1"/>
  <c r="T5206" i="1"/>
  <c r="R5206" i="1"/>
  <c r="P5206" i="1"/>
  <c r="U5205" i="1"/>
  <c r="T5205" i="1"/>
  <c r="R5205" i="1"/>
  <c r="P5205" i="1"/>
  <c r="U5204" i="1"/>
  <c r="T5204" i="1"/>
  <c r="R5204" i="1"/>
  <c r="P5204" i="1"/>
  <c r="U5203" i="1"/>
  <c r="T5203" i="1"/>
  <c r="R5203" i="1"/>
  <c r="P5203" i="1"/>
  <c r="U5202" i="1"/>
  <c r="T5202" i="1"/>
  <c r="R5202" i="1"/>
  <c r="P5202" i="1"/>
  <c r="U5201" i="1"/>
  <c r="T5201" i="1"/>
  <c r="R5201" i="1"/>
  <c r="P5201" i="1"/>
  <c r="U5200" i="1"/>
  <c r="T5200" i="1"/>
  <c r="R5200" i="1"/>
  <c r="P5200" i="1"/>
  <c r="U5199" i="1"/>
  <c r="T5199" i="1"/>
  <c r="R5199" i="1"/>
  <c r="P5199" i="1"/>
  <c r="U5198" i="1"/>
  <c r="T5198" i="1"/>
  <c r="R5198" i="1"/>
  <c r="P5198" i="1"/>
  <c r="U5197" i="1"/>
  <c r="T5197" i="1"/>
  <c r="R5197" i="1"/>
  <c r="P5197" i="1"/>
  <c r="U5196" i="1"/>
  <c r="T5196" i="1"/>
  <c r="R5196" i="1"/>
  <c r="P5196" i="1"/>
  <c r="U5195" i="1"/>
  <c r="T5195" i="1"/>
  <c r="R5195" i="1"/>
  <c r="P5195" i="1"/>
  <c r="U5194" i="1"/>
  <c r="T5194" i="1"/>
  <c r="R5194" i="1"/>
  <c r="P5194" i="1"/>
  <c r="U5193" i="1"/>
  <c r="T5193" i="1"/>
  <c r="R5193" i="1"/>
  <c r="P5193" i="1"/>
  <c r="U5192" i="1"/>
  <c r="T5192" i="1"/>
  <c r="R5192" i="1"/>
  <c r="P5192" i="1"/>
  <c r="U5191" i="1"/>
  <c r="T5191" i="1"/>
  <c r="R5191" i="1"/>
  <c r="P5191" i="1"/>
  <c r="U5190" i="1"/>
  <c r="T5190" i="1"/>
  <c r="R5190" i="1"/>
  <c r="P5190" i="1"/>
  <c r="U5189" i="1"/>
  <c r="T5189" i="1"/>
  <c r="R5189" i="1"/>
  <c r="P5189" i="1"/>
  <c r="U5188" i="1"/>
  <c r="T5188" i="1"/>
  <c r="R5188" i="1"/>
  <c r="P5188" i="1"/>
  <c r="U5187" i="1"/>
  <c r="T5187" i="1"/>
  <c r="R5187" i="1"/>
  <c r="P5187" i="1"/>
  <c r="U5186" i="1"/>
  <c r="T5186" i="1"/>
  <c r="R5186" i="1"/>
  <c r="P5186" i="1"/>
  <c r="U5185" i="1"/>
  <c r="T5185" i="1"/>
  <c r="R5185" i="1"/>
  <c r="P5185" i="1"/>
  <c r="U5184" i="1"/>
  <c r="T5184" i="1"/>
  <c r="R5184" i="1"/>
  <c r="P5184" i="1"/>
  <c r="U5183" i="1"/>
  <c r="T5183" i="1"/>
  <c r="R5183" i="1"/>
  <c r="P5183" i="1"/>
  <c r="U5182" i="1"/>
  <c r="T5182" i="1"/>
  <c r="R5182" i="1"/>
  <c r="P5182" i="1"/>
  <c r="U5181" i="1"/>
  <c r="T5181" i="1"/>
  <c r="R5181" i="1"/>
  <c r="P5181" i="1"/>
  <c r="U5180" i="1"/>
  <c r="T5180" i="1"/>
  <c r="R5180" i="1"/>
  <c r="P5180" i="1"/>
  <c r="U5179" i="1"/>
  <c r="T5179" i="1"/>
  <c r="R5179" i="1"/>
  <c r="P5179" i="1"/>
  <c r="U5178" i="1"/>
  <c r="T5178" i="1"/>
  <c r="R5178" i="1"/>
  <c r="P5178" i="1"/>
  <c r="U5177" i="1"/>
  <c r="T5177" i="1"/>
  <c r="R5177" i="1"/>
  <c r="P5177" i="1"/>
  <c r="U5176" i="1"/>
  <c r="T5176" i="1"/>
  <c r="R5176" i="1"/>
  <c r="P5176" i="1"/>
  <c r="U5175" i="1"/>
  <c r="T5175" i="1"/>
  <c r="R5175" i="1"/>
  <c r="P5175" i="1"/>
  <c r="U5174" i="1"/>
  <c r="T5174" i="1"/>
  <c r="R5174" i="1"/>
  <c r="P5174" i="1"/>
  <c r="U5173" i="1"/>
  <c r="T5173" i="1"/>
  <c r="R5173" i="1"/>
  <c r="P5173" i="1"/>
  <c r="U5172" i="1"/>
  <c r="T5172" i="1"/>
  <c r="R5172" i="1"/>
  <c r="P5172" i="1"/>
  <c r="U5171" i="1"/>
  <c r="T5171" i="1"/>
  <c r="R5171" i="1"/>
  <c r="P5171" i="1"/>
  <c r="U5170" i="1"/>
  <c r="T5170" i="1"/>
  <c r="R5170" i="1"/>
  <c r="P5170" i="1"/>
  <c r="U5169" i="1"/>
  <c r="T5169" i="1"/>
  <c r="R5169" i="1"/>
  <c r="P5169" i="1"/>
  <c r="U5168" i="1"/>
  <c r="T5168" i="1"/>
  <c r="R5168" i="1"/>
  <c r="P5168" i="1"/>
  <c r="U5167" i="1"/>
  <c r="T5167" i="1"/>
  <c r="R5167" i="1"/>
  <c r="P5167" i="1"/>
  <c r="U5166" i="1"/>
  <c r="T5166" i="1"/>
  <c r="R5166" i="1"/>
  <c r="P5166" i="1"/>
  <c r="U5165" i="1"/>
  <c r="T5165" i="1"/>
  <c r="R5165" i="1"/>
  <c r="P5165" i="1"/>
  <c r="U5164" i="1"/>
  <c r="T5164" i="1"/>
  <c r="R5164" i="1"/>
  <c r="P5164" i="1"/>
  <c r="U5163" i="1"/>
  <c r="T5163" i="1"/>
  <c r="R5163" i="1"/>
  <c r="P5163" i="1"/>
  <c r="U5162" i="1"/>
  <c r="T5162" i="1"/>
  <c r="R5162" i="1"/>
  <c r="P5162" i="1"/>
  <c r="U5161" i="1"/>
  <c r="T5161" i="1"/>
  <c r="R5161" i="1"/>
  <c r="P5161" i="1"/>
  <c r="U5160" i="1"/>
  <c r="T5160" i="1"/>
  <c r="R5160" i="1"/>
  <c r="P5160" i="1"/>
  <c r="U5159" i="1"/>
  <c r="T5159" i="1"/>
  <c r="R5159" i="1"/>
  <c r="P5159" i="1"/>
  <c r="U5158" i="1"/>
  <c r="T5158" i="1"/>
  <c r="R5158" i="1"/>
  <c r="P5158" i="1"/>
  <c r="U5157" i="1"/>
  <c r="T5157" i="1"/>
  <c r="R5157" i="1"/>
  <c r="P5157" i="1"/>
  <c r="U5156" i="1"/>
  <c r="T5156" i="1"/>
  <c r="R5156" i="1"/>
  <c r="P5156" i="1"/>
  <c r="U5155" i="1"/>
  <c r="T5155" i="1"/>
  <c r="R5155" i="1"/>
  <c r="P5155" i="1"/>
  <c r="U5154" i="1"/>
  <c r="T5154" i="1"/>
  <c r="R5154" i="1"/>
  <c r="P5154" i="1"/>
  <c r="U5153" i="1"/>
  <c r="T5153" i="1"/>
  <c r="R5153" i="1"/>
  <c r="P5153" i="1"/>
  <c r="U5152" i="1"/>
  <c r="T5152" i="1"/>
  <c r="R5152" i="1"/>
  <c r="P5152" i="1"/>
  <c r="U5151" i="1"/>
  <c r="T5151" i="1"/>
  <c r="R5151" i="1"/>
  <c r="P5151" i="1"/>
  <c r="U5150" i="1"/>
  <c r="T5150" i="1"/>
  <c r="R5150" i="1"/>
  <c r="P5150" i="1"/>
  <c r="U5149" i="1"/>
  <c r="T5149" i="1"/>
  <c r="R5149" i="1"/>
  <c r="P5149" i="1"/>
  <c r="U5148" i="1"/>
  <c r="T5148" i="1"/>
  <c r="R5148" i="1"/>
  <c r="P5148" i="1"/>
  <c r="U5147" i="1"/>
  <c r="T5147" i="1"/>
  <c r="R5147" i="1"/>
  <c r="P5147" i="1"/>
  <c r="U5146" i="1"/>
  <c r="T5146" i="1"/>
  <c r="R5146" i="1"/>
  <c r="P5146" i="1"/>
  <c r="U5145" i="1"/>
  <c r="T5145" i="1"/>
  <c r="R5145" i="1"/>
  <c r="P5145" i="1"/>
  <c r="U5144" i="1"/>
  <c r="T5144" i="1"/>
  <c r="R5144" i="1"/>
  <c r="P5144" i="1"/>
  <c r="U5143" i="1"/>
  <c r="T5143" i="1"/>
  <c r="R5143" i="1"/>
  <c r="P5143" i="1"/>
  <c r="U5142" i="1"/>
  <c r="T5142" i="1"/>
  <c r="R5142" i="1"/>
  <c r="P5142" i="1"/>
  <c r="U5141" i="1"/>
  <c r="T5141" i="1"/>
  <c r="R5141" i="1"/>
  <c r="P5141" i="1"/>
  <c r="U5140" i="1"/>
  <c r="T5140" i="1"/>
  <c r="R5140" i="1"/>
  <c r="P5140" i="1"/>
  <c r="U5139" i="1"/>
  <c r="T5139" i="1"/>
  <c r="R5139" i="1"/>
  <c r="P5139" i="1"/>
  <c r="U5138" i="1"/>
  <c r="T5138" i="1"/>
  <c r="R5138" i="1"/>
  <c r="P5138" i="1"/>
  <c r="U5137" i="1"/>
  <c r="T5137" i="1"/>
  <c r="R5137" i="1"/>
  <c r="P5137" i="1"/>
  <c r="U5136" i="1"/>
  <c r="T5136" i="1"/>
  <c r="R5136" i="1"/>
  <c r="P5136" i="1"/>
  <c r="U5135" i="1"/>
  <c r="T5135" i="1"/>
  <c r="R5135" i="1"/>
  <c r="P5135" i="1"/>
  <c r="U5134" i="1"/>
  <c r="T5134" i="1"/>
  <c r="R5134" i="1"/>
  <c r="P5134" i="1"/>
  <c r="U5133" i="1"/>
  <c r="T5133" i="1"/>
  <c r="R5133" i="1"/>
  <c r="P5133" i="1"/>
  <c r="U5132" i="1"/>
  <c r="T5132" i="1"/>
  <c r="R5132" i="1"/>
  <c r="P5132" i="1"/>
  <c r="U5131" i="1"/>
  <c r="T5131" i="1"/>
  <c r="R5131" i="1"/>
  <c r="P5131" i="1"/>
  <c r="U5130" i="1"/>
  <c r="T5130" i="1"/>
  <c r="R5130" i="1"/>
  <c r="P5130" i="1"/>
  <c r="U5129" i="1"/>
  <c r="T5129" i="1"/>
  <c r="R5129" i="1"/>
  <c r="P5129" i="1"/>
  <c r="U5128" i="1"/>
  <c r="T5128" i="1"/>
  <c r="R5128" i="1"/>
  <c r="P5128" i="1"/>
  <c r="U5127" i="1"/>
  <c r="T5127" i="1"/>
  <c r="R5127" i="1"/>
  <c r="P5127" i="1"/>
  <c r="U5126" i="1"/>
  <c r="T5126" i="1"/>
  <c r="R5126" i="1"/>
  <c r="P5126" i="1"/>
  <c r="U5125" i="1"/>
  <c r="T5125" i="1"/>
  <c r="R5125" i="1"/>
  <c r="P5125" i="1"/>
  <c r="U5124" i="1"/>
  <c r="T5124" i="1"/>
  <c r="R5124" i="1"/>
  <c r="P5124" i="1"/>
  <c r="U5123" i="1"/>
  <c r="T5123" i="1"/>
  <c r="R5123" i="1"/>
  <c r="P5123" i="1"/>
  <c r="U5122" i="1"/>
  <c r="T5122" i="1"/>
  <c r="R5122" i="1"/>
  <c r="P5122" i="1"/>
  <c r="U5121" i="1"/>
  <c r="T5121" i="1"/>
  <c r="R5121" i="1"/>
  <c r="P5121" i="1"/>
  <c r="U5120" i="1"/>
  <c r="T5120" i="1"/>
  <c r="R5120" i="1"/>
  <c r="P5120" i="1"/>
  <c r="U5119" i="1"/>
  <c r="T5119" i="1"/>
  <c r="R5119" i="1"/>
  <c r="P5119" i="1"/>
  <c r="U5118" i="1"/>
  <c r="T5118" i="1"/>
  <c r="R5118" i="1"/>
  <c r="P5118" i="1"/>
  <c r="U5117" i="1"/>
  <c r="T5117" i="1"/>
  <c r="R5117" i="1"/>
  <c r="P5117" i="1"/>
  <c r="U5116" i="1"/>
  <c r="T5116" i="1"/>
  <c r="R5116" i="1"/>
  <c r="P5116" i="1"/>
  <c r="U5115" i="1"/>
  <c r="T5115" i="1"/>
  <c r="R5115" i="1"/>
  <c r="P5115" i="1"/>
  <c r="U5114" i="1"/>
  <c r="T5114" i="1"/>
  <c r="R5114" i="1"/>
  <c r="P5114" i="1"/>
  <c r="U5113" i="1"/>
  <c r="T5113" i="1"/>
  <c r="R5113" i="1"/>
  <c r="P5113" i="1"/>
  <c r="U5112" i="1"/>
  <c r="T5112" i="1"/>
  <c r="R5112" i="1"/>
  <c r="P5112" i="1"/>
  <c r="U5111" i="1"/>
  <c r="T5111" i="1"/>
  <c r="R5111" i="1"/>
  <c r="P5111" i="1"/>
  <c r="U5110" i="1"/>
  <c r="T5110" i="1"/>
  <c r="R5110" i="1"/>
  <c r="P5110" i="1"/>
  <c r="U5109" i="1"/>
  <c r="T5109" i="1"/>
  <c r="R5109" i="1"/>
  <c r="P5109" i="1"/>
  <c r="U5108" i="1"/>
  <c r="T5108" i="1"/>
  <c r="R5108" i="1"/>
  <c r="P5108" i="1"/>
  <c r="U5107" i="1"/>
  <c r="T5107" i="1"/>
  <c r="R5107" i="1"/>
  <c r="P5107" i="1"/>
  <c r="U5106" i="1"/>
  <c r="T5106" i="1"/>
  <c r="R5106" i="1"/>
  <c r="P5106" i="1"/>
  <c r="U5105" i="1"/>
  <c r="T5105" i="1"/>
  <c r="R5105" i="1"/>
  <c r="P5105" i="1"/>
  <c r="U5104" i="1"/>
  <c r="T5104" i="1"/>
  <c r="R5104" i="1"/>
  <c r="P5104" i="1"/>
  <c r="U5103" i="1"/>
  <c r="T5103" i="1"/>
  <c r="R5103" i="1"/>
  <c r="P5103" i="1"/>
  <c r="U5102" i="1"/>
  <c r="T5102" i="1"/>
  <c r="R5102" i="1"/>
  <c r="P5102" i="1"/>
  <c r="U5101" i="1"/>
  <c r="T5101" i="1"/>
  <c r="R5101" i="1"/>
  <c r="P5101" i="1"/>
  <c r="U5100" i="1"/>
  <c r="T5100" i="1"/>
  <c r="R5100" i="1"/>
  <c r="P5100" i="1"/>
  <c r="U5099" i="1"/>
  <c r="T5099" i="1"/>
  <c r="R5099" i="1"/>
  <c r="P5099" i="1"/>
  <c r="U5098" i="1"/>
  <c r="T5098" i="1"/>
  <c r="R5098" i="1"/>
  <c r="P5098" i="1"/>
  <c r="U5097" i="1"/>
  <c r="T5097" i="1"/>
  <c r="R5097" i="1"/>
  <c r="P5097" i="1"/>
  <c r="U5096" i="1"/>
  <c r="T5096" i="1"/>
  <c r="R5096" i="1"/>
  <c r="P5096" i="1"/>
  <c r="U5095" i="1"/>
  <c r="T5095" i="1"/>
  <c r="R5095" i="1"/>
  <c r="P5095" i="1"/>
  <c r="U5094" i="1"/>
  <c r="T5094" i="1"/>
  <c r="R5094" i="1"/>
  <c r="P5094" i="1"/>
  <c r="U5093" i="1"/>
  <c r="T5093" i="1"/>
  <c r="R5093" i="1"/>
  <c r="P5093" i="1"/>
  <c r="U5092" i="1"/>
  <c r="T5092" i="1"/>
  <c r="R5092" i="1"/>
  <c r="P5092" i="1"/>
  <c r="U5091" i="1"/>
  <c r="T5091" i="1"/>
  <c r="R5091" i="1"/>
  <c r="P5091" i="1"/>
  <c r="U5090" i="1"/>
  <c r="T5090" i="1"/>
  <c r="R5090" i="1"/>
  <c r="P5090" i="1"/>
  <c r="U5089" i="1"/>
  <c r="T5089" i="1"/>
  <c r="R5089" i="1"/>
  <c r="P5089" i="1"/>
  <c r="U5088" i="1"/>
  <c r="T5088" i="1"/>
  <c r="R5088" i="1"/>
  <c r="P5088" i="1"/>
  <c r="U5087" i="1"/>
  <c r="T5087" i="1"/>
  <c r="R5087" i="1"/>
  <c r="P5087" i="1"/>
  <c r="U5086" i="1"/>
  <c r="T5086" i="1"/>
  <c r="R5086" i="1"/>
  <c r="P5086" i="1"/>
  <c r="U5085" i="1"/>
  <c r="T5085" i="1"/>
  <c r="R5085" i="1"/>
  <c r="P5085" i="1"/>
  <c r="U5084" i="1"/>
  <c r="T5084" i="1"/>
  <c r="R5084" i="1"/>
  <c r="P5084" i="1"/>
  <c r="U5083" i="1"/>
  <c r="T5083" i="1"/>
  <c r="R5083" i="1"/>
  <c r="P5083" i="1"/>
  <c r="U5082" i="1"/>
  <c r="T5082" i="1"/>
  <c r="R5082" i="1"/>
  <c r="P5082" i="1"/>
  <c r="U5081" i="1"/>
  <c r="T5081" i="1"/>
  <c r="R5081" i="1"/>
  <c r="P5081" i="1"/>
  <c r="U5080" i="1"/>
  <c r="T5080" i="1"/>
  <c r="R5080" i="1"/>
  <c r="P5080" i="1"/>
  <c r="U5079" i="1"/>
  <c r="T5079" i="1"/>
  <c r="R5079" i="1"/>
  <c r="P5079" i="1"/>
  <c r="U5078" i="1"/>
  <c r="T5078" i="1"/>
  <c r="R5078" i="1"/>
  <c r="P5078" i="1"/>
  <c r="U5077" i="1"/>
  <c r="T5077" i="1"/>
  <c r="R5077" i="1"/>
  <c r="P5077" i="1"/>
  <c r="U5076" i="1"/>
  <c r="T5076" i="1"/>
  <c r="R5076" i="1"/>
  <c r="P5076" i="1"/>
  <c r="U5075" i="1"/>
  <c r="T5075" i="1"/>
  <c r="R5075" i="1"/>
  <c r="P5075" i="1"/>
  <c r="U5074" i="1"/>
  <c r="T5074" i="1"/>
  <c r="R5074" i="1"/>
  <c r="P5074" i="1"/>
  <c r="U5073" i="1"/>
  <c r="T5073" i="1"/>
  <c r="R5073" i="1"/>
  <c r="P5073" i="1"/>
  <c r="U5072" i="1"/>
  <c r="T5072" i="1"/>
  <c r="R5072" i="1"/>
  <c r="P5072" i="1"/>
  <c r="U5071" i="1"/>
  <c r="T5071" i="1"/>
  <c r="R5071" i="1"/>
  <c r="P5071" i="1"/>
  <c r="U5070" i="1"/>
  <c r="T5070" i="1"/>
  <c r="R5070" i="1"/>
  <c r="P5070" i="1"/>
  <c r="U5069" i="1"/>
  <c r="T5069" i="1"/>
  <c r="R5069" i="1"/>
  <c r="P5069" i="1"/>
  <c r="U5068" i="1"/>
  <c r="T5068" i="1"/>
  <c r="R5068" i="1"/>
  <c r="P5068" i="1"/>
  <c r="U5067" i="1"/>
  <c r="T5067" i="1"/>
  <c r="R5067" i="1"/>
  <c r="P5067" i="1"/>
  <c r="U5066" i="1"/>
  <c r="T5066" i="1"/>
  <c r="R5066" i="1"/>
  <c r="P5066" i="1"/>
  <c r="U5065" i="1"/>
  <c r="T5065" i="1"/>
  <c r="R5065" i="1"/>
  <c r="P5065" i="1"/>
  <c r="U5064" i="1"/>
  <c r="T5064" i="1"/>
  <c r="R5064" i="1"/>
  <c r="P5064" i="1"/>
  <c r="U5063" i="1"/>
  <c r="T5063" i="1"/>
  <c r="R5063" i="1"/>
  <c r="P5063" i="1"/>
  <c r="U5062" i="1"/>
  <c r="T5062" i="1"/>
  <c r="R5062" i="1"/>
  <c r="P5062" i="1"/>
  <c r="U5061" i="1"/>
  <c r="T5061" i="1"/>
  <c r="R5061" i="1"/>
  <c r="P5061" i="1"/>
  <c r="U5060" i="1"/>
  <c r="T5060" i="1"/>
  <c r="R5060" i="1"/>
  <c r="P5060" i="1"/>
  <c r="U5059" i="1"/>
  <c r="T5059" i="1"/>
  <c r="R5059" i="1"/>
  <c r="P5059" i="1"/>
  <c r="U5058" i="1"/>
  <c r="T5058" i="1"/>
  <c r="R5058" i="1"/>
  <c r="P5058" i="1"/>
  <c r="U5057" i="1"/>
  <c r="T5057" i="1"/>
  <c r="R5057" i="1"/>
  <c r="P5057" i="1"/>
  <c r="U5056" i="1"/>
  <c r="T5056" i="1"/>
  <c r="R5056" i="1"/>
  <c r="P5056" i="1"/>
  <c r="U5055" i="1"/>
  <c r="T5055" i="1"/>
  <c r="R5055" i="1"/>
  <c r="P5055" i="1"/>
  <c r="U5054" i="1"/>
  <c r="T5054" i="1"/>
  <c r="R5054" i="1"/>
  <c r="P5054" i="1"/>
  <c r="U5053" i="1"/>
  <c r="T5053" i="1"/>
  <c r="R5053" i="1"/>
  <c r="P5053" i="1"/>
  <c r="U5052" i="1"/>
  <c r="T5052" i="1"/>
  <c r="R5052" i="1"/>
  <c r="P5052" i="1"/>
  <c r="U5051" i="1"/>
  <c r="T5051" i="1"/>
  <c r="R5051" i="1"/>
  <c r="P5051" i="1"/>
  <c r="U5050" i="1"/>
  <c r="T5050" i="1"/>
  <c r="R5050" i="1"/>
  <c r="P5050" i="1"/>
  <c r="U5049" i="1"/>
  <c r="T5049" i="1"/>
  <c r="R5049" i="1"/>
  <c r="P5049" i="1"/>
  <c r="U5048" i="1"/>
  <c r="T5048" i="1"/>
  <c r="R5048" i="1"/>
  <c r="P5048" i="1"/>
  <c r="U5047" i="1"/>
  <c r="T5047" i="1"/>
  <c r="R5047" i="1"/>
  <c r="P5047" i="1"/>
  <c r="U5046" i="1"/>
  <c r="T5046" i="1"/>
  <c r="R5046" i="1"/>
  <c r="P5046" i="1"/>
  <c r="U5045" i="1"/>
  <c r="T5045" i="1"/>
  <c r="R5045" i="1"/>
  <c r="P5045" i="1"/>
  <c r="U5044" i="1"/>
  <c r="T5044" i="1"/>
  <c r="R5044" i="1"/>
  <c r="P5044" i="1"/>
  <c r="U5043" i="1"/>
  <c r="T5043" i="1"/>
  <c r="R5043" i="1"/>
  <c r="P5043" i="1"/>
  <c r="U5042" i="1"/>
  <c r="T5042" i="1"/>
  <c r="R5042" i="1"/>
  <c r="P5042" i="1"/>
  <c r="U5041" i="1"/>
  <c r="T5041" i="1"/>
  <c r="R5041" i="1"/>
  <c r="P5041" i="1"/>
  <c r="U5040" i="1"/>
  <c r="T5040" i="1"/>
  <c r="R5040" i="1"/>
  <c r="P5040" i="1"/>
  <c r="U5039" i="1"/>
  <c r="T5039" i="1"/>
  <c r="R5039" i="1"/>
  <c r="P5039" i="1"/>
  <c r="U5038" i="1"/>
  <c r="T5038" i="1"/>
  <c r="R5038" i="1"/>
  <c r="P5038" i="1"/>
  <c r="U5037" i="1"/>
  <c r="T5037" i="1"/>
  <c r="R5037" i="1"/>
  <c r="P5037" i="1"/>
  <c r="U5036" i="1"/>
  <c r="T5036" i="1"/>
  <c r="R5036" i="1"/>
  <c r="P5036" i="1"/>
  <c r="U5035" i="1"/>
  <c r="T5035" i="1"/>
  <c r="R5035" i="1"/>
  <c r="P5035" i="1"/>
  <c r="U5034" i="1"/>
  <c r="T5034" i="1"/>
  <c r="R5034" i="1"/>
  <c r="P5034" i="1"/>
  <c r="U5033" i="1"/>
  <c r="T5033" i="1"/>
  <c r="R5033" i="1"/>
  <c r="P5033" i="1"/>
  <c r="U5032" i="1"/>
  <c r="T5032" i="1"/>
  <c r="R5032" i="1"/>
  <c r="P5032" i="1"/>
  <c r="U5031" i="1"/>
  <c r="T5031" i="1"/>
  <c r="R5031" i="1"/>
  <c r="P5031" i="1"/>
  <c r="U5030" i="1"/>
  <c r="T5030" i="1"/>
  <c r="R5030" i="1"/>
  <c r="P5030" i="1"/>
  <c r="U5029" i="1"/>
  <c r="T5029" i="1"/>
  <c r="R5029" i="1"/>
  <c r="P5029" i="1"/>
  <c r="U5028" i="1"/>
  <c r="T5028" i="1"/>
  <c r="R5028" i="1"/>
  <c r="P5028" i="1"/>
  <c r="U5027" i="1"/>
  <c r="T5027" i="1"/>
  <c r="R5027" i="1"/>
  <c r="P5027" i="1"/>
  <c r="U5026" i="1"/>
  <c r="T5026" i="1"/>
  <c r="R5026" i="1"/>
  <c r="P5026" i="1"/>
  <c r="U5025" i="1"/>
  <c r="T5025" i="1"/>
  <c r="R5025" i="1"/>
  <c r="P5025" i="1"/>
  <c r="U5024" i="1"/>
  <c r="T5024" i="1"/>
  <c r="R5024" i="1"/>
  <c r="P5024" i="1"/>
  <c r="U5023" i="1"/>
  <c r="T5023" i="1"/>
  <c r="R5023" i="1"/>
  <c r="P5023" i="1"/>
  <c r="U5022" i="1"/>
  <c r="T5022" i="1"/>
  <c r="R5022" i="1"/>
  <c r="P5022" i="1"/>
  <c r="U5021" i="1"/>
  <c r="T5021" i="1"/>
  <c r="R5021" i="1"/>
  <c r="P5021" i="1"/>
  <c r="U5020" i="1"/>
  <c r="T5020" i="1"/>
  <c r="R5020" i="1"/>
  <c r="P5020" i="1"/>
  <c r="U5019" i="1"/>
  <c r="T5019" i="1"/>
  <c r="R5019" i="1"/>
  <c r="P5019" i="1"/>
  <c r="U5018" i="1"/>
  <c r="T5018" i="1"/>
  <c r="R5018" i="1"/>
  <c r="P5018" i="1"/>
  <c r="U5017" i="1"/>
  <c r="T5017" i="1"/>
  <c r="R5017" i="1"/>
  <c r="P5017" i="1"/>
  <c r="U5016" i="1"/>
  <c r="T5016" i="1"/>
  <c r="R5016" i="1"/>
  <c r="P5016" i="1"/>
  <c r="U5015" i="1"/>
  <c r="T5015" i="1"/>
  <c r="R5015" i="1"/>
  <c r="P5015" i="1"/>
  <c r="U5014" i="1"/>
  <c r="T5014" i="1"/>
  <c r="R5014" i="1"/>
  <c r="P5014" i="1"/>
  <c r="U5013" i="1"/>
  <c r="T5013" i="1"/>
  <c r="R5013" i="1"/>
  <c r="P5013" i="1"/>
  <c r="U5012" i="1"/>
  <c r="T5012" i="1"/>
  <c r="R5012" i="1"/>
  <c r="P5012" i="1"/>
  <c r="U5011" i="1"/>
  <c r="T5011" i="1"/>
  <c r="R5011" i="1"/>
  <c r="P5011" i="1"/>
  <c r="U5010" i="1"/>
  <c r="T5010" i="1"/>
  <c r="R5010" i="1"/>
  <c r="P5010" i="1"/>
  <c r="U5009" i="1"/>
  <c r="T5009" i="1"/>
  <c r="R5009" i="1"/>
  <c r="P5009" i="1"/>
  <c r="U5008" i="1"/>
  <c r="T5008" i="1"/>
  <c r="R5008" i="1"/>
  <c r="P5008" i="1"/>
  <c r="U5007" i="1"/>
  <c r="T5007" i="1"/>
  <c r="R5007" i="1"/>
  <c r="P5007" i="1"/>
  <c r="U5006" i="1"/>
  <c r="T5006" i="1"/>
  <c r="R5006" i="1"/>
  <c r="P5006" i="1"/>
  <c r="U5005" i="1"/>
  <c r="T5005" i="1"/>
  <c r="R5005" i="1"/>
  <c r="P5005" i="1"/>
  <c r="U5004" i="1"/>
  <c r="T5004" i="1"/>
  <c r="R5004" i="1"/>
  <c r="P5004" i="1"/>
  <c r="U5003" i="1"/>
  <c r="T5003" i="1"/>
  <c r="R5003" i="1"/>
  <c r="P5003" i="1"/>
  <c r="U5002" i="1"/>
  <c r="T5002" i="1"/>
  <c r="R5002" i="1"/>
  <c r="P5002" i="1"/>
  <c r="U5001" i="1"/>
  <c r="T5001" i="1"/>
  <c r="R5001" i="1"/>
  <c r="P5001" i="1"/>
  <c r="U5000" i="1"/>
  <c r="T5000" i="1"/>
  <c r="R5000" i="1"/>
  <c r="P5000" i="1"/>
  <c r="U4999" i="1"/>
  <c r="T4999" i="1"/>
  <c r="R4999" i="1"/>
  <c r="P4999" i="1"/>
  <c r="U4998" i="1"/>
  <c r="T4998" i="1"/>
  <c r="R4998" i="1"/>
  <c r="P4998" i="1"/>
  <c r="U4997" i="1"/>
  <c r="T4997" i="1"/>
  <c r="R4997" i="1"/>
  <c r="P4997" i="1"/>
  <c r="U4996" i="1"/>
  <c r="T4996" i="1"/>
  <c r="R4996" i="1"/>
  <c r="P4996" i="1"/>
  <c r="U4995" i="1"/>
  <c r="T4995" i="1"/>
  <c r="R4995" i="1"/>
  <c r="P4995" i="1"/>
  <c r="U4994" i="1"/>
  <c r="T4994" i="1"/>
  <c r="R4994" i="1"/>
  <c r="P4994" i="1"/>
  <c r="U4993" i="1"/>
  <c r="T4993" i="1"/>
  <c r="R4993" i="1"/>
  <c r="P4993" i="1"/>
  <c r="U4992" i="1"/>
  <c r="T4992" i="1"/>
  <c r="R4992" i="1"/>
  <c r="P4992" i="1"/>
  <c r="U4991" i="1"/>
  <c r="T4991" i="1"/>
  <c r="R4991" i="1"/>
  <c r="P4991" i="1"/>
  <c r="U4990" i="1"/>
  <c r="T4990" i="1"/>
  <c r="R4990" i="1"/>
  <c r="P4990" i="1"/>
  <c r="U4989" i="1"/>
  <c r="T4989" i="1"/>
  <c r="R4989" i="1"/>
  <c r="P4989" i="1"/>
  <c r="U4988" i="1"/>
  <c r="T4988" i="1"/>
  <c r="R4988" i="1"/>
  <c r="P4988" i="1"/>
  <c r="U4987" i="1"/>
  <c r="T4987" i="1"/>
  <c r="R4987" i="1"/>
  <c r="P4987" i="1"/>
  <c r="U4986" i="1"/>
  <c r="T4986" i="1"/>
  <c r="R4986" i="1"/>
  <c r="P4986" i="1"/>
  <c r="U4985" i="1"/>
  <c r="T4985" i="1"/>
  <c r="R4985" i="1"/>
  <c r="P4985" i="1"/>
  <c r="U4984" i="1"/>
  <c r="T4984" i="1"/>
  <c r="R4984" i="1"/>
  <c r="P4984" i="1"/>
  <c r="U4983" i="1"/>
  <c r="T4983" i="1"/>
  <c r="R4983" i="1"/>
  <c r="P4983" i="1"/>
  <c r="U4982" i="1"/>
  <c r="T4982" i="1"/>
  <c r="R4982" i="1"/>
  <c r="P4982" i="1"/>
  <c r="U4981" i="1"/>
  <c r="T4981" i="1"/>
  <c r="R4981" i="1"/>
  <c r="P4981" i="1"/>
  <c r="U4980" i="1"/>
  <c r="T4980" i="1"/>
  <c r="R4980" i="1"/>
  <c r="P4980" i="1"/>
  <c r="U4979" i="1"/>
  <c r="T4979" i="1"/>
  <c r="R4979" i="1"/>
  <c r="P4979" i="1"/>
  <c r="U4978" i="1"/>
  <c r="T4978" i="1"/>
  <c r="R4978" i="1"/>
  <c r="P4978" i="1"/>
  <c r="U4977" i="1"/>
  <c r="T4977" i="1"/>
  <c r="R4977" i="1"/>
  <c r="P4977" i="1"/>
  <c r="U4976" i="1"/>
  <c r="T4976" i="1"/>
  <c r="R4976" i="1"/>
  <c r="P4976" i="1"/>
  <c r="U4975" i="1"/>
  <c r="T4975" i="1"/>
  <c r="R4975" i="1"/>
  <c r="P4975" i="1"/>
  <c r="U4974" i="1"/>
  <c r="T4974" i="1"/>
  <c r="R4974" i="1"/>
  <c r="P4974" i="1"/>
  <c r="U4973" i="1"/>
  <c r="T4973" i="1"/>
  <c r="R4973" i="1"/>
  <c r="P4973" i="1"/>
  <c r="U4972" i="1"/>
  <c r="T4972" i="1"/>
  <c r="R4972" i="1"/>
  <c r="P4972" i="1"/>
  <c r="U4971" i="1"/>
  <c r="T4971" i="1"/>
  <c r="R4971" i="1"/>
  <c r="P4971" i="1"/>
  <c r="U4970" i="1"/>
  <c r="T4970" i="1"/>
  <c r="R4970" i="1"/>
  <c r="P4970" i="1"/>
  <c r="U4969" i="1"/>
  <c r="T4969" i="1"/>
  <c r="R4969" i="1"/>
  <c r="P4969" i="1"/>
  <c r="U4968" i="1"/>
  <c r="T4968" i="1"/>
  <c r="R4968" i="1"/>
  <c r="P4968" i="1"/>
  <c r="U4967" i="1"/>
  <c r="T4967" i="1"/>
  <c r="R4967" i="1"/>
  <c r="P4967" i="1"/>
  <c r="U4966" i="1"/>
  <c r="T4966" i="1"/>
  <c r="R4966" i="1"/>
  <c r="P4966" i="1"/>
  <c r="U4965" i="1"/>
  <c r="T4965" i="1"/>
  <c r="R4965" i="1"/>
  <c r="P4965" i="1"/>
  <c r="U4964" i="1"/>
  <c r="T4964" i="1"/>
  <c r="R4964" i="1"/>
  <c r="P4964" i="1"/>
  <c r="U4963" i="1"/>
  <c r="T4963" i="1"/>
  <c r="R4963" i="1"/>
  <c r="P4963" i="1"/>
  <c r="U4962" i="1"/>
  <c r="T4962" i="1"/>
  <c r="R4962" i="1"/>
  <c r="P4962" i="1"/>
  <c r="U4961" i="1"/>
  <c r="T4961" i="1"/>
  <c r="R4961" i="1"/>
  <c r="P4961" i="1"/>
  <c r="U4960" i="1"/>
  <c r="T4960" i="1"/>
  <c r="R4960" i="1"/>
  <c r="P4960" i="1"/>
  <c r="U4959" i="1"/>
  <c r="T4959" i="1"/>
  <c r="R4959" i="1"/>
  <c r="P4959" i="1"/>
  <c r="U4958" i="1"/>
  <c r="T4958" i="1"/>
  <c r="R4958" i="1"/>
  <c r="P4958" i="1"/>
  <c r="U4957" i="1"/>
  <c r="T4957" i="1"/>
  <c r="R4957" i="1"/>
  <c r="P4957" i="1"/>
  <c r="U4956" i="1"/>
  <c r="T4956" i="1"/>
  <c r="R4956" i="1"/>
  <c r="P4956" i="1"/>
  <c r="U4955" i="1"/>
  <c r="T4955" i="1"/>
  <c r="R4955" i="1"/>
  <c r="P4955" i="1"/>
  <c r="U4954" i="1"/>
  <c r="T4954" i="1"/>
  <c r="R4954" i="1"/>
  <c r="P4954" i="1"/>
  <c r="U4953" i="1"/>
  <c r="T4953" i="1"/>
  <c r="R4953" i="1"/>
  <c r="P4953" i="1"/>
  <c r="U4952" i="1"/>
  <c r="T4952" i="1"/>
  <c r="R4952" i="1"/>
  <c r="P4952" i="1"/>
  <c r="U4951" i="1"/>
  <c r="T4951" i="1"/>
  <c r="R4951" i="1"/>
  <c r="P4951" i="1"/>
  <c r="U4950" i="1"/>
  <c r="T4950" i="1"/>
  <c r="R4950" i="1"/>
  <c r="P4950" i="1"/>
  <c r="U4949" i="1"/>
  <c r="T4949" i="1"/>
  <c r="R4949" i="1"/>
  <c r="P4949" i="1"/>
  <c r="U4948" i="1"/>
  <c r="T4948" i="1"/>
  <c r="R4948" i="1"/>
  <c r="P4948" i="1"/>
  <c r="U4947" i="1"/>
  <c r="T4947" i="1"/>
  <c r="R4947" i="1"/>
  <c r="P4947" i="1"/>
  <c r="U4946" i="1"/>
  <c r="T4946" i="1"/>
  <c r="R4946" i="1"/>
  <c r="P4946" i="1"/>
  <c r="U4945" i="1"/>
  <c r="T4945" i="1"/>
  <c r="R4945" i="1"/>
  <c r="P4945" i="1"/>
  <c r="U4944" i="1"/>
  <c r="T4944" i="1"/>
  <c r="R4944" i="1"/>
  <c r="P4944" i="1"/>
  <c r="U4943" i="1"/>
  <c r="T4943" i="1"/>
  <c r="R4943" i="1"/>
  <c r="P4943" i="1"/>
  <c r="U4942" i="1"/>
  <c r="T4942" i="1"/>
  <c r="R4942" i="1"/>
  <c r="P4942" i="1"/>
  <c r="U4941" i="1"/>
  <c r="T4941" i="1"/>
  <c r="R4941" i="1"/>
  <c r="P4941" i="1"/>
  <c r="U4940" i="1"/>
  <c r="T4940" i="1"/>
  <c r="R4940" i="1"/>
  <c r="P4940" i="1"/>
  <c r="U4939" i="1"/>
  <c r="T4939" i="1"/>
  <c r="R4939" i="1"/>
  <c r="P4939" i="1"/>
  <c r="U4938" i="1"/>
  <c r="T4938" i="1"/>
  <c r="R4938" i="1"/>
  <c r="P4938" i="1"/>
  <c r="U4937" i="1"/>
  <c r="T4937" i="1"/>
  <c r="R4937" i="1"/>
  <c r="P4937" i="1"/>
  <c r="U4936" i="1"/>
  <c r="T4936" i="1"/>
  <c r="R4936" i="1"/>
  <c r="P4936" i="1"/>
  <c r="U4935" i="1"/>
  <c r="T4935" i="1"/>
  <c r="R4935" i="1"/>
  <c r="P4935" i="1"/>
  <c r="U4934" i="1"/>
  <c r="T4934" i="1"/>
  <c r="R4934" i="1"/>
  <c r="P4934" i="1"/>
  <c r="U4933" i="1"/>
  <c r="T4933" i="1"/>
  <c r="R4933" i="1"/>
  <c r="P4933" i="1"/>
  <c r="U4932" i="1"/>
  <c r="T4932" i="1"/>
  <c r="R4932" i="1"/>
  <c r="P4932" i="1"/>
  <c r="U4931" i="1"/>
  <c r="T4931" i="1"/>
  <c r="R4931" i="1"/>
  <c r="P4931" i="1"/>
  <c r="U4930" i="1"/>
  <c r="T4930" i="1"/>
  <c r="R4930" i="1"/>
  <c r="P4930" i="1"/>
  <c r="U4929" i="1"/>
  <c r="T4929" i="1"/>
  <c r="R4929" i="1"/>
  <c r="P4929" i="1"/>
  <c r="U4928" i="1"/>
  <c r="T4928" i="1"/>
  <c r="R4928" i="1"/>
  <c r="P4928" i="1"/>
  <c r="U4927" i="1"/>
  <c r="T4927" i="1"/>
  <c r="R4927" i="1"/>
  <c r="P4927" i="1"/>
  <c r="U4926" i="1"/>
  <c r="T4926" i="1"/>
  <c r="R4926" i="1"/>
  <c r="P4926" i="1"/>
  <c r="U4925" i="1"/>
  <c r="T4925" i="1"/>
  <c r="R4925" i="1"/>
  <c r="P4925" i="1"/>
  <c r="U4924" i="1"/>
  <c r="T4924" i="1"/>
  <c r="R4924" i="1"/>
  <c r="P4924" i="1"/>
  <c r="U4923" i="1"/>
  <c r="T4923" i="1"/>
  <c r="R4923" i="1"/>
  <c r="P4923" i="1"/>
  <c r="U4922" i="1"/>
  <c r="T4922" i="1"/>
  <c r="R4922" i="1"/>
  <c r="P4922" i="1"/>
  <c r="U4921" i="1"/>
  <c r="T4921" i="1"/>
  <c r="R4921" i="1"/>
  <c r="P4921" i="1"/>
  <c r="U4920" i="1"/>
  <c r="T4920" i="1"/>
  <c r="R4920" i="1"/>
  <c r="P4920" i="1"/>
  <c r="U4919" i="1"/>
  <c r="T4919" i="1"/>
  <c r="R4919" i="1"/>
  <c r="P4919" i="1"/>
  <c r="U4918" i="1"/>
  <c r="T4918" i="1"/>
  <c r="R4918" i="1"/>
  <c r="P4918" i="1"/>
  <c r="U4917" i="1"/>
  <c r="T4917" i="1"/>
  <c r="R4917" i="1"/>
  <c r="P4917" i="1"/>
  <c r="U4916" i="1"/>
  <c r="T4916" i="1"/>
  <c r="R4916" i="1"/>
  <c r="P4916" i="1"/>
  <c r="U4915" i="1"/>
  <c r="T4915" i="1"/>
  <c r="R4915" i="1"/>
  <c r="P4915" i="1"/>
  <c r="U4914" i="1"/>
  <c r="T4914" i="1"/>
  <c r="R4914" i="1"/>
  <c r="P4914" i="1"/>
  <c r="U4913" i="1"/>
  <c r="T4913" i="1"/>
  <c r="R4913" i="1"/>
  <c r="P4913" i="1"/>
  <c r="U4912" i="1"/>
  <c r="T4912" i="1"/>
  <c r="R4912" i="1"/>
  <c r="P4912" i="1"/>
  <c r="U4911" i="1"/>
  <c r="T4911" i="1"/>
  <c r="R4911" i="1"/>
  <c r="P4911" i="1"/>
  <c r="U4910" i="1"/>
  <c r="T4910" i="1"/>
  <c r="R4910" i="1"/>
  <c r="P4910" i="1"/>
  <c r="U4909" i="1"/>
  <c r="T4909" i="1"/>
  <c r="R4909" i="1"/>
  <c r="P4909" i="1"/>
  <c r="U4908" i="1"/>
  <c r="T4908" i="1"/>
  <c r="R4908" i="1"/>
  <c r="P4908" i="1"/>
  <c r="U4907" i="1"/>
  <c r="T4907" i="1"/>
  <c r="R4907" i="1"/>
  <c r="P4907" i="1"/>
  <c r="U4906" i="1"/>
  <c r="T4906" i="1"/>
  <c r="R4906" i="1"/>
  <c r="P4906" i="1"/>
  <c r="U4905" i="1"/>
  <c r="T4905" i="1"/>
  <c r="R4905" i="1"/>
  <c r="P4905" i="1"/>
  <c r="U4904" i="1"/>
  <c r="T4904" i="1"/>
  <c r="R4904" i="1"/>
  <c r="P4904" i="1"/>
  <c r="U4903" i="1"/>
  <c r="T4903" i="1"/>
  <c r="R4903" i="1"/>
  <c r="P4903" i="1"/>
  <c r="U4902" i="1"/>
  <c r="T4902" i="1"/>
  <c r="R4902" i="1"/>
  <c r="P4902" i="1"/>
  <c r="U4901" i="1"/>
  <c r="T4901" i="1"/>
  <c r="R4901" i="1"/>
  <c r="P4901" i="1"/>
  <c r="U4900" i="1"/>
  <c r="T4900" i="1"/>
  <c r="R4900" i="1"/>
  <c r="P4900" i="1"/>
  <c r="U4899" i="1"/>
  <c r="T4899" i="1"/>
  <c r="R4899" i="1"/>
  <c r="P4899" i="1"/>
  <c r="U4898" i="1"/>
  <c r="T4898" i="1"/>
  <c r="R4898" i="1"/>
  <c r="P4898" i="1"/>
  <c r="U4897" i="1"/>
  <c r="T4897" i="1"/>
  <c r="R4897" i="1"/>
  <c r="P4897" i="1"/>
  <c r="U4896" i="1"/>
  <c r="T4896" i="1"/>
  <c r="R4896" i="1"/>
  <c r="P4896" i="1"/>
  <c r="U4895" i="1"/>
  <c r="T4895" i="1"/>
  <c r="R4895" i="1"/>
  <c r="P4895" i="1"/>
  <c r="U4894" i="1"/>
  <c r="T4894" i="1"/>
  <c r="R4894" i="1"/>
  <c r="P4894" i="1"/>
  <c r="U4893" i="1"/>
  <c r="T4893" i="1"/>
  <c r="R4893" i="1"/>
  <c r="P4893" i="1"/>
  <c r="U4892" i="1"/>
  <c r="T4892" i="1"/>
  <c r="R4892" i="1"/>
  <c r="P4892" i="1"/>
  <c r="U4891" i="1"/>
  <c r="T4891" i="1"/>
  <c r="R4891" i="1"/>
  <c r="P4891" i="1"/>
  <c r="U4890" i="1"/>
  <c r="T4890" i="1"/>
  <c r="R4890" i="1"/>
  <c r="P4890" i="1"/>
  <c r="U4889" i="1"/>
  <c r="T4889" i="1"/>
  <c r="R4889" i="1"/>
  <c r="P4889" i="1"/>
  <c r="U4888" i="1"/>
  <c r="T4888" i="1"/>
  <c r="R4888" i="1"/>
  <c r="P4888" i="1"/>
  <c r="U4887" i="1"/>
  <c r="T4887" i="1"/>
  <c r="R4887" i="1"/>
  <c r="P4887" i="1"/>
  <c r="U4886" i="1"/>
  <c r="T4886" i="1"/>
  <c r="R4886" i="1"/>
  <c r="P4886" i="1"/>
  <c r="U4885" i="1"/>
  <c r="T4885" i="1"/>
  <c r="R4885" i="1"/>
  <c r="P4885" i="1"/>
  <c r="U4884" i="1"/>
  <c r="T4884" i="1"/>
  <c r="R4884" i="1"/>
  <c r="P4884" i="1"/>
  <c r="U4883" i="1"/>
  <c r="T4883" i="1"/>
  <c r="R4883" i="1"/>
  <c r="P4883" i="1"/>
  <c r="U4882" i="1"/>
  <c r="T4882" i="1"/>
  <c r="R4882" i="1"/>
  <c r="P4882" i="1"/>
  <c r="U4881" i="1"/>
  <c r="T4881" i="1"/>
  <c r="R4881" i="1"/>
  <c r="P4881" i="1"/>
  <c r="U4880" i="1"/>
  <c r="T4880" i="1"/>
  <c r="R4880" i="1"/>
  <c r="P4880" i="1"/>
  <c r="U4879" i="1"/>
  <c r="T4879" i="1"/>
  <c r="R4879" i="1"/>
  <c r="P4879" i="1"/>
  <c r="U4878" i="1"/>
  <c r="T4878" i="1"/>
  <c r="R4878" i="1"/>
  <c r="P4878" i="1"/>
  <c r="U4877" i="1"/>
  <c r="T4877" i="1"/>
  <c r="R4877" i="1"/>
  <c r="P4877" i="1"/>
  <c r="U4876" i="1"/>
  <c r="T4876" i="1"/>
  <c r="R4876" i="1"/>
  <c r="P4876" i="1"/>
  <c r="U4875" i="1"/>
  <c r="T4875" i="1"/>
  <c r="R4875" i="1"/>
  <c r="P4875" i="1"/>
  <c r="U4874" i="1"/>
  <c r="T4874" i="1"/>
  <c r="R4874" i="1"/>
  <c r="P4874" i="1"/>
  <c r="U4873" i="1"/>
  <c r="T4873" i="1"/>
  <c r="R4873" i="1"/>
  <c r="P4873" i="1"/>
  <c r="U4872" i="1"/>
  <c r="T4872" i="1"/>
  <c r="R4872" i="1"/>
  <c r="P4872" i="1"/>
  <c r="U4871" i="1"/>
  <c r="T4871" i="1"/>
  <c r="R4871" i="1"/>
  <c r="P4871" i="1"/>
  <c r="U4870" i="1"/>
  <c r="T4870" i="1"/>
  <c r="R4870" i="1"/>
  <c r="P4870" i="1"/>
  <c r="U4869" i="1"/>
  <c r="T4869" i="1"/>
  <c r="R4869" i="1"/>
  <c r="P4869" i="1"/>
  <c r="U4868" i="1"/>
  <c r="T4868" i="1"/>
  <c r="R4868" i="1"/>
  <c r="P4868" i="1"/>
  <c r="U4867" i="1"/>
  <c r="T4867" i="1"/>
  <c r="R4867" i="1"/>
  <c r="P4867" i="1"/>
  <c r="U4866" i="1"/>
  <c r="T4866" i="1"/>
  <c r="R4866" i="1"/>
  <c r="P4866" i="1"/>
  <c r="U4865" i="1"/>
  <c r="T4865" i="1"/>
  <c r="R4865" i="1"/>
  <c r="P4865" i="1"/>
  <c r="U4864" i="1"/>
  <c r="T4864" i="1"/>
  <c r="R4864" i="1"/>
  <c r="P4864" i="1"/>
  <c r="U4863" i="1"/>
  <c r="T4863" i="1"/>
  <c r="R4863" i="1"/>
  <c r="P4863" i="1"/>
  <c r="U4862" i="1"/>
  <c r="T4862" i="1"/>
  <c r="R4862" i="1"/>
  <c r="P4862" i="1"/>
  <c r="U4861" i="1"/>
  <c r="T4861" i="1"/>
  <c r="R4861" i="1"/>
  <c r="P4861" i="1"/>
  <c r="U4860" i="1"/>
  <c r="T4860" i="1"/>
  <c r="R4860" i="1"/>
  <c r="P4860" i="1"/>
  <c r="U4859" i="1"/>
  <c r="T4859" i="1"/>
  <c r="R4859" i="1"/>
  <c r="P4859" i="1"/>
  <c r="U4858" i="1"/>
  <c r="T4858" i="1"/>
  <c r="R4858" i="1"/>
  <c r="P4858" i="1"/>
  <c r="U4857" i="1"/>
  <c r="T4857" i="1"/>
  <c r="R4857" i="1"/>
  <c r="P4857" i="1"/>
  <c r="U4856" i="1"/>
  <c r="T4856" i="1"/>
  <c r="R4856" i="1"/>
  <c r="P4856" i="1"/>
  <c r="U4855" i="1"/>
  <c r="T4855" i="1"/>
  <c r="R4855" i="1"/>
  <c r="P4855" i="1"/>
  <c r="U4854" i="1"/>
  <c r="T4854" i="1"/>
  <c r="R4854" i="1"/>
  <c r="P4854" i="1"/>
  <c r="U4853" i="1"/>
  <c r="T4853" i="1"/>
  <c r="R4853" i="1"/>
  <c r="P4853" i="1"/>
  <c r="U4852" i="1"/>
  <c r="T4852" i="1"/>
  <c r="R4852" i="1"/>
  <c r="P4852" i="1"/>
  <c r="U4851" i="1"/>
  <c r="T4851" i="1"/>
  <c r="R4851" i="1"/>
  <c r="P4851" i="1"/>
  <c r="U4850" i="1"/>
  <c r="T4850" i="1"/>
  <c r="R4850" i="1"/>
  <c r="P4850" i="1"/>
  <c r="U4849" i="1"/>
  <c r="T4849" i="1"/>
  <c r="R4849" i="1"/>
  <c r="P4849" i="1"/>
  <c r="U4848" i="1"/>
  <c r="T4848" i="1"/>
  <c r="R4848" i="1"/>
  <c r="P4848" i="1"/>
  <c r="U4847" i="1"/>
  <c r="T4847" i="1"/>
  <c r="R4847" i="1"/>
  <c r="P4847" i="1"/>
  <c r="U4846" i="1"/>
  <c r="T4846" i="1"/>
  <c r="R4846" i="1"/>
  <c r="P4846" i="1"/>
  <c r="U4845" i="1"/>
  <c r="T4845" i="1"/>
  <c r="R4845" i="1"/>
  <c r="P4845" i="1"/>
  <c r="U4844" i="1"/>
  <c r="T4844" i="1"/>
  <c r="R4844" i="1"/>
  <c r="P4844" i="1"/>
  <c r="U4843" i="1"/>
  <c r="T4843" i="1"/>
  <c r="R4843" i="1"/>
  <c r="P4843" i="1"/>
  <c r="U4842" i="1"/>
  <c r="T4842" i="1"/>
  <c r="R4842" i="1"/>
  <c r="P4842" i="1"/>
  <c r="U4841" i="1"/>
  <c r="T4841" i="1"/>
  <c r="R4841" i="1"/>
  <c r="P4841" i="1"/>
  <c r="U4840" i="1"/>
  <c r="T4840" i="1"/>
  <c r="R4840" i="1"/>
  <c r="P4840" i="1"/>
  <c r="U4839" i="1"/>
  <c r="T4839" i="1"/>
  <c r="R4839" i="1"/>
  <c r="P4839" i="1"/>
  <c r="U4838" i="1"/>
  <c r="T4838" i="1"/>
  <c r="R4838" i="1"/>
  <c r="P4838" i="1"/>
  <c r="U4837" i="1"/>
  <c r="T4837" i="1"/>
  <c r="R4837" i="1"/>
  <c r="P4837" i="1"/>
  <c r="U4836" i="1"/>
  <c r="T4836" i="1"/>
  <c r="R4836" i="1"/>
  <c r="P4836" i="1"/>
  <c r="U4835" i="1"/>
  <c r="T4835" i="1"/>
  <c r="R4835" i="1"/>
  <c r="P4835" i="1"/>
  <c r="U4834" i="1"/>
  <c r="T4834" i="1"/>
  <c r="R4834" i="1"/>
  <c r="P4834" i="1"/>
  <c r="U4833" i="1"/>
  <c r="T4833" i="1"/>
  <c r="R4833" i="1"/>
  <c r="P4833" i="1"/>
  <c r="U4832" i="1"/>
  <c r="T4832" i="1"/>
  <c r="R4832" i="1"/>
  <c r="P4832" i="1"/>
  <c r="U4831" i="1"/>
  <c r="T4831" i="1"/>
  <c r="R4831" i="1"/>
  <c r="P4831" i="1"/>
  <c r="U4830" i="1"/>
  <c r="T4830" i="1"/>
  <c r="R4830" i="1"/>
  <c r="P4830" i="1"/>
  <c r="U4829" i="1"/>
  <c r="T4829" i="1"/>
  <c r="R4829" i="1"/>
  <c r="P4829" i="1"/>
  <c r="U4828" i="1"/>
  <c r="T4828" i="1"/>
  <c r="R4828" i="1"/>
  <c r="P4828" i="1"/>
  <c r="U4827" i="1"/>
  <c r="T4827" i="1"/>
  <c r="R4827" i="1"/>
  <c r="P4827" i="1"/>
  <c r="U4826" i="1"/>
  <c r="T4826" i="1"/>
  <c r="R4826" i="1"/>
  <c r="P4826" i="1"/>
  <c r="U4825" i="1"/>
  <c r="T4825" i="1"/>
  <c r="R4825" i="1"/>
  <c r="P4825" i="1"/>
  <c r="U4824" i="1"/>
  <c r="T4824" i="1"/>
  <c r="R4824" i="1"/>
  <c r="P4824" i="1"/>
  <c r="U4823" i="1"/>
  <c r="T4823" i="1"/>
  <c r="R4823" i="1"/>
  <c r="P4823" i="1"/>
  <c r="U4822" i="1"/>
  <c r="T4822" i="1"/>
  <c r="R4822" i="1"/>
  <c r="P4822" i="1"/>
  <c r="U4821" i="1"/>
  <c r="T4821" i="1"/>
  <c r="R4821" i="1"/>
  <c r="P4821" i="1"/>
  <c r="U4820" i="1"/>
  <c r="T4820" i="1"/>
  <c r="R4820" i="1"/>
  <c r="P4820" i="1"/>
  <c r="U4819" i="1"/>
  <c r="T4819" i="1"/>
  <c r="R4819" i="1"/>
  <c r="P4819" i="1"/>
  <c r="U4818" i="1"/>
  <c r="T4818" i="1"/>
  <c r="R4818" i="1"/>
  <c r="P4818" i="1"/>
  <c r="U4817" i="1"/>
  <c r="T4817" i="1"/>
  <c r="R4817" i="1"/>
  <c r="P4817" i="1"/>
  <c r="U4816" i="1"/>
  <c r="T4816" i="1"/>
  <c r="R4816" i="1"/>
  <c r="P4816" i="1"/>
  <c r="U4815" i="1"/>
  <c r="T4815" i="1"/>
  <c r="R4815" i="1"/>
  <c r="P4815" i="1"/>
  <c r="U4814" i="1"/>
  <c r="T4814" i="1"/>
  <c r="R4814" i="1"/>
  <c r="P4814" i="1"/>
  <c r="U4813" i="1"/>
  <c r="T4813" i="1"/>
  <c r="R4813" i="1"/>
  <c r="P4813" i="1"/>
  <c r="U4812" i="1"/>
  <c r="T4812" i="1"/>
  <c r="R4812" i="1"/>
  <c r="P4812" i="1"/>
  <c r="U4811" i="1"/>
  <c r="T4811" i="1"/>
  <c r="R4811" i="1"/>
  <c r="P4811" i="1"/>
  <c r="U4810" i="1"/>
  <c r="T4810" i="1"/>
  <c r="R4810" i="1"/>
  <c r="P4810" i="1"/>
  <c r="U4809" i="1"/>
  <c r="T4809" i="1"/>
  <c r="R4809" i="1"/>
  <c r="P4809" i="1"/>
  <c r="U4808" i="1"/>
  <c r="T4808" i="1"/>
  <c r="R4808" i="1"/>
  <c r="P4808" i="1"/>
  <c r="U4807" i="1"/>
  <c r="T4807" i="1"/>
  <c r="R4807" i="1"/>
  <c r="P4807" i="1"/>
  <c r="U4806" i="1"/>
  <c r="T4806" i="1"/>
  <c r="R4806" i="1"/>
  <c r="P4806" i="1"/>
  <c r="U4805" i="1"/>
  <c r="T4805" i="1"/>
  <c r="R4805" i="1"/>
  <c r="P4805" i="1"/>
  <c r="U4804" i="1"/>
  <c r="T4804" i="1"/>
  <c r="R4804" i="1"/>
  <c r="P4804" i="1"/>
  <c r="U4803" i="1"/>
  <c r="T4803" i="1"/>
  <c r="R4803" i="1"/>
  <c r="P4803" i="1"/>
  <c r="U4802" i="1"/>
  <c r="T4802" i="1"/>
  <c r="R4802" i="1"/>
  <c r="P4802" i="1"/>
  <c r="U4801" i="1"/>
  <c r="T4801" i="1"/>
  <c r="R4801" i="1"/>
  <c r="P4801" i="1"/>
  <c r="U4800" i="1"/>
  <c r="T4800" i="1"/>
  <c r="R4800" i="1"/>
  <c r="P4800" i="1"/>
  <c r="U4799" i="1"/>
  <c r="T4799" i="1"/>
  <c r="R4799" i="1"/>
  <c r="P4799" i="1"/>
  <c r="U4798" i="1"/>
  <c r="T4798" i="1"/>
  <c r="R4798" i="1"/>
  <c r="P4798" i="1"/>
  <c r="U4797" i="1"/>
  <c r="T4797" i="1"/>
  <c r="R4797" i="1"/>
  <c r="P4797" i="1"/>
  <c r="U4796" i="1"/>
  <c r="T4796" i="1"/>
  <c r="R4796" i="1"/>
  <c r="P4796" i="1"/>
  <c r="U4795" i="1"/>
  <c r="T4795" i="1"/>
  <c r="R4795" i="1"/>
  <c r="P4795" i="1"/>
  <c r="U4794" i="1"/>
  <c r="T4794" i="1"/>
  <c r="R4794" i="1"/>
  <c r="P4794" i="1"/>
  <c r="U4793" i="1"/>
  <c r="T4793" i="1"/>
  <c r="R4793" i="1"/>
  <c r="P4793" i="1"/>
  <c r="U4792" i="1"/>
  <c r="T4792" i="1"/>
  <c r="R4792" i="1"/>
  <c r="P4792" i="1"/>
  <c r="U4791" i="1"/>
  <c r="T4791" i="1"/>
  <c r="R4791" i="1"/>
  <c r="P4791" i="1"/>
  <c r="U4790" i="1"/>
  <c r="T4790" i="1"/>
  <c r="R4790" i="1"/>
  <c r="P4790" i="1"/>
  <c r="U4789" i="1"/>
  <c r="T4789" i="1"/>
  <c r="R4789" i="1"/>
  <c r="P4789" i="1"/>
  <c r="U4788" i="1"/>
  <c r="T4788" i="1"/>
  <c r="R4788" i="1"/>
  <c r="P4788" i="1"/>
  <c r="U4787" i="1"/>
  <c r="T4787" i="1"/>
  <c r="R4787" i="1"/>
  <c r="P4787" i="1"/>
  <c r="U4786" i="1"/>
  <c r="T4786" i="1"/>
  <c r="R4786" i="1"/>
  <c r="P4786" i="1"/>
  <c r="U4785" i="1"/>
  <c r="T4785" i="1"/>
  <c r="R4785" i="1"/>
  <c r="P4785" i="1"/>
  <c r="U4784" i="1"/>
  <c r="T4784" i="1"/>
  <c r="R4784" i="1"/>
  <c r="P4784" i="1"/>
  <c r="U4783" i="1"/>
  <c r="T4783" i="1"/>
  <c r="R4783" i="1"/>
  <c r="P4783" i="1"/>
  <c r="U4782" i="1"/>
  <c r="T4782" i="1"/>
  <c r="R4782" i="1"/>
  <c r="P4782" i="1"/>
  <c r="U4781" i="1"/>
  <c r="T4781" i="1"/>
  <c r="R4781" i="1"/>
  <c r="P4781" i="1"/>
  <c r="U4780" i="1"/>
  <c r="T4780" i="1"/>
  <c r="R4780" i="1"/>
  <c r="P4780" i="1"/>
  <c r="U4779" i="1"/>
  <c r="T4779" i="1"/>
  <c r="R4779" i="1"/>
  <c r="P4779" i="1"/>
  <c r="U4778" i="1"/>
  <c r="T4778" i="1"/>
  <c r="R4778" i="1"/>
  <c r="P4778" i="1"/>
  <c r="U4777" i="1"/>
  <c r="T4777" i="1"/>
  <c r="R4777" i="1"/>
  <c r="P4777" i="1"/>
  <c r="U4776" i="1"/>
  <c r="T4776" i="1"/>
  <c r="R4776" i="1"/>
  <c r="P4776" i="1"/>
  <c r="U4775" i="1"/>
  <c r="T4775" i="1"/>
  <c r="R4775" i="1"/>
  <c r="P4775" i="1"/>
  <c r="U4774" i="1"/>
  <c r="T4774" i="1"/>
  <c r="R4774" i="1"/>
  <c r="P4774" i="1"/>
  <c r="U4773" i="1"/>
  <c r="T4773" i="1"/>
  <c r="R4773" i="1"/>
  <c r="P4773" i="1"/>
  <c r="U4772" i="1"/>
  <c r="T4772" i="1"/>
  <c r="R4772" i="1"/>
  <c r="P4772" i="1"/>
  <c r="U4771" i="1"/>
  <c r="T4771" i="1"/>
  <c r="R4771" i="1"/>
  <c r="P4771" i="1"/>
  <c r="U4770" i="1"/>
  <c r="T4770" i="1"/>
  <c r="R4770" i="1"/>
  <c r="P4770" i="1"/>
  <c r="U4769" i="1"/>
  <c r="T4769" i="1"/>
  <c r="R4769" i="1"/>
  <c r="P4769" i="1"/>
  <c r="U4768" i="1"/>
  <c r="T4768" i="1"/>
  <c r="R4768" i="1"/>
  <c r="P4768" i="1"/>
  <c r="U4767" i="1"/>
  <c r="T4767" i="1"/>
  <c r="R4767" i="1"/>
  <c r="P4767" i="1"/>
  <c r="U4766" i="1"/>
  <c r="T4766" i="1"/>
  <c r="R4766" i="1"/>
  <c r="P4766" i="1"/>
  <c r="U4765" i="1"/>
  <c r="T4765" i="1"/>
  <c r="R4765" i="1"/>
  <c r="P4765" i="1"/>
  <c r="U4764" i="1"/>
  <c r="T4764" i="1"/>
  <c r="R4764" i="1"/>
  <c r="P4764" i="1"/>
  <c r="U4763" i="1"/>
  <c r="T4763" i="1"/>
  <c r="R4763" i="1"/>
  <c r="P4763" i="1"/>
  <c r="U4762" i="1"/>
  <c r="T4762" i="1"/>
  <c r="R4762" i="1"/>
  <c r="P4762" i="1"/>
  <c r="U4761" i="1"/>
  <c r="T4761" i="1"/>
  <c r="R4761" i="1"/>
  <c r="P4761" i="1"/>
  <c r="U4760" i="1"/>
  <c r="T4760" i="1"/>
  <c r="R4760" i="1"/>
  <c r="P4760" i="1"/>
  <c r="U4759" i="1"/>
  <c r="T4759" i="1"/>
  <c r="R4759" i="1"/>
  <c r="P4759" i="1"/>
  <c r="U4758" i="1"/>
  <c r="T4758" i="1"/>
  <c r="R4758" i="1"/>
  <c r="P4758" i="1"/>
  <c r="U4757" i="1"/>
  <c r="T4757" i="1"/>
  <c r="R4757" i="1"/>
  <c r="P4757" i="1"/>
  <c r="U4756" i="1"/>
  <c r="T4756" i="1"/>
  <c r="R4756" i="1"/>
  <c r="P4756" i="1"/>
  <c r="U4755" i="1"/>
  <c r="T4755" i="1"/>
  <c r="R4755" i="1"/>
  <c r="P4755" i="1"/>
  <c r="U4754" i="1"/>
  <c r="T4754" i="1"/>
  <c r="R4754" i="1"/>
  <c r="P4754" i="1"/>
  <c r="U4753" i="1"/>
  <c r="T4753" i="1"/>
  <c r="R4753" i="1"/>
  <c r="P4753" i="1"/>
  <c r="U4752" i="1"/>
  <c r="T4752" i="1"/>
  <c r="R4752" i="1"/>
  <c r="P4752" i="1"/>
  <c r="U4751" i="1"/>
  <c r="T4751" i="1"/>
  <c r="R4751" i="1"/>
  <c r="P4751" i="1"/>
  <c r="U4750" i="1"/>
  <c r="T4750" i="1"/>
  <c r="R4750" i="1"/>
  <c r="P4750" i="1"/>
  <c r="U4749" i="1"/>
  <c r="T4749" i="1"/>
  <c r="R4749" i="1"/>
  <c r="P4749" i="1"/>
  <c r="U4748" i="1"/>
  <c r="T4748" i="1"/>
  <c r="R4748" i="1"/>
  <c r="P4748" i="1"/>
  <c r="U4747" i="1"/>
  <c r="T4747" i="1"/>
  <c r="R4747" i="1"/>
  <c r="P4747" i="1"/>
  <c r="U4746" i="1"/>
  <c r="T4746" i="1"/>
  <c r="R4746" i="1"/>
  <c r="P4746" i="1"/>
  <c r="U4745" i="1"/>
  <c r="T4745" i="1"/>
  <c r="R4745" i="1"/>
  <c r="P4745" i="1"/>
  <c r="U4744" i="1"/>
  <c r="T4744" i="1"/>
  <c r="R4744" i="1"/>
  <c r="P4744" i="1"/>
  <c r="U4743" i="1"/>
  <c r="T4743" i="1"/>
  <c r="R4743" i="1"/>
  <c r="P4743" i="1"/>
  <c r="U4742" i="1"/>
  <c r="T4742" i="1"/>
  <c r="R4742" i="1"/>
  <c r="P4742" i="1"/>
  <c r="U4741" i="1"/>
  <c r="T4741" i="1"/>
  <c r="R4741" i="1"/>
  <c r="P4741" i="1"/>
  <c r="U4740" i="1"/>
  <c r="T4740" i="1"/>
  <c r="R4740" i="1"/>
  <c r="P4740" i="1"/>
  <c r="U4739" i="1"/>
  <c r="T4739" i="1"/>
  <c r="R4739" i="1"/>
  <c r="P4739" i="1"/>
  <c r="U4738" i="1"/>
  <c r="T4738" i="1"/>
  <c r="R4738" i="1"/>
  <c r="P4738" i="1"/>
  <c r="U4737" i="1"/>
  <c r="T4737" i="1"/>
  <c r="R4737" i="1"/>
  <c r="P4737" i="1"/>
  <c r="U4736" i="1"/>
  <c r="T4736" i="1"/>
  <c r="R4736" i="1"/>
  <c r="P4736" i="1"/>
  <c r="U4735" i="1"/>
  <c r="T4735" i="1"/>
  <c r="R4735" i="1"/>
  <c r="P4735" i="1"/>
  <c r="U4734" i="1"/>
  <c r="T4734" i="1"/>
  <c r="R4734" i="1"/>
  <c r="P4734" i="1"/>
  <c r="U4733" i="1"/>
  <c r="T4733" i="1"/>
  <c r="R4733" i="1"/>
  <c r="P4733" i="1"/>
  <c r="U4732" i="1"/>
  <c r="T4732" i="1"/>
  <c r="R4732" i="1"/>
  <c r="P4732" i="1"/>
  <c r="U4731" i="1"/>
  <c r="T4731" i="1"/>
  <c r="R4731" i="1"/>
  <c r="P4731" i="1"/>
  <c r="U4730" i="1"/>
  <c r="T4730" i="1"/>
  <c r="R4730" i="1"/>
  <c r="P4730" i="1"/>
  <c r="U4729" i="1"/>
  <c r="T4729" i="1"/>
  <c r="R4729" i="1"/>
  <c r="P4729" i="1"/>
  <c r="U4728" i="1"/>
  <c r="T4728" i="1"/>
  <c r="R4728" i="1"/>
  <c r="P4728" i="1"/>
  <c r="U4727" i="1"/>
  <c r="T4727" i="1"/>
  <c r="R4727" i="1"/>
  <c r="P4727" i="1"/>
  <c r="U4726" i="1"/>
  <c r="T4726" i="1"/>
  <c r="R4726" i="1"/>
  <c r="P4726" i="1"/>
  <c r="U4725" i="1"/>
  <c r="T4725" i="1"/>
  <c r="R4725" i="1"/>
  <c r="P4725" i="1"/>
  <c r="U4724" i="1"/>
  <c r="T4724" i="1"/>
  <c r="R4724" i="1"/>
  <c r="P4724" i="1"/>
  <c r="U4723" i="1"/>
  <c r="T4723" i="1"/>
  <c r="R4723" i="1"/>
  <c r="P4723" i="1"/>
  <c r="U4722" i="1"/>
  <c r="T4722" i="1"/>
  <c r="R4722" i="1"/>
  <c r="P4722" i="1"/>
  <c r="U4721" i="1"/>
  <c r="T4721" i="1"/>
  <c r="R4721" i="1"/>
  <c r="P4721" i="1"/>
  <c r="U4720" i="1"/>
  <c r="T4720" i="1"/>
  <c r="R4720" i="1"/>
  <c r="P4720" i="1"/>
  <c r="U4719" i="1"/>
  <c r="T4719" i="1"/>
  <c r="R4719" i="1"/>
  <c r="P4719" i="1"/>
  <c r="U4718" i="1"/>
  <c r="T4718" i="1"/>
  <c r="R4718" i="1"/>
  <c r="P4718" i="1"/>
  <c r="U4717" i="1"/>
  <c r="T4717" i="1"/>
  <c r="R4717" i="1"/>
  <c r="P4717" i="1"/>
  <c r="U4716" i="1"/>
  <c r="T4716" i="1"/>
  <c r="R4716" i="1"/>
  <c r="P4716" i="1"/>
  <c r="U4715" i="1"/>
  <c r="T4715" i="1"/>
  <c r="R4715" i="1"/>
  <c r="P4715" i="1"/>
  <c r="U4714" i="1"/>
  <c r="T4714" i="1"/>
  <c r="R4714" i="1"/>
  <c r="P4714" i="1"/>
  <c r="U4713" i="1"/>
  <c r="T4713" i="1"/>
  <c r="R4713" i="1"/>
  <c r="P4713" i="1"/>
  <c r="U4712" i="1"/>
  <c r="T4712" i="1"/>
  <c r="R4712" i="1"/>
  <c r="P4712" i="1"/>
  <c r="U4711" i="1"/>
  <c r="T4711" i="1"/>
  <c r="R4711" i="1"/>
  <c r="P4711" i="1"/>
  <c r="U4710" i="1"/>
  <c r="T4710" i="1"/>
  <c r="R4710" i="1"/>
  <c r="P4710" i="1"/>
  <c r="U4709" i="1"/>
  <c r="T4709" i="1"/>
  <c r="R4709" i="1"/>
  <c r="P4709" i="1"/>
  <c r="U4708" i="1"/>
  <c r="T4708" i="1"/>
  <c r="R4708" i="1"/>
  <c r="P4708" i="1"/>
  <c r="U4707" i="1"/>
  <c r="T4707" i="1"/>
  <c r="R4707" i="1"/>
  <c r="P4707" i="1"/>
  <c r="U4706" i="1"/>
  <c r="T4706" i="1"/>
  <c r="R4706" i="1"/>
  <c r="P4706" i="1"/>
  <c r="U4705" i="1"/>
  <c r="T4705" i="1"/>
  <c r="R4705" i="1"/>
  <c r="P4705" i="1"/>
  <c r="U4704" i="1"/>
  <c r="T4704" i="1"/>
  <c r="R4704" i="1"/>
  <c r="P4704" i="1"/>
  <c r="U4703" i="1"/>
  <c r="T4703" i="1"/>
  <c r="R4703" i="1"/>
  <c r="P4703" i="1"/>
  <c r="U4702" i="1"/>
  <c r="T4702" i="1"/>
  <c r="R4702" i="1"/>
  <c r="P4702" i="1"/>
  <c r="U4701" i="1"/>
  <c r="T4701" i="1"/>
  <c r="R4701" i="1"/>
  <c r="P4701" i="1"/>
  <c r="U4700" i="1"/>
  <c r="T4700" i="1"/>
  <c r="R4700" i="1"/>
  <c r="P4700" i="1"/>
  <c r="U4699" i="1"/>
  <c r="T4699" i="1"/>
  <c r="R4699" i="1"/>
  <c r="P4699" i="1"/>
  <c r="U4698" i="1"/>
  <c r="T4698" i="1"/>
  <c r="R4698" i="1"/>
  <c r="P4698" i="1"/>
  <c r="U4697" i="1"/>
  <c r="T4697" i="1"/>
  <c r="R4697" i="1"/>
  <c r="P4697" i="1"/>
  <c r="U4696" i="1"/>
  <c r="T4696" i="1"/>
  <c r="R4696" i="1"/>
  <c r="P4696" i="1"/>
  <c r="U4695" i="1"/>
  <c r="T4695" i="1"/>
  <c r="R4695" i="1"/>
  <c r="P4695" i="1"/>
  <c r="U4694" i="1"/>
  <c r="T4694" i="1"/>
  <c r="R4694" i="1"/>
  <c r="P4694" i="1"/>
  <c r="U4693" i="1"/>
  <c r="T4693" i="1"/>
  <c r="R4693" i="1"/>
  <c r="P4693" i="1"/>
  <c r="U4692" i="1"/>
  <c r="T4692" i="1"/>
  <c r="R4692" i="1"/>
  <c r="P4692" i="1"/>
  <c r="U4691" i="1"/>
  <c r="T4691" i="1"/>
  <c r="R4691" i="1"/>
  <c r="P4691" i="1"/>
  <c r="U4690" i="1"/>
  <c r="T4690" i="1"/>
  <c r="R4690" i="1"/>
  <c r="P4690" i="1"/>
  <c r="U4689" i="1"/>
  <c r="T4689" i="1"/>
  <c r="R4689" i="1"/>
  <c r="P4689" i="1"/>
  <c r="U4688" i="1"/>
  <c r="T4688" i="1"/>
  <c r="R4688" i="1"/>
  <c r="P4688" i="1"/>
  <c r="U4687" i="1"/>
  <c r="T4687" i="1"/>
  <c r="R4687" i="1"/>
  <c r="P4687" i="1"/>
  <c r="U4686" i="1"/>
  <c r="T4686" i="1"/>
  <c r="R4686" i="1"/>
  <c r="P4686" i="1"/>
  <c r="U4685" i="1"/>
  <c r="T4685" i="1"/>
  <c r="R4685" i="1"/>
  <c r="P4685" i="1"/>
  <c r="U4684" i="1"/>
  <c r="T4684" i="1"/>
  <c r="R4684" i="1"/>
  <c r="P4684" i="1"/>
  <c r="U4683" i="1"/>
  <c r="T4683" i="1"/>
  <c r="R4683" i="1"/>
  <c r="P4683" i="1"/>
  <c r="U4682" i="1"/>
  <c r="T4682" i="1"/>
  <c r="R4682" i="1"/>
  <c r="P4682" i="1"/>
  <c r="U4681" i="1"/>
  <c r="T4681" i="1"/>
  <c r="R4681" i="1"/>
  <c r="P4681" i="1"/>
  <c r="U4680" i="1"/>
  <c r="T4680" i="1"/>
  <c r="R4680" i="1"/>
  <c r="P4680" i="1"/>
  <c r="U4679" i="1"/>
  <c r="T4679" i="1"/>
  <c r="R4679" i="1"/>
  <c r="P4679" i="1"/>
  <c r="U4678" i="1"/>
  <c r="T4678" i="1"/>
  <c r="R4678" i="1"/>
  <c r="P4678" i="1"/>
  <c r="U4677" i="1"/>
  <c r="T4677" i="1"/>
  <c r="R4677" i="1"/>
  <c r="P4677" i="1"/>
  <c r="U4676" i="1"/>
  <c r="T4676" i="1"/>
  <c r="R4676" i="1"/>
  <c r="P4676" i="1"/>
  <c r="U4675" i="1"/>
  <c r="T4675" i="1"/>
  <c r="R4675" i="1"/>
  <c r="P4675" i="1"/>
  <c r="U4674" i="1"/>
  <c r="T4674" i="1"/>
  <c r="R4674" i="1"/>
  <c r="P4674" i="1"/>
  <c r="U4673" i="1"/>
  <c r="T4673" i="1"/>
  <c r="R4673" i="1"/>
  <c r="P4673" i="1"/>
  <c r="U4672" i="1"/>
  <c r="T4672" i="1"/>
  <c r="R4672" i="1"/>
  <c r="P4672" i="1"/>
  <c r="U4671" i="1"/>
  <c r="T4671" i="1"/>
  <c r="R4671" i="1"/>
  <c r="P4671" i="1"/>
  <c r="U4670" i="1"/>
  <c r="T4670" i="1"/>
  <c r="R4670" i="1"/>
  <c r="P4670" i="1"/>
  <c r="U4669" i="1"/>
  <c r="T4669" i="1"/>
  <c r="R4669" i="1"/>
  <c r="P4669" i="1"/>
  <c r="U4668" i="1"/>
  <c r="T4668" i="1"/>
  <c r="R4668" i="1"/>
  <c r="P4668" i="1"/>
  <c r="U4667" i="1"/>
  <c r="T4667" i="1"/>
  <c r="R4667" i="1"/>
  <c r="P4667" i="1"/>
  <c r="U4666" i="1"/>
  <c r="T4666" i="1"/>
  <c r="R4666" i="1"/>
  <c r="P4666" i="1"/>
  <c r="U4665" i="1"/>
  <c r="T4665" i="1"/>
  <c r="R4665" i="1"/>
  <c r="P4665" i="1"/>
  <c r="U4664" i="1"/>
  <c r="T4664" i="1"/>
  <c r="R4664" i="1"/>
  <c r="P4664" i="1"/>
  <c r="U4663" i="1"/>
  <c r="T4663" i="1"/>
  <c r="R4663" i="1"/>
  <c r="P4663" i="1"/>
  <c r="U4662" i="1"/>
  <c r="T4662" i="1"/>
  <c r="R4662" i="1"/>
  <c r="P4662" i="1"/>
  <c r="U4661" i="1"/>
  <c r="T4661" i="1"/>
  <c r="R4661" i="1"/>
  <c r="P4661" i="1"/>
  <c r="U4660" i="1"/>
  <c r="T4660" i="1"/>
  <c r="R4660" i="1"/>
  <c r="P4660" i="1"/>
  <c r="U4659" i="1"/>
  <c r="T4659" i="1"/>
  <c r="R4659" i="1"/>
  <c r="P4659" i="1"/>
  <c r="U4658" i="1"/>
  <c r="T4658" i="1"/>
  <c r="R4658" i="1"/>
  <c r="P4658" i="1"/>
  <c r="U4657" i="1"/>
  <c r="T4657" i="1"/>
  <c r="R4657" i="1"/>
  <c r="P4657" i="1"/>
  <c r="U4656" i="1"/>
  <c r="T4656" i="1"/>
  <c r="R4656" i="1"/>
  <c r="P4656" i="1"/>
  <c r="U4655" i="1"/>
  <c r="T4655" i="1"/>
  <c r="R4655" i="1"/>
  <c r="P4655" i="1"/>
  <c r="U4654" i="1"/>
  <c r="T4654" i="1"/>
  <c r="R4654" i="1"/>
  <c r="P4654" i="1"/>
  <c r="U4653" i="1"/>
  <c r="T4653" i="1"/>
  <c r="R4653" i="1"/>
  <c r="P4653" i="1"/>
  <c r="U4652" i="1"/>
  <c r="T4652" i="1"/>
  <c r="R4652" i="1"/>
  <c r="P4652" i="1"/>
  <c r="U4651" i="1"/>
  <c r="T4651" i="1"/>
  <c r="R4651" i="1"/>
  <c r="P4651" i="1"/>
  <c r="U4650" i="1"/>
  <c r="T4650" i="1"/>
  <c r="R4650" i="1"/>
  <c r="P4650" i="1"/>
  <c r="U4649" i="1"/>
  <c r="T4649" i="1"/>
  <c r="R4649" i="1"/>
  <c r="P4649" i="1"/>
  <c r="U4648" i="1"/>
  <c r="T4648" i="1"/>
  <c r="R4648" i="1"/>
  <c r="P4648" i="1"/>
  <c r="U4647" i="1"/>
  <c r="T4647" i="1"/>
  <c r="R4647" i="1"/>
  <c r="P4647" i="1"/>
  <c r="U4646" i="1"/>
  <c r="T4646" i="1"/>
  <c r="R4646" i="1"/>
  <c r="P4646" i="1"/>
  <c r="U4645" i="1"/>
  <c r="T4645" i="1"/>
  <c r="R4645" i="1"/>
  <c r="P4645" i="1"/>
  <c r="U4644" i="1"/>
  <c r="T4644" i="1"/>
  <c r="R4644" i="1"/>
  <c r="P4644" i="1"/>
  <c r="U4643" i="1"/>
  <c r="T4643" i="1"/>
  <c r="R4643" i="1"/>
  <c r="P4643" i="1"/>
  <c r="U4642" i="1"/>
  <c r="T4642" i="1"/>
  <c r="R4642" i="1"/>
  <c r="P4642" i="1"/>
  <c r="U4641" i="1"/>
  <c r="T4641" i="1"/>
  <c r="R4641" i="1"/>
  <c r="P4641" i="1"/>
  <c r="U4640" i="1"/>
  <c r="T4640" i="1"/>
  <c r="R4640" i="1"/>
  <c r="P4640" i="1"/>
  <c r="U4639" i="1"/>
  <c r="T4639" i="1"/>
  <c r="R4639" i="1"/>
  <c r="P4639" i="1"/>
  <c r="U4638" i="1"/>
  <c r="T4638" i="1"/>
  <c r="R4638" i="1"/>
  <c r="P4638" i="1"/>
  <c r="U4637" i="1"/>
  <c r="T4637" i="1"/>
  <c r="R4637" i="1"/>
  <c r="P4637" i="1"/>
  <c r="U4636" i="1"/>
  <c r="T4636" i="1"/>
  <c r="R4636" i="1"/>
  <c r="P4636" i="1"/>
  <c r="U4635" i="1"/>
  <c r="T4635" i="1"/>
  <c r="R4635" i="1"/>
  <c r="P4635" i="1"/>
  <c r="U4634" i="1"/>
  <c r="T4634" i="1"/>
  <c r="R4634" i="1"/>
  <c r="P4634" i="1"/>
  <c r="U4633" i="1"/>
  <c r="T4633" i="1"/>
  <c r="R4633" i="1"/>
  <c r="P4633" i="1"/>
  <c r="U4632" i="1"/>
  <c r="T4632" i="1"/>
  <c r="R4632" i="1"/>
  <c r="P4632" i="1"/>
  <c r="U4631" i="1"/>
  <c r="T4631" i="1"/>
  <c r="R4631" i="1"/>
  <c r="P4631" i="1"/>
  <c r="U4630" i="1"/>
  <c r="T4630" i="1"/>
  <c r="R4630" i="1"/>
  <c r="P4630" i="1"/>
  <c r="U4629" i="1"/>
  <c r="T4629" i="1"/>
  <c r="R4629" i="1"/>
  <c r="P4629" i="1"/>
  <c r="U4628" i="1"/>
  <c r="T4628" i="1"/>
  <c r="R4628" i="1"/>
  <c r="P4628" i="1"/>
  <c r="U4627" i="1"/>
  <c r="T4627" i="1"/>
  <c r="R4627" i="1"/>
  <c r="P4627" i="1"/>
  <c r="U4626" i="1"/>
  <c r="T4626" i="1"/>
  <c r="R4626" i="1"/>
  <c r="P4626" i="1"/>
  <c r="U4625" i="1"/>
  <c r="T4625" i="1"/>
  <c r="R4625" i="1"/>
  <c r="P4625" i="1"/>
  <c r="U4624" i="1"/>
  <c r="T4624" i="1"/>
  <c r="R4624" i="1"/>
  <c r="P4624" i="1"/>
  <c r="U4623" i="1"/>
  <c r="T4623" i="1"/>
  <c r="R4623" i="1"/>
  <c r="P4623" i="1"/>
  <c r="U4622" i="1"/>
  <c r="T4622" i="1"/>
  <c r="R4622" i="1"/>
  <c r="P4622" i="1"/>
  <c r="U4621" i="1"/>
  <c r="T4621" i="1"/>
  <c r="R4621" i="1"/>
  <c r="P4621" i="1"/>
  <c r="U4620" i="1"/>
  <c r="T4620" i="1"/>
  <c r="R4620" i="1"/>
  <c r="P4620" i="1"/>
  <c r="U4619" i="1"/>
  <c r="T4619" i="1"/>
  <c r="R4619" i="1"/>
  <c r="P4619" i="1"/>
  <c r="U4618" i="1"/>
  <c r="T4618" i="1"/>
  <c r="R4618" i="1"/>
  <c r="P4618" i="1"/>
  <c r="U4617" i="1"/>
  <c r="T4617" i="1"/>
  <c r="R4617" i="1"/>
  <c r="P4617" i="1"/>
  <c r="U4616" i="1"/>
  <c r="T4616" i="1"/>
  <c r="R4616" i="1"/>
  <c r="P4616" i="1"/>
  <c r="U4615" i="1"/>
  <c r="T4615" i="1"/>
  <c r="R4615" i="1"/>
  <c r="P4615" i="1"/>
  <c r="U4614" i="1"/>
  <c r="T4614" i="1"/>
  <c r="R4614" i="1"/>
  <c r="P4614" i="1"/>
  <c r="U4613" i="1"/>
  <c r="T4613" i="1"/>
  <c r="R4613" i="1"/>
  <c r="P4613" i="1"/>
  <c r="U4612" i="1"/>
  <c r="T4612" i="1"/>
  <c r="R4612" i="1"/>
  <c r="P4612" i="1"/>
  <c r="U4611" i="1"/>
  <c r="T4611" i="1"/>
  <c r="R4611" i="1"/>
  <c r="P4611" i="1"/>
  <c r="U4610" i="1"/>
  <c r="T4610" i="1"/>
  <c r="R4610" i="1"/>
  <c r="P4610" i="1"/>
  <c r="U4609" i="1"/>
  <c r="T4609" i="1"/>
  <c r="R4609" i="1"/>
  <c r="P4609" i="1"/>
  <c r="U4608" i="1"/>
  <c r="T4608" i="1"/>
  <c r="R4608" i="1"/>
  <c r="P4608" i="1"/>
  <c r="U4607" i="1"/>
  <c r="T4607" i="1"/>
  <c r="R4607" i="1"/>
  <c r="P4607" i="1"/>
  <c r="U4606" i="1"/>
  <c r="T4606" i="1"/>
  <c r="R4606" i="1"/>
  <c r="P4606" i="1"/>
  <c r="U4605" i="1"/>
  <c r="T4605" i="1"/>
  <c r="R4605" i="1"/>
  <c r="P4605" i="1"/>
  <c r="U4604" i="1"/>
  <c r="T4604" i="1"/>
  <c r="R4604" i="1"/>
  <c r="P4604" i="1"/>
  <c r="U4603" i="1"/>
  <c r="T4603" i="1"/>
  <c r="R4603" i="1"/>
  <c r="P4603" i="1"/>
  <c r="U4602" i="1"/>
  <c r="T4602" i="1"/>
  <c r="R4602" i="1"/>
  <c r="P4602" i="1"/>
  <c r="U4601" i="1"/>
  <c r="T4601" i="1"/>
  <c r="R4601" i="1"/>
  <c r="P4601" i="1"/>
  <c r="U4600" i="1"/>
  <c r="T4600" i="1"/>
  <c r="R4600" i="1"/>
  <c r="P4600" i="1"/>
  <c r="U4599" i="1"/>
  <c r="T4599" i="1"/>
  <c r="R4599" i="1"/>
  <c r="P4599" i="1"/>
  <c r="U4598" i="1"/>
  <c r="T4598" i="1"/>
  <c r="R4598" i="1"/>
  <c r="P4598" i="1"/>
  <c r="U4597" i="1"/>
  <c r="T4597" i="1"/>
  <c r="R4597" i="1"/>
  <c r="P4597" i="1"/>
  <c r="U4596" i="1"/>
  <c r="T4596" i="1"/>
  <c r="R4596" i="1"/>
  <c r="P4596" i="1"/>
  <c r="U4595" i="1"/>
  <c r="T4595" i="1"/>
  <c r="R4595" i="1"/>
  <c r="P4595" i="1"/>
  <c r="U4594" i="1"/>
  <c r="T4594" i="1"/>
  <c r="R4594" i="1"/>
  <c r="P4594" i="1"/>
  <c r="U4593" i="1"/>
  <c r="T4593" i="1"/>
  <c r="R4593" i="1"/>
  <c r="P4593" i="1"/>
  <c r="U4592" i="1"/>
  <c r="T4592" i="1"/>
  <c r="R4592" i="1"/>
  <c r="P4592" i="1"/>
  <c r="U4591" i="1"/>
  <c r="T4591" i="1"/>
  <c r="R4591" i="1"/>
  <c r="P4591" i="1"/>
  <c r="U4590" i="1"/>
  <c r="T4590" i="1"/>
  <c r="R4590" i="1"/>
  <c r="P4590" i="1"/>
  <c r="U4589" i="1"/>
  <c r="T4589" i="1"/>
  <c r="R4589" i="1"/>
  <c r="P4589" i="1"/>
  <c r="U4588" i="1"/>
  <c r="T4588" i="1"/>
  <c r="R4588" i="1"/>
  <c r="P4588" i="1"/>
  <c r="U4587" i="1"/>
  <c r="T4587" i="1"/>
  <c r="R4587" i="1"/>
  <c r="P4587" i="1"/>
  <c r="U4586" i="1"/>
  <c r="T4586" i="1"/>
  <c r="R4586" i="1"/>
  <c r="P4586" i="1"/>
  <c r="U4585" i="1"/>
  <c r="T4585" i="1"/>
  <c r="R4585" i="1"/>
  <c r="P4585" i="1"/>
  <c r="U4584" i="1"/>
  <c r="T4584" i="1"/>
  <c r="R4584" i="1"/>
  <c r="P4584" i="1"/>
  <c r="U4583" i="1"/>
  <c r="T4583" i="1"/>
  <c r="R4583" i="1"/>
  <c r="P4583" i="1"/>
  <c r="U4582" i="1"/>
  <c r="T4582" i="1"/>
  <c r="R4582" i="1"/>
  <c r="P4582" i="1"/>
  <c r="U4581" i="1"/>
  <c r="T4581" i="1"/>
  <c r="R4581" i="1"/>
  <c r="P4581" i="1"/>
  <c r="U4580" i="1"/>
  <c r="T4580" i="1"/>
  <c r="R4580" i="1"/>
  <c r="P4580" i="1"/>
  <c r="U4579" i="1"/>
  <c r="T4579" i="1"/>
  <c r="R4579" i="1"/>
  <c r="P4579" i="1"/>
  <c r="U4578" i="1"/>
  <c r="T4578" i="1"/>
  <c r="R4578" i="1"/>
  <c r="P4578" i="1"/>
  <c r="U4577" i="1"/>
  <c r="T4577" i="1"/>
  <c r="R4577" i="1"/>
  <c r="P4577" i="1"/>
  <c r="U4576" i="1"/>
  <c r="T4576" i="1"/>
  <c r="R4576" i="1"/>
  <c r="P4576" i="1"/>
  <c r="U4575" i="1"/>
  <c r="T4575" i="1"/>
  <c r="R4575" i="1"/>
  <c r="P4575" i="1"/>
  <c r="U4574" i="1"/>
  <c r="T4574" i="1"/>
  <c r="R4574" i="1"/>
  <c r="P4574" i="1"/>
  <c r="U4573" i="1"/>
  <c r="T4573" i="1"/>
  <c r="R4573" i="1"/>
  <c r="P4573" i="1"/>
  <c r="U4572" i="1"/>
  <c r="T4572" i="1"/>
  <c r="R4572" i="1"/>
  <c r="P4572" i="1"/>
  <c r="U4571" i="1"/>
  <c r="T4571" i="1"/>
  <c r="R4571" i="1"/>
  <c r="P4571" i="1"/>
  <c r="U4570" i="1"/>
  <c r="T4570" i="1"/>
  <c r="R4570" i="1"/>
  <c r="P4570" i="1"/>
  <c r="U4569" i="1"/>
  <c r="T4569" i="1"/>
  <c r="R4569" i="1"/>
  <c r="P4569" i="1"/>
  <c r="U4568" i="1"/>
  <c r="T4568" i="1"/>
  <c r="R4568" i="1"/>
  <c r="P4568" i="1"/>
  <c r="U4567" i="1"/>
  <c r="T4567" i="1"/>
  <c r="R4567" i="1"/>
  <c r="P4567" i="1"/>
  <c r="U4566" i="1"/>
  <c r="T4566" i="1"/>
  <c r="R4566" i="1"/>
  <c r="P4566" i="1"/>
  <c r="U4565" i="1"/>
  <c r="T4565" i="1"/>
  <c r="R4565" i="1"/>
  <c r="P4565" i="1"/>
  <c r="U4564" i="1"/>
  <c r="T4564" i="1"/>
  <c r="R4564" i="1"/>
  <c r="P4564" i="1"/>
  <c r="U4563" i="1"/>
  <c r="T4563" i="1"/>
  <c r="R4563" i="1"/>
  <c r="P4563" i="1"/>
  <c r="U4562" i="1"/>
  <c r="T4562" i="1"/>
  <c r="R4562" i="1"/>
  <c r="P4562" i="1"/>
  <c r="U4561" i="1"/>
  <c r="T4561" i="1"/>
  <c r="R4561" i="1"/>
  <c r="P4561" i="1"/>
  <c r="U4560" i="1"/>
  <c r="T4560" i="1"/>
  <c r="R4560" i="1"/>
  <c r="P4560" i="1"/>
  <c r="U4559" i="1"/>
  <c r="T4559" i="1"/>
  <c r="R4559" i="1"/>
  <c r="P4559" i="1"/>
  <c r="U4558" i="1"/>
  <c r="T4558" i="1"/>
  <c r="R4558" i="1"/>
  <c r="P4558" i="1"/>
  <c r="U4557" i="1"/>
  <c r="T4557" i="1"/>
  <c r="R4557" i="1"/>
  <c r="P4557" i="1"/>
  <c r="U4556" i="1"/>
  <c r="T4556" i="1"/>
  <c r="R4556" i="1"/>
  <c r="P4556" i="1"/>
  <c r="U4555" i="1"/>
  <c r="T4555" i="1"/>
  <c r="R4555" i="1"/>
  <c r="P4555" i="1"/>
  <c r="U4554" i="1"/>
  <c r="T4554" i="1"/>
  <c r="R4554" i="1"/>
  <c r="P4554" i="1"/>
  <c r="U4553" i="1"/>
  <c r="T4553" i="1"/>
  <c r="R4553" i="1"/>
  <c r="P4553" i="1"/>
  <c r="U4552" i="1"/>
  <c r="T4552" i="1"/>
  <c r="R4552" i="1"/>
  <c r="P4552" i="1"/>
  <c r="U4551" i="1"/>
  <c r="T4551" i="1"/>
  <c r="R4551" i="1"/>
  <c r="P4551" i="1"/>
  <c r="U4550" i="1"/>
  <c r="T4550" i="1"/>
  <c r="R4550" i="1"/>
  <c r="P4550" i="1"/>
  <c r="U4549" i="1"/>
  <c r="T4549" i="1"/>
  <c r="R4549" i="1"/>
  <c r="P4549" i="1"/>
  <c r="U4548" i="1"/>
  <c r="T4548" i="1"/>
  <c r="R4548" i="1"/>
  <c r="P4548" i="1"/>
  <c r="U4547" i="1"/>
  <c r="T4547" i="1"/>
  <c r="R4547" i="1"/>
  <c r="P4547" i="1"/>
  <c r="U4546" i="1"/>
  <c r="T4546" i="1"/>
  <c r="R4546" i="1"/>
  <c r="P4546" i="1"/>
  <c r="U4545" i="1"/>
  <c r="T4545" i="1"/>
  <c r="R4545" i="1"/>
  <c r="P4545" i="1"/>
  <c r="U4544" i="1"/>
  <c r="T4544" i="1"/>
  <c r="R4544" i="1"/>
  <c r="P4544" i="1"/>
  <c r="U4543" i="1"/>
  <c r="T4543" i="1"/>
  <c r="R4543" i="1"/>
  <c r="P4543" i="1"/>
  <c r="U4542" i="1"/>
  <c r="T4542" i="1"/>
  <c r="R4542" i="1"/>
  <c r="P4542" i="1"/>
  <c r="U4541" i="1"/>
  <c r="T4541" i="1"/>
  <c r="R4541" i="1"/>
  <c r="P4541" i="1"/>
  <c r="U4540" i="1"/>
  <c r="T4540" i="1"/>
  <c r="R4540" i="1"/>
  <c r="P4540" i="1"/>
  <c r="U4539" i="1"/>
  <c r="T4539" i="1"/>
  <c r="R4539" i="1"/>
  <c r="P4539" i="1"/>
  <c r="U4538" i="1"/>
  <c r="T4538" i="1"/>
  <c r="R4538" i="1"/>
  <c r="P4538" i="1"/>
  <c r="U4537" i="1"/>
  <c r="T4537" i="1"/>
  <c r="R4537" i="1"/>
  <c r="P4537" i="1"/>
  <c r="U4536" i="1"/>
  <c r="T4536" i="1"/>
  <c r="R4536" i="1"/>
  <c r="P4536" i="1"/>
  <c r="U4535" i="1"/>
  <c r="T4535" i="1"/>
  <c r="R4535" i="1"/>
  <c r="P4535" i="1"/>
  <c r="U4534" i="1"/>
  <c r="T4534" i="1"/>
  <c r="R4534" i="1"/>
  <c r="P4534" i="1"/>
  <c r="U4533" i="1"/>
  <c r="T4533" i="1"/>
  <c r="R4533" i="1"/>
  <c r="P4533" i="1"/>
  <c r="U4532" i="1"/>
  <c r="T4532" i="1"/>
  <c r="R4532" i="1"/>
  <c r="P4532" i="1"/>
  <c r="U4531" i="1"/>
  <c r="T4531" i="1"/>
  <c r="R4531" i="1"/>
  <c r="P4531" i="1"/>
  <c r="U4530" i="1"/>
  <c r="T4530" i="1"/>
  <c r="R4530" i="1"/>
  <c r="P4530" i="1"/>
  <c r="U4529" i="1"/>
  <c r="T4529" i="1"/>
  <c r="R4529" i="1"/>
  <c r="P4529" i="1"/>
  <c r="U4528" i="1"/>
  <c r="T4528" i="1"/>
  <c r="R4528" i="1"/>
  <c r="P4528" i="1"/>
  <c r="U4527" i="1"/>
  <c r="T4527" i="1"/>
  <c r="R4527" i="1"/>
  <c r="P4527" i="1"/>
  <c r="U4526" i="1"/>
  <c r="T4526" i="1"/>
  <c r="R4526" i="1"/>
  <c r="P4526" i="1"/>
  <c r="U4525" i="1"/>
  <c r="T4525" i="1"/>
  <c r="R4525" i="1"/>
  <c r="P4525" i="1"/>
  <c r="U4524" i="1"/>
  <c r="T4524" i="1"/>
  <c r="R4524" i="1"/>
  <c r="P4524" i="1"/>
  <c r="U4523" i="1"/>
  <c r="T4523" i="1"/>
  <c r="R4523" i="1"/>
  <c r="P4523" i="1"/>
  <c r="U4522" i="1"/>
  <c r="T4522" i="1"/>
  <c r="R4522" i="1"/>
  <c r="P4522" i="1"/>
  <c r="U4521" i="1"/>
  <c r="T4521" i="1"/>
  <c r="R4521" i="1"/>
  <c r="P4521" i="1"/>
  <c r="U4520" i="1"/>
  <c r="T4520" i="1"/>
  <c r="R4520" i="1"/>
  <c r="P4520" i="1"/>
  <c r="U4519" i="1"/>
  <c r="T4519" i="1"/>
  <c r="R4519" i="1"/>
  <c r="P4519" i="1"/>
  <c r="U4518" i="1"/>
  <c r="T4518" i="1"/>
  <c r="R4518" i="1"/>
  <c r="P4518" i="1"/>
  <c r="U4517" i="1"/>
  <c r="T4517" i="1"/>
  <c r="R4517" i="1"/>
  <c r="P4517" i="1"/>
  <c r="U4516" i="1"/>
  <c r="T4516" i="1"/>
  <c r="R4516" i="1"/>
  <c r="P4516" i="1"/>
  <c r="U4515" i="1"/>
  <c r="T4515" i="1"/>
  <c r="R4515" i="1"/>
  <c r="P4515" i="1"/>
  <c r="U4514" i="1"/>
  <c r="T4514" i="1"/>
  <c r="R4514" i="1"/>
  <c r="P4514" i="1"/>
  <c r="U4513" i="1"/>
  <c r="T4513" i="1"/>
  <c r="R4513" i="1"/>
  <c r="P4513" i="1"/>
  <c r="U4512" i="1"/>
  <c r="T4512" i="1"/>
  <c r="R4512" i="1"/>
  <c r="P4512" i="1"/>
  <c r="U4511" i="1"/>
  <c r="T4511" i="1"/>
  <c r="R4511" i="1"/>
  <c r="P4511" i="1"/>
  <c r="U4510" i="1"/>
  <c r="T4510" i="1"/>
  <c r="R4510" i="1"/>
  <c r="P4510" i="1"/>
  <c r="U4509" i="1"/>
  <c r="T4509" i="1"/>
  <c r="R4509" i="1"/>
  <c r="P4509" i="1"/>
  <c r="U4508" i="1"/>
  <c r="T4508" i="1"/>
  <c r="R4508" i="1"/>
  <c r="P4508" i="1"/>
  <c r="U4507" i="1"/>
  <c r="T4507" i="1"/>
  <c r="R4507" i="1"/>
  <c r="P4507" i="1"/>
  <c r="U4506" i="1"/>
  <c r="T4506" i="1"/>
  <c r="R4506" i="1"/>
  <c r="P4506" i="1"/>
  <c r="U4505" i="1"/>
  <c r="T4505" i="1"/>
  <c r="R4505" i="1"/>
  <c r="P4505" i="1"/>
  <c r="U4504" i="1"/>
  <c r="T4504" i="1"/>
  <c r="R4504" i="1"/>
  <c r="P4504" i="1"/>
  <c r="U4503" i="1"/>
  <c r="T4503" i="1"/>
  <c r="R4503" i="1"/>
  <c r="P4503" i="1"/>
  <c r="U4502" i="1"/>
  <c r="T4502" i="1"/>
  <c r="R4502" i="1"/>
  <c r="P4502" i="1"/>
  <c r="U4501" i="1"/>
  <c r="T4501" i="1"/>
  <c r="R4501" i="1"/>
  <c r="P4501" i="1"/>
  <c r="U4500" i="1"/>
  <c r="T4500" i="1"/>
  <c r="R4500" i="1"/>
  <c r="P4500" i="1"/>
  <c r="U4499" i="1"/>
  <c r="T4499" i="1"/>
  <c r="R4499" i="1"/>
  <c r="P4499" i="1"/>
  <c r="U4498" i="1"/>
  <c r="T4498" i="1"/>
  <c r="R4498" i="1"/>
  <c r="P4498" i="1"/>
  <c r="U4497" i="1"/>
  <c r="T4497" i="1"/>
  <c r="R4497" i="1"/>
  <c r="P4497" i="1"/>
  <c r="U4496" i="1"/>
  <c r="T4496" i="1"/>
  <c r="R4496" i="1"/>
  <c r="P4496" i="1"/>
  <c r="U4495" i="1"/>
  <c r="T4495" i="1"/>
  <c r="R4495" i="1"/>
  <c r="P4495" i="1"/>
  <c r="U4494" i="1"/>
  <c r="T4494" i="1"/>
  <c r="R4494" i="1"/>
  <c r="P4494" i="1"/>
  <c r="U4493" i="1"/>
  <c r="T4493" i="1"/>
  <c r="R4493" i="1"/>
  <c r="P4493" i="1"/>
  <c r="U4492" i="1"/>
  <c r="T4492" i="1"/>
  <c r="R4492" i="1"/>
  <c r="P4492" i="1"/>
  <c r="U4491" i="1"/>
  <c r="T4491" i="1"/>
  <c r="R4491" i="1"/>
  <c r="P4491" i="1"/>
  <c r="U4490" i="1"/>
  <c r="T4490" i="1"/>
  <c r="R4490" i="1"/>
  <c r="P4490" i="1"/>
  <c r="U4489" i="1"/>
  <c r="T4489" i="1"/>
  <c r="R4489" i="1"/>
  <c r="P4489" i="1"/>
  <c r="U4488" i="1"/>
  <c r="T4488" i="1"/>
  <c r="R4488" i="1"/>
  <c r="P4488" i="1"/>
  <c r="U4487" i="1"/>
  <c r="T4487" i="1"/>
  <c r="R4487" i="1"/>
  <c r="P4487" i="1"/>
  <c r="U4486" i="1"/>
  <c r="T4486" i="1"/>
  <c r="R4486" i="1"/>
  <c r="P4486" i="1"/>
  <c r="U4485" i="1"/>
  <c r="T4485" i="1"/>
  <c r="R4485" i="1"/>
  <c r="P4485" i="1"/>
  <c r="U4484" i="1"/>
  <c r="T4484" i="1"/>
  <c r="R4484" i="1"/>
  <c r="P4484" i="1"/>
  <c r="U4483" i="1"/>
  <c r="T4483" i="1"/>
  <c r="R4483" i="1"/>
  <c r="P4483" i="1"/>
  <c r="U4482" i="1"/>
  <c r="T4482" i="1"/>
  <c r="R4482" i="1"/>
  <c r="P4482" i="1"/>
  <c r="U4481" i="1"/>
  <c r="T4481" i="1"/>
  <c r="R4481" i="1"/>
  <c r="P4481" i="1"/>
  <c r="U4480" i="1"/>
  <c r="T4480" i="1"/>
  <c r="R4480" i="1"/>
  <c r="P4480" i="1"/>
  <c r="U4479" i="1"/>
  <c r="T4479" i="1"/>
  <c r="R4479" i="1"/>
  <c r="P4479" i="1"/>
  <c r="U4478" i="1"/>
  <c r="T4478" i="1"/>
  <c r="R4478" i="1"/>
  <c r="P4478" i="1"/>
  <c r="U4477" i="1"/>
  <c r="T4477" i="1"/>
  <c r="R4477" i="1"/>
  <c r="P4477" i="1"/>
  <c r="U4476" i="1"/>
  <c r="T4476" i="1"/>
  <c r="R4476" i="1"/>
  <c r="P4476" i="1"/>
  <c r="U4475" i="1"/>
  <c r="T4475" i="1"/>
  <c r="R4475" i="1"/>
  <c r="P4475" i="1"/>
  <c r="U4474" i="1"/>
  <c r="T4474" i="1"/>
  <c r="R4474" i="1"/>
  <c r="P4474" i="1"/>
  <c r="U4473" i="1"/>
  <c r="T4473" i="1"/>
  <c r="R4473" i="1"/>
  <c r="P4473" i="1"/>
  <c r="U4472" i="1"/>
  <c r="T4472" i="1"/>
  <c r="R4472" i="1"/>
  <c r="P4472" i="1"/>
  <c r="U4471" i="1"/>
  <c r="T4471" i="1"/>
  <c r="R4471" i="1"/>
  <c r="P4471" i="1"/>
  <c r="U4470" i="1"/>
  <c r="T4470" i="1"/>
  <c r="R4470" i="1"/>
  <c r="P4470" i="1"/>
  <c r="U4469" i="1"/>
  <c r="T4469" i="1"/>
  <c r="R4469" i="1"/>
  <c r="P4469" i="1"/>
  <c r="U4468" i="1"/>
  <c r="T4468" i="1"/>
  <c r="R4468" i="1"/>
  <c r="P4468" i="1"/>
  <c r="U4467" i="1"/>
  <c r="T4467" i="1"/>
  <c r="R4467" i="1"/>
  <c r="P4467" i="1"/>
  <c r="U4466" i="1"/>
  <c r="T4466" i="1"/>
  <c r="R4466" i="1"/>
  <c r="P4466" i="1"/>
  <c r="U4465" i="1"/>
  <c r="T4465" i="1"/>
  <c r="R4465" i="1"/>
  <c r="P4465" i="1"/>
  <c r="U4464" i="1"/>
  <c r="T4464" i="1"/>
  <c r="R4464" i="1"/>
  <c r="P4464" i="1"/>
  <c r="U4463" i="1"/>
  <c r="T4463" i="1"/>
  <c r="R4463" i="1"/>
  <c r="P4463" i="1"/>
  <c r="U4462" i="1"/>
  <c r="T4462" i="1"/>
  <c r="R4462" i="1"/>
  <c r="P4462" i="1"/>
  <c r="U4461" i="1"/>
  <c r="T4461" i="1"/>
  <c r="R4461" i="1"/>
  <c r="P4461" i="1"/>
  <c r="U4460" i="1"/>
  <c r="T4460" i="1"/>
  <c r="R4460" i="1"/>
  <c r="P4460" i="1"/>
  <c r="U4459" i="1"/>
  <c r="T4459" i="1"/>
  <c r="R4459" i="1"/>
  <c r="P4459" i="1"/>
  <c r="U4458" i="1"/>
  <c r="T4458" i="1"/>
  <c r="R4458" i="1"/>
  <c r="P4458" i="1"/>
  <c r="U4457" i="1"/>
  <c r="T4457" i="1"/>
  <c r="R4457" i="1"/>
  <c r="P4457" i="1"/>
  <c r="U4456" i="1"/>
  <c r="T4456" i="1"/>
  <c r="R4456" i="1"/>
  <c r="P4456" i="1"/>
  <c r="U4455" i="1"/>
  <c r="T4455" i="1"/>
  <c r="R4455" i="1"/>
  <c r="P4455" i="1"/>
  <c r="U4454" i="1"/>
  <c r="T4454" i="1"/>
  <c r="R4454" i="1"/>
  <c r="P4454" i="1"/>
  <c r="U4453" i="1"/>
  <c r="T4453" i="1"/>
  <c r="R4453" i="1"/>
  <c r="P4453" i="1"/>
  <c r="U4452" i="1"/>
  <c r="T4452" i="1"/>
  <c r="R4452" i="1"/>
  <c r="P4452" i="1"/>
  <c r="U4451" i="1"/>
  <c r="T4451" i="1"/>
  <c r="R4451" i="1"/>
  <c r="P4451" i="1"/>
  <c r="U4450" i="1"/>
  <c r="T4450" i="1"/>
  <c r="R4450" i="1"/>
  <c r="P4450" i="1"/>
  <c r="U4449" i="1"/>
  <c r="T4449" i="1"/>
  <c r="R4449" i="1"/>
  <c r="P4449" i="1"/>
  <c r="U4448" i="1"/>
  <c r="T4448" i="1"/>
  <c r="R4448" i="1"/>
  <c r="P4448" i="1"/>
  <c r="U4447" i="1"/>
  <c r="T4447" i="1"/>
  <c r="R4447" i="1"/>
  <c r="P4447" i="1"/>
  <c r="U4446" i="1"/>
  <c r="T4446" i="1"/>
  <c r="R4446" i="1"/>
  <c r="P4446" i="1"/>
  <c r="U4445" i="1"/>
  <c r="T4445" i="1"/>
  <c r="R4445" i="1"/>
  <c r="P4445" i="1"/>
  <c r="U4444" i="1"/>
  <c r="T4444" i="1"/>
  <c r="R4444" i="1"/>
  <c r="P4444" i="1"/>
  <c r="U4443" i="1"/>
  <c r="T4443" i="1"/>
  <c r="R4443" i="1"/>
  <c r="P4443" i="1"/>
  <c r="U4442" i="1"/>
  <c r="T4442" i="1"/>
  <c r="R4442" i="1"/>
  <c r="P4442" i="1"/>
  <c r="U4441" i="1"/>
  <c r="T4441" i="1"/>
  <c r="R4441" i="1"/>
  <c r="P4441" i="1"/>
  <c r="U4440" i="1"/>
  <c r="T4440" i="1"/>
  <c r="R4440" i="1"/>
  <c r="P4440" i="1"/>
  <c r="U4439" i="1"/>
  <c r="T4439" i="1"/>
  <c r="R4439" i="1"/>
  <c r="P4439" i="1"/>
  <c r="U4438" i="1"/>
  <c r="T4438" i="1"/>
  <c r="R4438" i="1"/>
  <c r="P4438" i="1"/>
  <c r="U4437" i="1"/>
  <c r="T4437" i="1"/>
  <c r="R4437" i="1"/>
  <c r="P4437" i="1"/>
  <c r="U4436" i="1"/>
  <c r="T4436" i="1"/>
  <c r="R4436" i="1"/>
  <c r="P4436" i="1"/>
  <c r="U4435" i="1"/>
  <c r="T4435" i="1"/>
  <c r="R4435" i="1"/>
  <c r="P4435" i="1"/>
  <c r="U4434" i="1"/>
  <c r="T4434" i="1"/>
  <c r="R4434" i="1"/>
  <c r="P4434" i="1"/>
  <c r="U4433" i="1"/>
  <c r="T4433" i="1"/>
  <c r="R4433" i="1"/>
  <c r="P4433" i="1"/>
  <c r="U4432" i="1"/>
  <c r="T4432" i="1"/>
  <c r="R4432" i="1"/>
  <c r="P4432" i="1"/>
  <c r="U4431" i="1"/>
  <c r="T4431" i="1"/>
  <c r="R4431" i="1"/>
  <c r="P4431" i="1"/>
  <c r="U4430" i="1"/>
  <c r="T4430" i="1"/>
  <c r="R4430" i="1"/>
  <c r="P4430" i="1"/>
  <c r="U4429" i="1"/>
  <c r="T4429" i="1"/>
  <c r="R4429" i="1"/>
  <c r="P4429" i="1"/>
  <c r="U4428" i="1"/>
  <c r="T4428" i="1"/>
  <c r="R4428" i="1"/>
  <c r="P4428" i="1"/>
  <c r="U4427" i="1"/>
  <c r="T4427" i="1"/>
  <c r="R4427" i="1"/>
  <c r="P4427" i="1"/>
  <c r="U4426" i="1"/>
  <c r="T4426" i="1"/>
  <c r="R4426" i="1"/>
  <c r="P4426" i="1"/>
  <c r="U4425" i="1"/>
  <c r="T4425" i="1"/>
  <c r="R4425" i="1"/>
  <c r="P4425" i="1"/>
  <c r="U4424" i="1"/>
  <c r="T4424" i="1"/>
  <c r="R4424" i="1"/>
  <c r="P4424" i="1"/>
  <c r="U4423" i="1"/>
  <c r="T4423" i="1"/>
  <c r="R4423" i="1"/>
  <c r="P4423" i="1"/>
  <c r="U4422" i="1"/>
  <c r="T4422" i="1"/>
  <c r="R4422" i="1"/>
  <c r="P4422" i="1"/>
  <c r="U4421" i="1"/>
  <c r="T4421" i="1"/>
  <c r="R4421" i="1"/>
  <c r="P4421" i="1"/>
  <c r="U4420" i="1"/>
  <c r="T4420" i="1"/>
  <c r="R4420" i="1"/>
  <c r="P4420" i="1"/>
  <c r="U4419" i="1"/>
  <c r="T4419" i="1"/>
  <c r="R4419" i="1"/>
  <c r="P4419" i="1"/>
  <c r="U4418" i="1"/>
  <c r="T4418" i="1"/>
  <c r="R4418" i="1"/>
  <c r="P4418" i="1"/>
  <c r="U4417" i="1"/>
  <c r="T4417" i="1"/>
  <c r="R4417" i="1"/>
  <c r="P4417" i="1"/>
  <c r="U4416" i="1"/>
  <c r="T4416" i="1"/>
  <c r="R4416" i="1"/>
  <c r="P4416" i="1"/>
  <c r="U4415" i="1"/>
  <c r="T4415" i="1"/>
  <c r="R4415" i="1"/>
  <c r="P4415" i="1"/>
  <c r="U4414" i="1"/>
  <c r="T4414" i="1"/>
  <c r="R4414" i="1"/>
  <c r="P4414" i="1"/>
  <c r="U4413" i="1"/>
  <c r="T4413" i="1"/>
  <c r="R4413" i="1"/>
  <c r="P4413" i="1"/>
  <c r="U4412" i="1"/>
  <c r="T4412" i="1"/>
  <c r="R4412" i="1"/>
  <c r="P4412" i="1"/>
  <c r="U4411" i="1"/>
  <c r="T4411" i="1"/>
  <c r="R4411" i="1"/>
  <c r="P4411" i="1"/>
  <c r="U4410" i="1"/>
  <c r="T4410" i="1"/>
  <c r="R4410" i="1"/>
  <c r="P4410" i="1"/>
  <c r="U4409" i="1"/>
  <c r="T4409" i="1"/>
  <c r="R4409" i="1"/>
  <c r="P4409" i="1"/>
  <c r="U4408" i="1"/>
  <c r="T4408" i="1"/>
  <c r="R4408" i="1"/>
  <c r="P4408" i="1"/>
  <c r="U4407" i="1"/>
  <c r="T4407" i="1"/>
  <c r="R4407" i="1"/>
  <c r="P4407" i="1"/>
  <c r="U4406" i="1"/>
  <c r="T4406" i="1"/>
  <c r="R4406" i="1"/>
  <c r="P4406" i="1"/>
  <c r="U4405" i="1"/>
  <c r="T4405" i="1"/>
  <c r="R4405" i="1"/>
  <c r="P4405" i="1"/>
  <c r="U4404" i="1"/>
  <c r="T4404" i="1"/>
  <c r="R4404" i="1"/>
  <c r="P4404" i="1"/>
  <c r="U4403" i="1"/>
  <c r="T4403" i="1"/>
  <c r="R4403" i="1"/>
  <c r="P4403" i="1"/>
  <c r="U4402" i="1"/>
  <c r="T4402" i="1"/>
  <c r="R4402" i="1"/>
  <c r="P4402" i="1"/>
  <c r="U4401" i="1"/>
  <c r="T4401" i="1"/>
  <c r="R4401" i="1"/>
  <c r="P4401" i="1"/>
  <c r="U4400" i="1"/>
  <c r="T4400" i="1"/>
  <c r="R4400" i="1"/>
  <c r="P4400" i="1"/>
  <c r="U4399" i="1"/>
  <c r="T4399" i="1"/>
  <c r="R4399" i="1"/>
  <c r="P4399" i="1"/>
  <c r="U4398" i="1"/>
  <c r="T4398" i="1"/>
  <c r="R4398" i="1"/>
  <c r="P4398" i="1"/>
  <c r="U4397" i="1"/>
  <c r="T4397" i="1"/>
  <c r="R4397" i="1"/>
  <c r="P4397" i="1"/>
  <c r="U4396" i="1"/>
  <c r="T4396" i="1"/>
  <c r="R4396" i="1"/>
  <c r="P4396" i="1"/>
  <c r="U4395" i="1"/>
  <c r="T4395" i="1"/>
  <c r="R4395" i="1"/>
  <c r="P4395" i="1"/>
  <c r="U4394" i="1"/>
  <c r="T4394" i="1"/>
  <c r="R4394" i="1"/>
  <c r="P4394" i="1"/>
  <c r="U4393" i="1"/>
  <c r="T4393" i="1"/>
  <c r="R4393" i="1"/>
  <c r="P4393" i="1"/>
  <c r="U4392" i="1"/>
  <c r="T4392" i="1"/>
  <c r="R4392" i="1"/>
  <c r="P4392" i="1"/>
  <c r="U4391" i="1"/>
  <c r="T4391" i="1"/>
  <c r="R4391" i="1"/>
  <c r="P4391" i="1"/>
  <c r="U4390" i="1"/>
  <c r="T4390" i="1"/>
  <c r="R4390" i="1"/>
  <c r="P4390" i="1"/>
  <c r="U4389" i="1"/>
  <c r="T4389" i="1"/>
  <c r="R4389" i="1"/>
  <c r="P4389" i="1"/>
  <c r="U4388" i="1"/>
  <c r="T4388" i="1"/>
  <c r="R4388" i="1"/>
  <c r="P4388" i="1"/>
  <c r="U4387" i="1"/>
  <c r="T4387" i="1"/>
  <c r="R4387" i="1"/>
  <c r="P4387" i="1"/>
  <c r="U4386" i="1"/>
  <c r="T4386" i="1"/>
  <c r="R4386" i="1"/>
  <c r="P4386" i="1"/>
  <c r="U4385" i="1"/>
  <c r="T4385" i="1"/>
  <c r="R4385" i="1"/>
  <c r="P4385" i="1"/>
  <c r="U4384" i="1"/>
  <c r="T4384" i="1"/>
  <c r="R4384" i="1"/>
  <c r="P4384" i="1"/>
  <c r="U4383" i="1"/>
  <c r="T4383" i="1"/>
  <c r="R4383" i="1"/>
  <c r="P4383" i="1"/>
  <c r="U4382" i="1"/>
  <c r="T4382" i="1"/>
  <c r="R4382" i="1"/>
  <c r="P4382" i="1"/>
  <c r="U4381" i="1"/>
  <c r="T4381" i="1"/>
  <c r="R4381" i="1"/>
  <c r="P4381" i="1"/>
  <c r="U4380" i="1"/>
  <c r="T4380" i="1"/>
  <c r="R4380" i="1"/>
  <c r="P4380" i="1"/>
  <c r="U4379" i="1"/>
  <c r="T4379" i="1"/>
  <c r="R4379" i="1"/>
  <c r="P4379" i="1"/>
  <c r="U4378" i="1"/>
  <c r="T4378" i="1"/>
  <c r="R4378" i="1"/>
  <c r="P4378" i="1"/>
  <c r="U4377" i="1"/>
  <c r="T4377" i="1"/>
  <c r="R4377" i="1"/>
  <c r="P4377" i="1"/>
  <c r="U4376" i="1"/>
  <c r="T4376" i="1"/>
  <c r="R4376" i="1"/>
  <c r="P4376" i="1"/>
  <c r="U4375" i="1"/>
  <c r="T4375" i="1"/>
  <c r="R4375" i="1"/>
  <c r="P4375" i="1"/>
  <c r="U4374" i="1"/>
  <c r="T4374" i="1"/>
  <c r="R4374" i="1"/>
  <c r="P4374" i="1"/>
  <c r="U4373" i="1"/>
  <c r="T4373" i="1"/>
  <c r="R4373" i="1"/>
  <c r="P4373" i="1"/>
  <c r="U4372" i="1"/>
  <c r="T4372" i="1"/>
  <c r="R4372" i="1"/>
  <c r="P4372" i="1"/>
  <c r="U4371" i="1"/>
  <c r="T4371" i="1"/>
  <c r="R4371" i="1"/>
  <c r="P4371" i="1"/>
  <c r="U4370" i="1"/>
  <c r="T4370" i="1"/>
  <c r="R4370" i="1"/>
  <c r="P4370" i="1"/>
  <c r="U4369" i="1"/>
  <c r="T4369" i="1"/>
  <c r="R4369" i="1"/>
  <c r="P4369" i="1"/>
  <c r="U4368" i="1"/>
  <c r="T4368" i="1"/>
  <c r="R4368" i="1"/>
  <c r="P4368" i="1"/>
  <c r="U4367" i="1"/>
  <c r="T4367" i="1"/>
  <c r="R4367" i="1"/>
  <c r="P4367" i="1"/>
  <c r="U4366" i="1"/>
  <c r="T4366" i="1"/>
  <c r="R4366" i="1"/>
  <c r="P4366" i="1"/>
  <c r="U4365" i="1"/>
  <c r="T4365" i="1"/>
  <c r="R4365" i="1"/>
  <c r="P4365" i="1"/>
  <c r="U4364" i="1"/>
  <c r="T4364" i="1"/>
  <c r="R4364" i="1"/>
  <c r="P4364" i="1"/>
  <c r="U4363" i="1"/>
  <c r="T4363" i="1"/>
  <c r="R4363" i="1"/>
  <c r="P4363" i="1"/>
  <c r="U4362" i="1"/>
  <c r="T4362" i="1"/>
  <c r="R4362" i="1"/>
  <c r="P4362" i="1"/>
  <c r="U4361" i="1"/>
  <c r="T4361" i="1"/>
  <c r="R4361" i="1"/>
  <c r="P4361" i="1"/>
  <c r="U4360" i="1"/>
  <c r="T4360" i="1"/>
  <c r="R4360" i="1"/>
  <c r="P4360" i="1"/>
  <c r="U4359" i="1"/>
  <c r="T4359" i="1"/>
  <c r="R4359" i="1"/>
  <c r="P4359" i="1"/>
  <c r="U4358" i="1"/>
  <c r="T4358" i="1"/>
  <c r="R4358" i="1"/>
  <c r="P4358" i="1"/>
  <c r="U4357" i="1"/>
  <c r="T4357" i="1"/>
  <c r="R4357" i="1"/>
  <c r="P4357" i="1"/>
  <c r="U4356" i="1"/>
  <c r="T4356" i="1"/>
  <c r="R4356" i="1"/>
  <c r="P4356" i="1"/>
  <c r="U4355" i="1"/>
  <c r="T4355" i="1"/>
  <c r="R4355" i="1"/>
  <c r="P4355" i="1"/>
  <c r="U4354" i="1"/>
  <c r="T4354" i="1"/>
  <c r="R4354" i="1"/>
  <c r="P4354" i="1"/>
  <c r="U4353" i="1"/>
  <c r="T4353" i="1"/>
  <c r="R4353" i="1"/>
  <c r="P4353" i="1"/>
  <c r="U4352" i="1"/>
  <c r="T4352" i="1"/>
  <c r="R4352" i="1"/>
  <c r="P4352" i="1"/>
  <c r="U4351" i="1"/>
  <c r="T4351" i="1"/>
  <c r="R4351" i="1"/>
  <c r="P4351" i="1"/>
  <c r="U4350" i="1"/>
  <c r="T4350" i="1"/>
  <c r="R4350" i="1"/>
  <c r="P4350" i="1"/>
  <c r="U4349" i="1"/>
  <c r="T4349" i="1"/>
  <c r="R4349" i="1"/>
  <c r="P4349" i="1"/>
  <c r="U4348" i="1"/>
  <c r="T4348" i="1"/>
  <c r="R4348" i="1"/>
  <c r="P4348" i="1"/>
  <c r="U4347" i="1"/>
  <c r="T4347" i="1"/>
  <c r="R4347" i="1"/>
  <c r="P4347" i="1"/>
  <c r="U4346" i="1"/>
  <c r="T4346" i="1"/>
  <c r="R4346" i="1"/>
  <c r="P4346" i="1"/>
  <c r="U4345" i="1"/>
  <c r="T4345" i="1"/>
  <c r="R4345" i="1"/>
  <c r="P4345" i="1"/>
  <c r="U4344" i="1"/>
  <c r="T4344" i="1"/>
  <c r="R4344" i="1"/>
  <c r="P4344" i="1"/>
  <c r="U4343" i="1"/>
  <c r="T4343" i="1"/>
  <c r="R4343" i="1"/>
  <c r="P4343" i="1"/>
  <c r="U4342" i="1"/>
  <c r="T4342" i="1"/>
  <c r="R4342" i="1"/>
  <c r="P4342" i="1"/>
  <c r="U4341" i="1"/>
  <c r="T4341" i="1"/>
  <c r="R4341" i="1"/>
  <c r="P4341" i="1"/>
  <c r="U4340" i="1"/>
  <c r="T4340" i="1"/>
  <c r="R4340" i="1"/>
  <c r="P4340" i="1"/>
  <c r="U4339" i="1"/>
  <c r="T4339" i="1"/>
  <c r="R4339" i="1"/>
  <c r="P4339" i="1"/>
  <c r="U4338" i="1"/>
  <c r="T4338" i="1"/>
  <c r="R4338" i="1"/>
  <c r="P4338" i="1"/>
  <c r="U4337" i="1"/>
  <c r="T4337" i="1"/>
  <c r="R4337" i="1"/>
  <c r="P4337" i="1"/>
  <c r="U4336" i="1"/>
  <c r="T4336" i="1"/>
  <c r="R4336" i="1"/>
  <c r="P4336" i="1"/>
  <c r="U4335" i="1"/>
  <c r="T4335" i="1"/>
  <c r="R4335" i="1"/>
  <c r="P4335" i="1"/>
  <c r="U4334" i="1"/>
  <c r="T4334" i="1"/>
  <c r="R4334" i="1"/>
  <c r="P4334" i="1"/>
  <c r="U4333" i="1"/>
  <c r="T4333" i="1"/>
  <c r="R4333" i="1"/>
  <c r="P4333" i="1"/>
  <c r="U4332" i="1"/>
  <c r="T4332" i="1"/>
  <c r="R4332" i="1"/>
  <c r="P4332" i="1"/>
  <c r="U4331" i="1"/>
  <c r="T4331" i="1"/>
  <c r="R4331" i="1"/>
  <c r="P4331" i="1"/>
  <c r="U4330" i="1"/>
  <c r="T4330" i="1"/>
  <c r="R4330" i="1"/>
  <c r="P4330" i="1"/>
  <c r="U4329" i="1"/>
  <c r="T4329" i="1"/>
  <c r="R4329" i="1"/>
  <c r="P4329" i="1"/>
  <c r="U4328" i="1"/>
  <c r="T4328" i="1"/>
  <c r="R4328" i="1"/>
  <c r="P4328" i="1"/>
  <c r="U4327" i="1"/>
  <c r="T4327" i="1"/>
  <c r="R4327" i="1"/>
  <c r="P4327" i="1"/>
  <c r="U4326" i="1"/>
  <c r="T4326" i="1"/>
  <c r="R4326" i="1"/>
  <c r="P4326" i="1"/>
  <c r="U4325" i="1"/>
  <c r="T4325" i="1"/>
  <c r="R4325" i="1"/>
  <c r="P4325" i="1"/>
  <c r="U4324" i="1"/>
  <c r="T4324" i="1"/>
  <c r="R4324" i="1"/>
  <c r="P4324" i="1"/>
  <c r="U4323" i="1"/>
  <c r="T4323" i="1"/>
  <c r="R4323" i="1"/>
  <c r="P4323" i="1"/>
  <c r="U4322" i="1"/>
  <c r="T4322" i="1"/>
  <c r="R4322" i="1"/>
  <c r="P4322" i="1"/>
  <c r="U4321" i="1"/>
  <c r="T4321" i="1"/>
  <c r="R4321" i="1"/>
  <c r="P4321" i="1"/>
  <c r="U4320" i="1"/>
  <c r="T4320" i="1"/>
  <c r="R4320" i="1"/>
  <c r="P4320" i="1"/>
  <c r="U4319" i="1"/>
  <c r="T4319" i="1"/>
  <c r="R4319" i="1"/>
  <c r="P4319" i="1"/>
  <c r="U4318" i="1"/>
  <c r="T4318" i="1"/>
  <c r="R4318" i="1"/>
  <c r="P4318" i="1"/>
  <c r="U4317" i="1"/>
  <c r="T4317" i="1"/>
  <c r="R4317" i="1"/>
  <c r="P4317" i="1"/>
  <c r="U4316" i="1"/>
  <c r="T4316" i="1"/>
  <c r="R4316" i="1"/>
  <c r="P4316" i="1"/>
  <c r="U4315" i="1"/>
  <c r="T4315" i="1"/>
  <c r="R4315" i="1"/>
  <c r="P4315" i="1"/>
  <c r="U4314" i="1"/>
  <c r="T4314" i="1"/>
  <c r="R4314" i="1"/>
  <c r="P4314" i="1"/>
  <c r="U4313" i="1"/>
  <c r="T4313" i="1"/>
  <c r="R4313" i="1"/>
  <c r="P4313" i="1"/>
  <c r="U4312" i="1"/>
  <c r="T4312" i="1"/>
  <c r="R4312" i="1"/>
  <c r="P4312" i="1"/>
  <c r="U4311" i="1"/>
  <c r="T4311" i="1"/>
  <c r="R4311" i="1"/>
  <c r="P4311" i="1"/>
  <c r="U4310" i="1"/>
  <c r="T4310" i="1"/>
  <c r="R4310" i="1"/>
  <c r="P4310" i="1"/>
  <c r="U4309" i="1"/>
  <c r="T4309" i="1"/>
  <c r="R4309" i="1"/>
  <c r="P4309" i="1"/>
  <c r="U4308" i="1"/>
  <c r="T4308" i="1"/>
  <c r="R4308" i="1"/>
  <c r="P4308" i="1"/>
  <c r="U4307" i="1"/>
  <c r="T4307" i="1"/>
  <c r="R4307" i="1"/>
  <c r="P4307" i="1"/>
  <c r="U4306" i="1"/>
  <c r="T4306" i="1"/>
  <c r="R4306" i="1"/>
  <c r="P4306" i="1"/>
  <c r="U4305" i="1"/>
  <c r="T4305" i="1"/>
  <c r="R4305" i="1"/>
  <c r="P4305" i="1"/>
  <c r="U4304" i="1"/>
  <c r="T4304" i="1"/>
  <c r="R4304" i="1"/>
  <c r="P4304" i="1"/>
  <c r="U4303" i="1"/>
  <c r="T4303" i="1"/>
  <c r="R4303" i="1"/>
  <c r="P4303" i="1"/>
  <c r="U4302" i="1"/>
  <c r="T4302" i="1"/>
  <c r="R4302" i="1"/>
  <c r="P4302" i="1"/>
  <c r="U4301" i="1"/>
  <c r="T4301" i="1"/>
  <c r="R4301" i="1"/>
  <c r="P4301" i="1"/>
  <c r="U4300" i="1"/>
  <c r="T4300" i="1"/>
  <c r="R4300" i="1"/>
  <c r="P4300" i="1"/>
  <c r="U4299" i="1"/>
  <c r="T4299" i="1"/>
  <c r="R4299" i="1"/>
  <c r="P4299" i="1"/>
  <c r="U4298" i="1"/>
  <c r="T4298" i="1"/>
  <c r="R4298" i="1"/>
  <c r="P4298" i="1"/>
  <c r="U4297" i="1"/>
  <c r="T4297" i="1"/>
  <c r="R4297" i="1"/>
  <c r="P4297" i="1"/>
  <c r="U4296" i="1"/>
  <c r="T4296" i="1"/>
  <c r="R4296" i="1"/>
  <c r="P4296" i="1"/>
  <c r="U4295" i="1"/>
  <c r="T4295" i="1"/>
  <c r="R4295" i="1"/>
  <c r="P4295" i="1"/>
  <c r="U4294" i="1"/>
  <c r="T4294" i="1"/>
  <c r="R4294" i="1"/>
  <c r="P4294" i="1"/>
  <c r="U4293" i="1"/>
  <c r="T4293" i="1"/>
  <c r="R4293" i="1"/>
  <c r="P4293" i="1"/>
  <c r="U4292" i="1"/>
  <c r="T4292" i="1"/>
  <c r="R4292" i="1"/>
  <c r="P4292" i="1"/>
  <c r="U4291" i="1"/>
  <c r="T4291" i="1"/>
  <c r="R4291" i="1"/>
  <c r="P4291" i="1"/>
  <c r="U4290" i="1"/>
  <c r="T4290" i="1"/>
  <c r="R4290" i="1"/>
  <c r="P4290" i="1"/>
  <c r="U4289" i="1"/>
  <c r="T4289" i="1"/>
  <c r="R4289" i="1"/>
  <c r="P4289" i="1"/>
  <c r="U4288" i="1"/>
  <c r="T4288" i="1"/>
  <c r="R4288" i="1"/>
  <c r="P4288" i="1"/>
  <c r="U4287" i="1"/>
  <c r="T4287" i="1"/>
  <c r="R4287" i="1"/>
  <c r="P4287" i="1"/>
  <c r="U4286" i="1"/>
  <c r="T4286" i="1"/>
  <c r="R4286" i="1"/>
  <c r="P4286" i="1"/>
  <c r="U4285" i="1"/>
  <c r="T4285" i="1"/>
  <c r="R4285" i="1"/>
  <c r="P4285" i="1"/>
  <c r="U4284" i="1"/>
  <c r="T4284" i="1"/>
  <c r="R4284" i="1"/>
  <c r="P4284" i="1"/>
  <c r="U4283" i="1"/>
  <c r="T4283" i="1"/>
  <c r="R4283" i="1"/>
  <c r="P4283" i="1"/>
  <c r="U4282" i="1"/>
  <c r="T4282" i="1"/>
  <c r="R4282" i="1"/>
  <c r="P4282" i="1"/>
  <c r="U4281" i="1"/>
  <c r="T4281" i="1"/>
  <c r="R4281" i="1"/>
  <c r="P4281" i="1"/>
  <c r="U4280" i="1"/>
  <c r="T4280" i="1"/>
  <c r="R4280" i="1"/>
  <c r="P4280" i="1"/>
  <c r="U4279" i="1"/>
  <c r="T4279" i="1"/>
  <c r="R4279" i="1"/>
  <c r="P4279" i="1"/>
  <c r="U4278" i="1"/>
  <c r="T4278" i="1"/>
  <c r="R4278" i="1"/>
  <c r="P4278" i="1"/>
  <c r="U4277" i="1"/>
  <c r="T4277" i="1"/>
  <c r="R4277" i="1"/>
  <c r="P4277" i="1"/>
  <c r="U4276" i="1"/>
  <c r="T4276" i="1"/>
  <c r="R4276" i="1"/>
  <c r="P4276" i="1"/>
  <c r="U4275" i="1"/>
  <c r="T4275" i="1"/>
  <c r="R4275" i="1"/>
  <c r="P4275" i="1"/>
  <c r="U4274" i="1"/>
  <c r="T4274" i="1"/>
  <c r="R4274" i="1"/>
  <c r="P4274" i="1"/>
  <c r="U4273" i="1"/>
  <c r="T4273" i="1"/>
  <c r="R4273" i="1"/>
  <c r="P4273" i="1"/>
  <c r="U4272" i="1"/>
  <c r="T4272" i="1"/>
  <c r="R4272" i="1"/>
  <c r="P4272" i="1"/>
  <c r="U4271" i="1"/>
  <c r="T4271" i="1"/>
  <c r="R4271" i="1"/>
  <c r="P4271" i="1"/>
  <c r="U4270" i="1"/>
  <c r="T4270" i="1"/>
  <c r="R4270" i="1"/>
  <c r="P4270" i="1"/>
  <c r="U4269" i="1"/>
  <c r="T4269" i="1"/>
  <c r="R4269" i="1"/>
  <c r="P4269" i="1"/>
  <c r="U4268" i="1"/>
  <c r="T4268" i="1"/>
  <c r="R4268" i="1"/>
  <c r="P4268" i="1"/>
  <c r="U4267" i="1"/>
  <c r="T4267" i="1"/>
  <c r="R4267" i="1"/>
  <c r="P4267" i="1"/>
  <c r="U4266" i="1"/>
  <c r="T4266" i="1"/>
  <c r="R4266" i="1"/>
  <c r="P4266" i="1"/>
  <c r="U4265" i="1"/>
  <c r="T4265" i="1"/>
  <c r="R4265" i="1"/>
  <c r="P4265" i="1"/>
  <c r="U4264" i="1"/>
  <c r="T4264" i="1"/>
  <c r="R4264" i="1"/>
  <c r="P4264" i="1"/>
  <c r="U4263" i="1"/>
  <c r="T4263" i="1"/>
  <c r="R4263" i="1"/>
  <c r="P4263" i="1"/>
  <c r="U4262" i="1"/>
  <c r="T4262" i="1"/>
  <c r="R4262" i="1"/>
  <c r="P4262" i="1"/>
  <c r="U4261" i="1"/>
  <c r="T4261" i="1"/>
  <c r="R4261" i="1"/>
  <c r="P4261" i="1"/>
  <c r="U4260" i="1"/>
  <c r="T4260" i="1"/>
  <c r="R4260" i="1"/>
  <c r="P4260" i="1"/>
  <c r="U4259" i="1"/>
  <c r="T4259" i="1"/>
  <c r="R4259" i="1"/>
  <c r="P4259" i="1"/>
  <c r="U4258" i="1"/>
  <c r="T4258" i="1"/>
  <c r="R4258" i="1"/>
  <c r="P4258" i="1"/>
  <c r="U4257" i="1"/>
  <c r="T4257" i="1"/>
  <c r="R4257" i="1"/>
  <c r="P4257" i="1"/>
  <c r="U4256" i="1"/>
  <c r="T4256" i="1"/>
  <c r="R4256" i="1"/>
  <c r="P4256" i="1"/>
  <c r="U4255" i="1"/>
  <c r="T4255" i="1"/>
  <c r="R4255" i="1"/>
  <c r="P4255" i="1"/>
  <c r="U4254" i="1"/>
  <c r="T4254" i="1"/>
  <c r="R4254" i="1"/>
  <c r="P4254" i="1"/>
  <c r="U4253" i="1"/>
  <c r="T4253" i="1"/>
  <c r="R4253" i="1"/>
  <c r="P4253" i="1"/>
  <c r="U4252" i="1"/>
  <c r="T4252" i="1"/>
  <c r="R4252" i="1"/>
  <c r="P4252" i="1"/>
  <c r="U4251" i="1"/>
  <c r="T4251" i="1"/>
  <c r="R4251" i="1"/>
  <c r="P4251" i="1"/>
  <c r="U4250" i="1"/>
  <c r="T4250" i="1"/>
  <c r="R4250" i="1"/>
  <c r="P4250" i="1"/>
  <c r="U4249" i="1"/>
  <c r="T4249" i="1"/>
  <c r="R4249" i="1"/>
  <c r="P4249" i="1"/>
  <c r="U4248" i="1"/>
  <c r="T4248" i="1"/>
  <c r="R4248" i="1"/>
  <c r="P4248" i="1"/>
  <c r="U4247" i="1"/>
  <c r="T4247" i="1"/>
  <c r="R4247" i="1"/>
  <c r="P4247" i="1"/>
  <c r="U4246" i="1"/>
  <c r="T4246" i="1"/>
  <c r="R4246" i="1"/>
  <c r="P4246" i="1"/>
  <c r="U4245" i="1"/>
  <c r="T4245" i="1"/>
  <c r="R4245" i="1"/>
  <c r="P4245" i="1"/>
  <c r="U4244" i="1"/>
  <c r="T4244" i="1"/>
  <c r="R4244" i="1"/>
  <c r="P4244" i="1"/>
  <c r="U4243" i="1"/>
  <c r="T4243" i="1"/>
  <c r="R4243" i="1"/>
  <c r="P4243" i="1"/>
  <c r="U4242" i="1"/>
  <c r="T4242" i="1"/>
  <c r="R4242" i="1"/>
  <c r="P4242" i="1"/>
  <c r="U4241" i="1"/>
  <c r="T4241" i="1"/>
  <c r="R4241" i="1"/>
  <c r="P4241" i="1"/>
  <c r="U4240" i="1"/>
  <c r="T4240" i="1"/>
  <c r="R4240" i="1"/>
  <c r="P4240" i="1"/>
  <c r="U4239" i="1"/>
  <c r="T4239" i="1"/>
  <c r="R4239" i="1"/>
  <c r="P4239" i="1"/>
  <c r="U4238" i="1"/>
  <c r="T4238" i="1"/>
  <c r="R4238" i="1"/>
  <c r="P4238" i="1"/>
  <c r="U4237" i="1"/>
  <c r="T4237" i="1"/>
  <c r="R4237" i="1"/>
  <c r="P4237" i="1"/>
  <c r="U4236" i="1"/>
  <c r="T4236" i="1"/>
  <c r="R4236" i="1"/>
  <c r="P4236" i="1"/>
  <c r="U4235" i="1"/>
  <c r="T4235" i="1"/>
  <c r="R4235" i="1"/>
  <c r="P4235" i="1"/>
  <c r="U4234" i="1"/>
  <c r="T4234" i="1"/>
  <c r="R4234" i="1"/>
  <c r="P4234" i="1"/>
  <c r="U4233" i="1"/>
  <c r="T4233" i="1"/>
  <c r="R4233" i="1"/>
  <c r="P4233" i="1"/>
  <c r="U4232" i="1"/>
  <c r="T4232" i="1"/>
  <c r="R4232" i="1"/>
  <c r="P4232" i="1"/>
  <c r="U4231" i="1"/>
  <c r="T4231" i="1"/>
  <c r="R4231" i="1"/>
  <c r="P4231" i="1"/>
  <c r="U4230" i="1"/>
  <c r="T4230" i="1"/>
  <c r="R4230" i="1"/>
  <c r="P4230" i="1"/>
  <c r="U4229" i="1"/>
  <c r="T4229" i="1"/>
  <c r="R4229" i="1"/>
  <c r="P4229" i="1"/>
  <c r="U4228" i="1"/>
  <c r="T4228" i="1"/>
  <c r="R4228" i="1"/>
  <c r="P4228" i="1"/>
  <c r="U4227" i="1"/>
  <c r="T4227" i="1"/>
  <c r="R4227" i="1"/>
  <c r="P4227" i="1"/>
  <c r="U4226" i="1"/>
  <c r="T4226" i="1"/>
  <c r="R4226" i="1"/>
  <c r="P4226" i="1"/>
  <c r="U4225" i="1"/>
  <c r="T4225" i="1"/>
  <c r="R4225" i="1"/>
  <c r="P4225" i="1"/>
  <c r="U4224" i="1"/>
  <c r="T4224" i="1"/>
  <c r="R4224" i="1"/>
  <c r="P4224" i="1"/>
  <c r="U4223" i="1"/>
  <c r="T4223" i="1"/>
  <c r="R4223" i="1"/>
  <c r="P4223" i="1"/>
  <c r="U4222" i="1"/>
  <c r="T4222" i="1"/>
  <c r="R4222" i="1"/>
  <c r="P4222" i="1"/>
  <c r="U4221" i="1"/>
  <c r="T4221" i="1"/>
  <c r="R4221" i="1"/>
  <c r="P4221" i="1"/>
  <c r="U4220" i="1"/>
  <c r="T4220" i="1"/>
  <c r="R4220" i="1"/>
  <c r="P4220" i="1"/>
  <c r="U4219" i="1"/>
  <c r="T4219" i="1"/>
  <c r="R4219" i="1"/>
  <c r="P4219" i="1"/>
  <c r="U4218" i="1"/>
  <c r="T4218" i="1"/>
  <c r="R4218" i="1"/>
  <c r="P4218" i="1"/>
  <c r="U4217" i="1"/>
  <c r="T4217" i="1"/>
  <c r="R4217" i="1"/>
  <c r="P4217" i="1"/>
  <c r="U4216" i="1"/>
  <c r="T4216" i="1"/>
  <c r="R4216" i="1"/>
  <c r="P4216" i="1"/>
  <c r="U4215" i="1"/>
  <c r="T4215" i="1"/>
  <c r="R4215" i="1"/>
  <c r="P4215" i="1"/>
  <c r="U4214" i="1"/>
  <c r="T4214" i="1"/>
  <c r="R4214" i="1"/>
  <c r="P4214" i="1"/>
  <c r="U4213" i="1"/>
  <c r="T4213" i="1"/>
  <c r="R4213" i="1"/>
  <c r="P4213" i="1"/>
  <c r="U4212" i="1"/>
  <c r="T4212" i="1"/>
  <c r="R4212" i="1"/>
  <c r="P4212" i="1"/>
  <c r="U4211" i="1"/>
  <c r="T4211" i="1"/>
  <c r="R4211" i="1"/>
  <c r="P4211" i="1"/>
  <c r="U4210" i="1"/>
  <c r="T4210" i="1"/>
  <c r="R4210" i="1"/>
  <c r="P4210" i="1"/>
  <c r="U4209" i="1"/>
  <c r="T4209" i="1"/>
  <c r="R4209" i="1"/>
  <c r="P4209" i="1"/>
  <c r="U4208" i="1"/>
  <c r="T4208" i="1"/>
  <c r="R4208" i="1"/>
  <c r="P4208" i="1"/>
  <c r="U4207" i="1"/>
  <c r="T4207" i="1"/>
  <c r="R4207" i="1"/>
  <c r="P4207" i="1"/>
  <c r="U4206" i="1"/>
  <c r="T4206" i="1"/>
  <c r="R4206" i="1"/>
  <c r="P4206" i="1"/>
  <c r="U4205" i="1"/>
  <c r="T4205" i="1"/>
  <c r="R4205" i="1"/>
  <c r="P4205" i="1"/>
  <c r="U4204" i="1"/>
  <c r="T4204" i="1"/>
  <c r="R4204" i="1"/>
  <c r="P4204" i="1"/>
  <c r="U4203" i="1"/>
  <c r="T4203" i="1"/>
  <c r="R4203" i="1"/>
  <c r="P4203" i="1"/>
  <c r="U4202" i="1"/>
  <c r="T4202" i="1"/>
  <c r="R4202" i="1"/>
  <c r="P4202" i="1"/>
  <c r="U4201" i="1"/>
  <c r="T4201" i="1"/>
  <c r="R4201" i="1"/>
  <c r="P4201" i="1"/>
  <c r="U4200" i="1"/>
  <c r="T4200" i="1"/>
  <c r="R4200" i="1"/>
  <c r="P4200" i="1"/>
  <c r="U4199" i="1"/>
  <c r="T4199" i="1"/>
  <c r="R4199" i="1"/>
  <c r="P4199" i="1"/>
  <c r="U4198" i="1"/>
  <c r="T4198" i="1"/>
  <c r="R4198" i="1"/>
  <c r="P4198" i="1"/>
  <c r="U4197" i="1"/>
  <c r="T4197" i="1"/>
  <c r="R4197" i="1"/>
  <c r="P4197" i="1"/>
  <c r="U4196" i="1"/>
  <c r="T4196" i="1"/>
  <c r="R4196" i="1"/>
  <c r="P4196" i="1"/>
  <c r="U4195" i="1"/>
  <c r="T4195" i="1"/>
  <c r="R4195" i="1"/>
  <c r="P4195" i="1"/>
  <c r="U4194" i="1"/>
  <c r="T4194" i="1"/>
  <c r="R4194" i="1"/>
  <c r="P4194" i="1"/>
  <c r="U4193" i="1"/>
  <c r="T4193" i="1"/>
  <c r="R4193" i="1"/>
  <c r="P4193" i="1"/>
  <c r="U4192" i="1"/>
  <c r="T4192" i="1"/>
  <c r="R4192" i="1"/>
  <c r="P4192" i="1"/>
  <c r="U4191" i="1"/>
  <c r="T4191" i="1"/>
  <c r="R4191" i="1"/>
  <c r="P4191" i="1"/>
  <c r="U4190" i="1"/>
  <c r="T4190" i="1"/>
  <c r="R4190" i="1"/>
  <c r="P4190" i="1"/>
  <c r="U4189" i="1"/>
  <c r="T4189" i="1"/>
  <c r="R4189" i="1"/>
  <c r="P4189" i="1"/>
  <c r="U4188" i="1"/>
  <c r="T4188" i="1"/>
  <c r="R4188" i="1"/>
  <c r="P4188" i="1"/>
  <c r="U4187" i="1"/>
  <c r="T4187" i="1"/>
  <c r="R4187" i="1"/>
  <c r="P4187" i="1"/>
  <c r="U4186" i="1"/>
  <c r="T4186" i="1"/>
  <c r="R4186" i="1"/>
  <c r="P4186" i="1"/>
  <c r="U4185" i="1"/>
  <c r="T4185" i="1"/>
  <c r="R4185" i="1"/>
  <c r="P4185" i="1"/>
  <c r="U4184" i="1"/>
  <c r="T4184" i="1"/>
  <c r="R4184" i="1"/>
  <c r="P4184" i="1"/>
  <c r="U4183" i="1"/>
  <c r="T4183" i="1"/>
  <c r="R4183" i="1"/>
  <c r="P4183" i="1"/>
  <c r="U4182" i="1"/>
  <c r="T4182" i="1"/>
  <c r="R4182" i="1"/>
  <c r="P4182" i="1"/>
  <c r="U4181" i="1"/>
  <c r="T4181" i="1"/>
  <c r="R4181" i="1"/>
  <c r="P4181" i="1"/>
  <c r="U4180" i="1"/>
  <c r="T4180" i="1"/>
  <c r="R4180" i="1"/>
  <c r="P4180" i="1"/>
  <c r="U4179" i="1"/>
  <c r="T4179" i="1"/>
  <c r="R4179" i="1"/>
  <c r="P4179" i="1"/>
  <c r="U4178" i="1"/>
  <c r="T4178" i="1"/>
  <c r="R4178" i="1"/>
  <c r="P4178" i="1"/>
  <c r="U4177" i="1"/>
  <c r="T4177" i="1"/>
  <c r="R4177" i="1"/>
  <c r="P4177" i="1"/>
  <c r="U4176" i="1"/>
  <c r="T4176" i="1"/>
  <c r="R4176" i="1"/>
  <c r="P4176" i="1"/>
  <c r="U4175" i="1"/>
  <c r="T4175" i="1"/>
  <c r="R4175" i="1"/>
  <c r="P4175" i="1"/>
  <c r="U4174" i="1"/>
  <c r="T4174" i="1"/>
  <c r="R4174" i="1"/>
  <c r="P4174" i="1"/>
  <c r="U4173" i="1"/>
  <c r="T4173" i="1"/>
  <c r="R4173" i="1"/>
  <c r="P4173" i="1"/>
  <c r="U4172" i="1"/>
  <c r="T4172" i="1"/>
  <c r="R4172" i="1"/>
  <c r="P4172" i="1"/>
  <c r="U4171" i="1"/>
  <c r="T4171" i="1"/>
  <c r="R4171" i="1"/>
  <c r="P4171" i="1"/>
  <c r="U4170" i="1"/>
  <c r="T4170" i="1"/>
  <c r="R4170" i="1"/>
  <c r="P4170" i="1"/>
  <c r="U4169" i="1"/>
  <c r="T4169" i="1"/>
  <c r="R4169" i="1"/>
  <c r="P4169" i="1"/>
  <c r="U4168" i="1"/>
  <c r="T4168" i="1"/>
  <c r="R4168" i="1"/>
  <c r="P4168" i="1"/>
  <c r="U4167" i="1"/>
  <c r="T4167" i="1"/>
  <c r="R4167" i="1"/>
  <c r="P4167" i="1"/>
  <c r="U4166" i="1"/>
  <c r="T4166" i="1"/>
  <c r="R4166" i="1"/>
  <c r="P4166" i="1"/>
  <c r="U4165" i="1"/>
  <c r="T4165" i="1"/>
  <c r="R4165" i="1"/>
  <c r="P4165" i="1"/>
  <c r="U4164" i="1"/>
  <c r="T4164" i="1"/>
  <c r="R4164" i="1"/>
  <c r="P4164" i="1"/>
  <c r="U4163" i="1"/>
  <c r="T4163" i="1"/>
  <c r="R4163" i="1"/>
  <c r="P4163" i="1"/>
  <c r="U4162" i="1"/>
  <c r="T4162" i="1"/>
  <c r="R4162" i="1"/>
  <c r="P4162" i="1"/>
  <c r="U4161" i="1"/>
  <c r="T4161" i="1"/>
  <c r="R4161" i="1"/>
  <c r="P4161" i="1"/>
  <c r="U4160" i="1"/>
  <c r="T4160" i="1"/>
  <c r="R4160" i="1"/>
  <c r="P4160" i="1"/>
  <c r="U4159" i="1"/>
  <c r="T4159" i="1"/>
  <c r="R4159" i="1"/>
  <c r="P4159" i="1"/>
  <c r="U4158" i="1"/>
  <c r="T4158" i="1"/>
  <c r="R4158" i="1"/>
  <c r="P4158" i="1"/>
  <c r="U4157" i="1"/>
  <c r="T4157" i="1"/>
  <c r="R4157" i="1"/>
  <c r="P4157" i="1"/>
  <c r="U4156" i="1"/>
  <c r="T4156" i="1"/>
  <c r="R4156" i="1"/>
  <c r="P4156" i="1"/>
  <c r="U4155" i="1"/>
  <c r="T4155" i="1"/>
  <c r="R4155" i="1"/>
  <c r="P4155" i="1"/>
  <c r="U4154" i="1"/>
  <c r="T4154" i="1"/>
  <c r="R4154" i="1"/>
  <c r="P4154" i="1"/>
  <c r="U4153" i="1"/>
  <c r="T4153" i="1"/>
  <c r="R4153" i="1"/>
  <c r="P4153" i="1"/>
  <c r="U4152" i="1"/>
  <c r="T4152" i="1"/>
  <c r="R4152" i="1"/>
  <c r="P4152" i="1"/>
  <c r="U4151" i="1"/>
  <c r="T4151" i="1"/>
  <c r="R4151" i="1"/>
  <c r="P4151" i="1"/>
  <c r="U4150" i="1"/>
  <c r="T4150" i="1"/>
  <c r="R4150" i="1"/>
  <c r="P4150" i="1"/>
  <c r="U4149" i="1"/>
  <c r="T4149" i="1"/>
  <c r="R4149" i="1"/>
  <c r="P4149" i="1"/>
  <c r="U4148" i="1"/>
  <c r="T4148" i="1"/>
  <c r="R4148" i="1"/>
  <c r="P4148" i="1"/>
  <c r="U4147" i="1"/>
  <c r="T4147" i="1"/>
  <c r="R4147" i="1"/>
  <c r="P4147" i="1"/>
  <c r="U4146" i="1"/>
  <c r="T4146" i="1"/>
  <c r="R4146" i="1"/>
  <c r="P4146" i="1"/>
  <c r="U4145" i="1"/>
  <c r="T4145" i="1"/>
  <c r="R4145" i="1"/>
  <c r="P4145" i="1"/>
  <c r="U4144" i="1"/>
  <c r="T4144" i="1"/>
  <c r="R4144" i="1"/>
  <c r="P4144" i="1"/>
  <c r="U4143" i="1"/>
  <c r="T4143" i="1"/>
  <c r="R4143" i="1"/>
  <c r="P4143" i="1"/>
  <c r="U4142" i="1"/>
  <c r="T4142" i="1"/>
  <c r="R4142" i="1"/>
  <c r="P4142" i="1"/>
  <c r="U4141" i="1"/>
  <c r="T4141" i="1"/>
  <c r="R4141" i="1"/>
  <c r="P4141" i="1"/>
  <c r="U4140" i="1"/>
  <c r="T4140" i="1"/>
  <c r="R4140" i="1"/>
  <c r="P4140" i="1"/>
  <c r="U4139" i="1"/>
  <c r="T4139" i="1"/>
  <c r="R4139" i="1"/>
  <c r="P4139" i="1"/>
  <c r="U4138" i="1"/>
  <c r="T4138" i="1"/>
  <c r="R4138" i="1"/>
  <c r="P4138" i="1"/>
  <c r="U4137" i="1"/>
  <c r="T4137" i="1"/>
  <c r="R4137" i="1"/>
  <c r="P4137" i="1"/>
  <c r="U4136" i="1"/>
  <c r="T4136" i="1"/>
  <c r="R4136" i="1"/>
  <c r="P4136" i="1"/>
  <c r="U4135" i="1"/>
  <c r="T4135" i="1"/>
  <c r="R4135" i="1"/>
  <c r="P4135" i="1"/>
  <c r="U4134" i="1"/>
  <c r="T4134" i="1"/>
  <c r="R4134" i="1"/>
  <c r="P4134" i="1"/>
  <c r="U4133" i="1"/>
  <c r="T4133" i="1"/>
  <c r="R4133" i="1"/>
  <c r="P4133" i="1"/>
  <c r="U4132" i="1"/>
  <c r="T4132" i="1"/>
  <c r="R4132" i="1"/>
  <c r="P4132" i="1"/>
  <c r="U4131" i="1"/>
  <c r="T4131" i="1"/>
  <c r="R4131" i="1"/>
  <c r="P4131" i="1"/>
  <c r="U4130" i="1"/>
  <c r="T4130" i="1"/>
  <c r="R4130" i="1"/>
  <c r="P4130" i="1"/>
  <c r="U4129" i="1"/>
  <c r="T4129" i="1"/>
  <c r="R4129" i="1"/>
  <c r="P4129" i="1"/>
  <c r="U4128" i="1"/>
  <c r="T4128" i="1"/>
  <c r="R4128" i="1"/>
  <c r="P4128" i="1"/>
  <c r="U4127" i="1"/>
  <c r="T4127" i="1"/>
  <c r="R4127" i="1"/>
  <c r="P4127" i="1"/>
  <c r="U4126" i="1"/>
  <c r="T4126" i="1"/>
  <c r="R4126" i="1"/>
  <c r="P4126" i="1"/>
  <c r="U4125" i="1"/>
  <c r="T4125" i="1"/>
  <c r="R4125" i="1"/>
  <c r="P4125" i="1"/>
  <c r="U4124" i="1"/>
  <c r="T4124" i="1"/>
  <c r="R4124" i="1"/>
  <c r="P4124" i="1"/>
  <c r="U4123" i="1"/>
  <c r="T4123" i="1"/>
  <c r="R4123" i="1"/>
  <c r="P4123" i="1"/>
  <c r="U4122" i="1"/>
  <c r="T4122" i="1"/>
  <c r="R4122" i="1"/>
  <c r="P4122" i="1"/>
  <c r="U4121" i="1"/>
  <c r="T4121" i="1"/>
  <c r="R4121" i="1"/>
  <c r="P4121" i="1"/>
  <c r="U4120" i="1"/>
  <c r="T4120" i="1"/>
  <c r="R4120" i="1"/>
  <c r="P4120" i="1"/>
  <c r="U4119" i="1"/>
  <c r="T4119" i="1"/>
  <c r="R4119" i="1"/>
  <c r="P4119" i="1"/>
  <c r="U4118" i="1"/>
  <c r="T4118" i="1"/>
  <c r="R4118" i="1"/>
  <c r="P4118" i="1"/>
  <c r="U4117" i="1"/>
  <c r="T4117" i="1"/>
  <c r="R4117" i="1"/>
  <c r="P4117" i="1"/>
  <c r="U4116" i="1"/>
  <c r="T4116" i="1"/>
  <c r="R4116" i="1"/>
  <c r="P4116" i="1"/>
  <c r="U4115" i="1"/>
  <c r="T4115" i="1"/>
  <c r="R4115" i="1"/>
  <c r="P4115" i="1"/>
  <c r="U4114" i="1"/>
  <c r="T4114" i="1"/>
  <c r="R4114" i="1"/>
  <c r="P4114" i="1"/>
  <c r="U4113" i="1"/>
  <c r="T4113" i="1"/>
  <c r="R4113" i="1"/>
  <c r="P4113" i="1"/>
  <c r="U4112" i="1"/>
  <c r="T4112" i="1"/>
  <c r="R4112" i="1"/>
  <c r="P4112" i="1"/>
  <c r="U4111" i="1"/>
  <c r="T4111" i="1"/>
  <c r="R4111" i="1"/>
  <c r="P4111" i="1"/>
  <c r="U4110" i="1"/>
  <c r="T4110" i="1"/>
  <c r="R4110" i="1"/>
  <c r="P4110" i="1"/>
  <c r="U4109" i="1"/>
  <c r="T4109" i="1"/>
  <c r="R4109" i="1"/>
  <c r="P4109" i="1"/>
  <c r="U4108" i="1"/>
  <c r="T4108" i="1"/>
  <c r="R4108" i="1"/>
  <c r="P4108" i="1"/>
  <c r="U4107" i="1"/>
  <c r="T4107" i="1"/>
  <c r="R4107" i="1"/>
  <c r="P4107" i="1"/>
  <c r="U4106" i="1"/>
  <c r="T4106" i="1"/>
  <c r="R4106" i="1"/>
  <c r="P4106" i="1"/>
  <c r="U4105" i="1"/>
  <c r="T4105" i="1"/>
  <c r="R4105" i="1"/>
  <c r="P4105" i="1"/>
  <c r="U4104" i="1"/>
  <c r="T4104" i="1"/>
  <c r="R4104" i="1"/>
  <c r="P4104" i="1"/>
  <c r="U4103" i="1"/>
  <c r="T4103" i="1"/>
  <c r="R4103" i="1"/>
  <c r="P4103" i="1"/>
  <c r="U4102" i="1"/>
  <c r="T4102" i="1"/>
  <c r="R4102" i="1"/>
  <c r="P4102" i="1"/>
  <c r="U4101" i="1"/>
  <c r="T4101" i="1"/>
  <c r="R4101" i="1"/>
  <c r="P4101" i="1"/>
  <c r="U4100" i="1"/>
  <c r="T4100" i="1"/>
  <c r="R4100" i="1"/>
  <c r="P4100" i="1"/>
  <c r="U4099" i="1"/>
  <c r="T4099" i="1"/>
  <c r="R4099" i="1"/>
  <c r="P4099" i="1"/>
  <c r="U4098" i="1"/>
  <c r="T4098" i="1"/>
  <c r="R4098" i="1"/>
  <c r="P4098" i="1"/>
  <c r="U4097" i="1"/>
  <c r="T4097" i="1"/>
  <c r="R4097" i="1"/>
  <c r="P4097" i="1"/>
  <c r="U4096" i="1"/>
  <c r="T4096" i="1"/>
  <c r="R4096" i="1"/>
  <c r="P4096" i="1"/>
  <c r="U4095" i="1"/>
  <c r="T4095" i="1"/>
  <c r="R4095" i="1"/>
  <c r="P4095" i="1"/>
  <c r="U4094" i="1"/>
  <c r="T4094" i="1"/>
  <c r="R4094" i="1"/>
  <c r="P4094" i="1"/>
  <c r="U4093" i="1"/>
  <c r="T4093" i="1"/>
  <c r="R4093" i="1"/>
  <c r="P4093" i="1"/>
  <c r="U4092" i="1"/>
  <c r="T4092" i="1"/>
  <c r="R4092" i="1"/>
  <c r="P4092" i="1"/>
  <c r="U4091" i="1"/>
  <c r="T4091" i="1"/>
  <c r="R4091" i="1"/>
  <c r="P4091" i="1"/>
  <c r="U4090" i="1"/>
  <c r="T4090" i="1"/>
  <c r="R4090" i="1"/>
  <c r="P4090" i="1"/>
  <c r="U4089" i="1"/>
  <c r="T4089" i="1"/>
  <c r="R4089" i="1"/>
  <c r="P4089" i="1"/>
  <c r="U4088" i="1"/>
  <c r="T4088" i="1"/>
  <c r="R4088" i="1"/>
  <c r="P4088" i="1"/>
  <c r="U4087" i="1"/>
  <c r="T4087" i="1"/>
  <c r="R4087" i="1"/>
  <c r="P4087" i="1"/>
  <c r="U4086" i="1"/>
  <c r="T4086" i="1"/>
  <c r="R4086" i="1"/>
  <c r="P4086" i="1"/>
  <c r="U4085" i="1"/>
  <c r="T4085" i="1"/>
  <c r="R4085" i="1"/>
  <c r="P4085" i="1"/>
  <c r="U4084" i="1"/>
  <c r="T4084" i="1"/>
  <c r="R4084" i="1"/>
  <c r="P4084" i="1"/>
  <c r="U4083" i="1"/>
  <c r="T4083" i="1"/>
  <c r="R4083" i="1"/>
  <c r="P4083" i="1"/>
  <c r="U4082" i="1"/>
  <c r="T4082" i="1"/>
  <c r="R4082" i="1"/>
  <c r="P4082" i="1"/>
  <c r="U4081" i="1"/>
  <c r="T4081" i="1"/>
  <c r="R4081" i="1"/>
  <c r="P4081" i="1"/>
  <c r="U4080" i="1"/>
  <c r="T4080" i="1"/>
  <c r="R4080" i="1"/>
  <c r="P4080" i="1"/>
  <c r="U4079" i="1"/>
  <c r="T4079" i="1"/>
  <c r="R4079" i="1"/>
  <c r="P4079" i="1"/>
  <c r="U4078" i="1"/>
  <c r="T4078" i="1"/>
  <c r="R4078" i="1"/>
  <c r="P4078" i="1"/>
  <c r="U4077" i="1"/>
  <c r="T4077" i="1"/>
  <c r="R4077" i="1"/>
  <c r="P4077" i="1"/>
  <c r="U4076" i="1"/>
  <c r="T4076" i="1"/>
  <c r="R4076" i="1"/>
  <c r="P4076" i="1"/>
  <c r="U4075" i="1"/>
  <c r="T4075" i="1"/>
  <c r="R4075" i="1"/>
  <c r="P4075" i="1"/>
  <c r="U4074" i="1"/>
  <c r="T4074" i="1"/>
  <c r="R4074" i="1"/>
  <c r="P4074" i="1"/>
  <c r="U4073" i="1"/>
  <c r="T4073" i="1"/>
  <c r="R4073" i="1"/>
  <c r="P4073" i="1"/>
  <c r="U4072" i="1"/>
  <c r="T4072" i="1"/>
  <c r="R4072" i="1"/>
  <c r="P4072" i="1"/>
  <c r="U4071" i="1"/>
  <c r="T4071" i="1"/>
  <c r="R4071" i="1"/>
  <c r="P4071" i="1"/>
  <c r="U4070" i="1"/>
  <c r="T4070" i="1"/>
  <c r="R4070" i="1"/>
  <c r="P4070" i="1"/>
  <c r="U4069" i="1"/>
  <c r="T4069" i="1"/>
  <c r="R4069" i="1"/>
  <c r="P4069" i="1"/>
  <c r="U4068" i="1"/>
  <c r="T4068" i="1"/>
  <c r="R4068" i="1"/>
  <c r="P4068" i="1"/>
  <c r="U4067" i="1"/>
  <c r="T4067" i="1"/>
  <c r="R4067" i="1"/>
  <c r="P4067" i="1"/>
  <c r="U4066" i="1"/>
  <c r="T4066" i="1"/>
  <c r="R4066" i="1"/>
  <c r="P4066" i="1"/>
  <c r="U4065" i="1"/>
  <c r="T4065" i="1"/>
  <c r="R4065" i="1"/>
  <c r="P4065" i="1"/>
  <c r="U4064" i="1"/>
  <c r="T4064" i="1"/>
  <c r="R4064" i="1"/>
  <c r="P4064" i="1"/>
  <c r="U4063" i="1"/>
  <c r="T4063" i="1"/>
  <c r="R4063" i="1"/>
  <c r="P4063" i="1"/>
  <c r="U4062" i="1"/>
  <c r="T4062" i="1"/>
  <c r="R4062" i="1"/>
  <c r="P4062" i="1"/>
  <c r="U4061" i="1"/>
  <c r="T4061" i="1"/>
  <c r="R4061" i="1"/>
  <c r="P4061" i="1"/>
  <c r="U4060" i="1"/>
  <c r="T4060" i="1"/>
  <c r="R4060" i="1"/>
  <c r="P4060" i="1"/>
  <c r="U4059" i="1"/>
  <c r="T4059" i="1"/>
  <c r="R4059" i="1"/>
  <c r="P4059" i="1"/>
  <c r="U4058" i="1"/>
  <c r="T4058" i="1"/>
  <c r="R4058" i="1"/>
  <c r="P4058" i="1"/>
  <c r="U4057" i="1"/>
  <c r="T4057" i="1"/>
  <c r="R4057" i="1"/>
  <c r="P4057" i="1"/>
  <c r="U4056" i="1"/>
  <c r="T4056" i="1"/>
  <c r="R4056" i="1"/>
  <c r="P4056" i="1"/>
  <c r="U4055" i="1"/>
  <c r="T4055" i="1"/>
  <c r="R4055" i="1"/>
  <c r="P4055" i="1"/>
  <c r="U4054" i="1"/>
  <c r="T4054" i="1"/>
  <c r="R4054" i="1"/>
  <c r="P4054" i="1"/>
  <c r="U4053" i="1"/>
  <c r="T4053" i="1"/>
  <c r="R4053" i="1"/>
  <c r="P4053" i="1"/>
  <c r="U4052" i="1"/>
  <c r="T4052" i="1"/>
  <c r="R4052" i="1"/>
  <c r="P4052" i="1"/>
  <c r="U4051" i="1"/>
  <c r="T4051" i="1"/>
  <c r="R4051" i="1"/>
  <c r="P4051" i="1"/>
  <c r="U4050" i="1"/>
  <c r="T4050" i="1"/>
  <c r="R4050" i="1"/>
  <c r="P4050" i="1"/>
  <c r="U4049" i="1"/>
  <c r="T4049" i="1"/>
  <c r="R4049" i="1"/>
  <c r="P4049" i="1"/>
  <c r="U4048" i="1"/>
  <c r="T4048" i="1"/>
  <c r="R4048" i="1"/>
  <c r="P4048" i="1"/>
  <c r="U4047" i="1"/>
  <c r="T4047" i="1"/>
  <c r="R4047" i="1"/>
  <c r="P4047" i="1"/>
  <c r="U4046" i="1"/>
  <c r="T4046" i="1"/>
  <c r="R4046" i="1"/>
  <c r="P4046" i="1"/>
  <c r="U4045" i="1"/>
  <c r="T4045" i="1"/>
  <c r="R4045" i="1"/>
  <c r="P4045" i="1"/>
  <c r="U4044" i="1"/>
  <c r="T4044" i="1"/>
  <c r="R4044" i="1"/>
  <c r="P4044" i="1"/>
  <c r="U4043" i="1"/>
  <c r="T4043" i="1"/>
  <c r="R4043" i="1"/>
  <c r="P4043" i="1"/>
  <c r="U4042" i="1"/>
  <c r="T4042" i="1"/>
  <c r="R4042" i="1"/>
  <c r="P4042" i="1"/>
  <c r="U4041" i="1"/>
  <c r="T4041" i="1"/>
  <c r="R4041" i="1"/>
  <c r="P4041" i="1"/>
  <c r="U4040" i="1"/>
  <c r="T4040" i="1"/>
  <c r="R4040" i="1"/>
  <c r="P4040" i="1"/>
  <c r="U4039" i="1"/>
  <c r="T4039" i="1"/>
  <c r="R4039" i="1"/>
  <c r="P4039" i="1"/>
  <c r="U4038" i="1"/>
  <c r="T4038" i="1"/>
  <c r="R4038" i="1"/>
  <c r="P4038" i="1"/>
  <c r="U4037" i="1"/>
  <c r="T4037" i="1"/>
  <c r="R4037" i="1"/>
  <c r="P4037" i="1"/>
  <c r="U4036" i="1"/>
  <c r="T4036" i="1"/>
  <c r="R4036" i="1"/>
  <c r="P4036" i="1"/>
  <c r="U4035" i="1"/>
  <c r="T4035" i="1"/>
  <c r="R4035" i="1"/>
  <c r="P4035" i="1"/>
  <c r="U4034" i="1"/>
  <c r="T4034" i="1"/>
  <c r="R4034" i="1"/>
  <c r="P4034" i="1"/>
  <c r="U4033" i="1"/>
  <c r="T4033" i="1"/>
  <c r="R4033" i="1"/>
  <c r="P4033" i="1"/>
  <c r="U4032" i="1"/>
  <c r="T4032" i="1"/>
  <c r="R4032" i="1"/>
  <c r="P4032" i="1"/>
  <c r="U4031" i="1"/>
  <c r="T4031" i="1"/>
  <c r="R4031" i="1"/>
  <c r="P4031" i="1"/>
  <c r="U4030" i="1"/>
  <c r="T4030" i="1"/>
  <c r="R4030" i="1"/>
  <c r="P4030" i="1"/>
  <c r="U4029" i="1"/>
  <c r="T4029" i="1"/>
  <c r="R4029" i="1"/>
  <c r="P4029" i="1"/>
  <c r="U4028" i="1"/>
  <c r="T4028" i="1"/>
  <c r="R4028" i="1"/>
  <c r="P4028" i="1"/>
  <c r="U4027" i="1"/>
  <c r="T4027" i="1"/>
  <c r="R4027" i="1"/>
  <c r="P4027" i="1"/>
  <c r="U4026" i="1"/>
  <c r="T4026" i="1"/>
  <c r="R4026" i="1"/>
  <c r="P4026" i="1"/>
  <c r="U4025" i="1"/>
  <c r="T4025" i="1"/>
  <c r="R4025" i="1"/>
  <c r="P4025" i="1"/>
  <c r="U4024" i="1"/>
  <c r="T4024" i="1"/>
  <c r="R4024" i="1"/>
  <c r="P4024" i="1"/>
  <c r="U4023" i="1"/>
  <c r="T4023" i="1"/>
  <c r="R4023" i="1"/>
  <c r="P4023" i="1"/>
  <c r="U4022" i="1"/>
  <c r="T4022" i="1"/>
  <c r="R4022" i="1"/>
  <c r="P4022" i="1"/>
  <c r="U4021" i="1"/>
  <c r="T4021" i="1"/>
  <c r="R4021" i="1"/>
  <c r="P4021" i="1"/>
  <c r="U4020" i="1"/>
  <c r="T4020" i="1"/>
  <c r="R4020" i="1"/>
  <c r="P4020" i="1"/>
  <c r="U4019" i="1"/>
  <c r="T4019" i="1"/>
  <c r="R4019" i="1"/>
  <c r="P4019" i="1"/>
  <c r="U4018" i="1"/>
  <c r="T4018" i="1"/>
  <c r="R4018" i="1"/>
  <c r="P4018" i="1"/>
  <c r="U4017" i="1"/>
  <c r="T4017" i="1"/>
  <c r="R4017" i="1"/>
  <c r="P4017" i="1"/>
  <c r="U4016" i="1"/>
  <c r="T4016" i="1"/>
  <c r="R4016" i="1"/>
  <c r="P4016" i="1"/>
  <c r="U4015" i="1"/>
  <c r="T4015" i="1"/>
  <c r="R4015" i="1"/>
  <c r="P4015" i="1"/>
  <c r="U4014" i="1"/>
  <c r="T4014" i="1"/>
  <c r="R4014" i="1"/>
  <c r="P4014" i="1"/>
  <c r="U4013" i="1"/>
  <c r="T4013" i="1"/>
  <c r="R4013" i="1"/>
  <c r="P4013" i="1"/>
  <c r="U4012" i="1"/>
  <c r="T4012" i="1"/>
  <c r="R4012" i="1"/>
  <c r="P4012" i="1"/>
  <c r="U4011" i="1"/>
  <c r="T4011" i="1"/>
  <c r="R4011" i="1"/>
  <c r="P4011" i="1"/>
  <c r="U4010" i="1"/>
  <c r="T4010" i="1"/>
  <c r="R4010" i="1"/>
  <c r="P4010" i="1"/>
  <c r="U4009" i="1"/>
  <c r="T4009" i="1"/>
  <c r="R4009" i="1"/>
  <c r="P4009" i="1"/>
  <c r="U4008" i="1"/>
  <c r="T4008" i="1"/>
  <c r="R4008" i="1"/>
  <c r="P4008" i="1"/>
  <c r="U4007" i="1"/>
  <c r="T4007" i="1"/>
  <c r="R4007" i="1"/>
  <c r="P4007" i="1"/>
  <c r="U4006" i="1"/>
  <c r="T4006" i="1"/>
  <c r="R4006" i="1"/>
  <c r="P4006" i="1"/>
  <c r="U4005" i="1"/>
  <c r="T4005" i="1"/>
  <c r="R4005" i="1"/>
  <c r="P4005" i="1"/>
  <c r="U4004" i="1"/>
  <c r="T4004" i="1"/>
  <c r="R4004" i="1"/>
  <c r="P4004" i="1"/>
  <c r="U4003" i="1"/>
  <c r="T4003" i="1"/>
  <c r="R4003" i="1"/>
  <c r="P4003" i="1"/>
  <c r="U4002" i="1"/>
  <c r="T4002" i="1"/>
  <c r="R4002" i="1"/>
  <c r="P4002" i="1"/>
  <c r="U4001" i="1"/>
  <c r="T4001" i="1"/>
  <c r="R4001" i="1"/>
  <c r="P4001" i="1"/>
  <c r="U4000" i="1"/>
  <c r="T4000" i="1"/>
  <c r="R4000" i="1"/>
  <c r="P4000" i="1"/>
  <c r="U3999" i="1"/>
  <c r="T3999" i="1"/>
  <c r="R3999" i="1"/>
  <c r="P3999" i="1"/>
  <c r="U3998" i="1"/>
  <c r="T3998" i="1"/>
  <c r="R3998" i="1"/>
  <c r="P3998" i="1"/>
  <c r="U3997" i="1"/>
  <c r="T3997" i="1"/>
  <c r="R3997" i="1"/>
  <c r="P3997" i="1"/>
  <c r="U3996" i="1"/>
  <c r="T3996" i="1"/>
  <c r="R3996" i="1"/>
  <c r="P3996" i="1"/>
  <c r="U3995" i="1"/>
  <c r="T3995" i="1"/>
  <c r="R3995" i="1"/>
  <c r="P3995" i="1"/>
  <c r="U3994" i="1"/>
  <c r="T3994" i="1"/>
  <c r="R3994" i="1"/>
  <c r="P3994" i="1"/>
  <c r="U3993" i="1"/>
  <c r="T3993" i="1"/>
  <c r="R3993" i="1"/>
  <c r="P3993" i="1"/>
  <c r="U3992" i="1"/>
  <c r="T3992" i="1"/>
  <c r="R3992" i="1"/>
  <c r="P3992" i="1"/>
  <c r="U3991" i="1"/>
  <c r="T3991" i="1"/>
  <c r="R3991" i="1"/>
  <c r="P3991" i="1"/>
  <c r="U3990" i="1"/>
  <c r="T3990" i="1"/>
  <c r="R3990" i="1"/>
  <c r="P3990" i="1"/>
  <c r="U3989" i="1"/>
  <c r="T3989" i="1"/>
  <c r="R3989" i="1"/>
  <c r="P3989" i="1"/>
  <c r="U3988" i="1"/>
  <c r="T3988" i="1"/>
  <c r="R3988" i="1"/>
  <c r="P3988" i="1"/>
  <c r="U3987" i="1"/>
  <c r="T3987" i="1"/>
  <c r="R3987" i="1"/>
  <c r="P3987" i="1"/>
  <c r="U3986" i="1"/>
  <c r="T3986" i="1"/>
  <c r="R3986" i="1"/>
  <c r="P3986" i="1"/>
  <c r="U3985" i="1"/>
  <c r="T3985" i="1"/>
  <c r="R3985" i="1"/>
  <c r="P3985" i="1"/>
  <c r="U3984" i="1"/>
  <c r="T3984" i="1"/>
  <c r="R3984" i="1"/>
  <c r="P3984" i="1"/>
  <c r="U3983" i="1"/>
  <c r="T3983" i="1"/>
  <c r="R3983" i="1"/>
  <c r="P3983" i="1"/>
  <c r="U3982" i="1"/>
  <c r="T3982" i="1"/>
  <c r="R3982" i="1"/>
  <c r="P3982" i="1"/>
  <c r="U3981" i="1"/>
  <c r="T3981" i="1"/>
  <c r="R3981" i="1"/>
  <c r="P3981" i="1"/>
  <c r="U3980" i="1"/>
  <c r="T3980" i="1"/>
  <c r="R3980" i="1"/>
  <c r="P3980" i="1"/>
  <c r="U3979" i="1"/>
  <c r="T3979" i="1"/>
  <c r="R3979" i="1"/>
  <c r="P3979" i="1"/>
  <c r="U3978" i="1"/>
  <c r="T3978" i="1"/>
  <c r="R3978" i="1"/>
  <c r="P3978" i="1"/>
  <c r="U3977" i="1"/>
  <c r="T3977" i="1"/>
  <c r="R3977" i="1"/>
  <c r="P3977" i="1"/>
  <c r="U3976" i="1"/>
  <c r="T3976" i="1"/>
  <c r="R3976" i="1"/>
  <c r="P3976" i="1"/>
  <c r="U3975" i="1"/>
  <c r="T3975" i="1"/>
  <c r="R3975" i="1"/>
  <c r="P3975" i="1"/>
  <c r="U3974" i="1"/>
  <c r="T3974" i="1"/>
  <c r="R3974" i="1"/>
  <c r="P3974" i="1"/>
  <c r="U3973" i="1"/>
  <c r="T3973" i="1"/>
  <c r="R3973" i="1"/>
  <c r="P3973" i="1"/>
  <c r="U3972" i="1"/>
  <c r="T3972" i="1"/>
  <c r="R3972" i="1"/>
  <c r="P3972" i="1"/>
  <c r="U3971" i="1"/>
  <c r="T3971" i="1"/>
  <c r="R3971" i="1"/>
  <c r="P3971" i="1"/>
  <c r="U3970" i="1"/>
  <c r="T3970" i="1"/>
  <c r="R3970" i="1"/>
  <c r="P3970" i="1"/>
  <c r="U3969" i="1"/>
  <c r="T3969" i="1"/>
  <c r="R3969" i="1"/>
  <c r="P3969" i="1"/>
  <c r="U3968" i="1"/>
  <c r="T3968" i="1"/>
  <c r="R3968" i="1"/>
  <c r="P3968" i="1"/>
  <c r="U3967" i="1"/>
  <c r="T3967" i="1"/>
  <c r="R3967" i="1"/>
  <c r="P3967" i="1"/>
  <c r="U3966" i="1"/>
  <c r="T3966" i="1"/>
  <c r="R3966" i="1"/>
  <c r="P3966" i="1"/>
  <c r="U3965" i="1"/>
  <c r="T3965" i="1"/>
  <c r="R3965" i="1"/>
  <c r="P3965" i="1"/>
  <c r="U3964" i="1"/>
  <c r="T3964" i="1"/>
  <c r="R3964" i="1"/>
  <c r="P3964" i="1"/>
  <c r="U3963" i="1"/>
  <c r="T3963" i="1"/>
  <c r="R3963" i="1"/>
  <c r="P3963" i="1"/>
  <c r="U3962" i="1"/>
  <c r="T3962" i="1"/>
  <c r="R3962" i="1"/>
  <c r="P3962" i="1"/>
  <c r="U3961" i="1"/>
  <c r="T3961" i="1"/>
  <c r="R3961" i="1"/>
  <c r="P3961" i="1"/>
  <c r="U3960" i="1"/>
  <c r="T3960" i="1"/>
  <c r="R3960" i="1"/>
  <c r="P3960" i="1"/>
  <c r="U3959" i="1"/>
  <c r="T3959" i="1"/>
  <c r="R3959" i="1"/>
  <c r="P3959" i="1"/>
  <c r="U3958" i="1"/>
  <c r="T3958" i="1"/>
  <c r="R3958" i="1"/>
  <c r="P3958" i="1"/>
  <c r="U3957" i="1"/>
  <c r="T3957" i="1"/>
  <c r="R3957" i="1"/>
  <c r="P3957" i="1"/>
  <c r="U3956" i="1"/>
  <c r="T3956" i="1"/>
  <c r="R3956" i="1"/>
  <c r="P3956" i="1"/>
  <c r="U3955" i="1"/>
  <c r="T3955" i="1"/>
  <c r="R3955" i="1"/>
  <c r="P3955" i="1"/>
  <c r="U3954" i="1"/>
  <c r="T3954" i="1"/>
  <c r="R3954" i="1"/>
  <c r="P3954" i="1"/>
  <c r="U3953" i="1"/>
  <c r="T3953" i="1"/>
  <c r="R3953" i="1"/>
  <c r="P3953" i="1"/>
  <c r="U3952" i="1"/>
  <c r="T3952" i="1"/>
  <c r="R3952" i="1"/>
  <c r="P3952" i="1"/>
  <c r="U3951" i="1"/>
  <c r="T3951" i="1"/>
  <c r="R3951" i="1"/>
  <c r="P3951" i="1"/>
  <c r="U3950" i="1"/>
  <c r="T3950" i="1"/>
  <c r="R3950" i="1"/>
  <c r="P3950" i="1"/>
  <c r="U3949" i="1"/>
  <c r="T3949" i="1"/>
  <c r="R3949" i="1"/>
  <c r="P3949" i="1"/>
  <c r="U3948" i="1"/>
  <c r="T3948" i="1"/>
  <c r="R3948" i="1"/>
  <c r="P3948" i="1"/>
  <c r="U3947" i="1"/>
  <c r="T3947" i="1"/>
  <c r="R3947" i="1"/>
  <c r="P3947" i="1"/>
  <c r="U3946" i="1"/>
  <c r="T3946" i="1"/>
  <c r="R3946" i="1"/>
  <c r="P3946" i="1"/>
  <c r="U3945" i="1"/>
  <c r="T3945" i="1"/>
  <c r="R3945" i="1"/>
  <c r="P3945" i="1"/>
  <c r="U3944" i="1"/>
  <c r="T3944" i="1"/>
  <c r="R3944" i="1"/>
  <c r="P3944" i="1"/>
  <c r="U3943" i="1"/>
  <c r="T3943" i="1"/>
  <c r="R3943" i="1"/>
  <c r="P3943" i="1"/>
  <c r="U3942" i="1"/>
  <c r="T3942" i="1"/>
  <c r="R3942" i="1"/>
  <c r="P3942" i="1"/>
  <c r="U3941" i="1"/>
  <c r="T3941" i="1"/>
  <c r="R3941" i="1"/>
  <c r="P3941" i="1"/>
  <c r="U3940" i="1"/>
  <c r="T3940" i="1"/>
  <c r="R3940" i="1"/>
  <c r="P3940" i="1"/>
  <c r="U3939" i="1"/>
  <c r="T3939" i="1"/>
  <c r="R3939" i="1"/>
  <c r="P3939" i="1"/>
  <c r="U3938" i="1"/>
  <c r="T3938" i="1"/>
  <c r="R3938" i="1"/>
  <c r="P3938" i="1"/>
  <c r="U3937" i="1"/>
  <c r="T3937" i="1"/>
  <c r="R3937" i="1"/>
  <c r="P3937" i="1"/>
  <c r="U3936" i="1"/>
  <c r="T3936" i="1"/>
  <c r="R3936" i="1"/>
  <c r="P3936" i="1"/>
  <c r="U3935" i="1"/>
  <c r="T3935" i="1"/>
  <c r="R3935" i="1"/>
  <c r="P3935" i="1"/>
  <c r="U3934" i="1"/>
  <c r="T3934" i="1"/>
  <c r="R3934" i="1"/>
  <c r="P3934" i="1"/>
  <c r="U3933" i="1"/>
  <c r="T3933" i="1"/>
  <c r="R3933" i="1"/>
  <c r="P3933" i="1"/>
  <c r="U3932" i="1"/>
  <c r="T3932" i="1"/>
  <c r="R3932" i="1"/>
  <c r="P3932" i="1"/>
  <c r="U3931" i="1"/>
  <c r="T3931" i="1"/>
  <c r="R3931" i="1"/>
  <c r="P3931" i="1"/>
  <c r="U3930" i="1"/>
  <c r="T3930" i="1"/>
  <c r="R3930" i="1"/>
  <c r="P3930" i="1"/>
  <c r="U3929" i="1"/>
  <c r="T3929" i="1"/>
  <c r="R3929" i="1"/>
  <c r="P3929" i="1"/>
  <c r="U3928" i="1"/>
  <c r="T3928" i="1"/>
  <c r="R3928" i="1"/>
  <c r="P3928" i="1"/>
  <c r="U3927" i="1"/>
  <c r="T3927" i="1"/>
  <c r="R3927" i="1"/>
  <c r="P3927" i="1"/>
  <c r="U3926" i="1"/>
  <c r="T3926" i="1"/>
  <c r="R3926" i="1"/>
  <c r="P3926" i="1"/>
  <c r="U3925" i="1"/>
  <c r="T3925" i="1"/>
  <c r="R3925" i="1"/>
  <c r="P3925" i="1"/>
  <c r="U3924" i="1"/>
  <c r="T3924" i="1"/>
  <c r="R3924" i="1"/>
  <c r="P3924" i="1"/>
  <c r="U3923" i="1"/>
  <c r="T3923" i="1"/>
  <c r="R3923" i="1"/>
  <c r="P3923" i="1"/>
  <c r="U3922" i="1"/>
  <c r="T3922" i="1"/>
  <c r="R3922" i="1"/>
  <c r="P3922" i="1"/>
  <c r="U3921" i="1"/>
  <c r="T3921" i="1"/>
  <c r="R3921" i="1"/>
  <c r="P3921" i="1"/>
  <c r="U3920" i="1"/>
  <c r="T3920" i="1"/>
  <c r="R3920" i="1"/>
  <c r="P3920" i="1"/>
  <c r="U3919" i="1"/>
  <c r="T3919" i="1"/>
  <c r="R3919" i="1"/>
  <c r="P3919" i="1"/>
  <c r="U3918" i="1"/>
  <c r="T3918" i="1"/>
  <c r="R3918" i="1"/>
  <c r="P3918" i="1"/>
  <c r="U3917" i="1"/>
  <c r="T3917" i="1"/>
  <c r="R3917" i="1"/>
  <c r="P3917" i="1"/>
  <c r="U3916" i="1"/>
  <c r="T3916" i="1"/>
  <c r="R3916" i="1"/>
  <c r="P3916" i="1"/>
  <c r="U3915" i="1"/>
  <c r="T3915" i="1"/>
  <c r="R3915" i="1"/>
  <c r="P3915" i="1"/>
  <c r="U3914" i="1"/>
  <c r="T3914" i="1"/>
  <c r="R3914" i="1"/>
  <c r="P3914" i="1"/>
  <c r="U3913" i="1"/>
  <c r="T3913" i="1"/>
  <c r="R3913" i="1"/>
  <c r="P3913" i="1"/>
  <c r="U3912" i="1"/>
  <c r="T3912" i="1"/>
  <c r="R3912" i="1"/>
  <c r="P3912" i="1"/>
  <c r="U3911" i="1"/>
  <c r="T3911" i="1"/>
  <c r="R3911" i="1"/>
  <c r="P3911" i="1"/>
  <c r="U3910" i="1"/>
  <c r="T3910" i="1"/>
  <c r="R3910" i="1"/>
  <c r="P3910" i="1"/>
  <c r="U3909" i="1"/>
  <c r="T3909" i="1"/>
  <c r="R3909" i="1"/>
  <c r="P3909" i="1"/>
  <c r="U3908" i="1"/>
  <c r="T3908" i="1"/>
  <c r="R3908" i="1"/>
  <c r="P3908" i="1"/>
  <c r="U3907" i="1"/>
  <c r="T3907" i="1"/>
  <c r="R3907" i="1"/>
  <c r="P3907" i="1"/>
  <c r="U3906" i="1"/>
  <c r="T3906" i="1"/>
  <c r="R3906" i="1"/>
  <c r="P3906" i="1"/>
  <c r="U3905" i="1"/>
  <c r="T3905" i="1"/>
  <c r="R3905" i="1"/>
  <c r="P3905" i="1"/>
  <c r="U3904" i="1"/>
  <c r="T3904" i="1"/>
  <c r="R3904" i="1"/>
  <c r="P3904" i="1"/>
  <c r="U3903" i="1"/>
  <c r="T3903" i="1"/>
  <c r="R3903" i="1"/>
  <c r="P3903" i="1"/>
  <c r="U3902" i="1"/>
  <c r="T3902" i="1"/>
  <c r="R3902" i="1"/>
  <c r="P3902" i="1"/>
  <c r="U3901" i="1"/>
  <c r="T3901" i="1"/>
  <c r="R3901" i="1"/>
  <c r="P3901" i="1"/>
  <c r="U3900" i="1"/>
  <c r="T3900" i="1"/>
  <c r="R3900" i="1"/>
  <c r="P3900" i="1"/>
  <c r="U3899" i="1"/>
  <c r="T3899" i="1"/>
  <c r="R3899" i="1"/>
  <c r="P3899" i="1"/>
  <c r="U3898" i="1"/>
  <c r="T3898" i="1"/>
  <c r="R3898" i="1"/>
  <c r="P3898" i="1"/>
  <c r="U3897" i="1"/>
  <c r="T3897" i="1"/>
  <c r="R3897" i="1"/>
  <c r="P3897" i="1"/>
  <c r="U3896" i="1"/>
  <c r="T3896" i="1"/>
  <c r="R3896" i="1"/>
  <c r="P3896" i="1"/>
  <c r="U3895" i="1"/>
  <c r="T3895" i="1"/>
  <c r="R3895" i="1"/>
  <c r="P3895" i="1"/>
  <c r="U3894" i="1"/>
  <c r="T3894" i="1"/>
  <c r="R3894" i="1"/>
  <c r="P3894" i="1"/>
  <c r="U3893" i="1"/>
  <c r="T3893" i="1"/>
  <c r="R3893" i="1"/>
  <c r="P3893" i="1"/>
  <c r="U3892" i="1"/>
  <c r="T3892" i="1"/>
  <c r="R3892" i="1"/>
  <c r="P3892" i="1"/>
  <c r="U3891" i="1"/>
  <c r="T3891" i="1"/>
  <c r="R3891" i="1"/>
  <c r="P3891" i="1"/>
  <c r="U3890" i="1"/>
  <c r="T3890" i="1"/>
  <c r="R3890" i="1"/>
  <c r="P3890" i="1"/>
  <c r="U3889" i="1"/>
  <c r="T3889" i="1"/>
  <c r="R3889" i="1"/>
  <c r="P3889" i="1"/>
  <c r="U3888" i="1"/>
  <c r="T3888" i="1"/>
  <c r="R3888" i="1"/>
  <c r="P3888" i="1"/>
  <c r="U3887" i="1"/>
  <c r="T3887" i="1"/>
  <c r="R3887" i="1"/>
  <c r="P3887" i="1"/>
  <c r="U3886" i="1"/>
  <c r="T3886" i="1"/>
  <c r="R3886" i="1"/>
  <c r="P3886" i="1"/>
  <c r="U3885" i="1"/>
  <c r="T3885" i="1"/>
  <c r="R3885" i="1"/>
  <c r="P3885" i="1"/>
  <c r="U3884" i="1"/>
  <c r="T3884" i="1"/>
  <c r="R3884" i="1"/>
  <c r="P3884" i="1"/>
  <c r="U3883" i="1"/>
  <c r="T3883" i="1"/>
  <c r="R3883" i="1"/>
  <c r="P3883" i="1"/>
  <c r="U3882" i="1"/>
  <c r="T3882" i="1"/>
  <c r="R3882" i="1"/>
  <c r="P3882" i="1"/>
  <c r="U3881" i="1"/>
  <c r="T3881" i="1"/>
  <c r="R3881" i="1"/>
  <c r="P3881" i="1"/>
  <c r="U3880" i="1"/>
  <c r="T3880" i="1"/>
  <c r="R3880" i="1"/>
  <c r="P3880" i="1"/>
  <c r="U3879" i="1"/>
  <c r="T3879" i="1"/>
  <c r="R3879" i="1"/>
  <c r="P3879" i="1"/>
  <c r="U3878" i="1"/>
  <c r="T3878" i="1"/>
  <c r="R3878" i="1"/>
  <c r="P3878" i="1"/>
  <c r="U3877" i="1"/>
  <c r="T3877" i="1"/>
  <c r="R3877" i="1"/>
  <c r="P3877" i="1"/>
  <c r="U3876" i="1"/>
  <c r="T3876" i="1"/>
  <c r="R3876" i="1"/>
  <c r="P3876" i="1"/>
  <c r="U3875" i="1"/>
  <c r="T3875" i="1"/>
  <c r="R3875" i="1"/>
  <c r="P3875" i="1"/>
  <c r="U3874" i="1"/>
  <c r="T3874" i="1"/>
  <c r="R3874" i="1"/>
  <c r="P3874" i="1"/>
  <c r="U3873" i="1"/>
  <c r="T3873" i="1"/>
  <c r="R3873" i="1"/>
  <c r="P3873" i="1"/>
  <c r="U3872" i="1"/>
  <c r="T3872" i="1"/>
  <c r="R3872" i="1"/>
  <c r="P3872" i="1"/>
  <c r="U3871" i="1"/>
  <c r="T3871" i="1"/>
  <c r="R3871" i="1"/>
  <c r="P3871" i="1"/>
  <c r="U3870" i="1"/>
  <c r="T3870" i="1"/>
  <c r="R3870" i="1"/>
  <c r="P3870" i="1"/>
  <c r="U3869" i="1"/>
  <c r="T3869" i="1"/>
  <c r="R3869" i="1"/>
  <c r="P3869" i="1"/>
  <c r="U3868" i="1"/>
  <c r="T3868" i="1"/>
  <c r="R3868" i="1"/>
  <c r="P3868" i="1"/>
  <c r="U3867" i="1"/>
  <c r="T3867" i="1"/>
  <c r="R3867" i="1"/>
  <c r="P3867" i="1"/>
  <c r="U3866" i="1"/>
  <c r="T3866" i="1"/>
  <c r="R3866" i="1"/>
  <c r="P3866" i="1"/>
  <c r="U3865" i="1"/>
  <c r="T3865" i="1"/>
  <c r="R3865" i="1"/>
  <c r="P3865" i="1"/>
  <c r="U3864" i="1"/>
  <c r="T3864" i="1"/>
  <c r="R3864" i="1"/>
  <c r="P3864" i="1"/>
  <c r="U3863" i="1"/>
  <c r="T3863" i="1"/>
  <c r="R3863" i="1"/>
  <c r="P3863" i="1"/>
  <c r="U3862" i="1"/>
  <c r="T3862" i="1"/>
  <c r="R3862" i="1"/>
  <c r="P3862" i="1"/>
  <c r="U3861" i="1"/>
  <c r="T3861" i="1"/>
  <c r="R3861" i="1"/>
  <c r="P3861" i="1"/>
  <c r="U3860" i="1"/>
  <c r="T3860" i="1"/>
  <c r="R3860" i="1"/>
  <c r="P3860" i="1"/>
  <c r="U3859" i="1"/>
  <c r="T3859" i="1"/>
  <c r="R3859" i="1"/>
  <c r="P3859" i="1"/>
  <c r="U3858" i="1"/>
  <c r="T3858" i="1"/>
  <c r="R3858" i="1"/>
  <c r="P3858" i="1"/>
  <c r="U3857" i="1"/>
  <c r="T3857" i="1"/>
  <c r="R3857" i="1"/>
  <c r="P3857" i="1"/>
  <c r="U3856" i="1"/>
  <c r="T3856" i="1"/>
  <c r="R3856" i="1"/>
  <c r="P3856" i="1"/>
  <c r="U3855" i="1"/>
  <c r="T3855" i="1"/>
  <c r="R3855" i="1"/>
  <c r="P3855" i="1"/>
  <c r="U3854" i="1"/>
  <c r="T3854" i="1"/>
  <c r="R3854" i="1"/>
  <c r="P3854" i="1"/>
  <c r="U3853" i="1"/>
  <c r="T3853" i="1"/>
  <c r="R3853" i="1"/>
  <c r="P3853" i="1"/>
  <c r="U3852" i="1"/>
  <c r="T3852" i="1"/>
  <c r="R3852" i="1"/>
  <c r="P3852" i="1"/>
  <c r="U3851" i="1"/>
  <c r="T3851" i="1"/>
  <c r="R3851" i="1"/>
  <c r="P3851" i="1"/>
  <c r="U3850" i="1"/>
  <c r="T3850" i="1"/>
  <c r="R3850" i="1"/>
  <c r="P3850" i="1"/>
  <c r="U3849" i="1"/>
  <c r="T3849" i="1"/>
  <c r="R3849" i="1"/>
  <c r="P3849" i="1"/>
  <c r="U3848" i="1"/>
  <c r="T3848" i="1"/>
  <c r="R3848" i="1"/>
  <c r="P3848" i="1"/>
  <c r="U3847" i="1"/>
  <c r="T3847" i="1"/>
  <c r="R3847" i="1"/>
  <c r="P3847" i="1"/>
  <c r="U3846" i="1"/>
  <c r="T3846" i="1"/>
  <c r="R3846" i="1"/>
  <c r="P3846" i="1"/>
  <c r="U3845" i="1"/>
  <c r="T3845" i="1"/>
  <c r="R3845" i="1"/>
  <c r="P3845" i="1"/>
  <c r="U3844" i="1"/>
  <c r="T3844" i="1"/>
  <c r="R3844" i="1"/>
  <c r="P3844" i="1"/>
  <c r="U3843" i="1"/>
  <c r="T3843" i="1"/>
  <c r="R3843" i="1"/>
  <c r="P3843" i="1"/>
  <c r="U3842" i="1"/>
  <c r="T3842" i="1"/>
  <c r="R3842" i="1"/>
  <c r="P3842" i="1"/>
  <c r="U3841" i="1"/>
  <c r="T3841" i="1"/>
  <c r="R3841" i="1"/>
  <c r="P3841" i="1"/>
  <c r="U3840" i="1"/>
  <c r="T3840" i="1"/>
  <c r="R3840" i="1"/>
  <c r="P3840" i="1"/>
  <c r="U3839" i="1"/>
  <c r="T3839" i="1"/>
  <c r="R3839" i="1"/>
  <c r="P3839" i="1"/>
  <c r="U3838" i="1"/>
  <c r="T3838" i="1"/>
  <c r="R3838" i="1"/>
  <c r="P3838" i="1"/>
  <c r="U3837" i="1"/>
  <c r="T3837" i="1"/>
  <c r="R3837" i="1"/>
  <c r="P3837" i="1"/>
  <c r="U3836" i="1"/>
  <c r="T3836" i="1"/>
  <c r="R3836" i="1"/>
  <c r="P3836" i="1"/>
  <c r="U3835" i="1"/>
  <c r="T3835" i="1"/>
  <c r="R3835" i="1"/>
  <c r="P3835" i="1"/>
  <c r="U3834" i="1"/>
  <c r="T3834" i="1"/>
  <c r="R3834" i="1"/>
  <c r="P3834" i="1"/>
  <c r="U3833" i="1"/>
  <c r="T3833" i="1"/>
  <c r="R3833" i="1"/>
  <c r="P3833" i="1"/>
  <c r="U3832" i="1"/>
  <c r="T3832" i="1"/>
  <c r="R3832" i="1"/>
  <c r="P3832" i="1"/>
  <c r="U3831" i="1"/>
  <c r="T3831" i="1"/>
  <c r="R3831" i="1"/>
  <c r="P3831" i="1"/>
  <c r="U3830" i="1"/>
  <c r="T3830" i="1"/>
  <c r="R3830" i="1"/>
  <c r="P3830" i="1"/>
  <c r="U3829" i="1"/>
  <c r="T3829" i="1"/>
  <c r="R3829" i="1"/>
  <c r="P3829" i="1"/>
  <c r="U3828" i="1"/>
  <c r="T3828" i="1"/>
  <c r="R3828" i="1"/>
  <c r="P3828" i="1"/>
  <c r="U3827" i="1"/>
  <c r="T3827" i="1"/>
  <c r="R3827" i="1"/>
  <c r="P3827" i="1"/>
  <c r="U3826" i="1"/>
  <c r="T3826" i="1"/>
  <c r="R3826" i="1"/>
  <c r="P3826" i="1"/>
  <c r="U3825" i="1"/>
  <c r="T3825" i="1"/>
  <c r="R3825" i="1"/>
  <c r="P3825" i="1"/>
  <c r="U3824" i="1"/>
  <c r="T3824" i="1"/>
  <c r="R3824" i="1"/>
  <c r="P3824" i="1"/>
  <c r="U3823" i="1"/>
  <c r="T3823" i="1"/>
  <c r="R3823" i="1"/>
  <c r="P3823" i="1"/>
  <c r="U3822" i="1"/>
  <c r="T3822" i="1"/>
  <c r="R3822" i="1"/>
  <c r="P3822" i="1"/>
  <c r="U3821" i="1"/>
  <c r="T3821" i="1"/>
  <c r="R3821" i="1"/>
  <c r="P3821" i="1"/>
  <c r="U3820" i="1"/>
  <c r="T3820" i="1"/>
  <c r="R3820" i="1"/>
  <c r="P3820" i="1"/>
  <c r="U3819" i="1"/>
  <c r="T3819" i="1"/>
  <c r="R3819" i="1"/>
  <c r="P3819" i="1"/>
  <c r="U3818" i="1"/>
  <c r="T3818" i="1"/>
  <c r="R3818" i="1"/>
  <c r="P3818" i="1"/>
  <c r="U3817" i="1"/>
  <c r="T3817" i="1"/>
  <c r="R3817" i="1"/>
  <c r="P3817" i="1"/>
  <c r="U3816" i="1"/>
  <c r="T3816" i="1"/>
  <c r="R3816" i="1"/>
  <c r="P3816" i="1"/>
  <c r="U3815" i="1"/>
  <c r="T3815" i="1"/>
  <c r="R3815" i="1"/>
  <c r="P3815" i="1"/>
  <c r="U3814" i="1"/>
  <c r="T3814" i="1"/>
  <c r="R3814" i="1"/>
  <c r="P3814" i="1"/>
  <c r="U3813" i="1"/>
  <c r="T3813" i="1"/>
  <c r="R3813" i="1"/>
  <c r="P3813" i="1"/>
  <c r="U3812" i="1"/>
  <c r="T3812" i="1"/>
  <c r="R3812" i="1"/>
  <c r="P3812" i="1"/>
  <c r="U3811" i="1"/>
  <c r="T3811" i="1"/>
  <c r="R3811" i="1"/>
  <c r="P3811" i="1"/>
  <c r="U3810" i="1"/>
  <c r="T3810" i="1"/>
  <c r="R3810" i="1"/>
  <c r="P3810" i="1"/>
  <c r="U3809" i="1"/>
  <c r="T3809" i="1"/>
  <c r="R3809" i="1"/>
  <c r="P3809" i="1"/>
  <c r="U3808" i="1"/>
  <c r="T3808" i="1"/>
  <c r="R3808" i="1"/>
  <c r="P3808" i="1"/>
  <c r="U3807" i="1"/>
  <c r="T3807" i="1"/>
  <c r="R3807" i="1"/>
  <c r="P3807" i="1"/>
  <c r="U3806" i="1"/>
  <c r="T3806" i="1"/>
  <c r="R3806" i="1"/>
  <c r="P3806" i="1"/>
  <c r="U3805" i="1"/>
  <c r="T3805" i="1"/>
  <c r="R3805" i="1"/>
  <c r="P3805" i="1"/>
  <c r="U3804" i="1"/>
  <c r="T3804" i="1"/>
  <c r="R3804" i="1"/>
  <c r="P3804" i="1"/>
  <c r="U3803" i="1"/>
  <c r="T3803" i="1"/>
  <c r="R3803" i="1"/>
  <c r="P3803" i="1"/>
  <c r="U3802" i="1"/>
  <c r="T3802" i="1"/>
  <c r="R3802" i="1"/>
  <c r="P3802" i="1"/>
  <c r="U3801" i="1"/>
  <c r="T3801" i="1"/>
  <c r="R3801" i="1"/>
  <c r="P3801" i="1"/>
  <c r="U3800" i="1"/>
  <c r="T3800" i="1"/>
  <c r="R3800" i="1"/>
  <c r="P3800" i="1"/>
  <c r="U3799" i="1"/>
  <c r="T3799" i="1"/>
  <c r="R3799" i="1"/>
  <c r="P3799" i="1"/>
  <c r="U3798" i="1"/>
  <c r="T3798" i="1"/>
  <c r="R3798" i="1"/>
  <c r="P3798" i="1"/>
  <c r="U3797" i="1"/>
  <c r="T3797" i="1"/>
  <c r="R3797" i="1"/>
  <c r="P3797" i="1"/>
  <c r="U3796" i="1"/>
  <c r="T3796" i="1"/>
  <c r="R3796" i="1"/>
  <c r="P3796" i="1"/>
  <c r="U3795" i="1"/>
  <c r="T3795" i="1"/>
  <c r="R3795" i="1"/>
  <c r="P3795" i="1"/>
  <c r="U3794" i="1"/>
  <c r="T3794" i="1"/>
  <c r="R3794" i="1"/>
  <c r="P3794" i="1"/>
  <c r="U3793" i="1"/>
  <c r="T3793" i="1"/>
  <c r="R3793" i="1"/>
  <c r="P3793" i="1"/>
  <c r="U3792" i="1"/>
  <c r="T3792" i="1"/>
  <c r="R3792" i="1"/>
  <c r="P3792" i="1"/>
  <c r="U3791" i="1"/>
  <c r="T3791" i="1"/>
  <c r="R3791" i="1"/>
  <c r="P3791" i="1"/>
  <c r="U3790" i="1"/>
  <c r="T3790" i="1"/>
  <c r="R3790" i="1"/>
  <c r="P3790" i="1"/>
  <c r="U3789" i="1"/>
  <c r="T3789" i="1"/>
  <c r="R3789" i="1"/>
  <c r="P3789" i="1"/>
  <c r="U3788" i="1"/>
  <c r="T3788" i="1"/>
  <c r="R3788" i="1"/>
  <c r="P3788" i="1"/>
  <c r="U3787" i="1"/>
  <c r="T3787" i="1"/>
  <c r="R3787" i="1"/>
  <c r="P3787" i="1"/>
  <c r="U3786" i="1"/>
  <c r="T3786" i="1"/>
  <c r="R3786" i="1"/>
  <c r="P3786" i="1"/>
  <c r="U3785" i="1"/>
  <c r="T3785" i="1"/>
  <c r="R3785" i="1"/>
  <c r="P3785" i="1"/>
  <c r="U3784" i="1"/>
  <c r="T3784" i="1"/>
  <c r="R3784" i="1"/>
  <c r="P3784" i="1"/>
  <c r="U3783" i="1"/>
  <c r="T3783" i="1"/>
  <c r="R3783" i="1"/>
  <c r="P3783" i="1"/>
  <c r="U3782" i="1"/>
  <c r="T3782" i="1"/>
  <c r="R3782" i="1"/>
  <c r="P3782" i="1"/>
  <c r="U3781" i="1"/>
  <c r="T3781" i="1"/>
  <c r="R3781" i="1"/>
  <c r="P3781" i="1"/>
  <c r="U3780" i="1"/>
  <c r="T3780" i="1"/>
  <c r="R3780" i="1"/>
  <c r="P3780" i="1"/>
  <c r="U3779" i="1"/>
  <c r="T3779" i="1"/>
  <c r="R3779" i="1"/>
  <c r="P3779" i="1"/>
  <c r="U3778" i="1"/>
  <c r="T3778" i="1"/>
  <c r="R3778" i="1"/>
  <c r="P3778" i="1"/>
  <c r="U3777" i="1"/>
  <c r="T3777" i="1"/>
  <c r="R3777" i="1"/>
  <c r="P3777" i="1"/>
  <c r="U3776" i="1"/>
  <c r="T3776" i="1"/>
  <c r="R3776" i="1"/>
  <c r="P3776" i="1"/>
  <c r="U3775" i="1"/>
  <c r="T3775" i="1"/>
  <c r="R3775" i="1"/>
  <c r="P3775" i="1"/>
  <c r="U3774" i="1"/>
  <c r="T3774" i="1"/>
  <c r="R3774" i="1"/>
  <c r="P3774" i="1"/>
  <c r="U3773" i="1"/>
  <c r="T3773" i="1"/>
  <c r="R3773" i="1"/>
  <c r="P3773" i="1"/>
  <c r="U3772" i="1"/>
  <c r="T3772" i="1"/>
  <c r="R3772" i="1"/>
  <c r="P3772" i="1"/>
  <c r="U3771" i="1"/>
  <c r="T3771" i="1"/>
  <c r="R3771" i="1"/>
  <c r="P3771" i="1"/>
  <c r="U3770" i="1"/>
  <c r="T3770" i="1"/>
  <c r="R3770" i="1"/>
  <c r="P3770" i="1"/>
  <c r="U3769" i="1"/>
  <c r="T3769" i="1"/>
  <c r="R3769" i="1"/>
  <c r="P3769" i="1"/>
  <c r="U3768" i="1"/>
  <c r="T3768" i="1"/>
  <c r="R3768" i="1"/>
  <c r="P3768" i="1"/>
  <c r="U3767" i="1"/>
  <c r="T3767" i="1"/>
  <c r="R3767" i="1"/>
  <c r="P3767" i="1"/>
  <c r="U3766" i="1"/>
  <c r="T3766" i="1"/>
  <c r="R3766" i="1"/>
  <c r="P3766" i="1"/>
  <c r="U3765" i="1"/>
  <c r="T3765" i="1"/>
  <c r="R3765" i="1"/>
  <c r="P3765" i="1"/>
  <c r="U3764" i="1"/>
  <c r="T3764" i="1"/>
  <c r="R3764" i="1"/>
  <c r="P3764" i="1"/>
  <c r="U3763" i="1"/>
  <c r="T3763" i="1"/>
  <c r="R3763" i="1"/>
  <c r="P3763" i="1"/>
  <c r="U3762" i="1"/>
  <c r="T3762" i="1"/>
  <c r="R3762" i="1"/>
  <c r="P3762" i="1"/>
  <c r="U3761" i="1"/>
  <c r="T3761" i="1"/>
  <c r="R3761" i="1"/>
  <c r="P3761" i="1"/>
  <c r="U3760" i="1"/>
  <c r="T3760" i="1"/>
  <c r="R3760" i="1"/>
  <c r="P3760" i="1"/>
  <c r="U3759" i="1"/>
  <c r="T3759" i="1"/>
  <c r="R3759" i="1"/>
  <c r="P3759" i="1"/>
  <c r="U3758" i="1"/>
  <c r="T3758" i="1"/>
  <c r="R3758" i="1"/>
  <c r="P3758" i="1"/>
  <c r="U3757" i="1"/>
  <c r="T3757" i="1"/>
  <c r="R3757" i="1"/>
  <c r="P3757" i="1"/>
  <c r="U3756" i="1"/>
  <c r="T3756" i="1"/>
  <c r="R3756" i="1"/>
  <c r="P3756" i="1"/>
  <c r="U3755" i="1"/>
  <c r="T3755" i="1"/>
  <c r="R3755" i="1"/>
  <c r="P3755" i="1"/>
  <c r="U3754" i="1"/>
  <c r="T3754" i="1"/>
  <c r="R3754" i="1"/>
  <c r="P3754" i="1"/>
  <c r="U3753" i="1"/>
  <c r="T3753" i="1"/>
  <c r="R3753" i="1"/>
  <c r="P3753" i="1"/>
  <c r="U3752" i="1"/>
  <c r="T3752" i="1"/>
  <c r="R3752" i="1"/>
  <c r="P3752" i="1"/>
  <c r="U3751" i="1"/>
  <c r="T3751" i="1"/>
  <c r="R3751" i="1"/>
  <c r="P3751" i="1"/>
  <c r="U3750" i="1"/>
  <c r="T3750" i="1"/>
  <c r="R3750" i="1"/>
  <c r="P3750" i="1"/>
  <c r="U3749" i="1"/>
  <c r="T3749" i="1"/>
  <c r="R3749" i="1"/>
  <c r="P3749" i="1"/>
  <c r="U3748" i="1"/>
  <c r="T3748" i="1"/>
  <c r="R3748" i="1"/>
  <c r="P3748" i="1"/>
  <c r="U3747" i="1"/>
  <c r="T3747" i="1"/>
  <c r="R3747" i="1"/>
  <c r="P3747" i="1"/>
  <c r="U3746" i="1"/>
  <c r="T3746" i="1"/>
  <c r="R3746" i="1"/>
  <c r="P3746" i="1"/>
  <c r="U3745" i="1"/>
  <c r="T3745" i="1"/>
  <c r="R3745" i="1"/>
  <c r="P3745" i="1"/>
  <c r="U3744" i="1"/>
  <c r="T3744" i="1"/>
  <c r="R3744" i="1"/>
  <c r="P3744" i="1"/>
  <c r="U3743" i="1"/>
  <c r="T3743" i="1"/>
  <c r="R3743" i="1"/>
  <c r="P3743" i="1"/>
  <c r="U3742" i="1"/>
  <c r="T3742" i="1"/>
  <c r="R3742" i="1"/>
  <c r="P3742" i="1"/>
  <c r="U3741" i="1"/>
  <c r="T3741" i="1"/>
  <c r="R3741" i="1"/>
  <c r="P3741" i="1"/>
  <c r="U3740" i="1"/>
  <c r="T3740" i="1"/>
  <c r="R3740" i="1"/>
  <c r="P3740" i="1"/>
  <c r="U3739" i="1"/>
  <c r="T3739" i="1"/>
  <c r="R3739" i="1"/>
  <c r="P3739" i="1"/>
  <c r="U3738" i="1"/>
  <c r="T3738" i="1"/>
  <c r="R3738" i="1"/>
  <c r="P3738" i="1"/>
  <c r="U3737" i="1"/>
  <c r="T3737" i="1"/>
  <c r="R3737" i="1"/>
  <c r="P3737" i="1"/>
  <c r="U3736" i="1"/>
  <c r="T3736" i="1"/>
  <c r="R3736" i="1"/>
  <c r="P3736" i="1"/>
  <c r="U3735" i="1"/>
  <c r="T3735" i="1"/>
  <c r="R3735" i="1"/>
  <c r="P3735" i="1"/>
  <c r="U3734" i="1"/>
  <c r="T3734" i="1"/>
  <c r="R3734" i="1"/>
  <c r="P3734" i="1"/>
  <c r="U3733" i="1"/>
  <c r="T3733" i="1"/>
  <c r="R3733" i="1"/>
  <c r="P3733" i="1"/>
  <c r="U3732" i="1"/>
  <c r="T3732" i="1"/>
  <c r="R3732" i="1"/>
  <c r="P3732" i="1"/>
  <c r="U3731" i="1"/>
  <c r="T3731" i="1"/>
  <c r="R3731" i="1"/>
  <c r="P3731" i="1"/>
  <c r="U3730" i="1"/>
  <c r="T3730" i="1"/>
  <c r="R3730" i="1"/>
  <c r="P3730" i="1"/>
  <c r="U3729" i="1"/>
  <c r="T3729" i="1"/>
  <c r="R3729" i="1"/>
  <c r="P3729" i="1"/>
  <c r="U3728" i="1"/>
  <c r="T3728" i="1"/>
  <c r="R3728" i="1"/>
  <c r="P3728" i="1"/>
  <c r="U3727" i="1"/>
  <c r="T3727" i="1"/>
  <c r="R3727" i="1"/>
  <c r="P3727" i="1"/>
  <c r="U3726" i="1"/>
  <c r="T3726" i="1"/>
  <c r="R3726" i="1"/>
  <c r="P3726" i="1"/>
  <c r="U3725" i="1"/>
  <c r="T3725" i="1"/>
  <c r="R3725" i="1"/>
  <c r="P3725" i="1"/>
  <c r="U3724" i="1"/>
  <c r="T3724" i="1"/>
  <c r="R3724" i="1"/>
  <c r="P3724" i="1"/>
  <c r="U3723" i="1"/>
  <c r="T3723" i="1"/>
  <c r="R3723" i="1"/>
  <c r="P3723" i="1"/>
  <c r="U3722" i="1"/>
  <c r="T3722" i="1"/>
  <c r="R3722" i="1"/>
  <c r="P3722" i="1"/>
  <c r="U3721" i="1"/>
  <c r="T3721" i="1"/>
  <c r="R3721" i="1"/>
  <c r="P3721" i="1"/>
  <c r="U3720" i="1"/>
  <c r="T3720" i="1"/>
  <c r="R3720" i="1"/>
  <c r="P3720" i="1"/>
  <c r="U3719" i="1"/>
  <c r="T3719" i="1"/>
  <c r="R3719" i="1"/>
  <c r="P3719" i="1"/>
  <c r="U3718" i="1"/>
  <c r="T3718" i="1"/>
  <c r="R3718" i="1"/>
  <c r="P3718" i="1"/>
  <c r="U3717" i="1"/>
  <c r="T3717" i="1"/>
  <c r="R3717" i="1"/>
  <c r="P3717" i="1"/>
  <c r="U3716" i="1"/>
  <c r="T3716" i="1"/>
  <c r="R3716" i="1"/>
  <c r="P3716" i="1"/>
  <c r="U3715" i="1"/>
  <c r="T3715" i="1"/>
  <c r="R3715" i="1"/>
  <c r="P3715" i="1"/>
  <c r="U3714" i="1"/>
  <c r="T3714" i="1"/>
  <c r="R3714" i="1"/>
  <c r="P3714" i="1"/>
  <c r="U3713" i="1"/>
  <c r="T3713" i="1"/>
  <c r="R3713" i="1"/>
  <c r="P3713" i="1"/>
  <c r="U3712" i="1"/>
  <c r="T3712" i="1"/>
  <c r="R3712" i="1"/>
  <c r="P3712" i="1"/>
  <c r="U3711" i="1"/>
  <c r="T3711" i="1"/>
  <c r="R3711" i="1"/>
  <c r="P3711" i="1"/>
  <c r="U3710" i="1"/>
  <c r="T3710" i="1"/>
  <c r="R3710" i="1"/>
  <c r="P3710" i="1"/>
  <c r="U3709" i="1"/>
  <c r="T3709" i="1"/>
  <c r="R3709" i="1"/>
  <c r="P3709" i="1"/>
  <c r="U3708" i="1"/>
  <c r="T3708" i="1"/>
  <c r="R3708" i="1"/>
  <c r="P3708" i="1"/>
  <c r="U3707" i="1"/>
  <c r="T3707" i="1"/>
  <c r="R3707" i="1"/>
  <c r="P3707" i="1"/>
  <c r="U3706" i="1"/>
  <c r="T3706" i="1"/>
  <c r="R3706" i="1"/>
  <c r="P3706" i="1"/>
  <c r="U3705" i="1"/>
  <c r="T3705" i="1"/>
  <c r="R3705" i="1"/>
  <c r="P3705" i="1"/>
  <c r="U3704" i="1"/>
  <c r="T3704" i="1"/>
  <c r="R3704" i="1"/>
  <c r="P3704" i="1"/>
  <c r="U3703" i="1"/>
  <c r="T3703" i="1"/>
  <c r="R3703" i="1"/>
  <c r="P3703" i="1"/>
  <c r="U3702" i="1"/>
  <c r="T3702" i="1"/>
  <c r="R3702" i="1"/>
  <c r="P3702" i="1"/>
  <c r="U3701" i="1"/>
  <c r="T3701" i="1"/>
  <c r="R3701" i="1"/>
  <c r="P3701" i="1"/>
  <c r="U3700" i="1"/>
  <c r="T3700" i="1"/>
  <c r="R3700" i="1"/>
  <c r="P3700" i="1"/>
  <c r="U3699" i="1"/>
  <c r="T3699" i="1"/>
  <c r="R3699" i="1"/>
  <c r="P3699" i="1"/>
  <c r="U3698" i="1"/>
  <c r="T3698" i="1"/>
  <c r="R3698" i="1"/>
  <c r="P3698" i="1"/>
  <c r="U3697" i="1"/>
  <c r="T3697" i="1"/>
  <c r="R3697" i="1"/>
  <c r="P3697" i="1"/>
  <c r="U3696" i="1"/>
  <c r="T3696" i="1"/>
  <c r="R3696" i="1"/>
  <c r="P3696" i="1"/>
  <c r="U3695" i="1"/>
  <c r="T3695" i="1"/>
  <c r="R3695" i="1"/>
  <c r="P3695" i="1"/>
  <c r="U3694" i="1"/>
  <c r="T3694" i="1"/>
  <c r="R3694" i="1"/>
  <c r="P3694" i="1"/>
  <c r="U3693" i="1"/>
  <c r="T3693" i="1"/>
  <c r="R3693" i="1"/>
  <c r="P3693" i="1"/>
  <c r="U3692" i="1"/>
  <c r="T3692" i="1"/>
  <c r="R3692" i="1"/>
  <c r="P3692" i="1"/>
  <c r="U3691" i="1"/>
  <c r="T3691" i="1"/>
  <c r="R3691" i="1"/>
  <c r="P3691" i="1"/>
  <c r="U3690" i="1"/>
  <c r="T3690" i="1"/>
  <c r="R3690" i="1"/>
  <c r="P3690" i="1"/>
  <c r="U3689" i="1"/>
  <c r="T3689" i="1"/>
  <c r="R3689" i="1"/>
  <c r="P3689" i="1"/>
  <c r="U3688" i="1"/>
  <c r="T3688" i="1"/>
  <c r="R3688" i="1"/>
  <c r="P3688" i="1"/>
  <c r="U3687" i="1"/>
  <c r="T3687" i="1"/>
  <c r="R3687" i="1"/>
  <c r="P3687" i="1"/>
  <c r="U3686" i="1"/>
  <c r="T3686" i="1"/>
  <c r="R3686" i="1"/>
  <c r="P3686" i="1"/>
  <c r="U3685" i="1"/>
  <c r="T3685" i="1"/>
  <c r="R3685" i="1"/>
  <c r="P3685" i="1"/>
  <c r="U3684" i="1"/>
  <c r="T3684" i="1"/>
  <c r="R3684" i="1"/>
  <c r="P3684" i="1"/>
  <c r="U3683" i="1"/>
  <c r="T3683" i="1"/>
  <c r="R3683" i="1"/>
  <c r="P3683" i="1"/>
  <c r="U3682" i="1"/>
  <c r="T3682" i="1"/>
  <c r="R3682" i="1"/>
  <c r="P3682" i="1"/>
  <c r="U3681" i="1"/>
  <c r="T3681" i="1"/>
  <c r="R3681" i="1"/>
  <c r="P3681" i="1"/>
  <c r="U3680" i="1"/>
  <c r="T3680" i="1"/>
  <c r="R3680" i="1"/>
  <c r="P3680" i="1"/>
  <c r="U3679" i="1"/>
  <c r="T3679" i="1"/>
  <c r="R3679" i="1"/>
  <c r="P3679" i="1"/>
  <c r="U3678" i="1"/>
  <c r="T3678" i="1"/>
  <c r="R3678" i="1"/>
  <c r="P3678" i="1"/>
  <c r="U3677" i="1"/>
  <c r="T3677" i="1"/>
  <c r="R3677" i="1"/>
  <c r="P3677" i="1"/>
  <c r="U3676" i="1"/>
  <c r="T3676" i="1"/>
  <c r="R3676" i="1"/>
  <c r="P3676" i="1"/>
  <c r="U3675" i="1"/>
  <c r="T3675" i="1"/>
  <c r="R3675" i="1"/>
  <c r="P3675" i="1"/>
  <c r="U3674" i="1"/>
  <c r="T3674" i="1"/>
  <c r="R3674" i="1"/>
  <c r="P3674" i="1"/>
  <c r="U3673" i="1"/>
  <c r="T3673" i="1"/>
  <c r="R3673" i="1"/>
  <c r="P3673" i="1"/>
  <c r="U3672" i="1"/>
  <c r="T3672" i="1"/>
  <c r="R3672" i="1"/>
  <c r="P3672" i="1"/>
  <c r="U3671" i="1"/>
  <c r="T3671" i="1"/>
  <c r="R3671" i="1"/>
  <c r="P3671" i="1"/>
  <c r="U3670" i="1"/>
  <c r="T3670" i="1"/>
  <c r="R3670" i="1"/>
  <c r="P3670" i="1"/>
  <c r="U3669" i="1"/>
  <c r="T3669" i="1"/>
  <c r="R3669" i="1"/>
  <c r="P3669" i="1"/>
  <c r="U3668" i="1"/>
  <c r="T3668" i="1"/>
  <c r="R3668" i="1"/>
  <c r="P3668" i="1"/>
  <c r="U3667" i="1"/>
  <c r="T3667" i="1"/>
  <c r="R3667" i="1"/>
  <c r="P3667" i="1"/>
  <c r="U3666" i="1"/>
  <c r="T3666" i="1"/>
  <c r="R3666" i="1"/>
  <c r="P3666" i="1"/>
  <c r="U3665" i="1"/>
  <c r="T3665" i="1"/>
  <c r="R3665" i="1"/>
  <c r="P3665" i="1"/>
  <c r="U3664" i="1"/>
  <c r="T3664" i="1"/>
  <c r="R3664" i="1"/>
  <c r="P3664" i="1"/>
  <c r="U3663" i="1"/>
  <c r="T3663" i="1"/>
  <c r="R3663" i="1"/>
  <c r="P3663" i="1"/>
  <c r="U3662" i="1"/>
  <c r="T3662" i="1"/>
  <c r="R3662" i="1"/>
  <c r="P3662" i="1"/>
  <c r="U3661" i="1"/>
  <c r="T3661" i="1"/>
  <c r="R3661" i="1"/>
  <c r="P3661" i="1"/>
  <c r="U3660" i="1"/>
  <c r="T3660" i="1"/>
  <c r="R3660" i="1"/>
  <c r="P3660" i="1"/>
  <c r="U3659" i="1"/>
  <c r="T3659" i="1"/>
  <c r="R3659" i="1"/>
  <c r="P3659" i="1"/>
  <c r="U3658" i="1"/>
  <c r="T3658" i="1"/>
  <c r="R3658" i="1"/>
  <c r="P3658" i="1"/>
  <c r="U3657" i="1"/>
  <c r="T3657" i="1"/>
  <c r="R3657" i="1"/>
  <c r="P3657" i="1"/>
  <c r="U3656" i="1"/>
  <c r="T3656" i="1"/>
  <c r="R3656" i="1"/>
  <c r="P3656" i="1"/>
  <c r="U3655" i="1"/>
  <c r="T3655" i="1"/>
  <c r="R3655" i="1"/>
  <c r="P3655" i="1"/>
  <c r="U3654" i="1"/>
  <c r="T3654" i="1"/>
  <c r="R3654" i="1"/>
  <c r="P3654" i="1"/>
  <c r="U3653" i="1"/>
  <c r="T3653" i="1"/>
  <c r="R3653" i="1"/>
  <c r="P3653" i="1"/>
  <c r="U3652" i="1"/>
  <c r="T3652" i="1"/>
  <c r="R3652" i="1"/>
  <c r="P3652" i="1"/>
  <c r="U3651" i="1"/>
  <c r="T3651" i="1"/>
  <c r="R3651" i="1"/>
  <c r="P3651" i="1"/>
  <c r="U3650" i="1"/>
  <c r="T3650" i="1"/>
  <c r="R3650" i="1"/>
  <c r="P3650" i="1"/>
  <c r="U3649" i="1"/>
  <c r="T3649" i="1"/>
  <c r="R3649" i="1"/>
  <c r="P3649" i="1"/>
  <c r="U3648" i="1"/>
  <c r="T3648" i="1"/>
  <c r="R3648" i="1"/>
  <c r="P3648" i="1"/>
  <c r="U3647" i="1"/>
  <c r="T3647" i="1"/>
  <c r="R3647" i="1"/>
  <c r="P3647" i="1"/>
  <c r="U3646" i="1"/>
  <c r="T3646" i="1"/>
  <c r="R3646" i="1"/>
  <c r="P3646" i="1"/>
  <c r="U3645" i="1"/>
  <c r="T3645" i="1"/>
  <c r="R3645" i="1"/>
  <c r="P3645" i="1"/>
  <c r="U3644" i="1"/>
  <c r="T3644" i="1"/>
  <c r="R3644" i="1"/>
  <c r="P3644" i="1"/>
  <c r="U3643" i="1"/>
  <c r="T3643" i="1"/>
  <c r="R3643" i="1"/>
  <c r="P3643" i="1"/>
  <c r="U3642" i="1"/>
  <c r="T3642" i="1"/>
  <c r="R3642" i="1"/>
  <c r="P3642" i="1"/>
  <c r="U3641" i="1"/>
  <c r="T3641" i="1"/>
  <c r="R3641" i="1"/>
  <c r="P3641" i="1"/>
  <c r="U3640" i="1"/>
  <c r="T3640" i="1"/>
  <c r="R3640" i="1"/>
  <c r="P3640" i="1"/>
  <c r="U3639" i="1"/>
  <c r="T3639" i="1"/>
  <c r="R3639" i="1"/>
  <c r="P3639" i="1"/>
  <c r="U3638" i="1"/>
  <c r="T3638" i="1"/>
  <c r="R3638" i="1"/>
  <c r="P3638" i="1"/>
  <c r="U3637" i="1"/>
  <c r="T3637" i="1"/>
  <c r="R3637" i="1"/>
  <c r="P3637" i="1"/>
  <c r="U3636" i="1"/>
  <c r="T3636" i="1"/>
  <c r="R3636" i="1"/>
  <c r="P3636" i="1"/>
  <c r="U3635" i="1"/>
  <c r="T3635" i="1"/>
  <c r="R3635" i="1"/>
  <c r="P3635" i="1"/>
  <c r="U3634" i="1"/>
  <c r="T3634" i="1"/>
  <c r="R3634" i="1"/>
  <c r="P3634" i="1"/>
  <c r="U3633" i="1"/>
  <c r="T3633" i="1"/>
  <c r="R3633" i="1"/>
  <c r="P3633" i="1"/>
  <c r="U3632" i="1"/>
  <c r="T3632" i="1"/>
  <c r="R3632" i="1"/>
  <c r="P3632" i="1"/>
  <c r="U3631" i="1"/>
  <c r="T3631" i="1"/>
  <c r="R3631" i="1"/>
  <c r="P3631" i="1"/>
  <c r="U3630" i="1"/>
  <c r="T3630" i="1"/>
  <c r="R3630" i="1"/>
  <c r="P3630" i="1"/>
  <c r="U3629" i="1"/>
  <c r="T3629" i="1"/>
  <c r="R3629" i="1"/>
  <c r="P3629" i="1"/>
  <c r="U3628" i="1"/>
  <c r="T3628" i="1"/>
  <c r="R3628" i="1"/>
  <c r="P3628" i="1"/>
  <c r="U3627" i="1"/>
  <c r="T3627" i="1"/>
  <c r="R3627" i="1"/>
  <c r="P3627" i="1"/>
  <c r="U3626" i="1"/>
  <c r="T3626" i="1"/>
  <c r="R3626" i="1"/>
  <c r="P3626" i="1"/>
  <c r="U3625" i="1"/>
  <c r="T3625" i="1"/>
  <c r="R3625" i="1"/>
  <c r="P3625" i="1"/>
  <c r="U3624" i="1"/>
  <c r="T3624" i="1"/>
  <c r="R3624" i="1"/>
  <c r="P3624" i="1"/>
  <c r="U3623" i="1"/>
  <c r="T3623" i="1"/>
  <c r="R3623" i="1"/>
  <c r="P3623" i="1"/>
  <c r="U3622" i="1"/>
  <c r="T3622" i="1"/>
  <c r="R3622" i="1"/>
  <c r="P3622" i="1"/>
  <c r="U3621" i="1"/>
  <c r="T3621" i="1"/>
  <c r="R3621" i="1"/>
  <c r="P3621" i="1"/>
  <c r="U3620" i="1"/>
  <c r="T3620" i="1"/>
  <c r="R3620" i="1"/>
  <c r="P3620" i="1"/>
  <c r="U3619" i="1"/>
  <c r="T3619" i="1"/>
  <c r="R3619" i="1"/>
  <c r="P3619" i="1"/>
  <c r="U3618" i="1"/>
  <c r="T3618" i="1"/>
  <c r="R3618" i="1"/>
  <c r="P3618" i="1"/>
  <c r="U3617" i="1"/>
  <c r="T3617" i="1"/>
  <c r="R3617" i="1"/>
  <c r="P3617" i="1"/>
  <c r="U3616" i="1"/>
  <c r="T3616" i="1"/>
  <c r="R3616" i="1"/>
  <c r="P3616" i="1"/>
  <c r="U3615" i="1"/>
  <c r="T3615" i="1"/>
  <c r="R3615" i="1"/>
  <c r="P3615" i="1"/>
  <c r="U3614" i="1"/>
  <c r="T3614" i="1"/>
  <c r="R3614" i="1"/>
  <c r="P3614" i="1"/>
  <c r="U3613" i="1"/>
  <c r="T3613" i="1"/>
  <c r="R3613" i="1"/>
  <c r="P3613" i="1"/>
  <c r="U3612" i="1"/>
  <c r="T3612" i="1"/>
  <c r="R3612" i="1"/>
  <c r="P3612" i="1"/>
  <c r="U3611" i="1"/>
  <c r="T3611" i="1"/>
  <c r="R3611" i="1"/>
  <c r="P3611" i="1"/>
  <c r="U3610" i="1"/>
  <c r="T3610" i="1"/>
  <c r="R3610" i="1"/>
  <c r="P3610" i="1"/>
  <c r="U3609" i="1"/>
  <c r="T3609" i="1"/>
  <c r="R3609" i="1"/>
  <c r="P3609" i="1"/>
  <c r="U3608" i="1"/>
  <c r="T3608" i="1"/>
  <c r="R3608" i="1"/>
  <c r="P3608" i="1"/>
  <c r="U3607" i="1"/>
  <c r="T3607" i="1"/>
  <c r="R3607" i="1"/>
  <c r="P3607" i="1"/>
  <c r="U3606" i="1"/>
  <c r="T3606" i="1"/>
  <c r="R3606" i="1"/>
  <c r="P3606" i="1"/>
  <c r="U3605" i="1"/>
  <c r="T3605" i="1"/>
  <c r="R3605" i="1"/>
  <c r="P3605" i="1"/>
  <c r="U3604" i="1"/>
  <c r="T3604" i="1"/>
  <c r="R3604" i="1"/>
  <c r="P3604" i="1"/>
  <c r="U3603" i="1"/>
  <c r="T3603" i="1"/>
  <c r="R3603" i="1"/>
  <c r="P3603" i="1"/>
  <c r="U3602" i="1"/>
  <c r="T3602" i="1"/>
  <c r="R3602" i="1"/>
  <c r="P3602" i="1"/>
  <c r="U3601" i="1"/>
  <c r="T3601" i="1"/>
  <c r="R3601" i="1"/>
  <c r="P3601" i="1"/>
  <c r="U3600" i="1"/>
  <c r="T3600" i="1"/>
  <c r="R3600" i="1"/>
  <c r="P3600" i="1"/>
  <c r="U3599" i="1"/>
  <c r="T3599" i="1"/>
  <c r="R3599" i="1"/>
  <c r="P3599" i="1"/>
  <c r="U3598" i="1"/>
  <c r="T3598" i="1"/>
  <c r="R3598" i="1"/>
  <c r="P3598" i="1"/>
  <c r="U3597" i="1"/>
  <c r="T3597" i="1"/>
  <c r="R3597" i="1"/>
  <c r="P3597" i="1"/>
  <c r="U3596" i="1"/>
  <c r="T3596" i="1"/>
  <c r="R3596" i="1"/>
  <c r="P3596" i="1"/>
  <c r="U3595" i="1"/>
  <c r="T3595" i="1"/>
  <c r="R3595" i="1"/>
  <c r="P3595" i="1"/>
  <c r="U3594" i="1"/>
  <c r="T3594" i="1"/>
  <c r="R3594" i="1"/>
  <c r="P3594" i="1"/>
  <c r="U3593" i="1"/>
  <c r="T3593" i="1"/>
  <c r="R3593" i="1"/>
  <c r="P3593" i="1"/>
  <c r="U3592" i="1"/>
  <c r="T3592" i="1"/>
  <c r="R3592" i="1"/>
  <c r="P3592" i="1"/>
  <c r="U3591" i="1"/>
  <c r="T3591" i="1"/>
  <c r="R3591" i="1"/>
  <c r="P3591" i="1"/>
  <c r="U3590" i="1"/>
  <c r="T3590" i="1"/>
  <c r="R3590" i="1"/>
  <c r="P3590" i="1"/>
  <c r="U3589" i="1"/>
  <c r="T3589" i="1"/>
  <c r="R3589" i="1"/>
  <c r="P3589" i="1"/>
  <c r="U3588" i="1"/>
  <c r="T3588" i="1"/>
  <c r="R3588" i="1"/>
  <c r="P3588" i="1"/>
  <c r="U3587" i="1"/>
  <c r="T3587" i="1"/>
  <c r="R3587" i="1"/>
  <c r="P3587" i="1"/>
  <c r="U3586" i="1"/>
  <c r="T3586" i="1"/>
  <c r="R3586" i="1"/>
  <c r="P3586" i="1"/>
  <c r="U3585" i="1"/>
  <c r="T3585" i="1"/>
  <c r="R3585" i="1"/>
  <c r="P3585" i="1"/>
  <c r="U3584" i="1"/>
  <c r="T3584" i="1"/>
  <c r="R3584" i="1"/>
  <c r="P3584" i="1"/>
  <c r="U3583" i="1"/>
  <c r="T3583" i="1"/>
  <c r="R3583" i="1"/>
  <c r="P3583" i="1"/>
  <c r="U3582" i="1"/>
  <c r="T3582" i="1"/>
  <c r="R3582" i="1"/>
  <c r="P3582" i="1"/>
  <c r="U3581" i="1"/>
  <c r="T3581" i="1"/>
  <c r="R3581" i="1"/>
  <c r="P3581" i="1"/>
  <c r="U3580" i="1"/>
  <c r="T3580" i="1"/>
  <c r="R3580" i="1"/>
  <c r="P3580" i="1"/>
  <c r="U3579" i="1"/>
  <c r="T3579" i="1"/>
  <c r="R3579" i="1"/>
  <c r="P3579" i="1"/>
  <c r="U3578" i="1"/>
  <c r="T3578" i="1"/>
  <c r="R3578" i="1"/>
  <c r="P3578" i="1"/>
  <c r="U3577" i="1"/>
  <c r="T3577" i="1"/>
  <c r="R3577" i="1"/>
  <c r="P3577" i="1"/>
  <c r="U3576" i="1"/>
  <c r="T3576" i="1"/>
  <c r="R3576" i="1"/>
  <c r="P3576" i="1"/>
  <c r="U3575" i="1"/>
  <c r="T3575" i="1"/>
  <c r="R3575" i="1"/>
  <c r="P3575" i="1"/>
  <c r="U3574" i="1"/>
  <c r="T3574" i="1"/>
  <c r="R3574" i="1"/>
  <c r="P3574" i="1"/>
  <c r="U3573" i="1"/>
  <c r="T3573" i="1"/>
  <c r="R3573" i="1"/>
  <c r="P3573" i="1"/>
  <c r="U3572" i="1"/>
  <c r="T3572" i="1"/>
  <c r="R3572" i="1"/>
  <c r="P3572" i="1"/>
  <c r="U3571" i="1"/>
  <c r="T3571" i="1"/>
  <c r="R3571" i="1"/>
  <c r="P3571" i="1"/>
  <c r="U3570" i="1"/>
  <c r="T3570" i="1"/>
  <c r="R3570" i="1"/>
  <c r="P3570" i="1"/>
  <c r="U3569" i="1"/>
  <c r="T3569" i="1"/>
  <c r="R3569" i="1"/>
  <c r="P3569" i="1"/>
  <c r="U3568" i="1"/>
  <c r="T3568" i="1"/>
  <c r="R3568" i="1"/>
  <c r="P3568" i="1"/>
  <c r="U3567" i="1"/>
  <c r="T3567" i="1"/>
  <c r="R3567" i="1"/>
  <c r="P3567" i="1"/>
  <c r="U3566" i="1"/>
  <c r="T3566" i="1"/>
  <c r="R3566" i="1"/>
  <c r="P3566" i="1"/>
  <c r="U3565" i="1"/>
  <c r="T3565" i="1"/>
  <c r="R3565" i="1"/>
  <c r="P3565" i="1"/>
  <c r="U3564" i="1"/>
  <c r="T3564" i="1"/>
  <c r="R3564" i="1"/>
  <c r="P3564" i="1"/>
  <c r="U3563" i="1"/>
  <c r="T3563" i="1"/>
  <c r="R3563" i="1"/>
  <c r="P3563" i="1"/>
  <c r="U3562" i="1"/>
  <c r="T3562" i="1"/>
  <c r="R3562" i="1"/>
  <c r="P3562" i="1"/>
  <c r="U3561" i="1"/>
  <c r="T3561" i="1"/>
  <c r="R3561" i="1"/>
  <c r="P3561" i="1"/>
  <c r="U3560" i="1"/>
  <c r="T3560" i="1"/>
  <c r="R3560" i="1"/>
  <c r="P3560" i="1"/>
  <c r="U3559" i="1"/>
  <c r="T3559" i="1"/>
  <c r="R3559" i="1"/>
  <c r="P3559" i="1"/>
  <c r="U3558" i="1"/>
  <c r="T3558" i="1"/>
  <c r="R3558" i="1"/>
  <c r="P3558" i="1"/>
  <c r="U3557" i="1"/>
  <c r="T3557" i="1"/>
  <c r="R3557" i="1"/>
  <c r="P3557" i="1"/>
  <c r="U3556" i="1"/>
  <c r="T3556" i="1"/>
  <c r="R3556" i="1"/>
  <c r="P3556" i="1"/>
  <c r="U3555" i="1"/>
  <c r="T3555" i="1"/>
  <c r="R3555" i="1"/>
  <c r="P3555" i="1"/>
  <c r="U3554" i="1"/>
  <c r="T3554" i="1"/>
  <c r="R3554" i="1"/>
  <c r="P3554" i="1"/>
  <c r="U3553" i="1"/>
  <c r="T3553" i="1"/>
  <c r="R3553" i="1"/>
  <c r="P3553" i="1"/>
  <c r="U3552" i="1"/>
  <c r="T3552" i="1"/>
  <c r="R3552" i="1"/>
  <c r="P3552" i="1"/>
  <c r="U3551" i="1"/>
  <c r="T3551" i="1"/>
  <c r="R3551" i="1"/>
  <c r="P3551" i="1"/>
  <c r="U3550" i="1"/>
  <c r="T3550" i="1"/>
  <c r="R3550" i="1"/>
  <c r="P3550" i="1"/>
  <c r="U3549" i="1"/>
  <c r="T3549" i="1"/>
  <c r="R3549" i="1"/>
  <c r="P3549" i="1"/>
  <c r="U3548" i="1"/>
  <c r="T3548" i="1"/>
  <c r="R3548" i="1"/>
  <c r="P3548" i="1"/>
  <c r="U3547" i="1"/>
  <c r="T3547" i="1"/>
  <c r="R3547" i="1"/>
  <c r="P3547" i="1"/>
  <c r="U3546" i="1"/>
  <c r="T3546" i="1"/>
  <c r="R3546" i="1"/>
  <c r="P3546" i="1"/>
  <c r="U3545" i="1"/>
  <c r="T3545" i="1"/>
  <c r="R3545" i="1"/>
  <c r="P3545" i="1"/>
  <c r="U3544" i="1"/>
  <c r="T3544" i="1"/>
  <c r="R3544" i="1"/>
  <c r="P3544" i="1"/>
  <c r="U3543" i="1"/>
  <c r="T3543" i="1"/>
  <c r="R3543" i="1"/>
  <c r="P3543" i="1"/>
  <c r="U3542" i="1"/>
  <c r="T3542" i="1"/>
  <c r="R3542" i="1"/>
  <c r="P3542" i="1"/>
  <c r="U3541" i="1"/>
  <c r="T3541" i="1"/>
  <c r="R3541" i="1"/>
  <c r="P3541" i="1"/>
  <c r="U3540" i="1"/>
  <c r="T3540" i="1"/>
  <c r="R3540" i="1"/>
  <c r="P3540" i="1"/>
  <c r="U3539" i="1"/>
  <c r="T3539" i="1"/>
  <c r="R3539" i="1"/>
  <c r="P3539" i="1"/>
  <c r="U3538" i="1"/>
  <c r="T3538" i="1"/>
  <c r="R3538" i="1"/>
  <c r="P3538" i="1"/>
  <c r="U3537" i="1"/>
  <c r="T3537" i="1"/>
  <c r="R3537" i="1"/>
  <c r="P3537" i="1"/>
  <c r="U3536" i="1"/>
  <c r="T3536" i="1"/>
  <c r="R3536" i="1"/>
  <c r="P3536" i="1"/>
  <c r="U3535" i="1"/>
  <c r="T3535" i="1"/>
  <c r="R3535" i="1"/>
  <c r="P3535" i="1"/>
  <c r="U3534" i="1"/>
  <c r="T3534" i="1"/>
  <c r="R3534" i="1"/>
  <c r="P3534" i="1"/>
  <c r="U3533" i="1"/>
  <c r="T3533" i="1"/>
  <c r="R3533" i="1"/>
  <c r="P3533" i="1"/>
  <c r="U3532" i="1"/>
  <c r="T3532" i="1"/>
  <c r="R3532" i="1"/>
  <c r="P3532" i="1"/>
  <c r="U3531" i="1"/>
  <c r="T3531" i="1"/>
  <c r="R3531" i="1"/>
  <c r="P3531" i="1"/>
  <c r="U3530" i="1"/>
  <c r="T3530" i="1"/>
  <c r="R3530" i="1"/>
  <c r="P3530" i="1"/>
  <c r="U3529" i="1"/>
  <c r="T3529" i="1"/>
  <c r="R3529" i="1"/>
  <c r="P3529" i="1"/>
  <c r="U3528" i="1"/>
  <c r="T3528" i="1"/>
  <c r="R3528" i="1"/>
  <c r="P3528" i="1"/>
  <c r="U3527" i="1"/>
  <c r="T3527" i="1"/>
  <c r="R3527" i="1"/>
  <c r="P3527" i="1"/>
  <c r="U3526" i="1"/>
  <c r="T3526" i="1"/>
  <c r="R3526" i="1"/>
  <c r="P3526" i="1"/>
  <c r="U3525" i="1"/>
  <c r="T3525" i="1"/>
  <c r="R3525" i="1"/>
  <c r="P3525" i="1"/>
  <c r="U3524" i="1"/>
  <c r="T3524" i="1"/>
  <c r="R3524" i="1"/>
  <c r="P3524" i="1"/>
  <c r="U3523" i="1"/>
  <c r="T3523" i="1"/>
  <c r="R3523" i="1"/>
  <c r="P3523" i="1"/>
  <c r="U3522" i="1"/>
  <c r="T3522" i="1"/>
  <c r="R3522" i="1"/>
  <c r="P3522" i="1"/>
  <c r="U3521" i="1"/>
  <c r="T3521" i="1"/>
  <c r="R3521" i="1"/>
  <c r="P3521" i="1"/>
  <c r="U3520" i="1"/>
  <c r="T3520" i="1"/>
  <c r="R3520" i="1"/>
  <c r="P3520" i="1"/>
  <c r="U3519" i="1"/>
  <c r="T3519" i="1"/>
  <c r="R3519" i="1"/>
  <c r="P3519" i="1"/>
  <c r="U3518" i="1"/>
  <c r="T3518" i="1"/>
  <c r="R3518" i="1"/>
  <c r="P3518" i="1"/>
  <c r="U3517" i="1"/>
  <c r="T3517" i="1"/>
  <c r="R3517" i="1"/>
  <c r="P3517" i="1"/>
  <c r="U3516" i="1"/>
  <c r="T3516" i="1"/>
  <c r="R3516" i="1"/>
  <c r="P3516" i="1"/>
  <c r="U3515" i="1"/>
  <c r="T3515" i="1"/>
  <c r="R3515" i="1"/>
  <c r="P3515" i="1"/>
  <c r="U3514" i="1"/>
  <c r="T3514" i="1"/>
  <c r="R3514" i="1"/>
  <c r="P3514" i="1"/>
  <c r="U3513" i="1"/>
  <c r="T3513" i="1"/>
  <c r="R3513" i="1"/>
  <c r="P3513" i="1"/>
  <c r="U3512" i="1"/>
  <c r="T3512" i="1"/>
  <c r="R3512" i="1"/>
  <c r="P3512" i="1"/>
  <c r="U3511" i="1"/>
  <c r="T3511" i="1"/>
  <c r="R3511" i="1"/>
  <c r="P3511" i="1"/>
  <c r="U3510" i="1"/>
  <c r="T3510" i="1"/>
  <c r="R3510" i="1"/>
  <c r="P3510" i="1"/>
  <c r="U3509" i="1"/>
  <c r="T3509" i="1"/>
  <c r="R3509" i="1"/>
  <c r="P3509" i="1"/>
  <c r="U3508" i="1"/>
  <c r="T3508" i="1"/>
  <c r="R3508" i="1"/>
  <c r="P3508" i="1"/>
  <c r="U3507" i="1"/>
  <c r="T3507" i="1"/>
  <c r="R3507" i="1"/>
  <c r="P3507" i="1"/>
  <c r="U3506" i="1"/>
  <c r="T3506" i="1"/>
  <c r="R3506" i="1"/>
  <c r="P3506" i="1"/>
  <c r="U3505" i="1"/>
  <c r="T3505" i="1"/>
  <c r="R3505" i="1"/>
  <c r="P3505" i="1"/>
  <c r="U3504" i="1"/>
  <c r="T3504" i="1"/>
  <c r="R3504" i="1"/>
  <c r="P3504" i="1"/>
  <c r="U3503" i="1"/>
  <c r="T3503" i="1"/>
  <c r="R3503" i="1"/>
  <c r="P3503" i="1"/>
  <c r="U3502" i="1"/>
  <c r="T3502" i="1"/>
  <c r="R3502" i="1"/>
  <c r="P3502" i="1"/>
  <c r="U3501" i="1"/>
  <c r="T3501" i="1"/>
  <c r="R3501" i="1"/>
  <c r="P3501" i="1"/>
  <c r="U3500" i="1"/>
  <c r="T3500" i="1"/>
  <c r="R3500" i="1"/>
  <c r="P3500" i="1"/>
  <c r="U3499" i="1"/>
  <c r="T3499" i="1"/>
  <c r="R3499" i="1"/>
  <c r="P3499" i="1"/>
  <c r="U3498" i="1"/>
  <c r="T3498" i="1"/>
  <c r="R3498" i="1"/>
  <c r="P3498" i="1"/>
  <c r="U3497" i="1"/>
  <c r="T3497" i="1"/>
  <c r="R3497" i="1"/>
  <c r="P3497" i="1"/>
  <c r="U3496" i="1"/>
  <c r="T3496" i="1"/>
  <c r="R3496" i="1"/>
  <c r="P3496" i="1"/>
  <c r="U3495" i="1"/>
  <c r="T3495" i="1"/>
  <c r="R3495" i="1"/>
  <c r="P3495" i="1"/>
  <c r="U3494" i="1"/>
  <c r="T3494" i="1"/>
  <c r="R3494" i="1"/>
  <c r="P3494" i="1"/>
  <c r="U3493" i="1"/>
  <c r="T3493" i="1"/>
  <c r="R3493" i="1"/>
  <c r="P3493" i="1"/>
  <c r="U3492" i="1"/>
  <c r="T3492" i="1"/>
  <c r="R3492" i="1"/>
  <c r="P3492" i="1"/>
  <c r="U3491" i="1"/>
  <c r="T3491" i="1"/>
  <c r="R3491" i="1"/>
  <c r="P3491" i="1"/>
  <c r="U3490" i="1"/>
  <c r="T3490" i="1"/>
  <c r="R3490" i="1"/>
  <c r="P3490" i="1"/>
  <c r="U3489" i="1"/>
  <c r="T3489" i="1"/>
  <c r="R3489" i="1"/>
  <c r="P3489" i="1"/>
  <c r="U3488" i="1"/>
  <c r="T3488" i="1"/>
  <c r="R3488" i="1"/>
  <c r="P3488" i="1"/>
  <c r="U3487" i="1"/>
  <c r="T3487" i="1"/>
  <c r="R3487" i="1"/>
  <c r="P3487" i="1"/>
  <c r="U3486" i="1"/>
  <c r="T3486" i="1"/>
  <c r="R3486" i="1"/>
  <c r="P3486" i="1"/>
  <c r="U3485" i="1"/>
  <c r="T3485" i="1"/>
  <c r="R3485" i="1"/>
  <c r="P3485" i="1"/>
  <c r="U3484" i="1"/>
  <c r="T3484" i="1"/>
  <c r="R3484" i="1"/>
  <c r="P3484" i="1"/>
  <c r="U3483" i="1"/>
  <c r="T3483" i="1"/>
  <c r="R3483" i="1"/>
  <c r="P3483" i="1"/>
  <c r="U3482" i="1"/>
  <c r="T3482" i="1"/>
  <c r="R3482" i="1"/>
  <c r="P3482" i="1"/>
  <c r="U3481" i="1"/>
  <c r="T3481" i="1"/>
  <c r="R3481" i="1"/>
  <c r="P3481" i="1"/>
  <c r="U3480" i="1"/>
  <c r="T3480" i="1"/>
  <c r="R3480" i="1"/>
  <c r="P3480" i="1"/>
  <c r="U3479" i="1"/>
  <c r="T3479" i="1"/>
  <c r="R3479" i="1"/>
  <c r="P3479" i="1"/>
  <c r="U3478" i="1"/>
  <c r="T3478" i="1"/>
  <c r="R3478" i="1"/>
  <c r="P3478" i="1"/>
  <c r="U3477" i="1"/>
  <c r="T3477" i="1"/>
  <c r="R3477" i="1"/>
  <c r="P3477" i="1"/>
  <c r="U3476" i="1"/>
  <c r="T3476" i="1"/>
  <c r="R3476" i="1"/>
  <c r="P3476" i="1"/>
  <c r="U3475" i="1"/>
  <c r="T3475" i="1"/>
  <c r="R3475" i="1"/>
  <c r="P3475" i="1"/>
  <c r="U3474" i="1"/>
  <c r="T3474" i="1"/>
  <c r="R3474" i="1"/>
  <c r="P3474" i="1"/>
  <c r="U3473" i="1"/>
  <c r="T3473" i="1"/>
  <c r="R3473" i="1"/>
  <c r="P3473" i="1"/>
  <c r="U3472" i="1"/>
  <c r="T3472" i="1"/>
  <c r="R3472" i="1"/>
  <c r="P3472" i="1"/>
  <c r="U3471" i="1"/>
  <c r="T3471" i="1"/>
  <c r="R3471" i="1"/>
  <c r="P3471" i="1"/>
  <c r="U3470" i="1"/>
  <c r="T3470" i="1"/>
  <c r="R3470" i="1"/>
  <c r="P3470" i="1"/>
  <c r="U3469" i="1"/>
  <c r="T3469" i="1"/>
  <c r="R3469" i="1"/>
  <c r="P3469" i="1"/>
  <c r="U3468" i="1"/>
  <c r="T3468" i="1"/>
  <c r="R3468" i="1"/>
  <c r="P3468" i="1"/>
  <c r="U3467" i="1"/>
  <c r="T3467" i="1"/>
  <c r="R3467" i="1"/>
  <c r="P3467" i="1"/>
  <c r="U3466" i="1"/>
  <c r="T3466" i="1"/>
  <c r="R3466" i="1"/>
  <c r="P3466" i="1"/>
  <c r="U3465" i="1"/>
  <c r="T3465" i="1"/>
  <c r="R3465" i="1"/>
  <c r="P3465" i="1"/>
  <c r="U3464" i="1"/>
  <c r="T3464" i="1"/>
  <c r="R3464" i="1"/>
  <c r="P3464" i="1"/>
  <c r="U3463" i="1"/>
  <c r="T3463" i="1"/>
  <c r="R3463" i="1"/>
  <c r="P3463" i="1"/>
  <c r="U3462" i="1"/>
  <c r="T3462" i="1"/>
  <c r="R3462" i="1"/>
  <c r="P3462" i="1"/>
  <c r="U3461" i="1"/>
  <c r="T3461" i="1"/>
  <c r="R3461" i="1"/>
  <c r="P3461" i="1"/>
  <c r="U3460" i="1"/>
  <c r="T3460" i="1"/>
  <c r="R3460" i="1"/>
  <c r="P3460" i="1"/>
  <c r="U3459" i="1"/>
  <c r="T3459" i="1"/>
  <c r="R3459" i="1"/>
  <c r="P3459" i="1"/>
  <c r="U3458" i="1"/>
  <c r="T3458" i="1"/>
  <c r="R3458" i="1"/>
  <c r="P3458" i="1"/>
  <c r="U3457" i="1"/>
  <c r="T3457" i="1"/>
  <c r="R3457" i="1"/>
  <c r="P3457" i="1"/>
  <c r="U3456" i="1"/>
  <c r="T3456" i="1"/>
  <c r="R3456" i="1"/>
  <c r="P3456" i="1"/>
  <c r="U3455" i="1"/>
  <c r="T3455" i="1"/>
  <c r="R3455" i="1"/>
  <c r="P3455" i="1"/>
  <c r="U3454" i="1"/>
  <c r="T3454" i="1"/>
  <c r="R3454" i="1"/>
  <c r="P3454" i="1"/>
  <c r="U3453" i="1"/>
  <c r="T3453" i="1"/>
  <c r="R3453" i="1"/>
  <c r="P3453" i="1"/>
  <c r="U3452" i="1"/>
  <c r="T3452" i="1"/>
  <c r="R3452" i="1"/>
  <c r="P3452" i="1"/>
  <c r="U3451" i="1"/>
  <c r="T3451" i="1"/>
  <c r="R3451" i="1"/>
  <c r="P3451" i="1"/>
  <c r="U3450" i="1"/>
  <c r="T3450" i="1"/>
  <c r="R3450" i="1"/>
  <c r="P3450" i="1"/>
  <c r="U3449" i="1"/>
  <c r="T3449" i="1"/>
  <c r="R3449" i="1"/>
  <c r="P3449" i="1"/>
  <c r="U3448" i="1"/>
  <c r="T3448" i="1"/>
  <c r="R3448" i="1"/>
  <c r="P3448" i="1"/>
  <c r="U3447" i="1"/>
  <c r="T3447" i="1"/>
  <c r="R3447" i="1"/>
  <c r="P3447" i="1"/>
  <c r="U3446" i="1"/>
  <c r="T3446" i="1"/>
  <c r="R3446" i="1"/>
  <c r="P3446" i="1"/>
  <c r="U3445" i="1"/>
  <c r="T3445" i="1"/>
  <c r="R3445" i="1"/>
  <c r="P3445" i="1"/>
  <c r="U3444" i="1"/>
  <c r="T3444" i="1"/>
  <c r="R3444" i="1"/>
  <c r="P3444" i="1"/>
  <c r="U3443" i="1"/>
  <c r="T3443" i="1"/>
  <c r="R3443" i="1"/>
  <c r="P3443" i="1"/>
  <c r="U3442" i="1"/>
  <c r="T3442" i="1"/>
  <c r="R3442" i="1"/>
  <c r="P3442" i="1"/>
  <c r="U3441" i="1"/>
  <c r="T3441" i="1"/>
  <c r="R3441" i="1"/>
  <c r="P3441" i="1"/>
  <c r="U3440" i="1"/>
  <c r="T3440" i="1"/>
  <c r="R3440" i="1"/>
  <c r="P3440" i="1"/>
  <c r="U3439" i="1"/>
  <c r="T3439" i="1"/>
  <c r="R3439" i="1"/>
  <c r="P3439" i="1"/>
  <c r="U3438" i="1"/>
  <c r="T3438" i="1"/>
  <c r="R3438" i="1"/>
  <c r="P3438" i="1"/>
  <c r="U3437" i="1"/>
  <c r="T3437" i="1"/>
  <c r="R3437" i="1"/>
  <c r="P3437" i="1"/>
  <c r="U3436" i="1"/>
  <c r="T3436" i="1"/>
  <c r="R3436" i="1"/>
  <c r="P3436" i="1"/>
  <c r="U3435" i="1"/>
  <c r="T3435" i="1"/>
  <c r="R3435" i="1"/>
  <c r="P3435" i="1"/>
  <c r="U3434" i="1"/>
  <c r="T3434" i="1"/>
  <c r="R3434" i="1"/>
  <c r="P3434" i="1"/>
  <c r="U3433" i="1"/>
  <c r="T3433" i="1"/>
  <c r="R3433" i="1"/>
  <c r="P3433" i="1"/>
  <c r="U3432" i="1"/>
  <c r="T3432" i="1"/>
  <c r="R3432" i="1"/>
  <c r="P3432" i="1"/>
  <c r="U3431" i="1"/>
  <c r="T3431" i="1"/>
  <c r="R3431" i="1"/>
  <c r="P3431" i="1"/>
  <c r="U3430" i="1"/>
  <c r="T3430" i="1"/>
  <c r="R3430" i="1"/>
  <c r="P3430" i="1"/>
  <c r="U3429" i="1"/>
  <c r="T3429" i="1"/>
  <c r="R3429" i="1"/>
  <c r="P3429" i="1"/>
  <c r="U3428" i="1"/>
  <c r="T3428" i="1"/>
  <c r="R3428" i="1"/>
  <c r="P3428" i="1"/>
  <c r="U3427" i="1"/>
  <c r="T3427" i="1"/>
  <c r="R3427" i="1"/>
  <c r="P3427" i="1"/>
  <c r="U3426" i="1"/>
  <c r="T3426" i="1"/>
  <c r="R3426" i="1"/>
  <c r="P3426" i="1"/>
  <c r="U3425" i="1"/>
  <c r="T3425" i="1"/>
  <c r="R3425" i="1"/>
  <c r="P3425" i="1"/>
  <c r="U3424" i="1"/>
  <c r="T3424" i="1"/>
  <c r="R3424" i="1"/>
  <c r="P3424" i="1"/>
  <c r="U3423" i="1"/>
  <c r="T3423" i="1"/>
  <c r="R3423" i="1"/>
  <c r="P3423" i="1"/>
  <c r="U3422" i="1"/>
  <c r="T3422" i="1"/>
  <c r="R3422" i="1"/>
  <c r="P3422" i="1"/>
  <c r="U3421" i="1"/>
  <c r="T3421" i="1"/>
  <c r="R3421" i="1"/>
  <c r="P3421" i="1"/>
  <c r="U3420" i="1"/>
  <c r="T3420" i="1"/>
  <c r="R3420" i="1"/>
  <c r="P3420" i="1"/>
  <c r="U3419" i="1"/>
  <c r="T3419" i="1"/>
  <c r="R3419" i="1"/>
  <c r="P3419" i="1"/>
  <c r="U3418" i="1"/>
  <c r="T3418" i="1"/>
  <c r="R3418" i="1"/>
  <c r="P3418" i="1"/>
  <c r="U3417" i="1"/>
  <c r="T3417" i="1"/>
  <c r="R3417" i="1"/>
  <c r="P3417" i="1"/>
  <c r="U3416" i="1"/>
  <c r="T3416" i="1"/>
  <c r="R3416" i="1"/>
  <c r="P3416" i="1"/>
  <c r="U3415" i="1"/>
  <c r="T3415" i="1"/>
  <c r="R3415" i="1"/>
  <c r="P3415" i="1"/>
  <c r="U3414" i="1"/>
  <c r="T3414" i="1"/>
  <c r="R3414" i="1"/>
  <c r="P3414" i="1"/>
  <c r="U3413" i="1"/>
  <c r="T3413" i="1"/>
  <c r="R3413" i="1"/>
  <c r="P3413" i="1"/>
  <c r="U3412" i="1"/>
  <c r="T3412" i="1"/>
  <c r="R3412" i="1"/>
  <c r="P3412" i="1"/>
  <c r="U3411" i="1"/>
  <c r="T3411" i="1"/>
  <c r="R3411" i="1"/>
  <c r="P3411" i="1"/>
  <c r="U3410" i="1"/>
  <c r="T3410" i="1"/>
  <c r="R3410" i="1"/>
  <c r="P3410" i="1"/>
  <c r="U3409" i="1"/>
  <c r="T3409" i="1"/>
  <c r="R3409" i="1"/>
  <c r="P3409" i="1"/>
  <c r="U3408" i="1"/>
  <c r="T3408" i="1"/>
  <c r="R3408" i="1"/>
  <c r="P3408" i="1"/>
  <c r="U3407" i="1"/>
  <c r="T3407" i="1"/>
  <c r="R3407" i="1"/>
  <c r="P3407" i="1"/>
  <c r="U3406" i="1"/>
  <c r="T3406" i="1"/>
  <c r="R3406" i="1"/>
  <c r="P3406" i="1"/>
  <c r="U3405" i="1"/>
  <c r="T3405" i="1"/>
  <c r="R3405" i="1"/>
  <c r="P3405" i="1"/>
  <c r="U3404" i="1"/>
  <c r="T3404" i="1"/>
  <c r="R3404" i="1"/>
  <c r="P3404" i="1"/>
  <c r="U3403" i="1"/>
  <c r="T3403" i="1"/>
  <c r="R3403" i="1"/>
  <c r="P3403" i="1"/>
  <c r="U3402" i="1"/>
  <c r="T3402" i="1"/>
  <c r="R3402" i="1"/>
  <c r="P3402" i="1"/>
  <c r="U3401" i="1"/>
  <c r="T3401" i="1"/>
  <c r="R3401" i="1"/>
  <c r="P3401" i="1"/>
  <c r="U3400" i="1"/>
  <c r="T3400" i="1"/>
  <c r="R3400" i="1"/>
  <c r="P3400" i="1"/>
  <c r="U3399" i="1"/>
  <c r="T3399" i="1"/>
  <c r="R3399" i="1"/>
  <c r="P3399" i="1"/>
  <c r="U3398" i="1"/>
  <c r="T3398" i="1"/>
  <c r="R3398" i="1"/>
  <c r="P3398" i="1"/>
  <c r="U3397" i="1"/>
  <c r="T3397" i="1"/>
  <c r="R3397" i="1"/>
  <c r="P3397" i="1"/>
  <c r="U3396" i="1"/>
  <c r="T3396" i="1"/>
  <c r="R3396" i="1"/>
  <c r="P3396" i="1"/>
  <c r="U3395" i="1"/>
  <c r="T3395" i="1"/>
  <c r="R3395" i="1"/>
  <c r="P3395" i="1"/>
  <c r="U3394" i="1"/>
  <c r="T3394" i="1"/>
  <c r="R3394" i="1"/>
  <c r="P3394" i="1"/>
  <c r="U3393" i="1"/>
  <c r="T3393" i="1"/>
  <c r="R3393" i="1"/>
  <c r="P3393" i="1"/>
  <c r="U3392" i="1"/>
  <c r="T3392" i="1"/>
  <c r="R3392" i="1"/>
  <c r="P3392" i="1"/>
  <c r="U3391" i="1"/>
  <c r="T3391" i="1"/>
  <c r="R3391" i="1"/>
  <c r="P3391" i="1"/>
  <c r="U3390" i="1"/>
  <c r="T3390" i="1"/>
  <c r="R3390" i="1"/>
  <c r="P3390" i="1"/>
  <c r="U3389" i="1"/>
  <c r="T3389" i="1"/>
  <c r="R3389" i="1"/>
  <c r="P3389" i="1"/>
  <c r="U3388" i="1"/>
  <c r="T3388" i="1"/>
  <c r="R3388" i="1"/>
  <c r="P3388" i="1"/>
  <c r="U3387" i="1"/>
  <c r="T3387" i="1"/>
  <c r="R3387" i="1"/>
  <c r="P3387" i="1"/>
  <c r="U3386" i="1"/>
  <c r="T3386" i="1"/>
  <c r="R3386" i="1"/>
  <c r="P3386" i="1"/>
  <c r="U3385" i="1"/>
  <c r="T3385" i="1"/>
  <c r="R3385" i="1"/>
  <c r="P3385" i="1"/>
  <c r="U3384" i="1"/>
  <c r="T3384" i="1"/>
  <c r="R3384" i="1"/>
  <c r="P3384" i="1"/>
  <c r="U3383" i="1"/>
  <c r="T3383" i="1"/>
  <c r="R3383" i="1"/>
  <c r="P3383" i="1"/>
  <c r="U3382" i="1"/>
  <c r="T3382" i="1"/>
  <c r="R3382" i="1"/>
  <c r="P3382" i="1"/>
  <c r="U3381" i="1"/>
  <c r="T3381" i="1"/>
  <c r="R3381" i="1"/>
  <c r="P3381" i="1"/>
  <c r="U3380" i="1"/>
  <c r="T3380" i="1"/>
  <c r="R3380" i="1"/>
  <c r="P3380" i="1"/>
  <c r="U3379" i="1"/>
  <c r="T3379" i="1"/>
  <c r="R3379" i="1"/>
  <c r="P3379" i="1"/>
  <c r="U3378" i="1"/>
  <c r="T3378" i="1"/>
  <c r="R3378" i="1"/>
  <c r="P3378" i="1"/>
  <c r="U3377" i="1"/>
  <c r="T3377" i="1"/>
  <c r="R3377" i="1"/>
  <c r="P3377" i="1"/>
  <c r="U3376" i="1"/>
  <c r="T3376" i="1"/>
  <c r="R3376" i="1"/>
  <c r="P3376" i="1"/>
  <c r="U3375" i="1"/>
  <c r="T3375" i="1"/>
  <c r="R3375" i="1"/>
  <c r="P3375" i="1"/>
  <c r="U3374" i="1"/>
  <c r="T3374" i="1"/>
  <c r="R3374" i="1"/>
  <c r="P3374" i="1"/>
  <c r="U3373" i="1"/>
  <c r="T3373" i="1"/>
  <c r="R3373" i="1"/>
  <c r="P3373" i="1"/>
  <c r="U3372" i="1"/>
  <c r="T3372" i="1"/>
  <c r="R3372" i="1"/>
  <c r="P3372" i="1"/>
  <c r="U3371" i="1"/>
  <c r="T3371" i="1"/>
  <c r="R3371" i="1"/>
  <c r="P3371" i="1"/>
  <c r="U3370" i="1"/>
  <c r="T3370" i="1"/>
  <c r="R3370" i="1"/>
  <c r="P3370" i="1"/>
  <c r="U3369" i="1"/>
  <c r="T3369" i="1"/>
  <c r="R3369" i="1"/>
  <c r="P3369" i="1"/>
  <c r="U3368" i="1"/>
  <c r="T3368" i="1"/>
  <c r="R3368" i="1"/>
  <c r="P3368" i="1"/>
  <c r="U3367" i="1"/>
  <c r="T3367" i="1"/>
  <c r="R3367" i="1"/>
  <c r="P3367" i="1"/>
  <c r="U3366" i="1"/>
  <c r="T3366" i="1"/>
  <c r="R3366" i="1"/>
  <c r="P3366" i="1"/>
  <c r="U3365" i="1"/>
  <c r="T3365" i="1"/>
  <c r="R3365" i="1"/>
  <c r="P3365" i="1"/>
  <c r="U3364" i="1"/>
  <c r="T3364" i="1"/>
  <c r="R3364" i="1"/>
  <c r="P3364" i="1"/>
  <c r="U3363" i="1"/>
  <c r="T3363" i="1"/>
  <c r="R3363" i="1"/>
  <c r="P3363" i="1"/>
  <c r="U3362" i="1"/>
  <c r="T3362" i="1"/>
  <c r="R3362" i="1"/>
  <c r="P3362" i="1"/>
  <c r="U3361" i="1"/>
  <c r="T3361" i="1"/>
  <c r="R3361" i="1"/>
  <c r="P3361" i="1"/>
  <c r="U3360" i="1"/>
  <c r="T3360" i="1"/>
  <c r="R3360" i="1"/>
  <c r="P3360" i="1"/>
  <c r="U3359" i="1"/>
  <c r="T3359" i="1"/>
  <c r="R3359" i="1"/>
  <c r="P3359" i="1"/>
  <c r="U3358" i="1"/>
  <c r="T3358" i="1"/>
  <c r="R3358" i="1"/>
  <c r="P3358" i="1"/>
  <c r="U3357" i="1"/>
  <c r="T3357" i="1"/>
  <c r="R3357" i="1"/>
  <c r="P3357" i="1"/>
  <c r="U3356" i="1"/>
  <c r="T3356" i="1"/>
  <c r="R3356" i="1"/>
  <c r="P3356" i="1"/>
  <c r="U3355" i="1"/>
  <c r="T3355" i="1"/>
  <c r="R3355" i="1"/>
  <c r="P3355" i="1"/>
  <c r="U3354" i="1"/>
  <c r="T3354" i="1"/>
  <c r="R3354" i="1"/>
  <c r="P3354" i="1"/>
  <c r="U3353" i="1"/>
  <c r="T3353" i="1"/>
  <c r="R3353" i="1"/>
  <c r="P3353" i="1"/>
  <c r="U3352" i="1"/>
  <c r="T3352" i="1"/>
  <c r="R3352" i="1"/>
  <c r="P3352" i="1"/>
  <c r="U3351" i="1"/>
  <c r="T3351" i="1"/>
  <c r="R3351" i="1"/>
  <c r="P3351" i="1"/>
  <c r="U3350" i="1"/>
  <c r="T3350" i="1"/>
  <c r="R3350" i="1"/>
  <c r="P3350" i="1"/>
  <c r="U3349" i="1"/>
  <c r="T3349" i="1"/>
  <c r="R3349" i="1"/>
  <c r="P3349" i="1"/>
  <c r="U3348" i="1"/>
  <c r="T3348" i="1"/>
  <c r="R3348" i="1"/>
  <c r="P3348" i="1"/>
  <c r="U3347" i="1"/>
  <c r="T3347" i="1"/>
  <c r="R3347" i="1"/>
  <c r="P3347" i="1"/>
  <c r="U3346" i="1"/>
  <c r="T3346" i="1"/>
  <c r="R3346" i="1"/>
  <c r="P3346" i="1"/>
  <c r="U3345" i="1"/>
  <c r="T3345" i="1"/>
  <c r="R3345" i="1"/>
  <c r="P3345" i="1"/>
  <c r="U3344" i="1"/>
  <c r="T3344" i="1"/>
  <c r="R3344" i="1"/>
  <c r="P3344" i="1"/>
  <c r="U3343" i="1"/>
  <c r="T3343" i="1"/>
  <c r="R3343" i="1"/>
  <c r="P3343" i="1"/>
  <c r="U3342" i="1"/>
  <c r="T3342" i="1"/>
  <c r="R3342" i="1"/>
  <c r="P3342" i="1"/>
  <c r="U3341" i="1"/>
  <c r="T3341" i="1"/>
  <c r="R3341" i="1"/>
  <c r="P3341" i="1"/>
  <c r="U3340" i="1"/>
  <c r="T3340" i="1"/>
  <c r="R3340" i="1"/>
  <c r="P3340" i="1"/>
  <c r="U3339" i="1"/>
  <c r="T3339" i="1"/>
  <c r="R3339" i="1"/>
  <c r="P3339" i="1"/>
  <c r="U3338" i="1"/>
  <c r="T3338" i="1"/>
  <c r="R3338" i="1"/>
  <c r="P3338" i="1"/>
  <c r="U3337" i="1"/>
  <c r="T3337" i="1"/>
  <c r="R3337" i="1"/>
  <c r="P3337" i="1"/>
  <c r="U3336" i="1"/>
  <c r="T3336" i="1"/>
  <c r="R3336" i="1"/>
  <c r="P3336" i="1"/>
  <c r="U3335" i="1"/>
  <c r="T3335" i="1"/>
  <c r="R3335" i="1"/>
  <c r="P3335" i="1"/>
  <c r="U3334" i="1"/>
  <c r="T3334" i="1"/>
  <c r="R3334" i="1"/>
  <c r="P3334" i="1"/>
  <c r="U3333" i="1"/>
  <c r="T3333" i="1"/>
  <c r="R3333" i="1"/>
  <c r="P3333" i="1"/>
  <c r="U3332" i="1"/>
  <c r="T3332" i="1"/>
  <c r="R3332" i="1"/>
  <c r="P3332" i="1"/>
  <c r="U3331" i="1"/>
  <c r="T3331" i="1"/>
  <c r="R3331" i="1"/>
  <c r="P3331" i="1"/>
  <c r="U3330" i="1"/>
  <c r="T3330" i="1"/>
  <c r="R3330" i="1"/>
  <c r="P3330" i="1"/>
  <c r="U3329" i="1"/>
  <c r="T3329" i="1"/>
  <c r="R3329" i="1"/>
  <c r="P3329" i="1"/>
  <c r="U3328" i="1"/>
  <c r="T3328" i="1"/>
  <c r="R3328" i="1"/>
  <c r="P3328" i="1"/>
  <c r="U3327" i="1"/>
  <c r="T3327" i="1"/>
  <c r="R3327" i="1"/>
  <c r="P3327" i="1"/>
  <c r="U3326" i="1"/>
  <c r="T3326" i="1"/>
  <c r="R3326" i="1"/>
  <c r="P3326" i="1"/>
  <c r="U3325" i="1"/>
  <c r="T3325" i="1"/>
  <c r="R3325" i="1"/>
  <c r="P3325" i="1"/>
  <c r="U3324" i="1"/>
  <c r="T3324" i="1"/>
  <c r="R3324" i="1"/>
  <c r="P3324" i="1"/>
  <c r="U3323" i="1"/>
  <c r="T3323" i="1"/>
  <c r="R3323" i="1"/>
  <c r="P3323" i="1"/>
  <c r="U3322" i="1"/>
  <c r="T3322" i="1"/>
  <c r="R3322" i="1"/>
  <c r="P3322" i="1"/>
  <c r="U3321" i="1"/>
  <c r="T3321" i="1"/>
  <c r="R3321" i="1"/>
  <c r="P3321" i="1"/>
  <c r="U3320" i="1"/>
  <c r="T3320" i="1"/>
  <c r="R3320" i="1"/>
  <c r="P3320" i="1"/>
  <c r="U3319" i="1"/>
  <c r="T3319" i="1"/>
  <c r="R3319" i="1"/>
  <c r="P3319" i="1"/>
  <c r="U3318" i="1"/>
  <c r="T3318" i="1"/>
  <c r="R3318" i="1"/>
  <c r="P3318" i="1"/>
  <c r="U3317" i="1"/>
  <c r="T3317" i="1"/>
  <c r="R3317" i="1"/>
  <c r="P3317" i="1"/>
  <c r="U3316" i="1"/>
  <c r="T3316" i="1"/>
  <c r="R3316" i="1"/>
  <c r="P3316" i="1"/>
  <c r="U3315" i="1"/>
  <c r="T3315" i="1"/>
  <c r="R3315" i="1"/>
  <c r="P3315" i="1"/>
  <c r="U3314" i="1"/>
  <c r="T3314" i="1"/>
  <c r="R3314" i="1"/>
  <c r="P3314" i="1"/>
  <c r="U3313" i="1"/>
  <c r="T3313" i="1"/>
  <c r="R3313" i="1"/>
  <c r="P3313" i="1"/>
  <c r="U3312" i="1"/>
  <c r="T3312" i="1"/>
  <c r="R3312" i="1"/>
  <c r="P3312" i="1"/>
  <c r="U3311" i="1"/>
  <c r="T3311" i="1"/>
  <c r="R3311" i="1"/>
  <c r="P3311" i="1"/>
  <c r="U3310" i="1"/>
  <c r="T3310" i="1"/>
  <c r="R3310" i="1"/>
  <c r="P3310" i="1"/>
  <c r="U3309" i="1"/>
  <c r="T3309" i="1"/>
  <c r="R3309" i="1"/>
  <c r="P3309" i="1"/>
  <c r="U3308" i="1"/>
  <c r="T3308" i="1"/>
  <c r="R3308" i="1"/>
  <c r="P3308" i="1"/>
  <c r="U3307" i="1"/>
  <c r="T3307" i="1"/>
  <c r="R3307" i="1"/>
  <c r="P3307" i="1"/>
  <c r="U3306" i="1"/>
  <c r="T3306" i="1"/>
  <c r="R3306" i="1"/>
  <c r="P3306" i="1"/>
  <c r="U3305" i="1"/>
  <c r="T3305" i="1"/>
  <c r="R3305" i="1"/>
  <c r="P3305" i="1"/>
  <c r="U3304" i="1"/>
  <c r="T3304" i="1"/>
  <c r="R3304" i="1"/>
  <c r="P3304" i="1"/>
  <c r="U3303" i="1"/>
  <c r="T3303" i="1"/>
  <c r="R3303" i="1"/>
  <c r="P3303" i="1"/>
  <c r="U3302" i="1"/>
  <c r="T3302" i="1"/>
  <c r="R3302" i="1"/>
  <c r="P3302" i="1"/>
  <c r="U3301" i="1"/>
  <c r="T3301" i="1"/>
  <c r="R3301" i="1"/>
  <c r="P3301" i="1"/>
  <c r="U3300" i="1"/>
  <c r="T3300" i="1"/>
  <c r="R3300" i="1"/>
  <c r="P3300" i="1"/>
  <c r="U3299" i="1"/>
  <c r="T3299" i="1"/>
  <c r="R3299" i="1"/>
  <c r="P3299" i="1"/>
  <c r="U3298" i="1"/>
  <c r="T3298" i="1"/>
  <c r="R3298" i="1"/>
  <c r="P3298" i="1"/>
  <c r="U3297" i="1"/>
  <c r="T3297" i="1"/>
  <c r="R3297" i="1"/>
  <c r="P3297" i="1"/>
  <c r="U3296" i="1"/>
  <c r="T3296" i="1"/>
  <c r="R3296" i="1"/>
  <c r="P3296" i="1"/>
  <c r="U3295" i="1"/>
  <c r="T3295" i="1"/>
  <c r="R3295" i="1"/>
  <c r="P3295" i="1"/>
  <c r="U3294" i="1"/>
  <c r="T3294" i="1"/>
  <c r="R3294" i="1"/>
  <c r="P3294" i="1"/>
  <c r="U3293" i="1"/>
  <c r="T3293" i="1"/>
  <c r="R3293" i="1"/>
  <c r="P3293" i="1"/>
  <c r="U3292" i="1"/>
  <c r="T3292" i="1"/>
  <c r="R3292" i="1"/>
  <c r="P3292" i="1"/>
  <c r="U3291" i="1"/>
  <c r="T3291" i="1"/>
  <c r="R3291" i="1"/>
  <c r="P3291" i="1"/>
  <c r="U3290" i="1"/>
  <c r="T3290" i="1"/>
  <c r="R3290" i="1"/>
  <c r="P3290" i="1"/>
  <c r="U3289" i="1"/>
  <c r="T3289" i="1"/>
  <c r="R3289" i="1"/>
  <c r="P3289" i="1"/>
  <c r="U3288" i="1"/>
  <c r="T3288" i="1"/>
  <c r="R3288" i="1"/>
  <c r="P3288" i="1"/>
  <c r="U3287" i="1"/>
  <c r="T3287" i="1"/>
  <c r="R3287" i="1"/>
  <c r="P3287" i="1"/>
  <c r="U3286" i="1"/>
  <c r="T3286" i="1"/>
  <c r="R3286" i="1"/>
  <c r="P3286" i="1"/>
  <c r="U3285" i="1"/>
  <c r="T3285" i="1"/>
  <c r="R3285" i="1"/>
  <c r="P3285" i="1"/>
  <c r="U3284" i="1"/>
  <c r="T3284" i="1"/>
  <c r="R3284" i="1"/>
  <c r="P3284" i="1"/>
  <c r="U3283" i="1"/>
  <c r="T3283" i="1"/>
  <c r="R3283" i="1"/>
  <c r="P3283" i="1"/>
  <c r="U3282" i="1"/>
  <c r="T3282" i="1"/>
  <c r="R3282" i="1"/>
  <c r="P3282" i="1"/>
  <c r="U3281" i="1"/>
  <c r="T3281" i="1"/>
  <c r="R3281" i="1"/>
  <c r="P3281" i="1"/>
  <c r="U3280" i="1"/>
  <c r="T3280" i="1"/>
  <c r="R3280" i="1"/>
  <c r="P3280" i="1"/>
  <c r="U3279" i="1"/>
  <c r="T3279" i="1"/>
  <c r="R3279" i="1"/>
  <c r="P3279" i="1"/>
  <c r="U3278" i="1"/>
  <c r="T3278" i="1"/>
  <c r="R3278" i="1"/>
  <c r="P3278" i="1"/>
  <c r="U3277" i="1"/>
  <c r="T3277" i="1"/>
  <c r="R3277" i="1"/>
  <c r="P3277" i="1"/>
  <c r="U3276" i="1"/>
  <c r="T3276" i="1"/>
  <c r="R3276" i="1"/>
  <c r="P3276" i="1"/>
  <c r="U3275" i="1"/>
  <c r="T3275" i="1"/>
  <c r="R3275" i="1"/>
  <c r="P3275" i="1"/>
  <c r="U3274" i="1"/>
  <c r="T3274" i="1"/>
  <c r="R3274" i="1"/>
  <c r="P3274" i="1"/>
  <c r="U3273" i="1"/>
  <c r="T3273" i="1"/>
  <c r="R3273" i="1"/>
  <c r="P3273" i="1"/>
  <c r="U3272" i="1"/>
  <c r="T3272" i="1"/>
  <c r="R3272" i="1"/>
  <c r="P3272" i="1"/>
  <c r="U3271" i="1"/>
  <c r="T3271" i="1"/>
  <c r="R3271" i="1"/>
  <c r="P3271" i="1"/>
  <c r="U3270" i="1"/>
  <c r="T3270" i="1"/>
  <c r="R3270" i="1"/>
  <c r="P3270" i="1"/>
  <c r="U3269" i="1"/>
  <c r="T3269" i="1"/>
  <c r="R3269" i="1"/>
  <c r="P3269" i="1"/>
  <c r="U3268" i="1"/>
  <c r="T3268" i="1"/>
  <c r="R3268" i="1"/>
  <c r="P3268" i="1"/>
  <c r="U3267" i="1"/>
  <c r="T3267" i="1"/>
  <c r="R3267" i="1"/>
  <c r="P3267" i="1"/>
  <c r="U3266" i="1"/>
  <c r="T3266" i="1"/>
  <c r="R3266" i="1"/>
  <c r="P3266" i="1"/>
  <c r="U3265" i="1"/>
  <c r="T3265" i="1"/>
  <c r="R3265" i="1"/>
  <c r="P3265" i="1"/>
  <c r="U3264" i="1"/>
  <c r="T3264" i="1"/>
  <c r="R3264" i="1"/>
  <c r="P3264" i="1"/>
  <c r="U3263" i="1"/>
  <c r="T3263" i="1"/>
  <c r="R3263" i="1"/>
  <c r="P3263" i="1"/>
  <c r="U3262" i="1"/>
  <c r="T3262" i="1"/>
  <c r="R3262" i="1"/>
  <c r="P3262" i="1"/>
  <c r="U3261" i="1"/>
  <c r="T3261" i="1"/>
  <c r="R3261" i="1"/>
  <c r="P3261" i="1"/>
  <c r="U3260" i="1"/>
  <c r="T3260" i="1"/>
  <c r="R3260" i="1"/>
  <c r="P3260" i="1"/>
  <c r="U3259" i="1"/>
  <c r="T3259" i="1"/>
  <c r="R3259" i="1"/>
  <c r="P3259" i="1"/>
  <c r="U3258" i="1"/>
  <c r="T3258" i="1"/>
  <c r="R3258" i="1"/>
  <c r="P3258" i="1"/>
  <c r="U3257" i="1"/>
  <c r="T3257" i="1"/>
  <c r="R3257" i="1"/>
  <c r="P3257" i="1"/>
  <c r="U3256" i="1"/>
  <c r="T3256" i="1"/>
  <c r="R3256" i="1"/>
  <c r="P3256" i="1"/>
  <c r="U3255" i="1"/>
  <c r="T3255" i="1"/>
  <c r="R3255" i="1"/>
  <c r="P3255" i="1"/>
  <c r="U3254" i="1"/>
  <c r="T3254" i="1"/>
  <c r="R3254" i="1"/>
  <c r="P3254" i="1"/>
  <c r="U3253" i="1"/>
  <c r="T3253" i="1"/>
  <c r="R3253" i="1"/>
  <c r="P3253" i="1"/>
  <c r="U3252" i="1"/>
  <c r="T3252" i="1"/>
  <c r="R3252" i="1"/>
  <c r="P3252" i="1"/>
  <c r="U3251" i="1"/>
  <c r="T3251" i="1"/>
  <c r="R3251" i="1"/>
  <c r="P3251" i="1"/>
  <c r="U3250" i="1"/>
  <c r="T3250" i="1"/>
  <c r="R3250" i="1"/>
  <c r="P3250" i="1"/>
  <c r="U3249" i="1"/>
  <c r="T3249" i="1"/>
  <c r="R3249" i="1"/>
  <c r="P3249" i="1"/>
  <c r="U3248" i="1"/>
  <c r="T3248" i="1"/>
  <c r="R3248" i="1"/>
  <c r="P3248" i="1"/>
  <c r="U3247" i="1"/>
  <c r="T3247" i="1"/>
  <c r="R3247" i="1"/>
  <c r="P3247" i="1"/>
  <c r="U3246" i="1"/>
  <c r="T3246" i="1"/>
  <c r="R3246" i="1"/>
  <c r="P3246" i="1"/>
  <c r="U3245" i="1"/>
  <c r="T3245" i="1"/>
  <c r="R3245" i="1"/>
  <c r="P3245" i="1"/>
  <c r="U3244" i="1"/>
  <c r="T3244" i="1"/>
  <c r="R3244" i="1"/>
  <c r="P3244" i="1"/>
  <c r="U3243" i="1"/>
  <c r="T3243" i="1"/>
  <c r="R3243" i="1"/>
  <c r="P3243" i="1"/>
  <c r="U3242" i="1"/>
  <c r="T3242" i="1"/>
  <c r="R3242" i="1"/>
  <c r="P3242" i="1"/>
  <c r="U3241" i="1"/>
  <c r="T3241" i="1"/>
  <c r="R3241" i="1"/>
  <c r="P3241" i="1"/>
  <c r="U3240" i="1"/>
  <c r="T3240" i="1"/>
  <c r="R3240" i="1"/>
  <c r="P3240" i="1"/>
  <c r="U3239" i="1"/>
  <c r="T3239" i="1"/>
  <c r="R3239" i="1"/>
  <c r="P3239" i="1"/>
  <c r="U3238" i="1"/>
  <c r="T3238" i="1"/>
  <c r="R3238" i="1"/>
  <c r="P3238" i="1"/>
  <c r="U3237" i="1"/>
  <c r="T3237" i="1"/>
  <c r="R3237" i="1"/>
  <c r="P3237" i="1"/>
  <c r="U3236" i="1"/>
  <c r="T3236" i="1"/>
  <c r="R3236" i="1"/>
  <c r="P3236" i="1"/>
  <c r="U3235" i="1"/>
  <c r="T3235" i="1"/>
  <c r="R3235" i="1"/>
  <c r="P3235" i="1"/>
  <c r="U3234" i="1"/>
  <c r="T3234" i="1"/>
  <c r="R3234" i="1"/>
  <c r="P3234" i="1"/>
  <c r="U3233" i="1"/>
  <c r="T3233" i="1"/>
  <c r="R3233" i="1"/>
  <c r="P3233" i="1"/>
  <c r="U3232" i="1"/>
  <c r="T3232" i="1"/>
  <c r="R3232" i="1"/>
  <c r="P3232" i="1"/>
  <c r="U3231" i="1"/>
  <c r="T3231" i="1"/>
  <c r="R3231" i="1"/>
  <c r="P3231" i="1"/>
  <c r="U3230" i="1"/>
  <c r="T3230" i="1"/>
  <c r="R3230" i="1"/>
  <c r="P3230" i="1"/>
  <c r="U3229" i="1"/>
  <c r="T3229" i="1"/>
  <c r="R3229" i="1"/>
  <c r="P3229" i="1"/>
  <c r="U3228" i="1"/>
  <c r="T3228" i="1"/>
  <c r="R3228" i="1"/>
  <c r="P3228" i="1"/>
  <c r="U3227" i="1"/>
  <c r="T3227" i="1"/>
  <c r="R3227" i="1"/>
  <c r="P3227" i="1"/>
  <c r="U3226" i="1"/>
  <c r="T3226" i="1"/>
  <c r="R3226" i="1"/>
  <c r="P3226" i="1"/>
  <c r="U3225" i="1"/>
  <c r="T3225" i="1"/>
  <c r="R3225" i="1"/>
  <c r="P3225" i="1"/>
  <c r="U3224" i="1"/>
  <c r="T3224" i="1"/>
  <c r="R3224" i="1"/>
  <c r="P3224" i="1"/>
  <c r="U3223" i="1"/>
  <c r="T3223" i="1"/>
  <c r="R3223" i="1"/>
  <c r="P3223" i="1"/>
  <c r="U3222" i="1"/>
  <c r="T3222" i="1"/>
  <c r="R3222" i="1"/>
  <c r="P3222" i="1"/>
  <c r="U3221" i="1"/>
  <c r="T3221" i="1"/>
  <c r="R3221" i="1"/>
  <c r="P3221" i="1"/>
  <c r="U3220" i="1"/>
  <c r="T3220" i="1"/>
  <c r="R3220" i="1"/>
  <c r="P3220" i="1"/>
  <c r="U3219" i="1"/>
  <c r="T3219" i="1"/>
  <c r="R3219" i="1"/>
  <c r="P3219" i="1"/>
  <c r="U3218" i="1"/>
  <c r="T3218" i="1"/>
  <c r="R3218" i="1"/>
  <c r="P3218" i="1"/>
  <c r="U3217" i="1"/>
  <c r="T3217" i="1"/>
  <c r="R3217" i="1"/>
  <c r="P3217" i="1"/>
  <c r="U3216" i="1"/>
  <c r="T3216" i="1"/>
  <c r="R3216" i="1"/>
  <c r="P3216" i="1"/>
  <c r="U3215" i="1"/>
  <c r="T3215" i="1"/>
  <c r="R3215" i="1"/>
  <c r="P3215" i="1"/>
  <c r="U3214" i="1"/>
  <c r="T3214" i="1"/>
  <c r="R3214" i="1"/>
  <c r="P3214" i="1"/>
  <c r="U3213" i="1"/>
  <c r="T3213" i="1"/>
  <c r="R3213" i="1"/>
  <c r="P3213" i="1"/>
  <c r="U3212" i="1"/>
  <c r="T3212" i="1"/>
  <c r="R3212" i="1"/>
  <c r="P3212" i="1"/>
  <c r="U3211" i="1"/>
  <c r="T3211" i="1"/>
  <c r="R3211" i="1"/>
  <c r="P3211" i="1"/>
  <c r="U3210" i="1"/>
  <c r="T3210" i="1"/>
  <c r="R3210" i="1"/>
  <c r="P3210" i="1"/>
  <c r="U3209" i="1"/>
  <c r="T3209" i="1"/>
  <c r="R3209" i="1"/>
  <c r="P3209" i="1"/>
  <c r="U3208" i="1"/>
  <c r="T3208" i="1"/>
  <c r="R3208" i="1"/>
  <c r="P3208" i="1"/>
  <c r="U3207" i="1"/>
  <c r="T3207" i="1"/>
  <c r="R3207" i="1"/>
  <c r="P3207" i="1"/>
  <c r="U3206" i="1"/>
  <c r="T3206" i="1"/>
  <c r="R3206" i="1"/>
  <c r="P3206" i="1"/>
  <c r="U3205" i="1"/>
  <c r="T3205" i="1"/>
  <c r="R3205" i="1"/>
  <c r="P3205" i="1"/>
  <c r="U3204" i="1"/>
  <c r="T3204" i="1"/>
  <c r="R3204" i="1"/>
  <c r="P3204" i="1"/>
  <c r="U3203" i="1"/>
  <c r="T3203" i="1"/>
  <c r="R3203" i="1"/>
  <c r="P3203" i="1"/>
  <c r="U3202" i="1"/>
  <c r="T3202" i="1"/>
  <c r="R3202" i="1"/>
  <c r="P3202" i="1"/>
  <c r="U3201" i="1"/>
  <c r="T3201" i="1"/>
  <c r="R3201" i="1"/>
  <c r="P3201" i="1"/>
  <c r="U3200" i="1"/>
  <c r="T3200" i="1"/>
  <c r="R3200" i="1"/>
  <c r="P3200" i="1"/>
  <c r="U3199" i="1"/>
  <c r="T3199" i="1"/>
  <c r="R3199" i="1"/>
  <c r="P3199" i="1"/>
  <c r="U3198" i="1"/>
  <c r="T3198" i="1"/>
  <c r="R3198" i="1"/>
  <c r="P3198" i="1"/>
  <c r="U3197" i="1"/>
  <c r="T3197" i="1"/>
  <c r="R3197" i="1"/>
  <c r="P3197" i="1"/>
  <c r="U3196" i="1"/>
  <c r="T3196" i="1"/>
  <c r="R3196" i="1"/>
  <c r="P3196" i="1"/>
  <c r="U3195" i="1"/>
  <c r="T3195" i="1"/>
  <c r="R3195" i="1"/>
  <c r="P3195" i="1"/>
  <c r="U3194" i="1"/>
  <c r="T3194" i="1"/>
  <c r="R3194" i="1"/>
  <c r="P3194" i="1"/>
  <c r="U3193" i="1"/>
  <c r="T3193" i="1"/>
  <c r="R3193" i="1"/>
  <c r="P3193" i="1"/>
  <c r="U3192" i="1"/>
  <c r="T3192" i="1"/>
  <c r="R3192" i="1"/>
  <c r="P3192" i="1"/>
  <c r="U3191" i="1"/>
  <c r="T3191" i="1"/>
  <c r="R3191" i="1"/>
  <c r="P3191" i="1"/>
  <c r="U3190" i="1"/>
  <c r="T3190" i="1"/>
  <c r="R3190" i="1"/>
  <c r="P3190" i="1"/>
  <c r="U3189" i="1"/>
  <c r="T3189" i="1"/>
  <c r="R3189" i="1"/>
  <c r="P3189" i="1"/>
  <c r="U3188" i="1"/>
  <c r="T3188" i="1"/>
  <c r="R3188" i="1"/>
  <c r="P3188" i="1"/>
  <c r="U3187" i="1"/>
  <c r="T3187" i="1"/>
  <c r="R3187" i="1"/>
  <c r="P3187" i="1"/>
  <c r="U3186" i="1"/>
  <c r="T3186" i="1"/>
  <c r="R3186" i="1"/>
  <c r="P3186" i="1"/>
  <c r="U3185" i="1"/>
  <c r="T3185" i="1"/>
  <c r="R3185" i="1"/>
  <c r="P3185" i="1"/>
  <c r="U3184" i="1"/>
  <c r="T3184" i="1"/>
  <c r="R3184" i="1"/>
  <c r="P3184" i="1"/>
  <c r="U3183" i="1"/>
  <c r="T3183" i="1"/>
  <c r="R3183" i="1"/>
  <c r="P3183" i="1"/>
  <c r="U3182" i="1"/>
  <c r="T3182" i="1"/>
  <c r="R3182" i="1"/>
  <c r="P3182" i="1"/>
  <c r="U3181" i="1"/>
  <c r="T3181" i="1"/>
  <c r="R3181" i="1"/>
  <c r="P3181" i="1"/>
  <c r="U3180" i="1"/>
  <c r="T3180" i="1"/>
  <c r="R3180" i="1"/>
  <c r="P3180" i="1"/>
  <c r="U3179" i="1"/>
  <c r="T3179" i="1"/>
  <c r="R3179" i="1"/>
  <c r="P3179" i="1"/>
  <c r="U3178" i="1"/>
  <c r="T3178" i="1"/>
  <c r="R3178" i="1"/>
  <c r="P3178" i="1"/>
  <c r="U3177" i="1"/>
  <c r="T3177" i="1"/>
  <c r="R3177" i="1"/>
  <c r="P3177" i="1"/>
  <c r="U3176" i="1"/>
  <c r="T3176" i="1"/>
  <c r="R3176" i="1"/>
  <c r="P3176" i="1"/>
  <c r="U3175" i="1"/>
  <c r="T3175" i="1"/>
  <c r="R3175" i="1"/>
  <c r="P3175" i="1"/>
  <c r="U3174" i="1"/>
  <c r="T3174" i="1"/>
  <c r="R3174" i="1"/>
  <c r="P3174" i="1"/>
  <c r="U3173" i="1"/>
  <c r="T3173" i="1"/>
  <c r="R3173" i="1"/>
  <c r="P3173" i="1"/>
  <c r="U3172" i="1"/>
  <c r="T3172" i="1"/>
  <c r="R3172" i="1"/>
  <c r="P3172" i="1"/>
  <c r="U3171" i="1"/>
  <c r="T3171" i="1"/>
  <c r="R3171" i="1"/>
  <c r="P3171" i="1"/>
  <c r="U3170" i="1"/>
  <c r="T3170" i="1"/>
  <c r="R3170" i="1"/>
  <c r="P3170" i="1"/>
  <c r="U3169" i="1"/>
  <c r="T3169" i="1"/>
  <c r="R3169" i="1"/>
  <c r="P3169" i="1"/>
  <c r="U3168" i="1"/>
  <c r="T3168" i="1"/>
  <c r="R3168" i="1"/>
  <c r="P3168" i="1"/>
  <c r="U3167" i="1"/>
  <c r="T3167" i="1"/>
  <c r="R3167" i="1"/>
  <c r="P3167" i="1"/>
  <c r="U3166" i="1"/>
  <c r="T3166" i="1"/>
  <c r="R3166" i="1"/>
  <c r="P3166" i="1"/>
  <c r="U3165" i="1"/>
  <c r="T3165" i="1"/>
  <c r="R3165" i="1"/>
  <c r="P3165" i="1"/>
  <c r="U3164" i="1"/>
  <c r="T3164" i="1"/>
  <c r="R3164" i="1"/>
  <c r="P3164" i="1"/>
  <c r="U3163" i="1"/>
  <c r="T3163" i="1"/>
  <c r="R3163" i="1"/>
  <c r="P3163" i="1"/>
  <c r="U3162" i="1"/>
  <c r="T3162" i="1"/>
  <c r="R3162" i="1"/>
  <c r="P3162" i="1"/>
  <c r="U3161" i="1"/>
  <c r="T3161" i="1"/>
  <c r="R3161" i="1"/>
  <c r="P3161" i="1"/>
  <c r="U3160" i="1"/>
  <c r="T3160" i="1"/>
  <c r="R3160" i="1"/>
  <c r="P3160" i="1"/>
  <c r="U3159" i="1"/>
  <c r="T3159" i="1"/>
  <c r="R3159" i="1"/>
  <c r="P3159" i="1"/>
  <c r="U3158" i="1"/>
  <c r="T3158" i="1"/>
  <c r="R3158" i="1"/>
  <c r="P3158" i="1"/>
  <c r="U3157" i="1"/>
  <c r="T3157" i="1"/>
  <c r="R3157" i="1"/>
  <c r="P3157" i="1"/>
  <c r="U3156" i="1"/>
  <c r="T3156" i="1"/>
  <c r="R3156" i="1"/>
  <c r="P3156" i="1"/>
  <c r="U3155" i="1"/>
  <c r="T3155" i="1"/>
  <c r="R3155" i="1"/>
  <c r="P3155" i="1"/>
  <c r="U3154" i="1"/>
  <c r="T3154" i="1"/>
  <c r="R3154" i="1"/>
  <c r="P3154" i="1"/>
  <c r="U3153" i="1"/>
  <c r="T3153" i="1"/>
  <c r="R3153" i="1"/>
  <c r="P3153" i="1"/>
  <c r="U3152" i="1"/>
  <c r="T3152" i="1"/>
  <c r="R3152" i="1"/>
  <c r="P3152" i="1"/>
  <c r="U3151" i="1"/>
  <c r="T3151" i="1"/>
  <c r="R3151" i="1"/>
  <c r="P3151" i="1"/>
  <c r="U3150" i="1"/>
  <c r="T3150" i="1"/>
  <c r="R3150" i="1"/>
  <c r="P3150" i="1"/>
  <c r="U3149" i="1"/>
  <c r="T3149" i="1"/>
  <c r="R3149" i="1"/>
  <c r="P3149" i="1"/>
  <c r="U3148" i="1"/>
  <c r="T3148" i="1"/>
  <c r="R3148" i="1"/>
  <c r="P3148" i="1"/>
  <c r="U3147" i="1"/>
  <c r="T3147" i="1"/>
  <c r="R3147" i="1"/>
  <c r="P3147" i="1"/>
  <c r="U3146" i="1"/>
  <c r="T3146" i="1"/>
  <c r="R3146" i="1"/>
  <c r="P3146" i="1"/>
  <c r="U3145" i="1"/>
  <c r="T3145" i="1"/>
  <c r="R3145" i="1"/>
  <c r="P3145" i="1"/>
  <c r="U3144" i="1"/>
  <c r="T3144" i="1"/>
  <c r="R3144" i="1"/>
  <c r="P3144" i="1"/>
  <c r="U3143" i="1"/>
  <c r="T3143" i="1"/>
  <c r="R3143" i="1"/>
  <c r="P3143" i="1"/>
  <c r="U3142" i="1"/>
  <c r="T3142" i="1"/>
  <c r="R3142" i="1"/>
  <c r="P3142" i="1"/>
  <c r="U3141" i="1"/>
  <c r="T3141" i="1"/>
  <c r="R3141" i="1"/>
  <c r="P3141" i="1"/>
  <c r="U3140" i="1"/>
  <c r="T3140" i="1"/>
  <c r="R3140" i="1"/>
  <c r="P3140" i="1"/>
  <c r="U3139" i="1"/>
  <c r="T3139" i="1"/>
  <c r="R3139" i="1"/>
  <c r="P3139" i="1"/>
  <c r="U3138" i="1"/>
  <c r="T3138" i="1"/>
  <c r="R3138" i="1"/>
  <c r="P3138" i="1"/>
  <c r="U3137" i="1"/>
  <c r="T3137" i="1"/>
  <c r="R3137" i="1"/>
  <c r="P3137" i="1"/>
  <c r="U3136" i="1"/>
  <c r="T3136" i="1"/>
  <c r="R3136" i="1"/>
  <c r="P3136" i="1"/>
  <c r="U3135" i="1"/>
  <c r="T3135" i="1"/>
  <c r="R3135" i="1"/>
  <c r="P3135" i="1"/>
  <c r="U3134" i="1"/>
  <c r="T3134" i="1"/>
  <c r="R3134" i="1"/>
  <c r="P3134" i="1"/>
  <c r="U3133" i="1"/>
  <c r="T3133" i="1"/>
  <c r="R3133" i="1"/>
  <c r="P3133" i="1"/>
  <c r="U3132" i="1"/>
  <c r="T3132" i="1"/>
  <c r="R3132" i="1"/>
  <c r="P3132" i="1"/>
  <c r="U3131" i="1"/>
  <c r="T3131" i="1"/>
  <c r="R3131" i="1"/>
  <c r="P3131" i="1"/>
  <c r="U3130" i="1"/>
  <c r="T3130" i="1"/>
  <c r="R3130" i="1"/>
  <c r="P3130" i="1"/>
  <c r="U3129" i="1"/>
  <c r="T3129" i="1"/>
  <c r="R3129" i="1"/>
  <c r="P3129" i="1"/>
  <c r="U3128" i="1"/>
  <c r="T3128" i="1"/>
  <c r="R3128" i="1"/>
  <c r="P3128" i="1"/>
  <c r="U3127" i="1"/>
  <c r="T3127" i="1"/>
  <c r="R3127" i="1"/>
  <c r="P3127" i="1"/>
  <c r="U3126" i="1"/>
  <c r="T3126" i="1"/>
  <c r="R3126" i="1"/>
  <c r="P3126" i="1"/>
  <c r="U3125" i="1"/>
  <c r="T3125" i="1"/>
  <c r="R3125" i="1"/>
  <c r="P3125" i="1"/>
  <c r="U3124" i="1"/>
  <c r="T3124" i="1"/>
  <c r="R3124" i="1"/>
  <c r="P3124" i="1"/>
  <c r="U3123" i="1"/>
  <c r="T3123" i="1"/>
  <c r="R3123" i="1"/>
  <c r="P3123" i="1"/>
  <c r="U3122" i="1"/>
  <c r="T3122" i="1"/>
  <c r="R3122" i="1"/>
  <c r="P3122" i="1"/>
  <c r="U3121" i="1"/>
  <c r="T3121" i="1"/>
  <c r="R3121" i="1"/>
  <c r="P3121" i="1"/>
  <c r="U3120" i="1"/>
  <c r="T3120" i="1"/>
  <c r="R3120" i="1"/>
  <c r="P3120" i="1"/>
  <c r="U3119" i="1"/>
  <c r="T3119" i="1"/>
  <c r="R3119" i="1"/>
  <c r="P3119" i="1"/>
  <c r="U3118" i="1"/>
  <c r="T3118" i="1"/>
  <c r="R3118" i="1"/>
  <c r="P3118" i="1"/>
  <c r="U3117" i="1"/>
  <c r="T3117" i="1"/>
  <c r="R3117" i="1"/>
  <c r="P3117" i="1"/>
  <c r="U3116" i="1"/>
  <c r="T3116" i="1"/>
  <c r="R3116" i="1"/>
  <c r="P3116" i="1"/>
  <c r="U3115" i="1"/>
  <c r="T3115" i="1"/>
  <c r="R3115" i="1"/>
  <c r="P3115" i="1"/>
  <c r="U3114" i="1"/>
  <c r="T3114" i="1"/>
  <c r="R3114" i="1"/>
  <c r="P3114" i="1"/>
  <c r="U3113" i="1"/>
  <c r="T3113" i="1"/>
  <c r="R3113" i="1"/>
  <c r="P3113" i="1"/>
  <c r="U3112" i="1"/>
  <c r="T3112" i="1"/>
  <c r="R3112" i="1"/>
  <c r="P3112" i="1"/>
  <c r="U3111" i="1"/>
  <c r="T3111" i="1"/>
  <c r="R3111" i="1"/>
  <c r="P3111" i="1"/>
  <c r="U3110" i="1"/>
  <c r="T3110" i="1"/>
  <c r="R3110" i="1"/>
  <c r="P3110" i="1"/>
  <c r="U3109" i="1"/>
  <c r="T3109" i="1"/>
  <c r="R3109" i="1"/>
  <c r="P3109" i="1"/>
  <c r="U3108" i="1"/>
  <c r="T3108" i="1"/>
  <c r="R3108" i="1"/>
  <c r="P3108" i="1"/>
  <c r="U3107" i="1"/>
  <c r="T3107" i="1"/>
  <c r="R3107" i="1"/>
  <c r="P3107" i="1"/>
  <c r="U3106" i="1"/>
  <c r="T3106" i="1"/>
  <c r="R3106" i="1"/>
  <c r="P3106" i="1"/>
  <c r="U3105" i="1"/>
  <c r="T3105" i="1"/>
  <c r="R3105" i="1"/>
  <c r="P3105" i="1"/>
  <c r="U3104" i="1"/>
  <c r="T3104" i="1"/>
  <c r="R3104" i="1"/>
  <c r="P3104" i="1"/>
  <c r="U3103" i="1"/>
  <c r="T3103" i="1"/>
  <c r="R3103" i="1"/>
  <c r="P3103" i="1"/>
  <c r="U3102" i="1"/>
  <c r="T3102" i="1"/>
  <c r="R3102" i="1"/>
  <c r="P3102" i="1"/>
  <c r="U3101" i="1"/>
  <c r="T3101" i="1"/>
  <c r="R3101" i="1"/>
  <c r="P3101" i="1"/>
  <c r="U3100" i="1"/>
  <c r="T3100" i="1"/>
  <c r="R3100" i="1"/>
  <c r="P3100" i="1"/>
  <c r="U3099" i="1"/>
  <c r="T3099" i="1"/>
  <c r="R3099" i="1"/>
  <c r="P3099" i="1"/>
  <c r="U3098" i="1"/>
  <c r="T3098" i="1"/>
  <c r="R3098" i="1"/>
  <c r="P3098" i="1"/>
  <c r="U3097" i="1"/>
  <c r="T3097" i="1"/>
  <c r="R3097" i="1"/>
  <c r="P3097" i="1"/>
  <c r="U3096" i="1"/>
  <c r="T3096" i="1"/>
  <c r="R3096" i="1"/>
  <c r="P3096" i="1"/>
  <c r="U3095" i="1"/>
  <c r="T3095" i="1"/>
  <c r="R3095" i="1"/>
  <c r="P3095" i="1"/>
  <c r="U3094" i="1"/>
  <c r="T3094" i="1"/>
  <c r="R3094" i="1"/>
  <c r="P3094" i="1"/>
  <c r="U3093" i="1"/>
  <c r="T3093" i="1"/>
  <c r="R3093" i="1"/>
  <c r="P3093" i="1"/>
  <c r="U3092" i="1"/>
  <c r="T3092" i="1"/>
  <c r="R3092" i="1"/>
  <c r="P3092" i="1"/>
  <c r="U3091" i="1"/>
  <c r="T3091" i="1"/>
  <c r="R3091" i="1"/>
  <c r="P3091" i="1"/>
  <c r="U3090" i="1"/>
  <c r="T3090" i="1"/>
  <c r="R3090" i="1"/>
  <c r="P3090" i="1"/>
  <c r="U3089" i="1"/>
  <c r="T3089" i="1"/>
  <c r="R3089" i="1"/>
  <c r="P3089" i="1"/>
  <c r="U3088" i="1"/>
  <c r="T3088" i="1"/>
  <c r="R3088" i="1"/>
  <c r="P3088" i="1"/>
  <c r="U3087" i="1"/>
  <c r="T3087" i="1"/>
  <c r="R3087" i="1"/>
  <c r="P3087" i="1"/>
  <c r="U3086" i="1"/>
  <c r="T3086" i="1"/>
  <c r="R3086" i="1"/>
  <c r="P3086" i="1"/>
  <c r="U3085" i="1"/>
  <c r="T3085" i="1"/>
  <c r="R3085" i="1"/>
  <c r="P3085" i="1"/>
  <c r="U3084" i="1"/>
  <c r="T3084" i="1"/>
  <c r="R3084" i="1"/>
  <c r="P3084" i="1"/>
  <c r="U3083" i="1"/>
  <c r="T3083" i="1"/>
  <c r="R3083" i="1"/>
  <c r="P3083" i="1"/>
  <c r="U3082" i="1"/>
  <c r="T3082" i="1"/>
  <c r="R3082" i="1"/>
  <c r="P3082" i="1"/>
  <c r="U3081" i="1"/>
  <c r="T3081" i="1"/>
  <c r="R3081" i="1"/>
  <c r="P3081" i="1"/>
  <c r="U3080" i="1"/>
  <c r="T3080" i="1"/>
  <c r="R3080" i="1"/>
  <c r="P3080" i="1"/>
  <c r="U3079" i="1"/>
  <c r="T3079" i="1"/>
  <c r="R3079" i="1"/>
  <c r="P3079" i="1"/>
  <c r="U3078" i="1"/>
  <c r="T3078" i="1"/>
  <c r="R3078" i="1"/>
  <c r="P3078" i="1"/>
  <c r="U3077" i="1"/>
  <c r="T3077" i="1"/>
  <c r="R3077" i="1"/>
  <c r="P3077" i="1"/>
  <c r="U3076" i="1"/>
  <c r="T3076" i="1"/>
  <c r="R3076" i="1"/>
  <c r="P3076" i="1"/>
  <c r="U3075" i="1"/>
  <c r="T3075" i="1"/>
  <c r="R3075" i="1"/>
  <c r="P3075" i="1"/>
  <c r="U3074" i="1"/>
  <c r="T3074" i="1"/>
  <c r="R3074" i="1"/>
  <c r="P3074" i="1"/>
  <c r="U3073" i="1"/>
  <c r="T3073" i="1"/>
  <c r="R3073" i="1"/>
  <c r="P3073" i="1"/>
  <c r="U3072" i="1"/>
  <c r="T3072" i="1"/>
  <c r="R3072" i="1"/>
  <c r="P3072" i="1"/>
  <c r="U3071" i="1"/>
  <c r="T3071" i="1"/>
  <c r="R3071" i="1"/>
  <c r="P3071" i="1"/>
  <c r="U3070" i="1"/>
  <c r="T3070" i="1"/>
  <c r="R3070" i="1"/>
  <c r="P3070" i="1"/>
  <c r="U3069" i="1"/>
  <c r="T3069" i="1"/>
  <c r="R3069" i="1"/>
  <c r="P3069" i="1"/>
  <c r="U3068" i="1"/>
  <c r="T3068" i="1"/>
  <c r="R3068" i="1"/>
  <c r="P3068" i="1"/>
  <c r="U3067" i="1"/>
  <c r="T3067" i="1"/>
  <c r="R3067" i="1"/>
  <c r="P3067" i="1"/>
  <c r="U3066" i="1"/>
  <c r="T3066" i="1"/>
  <c r="R3066" i="1"/>
  <c r="P3066" i="1"/>
  <c r="U3065" i="1"/>
  <c r="T3065" i="1"/>
  <c r="R3065" i="1"/>
  <c r="P3065" i="1"/>
  <c r="U3064" i="1"/>
  <c r="T3064" i="1"/>
  <c r="R3064" i="1"/>
  <c r="P3064" i="1"/>
  <c r="U3063" i="1"/>
  <c r="T3063" i="1"/>
  <c r="R3063" i="1"/>
  <c r="P3063" i="1"/>
  <c r="U3062" i="1"/>
  <c r="T3062" i="1"/>
  <c r="R3062" i="1"/>
  <c r="P3062" i="1"/>
  <c r="U3061" i="1"/>
  <c r="T3061" i="1"/>
  <c r="R3061" i="1"/>
  <c r="P3061" i="1"/>
  <c r="U3060" i="1"/>
  <c r="T3060" i="1"/>
  <c r="R3060" i="1"/>
  <c r="P3060" i="1"/>
  <c r="U3059" i="1"/>
  <c r="T3059" i="1"/>
  <c r="R3059" i="1"/>
  <c r="P3059" i="1"/>
  <c r="U3058" i="1"/>
  <c r="T3058" i="1"/>
  <c r="R3058" i="1"/>
  <c r="P3058" i="1"/>
  <c r="U3057" i="1"/>
  <c r="T3057" i="1"/>
  <c r="R3057" i="1"/>
  <c r="P3057" i="1"/>
  <c r="U3056" i="1"/>
  <c r="T3056" i="1"/>
  <c r="R3056" i="1"/>
  <c r="P3056" i="1"/>
  <c r="U3055" i="1"/>
  <c r="T3055" i="1"/>
  <c r="R3055" i="1"/>
  <c r="P3055" i="1"/>
  <c r="U3054" i="1"/>
  <c r="T3054" i="1"/>
  <c r="R3054" i="1"/>
  <c r="P3054" i="1"/>
  <c r="U3053" i="1"/>
  <c r="T3053" i="1"/>
  <c r="R3053" i="1"/>
  <c r="P3053" i="1"/>
  <c r="U3052" i="1"/>
  <c r="T3052" i="1"/>
  <c r="R3052" i="1"/>
  <c r="P3052" i="1"/>
  <c r="U3051" i="1"/>
  <c r="T3051" i="1"/>
  <c r="R3051" i="1"/>
  <c r="P3051" i="1"/>
  <c r="U3050" i="1"/>
  <c r="T3050" i="1"/>
  <c r="R3050" i="1"/>
  <c r="P3050" i="1"/>
  <c r="U3049" i="1"/>
  <c r="T3049" i="1"/>
  <c r="R3049" i="1"/>
  <c r="P3049" i="1"/>
  <c r="U3048" i="1"/>
  <c r="T3048" i="1"/>
  <c r="R3048" i="1"/>
  <c r="P3048" i="1"/>
  <c r="U3047" i="1"/>
  <c r="T3047" i="1"/>
  <c r="R3047" i="1"/>
  <c r="P3047" i="1"/>
  <c r="U3046" i="1"/>
  <c r="T3046" i="1"/>
  <c r="R3046" i="1"/>
  <c r="P3046" i="1"/>
  <c r="U3045" i="1"/>
  <c r="T3045" i="1"/>
  <c r="R3045" i="1"/>
  <c r="P3045" i="1"/>
  <c r="U3044" i="1"/>
  <c r="T3044" i="1"/>
  <c r="R3044" i="1"/>
  <c r="P3044" i="1"/>
  <c r="U3043" i="1"/>
  <c r="T3043" i="1"/>
  <c r="R3043" i="1"/>
  <c r="P3043" i="1"/>
  <c r="U3042" i="1"/>
  <c r="T3042" i="1"/>
  <c r="R3042" i="1"/>
  <c r="P3042" i="1"/>
  <c r="U3041" i="1"/>
  <c r="T3041" i="1"/>
  <c r="R3041" i="1"/>
  <c r="P3041" i="1"/>
  <c r="U3040" i="1"/>
  <c r="T3040" i="1"/>
  <c r="R3040" i="1"/>
  <c r="P3040" i="1"/>
  <c r="U3039" i="1"/>
  <c r="T3039" i="1"/>
  <c r="R3039" i="1"/>
  <c r="P3039" i="1"/>
  <c r="U3038" i="1"/>
  <c r="T3038" i="1"/>
  <c r="R3038" i="1"/>
  <c r="P3038" i="1"/>
  <c r="U3037" i="1"/>
  <c r="T3037" i="1"/>
  <c r="R3037" i="1"/>
  <c r="P3037" i="1"/>
  <c r="U3036" i="1"/>
  <c r="T3036" i="1"/>
  <c r="R3036" i="1"/>
  <c r="P3036" i="1"/>
  <c r="U3035" i="1"/>
  <c r="T3035" i="1"/>
  <c r="R3035" i="1"/>
  <c r="P3035" i="1"/>
  <c r="U3034" i="1"/>
  <c r="T3034" i="1"/>
  <c r="R3034" i="1"/>
  <c r="P3034" i="1"/>
  <c r="U3033" i="1"/>
  <c r="T3033" i="1"/>
  <c r="R3033" i="1"/>
  <c r="P3033" i="1"/>
  <c r="U3032" i="1"/>
  <c r="T3032" i="1"/>
  <c r="R3032" i="1"/>
  <c r="P3032" i="1"/>
  <c r="U3031" i="1"/>
  <c r="T3031" i="1"/>
  <c r="R3031" i="1"/>
  <c r="P3031" i="1"/>
  <c r="U3030" i="1"/>
  <c r="T3030" i="1"/>
  <c r="R3030" i="1"/>
  <c r="P3030" i="1"/>
  <c r="U3029" i="1"/>
  <c r="T3029" i="1"/>
  <c r="R3029" i="1"/>
  <c r="P3029" i="1"/>
  <c r="U3028" i="1"/>
  <c r="T3028" i="1"/>
  <c r="R3028" i="1"/>
  <c r="P3028" i="1"/>
  <c r="U3027" i="1"/>
  <c r="T3027" i="1"/>
  <c r="R3027" i="1"/>
  <c r="P3027" i="1"/>
  <c r="U3026" i="1"/>
  <c r="T3026" i="1"/>
  <c r="R3026" i="1"/>
  <c r="P3026" i="1"/>
  <c r="U3025" i="1"/>
  <c r="T3025" i="1"/>
  <c r="R3025" i="1"/>
  <c r="P3025" i="1"/>
  <c r="U3024" i="1"/>
  <c r="T3024" i="1"/>
  <c r="R3024" i="1"/>
  <c r="P3024" i="1"/>
  <c r="U3023" i="1"/>
  <c r="T3023" i="1"/>
  <c r="R3023" i="1"/>
  <c r="P3023" i="1"/>
  <c r="U3022" i="1"/>
  <c r="T3022" i="1"/>
  <c r="R3022" i="1"/>
  <c r="P3022" i="1"/>
  <c r="U3021" i="1"/>
  <c r="T3021" i="1"/>
  <c r="R3021" i="1"/>
  <c r="P3021" i="1"/>
  <c r="U3020" i="1"/>
  <c r="T3020" i="1"/>
  <c r="R3020" i="1"/>
  <c r="P3020" i="1"/>
  <c r="U3019" i="1"/>
  <c r="T3019" i="1"/>
  <c r="R3019" i="1"/>
  <c r="P3019" i="1"/>
  <c r="U3018" i="1"/>
  <c r="T3018" i="1"/>
  <c r="R3018" i="1"/>
  <c r="P3018" i="1"/>
  <c r="U3017" i="1"/>
  <c r="T3017" i="1"/>
  <c r="R3017" i="1"/>
  <c r="P3017" i="1"/>
  <c r="U3016" i="1"/>
  <c r="T3016" i="1"/>
  <c r="R3016" i="1"/>
  <c r="P3016" i="1"/>
  <c r="U3015" i="1"/>
  <c r="T3015" i="1"/>
  <c r="R3015" i="1"/>
  <c r="P3015" i="1"/>
  <c r="U3014" i="1"/>
  <c r="T3014" i="1"/>
  <c r="R3014" i="1"/>
  <c r="P3014" i="1"/>
  <c r="U3013" i="1"/>
  <c r="T3013" i="1"/>
  <c r="R3013" i="1"/>
  <c r="P3013" i="1"/>
  <c r="U3012" i="1"/>
  <c r="T3012" i="1"/>
  <c r="R3012" i="1"/>
  <c r="P3012" i="1"/>
  <c r="U3011" i="1"/>
  <c r="T3011" i="1"/>
  <c r="R3011" i="1"/>
  <c r="P3011" i="1"/>
  <c r="U3010" i="1"/>
  <c r="T3010" i="1"/>
  <c r="R3010" i="1"/>
  <c r="P3010" i="1"/>
  <c r="U3009" i="1"/>
  <c r="T3009" i="1"/>
  <c r="R3009" i="1"/>
  <c r="P3009" i="1"/>
  <c r="U3008" i="1"/>
  <c r="T3008" i="1"/>
  <c r="R3008" i="1"/>
  <c r="P3008" i="1"/>
  <c r="U3007" i="1"/>
  <c r="T3007" i="1"/>
  <c r="R3007" i="1"/>
  <c r="P3007" i="1"/>
  <c r="U3006" i="1"/>
  <c r="T3006" i="1"/>
  <c r="R3006" i="1"/>
  <c r="P3006" i="1"/>
  <c r="U3005" i="1"/>
  <c r="T3005" i="1"/>
  <c r="R3005" i="1"/>
  <c r="P3005" i="1"/>
  <c r="U3004" i="1"/>
  <c r="T3004" i="1"/>
  <c r="R3004" i="1"/>
  <c r="P3004" i="1"/>
  <c r="U3003" i="1"/>
  <c r="T3003" i="1"/>
  <c r="R3003" i="1"/>
  <c r="P3003" i="1"/>
  <c r="U3002" i="1"/>
  <c r="T3002" i="1"/>
  <c r="R3002" i="1"/>
  <c r="P3002" i="1"/>
  <c r="U3001" i="1"/>
  <c r="T3001" i="1"/>
  <c r="R3001" i="1"/>
  <c r="P3001" i="1"/>
  <c r="U3000" i="1"/>
  <c r="T3000" i="1"/>
  <c r="R3000" i="1"/>
  <c r="P3000" i="1"/>
  <c r="U2999" i="1"/>
  <c r="T2999" i="1"/>
  <c r="R2999" i="1"/>
  <c r="P2999" i="1"/>
  <c r="U2998" i="1"/>
  <c r="T2998" i="1"/>
  <c r="R2998" i="1"/>
  <c r="P2998" i="1"/>
  <c r="U2997" i="1"/>
  <c r="T2997" i="1"/>
  <c r="R2997" i="1"/>
  <c r="P2997" i="1"/>
  <c r="U2996" i="1"/>
  <c r="T2996" i="1"/>
  <c r="R2996" i="1"/>
  <c r="P2996" i="1"/>
  <c r="U2995" i="1"/>
  <c r="T2995" i="1"/>
  <c r="R2995" i="1"/>
  <c r="P2995" i="1"/>
  <c r="U2994" i="1"/>
  <c r="T2994" i="1"/>
  <c r="R2994" i="1"/>
  <c r="P2994" i="1"/>
  <c r="U2993" i="1"/>
  <c r="T2993" i="1"/>
  <c r="R2993" i="1"/>
  <c r="P2993" i="1"/>
  <c r="U2992" i="1"/>
  <c r="T2992" i="1"/>
  <c r="R2992" i="1"/>
  <c r="P2992" i="1"/>
  <c r="U2991" i="1"/>
  <c r="T2991" i="1"/>
  <c r="R2991" i="1"/>
  <c r="P2991" i="1"/>
  <c r="U2990" i="1"/>
  <c r="T2990" i="1"/>
  <c r="R2990" i="1"/>
  <c r="P2990" i="1"/>
  <c r="U2989" i="1"/>
  <c r="T2989" i="1"/>
  <c r="R2989" i="1"/>
  <c r="P2989" i="1"/>
  <c r="U2988" i="1"/>
  <c r="T2988" i="1"/>
  <c r="R2988" i="1"/>
  <c r="P2988" i="1"/>
  <c r="U2987" i="1"/>
  <c r="T2987" i="1"/>
  <c r="R2987" i="1"/>
  <c r="P2987" i="1"/>
  <c r="U2986" i="1"/>
  <c r="T2986" i="1"/>
  <c r="R2986" i="1"/>
  <c r="P2986" i="1"/>
  <c r="U2985" i="1"/>
  <c r="T2985" i="1"/>
  <c r="R2985" i="1"/>
  <c r="P2985" i="1"/>
  <c r="U2984" i="1"/>
  <c r="T2984" i="1"/>
  <c r="R2984" i="1"/>
  <c r="P2984" i="1"/>
  <c r="U2983" i="1"/>
  <c r="T2983" i="1"/>
  <c r="R2983" i="1"/>
  <c r="P2983" i="1"/>
  <c r="U2982" i="1"/>
  <c r="T2982" i="1"/>
  <c r="R2982" i="1"/>
  <c r="P2982" i="1"/>
  <c r="U2981" i="1"/>
  <c r="T2981" i="1"/>
  <c r="R2981" i="1"/>
  <c r="P2981" i="1"/>
  <c r="U2980" i="1"/>
  <c r="T2980" i="1"/>
  <c r="R2980" i="1"/>
  <c r="P2980" i="1"/>
  <c r="U2979" i="1"/>
  <c r="T2979" i="1"/>
  <c r="R2979" i="1"/>
  <c r="P2979" i="1"/>
  <c r="U2978" i="1"/>
  <c r="T2978" i="1"/>
  <c r="R2978" i="1"/>
  <c r="P2978" i="1"/>
  <c r="U2977" i="1"/>
  <c r="T2977" i="1"/>
  <c r="R2977" i="1"/>
  <c r="P2977" i="1"/>
  <c r="U2976" i="1"/>
  <c r="T2976" i="1"/>
  <c r="R2976" i="1"/>
  <c r="P2976" i="1"/>
  <c r="U2975" i="1"/>
  <c r="T2975" i="1"/>
  <c r="R2975" i="1"/>
  <c r="P2975" i="1"/>
  <c r="U2974" i="1"/>
  <c r="T2974" i="1"/>
  <c r="R2974" i="1"/>
  <c r="P2974" i="1"/>
  <c r="U2973" i="1"/>
  <c r="T2973" i="1"/>
  <c r="R2973" i="1"/>
  <c r="P2973" i="1"/>
  <c r="U2972" i="1"/>
  <c r="T2972" i="1"/>
  <c r="R2972" i="1"/>
  <c r="P2972" i="1"/>
  <c r="U2971" i="1"/>
  <c r="T2971" i="1"/>
  <c r="R2971" i="1"/>
  <c r="P2971" i="1"/>
  <c r="U2970" i="1"/>
  <c r="T2970" i="1"/>
  <c r="R2970" i="1"/>
  <c r="P2970" i="1"/>
  <c r="U2969" i="1"/>
  <c r="T2969" i="1"/>
  <c r="R2969" i="1"/>
  <c r="P2969" i="1"/>
  <c r="U2968" i="1"/>
  <c r="T2968" i="1"/>
  <c r="R2968" i="1"/>
  <c r="P2968" i="1"/>
  <c r="U2967" i="1"/>
  <c r="T2967" i="1"/>
  <c r="R2967" i="1"/>
  <c r="P2967" i="1"/>
  <c r="U2966" i="1"/>
  <c r="T2966" i="1"/>
  <c r="R2966" i="1"/>
  <c r="P2966" i="1"/>
  <c r="U2965" i="1"/>
  <c r="T2965" i="1"/>
  <c r="R2965" i="1"/>
  <c r="P2965" i="1"/>
  <c r="U2964" i="1"/>
  <c r="T2964" i="1"/>
  <c r="R2964" i="1"/>
  <c r="P2964" i="1"/>
  <c r="U2963" i="1"/>
  <c r="T2963" i="1"/>
  <c r="R2963" i="1"/>
  <c r="P2963" i="1"/>
  <c r="U2962" i="1"/>
  <c r="T2962" i="1"/>
  <c r="R2962" i="1"/>
  <c r="P2962" i="1"/>
  <c r="U2961" i="1"/>
  <c r="T2961" i="1"/>
  <c r="R2961" i="1"/>
  <c r="P2961" i="1"/>
  <c r="U2960" i="1"/>
  <c r="T2960" i="1"/>
  <c r="R2960" i="1"/>
  <c r="P2960" i="1"/>
  <c r="U2959" i="1"/>
  <c r="T2959" i="1"/>
  <c r="R2959" i="1"/>
  <c r="P2959" i="1"/>
  <c r="U2958" i="1"/>
  <c r="T2958" i="1"/>
  <c r="R2958" i="1"/>
  <c r="P2958" i="1"/>
  <c r="U2957" i="1"/>
  <c r="T2957" i="1"/>
  <c r="R2957" i="1"/>
  <c r="P2957" i="1"/>
  <c r="U2956" i="1"/>
  <c r="T2956" i="1"/>
  <c r="R2956" i="1"/>
  <c r="P2956" i="1"/>
  <c r="U2955" i="1"/>
  <c r="T2955" i="1"/>
  <c r="R2955" i="1"/>
  <c r="P2955" i="1"/>
  <c r="U2954" i="1"/>
  <c r="T2954" i="1"/>
  <c r="R2954" i="1"/>
  <c r="P2954" i="1"/>
  <c r="U2953" i="1"/>
  <c r="T2953" i="1"/>
  <c r="R2953" i="1"/>
  <c r="P2953" i="1"/>
  <c r="U2952" i="1"/>
  <c r="T2952" i="1"/>
  <c r="R2952" i="1"/>
  <c r="P2952" i="1"/>
  <c r="U2951" i="1"/>
  <c r="T2951" i="1"/>
  <c r="R2951" i="1"/>
  <c r="P2951" i="1"/>
  <c r="U2950" i="1"/>
  <c r="T2950" i="1"/>
  <c r="R2950" i="1"/>
  <c r="P2950" i="1"/>
  <c r="U2949" i="1"/>
  <c r="T2949" i="1"/>
  <c r="R2949" i="1"/>
  <c r="P2949" i="1"/>
  <c r="U2948" i="1"/>
  <c r="T2948" i="1"/>
  <c r="R2948" i="1"/>
  <c r="P2948" i="1"/>
  <c r="U2947" i="1"/>
  <c r="T2947" i="1"/>
  <c r="R2947" i="1"/>
  <c r="P2947" i="1"/>
  <c r="U2946" i="1"/>
  <c r="T2946" i="1"/>
  <c r="R2946" i="1"/>
  <c r="P2946" i="1"/>
  <c r="U2945" i="1"/>
  <c r="T2945" i="1"/>
  <c r="R2945" i="1"/>
  <c r="P2945" i="1"/>
  <c r="U2944" i="1"/>
  <c r="T2944" i="1"/>
  <c r="R2944" i="1"/>
  <c r="P2944" i="1"/>
  <c r="U2943" i="1"/>
  <c r="T2943" i="1"/>
  <c r="R2943" i="1"/>
  <c r="P2943" i="1"/>
  <c r="U2942" i="1"/>
  <c r="T2942" i="1"/>
  <c r="R2942" i="1"/>
  <c r="P2942" i="1"/>
  <c r="U2941" i="1"/>
  <c r="T2941" i="1"/>
  <c r="R2941" i="1"/>
  <c r="P2941" i="1"/>
  <c r="U2940" i="1"/>
  <c r="T2940" i="1"/>
  <c r="R2940" i="1"/>
  <c r="P2940" i="1"/>
  <c r="U2939" i="1"/>
  <c r="T2939" i="1"/>
  <c r="R2939" i="1"/>
  <c r="P2939" i="1"/>
  <c r="U2938" i="1"/>
  <c r="T2938" i="1"/>
  <c r="R2938" i="1"/>
  <c r="P2938" i="1"/>
  <c r="U2937" i="1"/>
  <c r="T2937" i="1"/>
  <c r="R2937" i="1"/>
  <c r="P2937" i="1"/>
  <c r="U2936" i="1"/>
  <c r="T2936" i="1"/>
  <c r="R2936" i="1"/>
  <c r="P2936" i="1"/>
  <c r="U2935" i="1"/>
  <c r="T2935" i="1"/>
  <c r="R2935" i="1"/>
  <c r="P2935" i="1"/>
  <c r="U2934" i="1"/>
  <c r="T2934" i="1"/>
  <c r="R2934" i="1"/>
  <c r="P2934" i="1"/>
  <c r="U2933" i="1"/>
  <c r="T2933" i="1"/>
  <c r="R2933" i="1"/>
  <c r="P2933" i="1"/>
  <c r="U2932" i="1"/>
  <c r="T2932" i="1"/>
  <c r="R2932" i="1"/>
  <c r="P2932" i="1"/>
  <c r="U2931" i="1"/>
  <c r="T2931" i="1"/>
  <c r="R2931" i="1"/>
  <c r="P2931" i="1"/>
  <c r="U2930" i="1"/>
  <c r="T2930" i="1"/>
  <c r="R2930" i="1"/>
  <c r="P2930" i="1"/>
  <c r="U2929" i="1"/>
  <c r="T2929" i="1"/>
  <c r="R2929" i="1"/>
  <c r="P2929" i="1"/>
  <c r="U2928" i="1"/>
  <c r="T2928" i="1"/>
  <c r="R2928" i="1"/>
  <c r="P2928" i="1"/>
  <c r="U2927" i="1"/>
  <c r="T2927" i="1"/>
  <c r="R2927" i="1"/>
  <c r="P2927" i="1"/>
  <c r="U2926" i="1"/>
  <c r="T2926" i="1"/>
  <c r="R2926" i="1"/>
  <c r="P2926" i="1"/>
  <c r="U2925" i="1"/>
  <c r="T2925" i="1"/>
  <c r="R2925" i="1"/>
  <c r="P2925" i="1"/>
  <c r="U2924" i="1"/>
  <c r="T2924" i="1"/>
  <c r="R2924" i="1"/>
  <c r="P2924" i="1"/>
  <c r="U2923" i="1"/>
  <c r="T2923" i="1"/>
  <c r="R2923" i="1"/>
  <c r="P2923" i="1"/>
  <c r="U2922" i="1"/>
  <c r="T2922" i="1"/>
  <c r="R2922" i="1"/>
  <c r="P2922" i="1"/>
  <c r="U2921" i="1"/>
  <c r="T2921" i="1"/>
  <c r="R2921" i="1"/>
  <c r="P2921" i="1"/>
  <c r="U2920" i="1"/>
  <c r="T2920" i="1"/>
  <c r="R2920" i="1"/>
  <c r="P2920" i="1"/>
  <c r="U2919" i="1"/>
  <c r="T2919" i="1"/>
  <c r="R2919" i="1"/>
  <c r="P2919" i="1"/>
  <c r="U2918" i="1"/>
  <c r="T2918" i="1"/>
  <c r="R2918" i="1"/>
  <c r="P2918" i="1"/>
  <c r="U2917" i="1"/>
  <c r="T2917" i="1"/>
  <c r="R2917" i="1"/>
  <c r="P2917" i="1"/>
  <c r="U2916" i="1"/>
  <c r="T2916" i="1"/>
  <c r="R2916" i="1"/>
  <c r="P2916" i="1"/>
  <c r="U2915" i="1"/>
  <c r="T2915" i="1"/>
  <c r="R2915" i="1"/>
  <c r="P2915" i="1"/>
  <c r="U2914" i="1"/>
  <c r="T2914" i="1"/>
  <c r="R2914" i="1"/>
  <c r="P2914" i="1"/>
  <c r="U2913" i="1"/>
  <c r="T2913" i="1"/>
  <c r="R2913" i="1"/>
  <c r="P2913" i="1"/>
  <c r="U2912" i="1"/>
  <c r="T2912" i="1"/>
  <c r="R2912" i="1"/>
  <c r="P2912" i="1"/>
  <c r="U2911" i="1"/>
  <c r="T2911" i="1"/>
  <c r="R2911" i="1"/>
  <c r="P2911" i="1"/>
  <c r="U2910" i="1"/>
  <c r="T2910" i="1"/>
  <c r="R2910" i="1"/>
  <c r="P2910" i="1"/>
  <c r="U2909" i="1"/>
  <c r="T2909" i="1"/>
  <c r="R2909" i="1"/>
  <c r="P2909" i="1"/>
  <c r="U2908" i="1"/>
  <c r="T2908" i="1"/>
  <c r="R2908" i="1"/>
  <c r="P2908" i="1"/>
  <c r="U2907" i="1"/>
  <c r="T2907" i="1"/>
  <c r="R2907" i="1"/>
  <c r="P2907" i="1"/>
  <c r="U2906" i="1"/>
  <c r="T2906" i="1"/>
  <c r="R2906" i="1"/>
  <c r="P2906" i="1"/>
  <c r="U2905" i="1"/>
  <c r="T2905" i="1"/>
  <c r="R2905" i="1"/>
  <c r="P2905" i="1"/>
  <c r="U2904" i="1"/>
  <c r="T2904" i="1"/>
  <c r="R2904" i="1"/>
  <c r="P2904" i="1"/>
  <c r="U2903" i="1"/>
  <c r="T2903" i="1"/>
  <c r="R2903" i="1"/>
  <c r="P2903" i="1"/>
  <c r="U2902" i="1"/>
  <c r="T2902" i="1"/>
  <c r="R2902" i="1"/>
  <c r="P2902" i="1"/>
  <c r="U2901" i="1"/>
  <c r="T2901" i="1"/>
  <c r="R2901" i="1"/>
  <c r="P2901" i="1"/>
  <c r="U2900" i="1"/>
  <c r="T2900" i="1"/>
  <c r="R2900" i="1"/>
  <c r="P2900" i="1"/>
  <c r="U2899" i="1"/>
  <c r="T2899" i="1"/>
  <c r="R2899" i="1"/>
  <c r="P2899" i="1"/>
  <c r="U2898" i="1"/>
  <c r="T2898" i="1"/>
  <c r="R2898" i="1"/>
  <c r="P2898" i="1"/>
  <c r="U2897" i="1"/>
  <c r="T2897" i="1"/>
  <c r="R2897" i="1"/>
  <c r="P2897" i="1"/>
  <c r="U2896" i="1"/>
  <c r="T2896" i="1"/>
  <c r="R2896" i="1"/>
  <c r="P2896" i="1"/>
  <c r="U2895" i="1"/>
  <c r="T2895" i="1"/>
  <c r="R2895" i="1"/>
  <c r="P2895" i="1"/>
  <c r="U2894" i="1"/>
  <c r="T2894" i="1"/>
  <c r="R2894" i="1"/>
  <c r="P2894" i="1"/>
  <c r="U2893" i="1"/>
  <c r="T2893" i="1"/>
  <c r="R2893" i="1"/>
  <c r="P2893" i="1"/>
  <c r="U2892" i="1"/>
  <c r="T2892" i="1"/>
  <c r="R2892" i="1"/>
  <c r="P2892" i="1"/>
  <c r="U2891" i="1"/>
  <c r="T2891" i="1"/>
  <c r="R2891" i="1"/>
  <c r="P2891" i="1"/>
  <c r="U2890" i="1"/>
  <c r="T2890" i="1"/>
  <c r="R2890" i="1"/>
  <c r="P2890" i="1"/>
  <c r="U2889" i="1"/>
  <c r="T2889" i="1"/>
  <c r="R2889" i="1"/>
  <c r="P2889" i="1"/>
  <c r="U2888" i="1"/>
  <c r="T2888" i="1"/>
  <c r="R2888" i="1"/>
  <c r="P2888" i="1"/>
  <c r="U2887" i="1"/>
  <c r="T2887" i="1"/>
  <c r="R2887" i="1"/>
  <c r="P2887" i="1"/>
  <c r="U2886" i="1"/>
  <c r="T2886" i="1"/>
  <c r="R2886" i="1"/>
  <c r="P2886" i="1"/>
  <c r="U2885" i="1"/>
  <c r="T2885" i="1"/>
  <c r="R2885" i="1"/>
  <c r="P2885" i="1"/>
  <c r="U2884" i="1"/>
  <c r="T2884" i="1"/>
  <c r="R2884" i="1"/>
  <c r="P2884" i="1"/>
  <c r="U2883" i="1"/>
  <c r="T2883" i="1"/>
  <c r="R2883" i="1"/>
  <c r="P2883" i="1"/>
  <c r="U2882" i="1"/>
  <c r="T2882" i="1"/>
  <c r="R2882" i="1"/>
  <c r="P2882" i="1"/>
  <c r="U2881" i="1"/>
  <c r="T2881" i="1"/>
  <c r="R2881" i="1"/>
  <c r="P2881" i="1"/>
  <c r="U2880" i="1"/>
  <c r="T2880" i="1"/>
  <c r="R2880" i="1"/>
  <c r="P2880" i="1"/>
  <c r="U2879" i="1"/>
  <c r="T2879" i="1"/>
  <c r="R2879" i="1"/>
  <c r="P2879" i="1"/>
  <c r="U2878" i="1"/>
  <c r="T2878" i="1"/>
  <c r="R2878" i="1"/>
  <c r="P2878" i="1"/>
  <c r="U2877" i="1"/>
  <c r="T2877" i="1"/>
  <c r="R2877" i="1"/>
  <c r="P2877" i="1"/>
  <c r="U2876" i="1"/>
  <c r="T2876" i="1"/>
  <c r="R2876" i="1"/>
  <c r="P2876" i="1"/>
  <c r="U2875" i="1"/>
  <c r="T2875" i="1"/>
  <c r="R2875" i="1"/>
  <c r="P2875" i="1"/>
  <c r="U2874" i="1"/>
  <c r="T2874" i="1"/>
  <c r="R2874" i="1"/>
  <c r="P2874" i="1"/>
  <c r="U2873" i="1"/>
  <c r="T2873" i="1"/>
  <c r="R2873" i="1"/>
  <c r="P2873" i="1"/>
  <c r="U2872" i="1"/>
  <c r="T2872" i="1"/>
  <c r="R2872" i="1"/>
  <c r="P2872" i="1"/>
  <c r="U2871" i="1"/>
  <c r="T2871" i="1"/>
  <c r="R2871" i="1"/>
  <c r="P2871" i="1"/>
  <c r="U2870" i="1"/>
  <c r="T2870" i="1"/>
  <c r="R2870" i="1"/>
  <c r="P2870" i="1"/>
  <c r="U2869" i="1"/>
  <c r="T2869" i="1"/>
  <c r="R2869" i="1"/>
  <c r="P2869" i="1"/>
  <c r="U2868" i="1"/>
  <c r="T2868" i="1"/>
  <c r="R2868" i="1"/>
  <c r="P2868" i="1"/>
  <c r="U2867" i="1"/>
  <c r="T2867" i="1"/>
  <c r="R2867" i="1"/>
  <c r="P2867" i="1"/>
  <c r="U2866" i="1"/>
  <c r="T2866" i="1"/>
  <c r="R2866" i="1"/>
  <c r="P2866" i="1"/>
  <c r="U2865" i="1"/>
  <c r="T2865" i="1"/>
  <c r="R2865" i="1"/>
  <c r="P2865" i="1"/>
  <c r="U2864" i="1"/>
  <c r="T2864" i="1"/>
  <c r="R2864" i="1"/>
  <c r="P2864" i="1"/>
  <c r="U2863" i="1"/>
  <c r="T2863" i="1"/>
  <c r="R2863" i="1"/>
  <c r="P2863" i="1"/>
  <c r="U2862" i="1"/>
  <c r="T2862" i="1"/>
  <c r="R2862" i="1"/>
  <c r="P2862" i="1"/>
  <c r="U2861" i="1"/>
  <c r="T2861" i="1"/>
  <c r="R2861" i="1"/>
  <c r="P2861" i="1"/>
  <c r="U2860" i="1"/>
  <c r="T2860" i="1"/>
  <c r="R2860" i="1"/>
  <c r="P2860" i="1"/>
  <c r="U2859" i="1"/>
  <c r="T2859" i="1"/>
  <c r="R2859" i="1"/>
  <c r="P2859" i="1"/>
  <c r="U2858" i="1"/>
  <c r="T2858" i="1"/>
  <c r="R2858" i="1"/>
  <c r="P2858" i="1"/>
  <c r="U2857" i="1"/>
  <c r="T2857" i="1"/>
  <c r="R2857" i="1"/>
  <c r="P2857" i="1"/>
  <c r="U2856" i="1"/>
  <c r="T2856" i="1"/>
  <c r="R2856" i="1"/>
  <c r="P2856" i="1"/>
  <c r="U2855" i="1"/>
  <c r="T2855" i="1"/>
  <c r="R2855" i="1"/>
  <c r="P2855" i="1"/>
  <c r="U2854" i="1"/>
  <c r="T2854" i="1"/>
  <c r="R2854" i="1"/>
  <c r="P2854" i="1"/>
  <c r="U2853" i="1"/>
  <c r="T2853" i="1"/>
  <c r="R2853" i="1"/>
  <c r="P2853" i="1"/>
  <c r="U2852" i="1"/>
  <c r="T2852" i="1"/>
  <c r="R2852" i="1"/>
  <c r="P2852" i="1"/>
  <c r="U2851" i="1"/>
  <c r="T2851" i="1"/>
  <c r="R2851" i="1"/>
  <c r="P2851" i="1"/>
  <c r="U2850" i="1"/>
  <c r="T2850" i="1"/>
  <c r="R2850" i="1"/>
  <c r="P2850" i="1"/>
  <c r="U2849" i="1"/>
  <c r="T2849" i="1"/>
  <c r="R2849" i="1"/>
  <c r="P2849" i="1"/>
  <c r="U2848" i="1"/>
  <c r="T2848" i="1"/>
  <c r="R2848" i="1"/>
  <c r="P2848" i="1"/>
  <c r="U2847" i="1"/>
  <c r="T2847" i="1"/>
  <c r="R2847" i="1"/>
  <c r="P2847" i="1"/>
  <c r="U2846" i="1"/>
  <c r="T2846" i="1"/>
  <c r="R2846" i="1"/>
  <c r="P2846" i="1"/>
  <c r="U2845" i="1"/>
  <c r="T2845" i="1"/>
  <c r="R2845" i="1"/>
  <c r="P2845" i="1"/>
  <c r="U2844" i="1"/>
  <c r="T2844" i="1"/>
  <c r="R2844" i="1"/>
  <c r="P2844" i="1"/>
  <c r="U2843" i="1"/>
  <c r="T2843" i="1"/>
  <c r="R2843" i="1"/>
  <c r="P2843" i="1"/>
  <c r="U2842" i="1"/>
  <c r="T2842" i="1"/>
  <c r="R2842" i="1"/>
  <c r="P2842" i="1"/>
  <c r="U2841" i="1"/>
  <c r="T2841" i="1"/>
  <c r="R2841" i="1"/>
  <c r="P2841" i="1"/>
  <c r="U2840" i="1"/>
  <c r="T2840" i="1"/>
  <c r="R2840" i="1"/>
  <c r="P2840" i="1"/>
  <c r="U2839" i="1"/>
  <c r="T2839" i="1"/>
  <c r="R2839" i="1"/>
  <c r="P2839" i="1"/>
  <c r="U2838" i="1"/>
  <c r="T2838" i="1"/>
  <c r="R2838" i="1"/>
  <c r="P2838" i="1"/>
  <c r="U2837" i="1"/>
  <c r="T2837" i="1"/>
  <c r="R2837" i="1"/>
  <c r="P2837" i="1"/>
  <c r="U2836" i="1"/>
  <c r="T2836" i="1"/>
  <c r="R2836" i="1"/>
  <c r="P2836" i="1"/>
  <c r="U2835" i="1"/>
  <c r="T2835" i="1"/>
  <c r="R2835" i="1"/>
  <c r="P2835" i="1"/>
  <c r="U2834" i="1"/>
  <c r="T2834" i="1"/>
  <c r="R2834" i="1"/>
  <c r="P2834" i="1"/>
  <c r="U2833" i="1"/>
  <c r="T2833" i="1"/>
  <c r="R2833" i="1"/>
  <c r="P2833" i="1"/>
  <c r="U2832" i="1"/>
  <c r="T2832" i="1"/>
  <c r="R2832" i="1"/>
  <c r="P2832" i="1"/>
  <c r="U2831" i="1"/>
  <c r="T2831" i="1"/>
  <c r="R2831" i="1"/>
  <c r="P2831" i="1"/>
  <c r="U2830" i="1"/>
  <c r="T2830" i="1"/>
  <c r="R2830" i="1"/>
  <c r="P2830" i="1"/>
  <c r="U2829" i="1"/>
  <c r="T2829" i="1"/>
  <c r="R2829" i="1"/>
  <c r="P2829" i="1"/>
  <c r="U2828" i="1"/>
  <c r="T2828" i="1"/>
  <c r="R2828" i="1"/>
  <c r="P2828" i="1"/>
  <c r="U2827" i="1"/>
  <c r="T2827" i="1"/>
  <c r="R2827" i="1"/>
  <c r="P2827" i="1"/>
  <c r="U2826" i="1"/>
  <c r="T2826" i="1"/>
  <c r="R2826" i="1"/>
  <c r="P2826" i="1"/>
  <c r="U2825" i="1"/>
  <c r="T2825" i="1"/>
  <c r="R2825" i="1"/>
  <c r="P2825" i="1"/>
  <c r="U2824" i="1"/>
  <c r="T2824" i="1"/>
  <c r="R2824" i="1"/>
  <c r="P2824" i="1"/>
  <c r="U2823" i="1"/>
  <c r="T2823" i="1"/>
  <c r="R2823" i="1"/>
  <c r="P2823" i="1"/>
  <c r="U2822" i="1"/>
  <c r="T2822" i="1"/>
  <c r="R2822" i="1"/>
  <c r="P2822" i="1"/>
  <c r="U2821" i="1"/>
  <c r="T2821" i="1"/>
  <c r="R2821" i="1"/>
  <c r="P2821" i="1"/>
  <c r="U2820" i="1"/>
  <c r="T2820" i="1"/>
  <c r="R2820" i="1"/>
  <c r="P2820" i="1"/>
  <c r="U2819" i="1"/>
  <c r="T2819" i="1"/>
  <c r="R2819" i="1"/>
  <c r="P2819" i="1"/>
  <c r="U2818" i="1"/>
  <c r="T2818" i="1"/>
  <c r="R2818" i="1"/>
  <c r="P2818" i="1"/>
  <c r="U2817" i="1"/>
  <c r="T2817" i="1"/>
  <c r="R2817" i="1"/>
  <c r="P2817" i="1"/>
  <c r="U2816" i="1"/>
  <c r="T2816" i="1"/>
  <c r="R2816" i="1"/>
  <c r="P2816" i="1"/>
  <c r="U2815" i="1"/>
  <c r="T2815" i="1"/>
  <c r="R2815" i="1"/>
  <c r="P2815" i="1"/>
  <c r="U2814" i="1"/>
  <c r="T2814" i="1"/>
  <c r="R2814" i="1"/>
  <c r="P2814" i="1"/>
  <c r="U2813" i="1"/>
  <c r="T2813" i="1"/>
  <c r="R2813" i="1"/>
  <c r="P2813" i="1"/>
  <c r="U2812" i="1"/>
  <c r="T2812" i="1"/>
  <c r="R2812" i="1"/>
  <c r="P2812" i="1"/>
  <c r="U2811" i="1"/>
  <c r="T2811" i="1"/>
  <c r="R2811" i="1"/>
  <c r="P2811" i="1"/>
  <c r="U2810" i="1"/>
  <c r="T2810" i="1"/>
  <c r="R2810" i="1"/>
  <c r="P2810" i="1"/>
  <c r="U2809" i="1"/>
  <c r="T2809" i="1"/>
  <c r="R2809" i="1"/>
  <c r="P2809" i="1"/>
  <c r="U2808" i="1"/>
  <c r="T2808" i="1"/>
  <c r="R2808" i="1"/>
  <c r="P2808" i="1"/>
  <c r="U2807" i="1"/>
  <c r="T2807" i="1"/>
  <c r="R2807" i="1"/>
  <c r="P2807" i="1"/>
  <c r="U2806" i="1"/>
  <c r="T2806" i="1"/>
  <c r="R2806" i="1"/>
  <c r="P2806" i="1"/>
  <c r="U2805" i="1"/>
  <c r="T2805" i="1"/>
  <c r="R2805" i="1"/>
  <c r="P2805" i="1"/>
  <c r="U2804" i="1"/>
  <c r="T2804" i="1"/>
  <c r="R2804" i="1"/>
  <c r="P2804" i="1"/>
  <c r="U2803" i="1"/>
  <c r="T2803" i="1"/>
  <c r="R2803" i="1"/>
  <c r="P2803" i="1"/>
  <c r="U2802" i="1"/>
  <c r="T2802" i="1"/>
  <c r="R2802" i="1"/>
  <c r="P2802" i="1"/>
  <c r="U2801" i="1"/>
  <c r="T2801" i="1"/>
  <c r="R2801" i="1"/>
  <c r="P2801" i="1"/>
  <c r="U2800" i="1"/>
  <c r="T2800" i="1"/>
  <c r="R2800" i="1"/>
  <c r="P2800" i="1"/>
  <c r="U2799" i="1"/>
  <c r="T2799" i="1"/>
  <c r="R2799" i="1"/>
  <c r="P2799" i="1"/>
  <c r="U2798" i="1"/>
  <c r="T2798" i="1"/>
  <c r="R2798" i="1"/>
  <c r="P2798" i="1"/>
  <c r="U2797" i="1"/>
  <c r="T2797" i="1"/>
  <c r="R2797" i="1"/>
  <c r="P2797" i="1"/>
  <c r="U2796" i="1"/>
  <c r="T2796" i="1"/>
  <c r="R2796" i="1"/>
  <c r="P2796" i="1"/>
  <c r="U2795" i="1"/>
  <c r="T2795" i="1"/>
  <c r="R2795" i="1"/>
  <c r="P2795" i="1"/>
  <c r="U2794" i="1"/>
  <c r="T2794" i="1"/>
  <c r="R2794" i="1"/>
  <c r="P2794" i="1"/>
  <c r="U2793" i="1"/>
  <c r="T2793" i="1"/>
  <c r="R2793" i="1"/>
  <c r="P2793" i="1"/>
  <c r="U2792" i="1"/>
  <c r="T2792" i="1"/>
  <c r="R2792" i="1"/>
  <c r="P2792" i="1"/>
  <c r="U2791" i="1"/>
  <c r="T2791" i="1"/>
  <c r="R2791" i="1"/>
  <c r="P2791" i="1"/>
  <c r="U2790" i="1"/>
  <c r="T2790" i="1"/>
  <c r="R2790" i="1"/>
  <c r="P2790" i="1"/>
  <c r="U2789" i="1"/>
  <c r="T2789" i="1"/>
  <c r="R2789" i="1"/>
  <c r="P2789" i="1"/>
  <c r="U2788" i="1"/>
  <c r="T2788" i="1"/>
  <c r="R2788" i="1"/>
  <c r="P2788" i="1"/>
  <c r="U2787" i="1"/>
  <c r="T2787" i="1"/>
  <c r="R2787" i="1"/>
  <c r="P2787" i="1"/>
  <c r="U2786" i="1"/>
  <c r="T2786" i="1"/>
  <c r="R2786" i="1"/>
  <c r="P2786" i="1"/>
  <c r="U2785" i="1"/>
  <c r="T2785" i="1"/>
  <c r="R2785" i="1"/>
  <c r="P2785" i="1"/>
  <c r="U2784" i="1"/>
  <c r="T2784" i="1"/>
  <c r="R2784" i="1"/>
  <c r="P2784" i="1"/>
  <c r="U2783" i="1"/>
  <c r="T2783" i="1"/>
  <c r="R2783" i="1"/>
  <c r="P2783" i="1"/>
  <c r="U2782" i="1"/>
  <c r="T2782" i="1"/>
  <c r="R2782" i="1"/>
  <c r="P2782" i="1"/>
  <c r="U2781" i="1"/>
  <c r="T2781" i="1"/>
  <c r="R2781" i="1"/>
  <c r="P2781" i="1"/>
  <c r="U2780" i="1"/>
  <c r="T2780" i="1"/>
  <c r="R2780" i="1"/>
  <c r="P2780" i="1"/>
  <c r="U2779" i="1"/>
  <c r="T2779" i="1"/>
  <c r="R2779" i="1"/>
  <c r="P2779" i="1"/>
  <c r="U2778" i="1"/>
  <c r="T2778" i="1"/>
  <c r="R2778" i="1"/>
  <c r="P2778" i="1"/>
  <c r="U2777" i="1"/>
  <c r="T2777" i="1"/>
  <c r="R2777" i="1"/>
  <c r="P2777" i="1"/>
  <c r="U2776" i="1"/>
  <c r="T2776" i="1"/>
  <c r="R2776" i="1"/>
  <c r="P2776" i="1"/>
  <c r="U2775" i="1"/>
  <c r="T2775" i="1"/>
  <c r="R2775" i="1"/>
  <c r="P2775" i="1"/>
  <c r="U2774" i="1"/>
  <c r="T2774" i="1"/>
  <c r="R2774" i="1"/>
  <c r="P2774" i="1"/>
  <c r="U2773" i="1"/>
  <c r="T2773" i="1"/>
  <c r="R2773" i="1"/>
  <c r="P2773" i="1"/>
  <c r="U2772" i="1"/>
  <c r="T2772" i="1"/>
  <c r="R2772" i="1"/>
  <c r="P2772" i="1"/>
  <c r="U2771" i="1"/>
  <c r="T2771" i="1"/>
  <c r="R2771" i="1"/>
  <c r="P2771" i="1"/>
  <c r="U2770" i="1"/>
  <c r="T2770" i="1"/>
  <c r="R2770" i="1"/>
  <c r="P2770" i="1"/>
  <c r="U2769" i="1"/>
  <c r="T2769" i="1"/>
  <c r="R2769" i="1"/>
  <c r="P2769" i="1"/>
  <c r="U2768" i="1"/>
  <c r="T2768" i="1"/>
  <c r="R2768" i="1"/>
  <c r="P2768" i="1"/>
  <c r="U2767" i="1"/>
  <c r="T2767" i="1"/>
  <c r="R2767" i="1"/>
  <c r="P2767" i="1"/>
  <c r="U2766" i="1"/>
  <c r="T2766" i="1"/>
  <c r="R2766" i="1"/>
  <c r="P2766" i="1"/>
  <c r="U2765" i="1"/>
  <c r="T2765" i="1"/>
  <c r="R2765" i="1"/>
  <c r="P2765" i="1"/>
  <c r="U2764" i="1"/>
  <c r="T2764" i="1"/>
  <c r="R2764" i="1"/>
  <c r="P2764" i="1"/>
  <c r="U2763" i="1"/>
  <c r="T2763" i="1"/>
  <c r="R2763" i="1"/>
  <c r="P2763" i="1"/>
  <c r="U2762" i="1"/>
  <c r="T2762" i="1"/>
  <c r="R2762" i="1"/>
  <c r="P2762" i="1"/>
  <c r="U2761" i="1"/>
  <c r="T2761" i="1"/>
  <c r="R2761" i="1"/>
  <c r="P2761" i="1"/>
  <c r="U2760" i="1"/>
  <c r="T2760" i="1"/>
  <c r="R2760" i="1"/>
  <c r="P2760" i="1"/>
  <c r="U2759" i="1"/>
  <c r="T2759" i="1"/>
  <c r="R2759" i="1"/>
  <c r="P2759" i="1"/>
  <c r="U2758" i="1"/>
  <c r="T2758" i="1"/>
  <c r="R2758" i="1"/>
  <c r="P2758" i="1"/>
  <c r="U2757" i="1"/>
  <c r="T2757" i="1"/>
  <c r="R2757" i="1"/>
  <c r="P2757" i="1"/>
  <c r="U2756" i="1"/>
  <c r="T2756" i="1"/>
  <c r="R2756" i="1"/>
  <c r="P2756" i="1"/>
  <c r="U2755" i="1"/>
  <c r="T2755" i="1"/>
  <c r="R2755" i="1"/>
  <c r="P2755" i="1"/>
  <c r="U2754" i="1"/>
  <c r="T2754" i="1"/>
  <c r="R2754" i="1"/>
  <c r="P2754" i="1"/>
  <c r="U2753" i="1"/>
  <c r="T2753" i="1"/>
  <c r="R2753" i="1"/>
  <c r="P2753" i="1"/>
  <c r="U2752" i="1"/>
  <c r="T2752" i="1"/>
  <c r="R2752" i="1"/>
  <c r="P2752" i="1"/>
  <c r="U2751" i="1"/>
  <c r="T2751" i="1"/>
  <c r="R2751" i="1"/>
  <c r="P2751" i="1"/>
  <c r="U2750" i="1"/>
  <c r="T2750" i="1"/>
  <c r="R2750" i="1"/>
  <c r="P2750" i="1"/>
  <c r="U2749" i="1"/>
  <c r="T2749" i="1"/>
  <c r="R2749" i="1"/>
  <c r="P2749" i="1"/>
  <c r="U2748" i="1"/>
  <c r="T2748" i="1"/>
  <c r="R2748" i="1"/>
  <c r="P2748" i="1"/>
  <c r="U2747" i="1"/>
  <c r="T2747" i="1"/>
  <c r="R2747" i="1"/>
  <c r="P2747" i="1"/>
  <c r="U2746" i="1"/>
  <c r="T2746" i="1"/>
  <c r="R2746" i="1"/>
  <c r="P2746" i="1"/>
  <c r="U2745" i="1"/>
  <c r="T2745" i="1"/>
  <c r="R2745" i="1"/>
  <c r="P2745" i="1"/>
  <c r="U2744" i="1"/>
  <c r="T2744" i="1"/>
  <c r="R2744" i="1"/>
  <c r="P2744" i="1"/>
  <c r="U2743" i="1"/>
  <c r="T2743" i="1"/>
  <c r="R2743" i="1"/>
  <c r="P2743" i="1"/>
  <c r="U2742" i="1"/>
  <c r="T2742" i="1"/>
  <c r="R2742" i="1"/>
  <c r="P2742" i="1"/>
  <c r="U2741" i="1"/>
  <c r="T2741" i="1"/>
  <c r="R2741" i="1"/>
  <c r="P2741" i="1"/>
  <c r="U2740" i="1"/>
  <c r="T2740" i="1"/>
  <c r="R2740" i="1"/>
  <c r="P2740" i="1"/>
  <c r="U2739" i="1"/>
  <c r="T2739" i="1"/>
  <c r="R2739" i="1"/>
  <c r="P2739" i="1"/>
  <c r="U2738" i="1"/>
  <c r="T2738" i="1"/>
  <c r="R2738" i="1"/>
  <c r="P2738" i="1"/>
  <c r="U2737" i="1"/>
  <c r="T2737" i="1"/>
  <c r="R2737" i="1"/>
  <c r="P2737" i="1"/>
  <c r="U2736" i="1"/>
  <c r="T2736" i="1"/>
  <c r="R2736" i="1"/>
  <c r="P2736" i="1"/>
  <c r="U2735" i="1"/>
  <c r="T2735" i="1"/>
  <c r="R2735" i="1"/>
  <c r="P2735" i="1"/>
  <c r="U2734" i="1"/>
  <c r="T2734" i="1"/>
  <c r="R2734" i="1"/>
  <c r="P2734" i="1"/>
  <c r="U2733" i="1"/>
  <c r="T2733" i="1"/>
  <c r="R2733" i="1"/>
  <c r="P2733" i="1"/>
  <c r="U2732" i="1"/>
  <c r="T2732" i="1"/>
  <c r="R2732" i="1"/>
  <c r="P2732" i="1"/>
  <c r="U2731" i="1"/>
  <c r="T2731" i="1"/>
  <c r="R2731" i="1"/>
  <c r="P2731" i="1"/>
  <c r="U2730" i="1"/>
  <c r="T2730" i="1"/>
  <c r="R2730" i="1"/>
  <c r="P2730" i="1"/>
  <c r="U2729" i="1"/>
  <c r="T2729" i="1"/>
  <c r="R2729" i="1"/>
  <c r="P2729" i="1"/>
  <c r="U2728" i="1"/>
  <c r="T2728" i="1"/>
  <c r="R2728" i="1"/>
  <c r="P2728" i="1"/>
  <c r="U2727" i="1"/>
  <c r="T2727" i="1"/>
  <c r="R2727" i="1"/>
  <c r="P2727" i="1"/>
  <c r="U2726" i="1"/>
  <c r="T2726" i="1"/>
  <c r="R2726" i="1"/>
  <c r="P2726" i="1"/>
  <c r="U2725" i="1"/>
  <c r="T2725" i="1"/>
  <c r="R2725" i="1"/>
  <c r="P2725" i="1"/>
  <c r="U2724" i="1"/>
  <c r="T2724" i="1"/>
  <c r="R2724" i="1"/>
  <c r="P2724" i="1"/>
  <c r="U2723" i="1"/>
  <c r="T2723" i="1"/>
  <c r="R2723" i="1"/>
  <c r="P2723" i="1"/>
  <c r="U2722" i="1"/>
  <c r="T2722" i="1"/>
  <c r="R2722" i="1"/>
  <c r="P2722" i="1"/>
  <c r="U2721" i="1"/>
  <c r="T2721" i="1"/>
  <c r="R2721" i="1"/>
  <c r="P2721" i="1"/>
  <c r="U2720" i="1"/>
  <c r="T2720" i="1"/>
  <c r="R2720" i="1"/>
  <c r="P2720" i="1"/>
  <c r="U2719" i="1"/>
  <c r="T2719" i="1"/>
  <c r="R2719" i="1"/>
  <c r="P2719" i="1"/>
  <c r="U2718" i="1"/>
  <c r="T2718" i="1"/>
  <c r="R2718" i="1"/>
  <c r="P2718" i="1"/>
  <c r="U2717" i="1"/>
  <c r="T2717" i="1"/>
  <c r="R2717" i="1"/>
  <c r="P2717" i="1"/>
  <c r="U2716" i="1"/>
  <c r="T2716" i="1"/>
  <c r="R2716" i="1"/>
  <c r="P2716" i="1"/>
  <c r="U2715" i="1"/>
  <c r="T2715" i="1"/>
  <c r="R2715" i="1"/>
  <c r="P2715" i="1"/>
  <c r="U2714" i="1"/>
  <c r="T2714" i="1"/>
  <c r="R2714" i="1"/>
  <c r="P2714" i="1"/>
  <c r="U2713" i="1"/>
  <c r="T2713" i="1"/>
  <c r="R2713" i="1"/>
  <c r="P2713" i="1"/>
  <c r="U2712" i="1"/>
  <c r="T2712" i="1"/>
  <c r="R2712" i="1"/>
  <c r="P2712" i="1"/>
  <c r="U2711" i="1"/>
  <c r="T2711" i="1"/>
  <c r="R2711" i="1"/>
  <c r="P2711" i="1"/>
  <c r="U2710" i="1"/>
  <c r="T2710" i="1"/>
  <c r="R2710" i="1"/>
  <c r="P2710" i="1"/>
  <c r="U2709" i="1"/>
  <c r="T2709" i="1"/>
  <c r="R2709" i="1"/>
  <c r="P2709" i="1"/>
  <c r="U2708" i="1"/>
  <c r="T2708" i="1"/>
  <c r="R2708" i="1"/>
  <c r="P2708" i="1"/>
  <c r="U2707" i="1"/>
  <c r="T2707" i="1"/>
  <c r="R2707" i="1"/>
  <c r="P2707" i="1"/>
  <c r="U2706" i="1"/>
  <c r="T2706" i="1"/>
  <c r="R2706" i="1"/>
  <c r="P2706" i="1"/>
  <c r="U2705" i="1"/>
  <c r="T2705" i="1"/>
  <c r="R2705" i="1"/>
  <c r="P2705" i="1"/>
  <c r="U2704" i="1"/>
  <c r="T2704" i="1"/>
  <c r="R2704" i="1"/>
  <c r="P2704" i="1"/>
  <c r="U2703" i="1"/>
  <c r="T2703" i="1"/>
  <c r="R2703" i="1"/>
  <c r="P2703" i="1"/>
  <c r="U2702" i="1"/>
  <c r="T2702" i="1"/>
  <c r="R2702" i="1"/>
  <c r="P2702" i="1"/>
  <c r="U2701" i="1"/>
  <c r="T2701" i="1"/>
  <c r="R2701" i="1"/>
  <c r="P2701" i="1"/>
  <c r="U2700" i="1"/>
  <c r="T2700" i="1"/>
  <c r="R2700" i="1"/>
  <c r="P2700" i="1"/>
  <c r="U2699" i="1"/>
  <c r="T2699" i="1"/>
  <c r="R2699" i="1"/>
  <c r="P2699" i="1"/>
  <c r="U2698" i="1"/>
  <c r="T2698" i="1"/>
  <c r="R2698" i="1"/>
  <c r="P2698" i="1"/>
  <c r="U2697" i="1"/>
  <c r="T2697" i="1"/>
  <c r="R2697" i="1"/>
  <c r="P2697" i="1"/>
  <c r="U2696" i="1"/>
  <c r="T2696" i="1"/>
  <c r="R2696" i="1"/>
  <c r="P2696" i="1"/>
  <c r="U2695" i="1"/>
  <c r="T2695" i="1"/>
  <c r="R2695" i="1"/>
  <c r="P2695" i="1"/>
  <c r="U2694" i="1"/>
  <c r="T2694" i="1"/>
  <c r="R2694" i="1"/>
  <c r="P2694" i="1"/>
  <c r="U2693" i="1"/>
  <c r="T2693" i="1"/>
  <c r="R2693" i="1"/>
  <c r="P2693" i="1"/>
  <c r="U2692" i="1"/>
  <c r="T2692" i="1"/>
  <c r="R2692" i="1"/>
  <c r="P2692" i="1"/>
  <c r="U2691" i="1"/>
  <c r="T2691" i="1"/>
  <c r="R2691" i="1"/>
  <c r="P2691" i="1"/>
  <c r="U2690" i="1"/>
  <c r="T2690" i="1"/>
  <c r="R2690" i="1"/>
  <c r="P2690" i="1"/>
  <c r="U2689" i="1"/>
  <c r="T2689" i="1"/>
  <c r="R2689" i="1"/>
  <c r="P2689" i="1"/>
  <c r="U2688" i="1"/>
  <c r="T2688" i="1"/>
  <c r="R2688" i="1"/>
  <c r="P2688" i="1"/>
  <c r="U2687" i="1"/>
  <c r="T2687" i="1"/>
  <c r="R2687" i="1"/>
  <c r="P2687" i="1"/>
  <c r="U2686" i="1"/>
  <c r="T2686" i="1"/>
  <c r="R2686" i="1"/>
  <c r="P2686" i="1"/>
  <c r="U2685" i="1"/>
  <c r="T2685" i="1"/>
  <c r="R2685" i="1"/>
  <c r="P2685" i="1"/>
  <c r="U2684" i="1"/>
  <c r="T2684" i="1"/>
  <c r="R2684" i="1"/>
  <c r="P2684" i="1"/>
  <c r="U2683" i="1"/>
  <c r="T2683" i="1"/>
  <c r="R2683" i="1"/>
  <c r="P2683" i="1"/>
  <c r="U2682" i="1"/>
  <c r="T2682" i="1"/>
  <c r="R2682" i="1"/>
  <c r="P2682" i="1"/>
  <c r="U2681" i="1"/>
  <c r="T2681" i="1"/>
  <c r="R2681" i="1"/>
  <c r="P2681" i="1"/>
  <c r="U2680" i="1"/>
  <c r="T2680" i="1"/>
  <c r="R2680" i="1"/>
  <c r="P2680" i="1"/>
  <c r="U2679" i="1"/>
  <c r="T2679" i="1"/>
  <c r="R2679" i="1"/>
  <c r="P2679" i="1"/>
  <c r="U2678" i="1"/>
  <c r="T2678" i="1"/>
  <c r="R2678" i="1"/>
  <c r="P2678" i="1"/>
  <c r="U2677" i="1"/>
  <c r="T2677" i="1"/>
  <c r="R2677" i="1"/>
  <c r="P2677" i="1"/>
  <c r="U2676" i="1"/>
  <c r="T2676" i="1"/>
  <c r="R2676" i="1"/>
  <c r="P2676" i="1"/>
  <c r="U2675" i="1"/>
  <c r="T2675" i="1"/>
  <c r="R2675" i="1"/>
  <c r="P2675" i="1"/>
  <c r="U2674" i="1"/>
  <c r="T2674" i="1"/>
  <c r="R2674" i="1"/>
  <c r="P2674" i="1"/>
  <c r="U2673" i="1"/>
  <c r="T2673" i="1"/>
  <c r="R2673" i="1"/>
  <c r="P2673" i="1"/>
  <c r="U2672" i="1"/>
  <c r="T2672" i="1"/>
  <c r="R2672" i="1"/>
  <c r="P2672" i="1"/>
  <c r="U2671" i="1"/>
  <c r="T2671" i="1"/>
  <c r="R2671" i="1"/>
  <c r="P2671" i="1"/>
  <c r="U2670" i="1"/>
  <c r="T2670" i="1"/>
  <c r="R2670" i="1"/>
  <c r="P2670" i="1"/>
  <c r="U2669" i="1"/>
  <c r="T2669" i="1"/>
  <c r="R2669" i="1"/>
  <c r="P2669" i="1"/>
  <c r="U2668" i="1"/>
  <c r="T2668" i="1"/>
  <c r="R2668" i="1"/>
  <c r="P2668" i="1"/>
  <c r="U2667" i="1"/>
  <c r="T2667" i="1"/>
  <c r="R2667" i="1"/>
  <c r="P2667" i="1"/>
  <c r="U2666" i="1"/>
  <c r="T2666" i="1"/>
  <c r="R2666" i="1"/>
  <c r="P2666" i="1"/>
  <c r="U2665" i="1"/>
  <c r="T2665" i="1"/>
  <c r="R2665" i="1"/>
  <c r="P2665" i="1"/>
  <c r="U2664" i="1"/>
  <c r="T2664" i="1"/>
  <c r="R2664" i="1"/>
  <c r="P2664" i="1"/>
  <c r="U2663" i="1"/>
  <c r="T2663" i="1"/>
  <c r="R2663" i="1"/>
  <c r="P2663" i="1"/>
  <c r="U2662" i="1"/>
  <c r="T2662" i="1"/>
  <c r="R2662" i="1"/>
  <c r="P2662" i="1"/>
  <c r="U2661" i="1"/>
  <c r="T2661" i="1"/>
  <c r="R2661" i="1"/>
  <c r="P2661" i="1"/>
  <c r="U2660" i="1"/>
  <c r="T2660" i="1"/>
  <c r="R2660" i="1"/>
  <c r="P2660" i="1"/>
  <c r="U2659" i="1"/>
  <c r="T2659" i="1"/>
  <c r="R2659" i="1"/>
  <c r="P2659" i="1"/>
  <c r="U2658" i="1"/>
  <c r="T2658" i="1"/>
  <c r="R2658" i="1"/>
  <c r="P2658" i="1"/>
  <c r="U2657" i="1"/>
  <c r="T2657" i="1"/>
  <c r="R2657" i="1"/>
  <c r="P2657" i="1"/>
  <c r="U2656" i="1"/>
  <c r="T2656" i="1"/>
  <c r="R2656" i="1"/>
  <c r="P2656" i="1"/>
  <c r="U2655" i="1"/>
  <c r="T2655" i="1"/>
  <c r="R2655" i="1"/>
  <c r="P2655" i="1"/>
  <c r="U2654" i="1"/>
  <c r="T2654" i="1"/>
  <c r="R2654" i="1"/>
  <c r="P2654" i="1"/>
  <c r="U2653" i="1"/>
  <c r="T2653" i="1"/>
  <c r="R2653" i="1"/>
  <c r="P2653" i="1"/>
  <c r="U2652" i="1"/>
  <c r="T2652" i="1"/>
  <c r="R2652" i="1"/>
  <c r="P2652" i="1"/>
  <c r="U2651" i="1"/>
  <c r="T2651" i="1"/>
  <c r="R2651" i="1"/>
  <c r="P2651" i="1"/>
  <c r="U2650" i="1"/>
  <c r="T2650" i="1"/>
  <c r="R2650" i="1"/>
  <c r="P2650" i="1"/>
  <c r="U2649" i="1"/>
  <c r="T2649" i="1"/>
  <c r="R2649" i="1"/>
  <c r="P2649" i="1"/>
  <c r="U2648" i="1"/>
  <c r="T2648" i="1"/>
  <c r="R2648" i="1"/>
  <c r="P2648" i="1"/>
  <c r="U2647" i="1"/>
  <c r="T2647" i="1"/>
  <c r="R2647" i="1"/>
  <c r="P2647" i="1"/>
  <c r="U2646" i="1"/>
  <c r="T2646" i="1"/>
  <c r="R2646" i="1"/>
  <c r="P2646" i="1"/>
  <c r="U2645" i="1"/>
  <c r="T2645" i="1"/>
  <c r="R2645" i="1"/>
  <c r="P2645" i="1"/>
  <c r="U2644" i="1"/>
  <c r="T2644" i="1"/>
  <c r="R2644" i="1"/>
  <c r="P2644" i="1"/>
  <c r="U2643" i="1"/>
  <c r="T2643" i="1"/>
  <c r="R2643" i="1"/>
  <c r="P2643" i="1"/>
  <c r="U2642" i="1"/>
  <c r="T2642" i="1"/>
  <c r="R2642" i="1"/>
  <c r="P2642" i="1"/>
  <c r="U2641" i="1"/>
  <c r="T2641" i="1"/>
  <c r="R2641" i="1"/>
  <c r="P2641" i="1"/>
  <c r="U2640" i="1"/>
  <c r="T2640" i="1"/>
  <c r="R2640" i="1"/>
  <c r="P2640" i="1"/>
  <c r="U2639" i="1"/>
  <c r="T2639" i="1"/>
  <c r="R2639" i="1"/>
  <c r="P2639" i="1"/>
  <c r="U2638" i="1"/>
  <c r="T2638" i="1"/>
  <c r="R2638" i="1"/>
  <c r="P2638" i="1"/>
  <c r="U2637" i="1"/>
  <c r="T2637" i="1"/>
  <c r="R2637" i="1"/>
  <c r="P2637" i="1"/>
  <c r="U2636" i="1"/>
  <c r="T2636" i="1"/>
  <c r="R2636" i="1"/>
  <c r="P2636" i="1"/>
  <c r="U2635" i="1"/>
  <c r="T2635" i="1"/>
  <c r="R2635" i="1"/>
  <c r="P2635" i="1"/>
  <c r="U2634" i="1"/>
  <c r="T2634" i="1"/>
  <c r="R2634" i="1"/>
  <c r="P2634" i="1"/>
  <c r="U2633" i="1"/>
  <c r="T2633" i="1"/>
  <c r="R2633" i="1"/>
  <c r="P2633" i="1"/>
  <c r="U2632" i="1"/>
  <c r="T2632" i="1"/>
  <c r="R2632" i="1"/>
  <c r="P2632" i="1"/>
  <c r="U2631" i="1"/>
  <c r="T2631" i="1"/>
  <c r="R2631" i="1"/>
  <c r="P2631" i="1"/>
  <c r="U2630" i="1"/>
  <c r="T2630" i="1"/>
  <c r="R2630" i="1"/>
  <c r="P2630" i="1"/>
  <c r="U2629" i="1"/>
  <c r="T2629" i="1"/>
  <c r="R2629" i="1"/>
  <c r="P2629" i="1"/>
  <c r="U2628" i="1"/>
  <c r="T2628" i="1"/>
  <c r="R2628" i="1"/>
  <c r="P2628" i="1"/>
  <c r="U2627" i="1"/>
  <c r="T2627" i="1"/>
  <c r="R2627" i="1"/>
  <c r="P2627" i="1"/>
  <c r="U2626" i="1"/>
  <c r="T2626" i="1"/>
  <c r="R2626" i="1"/>
  <c r="P2626" i="1"/>
  <c r="U2625" i="1"/>
  <c r="T2625" i="1"/>
  <c r="R2625" i="1"/>
  <c r="P2625" i="1"/>
  <c r="U2624" i="1"/>
  <c r="T2624" i="1"/>
  <c r="R2624" i="1"/>
  <c r="P2624" i="1"/>
  <c r="U2623" i="1"/>
  <c r="T2623" i="1"/>
  <c r="R2623" i="1"/>
  <c r="P2623" i="1"/>
  <c r="U2622" i="1"/>
  <c r="T2622" i="1"/>
  <c r="R2622" i="1"/>
  <c r="P2622" i="1"/>
  <c r="U2621" i="1"/>
  <c r="T2621" i="1"/>
  <c r="R2621" i="1"/>
  <c r="P2621" i="1"/>
  <c r="U2620" i="1"/>
  <c r="T2620" i="1"/>
  <c r="R2620" i="1"/>
  <c r="P2620" i="1"/>
  <c r="U2619" i="1"/>
  <c r="T2619" i="1"/>
  <c r="R2619" i="1"/>
  <c r="P2619" i="1"/>
  <c r="U2618" i="1"/>
  <c r="T2618" i="1"/>
  <c r="R2618" i="1"/>
  <c r="P2618" i="1"/>
  <c r="U2617" i="1"/>
  <c r="T2617" i="1"/>
  <c r="R2617" i="1"/>
  <c r="P2617" i="1"/>
  <c r="U2616" i="1"/>
  <c r="T2616" i="1"/>
  <c r="R2616" i="1"/>
  <c r="P2616" i="1"/>
  <c r="U2615" i="1"/>
  <c r="T2615" i="1"/>
  <c r="R2615" i="1"/>
  <c r="P2615" i="1"/>
  <c r="U2614" i="1"/>
  <c r="T2614" i="1"/>
  <c r="R2614" i="1"/>
  <c r="P2614" i="1"/>
  <c r="U2613" i="1"/>
  <c r="T2613" i="1"/>
  <c r="R2613" i="1"/>
  <c r="P2613" i="1"/>
  <c r="U2612" i="1"/>
  <c r="T2612" i="1"/>
  <c r="R2612" i="1"/>
  <c r="P2612" i="1"/>
  <c r="U2611" i="1"/>
  <c r="T2611" i="1"/>
  <c r="R2611" i="1"/>
  <c r="P2611" i="1"/>
  <c r="U2610" i="1"/>
  <c r="T2610" i="1"/>
  <c r="R2610" i="1"/>
  <c r="P2610" i="1"/>
  <c r="U2609" i="1"/>
  <c r="T2609" i="1"/>
  <c r="R2609" i="1"/>
  <c r="P2609" i="1"/>
  <c r="U2608" i="1"/>
  <c r="T2608" i="1"/>
  <c r="R2608" i="1"/>
  <c r="P2608" i="1"/>
  <c r="U2607" i="1"/>
  <c r="T2607" i="1"/>
  <c r="R2607" i="1"/>
  <c r="P2607" i="1"/>
  <c r="U2606" i="1"/>
  <c r="T2606" i="1"/>
  <c r="R2606" i="1"/>
  <c r="P2606" i="1"/>
  <c r="U2605" i="1"/>
  <c r="T2605" i="1"/>
  <c r="R2605" i="1"/>
  <c r="P2605" i="1"/>
  <c r="U2604" i="1"/>
  <c r="T2604" i="1"/>
  <c r="R2604" i="1"/>
  <c r="P2604" i="1"/>
  <c r="U2603" i="1"/>
  <c r="T2603" i="1"/>
  <c r="R2603" i="1"/>
  <c r="P2603" i="1"/>
  <c r="U2602" i="1"/>
  <c r="T2602" i="1"/>
  <c r="R2602" i="1"/>
  <c r="P2602" i="1"/>
  <c r="U2601" i="1"/>
  <c r="T2601" i="1"/>
  <c r="R2601" i="1"/>
  <c r="P2601" i="1"/>
  <c r="U2600" i="1"/>
  <c r="T2600" i="1"/>
  <c r="R2600" i="1"/>
  <c r="P2600" i="1"/>
  <c r="U2599" i="1"/>
  <c r="T2599" i="1"/>
  <c r="R2599" i="1"/>
  <c r="P2599" i="1"/>
  <c r="U2598" i="1"/>
  <c r="T2598" i="1"/>
  <c r="R2598" i="1"/>
  <c r="P2598" i="1"/>
  <c r="U2597" i="1"/>
  <c r="T2597" i="1"/>
  <c r="R2597" i="1"/>
  <c r="P2597" i="1"/>
  <c r="U2596" i="1"/>
  <c r="T2596" i="1"/>
  <c r="R2596" i="1"/>
  <c r="P2596" i="1"/>
  <c r="U2595" i="1"/>
  <c r="T2595" i="1"/>
  <c r="R2595" i="1"/>
  <c r="P2595" i="1"/>
  <c r="U2594" i="1"/>
  <c r="T2594" i="1"/>
  <c r="R2594" i="1"/>
  <c r="P2594" i="1"/>
  <c r="U2593" i="1"/>
  <c r="T2593" i="1"/>
  <c r="R2593" i="1"/>
  <c r="P2593" i="1"/>
  <c r="U2592" i="1"/>
  <c r="T2592" i="1"/>
  <c r="R2592" i="1"/>
  <c r="P2592" i="1"/>
  <c r="U2591" i="1"/>
  <c r="T2591" i="1"/>
  <c r="R2591" i="1"/>
  <c r="P2591" i="1"/>
  <c r="U2590" i="1"/>
  <c r="T2590" i="1"/>
  <c r="R2590" i="1"/>
  <c r="P2590" i="1"/>
  <c r="U2589" i="1"/>
  <c r="T2589" i="1"/>
  <c r="R2589" i="1"/>
  <c r="P2589" i="1"/>
  <c r="U2588" i="1"/>
  <c r="T2588" i="1"/>
  <c r="R2588" i="1"/>
  <c r="P2588" i="1"/>
  <c r="U2587" i="1"/>
  <c r="T2587" i="1"/>
  <c r="R2587" i="1"/>
  <c r="P2587" i="1"/>
  <c r="U2586" i="1"/>
  <c r="T2586" i="1"/>
  <c r="R2586" i="1"/>
  <c r="P2586" i="1"/>
  <c r="U2585" i="1"/>
  <c r="T2585" i="1"/>
  <c r="R2585" i="1"/>
  <c r="P2585" i="1"/>
  <c r="U2584" i="1"/>
  <c r="T2584" i="1"/>
  <c r="R2584" i="1"/>
  <c r="P2584" i="1"/>
  <c r="U2583" i="1"/>
  <c r="T2583" i="1"/>
  <c r="R2583" i="1"/>
  <c r="P2583" i="1"/>
  <c r="U2582" i="1"/>
  <c r="T2582" i="1"/>
  <c r="R2582" i="1"/>
  <c r="P2582" i="1"/>
  <c r="U2581" i="1"/>
  <c r="T2581" i="1"/>
  <c r="R2581" i="1"/>
  <c r="P2581" i="1"/>
  <c r="U2580" i="1"/>
  <c r="T2580" i="1"/>
  <c r="R2580" i="1"/>
  <c r="P2580" i="1"/>
  <c r="U2579" i="1"/>
  <c r="T2579" i="1"/>
  <c r="R2579" i="1"/>
  <c r="P2579" i="1"/>
  <c r="U2578" i="1"/>
  <c r="T2578" i="1"/>
  <c r="R2578" i="1"/>
  <c r="P2578" i="1"/>
  <c r="U2577" i="1"/>
  <c r="T2577" i="1"/>
  <c r="R2577" i="1"/>
  <c r="P2577" i="1"/>
  <c r="U2576" i="1"/>
  <c r="T2576" i="1"/>
  <c r="R2576" i="1"/>
  <c r="P2576" i="1"/>
  <c r="U2575" i="1"/>
  <c r="T2575" i="1"/>
  <c r="R2575" i="1"/>
  <c r="P2575" i="1"/>
  <c r="U2574" i="1"/>
  <c r="T2574" i="1"/>
  <c r="R2574" i="1"/>
  <c r="P2574" i="1"/>
  <c r="U2573" i="1"/>
  <c r="T2573" i="1"/>
  <c r="R2573" i="1"/>
  <c r="P2573" i="1"/>
  <c r="U2572" i="1"/>
  <c r="T2572" i="1"/>
  <c r="R2572" i="1"/>
  <c r="P2572" i="1"/>
  <c r="U2571" i="1"/>
  <c r="T2571" i="1"/>
  <c r="R2571" i="1"/>
  <c r="P2571" i="1"/>
  <c r="U2570" i="1"/>
  <c r="T2570" i="1"/>
  <c r="R2570" i="1"/>
  <c r="P2570" i="1"/>
  <c r="U2569" i="1"/>
  <c r="T2569" i="1"/>
  <c r="R2569" i="1"/>
  <c r="P2569" i="1"/>
  <c r="U2568" i="1"/>
  <c r="T2568" i="1"/>
  <c r="R2568" i="1"/>
  <c r="P2568" i="1"/>
  <c r="U2567" i="1"/>
  <c r="T2567" i="1"/>
  <c r="R2567" i="1"/>
  <c r="P2567" i="1"/>
  <c r="U2566" i="1"/>
  <c r="T2566" i="1"/>
  <c r="R2566" i="1"/>
  <c r="P2566" i="1"/>
  <c r="U2565" i="1"/>
  <c r="T2565" i="1"/>
  <c r="R2565" i="1"/>
  <c r="P2565" i="1"/>
  <c r="U2564" i="1"/>
  <c r="T2564" i="1"/>
  <c r="R2564" i="1"/>
  <c r="P2564" i="1"/>
  <c r="U2563" i="1"/>
  <c r="T2563" i="1"/>
  <c r="R2563" i="1"/>
  <c r="P2563" i="1"/>
  <c r="U2562" i="1"/>
  <c r="T2562" i="1"/>
  <c r="R2562" i="1"/>
  <c r="P2562" i="1"/>
  <c r="U2561" i="1"/>
  <c r="T2561" i="1"/>
  <c r="R2561" i="1"/>
  <c r="P2561" i="1"/>
  <c r="U2560" i="1"/>
  <c r="T2560" i="1"/>
  <c r="R2560" i="1"/>
  <c r="P2560" i="1"/>
  <c r="U2559" i="1"/>
  <c r="T2559" i="1"/>
  <c r="R2559" i="1"/>
  <c r="P2559" i="1"/>
  <c r="U2558" i="1"/>
  <c r="T2558" i="1"/>
  <c r="R2558" i="1"/>
  <c r="P2558" i="1"/>
  <c r="U2557" i="1"/>
  <c r="T2557" i="1"/>
  <c r="R2557" i="1"/>
  <c r="P2557" i="1"/>
  <c r="U2556" i="1"/>
  <c r="T2556" i="1"/>
  <c r="R2556" i="1"/>
  <c r="P2556" i="1"/>
  <c r="U2555" i="1"/>
  <c r="T2555" i="1"/>
  <c r="R2555" i="1"/>
  <c r="P2555" i="1"/>
  <c r="U2554" i="1"/>
  <c r="T2554" i="1"/>
  <c r="R2554" i="1"/>
  <c r="P2554" i="1"/>
  <c r="U2553" i="1"/>
  <c r="T2553" i="1"/>
  <c r="R2553" i="1"/>
  <c r="P2553" i="1"/>
  <c r="U2552" i="1"/>
  <c r="T2552" i="1"/>
  <c r="R2552" i="1"/>
  <c r="P2552" i="1"/>
  <c r="U2551" i="1"/>
  <c r="T2551" i="1"/>
  <c r="R2551" i="1"/>
  <c r="P2551" i="1"/>
  <c r="U2550" i="1"/>
  <c r="T2550" i="1"/>
  <c r="R2550" i="1"/>
  <c r="P2550" i="1"/>
  <c r="U2549" i="1"/>
  <c r="T2549" i="1"/>
  <c r="R2549" i="1"/>
  <c r="P2549" i="1"/>
  <c r="U2548" i="1"/>
  <c r="T2548" i="1"/>
  <c r="R2548" i="1"/>
  <c r="P2548" i="1"/>
  <c r="U2547" i="1"/>
  <c r="T2547" i="1"/>
  <c r="R2547" i="1"/>
  <c r="P2547" i="1"/>
  <c r="U2546" i="1"/>
  <c r="T2546" i="1"/>
  <c r="R2546" i="1"/>
  <c r="P2546" i="1"/>
  <c r="U2545" i="1"/>
  <c r="T2545" i="1"/>
  <c r="R2545" i="1"/>
  <c r="P2545" i="1"/>
  <c r="U2544" i="1"/>
  <c r="T2544" i="1"/>
  <c r="R2544" i="1"/>
  <c r="P2544" i="1"/>
  <c r="U2543" i="1"/>
  <c r="T2543" i="1"/>
  <c r="R2543" i="1"/>
  <c r="P2543" i="1"/>
  <c r="U2542" i="1"/>
  <c r="T2542" i="1"/>
  <c r="R2542" i="1"/>
  <c r="P2542" i="1"/>
  <c r="U2541" i="1"/>
  <c r="T2541" i="1"/>
  <c r="R2541" i="1"/>
  <c r="P2541" i="1"/>
  <c r="U2540" i="1"/>
  <c r="T2540" i="1"/>
  <c r="R2540" i="1"/>
  <c r="P2540" i="1"/>
  <c r="U2539" i="1"/>
  <c r="T2539" i="1"/>
  <c r="R2539" i="1"/>
  <c r="P2539" i="1"/>
  <c r="U2538" i="1"/>
  <c r="T2538" i="1"/>
  <c r="R2538" i="1"/>
  <c r="P2538" i="1"/>
  <c r="U2537" i="1"/>
  <c r="T2537" i="1"/>
  <c r="R2537" i="1"/>
  <c r="P2537" i="1"/>
  <c r="U2536" i="1"/>
  <c r="T2536" i="1"/>
  <c r="R2536" i="1"/>
  <c r="P2536" i="1"/>
  <c r="U2535" i="1"/>
  <c r="T2535" i="1"/>
  <c r="R2535" i="1"/>
  <c r="P2535" i="1"/>
  <c r="U2534" i="1"/>
  <c r="T2534" i="1"/>
  <c r="R2534" i="1"/>
  <c r="P2534" i="1"/>
  <c r="U2533" i="1"/>
  <c r="T2533" i="1"/>
  <c r="R2533" i="1"/>
  <c r="P2533" i="1"/>
  <c r="U2532" i="1"/>
  <c r="T2532" i="1"/>
  <c r="R2532" i="1"/>
  <c r="P2532" i="1"/>
  <c r="U2531" i="1"/>
  <c r="T2531" i="1"/>
  <c r="R2531" i="1"/>
  <c r="P2531" i="1"/>
  <c r="U2530" i="1"/>
  <c r="T2530" i="1"/>
  <c r="R2530" i="1"/>
  <c r="P2530" i="1"/>
  <c r="U2529" i="1"/>
  <c r="T2529" i="1"/>
  <c r="R2529" i="1"/>
  <c r="P2529" i="1"/>
  <c r="U2528" i="1"/>
  <c r="T2528" i="1"/>
  <c r="R2528" i="1"/>
  <c r="P2528" i="1"/>
  <c r="U2527" i="1"/>
  <c r="T2527" i="1"/>
  <c r="R2527" i="1"/>
  <c r="P2527" i="1"/>
  <c r="U2526" i="1"/>
  <c r="T2526" i="1"/>
  <c r="R2526" i="1"/>
  <c r="P2526" i="1"/>
  <c r="U2525" i="1"/>
  <c r="T2525" i="1"/>
  <c r="R2525" i="1"/>
  <c r="P2525" i="1"/>
  <c r="U2524" i="1"/>
  <c r="T2524" i="1"/>
  <c r="R2524" i="1"/>
  <c r="P2524" i="1"/>
  <c r="U2523" i="1"/>
  <c r="T2523" i="1"/>
  <c r="R2523" i="1"/>
  <c r="P2523" i="1"/>
  <c r="U2522" i="1"/>
  <c r="T2522" i="1"/>
  <c r="R2522" i="1"/>
  <c r="P2522" i="1"/>
  <c r="U2521" i="1"/>
  <c r="T2521" i="1"/>
  <c r="R2521" i="1"/>
  <c r="P2521" i="1"/>
  <c r="U2520" i="1"/>
  <c r="T2520" i="1"/>
  <c r="R2520" i="1"/>
  <c r="P2520" i="1"/>
  <c r="U2519" i="1"/>
  <c r="T2519" i="1"/>
  <c r="R2519" i="1"/>
  <c r="P2519" i="1"/>
  <c r="U2518" i="1"/>
  <c r="T2518" i="1"/>
  <c r="R2518" i="1"/>
  <c r="P2518" i="1"/>
  <c r="U2517" i="1"/>
  <c r="T2517" i="1"/>
  <c r="R2517" i="1"/>
  <c r="P2517" i="1"/>
  <c r="U2516" i="1"/>
  <c r="T2516" i="1"/>
  <c r="R2516" i="1"/>
  <c r="P2516" i="1"/>
  <c r="U2515" i="1"/>
  <c r="T2515" i="1"/>
  <c r="R2515" i="1"/>
  <c r="P2515" i="1"/>
  <c r="U2514" i="1"/>
  <c r="T2514" i="1"/>
  <c r="R2514" i="1"/>
  <c r="P2514" i="1"/>
  <c r="U2513" i="1"/>
  <c r="T2513" i="1"/>
  <c r="R2513" i="1"/>
  <c r="P2513" i="1"/>
  <c r="U2512" i="1"/>
  <c r="T2512" i="1"/>
  <c r="R2512" i="1"/>
  <c r="P2512" i="1"/>
  <c r="U2511" i="1"/>
  <c r="T2511" i="1"/>
  <c r="R2511" i="1"/>
  <c r="P2511" i="1"/>
  <c r="U2510" i="1"/>
  <c r="T2510" i="1"/>
  <c r="R2510" i="1"/>
  <c r="P2510" i="1"/>
  <c r="U2509" i="1"/>
  <c r="T2509" i="1"/>
  <c r="R2509" i="1"/>
  <c r="P2509" i="1"/>
  <c r="U2508" i="1"/>
  <c r="T2508" i="1"/>
  <c r="R2508" i="1"/>
  <c r="P2508" i="1"/>
  <c r="U2507" i="1"/>
  <c r="T2507" i="1"/>
  <c r="R2507" i="1"/>
  <c r="P2507" i="1"/>
  <c r="U2506" i="1"/>
  <c r="T2506" i="1"/>
  <c r="R2506" i="1"/>
  <c r="P2506" i="1"/>
  <c r="U2505" i="1"/>
  <c r="T2505" i="1"/>
  <c r="R2505" i="1"/>
  <c r="P2505" i="1"/>
  <c r="U2504" i="1"/>
  <c r="T2504" i="1"/>
  <c r="R2504" i="1"/>
  <c r="P2504" i="1"/>
  <c r="U2503" i="1"/>
  <c r="T2503" i="1"/>
  <c r="R2503" i="1"/>
  <c r="P2503" i="1"/>
  <c r="U2502" i="1"/>
  <c r="T2502" i="1"/>
  <c r="R2502" i="1"/>
  <c r="P2502" i="1"/>
  <c r="U2501" i="1"/>
  <c r="T2501" i="1"/>
  <c r="R2501" i="1"/>
  <c r="P2501" i="1"/>
  <c r="U2500" i="1"/>
  <c r="T2500" i="1"/>
  <c r="R2500" i="1"/>
  <c r="P2500" i="1"/>
  <c r="U2499" i="1"/>
  <c r="T2499" i="1"/>
  <c r="R2499" i="1"/>
  <c r="P2499" i="1"/>
  <c r="U2498" i="1"/>
  <c r="T2498" i="1"/>
  <c r="R2498" i="1"/>
  <c r="P2498" i="1"/>
  <c r="U2497" i="1"/>
  <c r="T2497" i="1"/>
  <c r="R2497" i="1"/>
  <c r="P2497" i="1"/>
  <c r="U2496" i="1"/>
  <c r="T2496" i="1"/>
  <c r="R2496" i="1"/>
  <c r="P2496" i="1"/>
  <c r="U2495" i="1"/>
  <c r="T2495" i="1"/>
  <c r="R2495" i="1"/>
  <c r="P2495" i="1"/>
  <c r="U2494" i="1"/>
  <c r="T2494" i="1"/>
  <c r="R2494" i="1"/>
  <c r="P2494" i="1"/>
  <c r="U2493" i="1"/>
  <c r="T2493" i="1"/>
  <c r="R2493" i="1"/>
  <c r="P2493" i="1"/>
  <c r="U2492" i="1"/>
  <c r="T2492" i="1"/>
  <c r="R2492" i="1"/>
  <c r="P2492" i="1"/>
  <c r="U2491" i="1"/>
  <c r="T2491" i="1"/>
  <c r="R2491" i="1"/>
  <c r="P2491" i="1"/>
  <c r="U2490" i="1"/>
  <c r="T2490" i="1"/>
  <c r="R2490" i="1"/>
  <c r="P2490" i="1"/>
  <c r="U2489" i="1"/>
  <c r="T2489" i="1"/>
  <c r="R2489" i="1"/>
  <c r="P2489" i="1"/>
  <c r="U2488" i="1"/>
  <c r="T2488" i="1"/>
  <c r="R2488" i="1"/>
  <c r="P2488" i="1"/>
  <c r="U2487" i="1"/>
  <c r="T2487" i="1"/>
  <c r="R2487" i="1"/>
  <c r="P2487" i="1"/>
  <c r="U2486" i="1"/>
  <c r="T2486" i="1"/>
  <c r="R2486" i="1"/>
  <c r="P2486" i="1"/>
  <c r="U2485" i="1"/>
  <c r="T2485" i="1"/>
  <c r="R2485" i="1"/>
  <c r="P2485" i="1"/>
  <c r="U2484" i="1"/>
  <c r="T2484" i="1"/>
  <c r="R2484" i="1"/>
  <c r="P2484" i="1"/>
  <c r="U2483" i="1"/>
  <c r="T2483" i="1"/>
  <c r="R2483" i="1"/>
  <c r="P2483" i="1"/>
  <c r="U2482" i="1"/>
  <c r="T2482" i="1"/>
  <c r="R2482" i="1"/>
  <c r="P2482" i="1"/>
  <c r="U2481" i="1"/>
  <c r="T2481" i="1"/>
  <c r="R2481" i="1"/>
  <c r="P2481" i="1"/>
  <c r="U2480" i="1"/>
  <c r="T2480" i="1"/>
  <c r="R2480" i="1"/>
  <c r="P2480" i="1"/>
  <c r="U2479" i="1"/>
  <c r="T2479" i="1"/>
  <c r="R2479" i="1"/>
  <c r="P2479" i="1"/>
  <c r="U2478" i="1"/>
  <c r="T2478" i="1"/>
  <c r="R2478" i="1"/>
  <c r="P2478" i="1"/>
  <c r="U2477" i="1"/>
  <c r="T2477" i="1"/>
  <c r="R2477" i="1"/>
  <c r="P2477" i="1"/>
  <c r="U2476" i="1"/>
  <c r="T2476" i="1"/>
  <c r="R2476" i="1"/>
  <c r="P2476" i="1"/>
  <c r="U2475" i="1"/>
  <c r="T2475" i="1"/>
  <c r="R2475" i="1"/>
  <c r="P2475" i="1"/>
  <c r="U2474" i="1"/>
  <c r="T2474" i="1"/>
  <c r="R2474" i="1"/>
  <c r="P2474" i="1"/>
  <c r="U2473" i="1"/>
  <c r="T2473" i="1"/>
  <c r="R2473" i="1"/>
  <c r="P2473" i="1"/>
  <c r="U2472" i="1"/>
  <c r="T2472" i="1"/>
  <c r="R2472" i="1"/>
  <c r="P2472" i="1"/>
  <c r="U2471" i="1"/>
  <c r="T2471" i="1"/>
  <c r="R2471" i="1"/>
  <c r="P2471" i="1"/>
  <c r="U2470" i="1"/>
  <c r="T2470" i="1"/>
  <c r="R2470" i="1"/>
  <c r="P2470" i="1"/>
  <c r="U2469" i="1"/>
  <c r="T2469" i="1"/>
  <c r="R2469" i="1"/>
  <c r="P2469" i="1"/>
  <c r="U2468" i="1"/>
  <c r="T2468" i="1"/>
  <c r="R2468" i="1"/>
  <c r="P2468" i="1"/>
  <c r="U2467" i="1"/>
  <c r="T2467" i="1"/>
  <c r="R2467" i="1"/>
  <c r="P2467" i="1"/>
  <c r="U2466" i="1"/>
  <c r="T2466" i="1"/>
  <c r="R2466" i="1"/>
  <c r="P2466" i="1"/>
  <c r="U2465" i="1"/>
  <c r="T2465" i="1"/>
  <c r="R2465" i="1"/>
  <c r="P2465" i="1"/>
  <c r="U2464" i="1"/>
  <c r="T2464" i="1"/>
  <c r="R2464" i="1"/>
  <c r="P2464" i="1"/>
  <c r="U2463" i="1"/>
  <c r="T2463" i="1"/>
  <c r="R2463" i="1"/>
  <c r="P2463" i="1"/>
  <c r="U2462" i="1"/>
  <c r="T2462" i="1"/>
  <c r="R2462" i="1"/>
  <c r="P2462" i="1"/>
  <c r="U2461" i="1"/>
  <c r="T2461" i="1"/>
  <c r="R2461" i="1"/>
  <c r="P2461" i="1"/>
  <c r="U2460" i="1"/>
  <c r="T2460" i="1"/>
  <c r="R2460" i="1"/>
  <c r="P2460" i="1"/>
  <c r="U2459" i="1"/>
  <c r="T2459" i="1"/>
  <c r="R2459" i="1"/>
  <c r="P2459" i="1"/>
  <c r="U2458" i="1"/>
  <c r="T2458" i="1"/>
  <c r="R2458" i="1"/>
  <c r="P2458" i="1"/>
  <c r="U2457" i="1"/>
  <c r="T2457" i="1"/>
  <c r="R2457" i="1"/>
  <c r="P2457" i="1"/>
  <c r="U2456" i="1"/>
  <c r="T2456" i="1"/>
  <c r="R2456" i="1"/>
  <c r="P2456" i="1"/>
  <c r="U2455" i="1"/>
  <c r="T2455" i="1"/>
  <c r="R2455" i="1"/>
  <c r="P2455" i="1"/>
  <c r="U2454" i="1"/>
  <c r="T2454" i="1"/>
  <c r="R2454" i="1"/>
  <c r="P2454" i="1"/>
  <c r="U2453" i="1"/>
  <c r="T2453" i="1"/>
  <c r="R2453" i="1"/>
  <c r="P2453" i="1"/>
  <c r="U2452" i="1"/>
  <c r="T2452" i="1"/>
  <c r="R2452" i="1"/>
  <c r="P2452" i="1"/>
  <c r="U2451" i="1"/>
  <c r="T2451" i="1"/>
  <c r="R2451" i="1"/>
  <c r="P2451" i="1"/>
  <c r="U2450" i="1"/>
  <c r="T2450" i="1"/>
  <c r="R2450" i="1"/>
  <c r="P2450" i="1"/>
  <c r="U2449" i="1"/>
  <c r="T2449" i="1"/>
  <c r="R2449" i="1"/>
  <c r="P2449" i="1"/>
  <c r="U2448" i="1"/>
  <c r="T2448" i="1"/>
  <c r="R2448" i="1"/>
  <c r="P2448" i="1"/>
  <c r="U2447" i="1"/>
  <c r="T2447" i="1"/>
  <c r="R2447" i="1"/>
  <c r="P2447" i="1"/>
  <c r="U2446" i="1"/>
  <c r="T2446" i="1"/>
  <c r="R2446" i="1"/>
  <c r="P2446" i="1"/>
  <c r="U2445" i="1"/>
  <c r="T2445" i="1"/>
  <c r="R2445" i="1"/>
  <c r="P2445" i="1"/>
  <c r="U2444" i="1"/>
  <c r="T2444" i="1"/>
  <c r="R2444" i="1"/>
  <c r="P2444" i="1"/>
  <c r="U2443" i="1"/>
  <c r="T2443" i="1"/>
  <c r="R2443" i="1"/>
  <c r="P2443" i="1"/>
  <c r="U2442" i="1"/>
  <c r="T2442" i="1"/>
  <c r="R2442" i="1"/>
  <c r="P2442" i="1"/>
  <c r="U2441" i="1"/>
  <c r="T2441" i="1"/>
  <c r="R2441" i="1"/>
  <c r="P2441" i="1"/>
  <c r="U2440" i="1"/>
  <c r="T2440" i="1"/>
  <c r="R2440" i="1"/>
  <c r="P2440" i="1"/>
  <c r="U2439" i="1"/>
  <c r="T2439" i="1"/>
  <c r="R2439" i="1"/>
  <c r="P2439" i="1"/>
  <c r="U2438" i="1"/>
  <c r="T2438" i="1"/>
  <c r="R2438" i="1"/>
  <c r="P2438" i="1"/>
  <c r="U2437" i="1"/>
  <c r="T2437" i="1"/>
  <c r="R2437" i="1"/>
  <c r="P2437" i="1"/>
  <c r="U2436" i="1"/>
  <c r="T2436" i="1"/>
  <c r="R2436" i="1"/>
  <c r="P2436" i="1"/>
  <c r="U2435" i="1"/>
  <c r="T2435" i="1"/>
  <c r="R2435" i="1"/>
  <c r="P2435" i="1"/>
  <c r="U2434" i="1"/>
  <c r="T2434" i="1"/>
  <c r="R2434" i="1"/>
  <c r="P2434" i="1"/>
  <c r="U2433" i="1"/>
  <c r="T2433" i="1"/>
  <c r="R2433" i="1"/>
  <c r="P2433" i="1"/>
  <c r="U2432" i="1"/>
  <c r="T2432" i="1"/>
  <c r="R2432" i="1"/>
  <c r="P2432" i="1"/>
  <c r="U2431" i="1"/>
  <c r="T2431" i="1"/>
  <c r="R2431" i="1"/>
  <c r="P2431" i="1"/>
  <c r="U2430" i="1"/>
  <c r="T2430" i="1"/>
  <c r="R2430" i="1"/>
  <c r="P2430" i="1"/>
  <c r="U2429" i="1"/>
  <c r="T2429" i="1"/>
  <c r="R2429" i="1"/>
  <c r="P2429" i="1"/>
  <c r="U2428" i="1"/>
  <c r="T2428" i="1"/>
  <c r="R2428" i="1"/>
  <c r="P2428" i="1"/>
  <c r="U2427" i="1"/>
  <c r="T2427" i="1"/>
  <c r="R2427" i="1"/>
  <c r="P2427" i="1"/>
  <c r="U2426" i="1"/>
  <c r="T2426" i="1"/>
  <c r="R2426" i="1"/>
  <c r="P2426" i="1"/>
  <c r="U2425" i="1"/>
  <c r="T2425" i="1"/>
  <c r="R2425" i="1"/>
  <c r="P2425" i="1"/>
  <c r="U2424" i="1"/>
  <c r="T2424" i="1"/>
  <c r="R2424" i="1"/>
  <c r="P2424" i="1"/>
  <c r="U2423" i="1"/>
  <c r="T2423" i="1"/>
  <c r="R2423" i="1"/>
  <c r="P2423" i="1"/>
  <c r="U2422" i="1"/>
  <c r="T2422" i="1"/>
  <c r="R2422" i="1"/>
  <c r="P2422" i="1"/>
  <c r="U2421" i="1"/>
  <c r="T2421" i="1"/>
  <c r="R2421" i="1"/>
  <c r="P2421" i="1"/>
  <c r="U2420" i="1"/>
  <c r="T2420" i="1"/>
  <c r="R2420" i="1"/>
  <c r="P2420" i="1"/>
  <c r="U2419" i="1"/>
  <c r="T2419" i="1"/>
  <c r="R2419" i="1"/>
  <c r="P2419" i="1"/>
  <c r="U2418" i="1"/>
  <c r="T2418" i="1"/>
  <c r="R2418" i="1"/>
  <c r="P2418" i="1"/>
  <c r="U2417" i="1"/>
  <c r="T2417" i="1"/>
  <c r="R2417" i="1"/>
  <c r="P2417" i="1"/>
  <c r="U2416" i="1"/>
  <c r="T2416" i="1"/>
  <c r="R2416" i="1"/>
  <c r="P2416" i="1"/>
  <c r="U2415" i="1"/>
  <c r="T2415" i="1"/>
  <c r="R2415" i="1"/>
  <c r="P2415" i="1"/>
  <c r="U2414" i="1"/>
  <c r="T2414" i="1"/>
  <c r="R2414" i="1"/>
  <c r="P2414" i="1"/>
  <c r="U2413" i="1"/>
  <c r="T2413" i="1"/>
  <c r="R2413" i="1"/>
  <c r="P2413" i="1"/>
  <c r="U2412" i="1"/>
  <c r="T2412" i="1"/>
  <c r="R2412" i="1"/>
  <c r="P2412" i="1"/>
  <c r="U2411" i="1"/>
  <c r="T2411" i="1"/>
  <c r="R2411" i="1"/>
  <c r="P2411" i="1"/>
  <c r="U2410" i="1"/>
  <c r="T2410" i="1"/>
  <c r="R2410" i="1"/>
  <c r="P2410" i="1"/>
  <c r="U2409" i="1"/>
  <c r="T2409" i="1"/>
  <c r="R2409" i="1"/>
  <c r="P2409" i="1"/>
  <c r="U2408" i="1"/>
  <c r="T2408" i="1"/>
  <c r="R2408" i="1"/>
  <c r="P2408" i="1"/>
  <c r="U2407" i="1"/>
  <c r="T2407" i="1"/>
  <c r="R2407" i="1"/>
  <c r="P2407" i="1"/>
  <c r="U2406" i="1"/>
  <c r="T2406" i="1"/>
  <c r="R2406" i="1"/>
  <c r="P2406" i="1"/>
  <c r="U2405" i="1"/>
  <c r="T2405" i="1"/>
  <c r="R2405" i="1"/>
  <c r="P2405" i="1"/>
  <c r="U2404" i="1"/>
  <c r="T2404" i="1"/>
  <c r="R2404" i="1"/>
  <c r="P2404" i="1"/>
  <c r="U2403" i="1"/>
  <c r="T2403" i="1"/>
  <c r="R2403" i="1"/>
  <c r="P2403" i="1"/>
  <c r="U2402" i="1"/>
  <c r="T2402" i="1"/>
  <c r="R2402" i="1"/>
  <c r="P2402" i="1"/>
  <c r="U2401" i="1"/>
  <c r="T2401" i="1"/>
  <c r="R2401" i="1"/>
  <c r="P2401" i="1"/>
  <c r="U2400" i="1"/>
  <c r="T2400" i="1"/>
  <c r="R2400" i="1"/>
  <c r="P2400" i="1"/>
  <c r="U2399" i="1"/>
  <c r="T2399" i="1"/>
  <c r="R2399" i="1"/>
  <c r="P2399" i="1"/>
  <c r="U2398" i="1"/>
  <c r="T2398" i="1"/>
  <c r="R2398" i="1"/>
  <c r="P2398" i="1"/>
  <c r="U2397" i="1"/>
  <c r="T2397" i="1"/>
  <c r="R2397" i="1"/>
  <c r="P2397" i="1"/>
  <c r="U2396" i="1"/>
  <c r="T2396" i="1"/>
  <c r="R2396" i="1"/>
  <c r="P2396" i="1"/>
  <c r="U2395" i="1"/>
  <c r="T2395" i="1"/>
  <c r="R2395" i="1"/>
  <c r="P2395" i="1"/>
  <c r="U2394" i="1"/>
  <c r="T2394" i="1"/>
  <c r="R2394" i="1"/>
  <c r="P2394" i="1"/>
  <c r="U2393" i="1"/>
  <c r="T2393" i="1"/>
  <c r="R2393" i="1"/>
  <c r="P2393" i="1"/>
  <c r="U2392" i="1"/>
  <c r="T2392" i="1"/>
  <c r="R2392" i="1"/>
  <c r="P2392" i="1"/>
  <c r="U2391" i="1"/>
  <c r="T2391" i="1"/>
  <c r="R2391" i="1"/>
  <c r="P2391" i="1"/>
  <c r="U2390" i="1"/>
  <c r="T2390" i="1"/>
  <c r="R2390" i="1"/>
  <c r="P2390" i="1"/>
  <c r="U2389" i="1"/>
  <c r="T2389" i="1"/>
  <c r="R2389" i="1"/>
  <c r="P2389" i="1"/>
  <c r="U2388" i="1"/>
  <c r="T2388" i="1"/>
  <c r="R2388" i="1"/>
  <c r="P2388" i="1"/>
  <c r="U2387" i="1"/>
  <c r="T2387" i="1"/>
  <c r="R2387" i="1"/>
  <c r="P2387" i="1"/>
  <c r="U2386" i="1"/>
  <c r="T2386" i="1"/>
  <c r="R2386" i="1"/>
  <c r="P2386" i="1"/>
  <c r="U2385" i="1"/>
  <c r="T2385" i="1"/>
  <c r="R2385" i="1"/>
  <c r="P2385" i="1"/>
  <c r="U2384" i="1"/>
  <c r="T2384" i="1"/>
  <c r="R2384" i="1"/>
  <c r="P2384" i="1"/>
  <c r="U2383" i="1"/>
  <c r="T2383" i="1"/>
  <c r="R2383" i="1"/>
  <c r="P2383" i="1"/>
  <c r="U2382" i="1"/>
  <c r="T2382" i="1"/>
  <c r="R2382" i="1"/>
  <c r="P2382" i="1"/>
  <c r="U2381" i="1"/>
  <c r="T2381" i="1"/>
  <c r="R2381" i="1"/>
  <c r="P2381" i="1"/>
  <c r="U2380" i="1"/>
  <c r="T2380" i="1"/>
  <c r="R2380" i="1"/>
  <c r="P2380" i="1"/>
  <c r="U2379" i="1"/>
  <c r="T2379" i="1"/>
  <c r="R2379" i="1"/>
  <c r="P2379" i="1"/>
  <c r="U2378" i="1"/>
  <c r="T2378" i="1"/>
  <c r="R2378" i="1"/>
  <c r="P2378" i="1"/>
  <c r="U2377" i="1"/>
  <c r="T2377" i="1"/>
  <c r="R2377" i="1"/>
  <c r="P2377" i="1"/>
  <c r="U2376" i="1"/>
  <c r="T2376" i="1"/>
  <c r="R2376" i="1"/>
  <c r="P2376" i="1"/>
  <c r="U2375" i="1"/>
  <c r="T2375" i="1"/>
  <c r="R2375" i="1"/>
  <c r="P2375" i="1"/>
  <c r="U2374" i="1"/>
  <c r="T2374" i="1"/>
  <c r="R2374" i="1"/>
  <c r="P2374" i="1"/>
  <c r="U2373" i="1"/>
  <c r="T2373" i="1"/>
  <c r="R2373" i="1"/>
  <c r="P2373" i="1"/>
  <c r="U2372" i="1"/>
  <c r="T2372" i="1"/>
  <c r="R2372" i="1"/>
  <c r="P2372" i="1"/>
  <c r="U2371" i="1"/>
  <c r="T2371" i="1"/>
  <c r="R2371" i="1"/>
  <c r="P2371" i="1"/>
  <c r="U2370" i="1"/>
  <c r="T2370" i="1"/>
  <c r="R2370" i="1"/>
  <c r="P2370" i="1"/>
  <c r="U2369" i="1"/>
  <c r="T2369" i="1"/>
  <c r="R2369" i="1"/>
  <c r="P2369" i="1"/>
  <c r="U2368" i="1"/>
  <c r="T2368" i="1"/>
  <c r="R2368" i="1"/>
  <c r="P2368" i="1"/>
  <c r="U2367" i="1"/>
  <c r="T2367" i="1"/>
  <c r="R2367" i="1"/>
  <c r="P2367" i="1"/>
  <c r="U2366" i="1"/>
  <c r="T2366" i="1"/>
  <c r="R2366" i="1"/>
  <c r="P2366" i="1"/>
  <c r="U2365" i="1"/>
  <c r="T2365" i="1"/>
  <c r="R2365" i="1"/>
  <c r="P2365" i="1"/>
  <c r="U2364" i="1"/>
  <c r="T2364" i="1"/>
  <c r="R2364" i="1"/>
  <c r="P2364" i="1"/>
  <c r="U2363" i="1"/>
  <c r="T2363" i="1"/>
  <c r="R2363" i="1"/>
  <c r="P2363" i="1"/>
  <c r="U2362" i="1"/>
  <c r="T2362" i="1"/>
  <c r="R2362" i="1"/>
  <c r="P2362" i="1"/>
  <c r="U2361" i="1"/>
  <c r="T2361" i="1"/>
  <c r="R2361" i="1"/>
  <c r="P2361" i="1"/>
  <c r="U2360" i="1"/>
  <c r="T2360" i="1"/>
  <c r="R2360" i="1"/>
  <c r="P2360" i="1"/>
  <c r="U2359" i="1"/>
  <c r="T2359" i="1"/>
  <c r="R2359" i="1"/>
  <c r="P2359" i="1"/>
  <c r="U2358" i="1"/>
  <c r="T2358" i="1"/>
  <c r="R2358" i="1"/>
  <c r="P2358" i="1"/>
  <c r="U2357" i="1"/>
  <c r="T2357" i="1"/>
  <c r="R2357" i="1"/>
  <c r="P2357" i="1"/>
  <c r="U2356" i="1"/>
  <c r="T2356" i="1"/>
  <c r="R2356" i="1"/>
  <c r="P2356" i="1"/>
  <c r="U2355" i="1"/>
  <c r="T2355" i="1"/>
  <c r="R2355" i="1"/>
  <c r="P2355" i="1"/>
  <c r="U2354" i="1"/>
  <c r="T2354" i="1"/>
  <c r="R2354" i="1"/>
  <c r="P2354" i="1"/>
  <c r="U2353" i="1"/>
  <c r="T2353" i="1"/>
  <c r="R2353" i="1"/>
  <c r="P2353" i="1"/>
  <c r="U2352" i="1"/>
  <c r="T2352" i="1"/>
  <c r="R2352" i="1"/>
  <c r="P2352" i="1"/>
  <c r="U2351" i="1"/>
  <c r="T2351" i="1"/>
  <c r="R2351" i="1"/>
  <c r="P2351" i="1"/>
  <c r="U2350" i="1"/>
  <c r="T2350" i="1"/>
  <c r="R2350" i="1"/>
  <c r="P2350" i="1"/>
  <c r="U2349" i="1"/>
  <c r="T2349" i="1"/>
  <c r="R2349" i="1"/>
  <c r="P2349" i="1"/>
  <c r="U2348" i="1"/>
  <c r="T2348" i="1"/>
  <c r="R2348" i="1"/>
  <c r="P2348" i="1"/>
  <c r="U2347" i="1"/>
  <c r="T2347" i="1"/>
  <c r="R2347" i="1"/>
  <c r="P2347" i="1"/>
  <c r="U2346" i="1"/>
  <c r="T2346" i="1"/>
  <c r="R2346" i="1"/>
  <c r="P2346" i="1"/>
  <c r="U2345" i="1"/>
  <c r="T2345" i="1"/>
  <c r="R2345" i="1"/>
  <c r="P2345" i="1"/>
  <c r="U2344" i="1"/>
  <c r="T2344" i="1"/>
  <c r="R2344" i="1"/>
  <c r="P2344" i="1"/>
  <c r="U2343" i="1"/>
  <c r="T2343" i="1"/>
  <c r="R2343" i="1"/>
  <c r="P2343" i="1"/>
  <c r="U2342" i="1"/>
  <c r="T2342" i="1"/>
  <c r="R2342" i="1"/>
  <c r="P2342" i="1"/>
  <c r="U2341" i="1"/>
  <c r="T2341" i="1"/>
  <c r="R2341" i="1"/>
  <c r="P2341" i="1"/>
  <c r="U2340" i="1"/>
  <c r="T2340" i="1"/>
  <c r="R2340" i="1"/>
  <c r="P2340" i="1"/>
  <c r="U2339" i="1"/>
  <c r="T2339" i="1"/>
  <c r="R2339" i="1"/>
  <c r="P2339" i="1"/>
  <c r="U2338" i="1"/>
  <c r="T2338" i="1"/>
  <c r="R2338" i="1"/>
  <c r="P2338" i="1"/>
  <c r="U2337" i="1"/>
  <c r="T2337" i="1"/>
  <c r="R2337" i="1"/>
  <c r="P2337" i="1"/>
  <c r="U2336" i="1"/>
  <c r="T2336" i="1"/>
  <c r="R2336" i="1"/>
  <c r="P2336" i="1"/>
  <c r="U2335" i="1"/>
  <c r="T2335" i="1"/>
  <c r="R2335" i="1"/>
  <c r="P2335" i="1"/>
  <c r="U2334" i="1"/>
  <c r="T2334" i="1"/>
  <c r="R2334" i="1"/>
  <c r="P2334" i="1"/>
  <c r="U2333" i="1"/>
  <c r="T2333" i="1"/>
  <c r="R2333" i="1"/>
  <c r="P2333" i="1"/>
  <c r="U2332" i="1"/>
  <c r="T2332" i="1"/>
  <c r="R2332" i="1"/>
  <c r="P2332" i="1"/>
  <c r="U2331" i="1"/>
  <c r="T2331" i="1"/>
  <c r="R2331" i="1"/>
  <c r="P2331" i="1"/>
  <c r="U2330" i="1"/>
  <c r="T2330" i="1"/>
  <c r="R2330" i="1"/>
  <c r="P2330" i="1"/>
  <c r="U2329" i="1"/>
  <c r="T2329" i="1"/>
  <c r="R2329" i="1"/>
  <c r="P2329" i="1"/>
  <c r="U2328" i="1"/>
  <c r="T2328" i="1"/>
  <c r="R2328" i="1"/>
  <c r="P2328" i="1"/>
  <c r="U2327" i="1"/>
  <c r="T2327" i="1"/>
  <c r="R2327" i="1"/>
  <c r="P2327" i="1"/>
  <c r="U2326" i="1"/>
  <c r="T2326" i="1"/>
  <c r="R2326" i="1"/>
  <c r="P2326" i="1"/>
  <c r="U2325" i="1"/>
  <c r="T2325" i="1"/>
  <c r="R2325" i="1"/>
  <c r="P2325" i="1"/>
  <c r="U2324" i="1"/>
  <c r="T2324" i="1"/>
  <c r="R2324" i="1"/>
  <c r="P2324" i="1"/>
  <c r="U2323" i="1"/>
  <c r="T2323" i="1"/>
  <c r="R2323" i="1"/>
  <c r="P2323" i="1"/>
  <c r="U2322" i="1"/>
  <c r="T2322" i="1"/>
  <c r="R2322" i="1"/>
  <c r="P2322" i="1"/>
  <c r="U2321" i="1"/>
  <c r="T2321" i="1"/>
  <c r="R2321" i="1"/>
  <c r="P2321" i="1"/>
  <c r="U2320" i="1"/>
  <c r="T2320" i="1"/>
  <c r="R2320" i="1"/>
  <c r="P2320" i="1"/>
  <c r="U2319" i="1"/>
  <c r="T2319" i="1"/>
  <c r="R2319" i="1"/>
  <c r="P2319" i="1"/>
  <c r="U2318" i="1"/>
  <c r="T2318" i="1"/>
  <c r="R2318" i="1"/>
  <c r="P2318" i="1"/>
  <c r="U2317" i="1"/>
  <c r="T2317" i="1"/>
  <c r="R2317" i="1"/>
  <c r="P2317" i="1"/>
  <c r="U2316" i="1"/>
  <c r="T2316" i="1"/>
  <c r="R2316" i="1"/>
  <c r="P2316" i="1"/>
  <c r="U2315" i="1"/>
  <c r="T2315" i="1"/>
  <c r="R2315" i="1"/>
  <c r="P2315" i="1"/>
  <c r="U2314" i="1"/>
  <c r="T2314" i="1"/>
  <c r="R2314" i="1"/>
  <c r="P2314" i="1"/>
  <c r="U2313" i="1"/>
  <c r="T2313" i="1"/>
  <c r="R2313" i="1"/>
  <c r="P2313" i="1"/>
  <c r="U2312" i="1"/>
  <c r="T2312" i="1"/>
  <c r="R2312" i="1"/>
  <c r="P2312" i="1"/>
  <c r="U2311" i="1"/>
  <c r="T2311" i="1"/>
  <c r="R2311" i="1"/>
  <c r="P2311" i="1"/>
  <c r="U2310" i="1"/>
  <c r="T2310" i="1"/>
  <c r="R2310" i="1"/>
  <c r="P2310" i="1"/>
  <c r="U2309" i="1"/>
  <c r="T2309" i="1"/>
  <c r="R2309" i="1"/>
  <c r="P2309" i="1"/>
  <c r="U2308" i="1"/>
  <c r="T2308" i="1"/>
  <c r="R2308" i="1"/>
  <c r="P2308" i="1"/>
  <c r="U2307" i="1"/>
  <c r="T2307" i="1"/>
  <c r="R2307" i="1"/>
  <c r="P2307" i="1"/>
  <c r="U2306" i="1"/>
  <c r="T2306" i="1"/>
  <c r="R2306" i="1"/>
  <c r="P2306" i="1"/>
  <c r="U2305" i="1"/>
  <c r="T2305" i="1"/>
  <c r="R2305" i="1"/>
  <c r="P2305" i="1"/>
  <c r="U2304" i="1"/>
  <c r="T2304" i="1"/>
  <c r="R2304" i="1"/>
  <c r="P2304" i="1"/>
  <c r="U2303" i="1"/>
  <c r="T2303" i="1"/>
  <c r="R2303" i="1"/>
  <c r="P2303" i="1"/>
  <c r="U2302" i="1"/>
  <c r="T2302" i="1"/>
  <c r="R2302" i="1"/>
  <c r="P2302" i="1"/>
  <c r="U2301" i="1"/>
  <c r="T2301" i="1"/>
  <c r="R2301" i="1"/>
  <c r="P2301" i="1"/>
  <c r="U2300" i="1"/>
  <c r="T2300" i="1"/>
  <c r="R2300" i="1"/>
  <c r="P2300" i="1"/>
  <c r="U2299" i="1"/>
  <c r="T2299" i="1"/>
  <c r="R2299" i="1"/>
  <c r="P2299" i="1"/>
  <c r="U2298" i="1"/>
  <c r="T2298" i="1"/>
  <c r="R2298" i="1"/>
  <c r="P2298" i="1"/>
  <c r="U2297" i="1"/>
  <c r="T2297" i="1"/>
  <c r="R2297" i="1"/>
  <c r="P2297" i="1"/>
  <c r="U2296" i="1"/>
  <c r="T2296" i="1"/>
  <c r="R2296" i="1"/>
  <c r="P2296" i="1"/>
  <c r="U2295" i="1"/>
  <c r="T2295" i="1"/>
  <c r="R2295" i="1"/>
  <c r="P2295" i="1"/>
  <c r="U2294" i="1"/>
  <c r="T2294" i="1"/>
  <c r="R2294" i="1"/>
  <c r="P2294" i="1"/>
  <c r="U2293" i="1"/>
  <c r="T2293" i="1"/>
  <c r="R2293" i="1"/>
  <c r="P2293" i="1"/>
  <c r="U2292" i="1"/>
  <c r="T2292" i="1"/>
  <c r="R2292" i="1"/>
  <c r="P2292" i="1"/>
  <c r="U2291" i="1"/>
  <c r="T2291" i="1"/>
  <c r="R2291" i="1"/>
  <c r="P2291" i="1"/>
  <c r="U2290" i="1"/>
  <c r="T2290" i="1"/>
  <c r="R2290" i="1"/>
  <c r="P2290" i="1"/>
  <c r="U2289" i="1"/>
  <c r="T2289" i="1"/>
  <c r="R2289" i="1"/>
  <c r="P2289" i="1"/>
  <c r="U2288" i="1"/>
  <c r="T2288" i="1"/>
  <c r="R2288" i="1"/>
  <c r="P2288" i="1"/>
  <c r="U2287" i="1"/>
  <c r="T2287" i="1"/>
  <c r="R2287" i="1"/>
  <c r="P2287" i="1"/>
  <c r="U2286" i="1"/>
  <c r="T2286" i="1"/>
  <c r="R2286" i="1"/>
  <c r="P2286" i="1"/>
  <c r="U2285" i="1"/>
  <c r="T2285" i="1"/>
  <c r="R2285" i="1"/>
  <c r="P2285" i="1"/>
  <c r="U2284" i="1"/>
  <c r="T2284" i="1"/>
  <c r="R2284" i="1"/>
  <c r="P2284" i="1"/>
  <c r="U2283" i="1"/>
  <c r="T2283" i="1"/>
  <c r="R2283" i="1"/>
  <c r="P2283" i="1"/>
  <c r="U2282" i="1"/>
  <c r="T2282" i="1"/>
  <c r="R2282" i="1"/>
  <c r="P2282" i="1"/>
  <c r="U2281" i="1"/>
  <c r="T2281" i="1"/>
  <c r="R2281" i="1"/>
  <c r="P2281" i="1"/>
  <c r="U2280" i="1"/>
  <c r="T2280" i="1"/>
  <c r="R2280" i="1"/>
  <c r="P2280" i="1"/>
  <c r="U2279" i="1"/>
  <c r="T2279" i="1"/>
  <c r="R2279" i="1"/>
  <c r="P2279" i="1"/>
  <c r="U2278" i="1"/>
  <c r="T2278" i="1"/>
  <c r="R2278" i="1"/>
  <c r="P2278" i="1"/>
  <c r="U2277" i="1"/>
  <c r="T2277" i="1"/>
  <c r="R2277" i="1"/>
  <c r="P2277" i="1"/>
  <c r="U2276" i="1"/>
  <c r="T2276" i="1"/>
  <c r="R2276" i="1"/>
  <c r="P2276" i="1"/>
  <c r="U2275" i="1"/>
  <c r="T2275" i="1"/>
  <c r="R2275" i="1"/>
  <c r="P2275" i="1"/>
  <c r="U2274" i="1"/>
  <c r="T2274" i="1"/>
  <c r="R2274" i="1"/>
  <c r="P2274" i="1"/>
  <c r="U2273" i="1"/>
  <c r="T2273" i="1"/>
  <c r="R2273" i="1"/>
  <c r="P2273" i="1"/>
  <c r="U2272" i="1"/>
  <c r="T2272" i="1"/>
  <c r="R2272" i="1"/>
  <c r="P2272" i="1"/>
  <c r="U2271" i="1"/>
  <c r="T2271" i="1"/>
  <c r="R2271" i="1"/>
  <c r="P2271" i="1"/>
  <c r="U2270" i="1"/>
  <c r="T2270" i="1"/>
  <c r="R2270" i="1"/>
  <c r="P2270" i="1"/>
  <c r="U2269" i="1"/>
  <c r="T2269" i="1"/>
  <c r="R2269" i="1"/>
  <c r="P2269" i="1"/>
  <c r="U2268" i="1"/>
  <c r="T2268" i="1"/>
  <c r="R2268" i="1"/>
  <c r="P2268" i="1"/>
  <c r="U2267" i="1"/>
  <c r="T2267" i="1"/>
  <c r="R2267" i="1"/>
  <c r="P2267" i="1"/>
  <c r="U2266" i="1"/>
  <c r="T2266" i="1"/>
  <c r="R2266" i="1"/>
  <c r="P2266" i="1"/>
  <c r="U2265" i="1"/>
  <c r="T2265" i="1"/>
  <c r="R2265" i="1"/>
  <c r="P2265" i="1"/>
  <c r="U2264" i="1"/>
  <c r="T2264" i="1"/>
  <c r="R2264" i="1"/>
  <c r="P2264" i="1"/>
  <c r="U2263" i="1"/>
  <c r="T2263" i="1"/>
  <c r="R2263" i="1"/>
  <c r="P2263" i="1"/>
  <c r="U2262" i="1"/>
  <c r="T2262" i="1"/>
  <c r="R2262" i="1"/>
  <c r="P2262" i="1"/>
  <c r="U2261" i="1"/>
  <c r="T2261" i="1"/>
  <c r="R2261" i="1"/>
  <c r="P2261" i="1"/>
  <c r="U2260" i="1"/>
  <c r="T2260" i="1"/>
  <c r="R2260" i="1"/>
  <c r="P2260" i="1"/>
  <c r="U2259" i="1"/>
  <c r="T2259" i="1"/>
  <c r="R2259" i="1"/>
  <c r="P2259" i="1"/>
  <c r="U2258" i="1"/>
  <c r="T2258" i="1"/>
  <c r="R2258" i="1"/>
  <c r="P2258" i="1"/>
  <c r="U2257" i="1"/>
  <c r="T2257" i="1"/>
  <c r="R2257" i="1"/>
  <c r="P2257" i="1"/>
  <c r="U2256" i="1"/>
  <c r="T2256" i="1"/>
  <c r="R2256" i="1"/>
  <c r="P2256" i="1"/>
  <c r="U2255" i="1"/>
  <c r="T2255" i="1"/>
  <c r="R2255" i="1"/>
  <c r="P2255" i="1"/>
  <c r="U2254" i="1"/>
  <c r="T2254" i="1"/>
  <c r="R2254" i="1"/>
  <c r="P2254" i="1"/>
  <c r="U2253" i="1"/>
  <c r="T2253" i="1"/>
  <c r="R2253" i="1"/>
  <c r="P2253" i="1"/>
  <c r="U2252" i="1"/>
  <c r="T2252" i="1"/>
  <c r="R2252" i="1"/>
  <c r="P2252" i="1"/>
  <c r="U2251" i="1"/>
  <c r="T2251" i="1"/>
  <c r="R2251" i="1"/>
  <c r="P2251" i="1"/>
  <c r="U2250" i="1"/>
  <c r="T2250" i="1"/>
  <c r="R2250" i="1"/>
  <c r="P2250" i="1"/>
  <c r="U2249" i="1"/>
  <c r="T2249" i="1"/>
  <c r="R2249" i="1"/>
  <c r="P2249" i="1"/>
  <c r="U2248" i="1"/>
  <c r="T2248" i="1"/>
  <c r="R2248" i="1"/>
  <c r="P2248" i="1"/>
  <c r="U2247" i="1"/>
  <c r="T2247" i="1"/>
  <c r="R2247" i="1"/>
  <c r="P2247" i="1"/>
  <c r="U2246" i="1"/>
  <c r="T2246" i="1"/>
  <c r="R2246" i="1"/>
  <c r="P2246" i="1"/>
  <c r="U2245" i="1"/>
  <c r="T2245" i="1"/>
  <c r="R2245" i="1"/>
  <c r="P2245" i="1"/>
  <c r="U2244" i="1"/>
  <c r="T2244" i="1"/>
  <c r="R2244" i="1"/>
  <c r="P2244" i="1"/>
  <c r="U2243" i="1"/>
  <c r="T2243" i="1"/>
  <c r="R2243" i="1"/>
  <c r="P2243" i="1"/>
  <c r="U2242" i="1"/>
  <c r="T2242" i="1"/>
  <c r="R2242" i="1"/>
  <c r="P2242" i="1"/>
  <c r="U2241" i="1"/>
  <c r="T2241" i="1"/>
  <c r="R2241" i="1"/>
  <c r="P2241" i="1"/>
  <c r="U2240" i="1"/>
  <c r="T2240" i="1"/>
  <c r="R2240" i="1"/>
  <c r="P2240" i="1"/>
  <c r="U2239" i="1"/>
  <c r="T2239" i="1"/>
  <c r="R2239" i="1"/>
  <c r="P2239" i="1"/>
  <c r="U2238" i="1"/>
  <c r="T2238" i="1"/>
  <c r="R2238" i="1"/>
  <c r="P2238" i="1"/>
  <c r="U2237" i="1"/>
  <c r="T2237" i="1"/>
  <c r="R2237" i="1"/>
  <c r="P2237" i="1"/>
  <c r="U2236" i="1"/>
  <c r="T2236" i="1"/>
  <c r="R2236" i="1"/>
  <c r="P2236" i="1"/>
  <c r="U2235" i="1"/>
  <c r="T2235" i="1"/>
  <c r="R2235" i="1"/>
  <c r="P2235" i="1"/>
  <c r="U2234" i="1"/>
  <c r="T2234" i="1"/>
  <c r="R2234" i="1"/>
  <c r="P2234" i="1"/>
  <c r="U2233" i="1"/>
  <c r="T2233" i="1"/>
  <c r="R2233" i="1"/>
  <c r="P2233" i="1"/>
  <c r="U2232" i="1"/>
  <c r="T2232" i="1"/>
  <c r="R2232" i="1"/>
  <c r="P2232" i="1"/>
  <c r="U2231" i="1"/>
  <c r="T2231" i="1"/>
  <c r="R2231" i="1"/>
  <c r="P2231" i="1"/>
  <c r="U2230" i="1"/>
  <c r="T2230" i="1"/>
  <c r="R2230" i="1"/>
  <c r="P2230" i="1"/>
  <c r="U2229" i="1"/>
  <c r="T2229" i="1"/>
  <c r="R2229" i="1"/>
  <c r="P2229" i="1"/>
  <c r="U2228" i="1"/>
  <c r="T2228" i="1"/>
  <c r="R2228" i="1"/>
  <c r="P2228" i="1"/>
  <c r="U2227" i="1"/>
  <c r="T2227" i="1"/>
  <c r="R2227" i="1"/>
  <c r="P2227" i="1"/>
  <c r="U2226" i="1"/>
  <c r="T2226" i="1"/>
  <c r="R2226" i="1"/>
  <c r="P2226" i="1"/>
  <c r="U2225" i="1"/>
  <c r="T2225" i="1"/>
  <c r="R2225" i="1"/>
  <c r="P2225" i="1"/>
  <c r="U2224" i="1"/>
  <c r="T2224" i="1"/>
  <c r="R2224" i="1"/>
  <c r="P2224" i="1"/>
  <c r="U2223" i="1"/>
  <c r="T2223" i="1"/>
  <c r="R2223" i="1"/>
  <c r="P2223" i="1"/>
  <c r="U2222" i="1"/>
  <c r="T2222" i="1"/>
  <c r="R2222" i="1"/>
  <c r="P2222" i="1"/>
  <c r="U2221" i="1"/>
  <c r="T2221" i="1"/>
  <c r="R2221" i="1"/>
  <c r="P2221" i="1"/>
  <c r="U2220" i="1"/>
  <c r="T2220" i="1"/>
  <c r="R2220" i="1"/>
  <c r="P2220" i="1"/>
  <c r="U2219" i="1"/>
  <c r="T2219" i="1"/>
  <c r="R2219" i="1"/>
  <c r="P2219" i="1"/>
  <c r="U2218" i="1"/>
  <c r="T2218" i="1"/>
  <c r="R2218" i="1"/>
  <c r="P2218" i="1"/>
  <c r="U2217" i="1"/>
  <c r="T2217" i="1"/>
  <c r="R2217" i="1"/>
  <c r="P2217" i="1"/>
  <c r="U2216" i="1"/>
  <c r="T2216" i="1"/>
  <c r="R2216" i="1"/>
  <c r="P2216" i="1"/>
  <c r="U2215" i="1"/>
  <c r="T2215" i="1"/>
  <c r="R2215" i="1"/>
  <c r="P2215" i="1"/>
  <c r="U2214" i="1"/>
  <c r="T2214" i="1"/>
  <c r="R2214" i="1"/>
  <c r="P2214" i="1"/>
  <c r="U2213" i="1"/>
  <c r="T2213" i="1"/>
  <c r="R2213" i="1"/>
  <c r="P2213" i="1"/>
  <c r="U2212" i="1"/>
  <c r="T2212" i="1"/>
  <c r="R2212" i="1"/>
  <c r="P2212" i="1"/>
  <c r="U2211" i="1"/>
  <c r="T2211" i="1"/>
  <c r="R2211" i="1"/>
  <c r="P2211" i="1"/>
  <c r="U2210" i="1"/>
  <c r="T2210" i="1"/>
  <c r="R2210" i="1"/>
  <c r="P2210" i="1"/>
  <c r="U2209" i="1"/>
  <c r="T2209" i="1"/>
  <c r="R2209" i="1"/>
  <c r="P2209" i="1"/>
  <c r="U2208" i="1"/>
  <c r="T2208" i="1"/>
  <c r="R2208" i="1"/>
  <c r="P2208" i="1"/>
  <c r="U2207" i="1"/>
  <c r="T2207" i="1"/>
  <c r="R2207" i="1"/>
  <c r="P2207" i="1"/>
  <c r="U2206" i="1"/>
  <c r="T2206" i="1"/>
  <c r="R2206" i="1"/>
  <c r="P2206" i="1"/>
  <c r="U2205" i="1"/>
  <c r="T2205" i="1"/>
  <c r="R2205" i="1"/>
  <c r="P2205" i="1"/>
  <c r="U2204" i="1"/>
  <c r="T2204" i="1"/>
  <c r="R2204" i="1"/>
  <c r="P2204" i="1"/>
  <c r="U2203" i="1"/>
  <c r="T2203" i="1"/>
  <c r="R2203" i="1"/>
  <c r="P2203" i="1"/>
  <c r="U2202" i="1"/>
  <c r="T2202" i="1"/>
  <c r="R2202" i="1"/>
  <c r="P2202" i="1"/>
  <c r="U2201" i="1"/>
  <c r="T2201" i="1"/>
  <c r="R2201" i="1"/>
  <c r="P2201" i="1"/>
  <c r="U2200" i="1"/>
  <c r="T2200" i="1"/>
  <c r="R2200" i="1"/>
  <c r="P2200" i="1"/>
  <c r="U2199" i="1"/>
  <c r="T2199" i="1"/>
  <c r="R2199" i="1"/>
  <c r="P2199" i="1"/>
  <c r="U2198" i="1"/>
  <c r="T2198" i="1"/>
  <c r="R2198" i="1"/>
  <c r="P2198" i="1"/>
  <c r="U2197" i="1"/>
  <c r="T2197" i="1"/>
  <c r="R2197" i="1"/>
  <c r="P2197" i="1"/>
  <c r="U2196" i="1"/>
  <c r="T2196" i="1"/>
  <c r="R2196" i="1"/>
  <c r="P2196" i="1"/>
  <c r="U2195" i="1"/>
  <c r="T2195" i="1"/>
  <c r="R2195" i="1"/>
  <c r="P2195" i="1"/>
  <c r="U2194" i="1"/>
  <c r="T2194" i="1"/>
  <c r="R2194" i="1"/>
  <c r="P2194" i="1"/>
  <c r="U2193" i="1"/>
  <c r="T2193" i="1"/>
  <c r="R2193" i="1"/>
  <c r="P2193" i="1"/>
  <c r="U2192" i="1"/>
  <c r="T2192" i="1"/>
  <c r="R2192" i="1"/>
  <c r="P2192" i="1"/>
  <c r="U2191" i="1"/>
  <c r="T2191" i="1"/>
  <c r="R2191" i="1"/>
  <c r="P2191" i="1"/>
  <c r="U2190" i="1"/>
  <c r="T2190" i="1"/>
  <c r="R2190" i="1"/>
  <c r="P2190" i="1"/>
  <c r="U2189" i="1"/>
  <c r="T2189" i="1"/>
  <c r="R2189" i="1"/>
  <c r="P2189" i="1"/>
  <c r="U2188" i="1"/>
  <c r="T2188" i="1"/>
  <c r="R2188" i="1"/>
  <c r="P2188" i="1"/>
  <c r="U2187" i="1"/>
  <c r="T2187" i="1"/>
  <c r="R2187" i="1"/>
  <c r="P2187" i="1"/>
  <c r="U2186" i="1"/>
  <c r="T2186" i="1"/>
  <c r="R2186" i="1"/>
  <c r="P2186" i="1"/>
  <c r="U2185" i="1"/>
  <c r="T2185" i="1"/>
  <c r="R2185" i="1"/>
  <c r="P2185" i="1"/>
  <c r="U2184" i="1"/>
  <c r="T2184" i="1"/>
  <c r="R2184" i="1"/>
  <c r="P2184" i="1"/>
  <c r="U2183" i="1"/>
  <c r="T2183" i="1"/>
  <c r="R2183" i="1"/>
  <c r="P2183" i="1"/>
  <c r="U2182" i="1"/>
  <c r="T2182" i="1"/>
  <c r="R2182" i="1"/>
  <c r="P2182" i="1"/>
  <c r="U2181" i="1"/>
  <c r="T2181" i="1"/>
  <c r="R2181" i="1"/>
  <c r="P2181" i="1"/>
  <c r="U2180" i="1"/>
  <c r="T2180" i="1"/>
  <c r="R2180" i="1"/>
  <c r="P2180" i="1"/>
  <c r="U2179" i="1"/>
  <c r="T2179" i="1"/>
  <c r="R2179" i="1"/>
  <c r="P2179" i="1"/>
  <c r="U2178" i="1"/>
  <c r="T2178" i="1"/>
  <c r="R2178" i="1"/>
  <c r="P2178" i="1"/>
  <c r="U2177" i="1"/>
  <c r="T2177" i="1"/>
  <c r="R2177" i="1"/>
  <c r="P2177" i="1"/>
  <c r="U2176" i="1"/>
  <c r="T2176" i="1"/>
  <c r="R2176" i="1"/>
  <c r="P2176" i="1"/>
  <c r="U2175" i="1"/>
  <c r="T2175" i="1"/>
  <c r="R2175" i="1"/>
  <c r="P2175" i="1"/>
  <c r="U2174" i="1"/>
  <c r="T2174" i="1"/>
  <c r="R2174" i="1"/>
  <c r="P2174" i="1"/>
  <c r="U2173" i="1"/>
  <c r="T2173" i="1"/>
  <c r="R2173" i="1"/>
  <c r="P2173" i="1"/>
  <c r="U2172" i="1"/>
  <c r="T2172" i="1"/>
  <c r="R2172" i="1"/>
  <c r="P2172" i="1"/>
  <c r="U2171" i="1"/>
  <c r="T2171" i="1"/>
  <c r="R2171" i="1"/>
  <c r="P2171" i="1"/>
  <c r="U2170" i="1"/>
  <c r="T2170" i="1"/>
  <c r="R2170" i="1"/>
  <c r="P2170" i="1"/>
  <c r="U2169" i="1"/>
  <c r="T2169" i="1"/>
  <c r="R2169" i="1"/>
  <c r="P2169" i="1"/>
  <c r="U2168" i="1"/>
  <c r="T2168" i="1"/>
  <c r="R2168" i="1"/>
  <c r="P2168" i="1"/>
  <c r="U2167" i="1"/>
  <c r="T2167" i="1"/>
  <c r="R2167" i="1"/>
  <c r="P2167" i="1"/>
  <c r="U2166" i="1"/>
  <c r="T2166" i="1"/>
  <c r="R2166" i="1"/>
  <c r="P2166" i="1"/>
  <c r="U2165" i="1"/>
  <c r="T2165" i="1"/>
  <c r="R2165" i="1"/>
  <c r="P2165" i="1"/>
  <c r="U2164" i="1"/>
  <c r="T2164" i="1"/>
  <c r="R2164" i="1"/>
  <c r="P2164" i="1"/>
  <c r="U2163" i="1"/>
  <c r="T2163" i="1"/>
  <c r="R2163" i="1"/>
  <c r="P2163" i="1"/>
  <c r="U2162" i="1"/>
  <c r="T2162" i="1"/>
  <c r="R2162" i="1"/>
  <c r="P2162" i="1"/>
  <c r="U2161" i="1"/>
  <c r="T2161" i="1"/>
  <c r="R2161" i="1"/>
  <c r="P2161" i="1"/>
  <c r="U2160" i="1"/>
  <c r="T2160" i="1"/>
  <c r="R2160" i="1"/>
  <c r="P2160" i="1"/>
  <c r="U2159" i="1"/>
  <c r="T2159" i="1"/>
  <c r="R2159" i="1"/>
  <c r="P2159" i="1"/>
  <c r="U2158" i="1"/>
  <c r="T2158" i="1"/>
  <c r="R2158" i="1"/>
  <c r="P2158" i="1"/>
  <c r="U2157" i="1"/>
  <c r="T2157" i="1"/>
  <c r="R2157" i="1"/>
  <c r="P2157" i="1"/>
  <c r="U2156" i="1"/>
  <c r="T2156" i="1"/>
  <c r="R2156" i="1"/>
  <c r="P2156" i="1"/>
  <c r="U2155" i="1"/>
  <c r="T2155" i="1"/>
  <c r="R2155" i="1"/>
  <c r="P2155" i="1"/>
  <c r="U2154" i="1"/>
  <c r="T2154" i="1"/>
  <c r="R2154" i="1"/>
  <c r="P2154" i="1"/>
  <c r="U2153" i="1"/>
  <c r="T2153" i="1"/>
  <c r="R2153" i="1"/>
  <c r="P2153" i="1"/>
  <c r="U2152" i="1"/>
  <c r="T2152" i="1"/>
  <c r="R2152" i="1"/>
  <c r="P2152" i="1"/>
  <c r="U2151" i="1"/>
  <c r="T2151" i="1"/>
  <c r="R2151" i="1"/>
  <c r="P2151" i="1"/>
  <c r="U2150" i="1"/>
  <c r="T2150" i="1"/>
  <c r="R2150" i="1"/>
  <c r="P2150" i="1"/>
  <c r="U2149" i="1"/>
  <c r="T2149" i="1"/>
  <c r="R2149" i="1"/>
  <c r="P2149" i="1"/>
  <c r="U2148" i="1"/>
  <c r="T2148" i="1"/>
  <c r="R2148" i="1"/>
  <c r="P2148" i="1"/>
  <c r="U2147" i="1"/>
  <c r="T2147" i="1"/>
  <c r="R2147" i="1"/>
  <c r="P2147" i="1"/>
  <c r="U2146" i="1"/>
  <c r="T2146" i="1"/>
  <c r="R2146" i="1"/>
  <c r="P2146" i="1"/>
  <c r="U2145" i="1"/>
  <c r="T2145" i="1"/>
  <c r="R2145" i="1"/>
  <c r="P2145" i="1"/>
  <c r="U2144" i="1"/>
  <c r="T2144" i="1"/>
  <c r="R2144" i="1"/>
  <c r="P2144" i="1"/>
  <c r="U2143" i="1"/>
  <c r="T2143" i="1"/>
  <c r="R2143" i="1"/>
  <c r="P2143" i="1"/>
  <c r="U2142" i="1"/>
  <c r="T2142" i="1"/>
  <c r="R2142" i="1"/>
  <c r="P2142" i="1"/>
  <c r="U2141" i="1"/>
  <c r="T2141" i="1"/>
  <c r="R2141" i="1"/>
  <c r="P2141" i="1"/>
  <c r="U2140" i="1"/>
  <c r="T2140" i="1"/>
  <c r="R2140" i="1"/>
  <c r="P2140" i="1"/>
  <c r="U2139" i="1"/>
  <c r="T2139" i="1"/>
  <c r="R2139" i="1"/>
  <c r="P2139" i="1"/>
  <c r="U2138" i="1"/>
  <c r="T2138" i="1"/>
  <c r="R2138" i="1"/>
  <c r="P2138" i="1"/>
  <c r="U2137" i="1"/>
  <c r="T2137" i="1"/>
  <c r="R2137" i="1"/>
  <c r="P2137" i="1"/>
  <c r="U2136" i="1"/>
  <c r="T2136" i="1"/>
  <c r="R2136" i="1"/>
  <c r="P2136" i="1"/>
  <c r="U2135" i="1"/>
  <c r="T2135" i="1"/>
  <c r="R2135" i="1"/>
  <c r="P2135" i="1"/>
  <c r="U2134" i="1"/>
  <c r="T2134" i="1"/>
  <c r="R2134" i="1"/>
  <c r="P2134" i="1"/>
  <c r="U2133" i="1"/>
  <c r="T2133" i="1"/>
  <c r="R2133" i="1"/>
  <c r="P2133" i="1"/>
  <c r="U2132" i="1"/>
  <c r="T2132" i="1"/>
  <c r="R2132" i="1"/>
  <c r="P2132" i="1"/>
  <c r="U2131" i="1"/>
  <c r="T2131" i="1"/>
  <c r="R2131" i="1"/>
  <c r="P2131" i="1"/>
  <c r="U2130" i="1"/>
  <c r="T2130" i="1"/>
  <c r="R2130" i="1"/>
  <c r="P2130" i="1"/>
  <c r="U2129" i="1"/>
  <c r="T2129" i="1"/>
  <c r="R2129" i="1"/>
  <c r="P2129" i="1"/>
  <c r="U2128" i="1"/>
  <c r="T2128" i="1"/>
  <c r="R2128" i="1"/>
  <c r="P2128" i="1"/>
  <c r="U2127" i="1"/>
  <c r="T2127" i="1"/>
  <c r="R2127" i="1"/>
  <c r="P2127" i="1"/>
  <c r="U2126" i="1"/>
  <c r="T2126" i="1"/>
  <c r="R2126" i="1"/>
  <c r="P2126" i="1"/>
  <c r="U2125" i="1"/>
  <c r="T2125" i="1"/>
  <c r="R2125" i="1"/>
  <c r="P2125" i="1"/>
  <c r="U2124" i="1"/>
  <c r="T2124" i="1"/>
  <c r="R2124" i="1"/>
  <c r="P2124" i="1"/>
  <c r="U2123" i="1"/>
  <c r="T2123" i="1"/>
  <c r="R2123" i="1"/>
  <c r="P2123" i="1"/>
  <c r="U2122" i="1"/>
  <c r="T2122" i="1"/>
  <c r="R2122" i="1"/>
  <c r="P2122" i="1"/>
  <c r="U2121" i="1"/>
  <c r="T2121" i="1"/>
  <c r="R2121" i="1"/>
  <c r="P2121" i="1"/>
  <c r="U2120" i="1"/>
  <c r="T2120" i="1"/>
  <c r="R2120" i="1"/>
  <c r="P2120" i="1"/>
  <c r="U2119" i="1"/>
  <c r="T2119" i="1"/>
  <c r="R2119" i="1"/>
  <c r="P2119" i="1"/>
  <c r="U2118" i="1"/>
  <c r="T2118" i="1"/>
  <c r="R2118" i="1"/>
  <c r="P2118" i="1"/>
  <c r="U2117" i="1"/>
  <c r="T2117" i="1"/>
  <c r="R2117" i="1"/>
  <c r="P2117" i="1"/>
  <c r="U2116" i="1"/>
  <c r="T2116" i="1"/>
  <c r="R2116" i="1"/>
  <c r="P2116" i="1"/>
  <c r="U2115" i="1"/>
  <c r="T2115" i="1"/>
  <c r="R2115" i="1"/>
  <c r="P2115" i="1"/>
  <c r="U2114" i="1"/>
  <c r="T2114" i="1"/>
  <c r="R2114" i="1"/>
  <c r="P2114" i="1"/>
  <c r="U2113" i="1"/>
  <c r="T2113" i="1"/>
  <c r="R2113" i="1"/>
  <c r="P2113" i="1"/>
  <c r="U2112" i="1"/>
  <c r="T2112" i="1"/>
  <c r="R2112" i="1"/>
  <c r="P2112" i="1"/>
  <c r="U2111" i="1"/>
  <c r="T2111" i="1"/>
  <c r="R2111" i="1"/>
  <c r="P2111" i="1"/>
  <c r="U2110" i="1"/>
  <c r="T2110" i="1"/>
  <c r="R2110" i="1"/>
  <c r="P2110" i="1"/>
  <c r="U2109" i="1"/>
  <c r="T2109" i="1"/>
  <c r="R2109" i="1"/>
  <c r="P2109" i="1"/>
  <c r="U2108" i="1"/>
  <c r="T2108" i="1"/>
  <c r="R2108" i="1"/>
  <c r="P2108" i="1"/>
  <c r="U2107" i="1"/>
  <c r="T2107" i="1"/>
  <c r="R2107" i="1"/>
  <c r="P2107" i="1"/>
  <c r="U2106" i="1"/>
  <c r="T2106" i="1"/>
  <c r="R2106" i="1"/>
  <c r="P2106" i="1"/>
  <c r="U2105" i="1"/>
  <c r="T2105" i="1"/>
  <c r="R2105" i="1"/>
  <c r="P2105" i="1"/>
  <c r="U2104" i="1"/>
  <c r="T2104" i="1"/>
  <c r="R2104" i="1"/>
  <c r="P2104" i="1"/>
  <c r="U2103" i="1"/>
  <c r="T2103" i="1"/>
  <c r="R2103" i="1"/>
  <c r="P2103" i="1"/>
  <c r="U2102" i="1"/>
  <c r="T2102" i="1"/>
  <c r="R2102" i="1"/>
  <c r="P2102" i="1"/>
  <c r="U2101" i="1"/>
  <c r="T2101" i="1"/>
  <c r="R2101" i="1"/>
  <c r="P2101" i="1"/>
  <c r="U2100" i="1"/>
  <c r="T2100" i="1"/>
  <c r="R2100" i="1"/>
  <c r="P2100" i="1"/>
  <c r="U2099" i="1"/>
  <c r="T2099" i="1"/>
  <c r="R2099" i="1"/>
  <c r="P2099" i="1"/>
  <c r="U2098" i="1"/>
  <c r="T2098" i="1"/>
  <c r="R2098" i="1"/>
  <c r="P2098" i="1"/>
  <c r="U2097" i="1"/>
  <c r="T2097" i="1"/>
  <c r="R2097" i="1"/>
  <c r="P2097" i="1"/>
  <c r="U2096" i="1"/>
  <c r="T2096" i="1"/>
  <c r="R2096" i="1"/>
  <c r="P2096" i="1"/>
  <c r="U2095" i="1"/>
  <c r="T2095" i="1"/>
  <c r="R2095" i="1"/>
  <c r="P2095" i="1"/>
  <c r="U2094" i="1"/>
  <c r="T2094" i="1"/>
  <c r="R2094" i="1"/>
  <c r="P2094" i="1"/>
  <c r="U2093" i="1"/>
  <c r="T2093" i="1"/>
  <c r="R2093" i="1"/>
  <c r="P2093" i="1"/>
  <c r="U2092" i="1"/>
  <c r="T2092" i="1"/>
  <c r="R2092" i="1"/>
  <c r="P2092" i="1"/>
  <c r="U2091" i="1"/>
  <c r="T2091" i="1"/>
  <c r="R2091" i="1"/>
  <c r="P2091" i="1"/>
  <c r="U2090" i="1"/>
  <c r="T2090" i="1"/>
  <c r="R2090" i="1"/>
  <c r="P2090" i="1"/>
  <c r="U2089" i="1"/>
  <c r="T2089" i="1"/>
  <c r="R2089" i="1"/>
  <c r="P2089" i="1"/>
  <c r="U2088" i="1"/>
  <c r="T2088" i="1"/>
  <c r="R2088" i="1"/>
  <c r="P2088" i="1"/>
  <c r="U2087" i="1"/>
  <c r="T2087" i="1"/>
  <c r="R2087" i="1"/>
  <c r="P2087" i="1"/>
  <c r="U2086" i="1"/>
  <c r="T2086" i="1"/>
  <c r="R2086" i="1"/>
  <c r="P2086" i="1"/>
  <c r="U2085" i="1"/>
  <c r="T2085" i="1"/>
  <c r="R2085" i="1"/>
  <c r="P2085" i="1"/>
  <c r="U2084" i="1"/>
  <c r="T2084" i="1"/>
  <c r="R2084" i="1"/>
  <c r="P2084" i="1"/>
  <c r="U2083" i="1"/>
  <c r="T2083" i="1"/>
  <c r="R2083" i="1"/>
  <c r="P2083" i="1"/>
  <c r="U2082" i="1"/>
  <c r="T2082" i="1"/>
  <c r="R2082" i="1"/>
  <c r="P2082" i="1"/>
  <c r="U2081" i="1"/>
  <c r="T2081" i="1"/>
  <c r="R2081" i="1"/>
  <c r="P2081" i="1"/>
  <c r="U2080" i="1"/>
  <c r="T2080" i="1"/>
  <c r="R2080" i="1"/>
  <c r="P2080" i="1"/>
  <c r="U2079" i="1"/>
  <c r="T2079" i="1"/>
  <c r="R2079" i="1"/>
  <c r="P2079" i="1"/>
  <c r="U2078" i="1"/>
  <c r="T2078" i="1"/>
  <c r="R2078" i="1"/>
  <c r="P2078" i="1"/>
  <c r="U2077" i="1"/>
  <c r="T2077" i="1"/>
  <c r="R2077" i="1"/>
  <c r="P2077" i="1"/>
  <c r="U2076" i="1"/>
  <c r="T2076" i="1"/>
  <c r="R2076" i="1"/>
  <c r="P2076" i="1"/>
  <c r="U2075" i="1"/>
  <c r="T2075" i="1"/>
  <c r="R2075" i="1"/>
  <c r="P2075" i="1"/>
  <c r="U2074" i="1"/>
  <c r="T2074" i="1"/>
  <c r="R2074" i="1"/>
  <c r="P2074" i="1"/>
  <c r="U2073" i="1"/>
  <c r="T2073" i="1"/>
  <c r="R2073" i="1"/>
  <c r="P2073" i="1"/>
  <c r="U2072" i="1"/>
  <c r="T2072" i="1"/>
  <c r="R2072" i="1"/>
  <c r="P2072" i="1"/>
  <c r="U2071" i="1"/>
  <c r="T2071" i="1"/>
  <c r="R2071" i="1"/>
  <c r="P2071" i="1"/>
  <c r="U2070" i="1"/>
  <c r="T2070" i="1"/>
  <c r="R2070" i="1"/>
  <c r="P2070" i="1"/>
  <c r="U2069" i="1"/>
  <c r="T2069" i="1"/>
  <c r="R2069" i="1"/>
  <c r="P2069" i="1"/>
  <c r="U2068" i="1"/>
  <c r="T2068" i="1"/>
  <c r="R2068" i="1"/>
  <c r="P2068" i="1"/>
  <c r="U2067" i="1"/>
  <c r="T2067" i="1"/>
  <c r="R2067" i="1"/>
  <c r="P2067" i="1"/>
  <c r="U2066" i="1"/>
  <c r="T2066" i="1"/>
  <c r="R2066" i="1"/>
  <c r="P2066" i="1"/>
  <c r="U2065" i="1"/>
  <c r="T2065" i="1"/>
  <c r="R2065" i="1"/>
  <c r="P2065" i="1"/>
  <c r="U2064" i="1"/>
  <c r="T2064" i="1"/>
  <c r="R2064" i="1"/>
  <c r="P2064" i="1"/>
  <c r="U2063" i="1"/>
  <c r="T2063" i="1"/>
  <c r="R2063" i="1"/>
  <c r="P2063" i="1"/>
  <c r="U2062" i="1"/>
  <c r="T2062" i="1"/>
  <c r="R2062" i="1"/>
  <c r="P2062" i="1"/>
  <c r="U2061" i="1"/>
  <c r="T2061" i="1"/>
  <c r="R2061" i="1"/>
  <c r="P2061" i="1"/>
  <c r="U2060" i="1"/>
  <c r="T2060" i="1"/>
  <c r="R2060" i="1"/>
  <c r="P2060" i="1"/>
  <c r="U2059" i="1"/>
  <c r="T2059" i="1"/>
  <c r="R2059" i="1"/>
  <c r="P2059" i="1"/>
  <c r="U2058" i="1"/>
  <c r="T2058" i="1"/>
  <c r="R2058" i="1"/>
  <c r="P2058" i="1"/>
  <c r="U2057" i="1"/>
  <c r="T2057" i="1"/>
  <c r="R2057" i="1"/>
  <c r="P2057" i="1"/>
  <c r="U2056" i="1"/>
  <c r="T2056" i="1"/>
  <c r="R2056" i="1"/>
  <c r="P2056" i="1"/>
  <c r="U2055" i="1"/>
  <c r="T2055" i="1"/>
  <c r="R2055" i="1"/>
  <c r="P2055" i="1"/>
  <c r="U2054" i="1"/>
  <c r="T2054" i="1"/>
  <c r="R2054" i="1"/>
  <c r="P2054" i="1"/>
  <c r="U2053" i="1"/>
  <c r="T2053" i="1"/>
  <c r="R2053" i="1"/>
  <c r="P2053" i="1"/>
  <c r="U2052" i="1"/>
  <c r="T2052" i="1"/>
  <c r="R2052" i="1"/>
  <c r="P2052" i="1"/>
  <c r="U2051" i="1"/>
  <c r="T2051" i="1"/>
  <c r="R2051" i="1"/>
  <c r="P2051" i="1"/>
  <c r="U2050" i="1"/>
  <c r="T2050" i="1"/>
  <c r="R2050" i="1"/>
  <c r="P2050" i="1"/>
  <c r="U2049" i="1"/>
  <c r="T2049" i="1"/>
  <c r="R2049" i="1"/>
  <c r="P2049" i="1"/>
  <c r="U2048" i="1"/>
  <c r="T2048" i="1"/>
  <c r="R2048" i="1"/>
  <c r="P2048" i="1"/>
  <c r="U2047" i="1"/>
  <c r="T2047" i="1"/>
  <c r="R2047" i="1"/>
  <c r="P2047" i="1"/>
  <c r="U2046" i="1"/>
  <c r="T2046" i="1"/>
  <c r="R2046" i="1"/>
  <c r="P2046" i="1"/>
  <c r="U2045" i="1"/>
  <c r="T2045" i="1"/>
  <c r="R2045" i="1"/>
  <c r="P2045" i="1"/>
  <c r="U2044" i="1"/>
  <c r="T2044" i="1"/>
  <c r="R2044" i="1"/>
  <c r="P2044" i="1"/>
  <c r="U2043" i="1"/>
  <c r="T2043" i="1"/>
  <c r="R2043" i="1"/>
  <c r="P2043" i="1"/>
  <c r="U2042" i="1"/>
  <c r="T2042" i="1"/>
  <c r="R2042" i="1"/>
  <c r="P2042" i="1"/>
  <c r="U2041" i="1"/>
  <c r="T2041" i="1"/>
  <c r="R2041" i="1"/>
  <c r="P2041" i="1"/>
  <c r="U2040" i="1"/>
  <c r="T2040" i="1"/>
  <c r="R2040" i="1"/>
  <c r="P2040" i="1"/>
  <c r="U2039" i="1"/>
  <c r="T2039" i="1"/>
  <c r="R2039" i="1"/>
  <c r="P2039" i="1"/>
  <c r="U2038" i="1"/>
  <c r="T2038" i="1"/>
  <c r="R2038" i="1"/>
  <c r="P2038" i="1"/>
  <c r="U2037" i="1"/>
  <c r="T2037" i="1"/>
  <c r="R2037" i="1"/>
  <c r="P2037" i="1"/>
  <c r="U2036" i="1"/>
  <c r="T2036" i="1"/>
  <c r="R2036" i="1"/>
  <c r="P2036" i="1"/>
  <c r="U2035" i="1"/>
  <c r="T2035" i="1"/>
  <c r="R2035" i="1"/>
  <c r="P2035" i="1"/>
  <c r="U2034" i="1"/>
  <c r="T2034" i="1"/>
  <c r="R2034" i="1"/>
  <c r="P2034" i="1"/>
  <c r="U2033" i="1"/>
  <c r="T2033" i="1"/>
  <c r="R2033" i="1"/>
  <c r="P2033" i="1"/>
  <c r="U2032" i="1"/>
  <c r="T2032" i="1"/>
  <c r="R2032" i="1"/>
  <c r="P2032" i="1"/>
  <c r="U2031" i="1"/>
  <c r="T2031" i="1"/>
  <c r="R2031" i="1"/>
  <c r="P2031" i="1"/>
  <c r="U2030" i="1"/>
  <c r="T2030" i="1"/>
  <c r="R2030" i="1"/>
  <c r="P2030" i="1"/>
  <c r="U2029" i="1"/>
  <c r="T2029" i="1"/>
  <c r="R2029" i="1"/>
  <c r="P2029" i="1"/>
  <c r="U2028" i="1"/>
  <c r="T2028" i="1"/>
  <c r="R2028" i="1"/>
  <c r="P2028" i="1"/>
  <c r="U2027" i="1"/>
  <c r="T2027" i="1"/>
  <c r="R2027" i="1"/>
  <c r="P2027" i="1"/>
  <c r="U2026" i="1"/>
  <c r="T2026" i="1"/>
  <c r="R2026" i="1"/>
  <c r="P2026" i="1"/>
  <c r="U2025" i="1"/>
  <c r="T2025" i="1"/>
  <c r="R2025" i="1"/>
  <c r="P2025" i="1"/>
  <c r="U2024" i="1"/>
  <c r="T2024" i="1"/>
  <c r="R2024" i="1"/>
  <c r="P2024" i="1"/>
  <c r="U2023" i="1"/>
  <c r="T2023" i="1"/>
  <c r="R2023" i="1"/>
  <c r="P2023" i="1"/>
  <c r="U2022" i="1"/>
  <c r="T2022" i="1"/>
  <c r="R2022" i="1"/>
  <c r="P2022" i="1"/>
  <c r="U2021" i="1"/>
  <c r="T2021" i="1"/>
  <c r="R2021" i="1"/>
  <c r="P2021" i="1"/>
  <c r="U2020" i="1"/>
  <c r="T2020" i="1"/>
  <c r="R2020" i="1"/>
  <c r="P2020" i="1"/>
  <c r="U2019" i="1"/>
  <c r="T2019" i="1"/>
  <c r="R2019" i="1"/>
  <c r="P2019" i="1"/>
  <c r="U2018" i="1"/>
  <c r="T2018" i="1"/>
  <c r="R2018" i="1"/>
  <c r="P2018" i="1"/>
  <c r="U2017" i="1"/>
  <c r="T2017" i="1"/>
  <c r="R2017" i="1"/>
  <c r="P2017" i="1"/>
  <c r="U2016" i="1"/>
  <c r="T2016" i="1"/>
  <c r="R2016" i="1"/>
  <c r="P2016" i="1"/>
  <c r="U2015" i="1"/>
  <c r="T2015" i="1"/>
  <c r="R2015" i="1"/>
  <c r="P2015" i="1"/>
  <c r="U2014" i="1"/>
  <c r="T2014" i="1"/>
  <c r="R2014" i="1"/>
  <c r="P2014" i="1"/>
  <c r="U2013" i="1"/>
  <c r="T2013" i="1"/>
  <c r="R2013" i="1"/>
  <c r="P2013" i="1"/>
  <c r="U2012" i="1"/>
  <c r="T2012" i="1"/>
  <c r="R2012" i="1"/>
  <c r="P2012" i="1"/>
  <c r="U2011" i="1"/>
  <c r="T2011" i="1"/>
  <c r="R2011" i="1"/>
  <c r="P2011" i="1"/>
  <c r="U2010" i="1"/>
  <c r="T2010" i="1"/>
  <c r="R2010" i="1"/>
  <c r="P2010" i="1"/>
  <c r="U2009" i="1"/>
  <c r="T2009" i="1"/>
  <c r="R2009" i="1"/>
  <c r="P2009" i="1"/>
  <c r="U2008" i="1"/>
  <c r="T2008" i="1"/>
  <c r="R2008" i="1"/>
  <c r="P2008" i="1"/>
  <c r="U2007" i="1"/>
  <c r="T2007" i="1"/>
  <c r="R2007" i="1"/>
  <c r="P2007" i="1"/>
  <c r="U2006" i="1"/>
  <c r="T2006" i="1"/>
  <c r="R2006" i="1"/>
  <c r="P2006" i="1"/>
  <c r="U2005" i="1"/>
  <c r="T2005" i="1"/>
  <c r="R2005" i="1"/>
  <c r="P2005" i="1"/>
  <c r="U2004" i="1"/>
  <c r="T2004" i="1"/>
  <c r="R2004" i="1"/>
  <c r="P2004" i="1"/>
  <c r="U2003" i="1"/>
  <c r="T2003" i="1"/>
  <c r="R2003" i="1"/>
  <c r="P2003" i="1"/>
  <c r="U2002" i="1"/>
  <c r="T2002" i="1"/>
  <c r="R2002" i="1"/>
  <c r="P2002" i="1"/>
  <c r="U2001" i="1"/>
  <c r="T2001" i="1"/>
  <c r="R2001" i="1"/>
  <c r="P2001" i="1"/>
  <c r="U2000" i="1"/>
  <c r="T2000" i="1"/>
  <c r="R2000" i="1"/>
  <c r="P2000" i="1"/>
  <c r="U1999" i="1"/>
  <c r="T1999" i="1"/>
  <c r="R1999" i="1"/>
  <c r="P1999" i="1"/>
  <c r="U1998" i="1"/>
  <c r="T1998" i="1"/>
  <c r="R1998" i="1"/>
  <c r="P1998" i="1"/>
  <c r="U1997" i="1"/>
  <c r="T1997" i="1"/>
  <c r="R1997" i="1"/>
  <c r="P1997" i="1"/>
  <c r="U1996" i="1"/>
  <c r="T1996" i="1"/>
  <c r="R1996" i="1"/>
  <c r="P1996" i="1"/>
  <c r="U1995" i="1"/>
  <c r="T1995" i="1"/>
  <c r="R1995" i="1"/>
  <c r="P1995" i="1"/>
  <c r="U1994" i="1"/>
  <c r="T1994" i="1"/>
  <c r="R1994" i="1"/>
  <c r="P1994" i="1"/>
  <c r="U1993" i="1"/>
  <c r="T1993" i="1"/>
  <c r="R1993" i="1"/>
  <c r="P1993" i="1"/>
  <c r="U1992" i="1"/>
  <c r="T1992" i="1"/>
  <c r="R1992" i="1"/>
  <c r="P1992" i="1"/>
  <c r="U1991" i="1"/>
  <c r="T1991" i="1"/>
  <c r="R1991" i="1"/>
  <c r="P1991" i="1"/>
  <c r="U1990" i="1"/>
  <c r="T1990" i="1"/>
  <c r="R1990" i="1"/>
  <c r="P1990" i="1"/>
  <c r="U1989" i="1"/>
  <c r="T1989" i="1"/>
  <c r="R1989" i="1"/>
  <c r="P1989" i="1"/>
  <c r="U1988" i="1"/>
  <c r="T1988" i="1"/>
  <c r="R1988" i="1"/>
  <c r="P1988" i="1"/>
  <c r="U1987" i="1"/>
  <c r="T1987" i="1"/>
  <c r="R1987" i="1"/>
  <c r="P1987" i="1"/>
  <c r="U1986" i="1"/>
  <c r="T1986" i="1"/>
  <c r="R1986" i="1"/>
  <c r="P1986" i="1"/>
  <c r="U1985" i="1"/>
  <c r="T1985" i="1"/>
  <c r="R1985" i="1"/>
  <c r="P1985" i="1"/>
  <c r="U1984" i="1"/>
  <c r="T1984" i="1"/>
  <c r="R1984" i="1"/>
  <c r="P1984" i="1"/>
  <c r="U1983" i="1"/>
  <c r="T1983" i="1"/>
  <c r="R1983" i="1"/>
  <c r="P1983" i="1"/>
  <c r="U1982" i="1"/>
  <c r="T1982" i="1"/>
  <c r="R1982" i="1"/>
  <c r="P1982" i="1"/>
  <c r="U1981" i="1"/>
  <c r="T1981" i="1"/>
  <c r="R1981" i="1"/>
  <c r="P1981" i="1"/>
  <c r="U1980" i="1"/>
  <c r="T1980" i="1"/>
  <c r="R1980" i="1"/>
  <c r="P1980" i="1"/>
  <c r="U1979" i="1"/>
  <c r="T1979" i="1"/>
  <c r="R1979" i="1"/>
  <c r="P1979" i="1"/>
  <c r="U1978" i="1"/>
  <c r="T1978" i="1"/>
  <c r="R1978" i="1"/>
  <c r="P1978" i="1"/>
  <c r="U1977" i="1"/>
  <c r="T1977" i="1"/>
  <c r="R1977" i="1"/>
  <c r="P1977" i="1"/>
  <c r="U1976" i="1"/>
  <c r="T1976" i="1"/>
  <c r="R1976" i="1"/>
  <c r="P1976" i="1"/>
  <c r="U1975" i="1"/>
  <c r="T1975" i="1"/>
  <c r="R1975" i="1"/>
  <c r="P1975" i="1"/>
  <c r="U1974" i="1"/>
  <c r="T1974" i="1"/>
  <c r="R1974" i="1"/>
  <c r="P1974" i="1"/>
  <c r="U1973" i="1"/>
  <c r="T1973" i="1"/>
  <c r="R1973" i="1"/>
  <c r="P1973" i="1"/>
  <c r="U1972" i="1"/>
  <c r="T1972" i="1"/>
  <c r="R1972" i="1"/>
  <c r="P1972" i="1"/>
  <c r="U1971" i="1"/>
  <c r="T1971" i="1"/>
  <c r="R1971" i="1"/>
  <c r="P1971" i="1"/>
  <c r="U1970" i="1"/>
  <c r="T1970" i="1"/>
  <c r="R1970" i="1"/>
  <c r="P1970" i="1"/>
  <c r="U1969" i="1"/>
  <c r="T1969" i="1"/>
  <c r="R1969" i="1"/>
  <c r="P1969" i="1"/>
  <c r="U1968" i="1"/>
  <c r="T1968" i="1"/>
  <c r="R1968" i="1"/>
  <c r="P1968" i="1"/>
  <c r="U1967" i="1"/>
  <c r="T1967" i="1"/>
  <c r="R1967" i="1"/>
  <c r="P1967" i="1"/>
  <c r="U1966" i="1"/>
  <c r="T1966" i="1"/>
  <c r="R1966" i="1"/>
  <c r="P1966" i="1"/>
  <c r="U1965" i="1"/>
  <c r="T1965" i="1"/>
  <c r="R1965" i="1"/>
  <c r="P1965" i="1"/>
  <c r="U1964" i="1"/>
  <c r="T1964" i="1"/>
  <c r="R1964" i="1"/>
  <c r="P1964" i="1"/>
  <c r="U1963" i="1"/>
  <c r="T1963" i="1"/>
  <c r="R1963" i="1"/>
  <c r="P1963" i="1"/>
  <c r="U1962" i="1"/>
  <c r="T1962" i="1"/>
  <c r="R1962" i="1"/>
  <c r="P1962" i="1"/>
  <c r="U1961" i="1"/>
  <c r="T1961" i="1"/>
  <c r="R1961" i="1"/>
  <c r="P1961" i="1"/>
  <c r="U1960" i="1"/>
  <c r="T1960" i="1"/>
  <c r="R1960" i="1"/>
  <c r="P1960" i="1"/>
  <c r="U1959" i="1"/>
  <c r="T1959" i="1"/>
  <c r="R1959" i="1"/>
  <c r="P1959" i="1"/>
  <c r="U1958" i="1"/>
  <c r="T1958" i="1"/>
  <c r="R1958" i="1"/>
  <c r="P1958" i="1"/>
  <c r="U1957" i="1"/>
  <c r="T1957" i="1"/>
  <c r="R1957" i="1"/>
  <c r="P1957" i="1"/>
  <c r="U1956" i="1"/>
  <c r="T1956" i="1"/>
  <c r="R1956" i="1"/>
  <c r="P1956" i="1"/>
  <c r="U1955" i="1"/>
  <c r="T1955" i="1"/>
  <c r="R1955" i="1"/>
  <c r="P1955" i="1"/>
  <c r="U1954" i="1"/>
  <c r="T1954" i="1"/>
  <c r="R1954" i="1"/>
  <c r="P1954" i="1"/>
  <c r="U1953" i="1"/>
  <c r="T1953" i="1"/>
  <c r="R1953" i="1"/>
  <c r="P1953" i="1"/>
  <c r="U1952" i="1"/>
  <c r="T1952" i="1"/>
  <c r="R1952" i="1"/>
  <c r="P1952" i="1"/>
  <c r="U1951" i="1"/>
  <c r="T1951" i="1"/>
  <c r="R1951" i="1"/>
  <c r="P1951" i="1"/>
  <c r="U1950" i="1"/>
  <c r="T1950" i="1"/>
  <c r="R1950" i="1"/>
  <c r="P1950" i="1"/>
  <c r="U1949" i="1"/>
  <c r="T1949" i="1"/>
  <c r="R1949" i="1"/>
  <c r="P1949" i="1"/>
  <c r="U1948" i="1"/>
  <c r="T1948" i="1"/>
  <c r="R1948" i="1"/>
  <c r="P1948" i="1"/>
  <c r="U1947" i="1"/>
  <c r="T1947" i="1"/>
  <c r="R1947" i="1"/>
  <c r="P1947" i="1"/>
  <c r="U1946" i="1"/>
  <c r="T1946" i="1"/>
  <c r="R1946" i="1"/>
  <c r="P1946" i="1"/>
  <c r="U1945" i="1"/>
  <c r="T1945" i="1"/>
  <c r="R1945" i="1"/>
  <c r="P1945" i="1"/>
  <c r="U1944" i="1"/>
  <c r="T1944" i="1"/>
  <c r="R1944" i="1"/>
  <c r="P1944" i="1"/>
  <c r="U1943" i="1"/>
  <c r="T1943" i="1"/>
  <c r="R1943" i="1"/>
  <c r="P1943" i="1"/>
  <c r="U1942" i="1"/>
  <c r="T1942" i="1"/>
  <c r="R1942" i="1"/>
  <c r="P1942" i="1"/>
  <c r="U1941" i="1"/>
  <c r="T1941" i="1"/>
  <c r="R1941" i="1"/>
  <c r="P1941" i="1"/>
  <c r="U1940" i="1"/>
  <c r="T1940" i="1"/>
  <c r="R1940" i="1"/>
  <c r="P1940" i="1"/>
  <c r="U1939" i="1"/>
  <c r="T1939" i="1"/>
  <c r="R1939" i="1"/>
  <c r="P1939" i="1"/>
  <c r="U1938" i="1"/>
  <c r="T1938" i="1"/>
  <c r="R1938" i="1"/>
  <c r="P1938" i="1"/>
  <c r="U1937" i="1"/>
  <c r="T1937" i="1"/>
  <c r="R1937" i="1"/>
  <c r="P1937" i="1"/>
  <c r="U1936" i="1"/>
  <c r="T1936" i="1"/>
  <c r="R1936" i="1"/>
  <c r="P1936" i="1"/>
  <c r="U1935" i="1"/>
  <c r="T1935" i="1"/>
  <c r="R1935" i="1"/>
  <c r="P1935" i="1"/>
  <c r="U1934" i="1"/>
  <c r="T1934" i="1"/>
  <c r="R1934" i="1"/>
  <c r="P1934" i="1"/>
  <c r="U1933" i="1"/>
  <c r="T1933" i="1"/>
  <c r="R1933" i="1"/>
  <c r="P1933" i="1"/>
  <c r="U1932" i="1"/>
  <c r="T1932" i="1"/>
  <c r="R1932" i="1"/>
  <c r="P1932" i="1"/>
  <c r="U1931" i="1"/>
  <c r="T1931" i="1"/>
  <c r="R1931" i="1"/>
  <c r="P1931" i="1"/>
  <c r="U1930" i="1"/>
  <c r="T1930" i="1"/>
  <c r="R1930" i="1"/>
  <c r="P1930" i="1"/>
  <c r="U1929" i="1"/>
  <c r="T1929" i="1"/>
  <c r="R1929" i="1"/>
  <c r="P1929" i="1"/>
  <c r="U1928" i="1"/>
  <c r="T1928" i="1"/>
  <c r="R1928" i="1"/>
  <c r="P1928" i="1"/>
  <c r="U1927" i="1"/>
  <c r="T1927" i="1"/>
  <c r="R1927" i="1"/>
  <c r="P1927" i="1"/>
  <c r="U1926" i="1"/>
  <c r="T1926" i="1"/>
  <c r="R1926" i="1"/>
  <c r="P1926" i="1"/>
  <c r="U1925" i="1"/>
  <c r="T1925" i="1"/>
  <c r="R1925" i="1"/>
  <c r="P1925" i="1"/>
  <c r="U1924" i="1"/>
  <c r="T1924" i="1"/>
  <c r="R1924" i="1"/>
  <c r="P1924" i="1"/>
  <c r="U1923" i="1"/>
  <c r="T1923" i="1"/>
  <c r="R1923" i="1"/>
  <c r="P1923" i="1"/>
  <c r="U1922" i="1"/>
  <c r="T1922" i="1"/>
  <c r="R1922" i="1"/>
  <c r="P1922" i="1"/>
  <c r="U1921" i="1"/>
  <c r="T1921" i="1"/>
  <c r="R1921" i="1"/>
  <c r="P1921" i="1"/>
  <c r="U1920" i="1"/>
  <c r="T1920" i="1"/>
  <c r="R1920" i="1"/>
  <c r="P1920" i="1"/>
  <c r="U1919" i="1"/>
  <c r="T1919" i="1"/>
  <c r="R1919" i="1"/>
  <c r="P1919" i="1"/>
  <c r="U1918" i="1"/>
  <c r="T1918" i="1"/>
  <c r="R1918" i="1"/>
  <c r="P1918" i="1"/>
  <c r="U1917" i="1"/>
  <c r="T1917" i="1"/>
  <c r="R1917" i="1"/>
  <c r="P1917" i="1"/>
  <c r="U1916" i="1"/>
  <c r="T1916" i="1"/>
  <c r="R1916" i="1"/>
  <c r="P1916" i="1"/>
  <c r="U1915" i="1"/>
  <c r="T1915" i="1"/>
  <c r="R1915" i="1"/>
  <c r="P1915" i="1"/>
  <c r="U1914" i="1"/>
  <c r="T1914" i="1"/>
  <c r="R1914" i="1"/>
  <c r="P1914" i="1"/>
  <c r="U1913" i="1"/>
  <c r="T1913" i="1"/>
  <c r="R1913" i="1"/>
  <c r="P1913" i="1"/>
  <c r="U1912" i="1"/>
  <c r="T1912" i="1"/>
  <c r="R1912" i="1"/>
  <c r="P1912" i="1"/>
  <c r="U1911" i="1"/>
  <c r="T1911" i="1"/>
  <c r="R1911" i="1"/>
  <c r="P1911" i="1"/>
  <c r="U1910" i="1"/>
  <c r="T1910" i="1"/>
  <c r="R1910" i="1"/>
  <c r="P1910" i="1"/>
  <c r="U1909" i="1"/>
  <c r="T1909" i="1"/>
  <c r="R1909" i="1"/>
  <c r="P1909" i="1"/>
  <c r="U1908" i="1"/>
  <c r="T1908" i="1"/>
  <c r="R1908" i="1"/>
  <c r="P1908" i="1"/>
  <c r="U1907" i="1"/>
  <c r="T1907" i="1"/>
  <c r="R1907" i="1"/>
  <c r="P1907" i="1"/>
  <c r="U1906" i="1"/>
  <c r="T1906" i="1"/>
  <c r="R1906" i="1"/>
  <c r="P1906" i="1"/>
  <c r="U1905" i="1"/>
  <c r="T1905" i="1"/>
  <c r="R1905" i="1"/>
  <c r="P1905" i="1"/>
  <c r="U1904" i="1"/>
  <c r="T1904" i="1"/>
  <c r="R1904" i="1"/>
  <c r="P1904" i="1"/>
  <c r="U1903" i="1"/>
  <c r="T1903" i="1"/>
  <c r="R1903" i="1"/>
  <c r="P1903" i="1"/>
  <c r="U1902" i="1"/>
  <c r="T1902" i="1"/>
  <c r="R1902" i="1"/>
  <c r="P1902" i="1"/>
  <c r="U1901" i="1"/>
  <c r="T1901" i="1"/>
  <c r="R1901" i="1"/>
  <c r="P1901" i="1"/>
  <c r="U1900" i="1"/>
  <c r="T1900" i="1"/>
  <c r="R1900" i="1"/>
  <c r="P1900" i="1"/>
  <c r="U1899" i="1"/>
  <c r="T1899" i="1"/>
  <c r="R1899" i="1"/>
  <c r="P1899" i="1"/>
  <c r="U1898" i="1"/>
  <c r="T1898" i="1"/>
  <c r="R1898" i="1"/>
  <c r="P1898" i="1"/>
  <c r="U1897" i="1"/>
  <c r="T1897" i="1"/>
  <c r="R1897" i="1"/>
  <c r="P1897" i="1"/>
  <c r="U1896" i="1"/>
  <c r="T1896" i="1"/>
  <c r="R1896" i="1"/>
  <c r="P1896" i="1"/>
  <c r="U1895" i="1"/>
  <c r="T1895" i="1"/>
  <c r="R1895" i="1"/>
  <c r="P1895" i="1"/>
  <c r="U1894" i="1"/>
  <c r="T1894" i="1"/>
  <c r="R1894" i="1"/>
  <c r="P1894" i="1"/>
  <c r="U1893" i="1"/>
  <c r="T1893" i="1"/>
  <c r="R1893" i="1"/>
  <c r="P1893" i="1"/>
  <c r="U1892" i="1"/>
  <c r="T1892" i="1"/>
  <c r="R1892" i="1"/>
  <c r="P1892" i="1"/>
  <c r="U1891" i="1"/>
  <c r="T1891" i="1"/>
  <c r="R1891" i="1"/>
  <c r="P1891" i="1"/>
  <c r="U1890" i="1"/>
  <c r="T1890" i="1"/>
  <c r="R1890" i="1"/>
  <c r="P1890" i="1"/>
  <c r="U1889" i="1"/>
  <c r="T1889" i="1"/>
  <c r="R1889" i="1"/>
  <c r="P1889" i="1"/>
  <c r="U1888" i="1"/>
  <c r="T1888" i="1"/>
  <c r="R1888" i="1"/>
  <c r="P1888" i="1"/>
  <c r="U1887" i="1"/>
  <c r="T1887" i="1"/>
  <c r="R1887" i="1"/>
  <c r="P1887" i="1"/>
  <c r="U1886" i="1"/>
  <c r="T1886" i="1"/>
  <c r="R1886" i="1"/>
  <c r="P1886" i="1"/>
  <c r="U1885" i="1"/>
  <c r="T1885" i="1"/>
  <c r="R1885" i="1"/>
  <c r="P1885" i="1"/>
  <c r="U1884" i="1"/>
  <c r="T1884" i="1"/>
  <c r="R1884" i="1"/>
  <c r="P1884" i="1"/>
  <c r="U1883" i="1"/>
  <c r="T1883" i="1"/>
  <c r="R1883" i="1"/>
  <c r="P1883" i="1"/>
  <c r="U1882" i="1"/>
  <c r="T1882" i="1"/>
  <c r="R1882" i="1"/>
  <c r="P1882" i="1"/>
  <c r="U1881" i="1"/>
  <c r="T1881" i="1"/>
  <c r="R1881" i="1"/>
  <c r="P1881" i="1"/>
  <c r="U1880" i="1"/>
  <c r="T1880" i="1"/>
  <c r="R1880" i="1"/>
  <c r="P1880" i="1"/>
  <c r="U1879" i="1"/>
  <c r="T1879" i="1"/>
  <c r="R1879" i="1"/>
  <c r="P1879" i="1"/>
  <c r="U1878" i="1"/>
  <c r="T1878" i="1"/>
  <c r="R1878" i="1"/>
  <c r="P1878" i="1"/>
  <c r="U1877" i="1"/>
  <c r="T1877" i="1"/>
  <c r="R1877" i="1"/>
  <c r="P1877" i="1"/>
  <c r="U1876" i="1"/>
  <c r="T1876" i="1"/>
  <c r="R1876" i="1"/>
  <c r="P1876" i="1"/>
  <c r="U1875" i="1"/>
  <c r="T1875" i="1"/>
  <c r="R1875" i="1"/>
  <c r="P1875" i="1"/>
  <c r="U1874" i="1"/>
  <c r="T1874" i="1"/>
  <c r="R1874" i="1"/>
  <c r="P1874" i="1"/>
  <c r="U1873" i="1"/>
  <c r="T1873" i="1"/>
  <c r="R1873" i="1"/>
  <c r="P1873" i="1"/>
  <c r="U1872" i="1"/>
  <c r="T1872" i="1"/>
  <c r="R1872" i="1"/>
  <c r="P1872" i="1"/>
  <c r="U1871" i="1"/>
  <c r="T1871" i="1"/>
  <c r="R1871" i="1"/>
  <c r="P1871" i="1"/>
  <c r="U1870" i="1"/>
  <c r="T1870" i="1"/>
  <c r="R1870" i="1"/>
  <c r="P1870" i="1"/>
  <c r="U1869" i="1"/>
  <c r="T1869" i="1"/>
  <c r="R1869" i="1"/>
  <c r="P1869" i="1"/>
  <c r="U1868" i="1"/>
  <c r="T1868" i="1"/>
  <c r="R1868" i="1"/>
  <c r="P1868" i="1"/>
  <c r="U1867" i="1"/>
  <c r="T1867" i="1"/>
  <c r="R1867" i="1"/>
  <c r="P1867" i="1"/>
  <c r="U1866" i="1"/>
  <c r="T1866" i="1"/>
  <c r="R1866" i="1"/>
  <c r="P1866" i="1"/>
  <c r="U1865" i="1"/>
  <c r="T1865" i="1"/>
  <c r="R1865" i="1"/>
  <c r="P1865" i="1"/>
  <c r="U1864" i="1"/>
  <c r="T1864" i="1"/>
  <c r="R1864" i="1"/>
  <c r="P1864" i="1"/>
  <c r="U1863" i="1"/>
  <c r="T1863" i="1"/>
  <c r="R1863" i="1"/>
  <c r="P1863" i="1"/>
  <c r="U1862" i="1"/>
  <c r="T1862" i="1"/>
  <c r="R1862" i="1"/>
  <c r="P1862" i="1"/>
  <c r="U1861" i="1"/>
  <c r="T1861" i="1"/>
  <c r="R1861" i="1"/>
  <c r="P1861" i="1"/>
  <c r="U1860" i="1"/>
  <c r="T1860" i="1"/>
  <c r="R1860" i="1"/>
  <c r="P1860" i="1"/>
  <c r="U1859" i="1"/>
  <c r="T1859" i="1"/>
  <c r="R1859" i="1"/>
  <c r="P1859" i="1"/>
  <c r="U1858" i="1"/>
  <c r="T1858" i="1"/>
  <c r="R1858" i="1"/>
  <c r="P1858" i="1"/>
  <c r="U1857" i="1"/>
  <c r="T1857" i="1"/>
  <c r="R1857" i="1"/>
  <c r="P1857" i="1"/>
  <c r="U1856" i="1"/>
  <c r="T1856" i="1"/>
  <c r="R1856" i="1"/>
  <c r="P1856" i="1"/>
  <c r="U1855" i="1"/>
  <c r="T1855" i="1"/>
  <c r="R1855" i="1"/>
  <c r="P1855" i="1"/>
  <c r="U1854" i="1"/>
  <c r="T1854" i="1"/>
  <c r="R1854" i="1"/>
  <c r="P1854" i="1"/>
  <c r="U1853" i="1"/>
  <c r="T1853" i="1"/>
  <c r="R1853" i="1"/>
  <c r="P1853" i="1"/>
  <c r="U1852" i="1"/>
  <c r="T1852" i="1"/>
  <c r="R1852" i="1"/>
  <c r="P1852" i="1"/>
  <c r="U1851" i="1"/>
  <c r="T1851" i="1"/>
  <c r="R1851" i="1"/>
  <c r="P1851" i="1"/>
  <c r="U1850" i="1"/>
  <c r="T1850" i="1"/>
  <c r="R1850" i="1"/>
  <c r="P1850" i="1"/>
  <c r="U1849" i="1"/>
  <c r="T1849" i="1"/>
  <c r="R1849" i="1"/>
  <c r="P1849" i="1"/>
  <c r="U1848" i="1"/>
  <c r="T1848" i="1"/>
  <c r="R1848" i="1"/>
  <c r="P1848" i="1"/>
  <c r="U1847" i="1"/>
  <c r="T1847" i="1"/>
  <c r="R1847" i="1"/>
  <c r="P1847" i="1"/>
  <c r="U1846" i="1"/>
  <c r="T1846" i="1"/>
  <c r="R1846" i="1"/>
  <c r="P1846" i="1"/>
  <c r="U1845" i="1"/>
  <c r="T1845" i="1"/>
  <c r="R1845" i="1"/>
  <c r="P1845" i="1"/>
  <c r="U1844" i="1"/>
  <c r="T1844" i="1"/>
  <c r="R1844" i="1"/>
  <c r="P1844" i="1"/>
  <c r="U1843" i="1"/>
  <c r="T1843" i="1"/>
  <c r="R1843" i="1"/>
  <c r="P1843" i="1"/>
  <c r="U1842" i="1"/>
  <c r="T1842" i="1"/>
  <c r="R1842" i="1"/>
  <c r="P1842" i="1"/>
  <c r="U1841" i="1"/>
  <c r="T1841" i="1"/>
  <c r="R1841" i="1"/>
  <c r="P1841" i="1"/>
  <c r="U1840" i="1"/>
  <c r="T1840" i="1"/>
  <c r="R1840" i="1"/>
  <c r="P1840" i="1"/>
  <c r="U1839" i="1"/>
  <c r="T1839" i="1"/>
  <c r="R1839" i="1"/>
  <c r="P1839" i="1"/>
  <c r="U1838" i="1"/>
  <c r="T1838" i="1"/>
  <c r="R1838" i="1"/>
  <c r="P1838" i="1"/>
  <c r="U1837" i="1"/>
  <c r="T1837" i="1"/>
  <c r="R1837" i="1"/>
  <c r="P1837" i="1"/>
  <c r="U1836" i="1"/>
  <c r="T1836" i="1"/>
  <c r="R1836" i="1"/>
  <c r="P1836" i="1"/>
  <c r="U1835" i="1"/>
  <c r="T1835" i="1"/>
  <c r="R1835" i="1"/>
  <c r="P1835" i="1"/>
  <c r="U1834" i="1"/>
  <c r="T1834" i="1"/>
  <c r="R1834" i="1"/>
  <c r="P1834" i="1"/>
  <c r="U1833" i="1"/>
  <c r="T1833" i="1"/>
  <c r="R1833" i="1"/>
  <c r="P1833" i="1"/>
  <c r="U1832" i="1"/>
  <c r="T1832" i="1"/>
  <c r="R1832" i="1"/>
  <c r="P1832" i="1"/>
  <c r="U1831" i="1"/>
  <c r="T1831" i="1"/>
  <c r="R1831" i="1"/>
  <c r="P1831" i="1"/>
  <c r="U1830" i="1"/>
  <c r="T1830" i="1"/>
  <c r="R1830" i="1"/>
  <c r="P1830" i="1"/>
  <c r="U1829" i="1"/>
  <c r="T1829" i="1"/>
  <c r="R1829" i="1"/>
  <c r="P1829" i="1"/>
  <c r="U1828" i="1"/>
  <c r="T1828" i="1"/>
  <c r="R1828" i="1"/>
  <c r="P1828" i="1"/>
  <c r="U1827" i="1"/>
  <c r="T1827" i="1"/>
  <c r="R1827" i="1"/>
  <c r="P1827" i="1"/>
  <c r="U1826" i="1"/>
  <c r="T1826" i="1"/>
  <c r="R1826" i="1"/>
  <c r="P1826" i="1"/>
  <c r="U1825" i="1"/>
  <c r="T1825" i="1"/>
  <c r="R1825" i="1"/>
  <c r="P1825" i="1"/>
  <c r="U1824" i="1"/>
  <c r="T1824" i="1"/>
  <c r="R1824" i="1"/>
  <c r="P1824" i="1"/>
  <c r="U1823" i="1"/>
  <c r="T1823" i="1"/>
  <c r="R1823" i="1"/>
  <c r="P1823" i="1"/>
  <c r="U1822" i="1"/>
  <c r="T1822" i="1"/>
  <c r="R1822" i="1"/>
  <c r="P1822" i="1"/>
  <c r="U1821" i="1"/>
  <c r="T1821" i="1"/>
  <c r="R1821" i="1"/>
  <c r="P1821" i="1"/>
  <c r="U1820" i="1"/>
  <c r="T1820" i="1"/>
  <c r="R1820" i="1"/>
  <c r="P1820" i="1"/>
  <c r="U1819" i="1"/>
  <c r="T1819" i="1"/>
  <c r="R1819" i="1"/>
  <c r="P1819" i="1"/>
  <c r="U1818" i="1"/>
  <c r="T1818" i="1"/>
  <c r="R1818" i="1"/>
  <c r="P1818" i="1"/>
  <c r="U1817" i="1"/>
  <c r="T1817" i="1"/>
  <c r="R1817" i="1"/>
  <c r="P1817" i="1"/>
  <c r="U1816" i="1"/>
  <c r="T1816" i="1"/>
  <c r="R1816" i="1"/>
  <c r="P1816" i="1"/>
  <c r="U1815" i="1"/>
  <c r="T1815" i="1"/>
  <c r="R1815" i="1"/>
  <c r="P1815" i="1"/>
  <c r="U1814" i="1"/>
  <c r="T1814" i="1"/>
  <c r="R1814" i="1"/>
  <c r="P1814" i="1"/>
  <c r="U1813" i="1"/>
  <c r="T1813" i="1"/>
  <c r="R1813" i="1"/>
  <c r="P1813" i="1"/>
  <c r="U1812" i="1"/>
  <c r="T1812" i="1"/>
  <c r="R1812" i="1"/>
  <c r="P1812" i="1"/>
  <c r="U1811" i="1"/>
  <c r="T1811" i="1"/>
  <c r="R1811" i="1"/>
  <c r="P1811" i="1"/>
  <c r="U1810" i="1"/>
  <c r="T1810" i="1"/>
  <c r="R1810" i="1"/>
  <c r="P1810" i="1"/>
  <c r="U1809" i="1"/>
  <c r="T1809" i="1"/>
  <c r="R1809" i="1"/>
  <c r="P1809" i="1"/>
  <c r="U1808" i="1"/>
  <c r="T1808" i="1"/>
  <c r="R1808" i="1"/>
  <c r="P1808" i="1"/>
  <c r="U1807" i="1"/>
  <c r="T1807" i="1"/>
  <c r="R1807" i="1"/>
  <c r="P1807" i="1"/>
  <c r="U1806" i="1"/>
  <c r="T1806" i="1"/>
  <c r="R1806" i="1"/>
  <c r="P1806" i="1"/>
  <c r="U1805" i="1"/>
  <c r="T1805" i="1"/>
  <c r="R1805" i="1"/>
  <c r="P1805" i="1"/>
  <c r="U1804" i="1"/>
  <c r="T1804" i="1"/>
  <c r="R1804" i="1"/>
  <c r="P1804" i="1"/>
  <c r="U1803" i="1"/>
  <c r="T1803" i="1"/>
  <c r="R1803" i="1"/>
  <c r="P1803" i="1"/>
  <c r="U1802" i="1"/>
  <c r="T1802" i="1"/>
  <c r="R1802" i="1"/>
  <c r="P1802" i="1"/>
  <c r="U1801" i="1"/>
  <c r="T1801" i="1"/>
  <c r="R1801" i="1"/>
  <c r="P1801" i="1"/>
  <c r="U1800" i="1"/>
  <c r="T1800" i="1"/>
  <c r="R1800" i="1"/>
  <c r="P1800" i="1"/>
  <c r="U1799" i="1"/>
  <c r="T1799" i="1"/>
  <c r="R1799" i="1"/>
  <c r="P1799" i="1"/>
  <c r="U1798" i="1"/>
  <c r="T1798" i="1"/>
  <c r="R1798" i="1"/>
  <c r="P1798" i="1"/>
  <c r="U1797" i="1"/>
  <c r="T1797" i="1"/>
  <c r="R1797" i="1"/>
  <c r="P1797" i="1"/>
  <c r="U1796" i="1"/>
  <c r="T1796" i="1"/>
  <c r="R1796" i="1"/>
  <c r="P1796" i="1"/>
  <c r="U1795" i="1"/>
  <c r="T1795" i="1"/>
  <c r="R1795" i="1"/>
  <c r="P1795" i="1"/>
  <c r="U1794" i="1"/>
  <c r="T1794" i="1"/>
  <c r="R1794" i="1"/>
  <c r="P1794" i="1"/>
  <c r="U1793" i="1"/>
  <c r="T1793" i="1"/>
  <c r="R1793" i="1"/>
  <c r="P1793" i="1"/>
  <c r="U1792" i="1"/>
  <c r="T1792" i="1"/>
  <c r="R1792" i="1"/>
  <c r="P1792" i="1"/>
  <c r="U1791" i="1"/>
  <c r="T1791" i="1"/>
  <c r="R1791" i="1"/>
  <c r="P1791" i="1"/>
  <c r="U1790" i="1"/>
  <c r="T1790" i="1"/>
  <c r="R1790" i="1"/>
  <c r="P1790" i="1"/>
  <c r="U1789" i="1"/>
  <c r="T1789" i="1"/>
  <c r="R1789" i="1"/>
  <c r="P1789" i="1"/>
  <c r="U1788" i="1"/>
  <c r="T1788" i="1"/>
  <c r="R1788" i="1"/>
  <c r="P1788" i="1"/>
  <c r="U1787" i="1"/>
  <c r="T1787" i="1"/>
  <c r="R1787" i="1"/>
  <c r="P1787" i="1"/>
  <c r="U1786" i="1"/>
  <c r="T1786" i="1"/>
  <c r="R1786" i="1"/>
  <c r="P1786" i="1"/>
  <c r="U1785" i="1"/>
  <c r="T1785" i="1"/>
  <c r="R1785" i="1"/>
  <c r="P1785" i="1"/>
  <c r="U1784" i="1"/>
  <c r="T1784" i="1"/>
  <c r="R1784" i="1"/>
  <c r="P1784" i="1"/>
  <c r="U1783" i="1"/>
  <c r="T1783" i="1"/>
  <c r="R1783" i="1"/>
  <c r="P1783" i="1"/>
  <c r="U1782" i="1"/>
  <c r="T1782" i="1"/>
  <c r="R1782" i="1"/>
  <c r="P1782" i="1"/>
  <c r="U1781" i="1"/>
  <c r="T1781" i="1"/>
  <c r="R1781" i="1"/>
  <c r="P1781" i="1"/>
  <c r="U1780" i="1"/>
  <c r="T1780" i="1"/>
  <c r="R1780" i="1"/>
  <c r="P1780" i="1"/>
  <c r="U1779" i="1"/>
  <c r="T1779" i="1"/>
  <c r="R1779" i="1"/>
  <c r="P1779" i="1"/>
  <c r="U1778" i="1"/>
  <c r="T1778" i="1"/>
  <c r="R1778" i="1"/>
  <c r="P1778" i="1"/>
  <c r="U1777" i="1"/>
  <c r="T1777" i="1"/>
  <c r="R1777" i="1"/>
  <c r="P1777" i="1"/>
  <c r="U1776" i="1"/>
  <c r="T1776" i="1"/>
  <c r="R1776" i="1"/>
  <c r="P1776" i="1"/>
  <c r="U1775" i="1"/>
  <c r="T1775" i="1"/>
  <c r="R1775" i="1"/>
  <c r="P1775" i="1"/>
  <c r="U1774" i="1"/>
  <c r="T1774" i="1"/>
  <c r="R1774" i="1"/>
  <c r="P1774" i="1"/>
  <c r="U1773" i="1"/>
  <c r="T1773" i="1"/>
  <c r="R1773" i="1"/>
  <c r="P1773" i="1"/>
  <c r="U1772" i="1"/>
  <c r="T1772" i="1"/>
  <c r="R1772" i="1"/>
  <c r="P1772" i="1"/>
  <c r="U1771" i="1"/>
  <c r="T1771" i="1"/>
  <c r="R1771" i="1"/>
  <c r="P1771" i="1"/>
  <c r="U1770" i="1"/>
  <c r="T1770" i="1"/>
  <c r="R1770" i="1"/>
  <c r="P1770" i="1"/>
  <c r="U1769" i="1"/>
  <c r="T1769" i="1"/>
  <c r="R1769" i="1"/>
  <c r="P1769" i="1"/>
  <c r="U1768" i="1"/>
  <c r="T1768" i="1"/>
  <c r="R1768" i="1"/>
  <c r="P1768" i="1"/>
  <c r="U1767" i="1"/>
  <c r="T1767" i="1"/>
  <c r="R1767" i="1"/>
  <c r="P1767" i="1"/>
  <c r="U1766" i="1"/>
  <c r="T1766" i="1"/>
  <c r="R1766" i="1"/>
  <c r="P1766" i="1"/>
  <c r="U1765" i="1"/>
  <c r="T1765" i="1"/>
  <c r="R1765" i="1"/>
  <c r="P1765" i="1"/>
  <c r="U1764" i="1"/>
  <c r="T1764" i="1"/>
  <c r="R1764" i="1"/>
  <c r="P1764" i="1"/>
  <c r="U1763" i="1"/>
  <c r="T1763" i="1"/>
  <c r="R1763" i="1"/>
  <c r="P1763" i="1"/>
  <c r="U1762" i="1"/>
  <c r="T1762" i="1"/>
  <c r="R1762" i="1"/>
  <c r="P1762" i="1"/>
  <c r="U1761" i="1"/>
  <c r="T1761" i="1"/>
  <c r="R1761" i="1"/>
  <c r="P1761" i="1"/>
  <c r="U1760" i="1"/>
  <c r="T1760" i="1"/>
  <c r="R1760" i="1"/>
  <c r="P1760" i="1"/>
  <c r="U1759" i="1"/>
  <c r="T1759" i="1"/>
  <c r="R1759" i="1"/>
  <c r="P1759" i="1"/>
  <c r="U1758" i="1"/>
  <c r="T1758" i="1"/>
  <c r="R1758" i="1"/>
  <c r="P1758" i="1"/>
  <c r="U1757" i="1"/>
  <c r="T1757" i="1"/>
  <c r="R1757" i="1"/>
  <c r="P1757" i="1"/>
  <c r="U1756" i="1"/>
  <c r="T1756" i="1"/>
  <c r="R1756" i="1"/>
  <c r="P1756" i="1"/>
  <c r="U1755" i="1"/>
  <c r="T1755" i="1"/>
  <c r="R1755" i="1"/>
  <c r="P1755" i="1"/>
  <c r="U1754" i="1"/>
  <c r="T1754" i="1"/>
  <c r="R1754" i="1"/>
  <c r="P1754" i="1"/>
  <c r="U1753" i="1"/>
  <c r="T1753" i="1"/>
  <c r="R1753" i="1"/>
  <c r="P1753" i="1"/>
  <c r="U1752" i="1"/>
  <c r="T1752" i="1"/>
  <c r="R1752" i="1"/>
  <c r="P1752" i="1"/>
  <c r="U1751" i="1"/>
  <c r="T1751" i="1"/>
  <c r="R1751" i="1"/>
  <c r="P1751" i="1"/>
  <c r="U1750" i="1"/>
  <c r="T1750" i="1"/>
  <c r="R1750" i="1"/>
  <c r="P1750" i="1"/>
  <c r="U1749" i="1"/>
  <c r="T1749" i="1"/>
  <c r="R1749" i="1"/>
  <c r="P1749" i="1"/>
  <c r="U1748" i="1"/>
  <c r="T1748" i="1"/>
  <c r="R1748" i="1"/>
  <c r="P1748" i="1"/>
  <c r="U1747" i="1"/>
  <c r="T1747" i="1"/>
  <c r="R1747" i="1"/>
  <c r="P1747" i="1"/>
  <c r="U1746" i="1"/>
  <c r="T1746" i="1"/>
  <c r="R1746" i="1"/>
  <c r="P1746" i="1"/>
  <c r="U1745" i="1"/>
  <c r="T1745" i="1"/>
  <c r="R1745" i="1"/>
  <c r="P1745" i="1"/>
  <c r="U1744" i="1"/>
  <c r="T1744" i="1"/>
  <c r="R1744" i="1"/>
  <c r="P1744" i="1"/>
  <c r="U1743" i="1"/>
  <c r="T1743" i="1"/>
  <c r="R1743" i="1"/>
  <c r="P1743" i="1"/>
  <c r="U1742" i="1"/>
  <c r="T1742" i="1"/>
  <c r="R1742" i="1"/>
  <c r="P1742" i="1"/>
  <c r="U1741" i="1"/>
  <c r="T1741" i="1"/>
  <c r="R1741" i="1"/>
  <c r="P1741" i="1"/>
  <c r="U1740" i="1"/>
  <c r="T1740" i="1"/>
  <c r="R1740" i="1"/>
  <c r="P1740" i="1"/>
  <c r="U1739" i="1"/>
  <c r="T1739" i="1"/>
  <c r="R1739" i="1"/>
  <c r="P1739" i="1"/>
  <c r="U1738" i="1"/>
  <c r="T1738" i="1"/>
  <c r="R1738" i="1"/>
  <c r="P1738" i="1"/>
  <c r="U1737" i="1"/>
  <c r="T1737" i="1"/>
  <c r="R1737" i="1"/>
  <c r="P1737" i="1"/>
  <c r="U1736" i="1"/>
  <c r="T1736" i="1"/>
  <c r="R1736" i="1"/>
  <c r="P1736" i="1"/>
  <c r="U1735" i="1"/>
  <c r="T1735" i="1"/>
  <c r="R1735" i="1"/>
  <c r="P1735" i="1"/>
  <c r="U1734" i="1"/>
  <c r="T1734" i="1"/>
  <c r="R1734" i="1"/>
  <c r="P1734" i="1"/>
  <c r="U1733" i="1"/>
  <c r="T1733" i="1"/>
  <c r="R1733" i="1"/>
  <c r="P1733" i="1"/>
  <c r="U1732" i="1"/>
  <c r="T1732" i="1"/>
  <c r="R1732" i="1"/>
  <c r="P1732" i="1"/>
  <c r="U1731" i="1"/>
  <c r="T1731" i="1"/>
  <c r="R1731" i="1"/>
  <c r="P1731" i="1"/>
  <c r="U1730" i="1"/>
  <c r="T1730" i="1"/>
  <c r="R1730" i="1"/>
  <c r="P1730" i="1"/>
  <c r="U1729" i="1"/>
  <c r="T1729" i="1"/>
  <c r="R1729" i="1"/>
  <c r="P1729" i="1"/>
  <c r="U1728" i="1"/>
  <c r="T1728" i="1"/>
  <c r="R1728" i="1"/>
  <c r="P1728" i="1"/>
  <c r="U1727" i="1"/>
  <c r="T1727" i="1"/>
  <c r="R1727" i="1"/>
  <c r="P1727" i="1"/>
  <c r="U1726" i="1"/>
  <c r="T1726" i="1"/>
  <c r="R1726" i="1"/>
  <c r="P1726" i="1"/>
  <c r="U1725" i="1"/>
  <c r="T1725" i="1"/>
  <c r="R1725" i="1"/>
  <c r="P1725" i="1"/>
  <c r="U1724" i="1"/>
  <c r="T1724" i="1"/>
  <c r="R1724" i="1"/>
  <c r="P1724" i="1"/>
  <c r="U1723" i="1"/>
  <c r="T1723" i="1"/>
  <c r="R1723" i="1"/>
  <c r="P1723" i="1"/>
  <c r="U1722" i="1"/>
  <c r="T1722" i="1"/>
  <c r="R1722" i="1"/>
  <c r="P1722" i="1"/>
  <c r="U1721" i="1"/>
  <c r="T1721" i="1"/>
  <c r="R1721" i="1"/>
  <c r="P1721" i="1"/>
  <c r="U1720" i="1"/>
  <c r="T1720" i="1"/>
  <c r="R1720" i="1"/>
  <c r="P1720" i="1"/>
  <c r="U1719" i="1"/>
  <c r="T1719" i="1"/>
  <c r="R1719" i="1"/>
  <c r="P1719" i="1"/>
  <c r="U1718" i="1"/>
  <c r="T1718" i="1"/>
  <c r="R1718" i="1"/>
  <c r="P1718" i="1"/>
  <c r="U1717" i="1"/>
  <c r="T1717" i="1"/>
  <c r="R1717" i="1"/>
  <c r="P1717" i="1"/>
  <c r="U1716" i="1"/>
  <c r="T1716" i="1"/>
  <c r="R1716" i="1"/>
  <c r="P1716" i="1"/>
  <c r="U1715" i="1"/>
  <c r="T1715" i="1"/>
  <c r="R1715" i="1"/>
  <c r="P1715" i="1"/>
  <c r="U1714" i="1"/>
  <c r="T1714" i="1"/>
  <c r="R1714" i="1"/>
  <c r="P1714" i="1"/>
  <c r="U1713" i="1"/>
  <c r="T1713" i="1"/>
  <c r="R1713" i="1"/>
  <c r="P1713" i="1"/>
  <c r="U1712" i="1"/>
  <c r="T1712" i="1"/>
  <c r="R1712" i="1"/>
  <c r="P1712" i="1"/>
  <c r="U1711" i="1"/>
  <c r="T1711" i="1"/>
  <c r="R1711" i="1"/>
  <c r="P1711" i="1"/>
  <c r="U1710" i="1"/>
  <c r="T1710" i="1"/>
  <c r="R1710" i="1"/>
  <c r="P1710" i="1"/>
  <c r="U1709" i="1"/>
  <c r="T1709" i="1"/>
  <c r="R1709" i="1"/>
  <c r="P1709" i="1"/>
  <c r="U1708" i="1"/>
  <c r="T1708" i="1"/>
  <c r="R1708" i="1"/>
  <c r="P1708" i="1"/>
  <c r="U1707" i="1"/>
  <c r="T1707" i="1"/>
  <c r="R1707" i="1"/>
  <c r="P1707" i="1"/>
  <c r="U1706" i="1"/>
  <c r="T1706" i="1"/>
  <c r="R1706" i="1"/>
  <c r="P1706" i="1"/>
  <c r="U1705" i="1"/>
  <c r="T1705" i="1"/>
  <c r="R1705" i="1"/>
  <c r="P1705" i="1"/>
  <c r="U1704" i="1"/>
  <c r="T1704" i="1"/>
  <c r="R1704" i="1"/>
  <c r="P1704" i="1"/>
  <c r="U1703" i="1"/>
  <c r="T1703" i="1"/>
  <c r="R1703" i="1"/>
  <c r="P1703" i="1"/>
  <c r="U1702" i="1"/>
  <c r="T1702" i="1"/>
  <c r="R1702" i="1"/>
  <c r="P1702" i="1"/>
  <c r="U1701" i="1"/>
  <c r="T1701" i="1"/>
  <c r="R1701" i="1"/>
  <c r="P1701" i="1"/>
  <c r="U1700" i="1"/>
  <c r="T1700" i="1"/>
  <c r="R1700" i="1"/>
  <c r="P1700" i="1"/>
  <c r="U1699" i="1"/>
  <c r="T1699" i="1"/>
  <c r="R1699" i="1"/>
  <c r="P1699" i="1"/>
  <c r="U1698" i="1"/>
  <c r="T1698" i="1"/>
  <c r="R1698" i="1"/>
  <c r="P1698" i="1"/>
  <c r="U1697" i="1"/>
  <c r="T1697" i="1"/>
  <c r="R1697" i="1"/>
  <c r="P1697" i="1"/>
  <c r="U1696" i="1"/>
  <c r="T1696" i="1"/>
  <c r="R1696" i="1"/>
  <c r="P1696" i="1"/>
  <c r="U1695" i="1"/>
  <c r="T1695" i="1"/>
  <c r="R1695" i="1"/>
  <c r="P1695" i="1"/>
  <c r="U1694" i="1"/>
  <c r="T1694" i="1"/>
  <c r="R1694" i="1"/>
  <c r="P1694" i="1"/>
  <c r="U1693" i="1"/>
  <c r="T1693" i="1"/>
  <c r="R1693" i="1"/>
  <c r="P1693" i="1"/>
  <c r="U1692" i="1"/>
  <c r="T1692" i="1"/>
  <c r="R1692" i="1"/>
  <c r="P1692" i="1"/>
  <c r="U1691" i="1"/>
  <c r="T1691" i="1"/>
  <c r="R1691" i="1"/>
  <c r="P1691" i="1"/>
  <c r="U1690" i="1"/>
  <c r="T1690" i="1"/>
  <c r="R1690" i="1"/>
  <c r="P1690" i="1"/>
  <c r="U1689" i="1"/>
  <c r="T1689" i="1"/>
  <c r="R1689" i="1"/>
  <c r="P1689" i="1"/>
  <c r="U1688" i="1"/>
  <c r="T1688" i="1"/>
  <c r="R1688" i="1"/>
  <c r="P1688" i="1"/>
  <c r="U1687" i="1"/>
  <c r="T1687" i="1"/>
  <c r="R1687" i="1"/>
  <c r="P1687" i="1"/>
  <c r="U1686" i="1"/>
  <c r="T1686" i="1"/>
  <c r="R1686" i="1"/>
  <c r="P1686" i="1"/>
  <c r="U1685" i="1"/>
  <c r="T1685" i="1"/>
  <c r="R1685" i="1"/>
  <c r="P1685" i="1"/>
  <c r="U1684" i="1"/>
  <c r="T1684" i="1"/>
  <c r="R1684" i="1"/>
  <c r="P1684" i="1"/>
  <c r="U1683" i="1"/>
  <c r="T1683" i="1"/>
  <c r="R1683" i="1"/>
  <c r="P1683" i="1"/>
  <c r="U1682" i="1"/>
  <c r="T1682" i="1"/>
  <c r="R1682" i="1"/>
  <c r="P1682" i="1"/>
  <c r="U1681" i="1"/>
  <c r="T1681" i="1"/>
  <c r="R1681" i="1"/>
  <c r="P1681" i="1"/>
  <c r="U1680" i="1"/>
  <c r="T1680" i="1"/>
  <c r="R1680" i="1"/>
  <c r="P1680" i="1"/>
  <c r="U1679" i="1"/>
  <c r="T1679" i="1"/>
  <c r="R1679" i="1"/>
  <c r="P1679" i="1"/>
  <c r="U1678" i="1"/>
  <c r="T1678" i="1"/>
  <c r="R1678" i="1"/>
  <c r="P1678" i="1"/>
  <c r="U1677" i="1"/>
  <c r="T1677" i="1"/>
  <c r="R1677" i="1"/>
  <c r="P1677" i="1"/>
  <c r="U1676" i="1"/>
  <c r="T1676" i="1"/>
  <c r="R1676" i="1"/>
  <c r="P1676" i="1"/>
  <c r="U1675" i="1"/>
  <c r="T1675" i="1"/>
  <c r="R1675" i="1"/>
  <c r="P1675" i="1"/>
  <c r="U1674" i="1"/>
  <c r="T1674" i="1"/>
  <c r="R1674" i="1"/>
  <c r="P1674" i="1"/>
  <c r="U1673" i="1"/>
  <c r="T1673" i="1"/>
  <c r="R1673" i="1"/>
  <c r="P1673" i="1"/>
  <c r="U1672" i="1"/>
  <c r="T1672" i="1"/>
  <c r="R1672" i="1"/>
  <c r="P1672" i="1"/>
  <c r="U1671" i="1"/>
  <c r="T1671" i="1"/>
  <c r="R1671" i="1"/>
  <c r="P1671" i="1"/>
  <c r="U1670" i="1"/>
  <c r="T1670" i="1"/>
  <c r="R1670" i="1"/>
  <c r="P1670" i="1"/>
  <c r="U1669" i="1"/>
  <c r="T1669" i="1"/>
  <c r="R1669" i="1"/>
  <c r="P1669" i="1"/>
  <c r="U1668" i="1"/>
  <c r="T1668" i="1"/>
  <c r="R1668" i="1"/>
  <c r="P1668" i="1"/>
  <c r="U1667" i="1"/>
  <c r="T1667" i="1"/>
  <c r="R1667" i="1"/>
  <c r="P1667" i="1"/>
  <c r="U1666" i="1"/>
  <c r="T1666" i="1"/>
  <c r="R1666" i="1"/>
  <c r="P1666" i="1"/>
  <c r="U1665" i="1"/>
  <c r="T1665" i="1"/>
  <c r="R1665" i="1"/>
  <c r="P1665" i="1"/>
  <c r="U1664" i="1"/>
  <c r="T1664" i="1"/>
  <c r="R1664" i="1"/>
  <c r="P1664" i="1"/>
  <c r="U1663" i="1"/>
  <c r="T1663" i="1"/>
  <c r="R1663" i="1"/>
  <c r="P1663" i="1"/>
  <c r="U1662" i="1"/>
  <c r="T1662" i="1"/>
  <c r="R1662" i="1"/>
  <c r="P1662" i="1"/>
  <c r="U1661" i="1"/>
  <c r="T1661" i="1"/>
  <c r="R1661" i="1"/>
  <c r="P1661" i="1"/>
  <c r="U1660" i="1"/>
  <c r="T1660" i="1"/>
  <c r="R1660" i="1"/>
  <c r="P1660" i="1"/>
  <c r="U1659" i="1"/>
  <c r="T1659" i="1"/>
  <c r="R1659" i="1"/>
  <c r="P1659" i="1"/>
  <c r="U1658" i="1"/>
  <c r="T1658" i="1"/>
  <c r="R1658" i="1"/>
  <c r="P1658" i="1"/>
  <c r="U1657" i="1"/>
  <c r="T1657" i="1"/>
  <c r="R1657" i="1"/>
  <c r="P1657" i="1"/>
  <c r="U1656" i="1"/>
  <c r="T1656" i="1"/>
  <c r="R1656" i="1"/>
  <c r="P1656" i="1"/>
  <c r="U1655" i="1"/>
  <c r="T1655" i="1"/>
  <c r="R1655" i="1"/>
  <c r="P1655" i="1"/>
  <c r="U1654" i="1"/>
  <c r="T1654" i="1"/>
  <c r="R1654" i="1"/>
  <c r="P1654" i="1"/>
  <c r="U1653" i="1"/>
  <c r="T1653" i="1"/>
  <c r="R1653" i="1"/>
  <c r="P1653" i="1"/>
  <c r="U1652" i="1"/>
  <c r="T1652" i="1"/>
  <c r="R1652" i="1"/>
  <c r="P1652" i="1"/>
  <c r="U1651" i="1"/>
  <c r="T1651" i="1"/>
  <c r="R1651" i="1"/>
  <c r="P1651" i="1"/>
  <c r="U1650" i="1"/>
  <c r="T1650" i="1"/>
  <c r="R1650" i="1"/>
  <c r="P1650" i="1"/>
  <c r="U1649" i="1"/>
  <c r="T1649" i="1"/>
  <c r="R1649" i="1"/>
  <c r="P1649" i="1"/>
  <c r="U1648" i="1"/>
  <c r="T1648" i="1"/>
  <c r="R1648" i="1"/>
  <c r="P1648" i="1"/>
  <c r="U1647" i="1"/>
  <c r="T1647" i="1"/>
  <c r="R1647" i="1"/>
  <c r="P1647" i="1"/>
  <c r="U1646" i="1"/>
  <c r="T1646" i="1"/>
  <c r="R1646" i="1"/>
  <c r="P1646" i="1"/>
  <c r="U1645" i="1"/>
  <c r="T1645" i="1"/>
  <c r="R1645" i="1"/>
  <c r="P1645" i="1"/>
  <c r="U1644" i="1"/>
  <c r="T1644" i="1"/>
  <c r="R1644" i="1"/>
  <c r="P1644" i="1"/>
  <c r="U1643" i="1"/>
  <c r="T1643" i="1"/>
  <c r="R1643" i="1"/>
  <c r="P1643" i="1"/>
  <c r="U1642" i="1"/>
  <c r="T1642" i="1"/>
  <c r="R1642" i="1"/>
  <c r="P1642" i="1"/>
  <c r="U1641" i="1"/>
  <c r="T1641" i="1"/>
  <c r="R1641" i="1"/>
  <c r="P1641" i="1"/>
  <c r="U1640" i="1"/>
  <c r="T1640" i="1"/>
  <c r="R1640" i="1"/>
  <c r="P1640" i="1"/>
  <c r="U1639" i="1"/>
  <c r="T1639" i="1"/>
  <c r="R1639" i="1"/>
  <c r="P1639" i="1"/>
  <c r="U1638" i="1"/>
  <c r="T1638" i="1"/>
  <c r="R1638" i="1"/>
  <c r="P1638" i="1"/>
  <c r="U1637" i="1"/>
  <c r="T1637" i="1"/>
  <c r="R1637" i="1"/>
  <c r="P1637" i="1"/>
  <c r="U1636" i="1"/>
  <c r="T1636" i="1"/>
  <c r="R1636" i="1"/>
  <c r="P1636" i="1"/>
  <c r="U1635" i="1"/>
  <c r="T1635" i="1"/>
  <c r="R1635" i="1"/>
  <c r="P1635" i="1"/>
  <c r="U1634" i="1"/>
  <c r="T1634" i="1"/>
  <c r="R1634" i="1"/>
  <c r="P1634" i="1"/>
  <c r="U1633" i="1"/>
  <c r="T1633" i="1"/>
  <c r="R1633" i="1"/>
  <c r="P1633" i="1"/>
  <c r="U1632" i="1"/>
  <c r="T1632" i="1"/>
  <c r="R1632" i="1"/>
  <c r="P1632" i="1"/>
  <c r="U1631" i="1"/>
  <c r="T1631" i="1"/>
  <c r="R1631" i="1"/>
  <c r="P1631" i="1"/>
  <c r="U1630" i="1"/>
  <c r="T1630" i="1"/>
  <c r="R1630" i="1"/>
  <c r="P1630" i="1"/>
  <c r="U1629" i="1"/>
  <c r="T1629" i="1"/>
  <c r="R1629" i="1"/>
  <c r="P1629" i="1"/>
  <c r="U1628" i="1"/>
  <c r="T1628" i="1"/>
  <c r="R1628" i="1"/>
  <c r="P1628" i="1"/>
  <c r="U1627" i="1"/>
  <c r="T1627" i="1"/>
  <c r="R1627" i="1"/>
  <c r="P1627" i="1"/>
  <c r="U1626" i="1"/>
  <c r="T1626" i="1"/>
  <c r="R1626" i="1"/>
  <c r="P1626" i="1"/>
  <c r="U1625" i="1"/>
  <c r="T1625" i="1"/>
  <c r="R1625" i="1"/>
  <c r="P1625" i="1"/>
  <c r="U1624" i="1"/>
  <c r="T1624" i="1"/>
  <c r="R1624" i="1"/>
  <c r="P1624" i="1"/>
  <c r="U1623" i="1"/>
  <c r="T1623" i="1"/>
  <c r="R1623" i="1"/>
  <c r="P1623" i="1"/>
  <c r="U1622" i="1"/>
  <c r="T1622" i="1"/>
  <c r="R1622" i="1"/>
  <c r="P1622" i="1"/>
  <c r="U1621" i="1"/>
  <c r="T1621" i="1"/>
  <c r="R1621" i="1"/>
  <c r="P1621" i="1"/>
  <c r="U1620" i="1"/>
  <c r="T1620" i="1"/>
  <c r="R1620" i="1"/>
  <c r="P1620" i="1"/>
  <c r="U1619" i="1"/>
  <c r="T1619" i="1"/>
  <c r="R1619" i="1"/>
  <c r="P1619" i="1"/>
  <c r="U1618" i="1"/>
  <c r="T1618" i="1"/>
  <c r="R1618" i="1"/>
  <c r="P1618" i="1"/>
  <c r="U1617" i="1"/>
  <c r="T1617" i="1"/>
  <c r="R1617" i="1"/>
  <c r="P1617" i="1"/>
  <c r="U1616" i="1"/>
  <c r="T1616" i="1"/>
  <c r="R1616" i="1"/>
  <c r="P1616" i="1"/>
  <c r="U1615" i="1"/>
  <c r="T1615" i="1"/>
  <c r="R1615" i="1"/>
  <c r="P1615" i="1"/>
  <c r="U1614" i="1"/>
  <c r="T1614" i="1"/>
  <c r="R1614" i="1"/>
  <c r="P1614" i="1"/>
  <c r="U1613" i="1"/>
  <c r="T1613" i="1"/>
  <c r="R1613" i="1"/>
  <c r="P1613" i="1"/>
  <c r="U1612" i="1"/>
  <c r="T1612" i="1"/>
  <c r="R1612" i="1"/>
  <c r="P1612" i="1"/>
  <c r="U1611" i="1"/>
  <c r="T1611" i="1"/>
  <c r="R1611" i="1"/>
  <c r="P1611" i="1"/>
  <c r="U1610" i="1"/>
  <c r="T1610" i="1"/>
  <c r="R1610" i="1"/>
  <c r="P1610" i="1"/>
  <c r="U1609" i="1"/>
  <c r="T1609" i="1"/>
  <c r="R1609" i="1"/>
  <c r="P1609" i="1"/>
  <c r="U1608" i="1"/>
  <c r="T1608" i="1"/>
  <c r="R1608" i="1"/>
  <c r="P1608" i="1"/>
  <c r="U1607" i="1"/>
  <c r="T1607" i="1"/>
  <c r="R1607" i="1"/>
  <c r="P1607" i="1"/>
  <c r="U1606" i="1"/>
  <c r="T1606" i="1"/>
  <c r="R1606" i="1"/>
  <c r="P1606" i="1"/>
  <c r="U1605" i="1"/>
  <c r="T1605" i="1"/>
  <c r="R1605" i="1"/>
  <c r="P1605" i="1"/>
  <c r="U1604" i="1"/>
  <c r="T1604" i="1"/>
  <c r="R1604" i="1"/>
  <c r="P1604" i="1"/>
  <c r="U1603" i="1"/>
  <c r="T1603" i="1"/>
  <c r="R1603" i="1"/>
  <c r="P1603" i="1"/>
  <c r="U1602" i="1"/>
  <c r="T1602" i="1"/>
  <c r="R1602" i="1"/>
  <c r="P1602" i="1"/>
  <c r="U1601" i="1"/>
  <c r="T1601" i="1"/>
  <c r="R1601" i="1"/>
  <c r="P1601" i="1"/>
  <c r="U1600" i="1"/>
  <c r="T1600" i="1"/>
  <c r="R1600" i="1"/>
  <c r="P1600" i="1"/>
  <c r="U1599" i="1"/>
  <c r="T1599" i="1"/>
  <c r="R1599" i="1"/>
  <c r="P1599" i="1"/>
  <c r="U1598" i="1"/>
  <c r="T1598" i="1"/>
  <c r="R1598" i="1"/>
  <c r="P1598" i="1"/>
  <c r="U1597" i="1"/>
  <c r="T1597" i="1"/>
  <c r="R1597" i="1"/>
  <c r="P1597" i="1"/>
  <c r="U1596" i="1"/>
  <c r="T1596" i="1"/>
  <c r="R1596" i="1"/>
  <c r="P1596" i="1"/>
  <c r="U1595" i="1"/>
  <c r="T1595" i="1"/>
  <c r="R1595" i="1"/>
  <c r="P1595" i="1"/>
  <c r="U1594" i="1"/>
  <c r="T1594" i="1"/>
  <c r="R1594" i="1"/>
  <c r="P1594" i="1"/>
  <c r="U1593" i="1"/>
  <c r="T1593" i="1"/>
  <c r="R1593" i="1"/>
  <c r="P1593" i="1"/>
  <c r="U1592" i="1"/>
  <c r="T1592" i="1"/>
  <c r="R1592" i="1"/>
  <c r="P1592" i="1"/>
  <c r="U1591" i="1"/>
  <c r="T1591" i="1"/>
  <c r="R1591" i="1"/>
  <c r="P1591" i="1"/>
  <c r="U1590" i="1"/>
  <c r="T1590" i="1"/>
  <c r="R1590" i="1"/>
  <c r="P1590" i="1"/>
  <c r="U1589" i="1"/>
  <c r="T1589" i="1"/>
  <c r="R1589" i="1"/>
  <c r="P1589" i="1"/>
  <c r="U1588" i="1"/>
  <c r="T1588" i="1"/>
  <c r="R1588" i="1"/>
  <c r="P1588" i="1"/>
  <c r="U1587" i="1"/>
  <c r="T1587" i="1"/>
  <c r="R1587" i="1"/>
  <c r="P1587" i="1"/>
  <c r="U1586" i="1"/>
  <c r="T1586" i="1"/>
  <c r="R1586" i="1"/>
  <c r="P1586" i="1"/>
  <c r="U1585" i="1"/>
  <c r="T1585" i="1"/>
  <c r="R1585" i="1"/>
  <c r="P1585" i="1"/>
  <c r="U1584" i="1"/>
  <c r="T1584" i="1"/>
  <c r="R1584" i="1"/>
  <c r="P1584" i="1"/>
  <c r="U1583" i="1"/>
  <c r="T1583" i="1"/>
  <c r="R1583" i="1"/>
  <c r="P1583" i="1"/>
  <c r="U1582" i="1"/>
  <c r="T1582" i="1"/>
  <c r="R1582" i="1"/>
  <c r="P1582" i="1"/>
  <c r="U1581" i="1"/>
  <c r="T1581" i="1"/>
  <c r="R1581" i="1"/>
  <c r="P1581" i="1"/>
  <c r="U1580" i="1"/>
  <c r="T1580" i="1"/>
  <c r="R1580" i="1"/>
  <c r="P1580" i="1"/>
  <c r="U1579" i="1"/>
  <c r="T1579" i="1"/>
  <c r="R1579" i="1"/>
  <c r="P1579" i="1"/>
  <c r="U1578" i="1"/>
  <c r="T1578" i="1"/>
  <c r="R1578" i="1"/>
  <c r="P1578" i="1"/>
  <c r="U1577" i="1"/>
  <c r="T1577" i="1"/>
  <c r="R1577" i="1"/>
  <c r="P1577" i="1"/>
  <c r="U1576" i="1"/>
  <c r="T1576" i="1"/>
  <c r="R1576" i="1"/>
  <c r="P1576" i="1"/>
  <c r="U1575" i="1"/>
  <c r="T1575" i="1"/>
  <c r="R1575" i="1"/>
  <c r="P1575" i="1"/>
  <c r="U1574" i="1"/>
  <c r="T1574" i="1"/>
  <c r="R1574" i="1"/>
  <c r="P1574" i="1"/>
  <c r="U1573" i="1"/>
  <c r="T1573" i="1"/>
  <c r="R1573" i="1"/>
  <c r="P1573" i="1"/>
  <c r="U1572" i="1"/>
  <c r="T1572" i="1"/>
  <c r="R1572" i="1"/>
  <c r="P1572" i="1"/>
  <c r="U1571" i="1"/>
  <c r="T1571" i="1"/>
  <c r="R1571" i="1"/>
  <c r="P1571" i="1"/>
  <c r="U1570" i="1"/>
  <c r="T1570" i="1"/>
  <c r="R1570" i="1"/>
  <c r="P1570" i="1"/>
  <c r="U1569" i="1"/>
  <c r="T1569" i="1"/>
  <c r="R1569" i="1"/>
  <c r="P1569" i="1"/>
  <c r="U1568" i="1"/>
  <c r="T1568" i="1"/>
  <c r="R1568" i="1"/>
  <c r="P1568" i="1"/>
  <c r="U1567" i="1"/>
  <c r="T1567" i="1"/>
  <c r="R1567" i="1"/>
  <c r="P1567" i="1"/>
  <c r="U1566" i="1"/>
  <c r="T1566" i="1"/>
  <c r="R1566" i="1"/>
  <c r="P1566" i="1"/>
  <c r="U1565" i="1"/>
  <c r="T1565" i="1"/>
  <c r="R1565" i="1"/>
  <c r="P1565" i="1"/>
  <c r="U1564" i="1"/>
  <c r="T1564" i="1"/>
  <c r="R1564" i="1"/>
  <c r="P1564" i="1"/>
  <c r="U1563" i="1"/>
  <c r="T1563" i="1"/>
  <c r="R1563" i="1"/>
  <c r="P1563" i="1"/>
  <c r="U1562" i="1"/>
  <c r="T1562" i="1"/>
  <c r="R1562" i="1"/>
  <c r="P1562" i="1"/>
  <c r="U1561" i="1"/>
  <c r="T1561" i="1"/>
  <c r="R1561" i="1"/>
  <c r="P1561" i="1"/>
  <c r="U1560" i="1"/>
  <c r="T1560" i="1"/>
  <c r="R1560" i="1"/>
  <c r="P1560" i="1"/>
  <c r="U1559" i="1"/>
  <c r="T1559" i="1"/>
  <c r="R1559" i="1"/>
  <c r="P1559" i="1"/>
  <c r="U1558" i="1"/>
  <c r="T1558" i="1"/>
  <c r="R1558" i="1"/>
  <c r="P1558" i="1"/>
  <c r="U1557" i="1"/>
  <c r="T1557" i="1"/>
  <c r="R1557" i="1"/>
  <c r="P1557" i="1"/>
  <c r="U1556" i="1"/>
  <c r="T1556" i="1"/>
  <c r="R1556" i="1"/>
  <c r="P1556" i="1"/>
  <c r="U1555" i="1"/>
  <c r="T1555" i="1"/>
  <c r="R1555" i="1"/>
  <c r="P1555" i="1"/>
  <c r="U1554" i="1"/>
  <c r="T1554" i="1"/>
  <c r="R1554" i="1"/>
  <c r="P1554" i="1"/>
  <c r="U1553" i="1"/>
  <c r="T1553" i="1"/>
  <c r="R1553" i="1"/>
  <c r="P1553" i="1"/>
  <c r="U1552" i="1"/>
  <c r="T1552" i="1"/>
  <c r="R1552" i="1"/>
  <c r="P1552" i="1"/>
  <c r="U1551" i="1"/>
  <c r="T1551" i="1"/>
  <c r="R1551" i="1"/>
  <c r="P1551" i="1"/>
  <c r="U1550" i="1"/>
  <c r="T1550" i="1"/>
  <c r="R1550" i="1"/>
  <c r="P1550" i="1"/>
  <c r="U1549" i="1"/>
  <c r="T1549" i="1"/>
  <c r="R1549" i="1"/>
  <c r="P1549" i="1"/>
  <c r="U1548" i="1"/>
  <c r="T1548" i="1"/>
  <c r="R1548" i="1"/>
  <c r="P1548" i="1"/>
  <c r="U1547" i="1"/>
  <c r="T1547" i="1"/>
  <c r="R1547" i="1"/>
  <c r="P1547" i="1"/>
  <c r="U1546" i="1"/>
  <c r="T1546" i="1"/>
  <c r="R1546" i="1"/>
  <c r="P1546" i="1"/>
  <c r="U1545" i="1"/>
  <c r="T1545" i="1"/>
  <c r="R1545" i="1"/>
  <c r="P1545" i="1"/>
  <c r="U1544" i="1"/>
  <c r="T1544" i="1"/>
  <c r="R1544" i="1"/>
  <c r="P1544" i="1"/>
  <c r="U1543" i="1"/>
  <c r="T1543" i="1"/>
  <c r="R1543" i="1"/>
  <c r="P1543" i="1"/>
  <c r="U1542" i="1"/>
  <c r="T1542" i="1"/>
  <c r="R1542" i="1"/>
  <c r="P1542" i="1"/>
  <c r="U1541" i="1"/>
  <c r="T1541" i="1"/>
  <c r="R1541" i="1"/>
  <c r="P1541" i="1"/>
  <c r="U1540" i="1"/>
  <c r="T1540" i="1"/>
  <c r="R1540" i="1"/>
  <c r="P1540" i="1"/>
  <c r="U1539" i="1"/>
  <c r="T1539" i="1"/>
  <c r="R1539" i="1"/>
  <c r="P1539" i="1"/>
  <c r="U1538" i="1"/>
  <c r="T1538" i="1"/>
  <c r="R1538" i="1"/>
  <c r="P1538" i="1"/>
  <c r="U1537" i="1"/>
  <c r="T1537" i="1"/>
  <c r="R1537" i="1"/>
  <c r="P1537" i="1"/>
  <c r="U1536" i="1"/>
  <c r="T1536" i="1"/>
  <c r="R1536" i="1"/>
  <c r="P1536" i="1"/>
  <c r="U1535" i="1"/>
  <c r="T1535" i="1"/>
  <c r="R1535" i="1"/>
  <c r="P1535" i="1"/>
  <c r="U1534" i="1"/>
  <c r="T1534" i="1"/>
  <c r="R1534" i="1"/>
  <c r="P1534" i="1"/>
  <c r="U1533" i="1"/>
  <c r="T1533" i="1"/>
  <c r="R1533" i="1"/>
  <c r="P1533" i="1"/>
  <c r="U1532" i="1"/>
  <c r="T1532" i="1"/>
  <c r="R1532" i="1"/>
  <c r="P1532" i="1"/>
  <c r="U1531" i="1"/>
  <c r="T1531" i="1"/>
  <c r="R1531" i="1"/>
  <c r="P1531" i="1"/>
  <c r="U1530" i="1"/>
  <c r="T1530" i="1"/>
  <c r="R1530" i="1"/>
  <c r="P1530" i="1"/>
  <c r="U1529" i="1"/>
  <c r="T1529" i="1"/>
  <c r="R1529" i="1"/>
  <c r="P1529" i="1"/>
  <c r="U1528" i="1"/>
  <c r="T1528" i="1"/>
  <c r="R1528" i="1"/>
  <c r="P1528" i="1"/>
  <c r="U1527" i="1"/>
  <c r="T1527" i="1"/>
  <c r="R1527" i="1"/>
  <c r="P1527" i="1"/>
  <c r="U1526" i="1"/>
  <c r="T1526" i="1"/>
  <c r="R1526" i="1"/>
  <c r="P1526" i="1"/>
  <c r="U1525" i="1"/>
  <c r="T1525" i="1"/>
  <c r="R1525" i="1"/>
  <c r="P1525" i="1"/>
  <c r="U1524" i="1"/>
  <c r="T1524" i="1"/>
  <c r="R1524" i="1"/>
  <c r="P1524" i="1"/>
  <c r="U1523" i="1"/>
  <c r="T1523" i="1"/>
  <c r="R1523" i="1"/>
  <c r="P1523" i="1"/>
  <c r="U1522" i="1"/>
  <c r="T1522" i="1"/>
  <c r="R1522" i="1"/>
  <c r="P1522" i="1"/>
  <c r="U1521" i="1"/>
  <c r="T1521" i="1"/>
  <c r="R1521" i="1"/>
  <c r="P1521" i="1"/>
  <c r="U1520" i="1"/>
  <c r="T1520" i="1"/>
  <c r="R1520" i="1"/>
  <c r="P1520" i="1"/>
  <c r="U1519" i="1"/>
  <c r="T1519" i="1"/>
  <c r="R1519" i="1"/>
  <c r="P1519" i="1"/>
  <c r="U1518" i="1"/>
  <c r="T1518" i="1"/>
  <c r="R1518" i="1"/>
  <c r="P1518" i="1"/>
  <c r="U1517" i="1"/>
  <c r="T1517" i="1"/>
  <c r="R1517" i="1"/>
  <c r="P1517" i="1"/>
  <c r="U1516" i="1"/>
  <c r="T1516" i="1"/>
  <c r="R1516" i="1"/>
  <c r="P1516" i="1"/>
  <c r="U1515" i="1"/>
  <c r="T1515" i="1"/>
  <c r="R1515" i="1"/>
  <c r="P1515" i="1"/>
  <c r="U1514" i="1"/>
  <c r="T1514" i="1"/>
  <c r="R1514" i="1"/>
  <c r="P1514" i="1"/>
  <c r="U1513" i="1"/>
  <c r="T1513" i="1"/>
  <c r="R1513" i="1"/>
  <c r="P1513" i="1"/>
  <c r="U1512" i="1"/>
  <c r="T1512" i="1"/>
  <c r="R1512" i="1"/>
  <c r="P1512" i="1"/>
  <c r="U1511" i="1"/>
  <c r="T1511" i="1"/>
  <c r="R1511" i="1"/>
  <c r="P1511" i="1"/>
  <c r="U1510" i="1"/>
  <c r="T1510" i="1"/>
  <c r="R1510" i="1"/>
  <c r="P1510" i="1"/>
  <c r="U1509" i="1"/>
  <c r="T1509" i="1"/>
  <c r="R1509" i="1"/>
  <c r="P1509" i="1"/>
  <c r="U1508" i="1"/>
  <c r="T1508" i="1"/>
  <c r="R1508" i="1"/>
  <c r="P1508" i="1"/>
  <c r="U1507" i="1"/>
  <c r="T1507" i="1"/>
  <c r="R1507" i="1"/>
  <c r="P1507" i="1"/>
  <c r="U1506" i="1"/>
  <c r="T1506" i="1"/>
  <c r="R1506" i="1"/>
  <c r="P1506" i="1"/>
  <c r="U1505" i="1"/>
  <c r="T1505" i="1"/>
  <c r="R1505" i="1"/>
  <c r="P1505" i="1"/>
  <c r="U1504" i="1"/>
  <c r="T1504" i="1"/>
  <c r="R1504" i="1"/>
  <c r="P1504" i="1"/>
  <c r="U1503" i="1"/>
  <c r="T1503" i="1"/>
  <c r="R1503" i="1"/>
  <c r="P1503" i="1"/>
  <c r="U1502" i="1"/>
  <c r="T1502" i="1"/>
  <c r="R1502" i="1"/>
  <c r="P1502" i="1"/>
  <c r="U1501" i="1"/>
  <c r="T1501" i="1"/>
  <c r="R1501" i="1"/>
  <c r="P1501" i="1"/>
  <c r="U1500" i="1"/>
  <c r="T1500" i="1"/>
  <c r="R1500" i="1"/>
  <c r="P1500" i="1"/>
  <c r="U1499" i="1"/>
  <c r="T1499" i="1"/>
  <c r="R1499" i="1"/>
  <c r="P1499" i="1"/>
  <c r="U1498" i="1"/>
  <c r="T1498" i="1"/>
  <c r="R1498" i="1"/>
  <c r="P1498" i="1"/>
  <c r="U1497" i="1"/>
  <c r="T1497" i="1"/>
  <c r="R1497" i="1"/>
  <c r="P1497" i="1"/>
  <c r="U1496" i="1"/>
  <c r="T1496" i="1"/>
  <c r="R1496" i="1"/>
  <c r="P1496" i="1"/>
  <c r="U1495" i="1"/>
  <c r="T1495" i="1"/>
  <c r="R1495" i="1"/>
  <c r="P1495" i="1"/>
  <c r="U1494" i="1"/>
  <c r="T1494" i="1"/>
  <c r="R1494" i="1"/>
  <c r="P1494" i="1"/>
  <c r="U1493" i="1"/>
  <c r="T1493" i="1"/>
  <c r="R1493" i="1"/>
  <c r="P1493" i="1"/>
  <c r="U1492" i="1"/>
  <c r="T1492" i="1"/>
  <c r="R1492" i="1"/>
  <c r="P1492" i="1"/>
  <c r="U1491" i="1"/>
  <c r="T1491" i="1"/>
  <c r="R1491" i="1"/>
  <c r="P1491" i="1"/>
  <c r="U1490" i="1"/>
  <c r="T1490" i="1"/>
  <c r="R1490" i="1"/>
  <c r="P1490" i="1"/>
  <c r="U1489" i="1"/>
  <c r="T1489" i="1"/>
  <c r="R1489" i="1"/>
  <c r="P1489" i="1"/>
  <c r="U1488" i="1"/>
  <c r="T1488" i="1"/>
  <c r="R1488" i="1"/>
  <c r="P1488" i="1"/>
  <c r="U1487" i="1"/>
  <c r="T1487" i="1"/>
  <c r="R1487" i="1"/>
  <c r="P1487" i="1"/>
  <c r="U1486" i="1"/>
  <c r="T1486" i="1"/>
  <c r="R1486" i="1"/>
  <c r="P1486" i="1"/>
  <c r="U1485" i="1"/>
  <c r="T1485" i="1"/>
  <c r="R1485" i="1"/>
  <c r="P1485" i="1"/>
  <c r="U1484" i="1"/>
  <c r="T1484" i="1"/>
  <c r="R1484" i="1"/>
  <c r="P1484" i="1"/>
  <c r="U1483" i="1"/>
  <c r="T1483" i="1"/>
  <c r="R1483" i="1"/>
  <c r="P1483" i="1"/>
  <c r="U1482" i="1"/>
  <c r="T1482" i="1"/>
  <c r="R1482" i="1"/>
  <c r="P1482" i="1"/>
  <c r="U1481" i="1"/>
  <c r="T1481" i="1"/>
  <c r="R1481" i="1"/>
  <c r="P1481" i="1"/>
  <c r="U1480" i="1"/>
  <c r="T1480" i="1"/>
  <c r="R1480" i="1"/>
  <c r="P1480" i="1"/>
  <c r="U1479" i="1"/>
  <c r="T1479" i="1"/>
  <c r="R1479" i="1"/>
  <c r="P1479" i="1"/>
  <c r="U1478" i="1"/>
  <c r="T1478" i="1"/>
  <c r="R1478" i="1"/>
  <c r="P1478" i="1"/>
  <c r="U1477" i="1"/>
  <c r="T1477" i="1"/>
  <c r="R1477" i="1"/>
  <c r="P1477" i="1"/>
  <c r="U1476" i="1"/>
  <c r="T1476" i="1"/>
  <c r="R1476" i="1"/>
  <c r="P1476" i="1"/>
  <c r="U1475" i="1"/>
  <c r="T1475" i="1"/>
  <c r="R1475" i="1"/>
  <c r="P1475" i="1"/>
  <c r="U1474" i="1"/>
  <c r="T1474" i="1"/>
  <c r="R1474" i="1"/>
  <c r="P1474" i="1"/>
  <c r="U1473" i="1"/>
  <c r="T1473" i="1"/>
  <c r="R1473" i="1"/>
  <c r="P1473" i="1"/>
  <c r="U1472" i="1"/>
  <c r="T1472" i="1"/>
  <c r="R1472" i="1"/>
  <c r="P1472" i="1"/>
  <c r="U1471" i="1"/>
  <c r="T1471" i="1"/>
  <c r="R1471" i="1"/>
  <c r="P1471" i="1"/>
  <c r="U1470" i="1"/>
  <c r="T1470" i="1"/>
  <c r="R1470" i="1"/>
  <c r="P1470" i="1"/>
  <c r="U1469" i="1"/>
  <c r="T1469" i="1"/>
  <c r="R1469" i="1"/>
  <c r="P1469" i="1"/>
  <c r="U1468" i="1"/>
  <c r="T1468" i="1"/>
  <c r="R1468" i="1"/>
  <c r="P1468" i="1"/>
  <c r="U1467" i="1"/>
  <c r="T1467" i="1"/>
  <c r="R1467" i="1"/>
  <c r="P1467" i="1"/>
  <c r="U1466" i="1"/>
  <c r="T1466" i="1"/>
  <c r="R1466" i="1"/>
  <c r="P1466" i="1"/>
  <c r="U1465" i="1"/>
  <c r="T1465" i="1"/>
  <c r="R1465" i="1"/>
  <c r="P1465" i="1"/>
  <c r="U1464" i="1"/>
  <c r="T1464" i="1"/>
  <c r="R1464" i="1"/>
  <c r="P1464" i="1"/>
  <c r="U1463" i="1"/>
  <c r="T1463" i="1"/>
  <c r="R1463" i="1"/>
  <c r="P1463" i="1"/>
  <c r="U1462" i="1"/>
  <c r="T1462" i="1"/>
  <c r="R1462" i="1"/>
  <c r="P1462" i="1"/>
  <c r="U1461" i="1"/>
  <c r="T1461" i="1"/>
  <c r="R1461" i="1"/>
  <c r="P1461" i="1"/>
  <c r="U1460" i="1"/>
  <c r="T1460" i="1"/>
  <c r="R1460" i="1"/>
  <c r="P1460" i="1"/>
  <c r="U1459" i="1"/>
  <c r="T1459" i="1"/>
  <c r="R1459" i="1"/>
  <c r="P1459" i="1"/>
  <c r="U1458" i="1"/>
  <c r="T1458" i="1"/>
  <c r="R1458" i="1"/>
  <c r="P1458" i="1"/>
  <c r="U1457" i="1"/>
  <c r="T1457" i="1"/>
  <c r="R1457" i="1"/>
  <c r="P1457" i="1"/>
  <c r="U1456" i="1"/>
  <c r="T1456" i="1"/>
  <c r="R1456" i="1"/>
  <c r="P1456" i="1"/>
  <c r="U1455" i="1"/>
  <c r="T1455" i="1"/>
  <c r="R1455" i="1"/>
  <c r="P1455" i="1"/>
  <c r="U1454" i="1"/>
  <c r="T1454" i="1"/>
  <c r="R1454" i="1"/>
  <c r="P1454" i="1"/>
  <c r="U1453" i="1"/>
  <c r="T1453" i="1"/>
  <c r="R1453" i="1"/>
  <c r="P1453" i="1"/>
  <c r="U1452" i="1"/>
  <c r="T1452" i="1"/>
  <c r="R1452" i="1"/>
  <c r="P1452" i="1"/>
  <c r="U1451" i="1"/>
  <c r="T1451" i="1"/>
  <c r="R1451" i="1"/>
  <c r="P1451" i="1"/>
  <c r="U1450" i="1"/>
  <c r="T1450" i="1"/>
  <c r="R1450" i="1"/>
  <c r="P1450" i="1"/>
  <c r="U1449" i="1"/>
  <c r="T1449" i="1"/>
  <c r="R1449" i="1"/>
  <c r="P1449" i="1"/>
  <c r="U1448" i="1"/>
  <c r="T1448" i="1"/>
  <c r="R1448" i="1"/>
  <c r="P1448" i="1"/>
  <c r="U1447" i="1"/>
  <c r="T1447" i="1"/>
  <c r="R1447" i="1"/>
  <c r="P1447" i="1"/>
  <c r="U1446" i="1"/>
  <c r="T1446" i="1"/>
  <c r="R1446" i="1"/>
  <c r="P1446" i="1"/>
  <c r="U1445" i="1"/>
  <c r="T1445" i="1"/>
  <c r="R1445" i="1"/>
  <c r="P1445" i="1"/>
  <c r="U1444" i="1"/>
  <c r="T1444" i="1"/>
  <c r="R1444" i="1"/>
  <c r="P1444" i="1"/>
  <c r="U1443" i="1"/>
  <c r="T1443" i="1"/>
  <c r="R1443" i="1"/>
  <c r="P1443" i="1"/>
  <c r="U1442" i="1"/>
  <c r="T1442" i="1"/>
  <c r="R1442" i="1"/>
  <c r="P1442" i="1"/>
  <c r="U1441" i="1"/>
  <c r="T1441" i="1"/>
  <c r="R1441" i="1"/>
  <c r="P1441" i="1"/>
  <c r="U1440" i="1"/>
  <c r="T1440" i="1"/>
  <c r="R1440" i="1"/>
  <c r="P1440" i="1"/>
  <c r="U1439" i="1"/>
  <c r="T1439" i="1"/>
  <c r="R1439" i="1"/>
  <c r="P1439" i="1"/>
  <c r="U1438" i="1"/>
  <c r="T1438" i="1"/>
  <c r="R1438" i="1"/>
  <c r="P1438" i="1"/>
  <c r="U1437" i="1"/>
  <c r="T1437" i="1"/>
  <c r="R1437" i="1"/>
  <c r="P1437" i="1"/>
  <c r="U1436" i="1"/>
  <c r="T1436" i="1"/>
  <c r="R1436" i="1"/>
  <c r="P1436" i="1"/>
  <c r="U1435" i="1"/>
  <c r="T1435" i="1"/>
  <c r="R1435" i="1"/>
  <c r="P1435" i="1"/>
  <c r="U1434" i="1"/>
  <c r="T1434" i="1"/>
  <c r="R1434" i="1"/>
  <c r="P1434" i="1"/>
  <c r="U1433" i="1"/>
  <c r="T1433" i="1"/>
  <c r="R1433" i="1"/>
  <c r="P1433" i="1"/>
  <c r="U1432" i="1"/>
  <c r="T1432" i="1"/>
  <c r="R1432" i="1"/>
  <c r="P1432" i="1"/>
  <c r="U1431" i="1"/>
  <c r="T1431" i="1"/>
  <c r="R1431" i="1"/>
  <c r="P1431" i="1"/>
  <c r="U1430" i="1"/>
  <c r="T1430" i="1"/>
  <c r="R1430" i="1"/>
  <c r="P1430" i="1"/>
  <c r="U1429" i="1"/>
  <c r="T1429" i="1"/>
  <c r="R1429" i="1"/>
  <c r="P1429" i="1"/>
  <c r="U1428" i="1"/>
  <c r="T1428" i="1"/>
  <c r="R1428" i="1"/>
  <c r="P1428" i="1"/>
  <c r="U1427" i="1"/>
  <c r="T1427" i="1"/>
  <c r="R1427" i="1"/>
  <c r="P1427" i="1"/>
  <c r="U1426" i="1"/>
  <c r="T1426" i="1"/>
  <c r="R1426" i="1"/>
  <c r="P1426" i="1"/>
  <c r="U1425" i="1"/>
  <c r="T1425" i="1"/>
  <c r="R1425" i="1"/>
  <c r="P1425" i="1"/>
  <c r="U1424" i="1"/>
  <c r="T1424" i="1"/>
  <c r="R1424" i="1"/>
  <c r="P1424" i="1"/>
  <c r="U1423" i="1"/>
  <c r="T1423" i="1"/>
  <c r="R1423" i="1"/>
  <c r="P1423" i="1"/>
  <c r="U1422" i="1"/>
  <c r="T1422" i="1"/>
  <c r="R1422" i="1"/>
  <c r="P1422" i="1"/>
  <c r="U1421" i="1"/>
  <c r="T1421" i="1"/>
  <c r="R1421" i="1"/>
  <c r="P1421" i="1"/>
  <c r="U1420" i="1"/>
  <c r="T1420" i="1"/>
  <c r="R1420" i="1"/>
  <c r="P1420" i="1"/>
  <c r="U1419" i="1"/>
  <c r="T1419" i="1"/>
  <c r="R1419" i="1"/>
  <c r="P1419" i="1"/>
  <c r="U1418" i="1"/>
  <c r="T1418" i="1"/>
  <c r="R1418" i="1"/>
  <c r="P1418" i="1"/>
  <c r="U1417" i="1"/>
  <c r="T1417" i="1"/>
  <c r="R1417" i="1"/>
  <c r="P1417" i="1"/>
  <c r="U1416" i="1"/>
  <c r="T1416" i="1"/>
  <c r="R1416" i="1"/>
  <c r="P1416" i="1"/>
  <c r="U1415" i="1"/>
  <c r="T1415" i="1"/>
  <c r="R1415" i="1"/>
  <c r="P1415" i="1"/>
  <c r="U1414" i="1"/>
  <c r="T1414" i="1"/>
  <c r="R1414" i="1"/>
  <c r="P1414" i="1"/>
  <c r="U1413" i="1"/>
  <c r="T1413" i="1"/>
  <c r="R1413" i="1"/>
  <c r="P1413" i="1"/>
  <c r="U1412" i="1"/>
  <c r="T1412" i="1"/>
  <c r="R1412" i="1"/>
  <c r="P1412" i="1"/>
  <c r="U1411" i="1"/>
  <c r="T1411" i="1"/>
  <c r="R1411" i="1"/>
  <c r="P1411" i="1"/>
  <c r="U1410" i="1"/>
  <c r="T1410" i="1"/>
  <c r="R1410" i="1"/>
  <c r="P1410" i="1"/>
  <c r="U1409" i="1"/>
  <c r="T1409" i="1"/>
  <c r="R1409" i="1"/>
  <c r="P1409" i="1"/>
  <c r="U1408" i="1"/>
  <c r="T1408" i="1"/>
  <c r="R1408" i="1"/>
  <c r="P1408" i="1"/>
  <c r="U1407" i="1"/>
  <c r="T1407" i="1"/>
  <c r="R1407" i="1"/>
  <c r="P1407" i="1"/>
  <c r="U1406" i="1"/>
  <c r="T1406" i="1"/>
  <c r="R1406" i="1"/>
  <c r="P1406" i="1"/>
  <c r="U1405" i="1"/>
  <c r="T1405" i="1"/>
  <c r="R1405" i="1"/>
  <c r="P1405" i="1"/>
  <c r="U1404" i="1"/>
  <c r="T1404" i="1"/>
  <c r="R1404" i="1"/>
  <c r="P1404" i="1"/>
  <c r="U1403" i="1"/>
  <c r="T1403" i="1"/>
  <c r="R1403" i="1"/>
  <c r="P1403" i="1"/>
  <c r="U1402" i="1"/>
  <c r="T1402" i="1"/>
  <c r="R1402" i="1"/>
  <c r="P1402" i="1"/>
  <c r="U1401" i="1"/>
  <c r="T1401" i="1"/>
  <c r="R1401" i="1"/>
  <c r="P1401" i="1"/>
  <c r="U1400" i="1"/>
  <c r="T1400" i="1"/>
  <c r="R1400" i="1"/>
  <c r="P1400" i="1"/>
  <c r="U1399" i="1"/>
  <c r="T1399" i="1"/>
  <c r="R1399" i="1"/>
  <c r="P1399" i="1"/>
  <c r="U1398" i="1"/>
  <c r="T1398" i="1"/>
  <c r="R1398" i="1"/>
  <c r="P1398" i="1"/>
  <c r="U1397" i="1"/>
  <c r="T1397" i="1"/>
  <c r="R1397" i="1"/>
  <c r="P1397" i="1"/>
  <c r="U1396" i="1"/>
  <c r="T1396" i="1"/>
  <c r="R1396" i="1"/>
  <c r="P1396" i="1"/>
  <c r="U1395" i="1"/>
  <c r="T1395" i="1"/>
  <c r="R1395" i="1"/>
  <c r="P1395" i="1"/>
  <c r="U1394" i="1"/>
  <c r="T1394" i="1"/>
  <c r="R1394" i="1"/>
  <c r="P1394" i="1"/>
  <c r="U1393" i="1"/>
  <c r="T1393" i="1"/>
  <c r="R1393" i="1"/>
  <c r="P1393" i="1"/>
  <c r="U1392" i="1"/>
  <c r="T1392" i="1"/>
  <c r="R1392" i="1"/>
  <c r="P1392" i="1"/>
  <c r="U1391" i="1"/>
  <c r="T1391" i="1"/>
  <c r="R1391" i="1"/>
  <c r="P1391" i="1"/>
  <c r="U1390" i="1"/>
  <c r="T1390" i="1"/>
  <c r="R1390" i="1"/>
  <c r="P1390" i="1"/>
  <c r="U1389" i="1"/>
  <c r="T1389" i="1"/>
  <c r="R1389" i="1"/>
  <c r="P1389" i="1"/>
  <c r="U1388" i="1"/>
  <c r="T1388" i="1"/>
  <c r="R1388" i="1"/>
  <c r="P1388" i="1"/>
  <c r="U1387" i="1"/>
  <c r="T1387" i="1"/>
  <c r="R1387" i="1"/>
  <c r="P1387" i="1"/>
  <c r="U1386" i="1"/>
  <c r="T1386" i="1"/>
  <c r="R1386" i="1"/>
  <c r="P1386" i="1"/>
  <c r="U1385" i="1"/>
  <c r="T1385" i="1"/>
  <c r="R1385" i="1"/>
  <c r="P1385" i="1"/>
  <c r="U1384" i="1"/>
  <c r="T1384" i="1"/>
  <c r="R1384" i="1"/>
  <c r="P1384" i="1"/>
  <c r="U1383" i="1"/>
  <c r="T1383" i="1"/>
  <c r="R1383" i="1"/>
  <c r="P1383" i="1"/>
  <c r="U1382" i="1"/>
  <c r="T1382" i="1"/>
  <c r="R1382" i="1"/>
  <c r="P1382" i="1"/>
  <c r="U1381" i="1"/>
  <c r="T1381" i="1"/>
  <c r="R1381" i="1"/>
  <c r="P1381" i="1"/>
  <c r="U1380" i="1"/>
  <c r="T1380" i="1"/>
  <c r="R1380" i="1"/>
  <c r="P1380" i="1"/>
  <c r="U1379" i="1"/>
  <c r="T1379" i="1"/>
  <c r="R1379" i="1"/>
  <c r="P1379" i="1"/>
  <c r="U1378" i="1"/>
  <c r="T1378" i="1"/>
  <c r="R1378" i="1"/>
  <c r="P1378" i="1"/>
  <c r="U1377" i="1"/>
  <c r="T1377" i="1"/>
  <c r="R1377" i="1"/>
  <c r="P1377" i="1"/>
  <c r="U1376" i="1"/>
  <c r="T1376" i="1"/>
  <c r="R1376" i="1"/>
  <c r="P1376" i="1"/>
  <c r="U1375" i="1"/>
  <c r="T1375" i="1"/>
  <c r="R1375" i="1"/>
  <c r="P1375" i="1"/>
  <c r="U1374" i="1"/>
  <c r="T1374" i="1"/>
  <c r="R1374" i="1"/>
  <c r="P1374" i="1"/>
  <c r="U1373" i="1"/>
  <c r="T1373" i="1"/>
  <c r="R1373" i="1"/>
  <c r="P1373" i="1"/>
  <c r="U1372" i="1"/>
  <c r="T1372" i="1"/>
  <c r="R1372" i="1"/>
  <c r="P1372" i="1"/>
  <c r="U1371" i="1"/>
  <c r="T1371" i="1"/>
  <c r="R1371" i="1"/>
  <c r="P1371" i="1"/>
  <c r="U1370" i="1"/>
  <c r="T1370" i="1"/>
  <c r="R1370" i="1"/>
  <c r="P1370" i="1"/>
  <c r="U1369" i="1"/>
  <c r="T1369" i="1"/>
  <c r="R1369" i="1"/>
  <c r="P1369" i="1"/>
  <c r="U1368" i="1"/>
  <c r="T1368" i="1"/>
  <c r="R1368" i="1"/>
  <c r="P1368" i="1"/>
  <c r="U1367" i="1"/>
  <c r="T1367" i="1"/>
  <c r="R1367" i="1"/>
  <c r="P1367" i="1"/>
  <c r="U1366" i="1"/>
  <c r="T1366" i="1"/>
  <c r="R1366" i="1"/>
  <c r="P1366" i="1"/>
  <c r="U1365" i="1"/>
  <c r="T1365" i="1"/>
  <c r="R1365" i="1"/>
  <c r="P1365" i="1"/>
  <c r="U1364" i="1"/>
  <c r="T1364" i="1"/>
  <c r="R1364" i="1"/>
  <c r="P1364" i="1"/>
  <c r="U1363" i="1"/>
  <c r="T1363" i="1"/>
  <c r="R1363" i="1"/>
  <c r="P1363" i="1"/>
  <c r="U1362" i="1"/>
  <c r="T1362" i="1"/>
  <c r="R1362" i="1"/>
  <c r="P1362" i="1"/>
  <c r="U1361" i="1"/>
  <c r="T1361" i="1"/>
  <c r="R1361" i="1"/>
  <c r="P1361" i="1"/>
  <c r="U1360" i="1"/>
  <c r="T1360" i="1"/>
  <c r="R1360" i="1"/>
  <c r="P1360" i="1"/>
  <c r="U1359" i="1"/>
  <c r="T1359" i="1"/>
  <c r="R1359" i="1"/>
  <c r="P1359" i="1"/>
  <c r="U1358" i="1"/>
  <c r="T1358" i="1"/>
  <c r="R1358" i="1"/>
  <c r="P1358" i="1"/>
  <c r="U1357" i="1"/>
  <c r="T1357" i="1"/>
  <c r="R1357" i="1"/>
  <c r="P1357" i="1"/>
  <c r="U1356" i="1"/>
  <c r="T1356" i="1"/>
  <c r="R1356" i="1"/>
  <c r="P1356" i="1"/>
  <c r="U1355" i="1"/>
  <c r="T1355" i="1"/>
  <c r="R1355" i="1"/>
  <c r="P1355" i="1"/>
  <c r="U1354" i="1"/>
  <c r="T1354" i="1"/>
  <c r="R1354" i="1"/>
  <c r="P1354" i="1"/>
  <c r="U1353" i="1"/>
  <c r="T1353" i="1"/>
  <c r="R1353" i="1"/>
  <c r="P1353" i="1"/>
  <c r="U1352" i="1"/>
  <c r="T1352" i="1"/>
  <c r="R1352" i="1"/>
  <c r="P1352" i="1"/>
  <c r="U1351" i="1"/>
  <c r="T1351" i="1"/>
  <c r="R1351" i="1"/>
  <c r="P1351" i="1"/>
  <c r="U1350" i="1"/>
  <c r="T1350" i="1"/>
  <c r="R1350" i="1"/>
  <c r="P1350" i="1"/>
  <c r="U1349" i="1"/>
  <c r="T1349" i="1"/>
  <c r="R1349" i="1"/>
  <c r="P1349" i="1"/>
  <c r="U1348" i="1"/>
  <c r="T1348" i="1"/>
  <c r="R1348" i="1"/>
  <c r="P1348" i="1"/>
  <c r="U1347" i="1"/>
  <c r="T1347" i="1"/>
  <c r="R1347" i="1"/>
  <c r="P1347" i="1"/>
  <c r="U1346" i="1"/>
  <c r="T1346" i="1"/>
  <c r="R1346" i="1"/>
  <c r="P1346" i="1"/>
  <c r="U1345" i="1"/>
  <c r="T1345" i="1"/>
  <c r="R1345" i="1"/>
  <c r="P1345" i="1"/>
  <c r="U1344" i="1"/>
  <c r="T1344" i="1"/>
  <c r="R1344" i="1"/>
  <c r="P1344" i="1"/>
  <c r="U1343" i="1"/>
  <c r="T1343" i="1"/>
  <c r="R1343" i="1"/>
  <c r="P1343" i="1"/>
  <c r="U1342" i="1"/>
  <c r="T1342" i="1"/>
  <c r="R1342" i="1"/>
  <c r="P1342" i="1"/>
  <c r="U1341" i="1"/>
  <c r="T1341" i="1"/>
  <c r="R1341" i="1"/>
  <c r="P1341" i="1"/>
  <c r="U1340" i="1"/>
  <c r="T1340" i="1"/>
  <c r="R1340" i="1"/>
  <c r="P1340" i="1"/>
  <c r="U1339" i="1"/>
  <c r="T1339" i="1"/>
  <c r="R1339" i="1"/>
  <c r="P1339" i="1"/>
  <c r="U1338" i="1"/>
  <c r="T1338" i="1"/>
  <c r="R1338" i="1"/>
  <c r="P1338" i="1"/>
  <c r="U1337" i="1"/>
  <c r="T1337" i="1"/>
  <c r="R1337" i="1"/>
  <c r="P1337" i="1"/>
  <c r="U1336" i="1"/>
  <c r="T1336" i="1"/>
  <c r="R1336" i="1"/>
  <c r="P1336" i="1"/>
  <c r="U1335" i="1"/>
  <c r="T1335" i="1"/>
  <c r="R1335" i="1"/>
  <c r="P1335" i="1"/>
  <c r="U1334" i="1"/>
  <c r="T1334" i="1"/>
  <c r="R1334" i="1"/>
  <c r="P1334" i="1"/>
  <c r="U1333" i="1"/>
  <c r="T1333" i="1"/>
  <c r="R1333" i="1"/>
  <c r="P1333" i="1"/>
  <c r="U1332" i="1"/>
  <c r="T1332" i="1"/>
  <c r="R1332" i="1"/>
  <c r="P1332" i="1"/>
  <c r="U1331" i="1"/>
  <c r="T1331" i="1"/>
  <c r="R1331" i="1"/>
  <c r="P1331" i="1"/>
  <c r="U1330" i="1"/>
  <c r="T1330" i="1"/>
  <c r="R1330" i="1"/>
  <c r="P1330" i="1"/>
  <c r="U1329" i="1"/>
  <c r="T1329" i="1"/>
  <c r="R1329" i="1"/>
  <c r="P1329" i="1"/>
  <c r="U1328" i="1"/>
  <c r="T1328" i="1"/>
  <c r="R1328" i="1"/>
  <c r="P1328" i="1"/>
  <c r="U1327" i="1"/>
  <c r="T1327" i="1"/>
  <c r="R1327" i="1"/>
  <c r="P1327" i="1"/>
  <c r="U1326" i="1"/>
  <c r="T1326" i="1"/>
  <c r="R1326" i="1"/>
  <c r="P1326" i="1"/>
  <c r="U1325" i="1"/>
  <c r="T1325" i="1"/>
  <c r="R1325" i="1"/>
  <c r="P1325" i="1"/>
  <c r="U1324" i="1"/>
  <c r="T1324" i="1"/>
  <c r="R1324" i="1"/>
  <c r="P1324" i="1"/>
  <c r="U1323" i="1"/>
  <c r="T1323" i="1"/>
  <c r="R1323" i="1"/>
  <c r="P1323" i="1"/>
  <c r="U1322" i="1"/>
  <c r="T1322" i="1"/>
  <c r="R1322" i="1"/>
  <c r="P1322" i="1"/>
  <c r="U1321" i="1"/>
  <c r="T1321" i="1"/>
  <c r="R1321" i="1"/>
  <c r="P1321" i="1"/>
  <c r="U1320" i="1"/>
  <c r="T1320" i="1"/>
  <c r="R1320" i="1"/>
  <c r="P1320" i="1"/>
  <c r="U1319" i="1"/>
  <c r="T1319" i="1"/>
  <c r="R1319" i="1"/>
  <c r="P1319" i="1"/>
  <c r="U1318" i="1"/>
  <c r="T1318" i="1"/>
  <c r="R1318" i="1"/>
  <c r="P1318" i="1"/>
  <c r="U1317" i="1"/>
  <c r="T1317" i="1"/>
  <c r="R1317" i="1"/>
  <c r="P1317" i="1"/>
  <c r="U1316" i="1"/>
  <c r="T1316" i="1"/>
  <c r="R1316" i="1"/>
  <c r="P1316" i="1"/>
  <c r="U1315" i="1"/>
  <c r="T1315" i="1"/>
  <c r="R1315" i="1"/>
  <c r="P1315" i="1"/>
  <c r="U1314" i="1"/>
  <c r="T1314" i="1"/>
  <c r="R1314" i="1"/>
  <c r="P1314" i="1"/>
  <c r="U1313" i="1"/>
  <c r="T1313" i="1"/>
  <c r="R1313" i="1"/>
  <c r="P1313" i="1"/>
  <c r="U1312" i="1"/>
  <c r="T1312" i="1"/>
  <c r="R1312" i="1"/>
  <c r="P1312" i="1"/>
  <c r="U1311" i="1"/>
  <c r="T1311" i="1"/>
  <c r="R1311" i="1"/>
  <c r="P1311" i="1"/>
  <c r="U1310" i="1"/>
  <c r="T1310" i="1"/>
  <c r="R1310" i="1"/>
  <c r="P1310" i="1"/>
  <c r="U1309" i="1"/>
  <c r="T1309" i="1"/>
  <c r="R1309" i="1"/>
  <c r="P1309" i="1"/>
  <c r="U1308" i="1"/>
  <c r="T1308" i="1"/>
  <c r="R1308" i="1"/>
  <c r="P1308" i="1"/>
  <c r="U1307" i="1"/>
  <c r="T1307" i="1"/>
  <c r="R1307" i="1"/>
  <c r="P1307" i="1"/>
  <c r="U1306" i="1"/>
  <c r="T1306" i="1"/>
  <c r="R1306" i="1"/>
  <c r="P1306" i="1"/>
  <c r="U1305" i="1"/>
  <c r="T1305" i="1"/>
  <c r="R1305" i="1"/>
  <c r="P1305" i="1"/>
  <c r="U1304" i="1"/>
  <c r="T1304" i="1"/>
  <c r="R1304" i="1"/>
  <c r="P1304" i="1"/>
  <c r="U1303" i="1"/>
  <c r="T1303" i="1"/>
  <c r="R1303" i="1"/>
  <c r="P1303" i="1"/>
  <c r="U1302" i="1"/>
  <c r="T1302" i="1"/>
  <c r="R1302" i="1"/>
  <c r="P1302" i="1"/>
  <c r="U1301" i="1"/>
  <c r="T1301" i="1"/>
  <c r="R1301" i="1"/>
  <c r="P1301" i="1"/>
  <c r="U1300" i="1"/>
  <c r="T1300" i="1"/>
  <c r="R1300" i="1"/>
  <c r="P1300" i="1"/>
  <c r="U1299" i="1"/>
  <c r="T1299" i="1"/>
  <c r="R1299" i="1"/>
  <c r="P1299" i="1"/>
  <c r="U1298" i="1"/>
  <c r="T1298" i="1"/>
  <c r="R1298" i="1"/>
  <c r="P1298" i="1"/>
  <c r="U1297" i="1"/>
  <c r="T1297" i="1"/>
  <c r="R1297" i="1"/>
  <c r="P1297" i="1"/>
  <c r="U1296" i="1"/>
  <c r="T1296" i="1"/>
  <c r="R1296" i="1"/>
  <c r="P1296" i="1"/>
  <c r="U1295" i="1"/>
  <c r="T1295" i="1"/>
  <c r="R1295" i="1"/>
  <c r="P1295" i="1"/>
  <c r="U1294" i="1"/>
  <c r="T1294" i="1"/>
  <c r="R1294" i="1"/>
  <c r="P1294" i="1"/>
  <c r="U1293" i="1"/>
  <c r="T1293" i="1"/>
  <c r="R1293" i="1"/>
  <c r="P1293" i="1"/>
  <c r="U1292" i="1"/>
  <c r="T1292" i="1"/>
  <c r="R1292" i="1"/>
  <c r="P1292" i="1"/>
  <c r="U1291" i="1"/>
  <c r="T1291" i="1"/>
  <c r="R1291" i="1"/>
  <c r="P1291" i="1"/>
  <c r="U1290" i="1"/>
  <c r="T1290" i="1"/>
  <c r="R1290" i="1"/>
  <c r="P1290" i="1"/>
  <c r="U1289" i="1"/>
  <c r="T1289" i="1"/>
  <c r="R1289" i="1"/>
  <c r="P1289" i="1"/>
  <c r="U1288" i="1"/>
  <c r="T1288" i="1"/>
  <c r="R1288" i="1"/>
  <c r="P1288" i="1"/>
  <c r="U1287" i="1"/>
  <c r="T1287" i="1"/>
  <c r="R1287" i="1"/>
  <c r="P1287" i="1"/>
  <c r="U1286" i="1"/>
  <c r="T1286" i="1"/>
  <c r="R1286" i="1"/>
  <c r="P1286" i="1"/>
  <c r="U1285" i="1"/>
  <c r="T1285" i="1"/>
  <c r="R1285" i="1"/>
  <c r="P1285" i="1"/>
  <c r="U1284" i="1"/>
  <c r="T1284" i="1"/>
  <c r="R1284" i="1"/>
  <c r="P1284" i="1"/>
  <c r="U1283" i="1"/>
  <c r="T1283" i="1"/>
  <c r="R1283" i="1"/>
  <c r="P1283" i="1"/>
  <c r="U1282" i="1"/>
  <c r="T1282" i="1"/>
  <c r="R1282" i="1"/>
  <c r="P1282" i="1"/>
  <c r="U1281" i="1"/>
  <c r="T1281" i="1"/>
  <c r="R1281" i="1"/>
  <c r="P1281" i="1"/>
  <c r="U1280" i="1"/>
  <c r="T1280" i="1"/>
  <c r="R1280" i="1"/>
  <c r="P1280" i="1"/>
  <c r="U1279" i="1"/>
  <c r="T1279" i="1"/>
  <c r="R1279" i="1"/>
  <c r="P1279" i="1"/>
  <c r="U1278" i="1"/>
  <c r="T1278" i="1"/>
  <c r="R1278" i="1"/>
  <c r="P1278" i="1"/>
  <c r="U1277" i="1"/>
  <c r="T1277" i="1"/>
  <c r="R1277" i="1"/>
  <c r="P1277" i="1"/>
  <c r="U1276" i="1"/>
  <c r="T1276" i="1"/>
  <c r="R1276" i="1"/>
  <c r="P1276" i="1"/>
  <c r="U1275" i="1"/>
  <c r="T1275" i="1"/>
  <c r="R1275" i="1"/>
  <c r="P1275" i="1"/>
  <c r="U1274" i="1"/>
  <c r="T1274" i="1"/>
  <c r="R1274" i="1"/>
  <c r="P1274" i="1"/>
  <c r="U1273" i="1"/>
  <c r="T1273" i="1"/>
  <c r="R1273" i="1"/>
  <c r="P1273" i="1"/>
  <c r="U1272" i="1"/>
  <c r="T1272" i="1"/>
  <c r="R1272" i="1"/>
  <c r="P1272" i="1"/>
  <c r="U1271" i="1"/>
  <c r="T1271" i="1"/>
  <c r="R1271" i="1"/>
  <c r="P1271" i="1"/>
  <c r="U1270" i="1"/>
  <c r="T1270" i="1"/>
  <c r="R1270" i="1"/>
  <c r="P1270" i="1"/>
  <c r="U1269" i="1"/>
  <c r="T1269" i="1"/>
  <c r="R1269" i="1"/>
  <c r="P1269" i="1"/>
  <c r="U1268" i="1"/>
  <c r="T1268" i="1"/>
  <c r="R1268" i="1"/>
  <c r="P1268" i="1"/>
  <c r="U1267" i="1"/>
  <c r="T1267" i="1"/>
  <c r="R1267" i="1"/>
  <c r="P1267" i="1"/>
  <c r="U1266" i="1"/>
  <c r="T1266" i="1"/>
  <c r="R1266" i="1"/>
  <c r="P1266" i="1"/>
  <c r="U1265" i="1"/>
  <c r="T1265" i="1"/>
  <c r="R1265" i="1"/>
  <c r="P1265" i="1"/>
  <c r="U1264" i="1"/>
  <c r="T1264" i="1"/>
  <c r="R1264" i="1"/>
  <c r="P1264" i="1"/>
  <c r="U1263" i="1"/>
  <c r="T1263" i="1"/>
  <c r="R1263" i="1"/>
  <c r="P1263" i="1"/>
  <c r="U1262" i="1"/>
  <c r="T1262" i="1"/>
  <c r="R1262" i="1"/>
  <c r="P1262" i="1"/>
  <c r="U1261" i="1"/>
  <c r="T1261" i="1"/>
  <c r="R1261" i="1"/>
  <c r="P1261" i="1"/>
  <c r="U1260" i="1"/>
  <c r="T1260" i="1"/>
  <c r="R1260" i="1"/>
  <c r="P1260" i="1"/>
  <c r="U1259" i="1"/>
  <c r="T1259" i="1"/>
  <c r="R1259" i="1"/>
  <c r="P1259" i="1"/>
  <c r="U1258" i="1"/>
  <c r="T1258" i="1"/>
  <c r="R1258" i="1"/>
  <c r="P1258" i="1"/>
  <c r="U1257" i="1"/>
  <c r="T1257" i="1"/>
  <c r="R1257" i="1"/>
  <c r="P1257" i="1"/>
  <c r="U1256" i="1"/>
  <c r="T1256" i="1"/>
  <c r="R1256" i="1"/>
  <c r="P1256" i="1"/>
  <c r="U1255" i="1"/>
  <c r="T1255" i="1"/>
  <c r="R1255" i="1"/>
  <c r="P1255" i="1"/>
  <c r="U1254" i="1"/>
  <c r="T1254" i="1"/>
  <c r="R1254" i="1"/>
  <c r="P1254" i="1"/>
  <c r="U1253" i="1"/>
  <c r="T1253" i="1"/>
  <c r="R1253" i="1"/>
  <c r="P1253" i="1"/>
  <c r="U1252" i="1"/>
  <c r="T1252" i="1"/>
  <c r="R1252" i="1"/>
  <c r="P1252" i="1"/>
  <c r="U1251" i="1"/>
  <c r="T1251" i="1"/>
  <c r="R1251" i="1"/>
  <c r="P1251" i="1"/>
  <c r="U1250" i="1"/>
  <c r="T1250" i="1"/>
  <c r="R1250" i="1"/>
  <c r="P1250" i="1"/>
  <c r="U1249" i="1"/>
  <c r="T1249" i="1"/>
  <c r="R1249" i="1"/>
  <c r="P1249" i="1"/>
  <c r="U1248" i="1"/>
  <c r="T1248" i="1"/>
  <c r="R1248" i="1"/>
  <c r="P1248" i="1"/>
  <c r="U1247" i="1"/>
  <c r="T1247" i="1"/>
  <c r="R1247" i="1"/>
  <c r="P1247" i="1"/>
  <c r="U1246" i="1"/>
  <c r="T1246" i="1"/>
  <c r="R1246" i="1"/>
  <c r="P1246" i="1"/>
  <c r="U1245" i="1"/>
  <c r="T1245" i="1"/>
  <c r="R1245" i="1"/>
  <c r="P1245" i="1"/>
  <c r="U1244" i="1"/>
  <c r="T1244" i="1"/>
  <c r="R1244" i="1"/>
  <c r="P1244" i="1"/>
  <c r="U1243" i="1"/>
  <c r="T1243" i="1"/>
  <c r="R1243" i="1"/>
  <c r="P1243" i="1"/>
  <c r="U1242" i="1"/>
  <c r="T1242" i="1"/>
  <c r="R1242" i="1"/>
  <c r="P1242" i="1"/>
  <c r="U1241" i="1"/>
  <c r="T1241" i="1"/>
  <c r="R1241" i="1"/>
  <c r="P1241" i="1"/>
  <c r="U1240" i="1"/>
  <c r="T1240" i="1"/>
  <c r="R1240" i="1"/>
  <c r="P1240" i="1"/>
  <c r="U1239" i="1"/>
  <c r="T1239" i="1"/>
  <c r="R1239" i="1"/>
  <c r="P1239" i="1"/>
  <c r="U1238" i="1"/>
  <c r="T1238" i="1"/>
  <c r="R1238" i="1"/>
  <c r="P1238" i="1"/>
  <c r="U1237" i="1"/>
  <c r="T1237" i="1"/>
  <c r="R1237" i="1"/>
  <c r="P1237" i="1"/>
  <c r="U1236" i="1"/>
  <c r="T1236" i="1"/>
  <c r="R1236" i="1"/>
  <c r="P1236" i="1"/>
  <c r="U1235" i="1"/>
  <c r="T1235" i="1"/>
  <c r="R1235" i="1"/>
  <c r="P1235" i="1"/>
  <c r="U1234" i="1"/>
  <c r="T1234" i="1"/>
  <c r="R1234" i="1"/>
  <c r="P1234" i="1"/>
  <c r="U1233" i="1"/>
  <c r="T1233" i="1"/>
  <c r="R1233" i="1"/>
  <c r="P1233" i="1"/>
  <c r="U1232" i="1"/>
  <c r="T1232" i="1"/>
  <c r="R1232" i="1"/>
  <c r="P1232" i="1"/>
  <c r="U1231" i="1"/>
  <c r="T1231" i="1"/>
  <c r="R1231" i="1"/>
  <c r="P1231" i="1"/>
  <c r="U1230" i="1"/>
  <c r="T1230" i="1"/>
  <c r="R1230" i="1"/>
  <c r="P1230" i="1"/>
  <c r="U1229" i="1"/>
  <c r="T1229" i="1"/>
  <c r="R1229" i="1"/>
  <c r="P1229" i="1"/>
  <c r="U1228" i="1"/>
  <c r="T1228" i="1"/>
  <c r="R1228" i="1"/>
  <c r="P1228" i="1"/>
  <c r="U1227" i="1"/>
  <c r="T1227" i="1"/>
  <c r="R1227" i="1"/>
  <c r="P1227" i="1"/>
  <c r="U1226" i="1"/>
  <c r="T1226" i="1"/>
  <c r="R1226" i="1"/>
  <c r="P1226" i="1"/>
  <c r="U1225" i="1"/>
  <c r="T1225" i="1"/>
  <c r="R1225" i="1"/>
  <c r="P1225" i="1"/>
  <c r="U1224" i="1"/>
  <c r="T1224" i="1"/>
  <c r="R1224" i="1"/>
  <c r="P1224" i="1"/>
  <c r="U1223" i="1"/>
  <c r="T1223" i="1"/>
  <c r="R1223" i="1"/>
  <c r="P1223" i="1"/>
  <c r="U1222" i="1"/>
  <c r="T1222" i="1"/>
  <c r="R1222" i="1"/>
  <c r="P1222" i="1"/>
  <c r="U1221" i="1"/>
  <c r="T1221" i="1"/>
  <c r="R1221" i="1"/>
  <c r="P1221" i="1"/>
  <c r="U1220" i="1"/>
  <c r="T1220" i="1"/>
  <c r="R1220" i="1"/>
  <c r="P1220" i="1"/>
  <c r="U1219" i="1"/>
  <c r="T1219" i="1"/>
  <c r="R1219" i="1"/>
  <c r="P1219" i="1"/>
  <c r="U1218" i="1"/>
  <c r="T1218" i="1"/>
  <c r="R1218" i="1"/>
  <c r="P1218" i="1"/>
  <c r="U1217" i="1"/>
  <c r="T1217" i="1"/>
  <c r="R1217" i="1"/>
  <c r="P1217" i="1"/>
  <c r="U1216" i="1"/>
  <c r="T1216" i="1"/>
  <c r="R1216" i="1"/>
  <c r="P1216" i="1"/>
  <c r="U1215" i="1"/>
  <c r="T1215" i="1"/>
  <c r="R1215" i="1"/>
  <c r="P1215" i="1"/>
  <c r="U1214" i="1"/>
  <c r="T1214" i="1"/>
  <c r="R1214" i="1"/>
  <c r="P1214" i="1"/>
  <c r="U1213" i="1"/>
  <c r="T1213" i="1"/>
  <c r="R1213" i="1"/>
  <c r="P1213" i="1"/>
  <c r="U1212" i="1"/>
  <c r="T1212" i="1"/>
  <c r="R1212" i="1"/>
  <c r="P1212" i="1"/>
  <c r="U1211" i="1"/>
  <c r="T1211" i="1"/>
  <c r="R1211" i="1"/>
  <c r="P1211" i="1"/>
  <c r="U1210" i="1"/>
  <c r="T1210" i="1"/>
  <c r="R1210" i="1"/>
  <c r="P1210" i="1"/>
  <c r="U1209" i="1"/>
  <c r="T1209" i="1"/>
  <c r="R1209" i="1"/>
  <c r="P1209" i="1"/>
  <c r="U1208" i="1"/>
  <c r="T1208" i="1"/>
  <c r="R1208" i="1"/>
  <c r="P1208" i="1"/>
  <c r="U1207" i="1"/>
  <c r="T1207" i="1"/>
  <c r="R1207" i="1"/>
  <c r="P1207" i="1"/>
  <c r="U1206" i="1"/>
  <c r="T1206" i="1"/>
  <c r="R1206" i="1"/>
  <c r="P1206" i="1"/>
  <c r="U1205" i="1"/>
  <c r="T1205" i="1"/>
  <c r="R1205" i="1"/>
  <c r="P1205" i="1"/>
  <c r="U1204" i="1"/>
  <c r="T1204" i="1"/>
  <c r="R1204" i="1"/>
  <c r="P1204" i="1"/>
  <c r="U1203" i="1"/>
  <c r="T1203" i="1"/>
  <c r="R1203" i="1"/>
  <c r="P1203" i="1"/>
  <c r="U1202" i="1"/>
  <c r="T1202" i="1"/>
  <c r="R1202" i="1"/>
  <c r="P1202" i="1"/>
  <c r="U1201" i="1"/>
  <c r="T1201" i="1"/>
  <c r="R1201" i="1"/>
  <c r="P1201" i="1"/>
  <c r="U1200" i="1"/>
  <c r="T1200" i="1"/>
  <c r="R1200" i="1"/>
  <c r="P1200" i="1"/>
  <c r="U1199" i="1"/>
  <c r="T1199" i="1"/>
  <c r="R1199" i="1"/>
  <c r="P1199" i="1"/>
  <c r="U1198" i="1"/>
  <c r="T1198" i="1"/>
  <c r="R1198" i="1"/>
  <c r="P1198" i="1"/>
  <c r="U1197" i="1"/>
  <c r="T1197" i="1"/>
  <c r="R1197" i="1"/>
  <c r="P1197" i="1"/>
  <c r="U1196" i="1"/>
  <c r="T1196" i="1"/>
  <c r="R1196" i="1"/>
  <c r="P1196" i="1"/>
  <c r="U1195" i="1"/>
  <c r="T1195" i="1"/>
  <c r="R1195" i="1"/>
  <c r="P1195" i="1"/>
  <c r="U1194" i="1"/>
  <c r="T1194" i="1"/>
  <c r="R1194" i="1"/>
  <c r="P1194" i="1"/>
  <c r="U1193" i="1"/>
  <c r="T1193" i="1"/>
  <c r="R1193" i="1"/>
  <c r="P1193" i="1"/>
  <c r="U1192" i="1"/>
  <c r="T1192" i="1"/>
  <c r="R1192" i="1"/>
  <c r="P1192" i="1"/>
  <c r="U1191" i="1"/>
  <c r="T1191" i="1"/>
  <c r="R1191" i="1"/>
  <c r="P1191" i="1"/>
  <c r="U1190" i="1"/>
  <c r="T1190" i="1"/>
  <c r="R1190" i="1"/>
  <c r="P1190" i="1"/>
  <c r="U1189" i="1"/>
  <c r="T1189" i="1"/>
  <c r="R1189" i="1"/>
  <c r="P1189" i="1"/>
  <c r="U1188" i="1"/>
  <c r="T1188" i="1"/>
  <c r="R1188" i="1"/>
  <c r="P1188" i="1"/>
  <c r="U1187" i="1"/>
  <c r="T1187" i="1"/>
  <c r="R1187" i="1"/>
  <c r="P1187" i="1"/>
  <c r="U1186" i="1"/>
  <c r="T1186" i="1"/>
  <c r="R1186" i="1"/>
  <c r="P1186" i="1"/>
  <c r="U1185" i="1"/>
  <c r="T1185" i="1"/>
  <c r="R1185" i="1"/>
  <c r="P1185" i="1"/>
  <c r="U1184" i="1"/>
  <c r="T1184" i="1"/>
  <c r="R1184" i="1"/>
  <c r="P1184" i="1"/>
  <c r="U1183" i="1"/>
  <c r="T1183" i="1"/>
  <c r="R1183" i="1"/>
  <c r="P1183" i="1"/>
  <c r="U1182" i="1"/>
  <c r="T1182" i="1"/>
  <c r="R1182" i="1"/>
  <c r="P1182" i="1"/>
  <c r="U1181" i="1"/>
  <c r="T1181" i="1"/>
  <c r="R1181" i="1"/>
  <c r="P1181" i="1"/>
  <c r="U1180" i="1"/>
  <c r="T1180" i="1"/>
  <c r="R1180" i="1"/>
  <c r="P1180" i="1"/>
  <c r="U1179" i="1"/>
  <c r="T1179" i="1"/>
  <c r="R1179" i="1"/>
  <c r="P1179" i="1"/>
  <c r="U1178" i="1"/>
  <c r="T1178" i="1"/>
  <c r="R1178" i="1"/>
  <c r="P1178" i="1"/>
  <c r="U1177" i="1"/>
  <c r="T1177" i="1"/>
  <c r="R1177" i="1"/>
  <c r="P1177" i="1"/>
  <c r="U1176" i="1"/>
  <c r="T1176" i="1"/>
  <c r="R1176" i="1"/>
  <c r="P1176" i="1"/>
  <c r="U1175" i="1"/>
  <c r="T1175" i="1"/>
  <c r="R1175" i="1"/>
  <c r="P1175" i="1"/>
  <c r="U1174" i="1"/>
  <c r="T1174" i="1"/>
  <c r="R1174" i="1"/>
  <c r="P1174" i="1"/>
  <c r="U1173" i="1"/>
  <c r="T1173" i="1"/>
  <c r="R1173" i="1"/>
  <c r="P1173" i="1"/>
  <c r="U1172" i="1"/>
  <c r="T1172" i="1"/>
  <c r="R1172" i="1"/>
  <c r="P1172" i="1"/>
  <c r="U1171" i="1"/>
  <c r="T1171" i="1"/>
  <c r="R1171" i="1"/>
  <c r="P1171" i="1"/>
  <c r="U1170" i="1"/>
  <c r="T1170" i="1"/>
  <c r="R1170" i="1"/>
  <c r="P1170" i="1"/>
  <c r="U1169" i="1"/>
  <c r="T1169" i="1"/>
  <c r="R1169" i="1"/>
  <c r="P1169" i="1"/>
  <c r="U1168" i="1"/>
  <c r="T1168" i="1"/>
  <c r="R1168" i="1"/>
  <c r="P1168" i="1"/>
  <c r="U1167" i="1"/>
  <c r="T1167" i="1"/>
  <c r="R1167" i="1"/>
  <c r="P1167" i="1"/>
  <c r="U1166" i="1"/>
  <c r="T1166" i="1"/>
  <c r="R1166" i="1"/>
  <c r="P1166" i="1"/>
  <c r="U1165" i="1"/>
  <c r="T1165" i="1"/>
  <c r="R1165" i="1"/>
  <c r="P1165" i="1"/>
  <c r="U1164" i="1"/>
  <c r="T1164" i="1"/>
  <c r="R1164" i="1"/>
  <c r="P1164" i="1"/>
  <c r="U1163" i="1"/>
  <c r="T1163" i="1"/>
  <c r="R1163" i="1"/>
  <c r="P1163" i="1"/>
  <c r="U1162" i="1"/>
  <c r="T1162" i="1"/>
  <c r="R1162" i="1"/>
  <c r="P1162" i="1"/>
  <c r="U1161" i="1"/>
  <c r="T1161" i="1"/>
  <c r="R1161" i="1"/>
  <c r="P1161" i="1"/>
  <c r="U1160" i="1"/>
  <c r="T1160" i="1"/>
  <c r="R1160" i="1"/>
  <c r="P1160" i="1"/>
  <c r="U1159" i="1"/>
  <c r="T1159" i="1"/>
  <c r="R1159" i="1"/>
  <c r="P1159" i="1"/>
  <c r="U1158" i="1"/>
  <c r="T1158" i="1"/>
  <c r="R1158" i="1"/>
  <c r="P1158" i="1"/>
  <c r="U1157" i="1"/>
  <c r="T1157" i="1"/>
  <c r="R1157" i="1"/>
  <c r="P1157" i="1"/>
  <c r="U1156" i="1"/>
  <c r="T1156" i="1"/>
  <c r="R1156" i="1"/>
  <c r="P1156" i="1"/>
  <c r="U1155" i="1"/>
  <c r="T1155" i="1"/>
  <c r="R1155" i="1"/>
  <c r="P1155" i="1"/>
  <c r="U1154" i="1"/>
  <c r="T1154" i="1"/>
  <c r="R1154" i="1"/>
  <c r="P1154" i="1"/>
  <c r="U1153" i="1"/>
  <c r="T1153" i="1"/>
  <c r="R1153" i="1"/>
  <c r="P1153" i="1"/>
  <c r="U1152" i="1"/>
  <c r="T1152" i="1"/>
  <c r="R1152" i="1"/>
  <c r="P1152" i="1"/>
  <c r="U1151" i="1"/>
  <c r="T1151" i="1"/>
  <c r="R1151" i="1"/>
  <c r="P1151" i="1"/>
  <c r="U1150" i="1"/>
  <c r="T1150" i="1"/>
  <c r="R1150" i="1"/>
  <c r="P1150" i="1"/>
  <c r="U1149" i="1"/>
  <c r="T1149" i="1"/>
  <c r="R1149" i="1"/>
  <c r="P1149" i="1"/>
  <c r="U1148" i="1"/>
  <c r="T1148" i="1"/>
  <c r="R1148" i="1"/>
  <c r="P1148" i="1"/>
  <c r="U1147" i="1"/>
  <c r="T1147" i="1"/>
  <c r="R1147" i="1"/>
  <c r="P1147" i="1"/>
  <c r="U1146" i="1"/>
  <c r="T1146" i="1"/>
  <c r="R1146" i="1"/>
  <c r="P1146" i="1"/>
  <c r="U1145" i="1"/>
  <c r="T1145" i="1"/>
  <c r="R1145" i="1"/>
  <c r="P1145" i="1"/>
  <c r="U1144" i="1"/>
  <c r="T1144" i="1"/>
  <c r="R1144" i="1"/>
  <c r="P1144" i="1"/>
  <c r="U1143" i="1"/>
  <c r="T1143" i="1"/>
  <c r="R1143" i="1"/>
  <c r="P1143" i="1"/>
  <c r="U1142" i="1"/>
  <c r="T1142" i="1"/>
  <c r="R1142" i="1"/>
  <c r="P1142" i="1"/>
  <c r="U1141" i="1"/>
  <c r="T1141" i="1"/>
  <c r="R1141" i="1"/>
  <c r="P1141" i="1"/>
  <c r="U1140" i="1"/>
  <c r="T1140" i="1"/>
  <c r="R1140" i="1"/>
  <c r="P1140" i="1"/>
  <c r="U1139" i="1"/>
  <c r="T1139" i="1"/>
  <c r="R1139" i="1"/>
  <c r="P1139" i="1"/>
  <c r="U1138" i="1"/>
  <c r="T1138" i="1"/>
  <c r="R1138" i="1"/>
  <c r="P1138" i="1"/>
  <c r="U1137" i="1"/>
  <c r="T1137" i="1"/>
  <c r="R1137" i="1"/>
  <c r="P1137" i="1"/>
  <c r="U1136" i="1"/>
  <c r="T1136" i="1"/>
  <c r="P1136" i="1"/>
  <c r="T1135" i="1"/>
  <c r="R1135" i="1"/>
  <c r="T1134" i="1"/>
  <c r="R1134" i="1"/>
  <c r="T1133" i="1"/>
  <c r="R1133" i="1"/>
  <c r="T1132" i="1"/>
  <c r="R1132" i="1"/>
  <c r="T1131" i="1"/>
  <c r="R1131" i="1"/>
  <c r="T1130" i="1"/>
  <c r="R1130" i="1"/>
  <c r="T1129" i="1"/>
  <c r="R1129" i="1"/>
  <c r="T1128" i="1"/>
  <c r="R1128" i="1"/>
  <c r="T1127" i="1"/>
  <c r="R1127" i="1"/>
  <c r="T1126" i="1"/>
  <c r="R1126" i="1"/>
  <c r="T1125" i="1"/>
  <c r="R1125" i="1"/>
  <c r="T1124" i="1"/>
  <c r="R1124" i="1"/>
  <c r="T1123" i="1"/>
  <c r="R1123" i="1"/>
  <c r="T1122" i="1"/>
  <c r="R1122" i="1"/>
  <c r="T1121" i="1"/>
  <c r="R1121" i="1"/>
  <c r="T1120" i="1"/>
  <c r="R1120" i="1"/>
  <c r="T1119" i="1"/>
  <c r="R1119" i="1"/>
  <c r="T1118" i="1"/>
  <c r="R1118" i="1"/>
  <c r="T1117" i="1"/>
  <c r="R1117" i="1"/>
  <c r="T1116" i="1"/>
  <c r="R1116" i="1"/>
  <c r="T1115" i="1"/>
  <c r="R1115" i="1"/>
  <c r="T1114" i="1"/>
  <c r="R1114" i="1"/>
  <c r="T1113" i="1"/>
  <c r="R1113" i="1"/>
  <c r="T1112" i="1"/>
  <c r="R1112" i="1"/>
  <c r="T1111" i="1"/>
  <c r="R1111" i="1"/>
  <c r="T1110" i="1"/>
  <c r="R1110" i="1"/>
  <c r="T1109" i="1"/>
  <c r="R1109" i="1"/>
  <c r="T1108" i="1"/>
  <c r="R1108" i="1"/>
  <c r="T1107" i="1"/>
  <c r="R1107" i="1"/>
  <c r="T1106" i="1"/>
  <c r="R1106" i="1"/>
  <c r="T1105" i="1"/>
  <c r="R1105" i="1"/>
  <c r="T1104" i="1"/>
  <c r="R1104" i="1"/>
  <c r="T1103" i="1"/>
  <c r="R1103" i="1"/>
  <c r="T1102" i="1"/>
  <c r="R1102" i="1"/>
  <c r="T1101" i="1"/>
  <c r="R1101" i="1"/>
  <c r="T1100" i="1"/>
  <c r="R1100" i="1"/>
  <c r="T1099" i="1"/>
  <c r="R1099" i="1"/>
  <c r="T1098" i="1"/>
  <c r="R1098" i="1"/>
  <c r="T1097" i="1"/>
  <c r="R1097" i="1"/>
  <c r="T1096" i="1"/>
  <c r="R1096" i="1"/>
  <c r="T1095" i="1"/>
  <c r="R1095" i="1"/>
  <c r="T1094" i="1"/>
  <c r="R1094" i="1"/>
  <c r="T1093" i="1"/>
  <c r="R1093" i="1"/>
  <c r="T1092" i="1"/>
  <c r="R1092" i="1"/>
  <c r="T1091" i="1"/>
  <c r="R1091" i="1"/>
  <c r="T1090" i="1"/>
  <c r="R1090" i="1"/>
  <c r="T1089" i="1"/>
  <c r="R1089" i="1"/>
  <c r="T1088" i="1"/>
  <c r="R1088" i="1"/>
  <c r="T1087" i="1"/>
  <c r="R1087" i="1"/>
  <c r="T1086" i="1"/>
  <c r="R1086" i="1"/>
  <c r="T1085" i="1"/>
  <c r="R1085" i="1"/>
  <c r="T1084" i="1"/>
  <c r="R1084" i="1"/>
  <c r="T1083" i="1"/>
  <c r="R1083" i="1"/>
  <c r="T1082" i="1"/>
  <c r="R1082" i="1"/>
  <c r="T1081" i="1"/>
  <c r="R1081" i="1"/>
  <c r="T1080" i="1"/>
  <c r="R1080" i="1"/>
  <c r="T1079" i="1"/>
  <c r="R1079" i="1"/>
  <c r="T1078" i="1"/>
  <c r="R1078" i="1"/>
  <c r="T1077" i="1"/>
  <c r="R1077" i="1"/>
  <c r="T1076" i="1"/>
  <c r="R1076" i="1"/>
  <c r="T1075" i="1"/>
  <c r="R1075" i="1"/>
  <c r="T1074" i="1"/>
  <c r="R1074" i="1"/>
  <c r="T1073" i="1"/>
  <c r="R1073" i="1"/>
  <c r="T1072" i="1"/>
  <c r="R1072" i="1"/>
  <c r="T1071" i="1"/>
  <c r="R1071" i="1"/>
  <c r="T1070" i="1"/>
  <c r="R1070" i="1"/>
  <c r="T1069" i="1"/>
  <c r="R1069" i="1"/>
  <c r="T1068" i="1"/>
  <c r="R1068" i="1"/>
  <c r="T1067" i="1"/>
  <c r="R1067" i="1"/>
  <c r="T1066" i="1"/>
  <c r="R1066" i="1"/>
  <c r="T1065" i="1"/>
  <c r="R1065" i="1"/>
  <c r="T1064" i="1"/>
  <c r="R1064" i="1"/>
  <c r="T1063" i="1"/>
  <c r="R1063" i="1"/>
  <c r="T1062" i="1"/>
  <c r="R1062" i="1"/>
  <c r="T1061" i="1"/>
  <c r="R1061" i="1"/>
  <c r="T1060" i="1"/>
  <c r="R1060" i="1"/>
  <c r="T1059" i="1"/>
  <c r="R1059" i="1"/>
  <c r="T1058" i="1"/>
  <c r="R1058" i="1"/>
  <c r="T1057" i="1"/>
  <c r="R1057" i="1"/>
  <c r="T1056" i="1"/>
  <c r="R1056" i="1"/>
  <c r="T1055" i="1"/>
  <c r="R1055" i="1"/>
  <c r="T1054" i="1"/>
  <c r="R1054" i="1"/>
  <c r="T1053" i="1"/>
  <c r="R1053" i="1"/>
  <c r="T1052" i="1"/>
  <c r="R1052" i="1"/>
  <c r="T1051" i="1"/>
  <c r="R1051" i="1"/>
  <c r="T1050" i="1"/>
  <c r="R1050" i="1"/>
  <c r="T1049" i="1"/>
  <c r="R1049" i="1"/>
  <c r="T1048" i="1"/>
  <c r="R1048" i="1"/>
  <c r="T1047" i="1"/>
  <c r="R1047" i="1"/>
  <c r="T1046" i="1"/>
  <c r="R1046" i="1"/>
  <c r="T1045" i="1"/>
  <c r="R1045" i="1"/>
  <c r="T1044" i="1"/>
  <c r="R1044" i="1"/>
  <c r="T1043" i="1"/>
  <c r="R1043" i="1"/>
  <c r="T1042" i="1"/>
  <c r="R1042" i="1"/>
  <c r="T1041" i="1"/>
  <c r="R1041" i="1"/>
  <c r="T1040" i="1"/>
  <c r="R1040" i="1"/>
  <c r="T1039" i="1"/>
  <c r="R1039" i="1"/>
  <c r="T1038" i="1"/>
  <c r="R1038" i="1"/>
  <c r="T1037" i="1"/>
  <c r="R1037" i="1"/>
  <c r="T1036" i="1"/>
  <c r="R1036" i="1"/>
  <c r="T1035" i="1"/>
  <c r="R1035" i="1"/>
  <c r="T1034" i="1"/>
  <c r="R1034" i="1"/>
  <c r="T1033" i="1"/>
  <c r="R1033" i="1"/>
  <c r="T1032" i="1"/>
  <c r="R1032" i="1"/>
  <c r="T1031" i="1"/>
  <c r="R1031" i="1"/>
  <c r="T1030" i="1"/>
  <c r="R1030" i="1"/>
  <c r="T1029" i="1"/>
  <c r="R1029" i="1"/>
  <c r="T1028" i="1"/>
  <c r="R1028" i="1"/>
  <c r="T1027" i="1"/>
  <c r="R1027" i="1"/>
  <c r="T1026" i="1"/>
  <c r="R1026" i="1"/>
  <c r="T1025" i="1"/>
  <c r="R1025" i="1"/>
  <c r="T1024" i="1"/>
  <c r="R1024" i="1"/>
  <c r="T1023" i="1"/>
  <c r="R1023" i="1"/>
  <c r="T1022" i="1"/>
  <c r="R1022" i="1"/>
  <c r="T1021" i="1"/>
  <c r="R1021" i="1"/>
  <c r="T1020" i="1"/>
  <c r="R1020" i="1"/>
  <c r="T1019" i="1"/>
  <c r="R1019" i="1"/>
  <c r="T1018" i="1"/>
  <c r="R1018" i="1"/>
  <c r="T1017" i="1"/>
  <c r="R1017" i="1"/>
  <c r="T1016" i="1"/>
  <c r="R1016" i="1"/>
  <c r="T1015" i="1"/>
  <c r="R1015" i="1"/>
  <c r="T1014" i="1"/>
  <c r="R1014" i="1"/>
  <c r="T1013" i="1"/>
  <c r="R1013" i="1"/>
  <c r="T1012" i="1"/>
  <c r="R1012" i="1"/>
  <c r="T1011" i="1"/>
  <c r="R1011" i="1"/>
  <c r="T1010" i="1"/>
  <c r="R1010" i="1"/>
  <c r="T1009" i="1"/>
  <c r="R1009" i="1"/>
  <c r="T1008" i="1"/>
  <c r="R1008" i="1"/>
  <c r="T1007" i="1"/>
  <c r="R1007" i="1"/>
  <c r="T1006" i="1"/>
  <c r="R1006" i="1"/>
  <c r="T1005" i="1"/>
  <c r="R1005" i="1"/>
  <c r="T1004" i="1"/>
  <c r="R1004" i="1"/>
  <c r="T1003" i="1"/>
  <c r="R1003" i="1"/>
  <c r="T1002" i="1"/>
  <c r="R1002" i="1"/>
  <c r="T1001" i="1"/>
  <c r="R1001" i="1"/>
  <c r="T1000" i="1"/>
  <c r="R1000" i="1"/>
  <c r="T999" i="1"/>
  <c r="R999" i="1"/>
  <c r="T998" i="1"/>
  <c r="R998" i="1"/>
  <c r="T997" i="1"/>
  <c r="R997" i="1"/>
  <c r="T996" i="1"/>
  <c r="R996" i="1"/>
  <c r="T995" i="1"/>
  <c r="R995" i="1"/>
  <c r="T994" i="1"/>
  <c r="R994" i="1"/>
  <c r="T993" i="1"/>
  <c r="R993" i="1"/>
  <c r="T992" i="1"/>
  <c r="R992" i="1"/>
  <c r="T991" i="1"/>
  <c r="R991" i="1"/>
  <c r="T990" i="1"/>
  <c r="R990" i="1"/>
  <c r="T989" i="1"/>
  <c r="R989" i="1"/>
  <c r="T988" i="1"/>
  <c r="R988" i="1"/>
  <c r="T987" i="1"/>
  <c r="R987" i="1"/>
  <c r="T986" i="1"/>
  <c r="R986" i="1"/>
  <c r="T985" i="1"/>
  <c r="R985" i="1"/>
  <c r="T984" i="1"/>
  <c r="R984" i="1"/>
  <c r="T983" i="1"/>
  <c r="R983" i="1"/>
  <c r="T982" i="1"/>
  <c r="R982" i="1"/>
  <c r="T981" i="1"/>
  <c r="R981" i="1"/>
  <c r="T980" i="1"/>
  <c r="R980" i="1"/>
  <c r="T979" i="1"/>
  <c r="R979" i="1"/>
  <c r="T978" i="1"/>
  <c r="R978" i="1"/>
  <c r="T977" i="1"/>
  <c r="R977" i="1"/>
  <c r="T976" i="1"/>
  <c r="R976" i="1"/>
  <c r="T975" i="1"/>
  <c r="R975" i="1"/>
  <c r="T974" i="1"/>
  <c r="R974" i="1"/>
  <c r="T973" i="1"/>
  <c r="R973" i="1"/>
  <c r="T972" i="1"/>
  <c r="R972" i="1"/>
  <c r="T971" i="1"/>
  <c r="R971" i="1"/>
  <c r="T970" i="1"/>
  <c r="R970" i="1"/>
  <c r="T969" i="1"/>
  <c r="R969" i="1"/>
  <c r="T968" i="1"/>
  <c r="R968" i="1"/>
  <c r="T967" i="1"/>
  <c r="R967" i="1"/>
  <c r="T966" i="1"/>
  <c r="R966" i="1"/>
  <c r="T965" i="1"/>
  <c r="R965" i="1"/>
  <c r="T964" i="1"/>
  <c r="R964" i="1"/>
  <c r="T963" i="1"/>
  <c r="R963" i="1"/>
  <c r="T962" i="1"/>
  <c r="R962" i="1"/>
  <c r="T961" i="1"/>
  <c r="R961" i="1"/>
  <c r="T960" i="1"/>
  <c r="R960" i="1"/>
  <c r="T959" i="1"/>
  <c r="R959" i="1"/>
  <c r="T958" i="1"/>
  <c r="R958" i="1"/>
  <c r="T957" i="1"/>
  <c r="R957" i="1"/>
  <c r="T956" i="1"/>
  <c r="R956" i="1"/>
  <c r="T955" i="1"/>
  <c r="R955" i="1"/>
  <c r="T954" i="1"/>
  <c r="R954" i="1"/>
  <c r="T953" i="1"/>
  <c r="R953" i="1"/>
  <c r="T952" i="1"/>
  <c r="R952" i="1"/>
  <c r="T951" i="1"/>
  <c r="R951" i="1"/>
  <c r="T950" i="1"/>
  <c r="R950" i="1"/>
  <c r="T949" i="1"/>
  <c r="R949" i="1"/>
  <c r="T948" i="1"/>
  <c r="R948" i="1"/>
  <c r="T947" i="1"/>
  <c r="R947" i="1"/>
  <c r="T946" i="1"/>
  <c r="R946" i="1"/>
  <c r="T945" i="1"/>
  <c r="R945" i="1"/>
  <c r="T944" i="1"/>
  <c r="R944" i="1"/>
  <c r="T943" i="1"/>
  <c r="R943" i="1"/>
  <c r="T942" i="1"/>
  <c r="R942" i="1"/>
  <c r="T941" i="1"/>
  <c r="R941" i="1"/>
  <c r="T940" i="1"/>
  <c r="R940" i="1"/>
  <c r="T939" i="1"/>
  <c r="R939" i="1"/>
  <c r="T938" i="1"/>
  <c r="R938" i="1"/>
  <c r="T937" i="1"/>
  <c r="R937" i="1"/>
  <c r="T936" i="1"/>
  <c r="R936" i="1"/>
  <c r="T935" i="1"/>
  <c r="R935" i="1"/>
  <c r="T934" i="1"/>
  <c r="R934" i="1"/>
  <c r="T933" i="1"/>
  <c r="R933" i="1"/>
  <c r="T932" i="1"/>
  <c r="R932" i="1"/>
  <c r="T931" i="1"/>
  <c r="R931" i="1"/>
  <c r="T930" i="1"/>
  <c r="R930" i="1"/>
  <c r="T929" i="1"/>
  <c r="R929" i="1"/>
  <c r="T928" i="1"/>
  <c r="R928" i="1"/>
  <c r="T927" i="1"/>
  <c r="R927" i="1"/>
  <c r="T926" i="1"/>
  <c r="R926" i="1"/>
  <c r="T925" i="1"/>
  <c r="R925" i="1"/>
  <c r="T924" i="1"/>
  <c r="R924" i="1"/>
  <c r="T923" i="1"/>
  <c r="R923" i="1"/>
  <c r="T922" i="1"/>
  <c r="R922" i="1"/>
  <c r="T921" i="1"/>
  <c r="R921" i="1"/>
  <c r="T920" i="1"/>
  <c r="R920" i="1"/>
  <c r="T919" i="1"/>
  <c r="R919" i="1"/>
  <c r="T918" i="1"/>
  <c r="R918" i="1"/>
  <c r="T917" i="1"/>
  <c r="R917" i="1"/>
  <c r="T916" i="1"/>
  <c r="R916" i="1"/>
  <c r="T915" i="1"/>
  <c r="R915" i="1"/>
  <c r="T914" i="1"/>
  <c r="R914" i="1"/>
  <c r="T913" i="1"/>
  <c r="R913" i="1"/>
  <c r="T912" i="1"/>
  <c r="R912" i="1"/>
  <c r="T911" i="1"/>
  <c r="R911" i="1"/>
  <c r="T910" i="1"/>
  <c r="R910" i="1"/>
  <c r="T909" i="1"/>
  <c r="R909" i="1"/>
  <c r="T908" i="1"/>
  <c r="R908" i="1"/>
  <c r="T907" i="1"/>
  <c r="R907" i="1"/>
  <c r="T906" i="1"/>
  <c r="R906" i="1"/>
  <c r="T905" i="1"/>
  <c r="R905" i="1"/>
  <c r="T904" i="1"/>
  <c r="R904" i="1"/>
  <c r="T903" i="1"/>
  <c r="R903" i="1"/>
  <c r="T902" i="1"/>
  <c r="R902" i="1"/>
  <c r="T901" i="1"/>
  <c r="R901" i="1"/>
  <c r="T900" i="1"/>
  <c r="R900" i="1"/>
  <c r="T899" i="1"/>
  <c r="R899" i="1"/>
  <c r="T898" i="1"/>
  <c r="R898" i="1"/>
  <c r="T897" i="1"/>
  <c r="R897" i="1"/>
  <c r="T896" i="1"/>
  <c r="R896" i="1"/>
  <c r="T895" i="1"/>
  <c r="R895" i="1"/>
  <c r="T894" i="1"/>
  <c r="R894" i="1"/>
  <c r="T893" i="1"/>
  <c r="R893" i="1"/>
  <c r="T892" i="1"/>
  <c r="R892" i="1"/>
  <c r="T891" i="1"/>
  <c r="R891" i="1"/>
  <c r="T890" i="1"/>
  <c r="R890" i="1"/>
  <c r="T889" i="1"/>
  <c r="R889" i="1"/>
  <c r="T888" i="1"/>
  <c r="R888" i="1"/>
  <c r="T887" i="1"/>
  <c r="R887" i="1"/>
  <c r="T886" i="1"/>
  <c r="R886" i="1"/>
  <c r="T885" i="1"/>
  <c r="R885" i="1"/>
  <c r="T884" i="1"/>
  <c r="R884" i="1"/>
  <c r="T883" i="1"/>
  <c r="R883" i="1"/>
  <c r="T882" i="1"/>
  <c r="R882" i="1"/>
  <c r="T881" i="1"/>
  <c r="R881" i="1"/>
  <c r="T880" i="1"/>
  <c r="R880" i="1"/>
  <c r="T879" i="1"/>
  <c r="R879" i="1"/>
  <c r="T878" i="1"/>
  <c r="R878" i="1"/>
  <c r="T877" i="1"/>
  <c r="R877" i="1"/>
  <c r="T876" i="1"/>
  <c r="R876" i="1"/>
  <c r="T875" i="1"/>
  <c r="R875" i="1"/>
  <c r="T874" i="1"/>
  <c r="R874" i="1"/>
  <c r="T873" i="1"/>
  <c r="R873" i="1"/>
  <c r="T872" i="1"/>
  <c r="R872" i="1"/>
  <c r="T871" i="1"/>
  <c r="R871" i="1"/>
  <c r="T870" i="1"/>
  <c r="R870" i="1"/>
  <c r="T869" i="1"/>
  <c r="R869" i="1"/>
  <c r="T868" i="1"/>
  <c r="R868" i="1"/>
  <c r="T867" i="1"/>
  <c r="R867" i="1"/>
  <c r="T866" i="1"/>
  <c r="R866" i="1"/>
  <c r="T865" i="1"/>
  <c r="R865" i="1"/>
  <c r="T864" i="1"/>
  <c r="R864" i="1"/>
  <c r="T863" i="1"/>
  <c r="R863" i="1"/>
  <c r="T862" i="1"/>
  <c r="R862" i="1"/>
  <c r="T861" i="1"/>
  <c r="R861" i="1"/>
  <c r="T860" i="1"/>
  <c r="R860" i="1"/>
  <c r="T859" i="1"/>
  <c r="R859" i="1"/>
  <c r="T858" i="1"/>
  <c r="R858" i="1"/>
  <c r="T857" i="1"/>
  <c r="R857" i="1"/>
  <c r="T856" i="1"/>
  <c r="R856" i="1"/>
  <c r="T855" i="1"/>
  <c r="R855" i="1"/>
  <c r="T854" i="1"/>
  <c r="R854" i="1"/>
  <c r="T853" i="1"/>
  <c r="R853" i="1"/>
  <c r="T852" i="1"/>
  <c r="R852" i="1"/>
  <c r="T851" i="1"/>
  <c r="R851" i="1"/>
  <c r="T850" i="1"/>
  <c r="R850" i="1"/>
  <c r="T849" i="1"/>
  <c r="R849" i="1"/>
  <c r="T848" i="1"/>
  <c r="R848" i="1"/>
  <c r="T847" i="1"/>
  <c r="R847" i="1"/>
  <c r="T846" i="1"/>
  <c r="R846" i="1"/>
  <c r="T845" i="1"/>
  <c r="R845" i="1"/>
  <c r="T844" i="1"/>
  <c r="R844" i="1"/>
  <c r="T843" i="1"/>
  <c r="R843" i="1"/>
  <c r="T842" i="1"/>
  <c r="R842" i="1"/>
  <c r="T841" i="1"/>
  <c r="R841" i="1"/>
  <c r="T840" i="1"/>
  <c r="R840" i="1"/>
  <c r="T839" i="1"/>
  <c r="R839" i="1"/>
  <c r="T838" i="1"/>
  <c r="R838" i="1"/>
  <c r="T837" i="1"/>
  <c r="R837" i="1"/>
  <c r="T836" i="1"/>
  <c r="R836" i="1"/>
  <c r="T835" i="1"/>
  <c r="R835" i="1"/>
  <c r="T834" i="1"/>
  <c r="R834" i="1"/>
  <c r="T833" i="1"/>
  <c r="R833" i="1"/>
  <c r="T832" i="1"/>
  <c r="R832" i="1"/>
  <c r="T831" i="1"/>
  <c r="R831" i="1"/>
  <c r="T830" i="1"/>
  <c r="R830" i="1"/>
  <c r="T829" i="1"/>
  <c r="R829" i="1"/>
  <c r="T828" i="1"/>
  <c r="R828" i="1"/>
  <c r="T827" i="1"/>
  <c r="R827" i="1"/>
  <c r="T826" i="1"/>
  <c r="R826" i="1"/>
  <c r="T825" i="1"/>
  <c r="R825" i="1"/>
  <c r="T824" i="1"/>
  <c r="R824" i="1"/>
  <c r="T823" i="1"/>
  <c r="R823" i="1"/>
  <c r="T822" i="1"/>
  <c r="R822" i="1"/>
  <c r="T821" i="1"/>
  <c r="R821" i="1"/>
  <c r="T820" i="1"/>
  <c r="R820" i="1"/>
  <c r="T819" i="1"/>
  <c r="R819" i="1"/>
  <c r="T818" i="1"/>
  <c r="R818" i="1"/>
  <c r="T817" i="1"/>
  <c r="R817" i="1"/>
  <c r="T816" i="1"/>
  <c r="R816" i="1"/>
  <c r="T815" i="1"/>
  <c r="R815" i="1"/>
  <c r="T814" i="1"/>
  <c r="R814" i="1"/>
  <c r="T813" i="1"/>
  <c r="R813" i="1"/>
  <c r="T812" i="1"/>
  <c r="R812" i="1"/>
  <c r="T811" i="1"/>
  <c r="R811" i="1"/>
  <c r="T810" i="1"/>
  <c r="R810" i="1"/>
  <c r="T809" i="1"/>
  <c r="R809" i="1"/>
  <c r="T808" i="1"/>
  <c r="R808" i="1"/>
  <c r="T807" i="1"/>
  <c r="R807" i="1"/>
  <c r="T806" i="1"/>
  <c r="R806" i="1"/>
  <c r="T805" i="1"/>
  <c r="R805" i="1"/>
  <c r="T804" i="1"/>
  <c r="R804" i="1"/>
  <c r="T803" i="1"/>
  <c r="R803" i="1"/>
  <c r="T802" i="1"/>
  <c r="R802" i="1"/>
  <c r="T801" i="1"/>
  <c r="R801" i="1"/>
  <c r="T800" i="1"/>
  <c r="R800" i="1"/>
  <c r="T799" i="1"/>
  <c r="R799" i="1"/>
  <c r="T798" i="1"/>
  <c r="R798" i="1"/>
  <c r="T797" i="1"/>
  <c r="R797" i="1"/>
  <c r="T796" i="1"/>
  <c r="R796" i="1"/>
  <c r="T795" i="1"/>
  <c r="R795" i="1"/>
  <c r="T794" i="1"/>
  <c r="R794" i="1"/>
  <c r="T793" i="1"/>
  <c r="R793" i="1"/>
  <c r="T792" i="1"/>
  <c r="R792" i="1"/>
  <c r="T791" i="1"/>
  <c r="R791" i="1"/>
  <c r="T790" i="1"/>
  <c r="R790" i="1"/>
  <c r="T789" i="1"/>
  <c r="R789" i="1"/>
  <c r="T788" i="1"/>
  <c r="R788" i="1"/>
  <c r="T787" i="1"/>
  <c r="R787" i="1"/>
  <c r="T786" i="1"/>
  <c r="R786" i="1"/>
  <c r="T785" i="1"/>
  <c r="R785" i="1"/>
  <c r="T784" i="1"/>
  <c r="R784" i="1"/>
  <c r="T783" i="1"/>
  <c r="R783" i="1"/>
  <c r="T782" i="1"/>
  <c r="R782" i="1"/>
  <c r="T781" i="1"/>
  <c r="R781" i="1"/>
  <c r="T780" i="1"/>
  <c r="R780" i="1"/>
  <c r="T779" i="1"/>
  <c r="R779" i="1"/>
  <c r="T778" i="1"/>
  <c r="R778" i="1"/>
  <c r="T777" i="1"/>
  <c r="R777" i="1"/>
  <c r="T776" i="1"/>
  <c r="R776" i="1"/>
  <c r="T775" i="1"/>
  <c r="R775" i="1"/>
  <c r="T774" i="1"/>
  <c r="R774" i="1"/>
  <c r="T773" i="1"/>
  <c r="R773" i="1"/>
  <c r="T772" i="1"/>
  <c r="R772" i="1"/>
  <c r="T771" i="1"/>
  <c r="R771" i="1"/>
  <c r="T770" i="1"/>
  <c r="R770" i="1"/>
  <c r="T769" i="1"/>
  <c r="R769" i="1"/>
  <c r="T768" i="1"/>
  <c r="R768" i="1"/>
  <c r="T767" i="1"/>
  <c r="R767" i="1"/>
  <c r="T766" i="1"/>
  <c r="R766" i="1"/>
  <c r="T765" i="1"/>
  <c r="R765" i="1"/>
  <c r="T764" i="1"/>
  <c r="R764" i="1"/>
  <c r="T763" i="1"/>
  <c r="R763" i="1"/>
  <c r="T762" i="1"/>
  <c r="R762" i="1"/>
  <c r="T761" i="1"/>
  <c r="R761" i="1"/>
  <c r="T760" i="1"/>
  <c r="R760" i="1"/>
  <c r="T759" i="1"/>
  <c r="R759" i="1"/>
  <c r="T758" i="1"/>
  <c r="R758" i="1"/>
  <c r="T757" i="1"/>
  <c r="R757" i="1"/>
  <c r="T756" i="1"/>
  <c r="R756" i="1"/>
  <c r="T755" i="1"/>
  <c r="R755" i="1"/>
  <c r="T754" i="1"/>
  <c r="R754" i="1"/>
  <c r="T753" i="1"/>
  <c r="R753" i="1"/>
  <c r="T752" i="1"/>
  <c r="R752" i="1"/>
  <c r="T751" i="1"/>
  <c r="R751" i="1"/>
  <c r="T750" i="1"/>
  <c r="R750" i="1"/>
  <c r="T749" i="1"/>
  <c r="R749" i="1"/>
  <c r="T748" i="1"/>
  <c r="R748" i="1"/>
  <c r="T747" i="1"/>
  <c r="R747" i="1"/>
  <c r="T746" i="1"/>
  <c r="R746" i="1"/>
  <c r="T745" i="1"/>
  <c r="R745" i="1"/>
  <c r="T744" i="1"/>
  <c r="R744" i="1"/>
  <c r="T743" i="1"/>
  <c r="R743" i="1"/>
  <c r="T742" i="1"/>
  <c r="R742" i="1"/>
  <c r="T741" i="1"/>
  <c r="R741" i="1"/>
  <c r="T740" i="1"/>
  <c r="R740" i="1"/>
  <c r="T739" i="1"/>
  <c r="R739" i="1"/>
  <c r="T738" i="1"/>
  <c r="R738" i="1"/>
  <c r="T737" i="1"/>
  <c r="R737" i="1"/>
  <c r="T736" i="1"/>
  <c r="R736" i="1"/>
  <c r="T735" i="1"/>
  <c r="R735" i="1"/>
  <c r="T734" i="1"/>
  <c r="R734" i="1"/>
  <c r="T733" i="1"/>
  <c r="R733" i="1"/>
  <c r="T732" i="1"/>
  <c r="R732" i="1"/>
  <c r="T731" i="1"/>
  <c r="R731" i="1"/>
  <c r="T730" i="1"/>
  <c r="R730" i="1"/>
  <c r="T729" i="1"/>
  <c r="R729" i="1"/>
  <c r="T728" i="1"/>
  <c r="R728" i="1"/>
  <c r="T727" i="1"/>
  <c r="R727" i="1"/>
  <c r="T726" i="1"/>
  <c r="R726" i="1"/>
  <c r="T725" i="1"/>
  <c r="R725" i="1"/>
  <c r="T724" i="1"/>
  <c r="R724" i="1"/>
  <c r="T723" i="1"/>
  <c r="R723" i="1"/>
  <c r="T722" i="1"/>
  <c r="R722" i="1"/>
  <c r="T721" i="1"/>
  <c r="R721" i="1"/>
  <c r="T720" i="1"/>
  <c r="R720" i="1"/>
  <c r="T719" i="1"/>
  <c r="R719" i="1"/>
  <c r="T718" i="1"/>
  <c r="R718" i="1"/>
  <c r="T717" i="1"/>
  <c r="R717" i="1"/>
  <c r="T716" i="1"/>
  <c r="R716" i="1"/>
  <c r="T715" i="1"/>
  <c r="R715" i="1"/>
  <c r="T714" i="1"/>
  <c r="R714" i="1"/>
  <c r="T713" i="1"/>
  <c r="R713" i="1"/>
  <c r="T712" i="1"/>
  <c r="R712" i="1"/>
  <c r="T711" i="1"/>
  <c r="R711" i="1"/>
  <c r="T710" i="1"/>
  <c r="R710" i="1"/>
  <c r="T709" i="1"/>
  <c r="R709" i="1"/>
  <c r="T708" i="1"/>
  <c r="R708" i="1"/>
  <c r="T707" i="1"/>
  <c r="R707" i="1"/>
  <c r="T706" i="1"/>
  <c r="R706" i="1"/>
  <c r="T705" i="1"/>
  <c r="R705" i="1"/>
  <c r="T704" i="1"/>
  <c r="R704" i="1"/>
  <c r="T703" i="1"/>
  <c r="R703" i="1"/>
  <c r="T702" i="1"/>
  <c r="R702" i="1"/>
  <c r="T701" i="1"/>
  <c r="R701" i="1"/>
  <c r="T700" i="1"/>
  <c r="R700" i="1"/>
  <c r="T699" i="1"/>
  <c r="R699" i="1"/>
  <c r="T698" i="1"/>
  <c r="R698" i="1"/>
  <c r="T697" i="1"/>
  <c r="R697" i="1"/>
  <c r="T696" i="1"/>
  <c r="R696" i="1"/>
  <c r="T695" i="1"/>
  <c r="R695" i="1"/>
  <c r="T694" i="1"/>
  <c r="R694" i="1"/>
  <c r="T693" i="1"/>
  <c r="R693" i="1"/>
  <c r="T692" i="1"/>
  <c r="R692" i="1"/>
  <c r="T691" i="1"/>
  <c r="R691" i="1"/>
  <c r="T690" i="1"/>
  <c r="R690" i="1"/>
  <c r="T689" i="1"/>
  <c r="R689" i="1"/>
  <c r="T688" i="1"/>
  <c r="R688" i="1"/>
  <c r="T687" i="1"/>
  <c r="R687" i="1"/>
  <c r="T686" i="1"/>
  <c r="R686" i="1"/>
  <c r="T685" i="1"/>
  <c r="R685" i="1"/>
  <c r="T684" i="1"/>
  <c r="R684" i="1"/>
  <c r="T683" i="1"/>
  <c r="R683" i="1"/>
  <c r="T682" i="1"/>
  <c r="R682" i="1"/>
  <c r="T681" i="1"/>
  <c r="R681" i="1"/>
  <c r="T680" i="1"/>
  <c r="R680" i="1"/>
  <c r="T679" i="1"/>
  <c r="R679" i="1"/>
  <c r="T678" i="1"/>
  <c r="R678" i="1"/>
  <c r="T677" i="1"/>
  <c r="R677" i="1"/>
  <c r="T676" i="1"/>
  <c r="R676" i="1"/>
  <c r="T675" i="1"/>
  <c r="R675" i="1"/>
  <c r="T674" i="1"/>
  <c r="R674" i="1"/>
  <c r="T673" i="1"/>
  <c r="R673" i="1"/>
  <c r="T672" i="1"/>
  <c r="R672" i="1"/>
  <c r="T671" i="1"/>
  <c r="R671" i="1"/>
  <c r="T670" i="1"/>
  <c r="R670" i="1"/>
  <c r="T669" i="1"/>
  <c r="R669" i="1"/>
  <c r="T668" i="1"/>
  <c r="R668" i="1"/>
  <c r="T667" i="1"/>
  <c r="R667" i="1"/>
  <c r="T666" i="1"/>
  <c r="R666" i="1"/>
  <c r="T665" i="1"/>
  <c r="R665" i="1"/>
  <c r="T664" i="1"/>
  <c r="R664" i="1"/>
  <c r="T663" i="1"/>
  <c r="R663" i="1"/>
  <c r="T662" i="1"/>
  <c r="R662" i="1"/>
  <c r="T661" i="1"/>
  <c r="R661" i="1"/>
  <c r="T660" i="1"/>
  <c r="R660" i="1"/>
  <c r="T659" i="1"/>
  <c r="R659" i="1"/>
  <c r="T658" i="1"/>
  <c r="R658" i="1"/>
  <c r="T657" i="1"/>
  <c r="R657" i="1"/>
  <c r="T656" i="1"/>
  <c r="R656" i="1"/>
  <c r="T655" i="1"/>
  <c r="R655" i="1"/>
  <c r="T654" i="1"/>
  <c r="R654" i="1"/>
  <c r="T653" i="1"/>
  <c r="R653" i="1"/>
  <c r="T652" i="1"/>
  <c r="R652" i="1"/>
  <c r="T651" i="1"/>
  <c r="R651" i="1"/>
  <c r="T650" i="1"/>
  <c r="R650" i="1"/>
  <c r="T649" i="1"/>
  <c r="R649" i="1"/>
  <c r="T648" i="1"/>
  <c r="R648" i="1"/>
  <c r="T647" i="1"/>
  <c r="R647" i="1"/>
  <c r="T646" i="1"/>
  <c r="R646" i="1"/>
  <c r="T645" i="1"/>
  <c r="R645" i="1"/>
  <c r="T644" i="1"/>
  <c r="R644" i="1"/>
  <c r="T643" i="1"/>
  <c r="R643" i="1"/>
  <c r="T642" i="1"/>
  <c r="R642" i="1"/>
  <c r="T641" i="1"/>
  <c r="R641" i="1"/>
  <c r="T640" i="1"/>
  <c r="R640" i="1"/>
  <c r="T639" i="1"/>
  <c r="R639" i="1"/>
  <c r="T638" i="1"/>
  <c r="R638" i="1"/>
  <c r="T637" i="1"/>
  <c r="R637" i="1"/>
  <c r="T636" i="1"/>
  <c r="R636" i="1"/>
  <c r="T635" i="1"/>
  <c r="R635" i="1"/>
  <c r="T634" i="1"/>
  <c r="R634" i="1"/>
  <c r="T633" i="1"/>
  <c r="R633" i="1"/>
  <c r="T632" i="1"/>
  <c r="R632" i="1"/>
  <c r="T631" i="1"/>
  <c r="R631" i="1"/>
  <c r="T630" i="1"/>
  <c r="R630" i="1"/>
  <c r="T629" i="1"/>
  <c r="R629" i="1"/>
  <c r="T628" i="1"/>
  <c r="R628" i="1"/>
  <c r="T627" i="1"/>
  <c r="R627" i="1"/>
  <c r="T626" i="1"/>
  <c r="R626" i="1"/>
  <c r="T625" i="1"/>
  <c r="R625" i="1"/>
  <c r="T624" i="1"/>
  <c r="R624" i="1"/>
  <c r="T623" i="1"/>
  <c r="R623" i="1"/>
  <c r="T622" i="1"/>
  <c r="R622" i="1"/>
  <c r="T621" i="1"/>
  <c r="R621" i="1"/>
  <c r="T620" i="1"/>
  <c r="R620" i="1"/>
  <c r="T619" i="1"/>
  <c r="R619" i="1"/>
  <c r="T618" i="1"/>
  <c r="R618" i="1"/>
  <c r="T617" i="1"/>
  <c r="R617" i="1"/>
  <c r="T616" i="1"/>
  <c r="R616" i="1"/>
  <c r="T615" i="1"/>
  <c r="R615" i="1"/>
  <c r="T614" i="1"/>
  <c r="R614" i="1"/>
  <c r="T613" i="1"/>
  <c r="R613" i="1"/>
  <c r="T612" i="1"/>
  <c r="R612" i="1"/>
  <c r="T611" i="1"/>
  <c r="R611" i="1"/>
  <c r="T610" i="1"/>
  <c r="R610" i="1"/>
  <c r="T609" i="1"/>
  <c r="R609" i="1"/>
  <c r="T608" i="1"/>
  <c r="R608" i="1"/>
  <c r="T607" i="1"/>
  <c r="R607" i="1"/>
  <c r="T606" i="1"/>
  <c r="R606" i="1"/>
  <c r="T605" i="1"/>
  <c r="R605" i="1"/>
  <c r="T604" i="1"/>
  <c r="R604" i="1"/>
  <c r="T603" i="1"/>
  <c r="R603" i="1"/>
  <c r="T602" i="1"/>
  <c r="R602" i="1"/>
  <c r="T601" i="1"/>
  <c r="R601" i="1"/>
  <c r="T600" i="1"/>
  <c r="R600" i="1"/>
  <c r="T599" i="1"/>
  <c r="R599" i="1"/>
  <c r="T598" i="1"/>
  <c r="R598" i="1"/>
  <c r="T597" i="1"/>
  <c r="R597" i="1"/>
  <c r="T596" i="1"/>
  <c r="R596" i="1"/>
  <c r="T595" i="1"/>
  <c r="R595" i="1"/>
  <c r="T594" i="1"/>
  <c r="R594" i="1"/>
  <c r="T593" i="1"/>
  <c r="R593" i="1"/>
  <c r="T592" i="1"/>
  <c r="R592" i="1"/>
  <c r="T591" i="1"/>
  <c r="R591" i="1"/>
  <c r="T590" i="1"/>
  <c r="R590" i="1"/>
  <c r="T589" i="1"/>
  <c r="R589" i="1"/>
  <c r="T588" i="1"/>
  <c r="R588" i="1"/>
  <c r="T587" i="1"/>
  <c r="R587" i="1"/>
  <c r="T586" i="1"/>
  <c r="R586" i="1"/>
  <c r="T585" i="1"/>
  <c r="R585" i="1"/>
  <c r="T584" i="1"/>
  <c r="R584" i="1"/>
  <c r="T583" i="1"/>
  <c r="R583" i="1"/>
  <c r="T582" i="1"/>
  <c r="R582" i="1"/>
  <c r="T581" i="1"/>
  <c r="R581" i="1"/>
  <c r="T580" i="1"/>
  <c r="R580" i="1"/>
  <c r="T579" i="1"/>
  <c r="R579" i="1"/>
  <c r="T578" i="1"/>
  <c r="R578" i="1"/>
  <c r="T577" i="1"/>
  <c r="R577" i="1"/>
  <c r="T576" i="1"/>
  <c r="R576" i="1"/>
  <c r="T575" i="1"/>
  <c r="R575" i="1"/>
  <c r="T574" i="1"/>
  <c r="R574" i="1"/>
  <c r="T573" i="1"/>
  <c r="R573" i="1"/>
  <c r="T572" i="1"/>
  <c r="R572" i="1"/>
  <c r="T571" i="1"/>
  <c r="R571" i="1"/>
  <c r="T570" i="1"/>
  <c r="R570" i="1"/>
  <c r="T569" i="1"/>
  <c r="R569" i="1"/>
  <c r="T568" i="1"/>
  <c r="R568" i="1"/>
  <c r="T567" i="1"/>
  <c r="R567" i="1"/>
  <c r="T566" i="1"/>
  <c r="R566" i="1"/>
  <c r="T565" i="1"/>
  <c r="R565" i="1"/>
  <c r="T564" i="1"/>
  <c r="R564" i="1"/>
  <c r="T563" i="1"/>
  <c r="R563" i="1"/>
  <c r="T562" i="1"/>
  <c r="R562" i="1"/>
  <c r="T561" i="1"/>
  <c r="R561" i="1"/>
  <c r="T560" i="1"/>
  <c r="R560" i="1"/>
  <c r="T559" i="1"/>
  <c r="R559" i="1"/>
  <c r="T558" i="1"/>
  <c r="R558" i="1"/>
  <c r="T557" i="1"/>
  <c r="R557" i="1"/>
  <c r="T556" i="1"/>
  <c r="R556" i="1"/>
  <c r="T555" i="1"/>
  <c r="R555" i="1"/>
  <c r="T554" i="1"/>
  <c r="R554" i="1"/>
  <c r="T553" i="1"/>
  <c r="R553" i="1"/>
  <c r="T552" i="1"/>
  <c r="R552" i="1"/>
  <c r="T551" i="1"/>
  <c r="R551" i="1"/>
  <c r="T550" i="1"/>
  <c r="R550" i="1"/>
  <c r="T549" i="1"/>
  <c r="R549" i="1"/>
  <c r="T548" i="1"/>
  <c r="R548" i="1"/>
  <c r="T547" i="1"/>
  <c r="R547" i="1"/>
  <c r="T546" i="1"/>
  <c r="R546" i="1"/>
  <c r="T545" i="1"/>
  <c r="R545" i="1"/>
  <c r="T544" i="1"/>
  <c r="R544" i="1"/>
  <c r="T543" i="1"/>
  <c r="R543" i="1"/>
  <c r="T542" i="1"/>
  <c r="R542" i="1"/>
  <c r="T541" i="1"/>
  <c r="R541" i="1"/>
  <c r="T540" i="1"/>
  <c r="R540" i="1"/>
  <c r="T539" i="1"/>
  <c r="R539" i="1"/>
  <c r="T538" i="1"/>
  <c r="R538" i="1"/>
  <c r="T537" i="1"/>
  <c r="R537" i="1"/>
  <c r="T536" i="1"/>
  <c r="R536" i="1"/>
  <c r="T535" i="1"/>
  <c r="R535" i="1"/>
  <c r="T534" i="1"/>
  <c r="R534" i="1"/>
  <c r="T533" i="1"/>
  <c r="R533" i="1"/>
  <c r="T532" i="1"/>
  <c r="R532" i="1"/>
  <c r="T531" i="1"/>
  <c r="R531" i="1"/>
  <c r="T530" i="1"/>
  <c r="R530" i="1"/>
  <c r="T529" i="1"/>
  <c r="R529" i="1"/>
  <c r="T528" i="1"/>
  <c r="R528" i="1"/>
  <c r="T527" i="1"/>
  <c r="R527" i="1"/>
  <c r="T526" i="1"/>
  <c r="R526" i="1"/>
  <c r="T525" i="1"/>
  <c r="R525" i="1"/>
  <c r="T524" i="1"/>
  <c r="R524" i="1"/>
  <c r="T523" i="1"/>
  <c r="R523" i="1"/>
  <c r="T522" i="1"/>
  <c r="R522" i="1"/>
  <c r="T521" i="1"/>
  <c r="R521" i="1"/>
  <c r="T520" i="1"/>
  <c r="R520" i="1"/>
  <c r="T519" i="1"/>
  <c r="R519" i="1"/>
  <c r="T518" i="1"/>
  <c r="R518" i="1"/>
  <c r="T517" i="1"/>
  <c r="R517" i="1"/>
  <c r="T516" i="1"/>
  <c r="R516" i="1"/>
  <c r="T515" i="1"/>
  <c r="R515" i="1"/>
  <c r="T514" i="1"/>
  <c r="R514" i="1"/>
  <c r="T513" i="1"/>
  <c r="R513" i="1"/>
  <c r="T512" i="1"/>
  <c r="R512" i="1"/>
  <c r="T511" i="1"/>
  <c r="R511" i="1"/>
  <c r="T510" i="1"/>
  <c r="R510" i="1"/>
  <c r="T509" i="1"/>
  <c r="R509" i="1"/>
  <c r="T508" i="1"/>
  <c r="R508" i="1"/>
  <c r="T507" i="1"/>
  <c r="R507" i="1"/>
  <c r="T506" i="1"/>
  <c r="R506" i="1"/>
  <c r="T505" i="1"/>
  <c r="R505" i="1"/>
  <c r="T504" i="1"/>
  <c r="R504" i="1"/>
  <c r="T503" i="1"/>
  <c r="R503" i="1"/>
  <c r="T502" i="1"/>
  <c r="R502" i="1"/>
  <c r="T501" i="1"/>
  <c r="R501" i="1"/>
  <c r="T500" i="1"/>
  <c r="R500" i="1"/>
  <c r="T499" i="1"/>
  <c r="R499" i="1"/>
  <c r="T498" i="1"/>
  <c r="R498" i="1"/>
  <c r="T497" i="1"/>
  <c r="R497" i="1"/>
  <c r="T496" i="1"/>
  <c r="R496" i="1"/>
  <c r="T495" i="1"/>
  <c r="R495" i="1"/>
  <c r="T494" i="1"/>
  <c r="R494" i="1"/>
  <c r="T493" i="1"/>
  <c r="R493" i="1"/>
  <c r="T492" i="1"/>
  <c r="R492" i="1"/>
  <c r="T491" i="1"/>
  <c r="R491" i="1"/>
  <c r="T490" i="1"/>
  <c r="R490" i="1"/>
  <c r="T489" i="1"/>
  <c r="R489" i="1"/>
  <c r="T488" i="1"/>
  <c r="R488" i="1"/>
  <c r="T487" i="1"/>
  <c r="R487" i="1"/>
  <c r="T486" i="1"/>
  <c r="R486" i="1"/>
  <c r="T485" i="1"/>
  <c r="R485" i="1"/>
  <c r="T484" i="1"/>
  <c r="R484" i="1"/>
  <c r="T483" i="1"/>
  <c r="R483" i="1"/>
  <c r="T482" i="1"/>
  <c r="R482" i="1"/>
  <c r="T481" i="1"/>
  <c r="R481" i="1"/>
  <c r="T480" i="1"/>
  <c r="R480" i="1"/>
  <c r="T479" i="1"/>
  <c r="R479" i="1"/>
  <c r="T478" i="1"/>
  <c r="R478" i="1"/>
  <c r="T477" i="1"/>
  <c r="R477" i="1"/>
  <c r="T476" i="1"/>
  <c r="R476" i="1"/>
  <c r="T475" i="1"/>
  <c r="R475" i="1"/>
  <c r="T474" i="1"/>
  <c r="R474" i="1"/>
  <c r="T473" i="1"/>
  <c r="R473" i="1"/>
  <c r="T472" i="1"/>
  <c r="R472" i="1"/>
  <c r="T471" i="1"/>
  <c r="R471" i="1"/>
  <c r="T470" i="1"/>
  <c r="R470" i="1"/>
  <c r="T469" i="1"/>
  <c r="R469" i="1"/>
  <c r="T468" i="1"/>
  <c r="R468" i="1"/>
  <c r="T467" i="1"/>
  <c r="R467" i="1"/>
  <c r="T466" i="1"/>
  <c r="R466" i="1"/>
  <c r="T465" i="1"/>
  <c r="R465" i="1"/>
  <c r="T464" i="1"/>
  <c r="R464" i="1"/>
  <c r="T463" i="1"/>
  <c r="R463" i="1"/>
  <c r="T462" i="1"/>
  <c r="R462" i="1"/>
  <c r="T461" i="1"/>
  <c r="R461" i="1"/>
  <c r="T460" i="1"/>
  <c r="R460" i="1"/>
  <c r="T459" i="1"/>
  <c r="R459" i="1"/>
  <c r="T458" i="1"/>
  <c r="R458" i="1"/>
  <c r="T457" i="1"/>
  <c r="R457" i="1"/>
  <c r="T456" i="1"/>
  <c r="R456" i="1"/>
  <c r="T455" i="1"/>
  <c r="R455" i="1"/>
  <c r="T454" i="1"/>
  <c r="R454" i="1"/>
  <c r="T453" i="1"/>
  <c r="R453" i="1"/>
  <c r="T452" i="1"/>
  <c r="R452" i="1"/>
  <c r="T451" i="1"/>
  <c r="R451" i="1"/>
  <c r="T450" i="1"/>
  <c r="R450" i="1"/>
  <c r="T449" i="1"/>
  <c r="R449" i="1"/>
  <c r="T448" i="1"/>
  <c r="R448" i="1"/>
  <c r="T447" i="1"/>
  <c r="R447" i="1"/>
  <c r="T446" i="1"/>
  <c r="R446" i="1"/>
  <c r="T445" i="1"/>
  <c r="R445" i="1"/>
  <c r="T444" i="1"/>
  <c r="R444" i="1"/>
  <c r="T443" i="1"/>
  <c r="R443" i="1"/>
  <c r="T442" i="1"/>
  <c r="R442" i="1"/>
  <c r="T441" i="1"/>
  <c r="R441" i="1"/>
  <c r="T440" i="1"/>
  <c r="R440" i="1"/>
  <c r="T439" i="1"/>
  <c r="R439" i="1"/>
  <c r="T438" i="1"/>
  <c r="R438" i="1"/>
  <c r="T437" i="1"/>
  <c r="R437" i="1"/>
  <c r="T436" i="1"/>
  <c r="R436" i="1"/>
  <c r="T435" i="1"/>
  <c r="R435" i="1"/>
  <c r="T434" i="1"/>
  <c r="R434" i="1"/>
  <c r="T433" i="1"/>
  <c r="R433" i="1"/>
  <c r="T432" i="1"/>
  <c r="R432" i="1"/>
  <c r="T431" i="1"/>
  <c r="R431" i="1"/>
  <c r="T430" i="1"/>
  <c r="R430" i="1"/>
  <c r="T429" i="1"/>
  <c r="R429" i="1"/>
  <c r="T428" i="1"/>
  <c r="R428" i="1"/>
  <c r="T427" i="1"/>
  <c r="R427" i="1"/>
  <c r="T426" i="1"/>
  <c r="R426" i="1"/>
  <c r="T425" i="1"/>
  <c r="R425" i="1"/>
  <c r="T424" i="1"/>
  <c r="R424" i="1"/>
  <c r="T423" i="1"/>
  <c r="R423" i="1"/>
  <c r="T422" i="1"/>
  <c r="R422" i="1"/>
  <c r="T421" i="1"/>
  <c r="R421" i="1"/>
  <c r="T420" i="1"/>
  <c r="R420" i="1"/>
  <c r="T419" i="1"/>
  <c r="R419" i="1"/>
  <c r="T418" i="1"/>
  <c r="R418" i="1"/>
  <c r="T417" i="1"/>
  <c r="R417" i="1"/>
  <c r="T416" i="1"/>
  <c r="R416" i="1"/>
  <c r="T415" i="1"/>
  <c r="R415" i="1"/>
  <c r="T414" i="1"/>
  <c r="R414" i="1"/>
  <c r="T413" i="1"/>
  <c r="R413" i="1"/>
  <c r="T412" i="1"/>
  <c r="R412" i="1"/>
  <c r="T411" i="1"/>
  <c r="R411" i="1"/>
  <c r="T410" i="1"/>
  <c r="R410" i="1"/>
  <c r="T409" i="1"/>
  <c r="R409" i="1"/>
  <c r="T408" i="1"/>
  <c r="R408" i="1"/>
  <c r="T407" i="1"/>
  <c r="R407" i="1"/>
  <c r="T406" i="1"/>
  <c r="R406" i="1"/>
  <c r="T405" i="1"/>
  <c r="R405" i="1"/>
  <c r="T404" i="1"/>
  <c r="R404" i="1"/>
  <c r="T403" i="1"/>
  <c r="R403" i="1"/>
  <c r="T402" i="1"/>
  <c r="R402" i="1"/>
  <c r="T401" i="1"/>
  <c r="R401" i="1"/>
  <c r="T400" i="1"/>
  <c r="R400" i="1"/>
  <c r="T399" i="1"/>
  <c r="R399" i="1"/>
  <c r="T398" i="1"/>
  <c r="R398" i="1"/>
  <c r="T397" i="1"/>
  <c r="R397" i="1"/>
  <c r="T396" i="1"/>
  <c r="R396" i="1"/>
  <c r="T395" i="1"/>
  <c r="R395" i="1"/>
  <c r="T394" i="1"/>
  <c r="R394" i="1"/>
  <c r="T393" i="1"/>
  <c r="R393" i="1"/>
  <c r="T392" i="1"/>
  <c r="R392" i="1"/>
  <c r="T391" i="1"/>
  <c r="R391" i="1"/>
  <c r="T390" i="1"/>
  <c r="R390" i="1"/>
  <c r="T389" i="1"/>
  <c r="R389" i="1"/>
  <c r="T388" i="1"/>
  <c r="R388" i="1"/>
  <c r="T387" i="1"/>
  <c r="R387" i="1"/>
  <c r="T386" i="1"/>
  <c r="R386" i="1"/>
  <c r="T385" i="1"/>
  <c r="R385" i="1"/>
  <c r="T384" i="1"/>
  <c r="R384" i="1"/>
  <c r="T383" i="1"/>
  <c r="R383" i="1"/>
  <c r="T382" i="1"/>
  <c r="R382" i="1"/>
  <c r="T381" i="1"/>
  <c r="R381" i="1"/>
  <c r="T380" i="1"/>
  <c r="R380" i="1"/>
  <c r="T379" i="1"/>
  <c r="R379" i="1"/>
  <c r="T378" i="1"/>
  <c r="R378" i="1"/>
  <c r="T377" i="1"/>
  <c r="R377" i="1"/>
  <c r="T376" i="1"/>
  <c r="R376" i="1"/>
  <c r="T375" i="1"/>
  <c r="R375" i="1"/>
  <c r="T374" i="1"/>
  <c r="R374" i="1"/>
  <c r="T373" i="1"/>
  <c r="R373" i="1"/>
  <c r="T372" i="1"/>
  <c r="R372" i="1"/>
  <c r="T371" i="1"/>
  <c r="R371" i="1"/>
  <c r="T370" i="1"/>
  <c r="R370" i="1"/>
  <c r="T369" i="1"/>
  <c r="R369" i="1"/>
  <c r="T368" i="1"/>
  <c r="R368" i="1"/>
  <c r="T367" i="1"/>
  <c r="R367" i="1"/>
  <c r="T366" i="1"/>
  <c r="R366" i="1"/>
  <c r="T365" i="1"/>
  <c r="R365" i="1"/>
  <c r="T364" i="1"/>
  <c r="R364" i="1"/>
  <c r="T363" i="1"/>
  <c r="R363" i="1"/>
  <c r="T362" i="1"/>
  <c r="R362" i="1"/>
  <c r="T361" i="1"/>
  <c r="R361" i="1"/>
  <c r="T360" i="1"/>
  <c r="R360" i="1"/>
  <c r="T359" i="1"/>
  <c r="R359" i="1"/>
  <c r="T358" i="1"/>
  <c r="R358" i="1"/>
  <c r="T357" i="1"/>
  <c r="R357" i="1"/>
  <c r="T356" i="1"/>
  <c r="R356" i="1"/>
  <c r="T355" i="1"/>
  <c r="R355" i="1"/>
  <c r="T354" i="1"/>
  <c r="R354" i="1"/>
  <c r="T353" i="1"/>
  <c r="R353" i="1"/>
  <c r="T352" i="1"/>
  <c r="R352" i="1"/>
  <c r="T351" i="1"/>
  <c r="R351" i="1"/>
  <c r="T350" i="1"/>
  <c r="R350" i="1"/>
  <c r="T349" i="1"/>
  <c r="R349" i="1"/>
  <c r="T348" i="1"/>
  <c r="R348" i="1"/>
  <c r="T347" i="1"/>
  <c r="R347" i="1"/>
  <c r="T346" i="1"/>
  <c r="R346" i="1"/>
  <c r="T345" i="1"/>
  <c r="R345" i="1"/>
  <c r="T344" i="1"/>
  <c r="R344" i="1"/>
  <c r="T343" i="1"/>
  <c r="R343" i="1"/>
  <c r="T342" i="1"/>
  <c r="R342" i="1"/>
  <c r="T341" i="1"/>
  <c r="R341" i="1"/>
  <c r="T340" i="1"/>
  <c r="R340" i="1"/>
  <c r="T339" i="1"/>
  <c r="R339" i="1"/>
  <c r="T338" i="1"/>
  <c r="R338" i="1"/>
  <c r="T337" i="1"/>
  <c r="R337" i="1"/>
  <c r="T336" i="1"/>
  <c r="R336" i="1"/>
  <c r="T335" i="1"/>
  <c r="R335" i="1"/>
  <c r="T334" i="1"/>
  <c r="R334" i="1"/>
  <c r="T333" i="1"/>
  <c r="R333" i="1"/>
  <c r="T332" i="1"/>
  <c r="R332" i="1"/>
  <c r="T331" i="1"/>
  <c r="R331" i="1"/>
  <c r="T330" i="1"/>
  <c r="R330" i="1"/>
  <c r="T329" i="1"/>
  <c r="R329" i="1"/>
  <c r="T328" i="1"/>
  <c r="R328" i="1"/>
  <c r="T327" i="1"/>
  <c r="R327" i="1"/>
  <c r="T326" i="1"/>
  <c r="R326" i="1"/>
  <c r="T325" i="1"/>
  <c r="R325" i="1"/>
  <c r="T324" i="1"/>
  <c r="R324" i="1"/>
  <c r="T323" i="1"/>
  <c r="R323" i="1"/>
  <c r="T322" i="1"/>
  <c r="R322" i="1"/>
  <c r="T321" i="1"/>
  <c r="R321" i="1"/>
  <c r="T320" i="1"/>
  <c r="R320" i="1"/>
  <c r="T319" i="1"/>
  <c r="R319" i="1"/>
  <c r="T318" i="1"/>
  <c r="R318" i="1"/>
  <c r="T317" i="1"/>
  <c r="R317" i="1"/>
  <c r="T316" i="1"/>
  <c r="R316" i="1"/>
  <c r="T315" i="1"/>
  <c r="R315" i="1"/>
  <c r="T314" i="1"/>
  <c r="R314" i="1"/>
  <c r="T313" i="1"/>
  <c r="R313" i="1"/>
  <c r="T312" i="1"/>
  <c r="R312" i="1"/>
  <c r="T311" i="1"/>
  <c r="R311" i="1"/>
  <c r="T310" i="1"/>
  <c r="R310" i="1"/>
  <c r="T309" i="1"/>
  <c r="R309" i="1"/>
  <c r="T308" i="1"/>
  <c r="R308" i="1"/>
  <c r="T307" i="1"/>
  <c r="R307" i="1"/>
  <c r="T306" i="1"/>
  <c r="R306" i="1"/>
  <c r="T305" i="1"/>
  <c r="R305" i="1"/>
  <c r="T304" i="1"/>
  <c r="R304" i="1"/>
  <c r="T303" i="1"/>
  <c r="R303" i="1"/>
  <c r="T302" i="1"/>
  <c r="R302" i="1"/>
  <c r="T301" i="1"/>
  <c r="R301" i="1"/>
  <c r="T300" i="1"/>
  <c r="R300" i="1"/>
  <c r="T299" i="1"/>
  <c r="R299" i="1"/>
  <c r="T298" i="1"/>
  <c r="R298" i="1"/>
  <c r="T297" i="1"/>
  <c r="R297" i="1"/>
  <c r="T296" i="1"/>
  <c r="R296" i="1"/>
  <c r="T295" i="1"/>
  <c r="R295" i="1"/>
  <c r="T294" i="1"/>
  <c r="R294" i="1"/>
  <c r="T293" i="1"/>
  <c r="R293" i="1"/>
  <c r="T292" i="1"/>
  <c r="R292" i="1"/>
  <c r="T291" i="1"/>
  <c r="R291" i="1"/>
  <c r="T290" i="1"/>
  <c r="R290" i="1"/>
  <c r="T289" i="1"/>
  <c r="R289" i="1"/>
  <c r="T288" i="1"/>
  <c r="R288" i="1"/>
  <c r="T287" i="1"/>
  <c r="R287" i="1"/>
  <c r="T286" i="1"/>
  <c r="R286" i="1"/>
  <c r="T285" i="1"/>
  <c r="R285" i="1"/>
  <c r="T284" i="1"/>
  <c r="R284" i="1"/>
  <c r="T283" i="1"/>
  <c r="R283" i="1"/>
  <c r="T282" i="1"/>
  <c r="R282" i="1"/>
  <c r="T281" i="1"/>
  <c r="R281" i="1"/>
  <c r="T280" i="1"/>
  <c r="R280" i="1"/>
  <c r="T279" i="1"/>
  <c r="R279" i="1"/>
  <c r="T278" i="1"/>
  <c r="R278" i="1"/>
  <c r="T277" i="1"/>
  <c r="R277" i="1"/>
  <c r="T276" i="1"/>
  <c r="R276" i="1"/>
  <c r="T275" i="1"/>
  <c r="R275" i="1"/>
  <c r="T274" i="1"/>
  <c r="R274" i="1"/>
  <c r="T273" i="1"/>
  <c r="R273" i="1"/>
  <c r="T272" i="1"/>
  <c r="R272" i="1"/>
  <c r="T271" i="1"/>
  <c r="R271" i="1"/>
  <c r="T270" i="1"/>
  <c r="R270" i="1"/>
  <c r="T269" i="1"/>
  <c r="R269" i="1"/>
  <c r="T268" i="1"/>
  <c r="R268" i="1"/>
  <c r="T267" i="1"/>
  <c r="R267" i="1"/>
  <c r="T266" i="1"/>
  <c r="R266" i="1"/>
  <c r="T265" i="1"/>
  <c r="R265" i="1"/>
  <c r="T264" i="1"/>
  <c r="R264" i="1"/>
  <c r="T263" i="1"/>
  <c r="R263" i="1"/>
  <c r="T262" i="1"/>
  <c r="R262" i="1"/>
  <c r="T261" i="1"/>
  <c r="R261" i="1"/>
  <c r="T260" i="1"/>
  <c r="R260" i="1"/>
  <c r="T259" i="1"/>
  <c r="R259" i="1"/>
  <c r="T258" i="1"/>
  <c r="R258" i="1"/>
  <c r="T257" i="1"/>
  <c r="R257" i="1"/>
  <c r="T256" i="1"/>
  <c r="R256" i="1"/>
  <c r="T255" i="1"/>
  <c r="R255" i="1"/>
  <c r="T254" i="1"/>
  <c r="R254" i="1"/>
  <c r="T253" i="1"/>
  <c r="R253" i="1"/>
  <c r="T252" i="1"/>
  <c r="R252" i="1"/>
  <c r="T251" i="1"/>
  <c r="R251" i="1"/>
  <c r="T250" i="1"/>
  <c r="R250" i="1"/>
  <c r="T249" i="1"/>
  <c r="R249" i="1"/>
  <c r="T248" i="1"/>
  <c r="R248" i="1"/>
  <c r="T247" i="1"/>
  <c r="R247" i="1"/>
  <c r="T246" i="1"/>
  <c r="R246" i="1"/>
  <c r="T245" i="1"/>
  <c r="R245" i="1"/>
  <c r="T244" i="1"/>
  <c r="R244" i="1"/>
  <c r="T243" i="1"/>
  <c r="R243" i="1"/>
  <c r="T242" i="1"/>
  <c r="R242" i="1"/>
  <c r="T241" i="1"/>
  <c r="R241" i="1"/>
  <c r="T240" i="1"/>
  <c r="R240" i="1"/>
  <c r="T239" i="1"/>
  <c r="R239" i="1"/>
  <c r="T238" i="1"/>
  <c r="R238" i="1"/>
  <c r="T237" i="1"/>
  <c r="R237" i="1"/>
  <c r="T236" i="1"/>
  <c r="R236" i="1"/>
  <c r="T235" i="1"/>
  <c r="R235" i="1"/>
  <c r="T234" i="1"/>
  <c r="R234" i="1"/>
  <c r="T233" i="1"/>
  <c r="R233" i="1"/>
  <c r="T232" i="1"/>
  <c r="R232" i="1"/>
  <c r="T231" i="1"/>
  <c r="R231" i="1"/>
  <c r="T230" i="1"/>
  <c r="R230" i="1"/>
  <c r="T229" i="1"/>
  <c r="R229" i="1"/>
  <c r="T228" i="1"/>
  <c r="R228" i="1"/>
  <c r="T227" i="1"/>
  <c r="R227" i="1"/>
  <c r="T226" i="1"/>
  <c r="R226" i="1"/>
  <c r="T225" i="1"/>
  <c r="R225" i="1"/>
  <c r="T224" i="1"/>
  <c r="R224" i="1"/>
  <c r="T223" i="1"/>
  <c r="R223" i="1"/>
  <c r="T222" i="1"/>
  <c r="R222" i="1"/>
  <c r="T221" i="1"/>
  <c r="R221" i="1"/>
  <c r="T220" i="1"/>
  <c r="R220" i="1"/>
  <c r="T219" i="1"/>
  <c r="R219" i="1"/>
  <c r="T218" i="1"/>
  <c r="R218" i="1"/>
  <c r="T217" i="1"/>
  <c r="R217" i="1"/>
  <c r="T216" i="1"/>
  <c r="R216" i="1"/>
  <c r="T215" i="1"/>
  <c r="R215" i="1"/>
  <c r="T214" i="1"/>
  <c r="R214" i="1"/>
  <c r="T213" i="1"/>
  <c r="R213" i="1"/>
  <c r="T212" i="1"/>
  <c r="R212" i="1"/>
  <c r="T211" i="1"/>
  <c r="R211" i="1"/>
  <c r="T210" i="1"/>
  <c r="R210" i="1"/>
  <c r="T209" i="1"/>
  <c r="R209" i="1"/>
  <c r="T208" i="1"/>
  <c r="R208" i="1"/>
  <c r="T207" i="1"/>
  <c r="R207" i="1"/>
  <c r="T206" i="1"/>
  <c r="R206" i="1"/>
  <c r="T205" i="1"/>
  <c r="R205" i="1"/>
  <c r="T204" i="1"/>
  <c r="R204" i="1"/>
  <c r="T203" i="1"/>
  <c r="R203" i="1"/>
  <c r="T202" i="1"/>
  <c r="R202" i="1"/>
  <c r="T201" i="1"/>
  <c r="R201" i="1"/>
  <c r="T200" i="1"/>
  <c r="R200" i="1"/>
  <c r="T199" i="1"/>
  <c r="R199" i="1"/>
  <c r="T198" i="1"/>
  <c r="R198" i="1"/>
  <c r="T197" i="1"/>
  <c r="R197" i="1"/>
  <c r="T196" i="1"/>
  <c r="R196" i="1"/>
  <c r="T195" i="1"/>
  <c r="R195" i="1"/>
  <c r="T194" i="1"/>
  <c r="R194" i="1"/>
  <c r="T193" i="1"/>
  <c r="R193" i="1"/>
  <c r="T192" i="1"/>
  <c r="R192" i="1"/>
  <c r="T191" i="1"/>
  <c r="R191" i="1"/>
  <c r="T190" i="1"/>
  <c r="R190" i="1"/>
  <c r="T189" i="1"/>
  <c r="R189" i="1"/>
  <c r="T188" i="1"/>
  <c r="R188" i="1"/>
  <c r="T187" i="1"/>
  <c r="R187" i="1"/>
  <c r="T186" i="1"/>
  <c r="R186" i="1"/>
  <c r="T185" i="1"/>
  <c r="R185" i="1"/>
  <c r="T184" i="1"/>
  <c r="R184" i="1"/>
  <c r="T183" i="1"/>
  <c r="R183" i="1"/>
  <c r="T182" i="1"/>
  <c r="R182" i="1"/>
  <c r="T181" i="1"/>
  <c r="R181" i="1"/>
  <c r="T180" i="1"/>
  <c r="R180" i="1"/>
  <c r="T179" i="1"/>
  <c r="R179" i="1"/>
  <c r="T178" i="1"/>
  <c r="R178" i="1"/>
  <c r="T177" i="1"/>
  <c r="R177" i="1"/>
  <c r="T176" i="1"/>
  <c r="R176" i="1"/>
  <c r="T175" i="1"/>
  <c r="R175" i="1"/>
  <c r="T174" i="1"/>
  <c r="R174" i="1"/>
  <c r="T173" i="1"/>
  <c r="R173" i="1"/>
  <c r="T172" i="1"/>
  <c r="R172" i="1"/>
  <c r="T171" i="1"/>
  <c r="R171" i="1"/>
  <c r="T170" i="1"/>
  <c r="R170" i="1"/>
  <c r="T169" i="1"/>
  <c r="R169" i="1"/>
  <c r="T168" i="1"/>
  <c r="R168" i="1"/>
  <c r="T167" i="1"/>
  <c r="R167" i="1"/>
  <c r="T166" i="1"/>
  <c r="R166" i="1"/>
  <c r="T165" i="1"/>
  <c r="R165" i="1"/>
  <c r="T164" i="1"/>
  <c r="R164" i="1"/>
  <c r="T163" i="1"/>
  <c r="R163" i="1"/>
  <c r="T162" i="1"/>
  <c r="R162" i="1"/>
  <c r="T161" i="1"/>
  <c r="R161" i="1"/>
  <c r="T160" i="1"/>
  <c r="R160" i="1"/>
  <c r="T159" i="1"/>
  <c r="R159" i="1"/>
  <c r="T158" i="1"/>
  <c r="R158" i="1"/>
  <c r="T157" i="1"/>
  <c r="R157" i="1"/>
  <c r="T156" i="1"/>
  <c r="R156" i="1"/>
  <c r="T155" i="1"/>
  <c r="R155" i="1"/>
  <c r="T154" i="1"/>
  <c r="R154" i="1"/>
  <c r="T153" i="1"/>
  <c r="R153" i="1"/>
  <c r="T152" i="1"/>
  <c r="R152" i="1"/>
  <c r="T151" i="1"/>
  <c r="R151" i="1"/>
  <c r="T150" i="1"/>
  <c r="R150" i="1"/>
  <c r="T149" i="1"/>
  <c r="R149" i="1"/>
  <c r="T148" i="1"/>
  <c r="R148" i="1"/>
  <c r="T147" i="1"/>
  <c r="R147" i="1"/>
  <c r="T146" i="1"/>
  <c r="R146" i="1"/>
  <c r="T145" i="1"/>
  <c r="R145" i="1"/>
  <c r="T144" i="1"/>
  <c r="R144" i="1"/>
  <c r="T143" i="1"/>
  <c r="R143" i="1"/>
  <c r="T142" i="1"/>
  <c r="R142" i="1"/>
  <c r="T141" i="1"/>
  <c r="R141" i="1"/>
  <c r="T140" i="1"/>
  <c r="R140" i="1"/>
  <c r="T139" i="1"/>
  <c r="R139" i="1"/>
  <c r="T138" i="1"/>
  <c r="R138" i="1"/>
  <c r="T137" i="1"/>
  <c r="R137" i="1"/>
  <c r="T136" i="1"/>
  <c r="R136" i="1"/>
  <c r="T135" i="1"/>
  <c r="R135" i="1"/>
  <c r="T134" i="1"/>
  <c r="R134" i="1"/>
  <c r="T133" i="1"/>
  <c r="R133" i="1"/>
  <c r="T132" i="1"/>
  <c r="R132" i="1"/>
  <c r="T131" i="1"/>
  <c r="R131" i="1"/>
  <c r="T130" i="1"/>
  <c r="R130" i="1"/>
  <c r="T129" i="1"/>
  <c r="R129" i="1"/>
  <c r="T128" i="1"/>
  <c r="R128" i="1"/>
  <c r="T127" i="1"/>
  <c r="R127" i="1"/>
  <c r="T126" i="1"/>
  <c r="R126" i="1"/>
  <c r="T125" i="1"/>
  <c r="R125" i="1"/>
  <c r="T124" i="1"/>
  <c r="R124" i="1"/>
  <c r="T123" i="1"/>
  <c r="R123" i="1"/>
  <c r="T122" i="1"/>
  <c r="R122" i="1"/>
  <c r="T121" i="1"/>
  <c r="R121" i="1"/>
  <c r="T120" i="1"/>
  <c r="R120" i="1"/>
  <c r="T119" i="1"/>
  <c r="R119" i="1"/>
  <c r="T118" i="1"/>
  <c r="R118" i="1"/>
  <c r="T117" i="1"/>
  <c r="R117" i="1"/>
  <c r="T116" i="1"/>
  <c r="R116" i="1"/>
  <c r="T115" i="1"/>
  <c r="R115" i="1"/>
  <c r="T114" i="1"/>
  <c r="R114" i="1"/>
  <c r="T113" i="1"/>
  <c r="R113" i="1"/>
  <c r="T112" i="1"/>
  <c r="R112" i="1"/>
  <c r="T111" i="1"/>
  <c r="R111" i="1"/>
  <c r="T110" i="1"/>
  <c r="R110" i="1"/>
  <c r="T109" i="1"/>
  <c r="R109" i="1"/>
  <c r="T108" i="1"/>
  <c r="R108" i="1"/>
  <c r="T107" i="1"/>
  <c r="R107" i="1"/>
  <c r="T106" i="1"/>
  <c r="R106" i="1"/>
  <c r="T105" i="1"/>
  <c r="R105" i="1"/>
  <c r="T104" i="1"/>
  <c r="R104" i="1"/>
  <c r="T103" i="1"/>
  <c r="R103" i="1"/>
  <c r="T102" i="1"/>
  <c r="R102" i="1"/>
  <c r="T101" i="1"/>
  <c r="R101" i="1"/>
  <c r="T100" i="1"/>
  <c r="R100" i="1"/>
  <c r="T99" i="1"/>
  <c r="R99" i="1"/>
  <c r="T98" i="1"/>
  <c r="R98" i="1"/>
  <c r="T97" i="1"/>
  <c r="R97" i="1"/>
  <c r="T96" i="1"/>
  <c r="R96" i="1"/>
  <c r="T95" i="1"/>
  <c r="R95" i="1"/>
  <c r="T94" i="1"/>
  <c r="R94" i="1"/>
  <c r="T93" i="1"/>
  <c r="R93" i="1"/>
  <c r="T92" i="1"/>
  <c r="R92" i="1"/>
  <c r="T91" i="1"/>
  <c r="R91" i="1"/>
  <c r="T90" i="1"/>
  <c r="R90" i="1"/>
  <c r="T89" i="1"/>
  <c r="R89" i="1"/>
  <c r="T88" i="1"/>
  <c r="R88" i="1"/>
  <c r="T87" i="1"/>
  <c r="R87" i="1"/>
  <c r="T86" i="1"/>
  <c r="R86" i="1"/>
  <c r="T85" i="1"/>
  <c r="R85" i="1"/>
  <c r="T84" i="1"/>
  <c r="R84" i="1"/>
  <c r="T83" i="1"/>
  <c r="R83" i="1"/>
  <c r="T82" i="1"/>
  <c r="R82" i="1"/>
  <c r="T81" i="1"/>
  <c r="R81" i="1"/>
  <c r="T80" i="1"/>
  <c r="R80" i="1"/>
  <c r="T79" i="1"/>
  <c r="R79" i="1"/>
  <c r="T78" i="1"/>
  <c r="R78" i="1"/>
  <c r="T77" i="1"/>
  <c r="R77" i="1"/>
  <c r="T76" i="1"/>
  <c r="R76" i="1"/>
  <c r="T75" i="1"/>
  <c r="R75" i="1"/>
  <c r="T74" i="1"/>
  <c r="R74" i="1"/>
  <c r="T73" i="1"/>
  <c r="R73" i="1"/>
  <c r="T72" i="1"/>
  <c r="R72" i="1"/>
  <c r="T71" i="1"/>
  <c r="R71" i="1"/>
  <c r="T70" i="1"/>
  <c r="R70" i="1"/>
  <c r="T69" i="1"/>
  <c r="R69" i="1"/>
  <c r="T68" i="1"/>
  <c r="R68" i="1"/>
  <c r="T67" i="1"/>
  <c r="R67" i="1"/>
  <c r="T66" i="1"/>
  <c r="R66" i="1"/>
  <c r="T65" i="1"/>
  <c r="R65" i="1"/>
  <c r="T64" i="1"/>
  <c r="R64" i="1"/>
  <c r="T63" i="1"/>
  <c r="R63" i="1"/>
  <c r="T62" i="1"/>
  <c r="R62" i="1"/>
  <c r="T61" i="1"/>
  <c r="R61" i="1"/>
  <c r="T60" i="1"/>
  <c r="R60" i="1"/>
  <c r="T59" i="1"/>
  <c r="R59" i="1"/>
  <c r="T58" i="1"/>
  <c r="R58" i="1"/>
  <c r="T57" i="1"/>
  <c r="R57" i="1"/>
  <c r="T56" i="1"/>
  <c r="R56" i="1"/>
  <c r="T55" i="1"/>
  <c r="R55" i="1"/>
  <c r="T54" i="1"/>
  <c r="R54" i="1"/>
  <c r="T53" i="1"/>
  <c r="R53" i="1"/>
  <c r="T52" i="1"/>
  <c r="R52" i="1"/>
  <c r="T51" i="1"/>
  <c r="R51" i="1"/>
  <c r="T50" i="1"/>
  <c r="R50" i="1"/>
  <c r="T49" i="1"/>
  <c r="R49" i="1"/>
  <c r="T48" i="1"/>
  <c r="R48" i="1"/>
  <c r="T47" i="1"/>
  <c r="R47" i="1"/>
  <c r="T46" i="1"/>
  <c r="R46" i="1"/>
  <c r="T45" i="1"/>
  <c r="R45" i="1"/>
  <c r="T44" i="1"/>
  <c r="R44" i="1"/>
  <c r="T43" i="1"/>
  <c r="R43" i="1"/>
  <c r="T42" i="1"/>
  <c r="R42" i="1"/>
  <c r="T41" i="1"/>
  <c r="R41" i="1"/>
  <c r="T40" i="1"/>
  <c r="R40" i="1"/>
  <c r="T39" i="1"/>
  <c r="R39" i="1"/>
  <c r="T38" i="1"/>
  <c r="R38" i="1"/>
  <c r="T37" i="1"/>
  <c r="R37" i="1"/>
  <c r="T36" i="1"/>
  <c r="R36" i="1"/>
  <c r="T35" i="1"/>
  <c r="R35" i="1"/>
  <c r="T34" i="1"/>
  <c r="R34" i="1"/>
  <c r="T33" i="1"/>
  <c r="R33" i="1"/>
  <c r="T32" i="1"/>
  <c r="R32" i="1"/>
  <c r="T31" i="1"/>
  <c r="R31" i="1"/>
  <c r="T30" i="1"/>
  <c r="R30" i="1"/>
  <c r="T29" i="1"/>
  <c r="R29" i="1"/>
  <c r="T28" i="1"/>
  <c r="R28" i="1"/>
  <c r="T27" i="1"/>
  <c r="R27" i="1"/>
  <c r="T26" i="1"/>
  <c r="R26" i="1"/>
  <c r="T25" i="1"/>
  <c r="R25" i="1"/>
  <c r="T24" i="1"/>
  <c r="R24" i="1"/>
  <c r="T23" i="1"/>
  <c r="R23" i="1"/>
  <c r="T22" i="1"/>
  <c r="R22" i="1"/>
  <c r="T21" i="1"/>
  <c r="R21" i="1"/>
  <c r="T20" i="1"/>
  <c r="R20" i="1"/>
  <c r="T19" i="1"/>
  <c r="R19" i="1"/>
  <c r="T18" i="1"/>
  <c r="R18" i="1"/>
  <c r="T17" i="1"/>
  <c r="R17" i="1"/>
  <c r="T16" i="1"/>
  <c r="R16" i="1"/>
  <c r="T15" i="1"/>
  <c r="R15" i="1"/>
  <c r="T14" i="1"/>
  <c r="R14" i="1"/>
  <c r="T13" i="1"/>
  <c r="R13" i="1"/>
  <c r="T12" i="1"/>
  <c r="R12" i="1"/>
  <c r="T11" i="1"/>
  <c r="R11" i="1"/>
  <c r="T10" i="1"/>
  <c r="R10" i="1"/>
  <c r="T9" i="1"/>
  <c r="R9" i="1"/>
  <c r="T8" i="1"/>
  <c r="R8" i="1"/>
  <c r="E1135" i="1"/>
  <c r="E1134" i="1"/>
  <c r="E1133" i="1"/>
  <c r="P1133" i="1" s="1"/>
  <c r="E1132" i="1"/>
  <c r="E1131" i="1"/>
  <c r="E1130" i="1"/>
  <c r="E1129" i="1"/>
  <c r="E1128" i="1"/>
  <c r="E1127" i="1"/>
  <c r="E1126" i="1"/>
  <c r="E1125" i="1"/>
  <c r="E1124" i="1"/>
  <c r="E1123" i="1"/>
  <c r="E1122" i="1"/>
  <c r="E1121" i="1"/>
  <c r="E1120" i="1"/>
  <c r="E1119" i="1"/>
  <c r="E1118" i="1"/>
  <c r="E1117" i="1"/>
  <c r="E1116" i="1"/>
  <c r="E1115" i="1"/>
  <c r="E1114" i="1"/>
  <c r="E1113" i="1"/>
  <c r="E1112" i="1"/>
  <c r="P1112" i="1" s="1"/>
  <c r="E1111" i="1"/>
  <c r="E1110" i="1"/>
  <c r="E1109" i="1"/>
  <c r="E1108" i="1"/>
  <c r="E1107" i="1"/>
  <c r="E1106" i="1"/>
  <c r="E1105" i="1"/>
  <c r="E1104" i="1"/>
  <c r="E1103" i="1"/>
  <c r="E1102" i="1"/>
  <c r="E1101" i="1"/>
  <c r="E1100" i="1"/>
  <c r="E1099" i="1"/>
  <c r="E1098" i="1"/>
  <c r="E1097" i="1"/>
  <c r="E1096" i="1"/>
  <c r="E1095" i="1"/>
  <c r="E1094" i="1"/>
  <c r="E1093" i="1"/>
  <c r="E1092" i="1"/>
  <c r="E1091" i="1"/>
  <c r="P1091" i="1" s="1"/>
  <c r="E1090" i="1"/>
  <c r="E1089" i="1"/>
  <c r="E1088" i="1"/>
  <c r="E1087" i="1"/>
  <c r="E1086" i="1"/>
  <c r="E1085" i="1"/>
  <c r="E1084" i="1"/>
  <c r="E1083" i="1"/>
  <c r="U1083" i="1" s="1"/>
  <c r="E1082" i="1"/>
  <c r="E1081" i="1"/>
  <c r="E1080" i="1"/>
  <c r="E1079" i="1"/>
  <c r="E1078" i="1"/>
  <c r="E1077" i="1"/>
  <c r="E1076" i="1"/>
  <c r="E1075" i="1"/>
  <c r="E1074" i="1"/>
  <c r="E1073" i="1"/>
  <c r="E1072" i="1"/>
  <c r="E1071" i="1"/>
  <c r="E1070" i="1"/>
  <c r="E1069" i="1"/>
  <c r="E1068" i="1"/>
  <c r="E1067" i="1"/>
  <c r="E1066" i="1"/>
  <c r="E1065" i="1"/>
  <c r="E1064" i="1"/>
  <c r="E1063" i="1"/>
  <c r="E1062" i="1"/>
  <c r="P1062" i="1" s="1"/>
  <c r="E1061" i="1"/>
  <c r="E1060" i="1"/>
  <c r="E1059" i="1"/>
  <c r="E1058" i="1"/>
  <c r="E1057" i="1"/>
  <c r="E1056" i="1"/>
  <c r="U1056" i="1" s="1"/>
  <c r="E1055" i="1"/>
  <c r="E1054" i="1"/>
  <c r="E1053" i="1"/>
  <c r="E1052" i="1"/>
  <c r="E1051" i="1"/>
  <c r="P1051" i="1" s="1"/>
  <c r="E1050" i="1"/>
  <c r="E1049" i="1"/>
  <c r="E1048" i="1"/>
  <c r="E1047" i="1"/>
  <c r="E1046" i="1"/>
  <c r="E1045" i="1"/>
  <c r="E1044" i="1"/>
  <c r="E1043" i="1"/>
  <c r="E1042" i="1"/>
  <c r="E1041" i="1"/>
  <c r="E1040" i="1"/>
  <c r="E1039" i="1"/>
  <c r="E1038" i="1"/>
  <c r="E1037" i="1"/>
  <c r="E1036" i="1"/>
  <c r="E1035" i="1"/>
  <c r="E1034" i="1"/>
  <c r="E1033" i="1"/>
  <c r="U1033" i="1" s="1"/>
  <c r="E1032" i="1"/>
  <c r="E1031" i="1"/>
  <c r="E1030" i="1"/>
  <c r="E1029" i="1"/>
  <c r="E1028" i="1"/>
  <c r="E1027" i="1"/>
  <c r="U1027" i="1" s="1"/>
  <c r="E1026" i="1"/>
  <c r="E1025" i="1"/>
  <c r="E1024" i="1"/>
  <c r="U1024" i="1" s="1"/>
  <c r="E1023" i="1"/>
  <c r="E1022" i="1"/>
  <c r="E1021" i="1"/>
  <c r="E1020" i="1"/>
  <c r="E1019" i="1"/>
  <c r="E1018" i="1"/>
  <c r="E1017" i="1"/>
  <c r="E1016" i="1"/>
  <c r="E1015" i="1"/>
  <c r="P1015" i="1" s="1"/>
  <c r="E1014" i="1"/>
  <c r="U1014" i="1" s="1"/>
  <c r="E1013" i="1"/>
  <c r="E1012" i="1"/>
  <c r="P1012" i="1" s="1"/>
  <c r="E1011" i="1"/>
  <c r="E1010" i="1"/>
  <c r="E1009" i="1"/>
  <c r="E1008" i="1"/>
  <c r="E1007" i="1"/>
  <c r="E1006" i="1"/>
  <c r="P1006" i="1" s="1"/>
  <c r="E1005" i="1"/>
  <c r="E1004" i="1"/>
  <c r="E1003" i="1"/>
  <c r="P1003" i="1" s="1"/>
  <c r="E1002" i="1"/>
  <c r="E1001" i="1"/>
  <c r="E1000" i="1"/>
  <c r="E999" i="1"/>
  <c r="P999" i="1" s="1"/>
  <c r="E998" i="1"/>
  <c r="E997" i="1"/>
  <c r="E996" i="1"/>
  <c r="E995"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P967" i="1" s="1"/>
  <c r="E966" i="1"/>
  <c r="P966" i="1" s="1"/>
  <c r="E965" i="1"/>
  <c r="E964" i="1"/>
  <c r="E963" i="1"/>
  <c r="E962" i="1"/>
  <c r="E961" i="1"/>
  <c r="E960" i="1"/>
  <c r="U960" i="1" s="1"/>
  <c r="E959" i="1"/>
  <c r="E958" i="1"/>
  <c r="E957" i="1"/>
  <c r="E956" i="1"/>
  <c r="E955" i="1"/>
  <c r="E954" i="1"/>
  <c r="E953" i="1"/>
  <c r="E952" i="1"/>
  <c r="E951" i="1"/>
  <c r="E950" i="1"/>
  <c r="E949" i="1"/>
  <c r="E948" i="1"/>
  <c r="E947" i="1"/>
  <c r="E946" i="1"/>
  <c r="E945" i="1"/>
  <c r="U945" i="1" s="1"/>
  <c r="E944" i="1"/>
  <c r="E943" i="1"/>
  <c r="P943" i="1" s="1"/>
  <c r="E942" i="1"/>
  <c r="E941" i="1"/>
  <c r="E940" i="1"/>
  <c r="E939" i="1"/>
  <c r="P939" i="1" s="1"/>
  <c r="E938" i="1"/>
  <c r="E937" i="1"/>
  <c r="E936" i="1"/>
  <c r="P936" i="1" s="1"/>
  <c r="E935" i="1"/>
  <c r="U935" i="1" s="1"/>
  <c r="E934" i="1"/>
  <c r="E933" i="1"/>
  <c r="E932" i="1"/>
  <c r="E931" i="1"/>
  <c r="E930" i="1"/>
  <c r="E929" i="1"/>
  <c r="E928" i="1"/>
  <c r="E927" i="1"/>
  <c r="U927" i="1" s="1"/>
  <c r="E926" i="1"/>
  <c r="E925" i="1"/>
  <c r="E924" i="1"/>
  <c r="E923" i="1"/>
  <c r="P923" i="1" s="1"/>
  <c r="E922" i="1"/>
  <c r="E921" i="1"/>
  <c r="E920" i="1"/>
  <c r="E919" i="1"/>
  <c r="P919" i="1" s="1"/>
  <c r="E918" i="1"/>
  <c r="E917" i="1"/>
  <c r="E916" i="1"/>
  <c r="E915" i="1"/>
  <c r="E914" i="1"/>
  <c r="E913" i="1"/>
  <c r="E912" i="1"/>
  <c r="P912" i="1" s="1"/>
  <c r="E911" i="1"/>
  <c r="E910" i="1"/>
  <c r="E909" i="1"/>
  <c r="E908" i="1"/>
  <c r="E907" i="1"/>
  <c r="E906" i="1"/>
  <c r="E905" i="1"/>
  <c r="E904" i="1"/>
  <c r="E903" i="1"/>
  <c r="E902" i="1"/>
  <c r="U902" i="1" s="1"/>
  <c r="E901" i="1"/>
  <c r="E900" i="1"/>
  <c r="E899" i="1"/>
  <c r="P899" i="1" s="1"/>
  <c r="E898" i="1"/>
  <c r="E897" i="1"/>
  <c r="E896" i="1"/>
  <c r="U896" i="1" s="1"/>
  <c r="E895" i="1"/>
  <c r="E894" i="1"/>
  <c r="U894" i="1" s="1"/>
  <c r="E893" i="1"/>
  <c r="E892" i="1"/>
  <c r="E891" i="1"/>
  <c r="U891" i="1" s="1"/>
  <c r="E890" i="1"/>
  <c r="E889" i="1"/>
  <c r="E888" i="1"/>
  <c r="E887" i="1"/>
  <c r="U887" i="1" s="1"/>
  <c r="E886" i="1"/>
  <c r="U886" i="1" s="1"/>
  <c r="E885" i="1"/>
  <c r="E884" i="1"/>
  <c r="E883" i="1"/>
  <c r="P883" i="1" s="1"/>
  <c r="E882" i="1"/>
  <c r="E881" i="1"/>
  <c r="E880" i="1"/>
  <c r="E879" i="1"/>
  <c r="P879" i="1" s="1"/>
  <c r="E878" i="1"/>
  <c r="E877" i="1"/>
  <c r="E876" i="1"/>
  <c r="E875" i="1"/>
  <c r="E874" i="1"/>
  <c r="E873" i="1"/>
  <c r="E872" i="1"/>
  <c r="P872" i="1" s="1"/>
  <c r="E871" i="1"/>
  <c r="P871" i="1" s="1"/>
  <c r="E870" i="1"/>
  <c r="U870" i="1" s="1"/>
  <c r="E869" i="1"/>
  <c r="E868" i="1"/>
  <c r="E867" i="1"/>
  <c r="E866" i="1"/>
  <c r="E865" i="1"/>
  <c r="E864" i="1"/>
  <c r="P864" i="1" s="1"/>
  <c r="E863" i="1"/>
  <c r="U863" i="1" s="1"/>
  <c r="E862" i="1"/>
  <c r="E861" i="1"/>
  <c r="E860" i="1"/>
  <c r="E859" i="1"/>
  <c r="E858" i="1"/>
  <c r="E857" i="1"/>
  <c r="E856" i="1"/>
  <c r="E855" i="1"/>
  <c r="E854" i="1"/>
  <c r="P854" i="1" s="1"/>
  <c r="E853" i="1"/>
  <c r="E852" i="1"/>
  <c r="E851" i="1"/>
  <c r="E850" i="1"/>
  <c r="E849" i="1"/>
  <c r="E848" i="1"/>
  <c r="E847" i="1"/>
  <c r="P847" i="1" s="1"/>
  <c r="E846" i="1"/>
  <c r="E845" i="1"/>
  <c r="E844" i="1"/>
  <c r="E843" i="1"/>
  <c r="E842" i="1"/>
  <c r="E841" i="1"/>
  <c r="E840" i="1"/>
  <c r="P840" i="1" s="1"/>
  <c r="E839" i="1"/>
  <c r="E838" i="1"/>
  <c r="P838" i="1" s="1"/>
  <c r="E837" i="1"/>
  <c r="E836" i="1"/>
  <c r="E835" i="1"/>
  <c r="P835" i="1" s="1"/>
  <c r="E834" i="1"/>
  <c r="E833" i="1"/>
  <c r="E832" i="1"/>
  <c r="P832" i="1" s="1"/>
  <c r="E831" i="1"/>
  <c r="E830" i="1"/>
  <c r="E829" i="1"/>
  <c r="P829" i="1" s="1"/>
  <c r="E828" i="1"/>
  <c r="E827" i="1"/>
  <c r="P827" i="1" s="1"/>
  <c r="E826" i="1"/>
  <c r="E825" i="1"/>
  <c r="E824" i="1"/>
  <c r="E823" i="1"/>
  <c r="U823" i="1" s="1"/>
  <c r="E822" i="1"/>
  <c r="U822" i="1" s="1"/>
  <c r="E821" i="1"/>
  <c r="E820" i="1"/>
  <c r="E819" i="1"/>
  <c r="P819" i="1" s="1"/>
  <c r="E818" i="1"/>
  <c r="E817" i="1"/>
  <c r="E816" i="1"/>
  <c r="U816" i="1" s="1"/>
  <c r="E815" i="1"/>
  <c r="P815" i="1" s="1"/>
  <c r="E814" i="1"/>
  <c r="E813" i="1"/>
  <c r="E812" i="1"/>
  <c r="E811" i="1"/>
  <c r="P811" i="1" s="1"/>
  <c r="E810" i="1"/>
  <c r="U810" i="1" s="1"/>
  <c r="E809" i="1"/>
  <c r="E808" i="1"/>
  <c r="U808" i="1" s="1"/>
  <c r="E807" i="1"/>
  <c r="E806" i="1"/>
  <c r="U806" i="1" s="1"/>
  <c r="E805" i="1"/>
  <c r="E804" i="1"/>
  <c r="U804" i="1" s="1"/>
  <c r="E803" i="1"/>
  <c r="E802" i="1"/>
  <c r="E801" i="1"/>
  <c r="E800" i="1"/>
  <c r="P800" i="1" s="1"/>
  <c r="E799" i="1"/>
  <c r="P799" i="1" s="1"/>
  <c r="E798" i="1"/>
  <c r="P798" i="1" s="1"/>
  <c r="E797" i="1"/>
  <c r="E796" i="1"/>
  <c r="E795" i="1"/>
  <c r="E794" i="1"/>
  <c r="E793" i="1"/>
  <c r="E792" i="1"/>
  <c r="E791" i="1"/>
  <c r="E790" i="1"/>
  <c r="P790" i="1" s="1"/>
  <c r="E789" i="1"/>
  <c r="E788" i="1"/>
  <c r="E787" i="1"/>
  <c r="E786" i="1"/>
  <c r="E785" i="1"/>
  <c r="E784" i="1"/>
  <c r="P784" i="1" s="1"/>
  <c r="E783" i="1"/>
  <c r="U783" i="1" s="1"/>
  <c r="E782" i="1"/>
  <c r="E781" i="1"/>
  <c r="U781" i="1" s="1"/>
  <c r="E780" i="1"/>
  <c r="E779" i="1"/>
  <c r="E778" i="1"/>
  <c r="P778" i="1" s="1"/>
  <c r="E777" i="1"/>
  <c r="E776" i="1"/>
  <c r="E775" i="1"/>
  <c r="E774" i="1"/>
  <c r="E773" i="1"/>
  <c r="E772" i="1"/>
  <c r="E771" i="1"/>
  <c r="E770" i="1"/>
  <c r="E769" i="1"/>
  <c r="E768" i="1"/>
  <c r="P768" i="1" s="1"/>
  <c r="E767" i="1"/>
  <c r="U767" i="1" s="1"/>
  <c r="E766" i="1"/>
  <c r="E765" i="1"/>
  <c r="E764" i="1"/>
  <c r="E763" i="1"/>
  <c r="E762" i="1"/>
  <c r="P762" i="1" s="1"/>
  <c r="E761" i="1"/>
  <c r="E760" i="1"/>
  <c r="E759" i="1"/>
  <c r="U759" i="1" s="1"/>
  <c r="E758" i="1"/>
  <c r="E757" i="1"/>
  <c r="E756" i="1"/>
  <c r="P756" i="1" s="1"/>
  <c r="E755" i="1"/>
  <c r="P755" i="1" s="1"/>
  <c r="E754" i="1"/>
  <c r="E753" i="1"/>
  <c r="E752" i="1"/>
  <c r="U752" i="1" s="1"/>
  <c r="E751" i="1"/>
  <c r="E750" i="1"/>
  <c r="U750" i="1" s="1"/>
  <c r="E749" i="1"/>
  <c r="E748" i="1"/>
  <c r="E747" i="1"/>
  <c r="P747" i="1" s="1"/>
  <c r="E746" i="1"/>
  <c r="E745" i="1"/>
  <c r="U745" i="1" s="1"/>
  <c r="E744" i="1"/>
  <c r="P744" i="1" s="1"/>
  <c r="E743" i="1"/>
  <c r="E742" i="1"/>
  <c r="E741" i="1"/>
  <c r="U741" i="1" s="1"/>
  <c r="E740" i="1"/>
  <c r="E739" i="1"/>
  <c r="E738" i="1"/>
  <c r="E737" i="1"/>
  <c r="P737" i="1" s="1"/>
  <c r="E736" i="1"/>
  <c r="U736" i="1" s="1"/>
  <c r="E735" i="1"/>
  <c r="E734" i="1"/>
  <c r="E733" i="1"/>
  <c r="E732" i="1"/>
  <c r="E731" i="1"/>
  <c r="P731" i="1" s="1"/>
  <c r="E730" i="1"/>
  <c r="E729" i="1"/>
  <c r="E728" i="1"/>
  <c r="E727" i="1"/>
  <c r="E726" i="1"/>
  <c r="P726" i="1" s="1"/>
  <c r="E725" i="1"/>
  <c r="E724" i="1"/>
  <c r="E723" i="1"/>
  <c r="E722" i="1"/>
  <c r="E721" i="1"/>
  <c r="E720" i="1"/>
  <c r="E719" i="1"/>
  <c r="E718" i="1"/>
  <c r="E717" i="1"/>
  <c r="E716" i="1"/>
  <c r="E715" i="1"/>
  <c r="E714" i="1"/>
  <c r="E713" i="1"/>
  <c r="E712" i="1"/>
  <c r="U712" i="1" s="1"/>
  <c r="E711" i="1"/>
  <c r="E710" i="1"/>
  <c r="U710" i="1" s="1"/>
  <c r="E709" i="1"/>
  <c r="E708" i="1"/>
  <c r="E707" i="1"/>
  <c r="U707" i="1" s="1"/>
  <c r="E706" i="1"/>
  <c r="E705" i="1"/>
  <c r="E704" i="1"/>
  <c r="E703" i="1"/>
  <c r="E702" i="1"/>
  <c r="E701" i="1"/>
  <c r="E700" i="1"/>
  <c r="E699" i="1"/>
  <c r="E698" i="1"/>
  <c r="E697" i="1"/>
  <c r="E696" i="1"/>
  <c r="U696" i="1" s="1"/>
  <c r="E695" i="1"/>
  <c r="E694" i="1"/>
  <c r="U694" i="1" s="1"/>
  <c r="E693" i="1"/>
  <c r="E692" i="1"/>
  <c r="U692" i="1" s="1"/>
  <c r="E691" i="1"/>
  <c r="P691" i="1" s="1"/>
  <c r="E690" i="1"/>
  <c r="E689" i="1"/>
  <c r="E688" i="1"/>
  <c r="P688" i="1" s="1"/>
  <c r="E687" i="1"/>
  <c r="P687" i="1" s="1"/>
  <c r="E686" i="1"/>
  <c r="P686" i="1" s="1"/>
  <c r="E685" i="1"/>
  <c r="E684" i="1"/>
  <c r="E683" i="1"/>
  <c r="U683" i="1" s="1"/>
  <c r="E682" i="1"/>
  <c r="E681" i="1"/>
  <c r="U681" i="1" s="1"/>
  <c r="E680" i="1"/>
  <c r="E679" i="1"/>
  <c r="P679" i="1" s="1"/>
  <c r="E678" i="1"/>
  <c r="P678" i="1" s="1"/>
  <c r="E677" i="1"/>
  <c r="E676" i="1"/>
  <c r="E675" i="1"/>
  <c r="P675" i="1" s="1"/>
  <c r="E674" i="1"/>
  <c r="E673" i="1"/>
  <c r="E672" i="1"/>
  <c r="P672" i="1" s="1"/>
  <c r="E671" i="1"/>
  <c r="P671" i="1" s="1"/>
  <c r="E670" i="1"/>
  <c r="P670" i="1" s="1"/>
  <c r="E669" i="1"/>
  <c r="E668" i="1"/>
  <c r="P668" i="1" s="1"/>
  <c r="E667" i="1"/>
  <c r="E666" i="1"/>
  <c r="E665" i="1"/>
  <c r="U665" i="1" s="1"/>
  <c r="E664" i="1"/>
  <c r="P664" i="1" s="1"/>
  <c r="E663" i="1"/>
  <c r="E662" i="1"/>
  <c r="P662" i="1" s="1"/>
  <c r="E661" i="1"/>
  <c r="E660" i="1"/>
  <c r="E659" i="1"/>
  <c r="U659" i="1" s="1"/>
  <c r="E658" i="1"/>
  <c r="E657" i="1"/>
  <c r="E656" i="1"/>
  <c r="U656" i="1" s="1"/>
  <c r="E655" i="1"/>
  <c r="U655" i="1" s="1"/>
  <c r="E654" i="1"/>
  <c r="U654" i="1" s="1"/>
  <c r="E653" i="1"/>
  <c r="E652" i="1"/>
  <c r="E651" i="1"/>
  <c r="E650" i="1"/>
  <c r="U650" i="1" s="1"/>
  <c r="E649" i="1"/>
  <c r="E648" i="1"/>
  <c r="U648" i="1" s="1"/>
  <c r="E647" i="1"/>
  <c r="U647" i="1" s="1"/>
  <c r="E646" i="1"/>
  <c r="E645" i="1"/>
  <c r="E644" i="1"/>
  <c r="E643" i="1"/>
  <c r="P643" i="1" s="1"/>
  <c r="E642" i="1"/>
  <c r="E641" i="1"/>
  <c r="E640" i="1"/>
  <c r="U640" i="1" s="1"/>
  <c r="E639" i="1"/>
  <c r="E638" i="1"/>
  <c r="U638" i="1" s="1"/>
  <c r="E637" i="1"/>
  <c r="P637" i="1" s="1"/>
  <c r="E636" i="1"/>
  <c r="E635" i="1"/>
  <c r="P635" i="1" s="1"/>
  <c r="E634" i="1"/>
  <c r="E633" i="1"/>
  <c r="E632" i="1"/>
  <c r="P632" i="1" s="1"/>
  <c r="E631" i="1"/>
  <c r="P631" i="1" s="1"/>
  <c r="E630" i="1"/>
  <c r="P630" i="1" s="1"/>
  <c r="E629" i="1"/>
  <c r="E628" i="1"/>
  <c r="E627" i="1"/>
  <c r="U627" i="1" s="1"/>
  <c r="E626" i="1"/>
  <c r="E625" i="1"/>
  <c r="E624" i="1"/>
  <c r="E623" i="1"/>
  <c r="U623" i="1" s="1"/>
  <c r="E622" i="1"/>
  <c r="E621" i="1"/>
  <c r="E620" i="1"/>
  <c r="E619" i="1"/>
  <c r="U619" i="1" s="1"/>
  <c r="E618" i="1"/>
  <c r="E617" i="1"/>
  <c r="E616" i="1"/>
  <c r="U616" i="1" s="1"/>
  <c r="E615" i="1"/>
  <c r="E614" i="1"/>
  <c r="E613" i="1"/>
  <c r="E612" i="1"/>
  <c r="P612" i="1" s="1"/>
  <c r="E611" i="1"/>
  <c r="U611" i="1" s="1"/>
  <c r="E610" i="1"/>
  <c r="E609" i="1"/>
  <c r="U609" i="1" s="1"/>
  <c r="E608" i="1"/>
  <c r="E607" i="1"/>
  <c r="U607" i="1" s="1"/>
  <c r="E606" i="1"/>
  <c r="E605" i="1"/>
  <c r="U605" i="1" s="1"/>
  <c r="E604" i="1"/>
  <c r="E603" i="1"/>
  <c r="E602" i="1"/>
  <c r="E601" i="1"/>
  <c r="E600" i="1"/>
  <c r="U600" i="1" s="1"/>
  <c r="E599" i="1"/>
  <c r="E598" i="1"/>
  <c r="E597" i="1"/>
  <c r="E596" i="1"/>
  <c r="E595" i="1"/>
  <c r="E594" i="1"/>
  <c r="E593" i="1"/>
  <c r="E592" i="1"/>
  <c r="E591" i="1"/>
  <c r="P591" i="1" s="1"/>
  <c r="E590" i="1"/>
  <c r="E589" i="1"/>
  <c r="U589" i="1" s="1"/>
  <c r="E588" i="1"/>
  <c r="E587" i="1"/>
  <c r="E586" i="1"/>
  <c r="P586" i="1" s="1"/>
  <c r="E585" i="1"/>
  <c r="E584" i="1"/>
  <c r="P584" i="1" s="1"/>
  <c r="E583" i="1"/>
  <c r="P583" i="1" s="1"/>
  <c r="E582" i="1"/>
  <c r="P582" i="1" s="1"/>
  <c r="E581" i="1"/>
  <c r="E580" i="1"/>
  <c r="E579" i="1"/>
  <c r="P579" i="1" s="1"/>
  <c r="E578" i="1"/>
  <c r="U578" i="1" s="1"/>
  <c r="E577" i="1"/>
  <c r="E576" i="1"/>
  <c r="U576" i="1" s="1"/>
  <c r="E575" i="1"/>
  <c r="E574" i="1"/>
  <c r="E573" i="1"/>
  <c r="E572" i="1"/>
  <c r="E571" i="1"/>
  <c r="P571" i="1" s="1"/>
  <c r="E570" i="1"/>
  <c r="E569" i="1"/>
  <c r="E568" i="1"/>
  <c r="P568" i="1" s="1"/>
  <c r="E567" i="1"/>
  <c r="U567" i="1" s="1"/>
  <c r="E566" i="1"/>
  <c r="E565" i="1"/>
  <c r="E564" i="1"/>
  <c r="P564" i="1" s="1"/>
  <c r="E563" i="1"/>
  <c r="U563" i="1" s="1"/>
  <c r="E562" i="1"/>
  <c r="E561" i="1"/>
  <c r="E560" i="1"/>
  <c r="E559" i="1"/>
  <c r="P559" i="1" s="1"/>
  <c r="E558" i="1"/>
  <c r="P558" i="1" s="1"/>
  <c r="E557" i="1"/>
  <c r="E556" i="1"/>
  <c r="E555" i="1"/>
  <c r="E554" i="1"/>
  <c r="E553" i="1"/>
  <c r="E552" i="1"/>
  <c r="E551" i="1"/>
  <c r="E550" i="1"/>
  <c r="P550" i="1" s="1"/>
  <c r="E549" i="1"/>
  <c r="U549" i="1" s="1"/>
  <c r="E548" i="1"/>
  <c r="E547" i="1"/>
  <c r="U547" i="1" s="1"/>
  <c r="E546" i="1"/>
  <c r="E545" i="1"/>
  <c r="E544" i="1"/>
  <c r="E543" i="1"/>
  <c r="E542" i="1"/>
  <c r="P542" i="1" s="1"/>
  <c r="E541" i="1"/>
  <c r="E540" i="1"/>
  <c r="E539" i="1"/>
  <c r="U539" i="1" s="1"/>
  <c r="E538" i="1"/>
  <c r="E537" i="1"/>
  <c r="U537" i="1" s="1"/>
  <c r="E536" i="1"/>
  <c r="P536" i="1" s="1"/>
  <c r="E535" i="1"/>
  <c r="E534" i="1"/>
  <c r="E533" i="1"/>
  <c r="P533" i="1" s="1"/>
  <c r="E532" i="1"/>
  <c r="E531" i="1"/>
  <c r="E530" i="1"/>
  <c r="E529" i="1"/>
  <c r="E528" i="1"/>
  <c r="P528" i="1" s="1"/>
  <c r="E527" i="1"/>
  <c r="U527" i="1" s="1"/>
  <c r="E526" i="1"/>
  <c r="P526" i="1" s="1"/>
  <c r="E525" i="1"/>
  <c r="E524" i="1"/>
  <c r="E523" i="1"/>
  <c r="U523" i="1" s="1"/>
  <c r="E522" i="1"/>
  <c r="E521" i="1"/>
  <c r="E520" i="1"/>
  <c r="U520" i="1" s="1"/>
  <c r="E519" i="1"/>
  <c r="U519" i="1" s="1"/>
  <c r="E518" i="1"/>
  <c r="E517" i="1"/>
  <c r="E516" i="1"/>
  <c r="E515" i="1"/>
  <c r="U515" i="1" s="1"/>
  <c r="E514" i="1"/>
  <c r="E513" i="1"/>
  <c r="E512" i="1"/>
  <c r="U512" i="1" s="1"/>
  <c r="E511" i="1"/>
  <c r="E510" i="1"/>
  <c r="E509" i="1"/>
  <c r="U509" i="1" s="1"/>
  <c r="E508" i="1"/>
  <c r="U508" i="1" s="1"/>
  <c r="E507" i="1"/>
  <c r="P507" i="1" s="1"/>
  <c r="E506" i="1"/>
  <c r="E505" i="1"/>
  <c r="E504" i="1"/>
  <c r="P504" i="1" s="1"/>
  <c r="E503" i="1"/>
  <c r="P503" i="1" s="1"/>
  <c r="E502" i="1"/>
  <c r="U502" i="1" s="1"/>
  <c r="E501" i="1"/>
  <c r="E500" i="1"/>
  <c r="E499" i="1"/>
  <c r="P499" i="1" s="1"/>
  <c r="E498" i="1"/>
  <c r="E497" i="1"/>
  <c r="P497" i="1" s="1"/>
  <c r="E496" i="1"/>
  <c r="P496" i="1" s="1"/>
  <c r="E495" i="1"/>
  <c r="E494" i="1"/>
  <c r="E493" i="1"/>
  <c r="E492" i="1"/>
  <c r="E491" i="1"/>
  <c r="U491" i="1" s="1"/>
  <c r="E490" i="1"/>
  <c r="E489" i="1"/>
  <c r="E488" i="1"/>
  <c r="E487" i="1"/>
  <c r="U487" i="1" s="1"/>
  <c r="E486" i="1"/>
  <c r="P486" i="1" s="1"/>
  <c r="E485" i="1"/>
  <c r="U485" i="1" s="1"/>
  <c r="E484" i="1"/>
  <c r="E483" i="1"/>
  <c r="U483" i="1" s="1"/>
  <c r="E482" i="1"/>
  <c r="E481" i="1"/>
  <c r="E480" i="1"/>
  <c r="E479" i="1"/>
  <c r="U479" i="1" s="1"/>
  <c r="E478" i="1"/>
  <c r="E477" i="1"/>
  <c r="U477" i="1" s="1"/>
  <c r="E476" i="1"/>
  <c r="E475" i="1"/>
  <c r="U475" i="1" s="1"/>
  <c r="E474" i="1"/>
  <c r="E473" i="1"/>
  <c r="U473" i="1" s="1"/>
  <c r="E472" i="1"/>
  <c r="E471" i="1"/>
  <c r="P471" i="1" s="1"/>
  <c r="E470" i="1"/>
  <c r="U470" i="1" s="1"/>
  <c r="E469" i="1"/>
  <c r="E468" i="1"/>
  <c r="E467" i="1"/>
  <c r="E466" i="1"/>
  <c r="E465" i="1"/>
  <c r="U465" i="1" s="1"/>
  <c r="E464" i="1"/>
  <c r="P464" i="1" s="1"/>
  <c r="E463" i="1"/>
  <c r="U463" i="1" s="1"/>
  <c r="E462" i="1"/>
  <c r="E461" i="1"/>
  <c r="E460" i="1"/>
  <c r="P460" i="1" s="1"/>
  <c r="E459" i="1"/>
  <c r="E458" i="1"/>
  <c r="U458" i="1" s="1"/>
  <c r="E457" i="1"/>
  <c r="E456" i="1"/>
  <c r="E455" i="1"/>
  <c r="P455" i="1" s="1"/>
  <c r="E454" i="1"/>
  <c r="P454" i="1" s="1"/>
  <c r="E453" i="1"/>
  <c r="E452" i="1"/>
  <c r="E451" i="1"/>
  <c r="P451" i="1" s="1"/>
  <c r="E450" i="1"/>
  <c r="U450" i="1" s="1"/>
  <c r="E449" i="1"/>
  <c r="E448" i="1"/>
  <c r="U448" i="1" s="1"/>
  <c r="E447" i="1"/>
  <c r="E446" i="1"/>
  <c r="U446" i="1" s="1"/>
  <c r="E445" i="1"/>
  <c r="E444" i="1"/>
  <c r="E443" i="1"/>
  <c r="E442" i="1"/>
  <c r="E441" i="1"/>
  <c r="E440" i="1"/>
  <c r="E439" i="1"/>
  <c r="E438" i="1"/>
  <c r="P438" i="1" s="1"/>
  <c r="E437" i="1"/>
  <c r="E436" i="1"/>
  <c r="E435" i="1"/>
  <c r="P435" i="1" s="1"/>
  <c r="E434" i="1"/>
  <c r="E433" i="1"/>
  <c r="E432" i="1"/>
  <c r="E431" i="1"/>
  <c r="P431" i="1" s="1"/>
  <c r="E430" i="1"/>
  <c r="P430" i="1" s="1"/>
  <c r="E429" i="1"/>
  <c r="E428" i="1"/>
  <c r="U428" i="1" s="1"/>
  <c r="E427" i="1"/>
  <c r="E426" i="1"/>
  <c r="E425" i="1"/>
  <c r="U425" i="1" s="1"/>
  <c r="E424" i="1"/>
  <c r="P424" i="1" s="1"/>
  <c r="E423" i="1"/>
  <c r="E422" i="1"/>
  <c r="E421" i="1"/>
  <c r="U421" i="1" s="1"/>
  <c r="E420" i="1"/>
  <c r="E419" i="1"/>
  <c r="E418" i="1"/>
  <c r="E417" i="1"/>
  <c r="E416" i="1"/>
  <c r="P416" i="1" s="1"/>
  <c r="E415" i="1"/>
  <c r="U415" i="1" s="1"/>
  <c r="E414" i="1"/>
  <c r="P414" i="1" s="1"/>
  <c r="E413" i="1"/>
  <c r="E412" i="1"/>
  <c r="E411" i="1"/>
  <c r="E410" i="1"/>
  <c r="E409" i="1"/>
  <c r="E408" i="1"/>
  <c r="P408" i="1" s="1"/>
  <c r="E407" i="1"/>
  <c r="U407" i="1" s="1"/>
  <c r="E406" i="1"/>
  <c r="P406" i="1" s="1"/>
  <c r="E405" i="1"/>
  <c r="E404" i="1"/>
  <c r="E403" i="1"/>
  <c r="E402" i="1"/>
  <c r="P402" i="1" s="1"/>
  <c r="E401" i="1"/>
  <c r="E400" i="1"/>
  <c r="P400" i="1" s="1"/>
  <c r="E399" i="1"/>
  <c r="U399" i="1" s="1"/>
  <c r="E398" i="1"/>
  <c r="E397" i="1"/>
  <c r="U397" i="1" s="1"/>
  <c r="E396" i="1"/>
  <c r="U396" i="1" s="1"/>
  <c r="E395" i="1"/>
  <c r="U395" i="1" s="1"/>
  <c r="E394" i="1"/>
  <c r="E393" i="1"/>
  <c r="P393" i="1" s="1"/>
  <c r="E392" i="1"/>
  <c r="P392" i="1" s="1"/>
  <c r="E391" i="1"/>
  <c r="P391" i="1" s="1"/>
  <c r="E390" i="1"/>
  <c r="U390" i="1" s="1"/>
  <c r="E389" i="1"/>
  <c r="E388" i="1"/>
  <c r="E387" i="1"/>
  <c r="U387" i="1" s="1"/>
  <c r="E386" i="1"/>
  <c r="E385" i="1"/>
  <c r="E384" i="1"/>
  <c r="P384" i="1" s="1"/>
  <c r="E383" i="1"/>
  <c r="U383" i="1" s="1"/>
  <c r="E382" i="1"/>
  <c r="E381" i="1"/>
  <c r="E380" i="1"/>
  <c r="E379" i="1"/>
  <c r="P379" i="1" s="1"/>
  <c r="E378" i="1"/>
  <c r="U378" i="1" s="1"/>
  <c r="E377" i="1"/>
  <c r="E376" i="1"/>
  <c r="E375" i="1"/>
  <c r="P375" i="1" s="1"/>
  <c r="E374" i="1"/>
  <c r="U374" i="1" s="1"/>
  <c r="E373" i="1"/>
  <c r="E372" i="1"/>
  <c r="E371" i="1"/>
  <c r="E370" i="1"/>
  <c r="E369" i="1"/>
  <c r="P369" i="1" s="1"/>
  <c r="E368" i="1"/>
  <c r="U368" i="1" s="1"/>
  <c r="E367" i="1"/>
  <c r="U367" i="1" s="1"/>
  <c r="E366" i="1"/>
  <c r="P366" i="1" s="1"/>
  <c r="E365" i="1"/>
  <c r="E364" i="1"/>
  <c r="E363" i="1"/>
  <c r="E362" i="1"/>
  <c r="P362" i="1" s="1"/>
  <c r="E361" i="1"/>
  <c r="E360" i="1"/>
  <c r="E359" i="1"/>
  <c r="P359" i="1" s="1"/>
  <c r="E358" i="1"/>
  <c r="U358" i="1" s="1"/>
  <c r="E357" i="1"/>
  <c r="E356" i="1"/>
  <c r="E355" i="1"/>
  <c r="U355" i="1" s="1"/>
  <c r="E354" i="1"/>
  <c r="E353" i="1"/>
  <c r="E352" i="1"/>
  <c r="U352" i="1" s="1"/>
  <c r="E351" i="1"/>
  <c r="P351" i="1" s="1"/>
  <c r="E350" i="1"/>
  <c r="E349" i="1"/>
  <c r="E348" i="1"/>
  <c r="E347" i="1"/>
  <c r="P347" i="1" s="1"/>
  <c r="E346" i="1"/>
  <c r="E345" i="1"/>
  <c r="E344" i="1"/>
  <c r="P344" i="1" s="1"/>
  <c r="E343" i="1"/>
  <c r="U343" i="1" s="1"/>
  <c r="E342" i="1"/>
  <c r="P342" i="1" s="1"/>
  <c r="E341" i="1"/>
  <c r="E340" i="1"/>
  <c r="P340" i="1" s="1"/>
  <c r="E339" i="1"/>
  <c r="E338" i="1"/>
  <c r="E337" i="1"/>
  <c r="U337" i="1" s="1"/>
  <c r="E336" i="1"/>
  <c r="P336" i="1" s="1"/>
  <c r="E335" i="1"/>
  <c r="U335" i="1" s="1"/>
  <c r="E334" i="1"/>
  <c r="U334" i="1" s="1"/>
  <c r="E333" i="1"/>
  <c r="E332" i="1"/>
  <c r="P332" i="1" s="1"/>
  <c r="E331" i="1"/>
  <c r="U331" i="1" s="1"/>
  <c r="E330" i="1"/>
  <c r="E329" i="1"/>
  <c r="U329" i="1" s="1"/>
  <c r="E328" i="1"/>
  <c r="E327" i="1"/>
  <c r="P327" i="1" s="1"/>
  <c r="E326" i="1"/>
  <c r="U326" i="1" s="1"/>
  <c r="E325" i="1"/>
  <c r="P325" i="1" s="1"/>
  <c r="E324" i="1"/>
  <c r="E323" i="1"/>
  <c r="E322" i="1"/>
  <c r="E321" i="1"/>
  <c r="P321" i="1" s="1"/>
  <c r="E320" i="1"/>
  <c r="U320" i="1" s="1"/>
  <c r="E319" i="1"/>
  <c r="U319" i="1" s="1"/>
  <c r="E318" i="1"/>
  <c r="P318" i="1" s="1"/>
  <c r="E317" i="1"/>
  <c r="U317" i="1" s="1"/>
  <c r="E316" i="1"/>
  <c r="E315" i="1"/>
  <c r="E314" i="1"/>
  <c r="E313" i="1"/>
  <c r="E312" i="1"/>
  <c r="P312" i="1" s="1"/>
  <c r="E311" i="1"/>
  <c r="U311" i="1" s="1"/>
  <c r="E310" i="1"/>
  <c r="E309" i="1"/>
  <c r="P309" i="1" s="1"/>
  <c r="E308" i="1"/>
  <c r="E307" i="1"/>
  <c r="E306" i="1"/>
  <c r="E305" i="1"/>
  <c r="E304" i="1"/>
  <c r="E303" i="1"/>
  <c r="P303" i="1" s="1"/>
  <c r="E302" i="1"/>
  <c r="U302" i="1" s="1"/>
  <c r="E301" i="1"/>
  <c r="E300" i="1"/>
  <c r="E299" i="1"/>
  <c r="P299" i="1" s="1"/>
  <c r="E298" i="1"/>
  <c r="U298" i="1" s="1"/>
  <c r="E297" i="1"/>
  <c r="E296" i="1"/>
  <c r="P296" i="1" s="1"/>
  <c r="E295" i="1"/>
  <c r="E294" i="1"/>
  <c r="E293" i="1"/>
  <c r="E292" i="1"/>
  <c r="P292" i="1" s="1"/>
  <c r="E291" i="1"/>
  <c r="U291" i="1" s="1"/>
  <c r="E290" i="1"/>
  <c r="P290" i="1" s="1"/>
  <c r="E289" i="1"/>
  <c r="E288" i="1"/>
  <c r="U288" i="1" s="1"/>
  <c r="E287" i="1"/>
  <c r="P287" i="1" s="1"/>
  <c r="E286" i="1"/>
  <c r="U286" i="1" s="1"/>
  <c r="E285" i="1"/>
  <c r="E284" i="1"/>
  <c r="E283" i="1"/>
  <c r="E282" i="1"/>
  <c r="U282" i="1" s="1"/>
  <c r="E281" i="1"/>
  <c r="E280" i="1"/>
  <c r="U280" i="1" s="1"/>
  <c r="E279" i="1"/>
  <c r="E278" i="1"/>
  <c r="P278" i="1" s="1"/>
  <c r="E277" i="1"/>
  <c r="E276" i="1"/>
  <c r="P276" i="1" s="1"/>
  <c r="E275" i="1"/>
  <c r="U275" i="1" s="1"/>
  <c r="E274" i="1"/>
  <c r="P274" i="1" s="1"/>
  <c r="E273" i="1"/>
  <c r="E272" i="1"/>
  <c r="E271" i="1"/>
  <c r="P271" i="1" s="1"/>
  <c r="E270" i="1"/>
  <c r="U270" i="1" s="1"/>
  <c r="E269" i="1"/>
  <c r="E268" i="1"/>
  <c r="U268" i="1" s="1"/>
  <c r="E267" i="1"/>
  <c r="P267" i="1" s="1"/>
  <c r="E266" i="1"/>
  <c r="E265" i="1"/>
  <c r="P265" i="1" s="1"/>
  <c r="E264" i="1"/>
  <c r="E263" i="1"/>
  <c r="U263" i="1" s="1"/>
  <c r="E262" i="1"/>
  <c r="P262" i="1" s="1"/>
  <c r="E261" i="1"/>
  <c r="E260" i="1"/>
  <c r="E259" i="1"/>
  <c r="E258" i="1"/>
  <c r="E257" i="1"/>
  <c r="E256" i="1"/>
  <c r="P256" i="1" s="1"/>
  <c r="E255" i="1"/>
  <c r="P255" i="1" s="1"/>
  <c r="E254" i="1"/>
  <c r="U254" i="1" s="1"/>
  <c r="E253" i="1"/>
  <c r="E252" i="1"/>
  <c r="U252" i="1" s="1"/>
  <c r="E251" i="1"/>
  <c r="P251" i="1" s="1"/>
  <c r="E250" i="1"/>
  <c r="U250" i="1" s="1"/>
  <c r="E249" i="1"/>
  <c r="E248" i="1"/>
  <c r="U248" i="1" s="1"/>
  <c r="E247" i="1"/>
  <c r="E246" i="1"/>
  <c r="U246" i="1" s="1"/>
  <c r="E245" i="1"/>
  <c r="P245" i="1" s="1"/>
  <c r="E244" i="1"/>
  <c r="U244" i="1" s="1"/>
  <c r="E243" i="1"/>
  <c r="E242" i="1"/>
  <c r="U242" i="1" s="1"/>
  <c r="E241" i="1"/>
  <c r="U241" i="1" s="1"/>
  <c r="E240" i="1"/>
  <c r="U240" i="1" s="1"/>
  <c r="E239" i="1"/>
  <c r="U239" i="1" s="1"/>
  <c r="E238" i="1"/>
  <c r="P238" i="1" s="1"/>
  <c r="E237" i="1"/>
  <c r="E236" i="1"/>
  <c r="P236" i="1" s="1"/>
  <c r="E235" i="1"/>
  <c r="U235" i="1" s="1"/>
  <c r="E234" i="1"/>
  <c r="E233" i="1"/>
  <c r="E232" i="1"/>
  <c r="P232" i="1" s="1"/>
  <c r="E231" i="1"/>
  <c r="U231" i="1" s="1"/>
  <c r="E230" i="1"/>
  <c r="U230" i="1" s="1"/>
  <c r="E229" i="1"/>
  <c r="E228" i="1"/>
  <c r="U228" i="1" s="1"/>
  <c r="E227" i="1"/>
  <c r="P227" i="1" s="1"/>
  <c r="E226" i="1"/>
  <c r="E225" i="1"/>
  <c r="E224" i="1"/>
  <c r="P224" i="1" s="1"/>
  <c r="E223" i="1"/>
  <c r="U223" i="1" s="1"/>
  <c r="E222" i="1"/>
  <c r="P222" i="1" s="1"/>
  <c r="E221" i="1"/>
  <c r="U221" i="1" s="1"/>
  <c r="E220" i="1"/>
  <c r="E219" i="1"/>
  <c r="E218" i="1"/>
  <c r="P218" i="1" s="1"/>
  <c r="E217" i="1"/>
  <c r="E216" i="1"/>
  <c r="P216" i="1" s="1"/>
  <c r="E215" i="1"/>
  <c r="P215" i="1" s="1"/>
  <c r="E214" i="1"/>
  <c r="U214" i="1" s="1"/>
  <c r="E213" i="1"/>
  <c r="E212" i="1"/>
  <c r="U212" i="1" s="1"/>
  <c r="E211" i="1"/>
  <c r="P211" i="1" s="1"/>
  <c r="E210" i="1"/>
  <c r="U210" i="1" s="1"/>
  <c r="E209" i="1"/>
  <c r="P209" i="1" s="1"/>
  <c r="E208" i="1"/>
  <c r="U208" i="1" s="1"/>
  <c r="E207" i="1"/>
  <c r="P207" i="1" s="1"/>
  <c r="E206" i="1"/>
  <c r="P206" i="1" s="1"/>
  <c r="E205" i="1"/>
  <c r="U205" i="1" s="1"/>
  <c r="E204" i="1"/>
  <c r="U204" i="1" s="1"/>
  <c r="E203" i="1"/>
  <c r="U203" i="1" s="1"/>
  <c r="E202" i="1"/>
  <c r="E201" i="1"/>
  <c r="E200" i="1"/>
  <c r="P200" i="1" s="1"/>
  <c r="E199" i="1"/>
  <c r="P199" i="1" s="1"/>
  <c r="E198" i="1"/>
  <c r="U198" i="1" s="1"/>
  <c r="E197" i="1"/>
  <c r="P197" i="1" s="1"/>
  <c r="E196" i="1"/>
  <c r="E195" i="1"/>
  <c r="P195" i="1" s="1"/>
  <c r="E194" i="1"/>
  <c r="E193" i="1"/>
  <c r="E192" i="1"/>
  <c r="U192" i="1" s="1"/>
  <c r="E191" i="1"/>
  <c r="P191" i="1" s="1"/>
  <c r="E190" i="1"/>
  <c r="U190" i="1" s="1"/>
  <c r="E189" i="1"/>
  <c r="P189" i="1" s="1"/>
  <c r="E188" i="1"/>
  <c r="E187" i="1"/>
  <c r="P187" i="1" s="1"/>
  <c r="E186" i="1"/>
  <c r="E185" i="1"/>
  <c r="U185" i="1" s="1"/>
  <c r="E184" i="1"/>
  <c r="P184" i="1" s="1"/>
  <c r="E183" i="1"/>
  <c r="U183" i="1" s="1"/>
  <c r="E182" i="1"/>
  <c r="P182" i="1" s="1"/>
  <c r="E181" i="1"/>
  <c r="E180" i="1"/>
  <c r="P180" i="1" s="1"/>
  <c r="E179" i="1"/>
  <c r="U179" i="1" s="1"/>
  <c r="E178" i="1"/>
  <c r="P178" i="1" s="1"/>
  <c r="E177" i="1"/>
  <c r="U177" i="1" s="1"/>
  <c r="E176" i="1"/>
  <c r="P176" i="1" s="1"/>
  <c r="E175" i="1"/>
  <c r="P175" i="1" s="1"/>
  <c r="E174" i="1"/>
  <c r="U174" i="1" s="1"/>
  <c r="E173" i="1"/>
  <c r="E172" i="1"/>
  <c r="U172" i="1" s="1"/>
  <c r="E171" i="1"/>
  <c r="P171" i="1" s="1"/>
  <c r="E170" i="1"/>
  <c r="U170" i="1" s="1"/>
  <c r="E169" i="1"/>
  <c r="P169" i="1" s="1"/>
  <c r="E168" i="1"/>
  <c r="U168" i="1" s="1"/>
  <c r="E167" i="1"/>
  <c r="P167" i="1" s="1"/>
  <c r="E166" i="1"/>
  <c r="P166" i="1" s="1"/>
  <c r="E165" i="1"/>
  <c r="U165" i="1" s="1"/>
  <c r="E164" i="1"/>
  <c r="P164" i="1" s="1"/>
  <c r="E163" i="1"/>
  <c r="E162" i="1"/>
  <c r="E161" i="1"/>
  <c r="E160" i="1"/>
  <c r="P160" i="1" s="1"/>
  <c r="E159" i="1"/>
  <c r="U159" i="1" s="1"/>
  <c r="E158" i="1"/>
  <c r="U158" i="1" s="1"/>
  <c r="E157" i="1"/>
  <c r="U157" i="1" s="1"/>
  <c r="E156" i="1"/>
  <c r="U156" i="1" s="1"/>
  <c r="E155" i="1"/>
  <c r="E154" i="1"/>
  <c r="U154" i="1" s="1"/>
  <c r="E153" i="1"/>
  <c r="P153" i="1" s="1"/>
  <c r="E152" i="1"/>
  <c r="U152" i="1" s="1"/>
  <c r="E151" i="1"/>
  <c r="P151" i="1" s="1"/>
  <c r="E150" i="1"/>
  <c r="P150" i="1" s="1"/>
  <c r="E149" i="1"/>
  <c r="U149" i="1" s="1"/>
  <c r="E148" i="1"/>
  <c r="U148" i="1" s="1"/>
  <c r="E147" i="1"/>
  <c r="E146" i="1"/>
  <c r="E145" i="1"/>
  <c r="U145" i="1" s="1"/>
  <c r="E144" i="1"/>
  <c r="P144" i="1" s="1"/>
  <c r="E143" i="1"/>
  <c r="U143" i="1" s="1"/>
  <c r="E142" i="1"/>
  <c r="P142" i="1" s="1"/>
  <c r="E141" i="1"/>
  <c r="U141" i="1" s="1"/>
  <c r="E140" i="1"/>
  <c r="E139" i="1"/>
  <c r="P139" i="1" s="1"/>
  <c r="E138" i="1"/>
  <c r="U138" i="1" s="1"/>
  <c r="E137" i="1"/>
  <c r="E136" i="1"/>
  <c r="U136" i="1" s="1"/>
  <c r="E135" i="1"/>
  <c r="P135" i="1" s="1"/>
  <c r="E134" i="1"/>
  <c r="P134" i="1" s="1"/>
  <c r="E133" i="1"/>
  <c r="P133" i="1" s="1"/>
  <c r="E132" i="1"/>
  <c r="P132" i="1" s="1"/>
  <c r="E131" i="1"/>
  <c r="E130" i="1"/>
  <c r="E129" i="1"/>
  <c r="U129" i="1" s="1"/>
  <c r="E128" i="1"/>
  <c r="U128" i="1" s="1"/>
  <c r="E127" i="1"/>
  <c r="U127" i="1" s="1"/>
  <c r="E126" i="1"/>
  <c r="P126" i="1" s="1"/>
  <c r="E125" i="1"/>
  <c r="E124" i="1"/>
  <c r="P124" i="1" s="1"/>
  <c r="E123" i="1"/>
  <c r="U123" i="1" s="1"/>
  <c r="E122" i="1"/>
  <c r="E121" i="1"/>
  <c r="U121" i="1" s="1"/>
  <c r="E120" i="1"/>
  <c r="P120" i="1" s="1"/>
  <c r="E119" i="1"/>
  <c r="U119" i="1" s="1"/>
  <c r="E118" i="1"/>
  <c r="U118" i="1" s="1"/>
  <c r="E117" i="1"/>
  <c r="E116" i="1"/>
  <c r="U116" i="1" s="1"/>
  <c r="E115" i="1"/>
  <c r="P115" i="1" s="1"/>
  <c r="E114" i="1"/>
  <c r="U114" i="1" s="1"/>
  <c r="E113" i="1"/>
  <c r="E112" i="1"/>
  <c r="U112" i="1" s="1"/>
  <c r="E111" i="1"/>
  <c r="P111" i="1" s="1"/>
  <c r="E110" i="1"/>
  <c r="U110" i="1" s="1"/>
  <c r="E109" i="1"/>
  <c r="U109" i="1" s="1"/>
  <c r="E108" i="1"/>
  <c r="E107" i="1"/>
  <c r="U107" i="1" s="1"/>
  <c r="E106" i="1"/>
  <c r="P106" i="1" s="1"/>
  <c r="E105" i="1"/>
  <c r="U105" i="1" s="1"/>
  <c r="E104" i="1"/>
  <c r="P104" i="1" s="1"/>
  <c r="E103" i="1"/>
  <c r="U103" i="1" s="1"/>
  <c r="E102" i="1"/>
  <c r="P102" i="1" s="1"/>
  <c r="E101" i="1"/>
  <c r="P101" i="1" s="1"/>
  <c r="E100" i="1"/>
  <c r="P100" i="1" s="1"/>
  <c r="E99" i="1"/>
  <c r="E98" i="1"/>
  <c r="U98" i="1" s="1"/>
  <c r="E97" i="1"/>
  <c r="E96" i="1"/>
  <c r="U96" i="1" s="1"/>
  <c r="E95" i="1"/>
  <c r="P95" i="1" s="1"/>
  <c r="E94" i="1"/>
  <c r="P94" i="1" s="1"/>
  <c r="E93" i="1"/>
  <c r="P93" i="1" s="1"/>
  <c r="E92" i="1"/>
  <c r="E91" i="1"/>
  <c r="E90" i="1"/>
  <c r="U90" i="1" s="1"/>
  <c r="E89" i="1"/>
  <c r="E88" i="1"/>
  <c r="P88" i="1" s="1"/>
  <c r="E87" i="1"/>
  <c r="U87" i="1" s="1"/>
  <c r="E86" i="1"/>
  <c r="P86" i="1" s="1"/>
  <c r="E85" i="1"/>
  <c r="U85" i="1" s="1"/>
  <c r="E84" i="1"/>
  <c r="P84" i="1" s="1"/>
  <c r="E83" i="1"/>
  <c r="E82" i="1"/>
  <c r="P82" i="1" s="1"/>
  <c r="E81" i="1"/>
  <c r="E80" i="1"/>
  <c r="U80" i="1" s="1"/>
  <c r="E79" i="1"/>
  <c r="P79" i="1" s="1"/>
  <c r="E78" i="1"/>
  <c r="U78" i="1" s="1"/>
  <c r="E77" i="1"/>
  <c r="P77" i="1" s="1"/>
  <c r="E76" i="1"/>
  <c r="E75" i="1"/>
  <c r="P75" i="1" s="1"/>
  <c r="E74" i="1"/>
  <c r="U74" i="1" s="1"/>
  <c r="E73" i="1"/>
  <c r="U73" i="1" s="1"/>
  <c r="E72" i="1"/>
  <c r="U72" i="1" s="1"/>
  <c r="E71" i="1"/>
  <c r="U71" i="1" s="1"/>
  <c r="E70" i="1"/>
  <c r="P70" i="1" s="1"/>
  <c r="E69" i="1"/>
  <c r="E68" i="1"/>
  <c r="P68" i="1" s="1"/>
  <c r="E67" i="1"/>
  <c r="U67" i="1" s="1"/>
  <c r="E66" i="1"/>
  <c r="E65" i="1"/>
  <c r="P65" i="1" s="1"/>
  <c r="E64" i="1"/>
  <c r="P64" i="1" s="1"/>
  <c r="E63" i="1"/>
  <c r="U63" i="1" s="1"/>
  <c r="E62" i="1"/>
  <c r="U62" i="1" s="1"/>
  <c r="E61" i="1"/>
  <c r="E60" i="1"/>
  <c r="U60" i="1" s="1"/>
  <c r="E59" i="1"/>
  <c r="P59" i="1" s="1"/>
  <c r="E58" i="1"/>
  <c r="E57" i="1"/>
  <c r="P57" i="1" s="1"/>
  <c r="E56" i="1"/>
  <c r="U56" i="1" s="1"/>
  <c r="E55" i="1"/>
  <c r="P55" i="1" s="1"/>
  <c r="E54" i="1"/>
  <c r="U54" i="1" s="1"/>
  <c r="E53" i="1"/>
  <c r="U53" i="1" s="1"/>
  <c r="E52" i="1"/>
  <c r="E51" i="1"/>
  <c r="U51" i="1" s="1"/>
  <c r="E50" i="1"/>
  <c r="E49" i="1"/>
  <c r="E48" i="1"/>
  <c r="P48" i="1" s="1"/>
  <c r="E47" i="1"/>
  <c r="U47" i="1" s="1"/>
  <c r="E46" i="1"/>
  <c r="P46" i="1" s="1"/>
  <c r="E45" i="1"/>
  <c r="U45" i="1" s="1"/>
  <c r="E44" i="1"/>
  <c r="P44" i="1" s="1"/>
  <c r="E43" i="1"/>
  <c r="U43" i="1" s="1"/>
  <c r="E42" i="1"/>
  <c r="P42" i="1" s="1"/>
  <c r="E41" i="1"/>
  <c r="E40" i="1"/>
  <c r="U40" i="1" s="1"/>
  <c r="E39" i="1"/>
  <c r="P39" i="1" s="1"/>
  <c r="E38" i="1"/>
  <c r="U38" i="1" s="1"/>
  <c r="E37" i="1"/>
  <c r="P37" i="1" s="1"/>
  <c r="E36" i="1"/>
  <c r="E35" i="1"/>
  <c r="P35" i="1" s="1"/>
  <c r="E34" i="1"/>
  <c r="U34" i="1" s="1"/>
  <c r="E33" i="1"/>
  <c r="U33" i="1" s="1"/>
  <c r="E32" i="1"/>
  <c r="P32" i="1" s="1"/>
  <c r="E31" i="1"/>
  <c r="U31" i="1" s="1"/>
  <c r="E30" i="1"/>
  <c r="P30" i="1" s="1"/>
  <c r="E29" i="1"/>
  <c r="E28" i="1"/>
  <c r="P28" i="1" s="1"/>
  <c r="E27" i="1"/>
  <c r="U27" i="1" s="1"/>
  <c r="E26" i="1"/>
  <c r="P26" i="1" s="1"/>
  <c r="E25" i="1"/>
  <c r="E24" i="1"/>
  <c r="U24" i="1" s="1"/>
  <c r="E23" i="1"/>
  <c r="P23" i="1" s="1"/>
  <c r="E22" i="1"/>
  <c r="U22" i="1" s="1"/>
  <c r="E21" i="1"/>
  <c r="P21" i="1" s="1"/>
  <c r="E20" i="1"/>
  <c r="E19" i="1"/>
  <c r="E18" i="1"/>
  <c r="E17" i="1"/>
  <c r="P17" i="1" s="1"/>
  <c r="E16" i="1"/>
  <c r="U16" i="1" s="1"/>
  <c r="E15" i="1"/>
  <c r="U15" i="1" s="1"/>
  <c r="E14" i="1"/>
  <c r="P14" i="1" s="1"/>
  <c r="E13" i="1"/>
  <c r="U13" i="1" s="1"/>
  <c r="E12" i="1"/>
  <c r="E11" i="1"/>
  <c r="U11" i="1" s="1"/>
  <c r="E10" i="1"/>
  <c r="E9" i="1"/>
  <c r="U9" i="1" s="1"/>
  <c r="E8" i="1"/>
  <c r="P8" i="1" s="1"/>
  <c r="R3" i="1"/>
  <c r="AB24" i="1" l="1"/>
  <c r="AA24" i="1"/>
  <c r="AC22" i="1"/>
  <c r="AD22" i="1"/>
  <c r="AC16" i="1"/>
  <c r="AD16" i="1"/>
  <c r="AB18" i="1"/>
  <c r="AA18" i="1"/>
  <c r="AD19" i="1"/>
  <c r="AC19" i="1"/>
  <c r="AB21" i="1"/>
  <c r="AA21" i="1"/>
  <c r="AD25" i="1"/>
  <c r="AC25" i="1"/>
  <c r="V425" i="1"/>
  <c r="V465" i="1"/>
  <c r="V589" i="1"/>
  <c r="V2195" i="1"/>
  <c r="V2307" i="1"/>
  <c r="V2309" i="1"/>
  <c r="V2311" i="1"/>
  <c r="V2313" i="1"/>
  <c r="V2317" i="1"/>
  <c r="V2319" i="1"/>
  <c r="V2325" i="1"/>
  <c r="V2333" i="1"/>
  <c r="V2341" i="1"/>
  <c r="V2343" i="1"/>
  <c r="V2345" i="1"/>
  <c r="V2349" i="1"/>
  <c r="V2353" i="1"/>
  <c r="V2399" i="1"/>
  <c r="V2415" i="1"/>
  <c r="V2639" i="1"/>
  <c r="V2641" i="1"/>
  <c r="V2645" i="1"/>
  <c r="V2663" i="1"/>
  <c r="V2735" i="1"/>
  <c r="V2845" i="1"/>
  <c r="V2847" i="1"/>
  <c r="V2855" i="1"/>
  <c r="V2909" i="1"/>
  <c r="V2911" i="1"/>
  <c r="V2919" i="1"/>
  <c r="V2975" i="1"/>
  <c r="V3185" i="1"/>
  <c r="V3195" i="1"/>
  <c r="V3209" i="1"/>
  <c r="V3391" i="1"/>
  <c r="V3419" i="1"/>
  <c r="V3429" i="1"/>
  <c r="V3431" i="1"/>
  <c r="V3437" i="1"/>
  <c r="V3439" i="1"/>
  <c r="V3441" i="1"/>
  <c r="V3443" i="1"/>
  <c r="V3463" i="1"/>
  <c r="V3469" i="1"/>
  <c r="V3471" i="1"/>
  <c r="V3475" i="1"/>
  <c r="V3483" i="1"/>
  <c r="V3499" i="1"/>
  <c r="V4027" i="1"/>
  <c r="V4067" i="1"/>
  <c r="V4073" i="1"/>
  <c r="V4081" i="1"/>
  <c r="V4103" i="1"/>
  <c r="V4135" i="1"/>
  <c r="V4145" i="1"/>
  <c r="V4147" i="1"/>
  <c r="V4149" i="1"/>
  <c r="V4151" i="1"/>
  <c r="V4159" i="1"/>
  <c r="V4165" i="1"/>
  <c r="V4167" i="1"/>
  <c r="V4171" i="1"/>
  <c r="V4173" i="1"/>
  <c r="V4175" i="1"/>
  <c r="V4185" i="1"/>
  <c r="V4187" i="1"/>
  <c r="V4259" i="1"/>
  <c r="V4263" i="1"/>
  <c r="V4269" i="1"/>
  <c r="V4277" i="1"/>
  <c r="V4279" i="1"/>
  <c r="V4287" i="1"/>
  <c r="V4293" i="1"/>
  <c r="V4295" i="1"/>
  <c r="V4349" i="1"/>
  <c r="V4351" i="1"/>
  <c r="V4357" i="1"/>
  <c r="V4373" i="1"/>
  <c r="V4387" i="1"/>
  <c r="V4451" i="1"/>
  <c r="V4469" i="1"/>
  <c r="V4519" i="1"/>
  <c r="V4533" i="1"/>
  <c r="V5759" i="1"/>
  <c r="V5899" i="1"/>
  <c r="V5907" i="1"/>
  <c r="V5915" i="1"/>
  <c r="V5917" i="1"/>
  <c r="V5943" i="1"/>
  <c r="V5951" i="1"/>
  <c r="V5959" i="1"/>
  <c r="V5963" i="1"/>
  <c r="V1138" i="1"/>
  <c r="V1146" i="1"/>
  <c r="V1148" i="1"/>
  <c r="V1152" i="1"/>
  <c r="V1154" i="1"/>
  <c r="V1156" i="1"/>
  <c r="V1158" i="1"/>
  <c r="V1164" i="1"/>
  <c r="V1168" i="1"/>
  <c r="V1170" i="1"/>
  <c r="V1206" i="1"/>
  <c r="V1212" i="1"/>
  <c r="V1214" i="1"/>
  <c r="V1218" i="1"/>
  <c r="V1220" i="1"/>
  <c r="V1222" i="1"/>
  <c r="V1224" i="1"/>
  <c r="V1226" i="1"/>
  <c r="V1228" i="1"/>
  <c r="V1232" i="1"/>
  <c r="V1236" i="1"/>
  <c r="V1238" i="1"/>
  <c r="V1242" i="1"/>
  <c r="V1270" i="1"/>
  <c r="V1272" i="1"/>
  <c r="V1290" i="1"/>
  <c r="V1292" i="1"/>
  <c r="V1294" i="1"/>
  <c r="V1296" i="1"/>
  <c r="V1298" i="1"/>
  <c r="V1300" i="1"/>
  <c r="V1302" i="1"/>
  <c r="V1304" i="1"/>
  <c r="V1320" i="1"/>
  <c r="V1322" i="1"/>
  <c r="V1324" i="1"/>
  <c r="V1350" i="1"/>
  <c r="V1354" i="1"/>
  <c r="V1356" i="1"/>
  <c r="V1374" i="1"/>
  <c r="V1382" i="1"/>
  <c r="V1384" i="1"/>
  <c r="V1386" i="1"/>
  <c r="V1390" i="1"/>
  <c r="V1396" i="1"/>
  <c r="V1398" i="1"/>
  <c r="V1414" i="1"/>
  <c r="V1440" i="1"/>
  <c r="V1444" i="1"/>
  <c r="V1460" i="1"/>
  <c r="V1462" i="1"/>
  <c r="V1466" i="1"/>
  <c r="V1468" i="1"/>
  <c r="V1470" i="1"/>
  <c r="V1480" i="1"/>
  <c r="V1484" i="1"/>
  <c r="V1486" i="1"/>
  <c r="V1494" i="1"/>
  <c r="V1496" i="1"/>
  <c r="V1498" i="1"/>
  <c r="V1500" i="1"/>
  <c r="V1512" i="1"/>
  <c r="V1542" i="1"/>
  <c r="V1544" i="1"/>
  <c r="V1546" i="1"/>
  <c r="V1548" i="1"/>
  <c r="V1552" i="1"/>
  <c r="V1554" i="1"/>
  <c r="V1556" i="1"/>
  <c r="V1558" i="1"/>
  <c r="V1562" i="1"/>
  <c r="V1564" i="1"/>
  <c r="V1574" i="1"/>
  <c r="V1640" i="1"/>
  <c r="V1642" i="1"/>
  <c r="V1646" i="1"/>
  <c r="V1648" i="1"/>
  <c r="V1650" i="1"/>
  <c r="V1652" i="1"/>
  <c r="V1654" i="1"/>
  <c r="V1662" i="1"/>
  <c r="V1672" i="1"/>
  <c r="V1674" i="1"/>
  <c r="V1676" i="1"/>
  <c r="V1730" i="1"/>
  <c r="V1750" i="1"/>
  <c r="V1762" i="1"/>
  <c r="V1764" i="1"/>
  <c r="V1766" i="1"/>
  <c r="V1774" i="1"/>
  <c r="V1776" i="1"/>
  <c r="V1778" i="1"/>
  <c r="V2052" i="1"/>
  <c r="V2054" i="1"/>
  <c r="V2058" i="1"/>
  <c r="V2060" i="1"/>
  <c r="V2062" i="1"/>
  <c r="V2070" i="1"/>
  <c r="V3184" i="1"/>
  <c r="V3300" i="1"/>
  <c r="V3302" i="1"/>
  <c r="V3306" i="1"/>
  <c r="V3318" i="1"/>
  <c r="V3320" i="1"/>
  <c r="V3322" i="1"/>
  <c r="V3326" i="1"/>
  <c r="V3342" i="1"/>
  <c r="V3344" i="1"/>
  <c r="V3346" i="1"/>
  <c r="V3374" i="1"/>
  <c r="V3376" i="1"/>
  <c r="V3378" i="1"/>
  <c r="V3382" i="1"/>
  <c r="V3384" i="1"/>
  <c r="V3386" i="1"/>
  <c r="V3530" i="1"/>
  <c r="V3540" i="1"/>
  <c r="V3548" i="1"/>
  <c r="V3594" i="1"/>
  <c r="V3646" i="1"/>
  <c r="V3650" i="1"/>
  <c r="V3658" i="1"/>
  <c r="V3660" i="1"/>
  <c r="V3758" i="1"/>
  <c r="V3760" i="1"/>
  <c r="V3764" i="1"/>
  <c r="V3800" i="1"/>
  <c r="V3804" i="1"/>
  <c r="V3808" i="1"/>
  <c r="V3840" i="1"/>
  <c r="V3842" i="1"/>
  <c r="V3890" i="1"/>
  <c r="V3920" i="1"/>
  <c r="V3922" i="1"/>
  <c r="V3926" i="1"/>
  <c r="V4014" i="1"/>
  <c r="V4050" i="1"/>
  <c r="V4060" i="1"/>
  <c r="V4062" i="1"/>
  <c r="V4064" i="1"/>
  <c r="V4072" i="1"/>
  <c r="V4074" i="1"/>
  <c r="V4076" i="1"/>
  <c r="V4078" i="1"/>
  <c r="V4082" i="1"/>
  <c r="V4086" i="1"/>
  <c r="V4088" i="1"/>
  <c r="V4096" i="1"/>
  <c r="V4098" i="1"/>
  <c r="V4192" i="1"/>
  <c r="V4976" i="1"/>
  <c r="V5024" i="1"/>
  <c r="V5040" i="1"/>
  <c r="V5042" i="1"/>
  <c r="V5044" i="1"/>
  <c r="V5048" i="1"/>
  <c r="V5050" i="1"/>
  <c r="V5056" i="1"/>
  <c r="V5058" i="1"/>
  <c r="V5062" i="1"/>
  <c r="V5064" i="1"/>
  <c r="V5088" i="1"/>
  <c r="V5090" i="1"/>
  <c r="V5092" i="1"/>
  <c r="V5096" i="1"/>
  <c r="V5098" i="1"/>
  <c r="V5100" i="1"/>
  <c r="V5102" i="1"/>
  <c r="V5104" i="1"/>
  <c r="V5106" i="1"/>
  <c r="V5108" i="1"/>
  <c r="V5110" i="1"/>
  <c r="V5112" i="1"/>
  <c r="V5114" i="1"/>
  <c r="V5118" i="1"/>
  <c r="V5120" i="1"/>
  <c r="V5122" i="1"/>
  <c r="V4284" i="1"/>
  <c r="V4354" i="1"/>
  <c r="V4356" i="1"/>
  <c r="V4540" i="1"/>
  <c r="V4904" i="1"/>
  <c r="V4910" i="1"/>
  <c r="V5436" i="1"/>
  <c r="V5454" i="1"/>
  <c r="V5456" i="1"/>
  <c r="V5492" i="1"/>
  <c r="V5582" i="1"/>
  <c r="V5594" i="1"/>
  <c r="V5598" i="1"/>
  <c r="V5670" i="1"/>
  <c r="V5672" i="1"/>
  <c r="V5682" i="1"/>
  <c r="V5684" i="1"/>
  <c r="V5686" i="1"/>
  <c r="V5698" i="1"/>
  <c r="V5714" i="1"/>
  <c r="V5716" i="1"/>
  <c r="V5724" i="1"/>
  <c r="V5738" i="1"/>
  <c r="V5744" i="1"/>
  <c r="V5746" i="1"/>
  <c r="V5748" i="1"/>
  <c r="V5752" i="1"/>
  <c r="V5754" i="1"/>
  <c r="V5756" i="1"/>
  <c r="V5758" i="1"/>
  <c r="U199" i="1"/>
  <c r="V199" i="1" s="1"/>
  <c r="V479" i="1"/>
  <c r="DE67" i="1"/>
  <c r="CY29" i="1"/>
  <c r="CO29" i="1"/>
  <c r="CU67" i="1"/>
  <c r="BK29" i="1"/>
  <c r="BQ67" i="1"/>
  <c r="BQ89" i="1" s="1"/>
  <c r="CA67" i="1"/>
  <c r="BU29" i="1"/>
  <c r="V1763" i="1"/>
  <c r="V1831" i="1"/>
  <c r="V1841" i="1"/>
  <c r="V2035" i="1"/>
  <c r="BA29" i="1"/>
  <c r="CE29" i="1"/>
  <c r="CK67" i="1"/>
  <c r="AQ29" i="1"/>
  <c r="V3311" i="1"/>
  <c r="V4835" i="1"/>
  <c r="V223" i="1"/>
  <c r="V158" i="1"/>
  <c r="V4561" i="1"/>
  <c r="P190" i="1"/>
  <c r="U135" i="1"/>
  <c r="V135" i="1" s="1"/>
  <c r="V9" i="1"/>
  <c r="V2090" i="1"/>
  <c r="V2634" i="1"/>
  <c r="V2690" i="1"/>
  <c r="V2750" i="1"/>
  <c r="V2822" i="1"/>
  <c r="V4548" i="1"/>
  <c r="V4597" i="1"/>
  <c r="V5633" i="1"/>
  <c r="P183" i="1"/>
  <c r="P157" i="1"/>
  <c r="U206" i="1"/>
  <c r="V206" i="1" s="1"/>
  <c r="V1137" i="1"/>
  <c r="V1147" i="1"/>
  <c r="V1151" i="1"/>
  <c r="V1155" i="1"/>
  <c r="V1157" i="1"/>
  <c r="V1179" i="1"/>
  <c r="V1185" i="1"/>
  <c r="V1187" i="1"/>
  <c r="V1189" i="1"/>
  <c r="V1279" i="1"/>
  <c r="V1281" i="1"/>
  <c r="V1307" i="1"/>
  <c r="V1309" i="1"/>
  <c r="V1313" i="1"/>
  <c r="V1317" i="1"/>
  <c r="V1325" i="1"/>
  <c r="V1343" i="1"/>
  <c r="V1345" i="1"/>
  <c r="V1347" i="1"/>
  <c r="V1349" i="1"/>
  <c r="V1355" i="1"/>
  <c r="V1357" i="1"/>
  <c r="V1361" i="1"/>
  <c r="V1425" i="1"/>
  <c r="V1431" i="1"/>
  <c r="V1433" i="1"/>
  <c r="V1435" i="1"/>
  <c r="V1437" i="1"/>
  <c r="V1445" i="1"/>
  <c r="V1453" i="1"/>
  <c r="V1471" i="1"/>
  <c r="V1473" i="1"/>
  <c r="V1475" i="1"/>
  <c r="V1477" i="1"/>
  <c r="V1489" i="1"/>
  <c r="V1515" i="1"/>
  <c r="V1517" i="1"/>
  <c r="V1525" i="1"/>
  <c r="V1535" i="1"/>
  <c r="V1537" i="1"/>
  <c r="V1539" i="1"/>
  <c r="V1541" i="1"/>
  <c r="V1745" i="1"/>
  <c r="V378" i="1"/>
  <c r="V241" i="1"/>
  <c r="U923" i="1"/>
  <c r="V923" i="1" s="1"/>
  <c r="V1673" i="1"/>
  <c r="V1677" i="1"/>
  <c r="V2047" i="1"/>
  <c r="V2049" i="1"/>
  <c r="V2051" i="1"/>
  <c r="V2986" i="1"/>
  <c r="V3018" i="1"/>
  <c r="V3030" i="1"/>
  <c r="V3162" i="1"/>
  <c r="V4366" i="1"/>
  <c r="V4368" i="1"/>
  <c r="V4450" i="1"/>
  <c r="V4462" i="1"/>
  <c r="V4466" i="1"/>
  <c r="V4574" i="1"/>
  <c r="V4576" i="1"/>
  <c r="V4578" i="1"/>
  <c r="V4580" i="1"/>
  <c r="V4582" i="1"/>
  <c r="V4586" i="1"/>
  <c r="V4596" i="1"/>
  <c r="V4604" i="1"/>
  <c r="V4606" i="1"/>
  <c r="V4608" i="1"/>
  <c r="V4610" i="1"/>
  <c r="V4612" i="1"/>
  <c r="V4614" i="1"/>
  <c r="V4636" i="1"/>
  <c r="V4670" i="1"/>
  <c r="V4672" i="1"/>
  <c r="V4678" i="1"/>
  <c r="V4686" i="1"/>
  <c r="V4696" i="1"/>
  <c r="V4702" i="1"/>
  <c r="V4814" i="1"/>
  <c r="V4820" i="1"/>
  <c r="V5871" i="1"/>
  <c r="V804" i="1"/>
  <c r="V2215" i="1"/>
  <c r="V2479" i="1"/>
  <c r="V2487" i="1"/>
  <c r="V2491" i="1"/>
  <c r="V2495" i="1"/>
  <c r="V2567" i="1"/>
  <c r="V2739" i="1"/>
  <c r="V2951" i="1"/>
  <c r="V3259" i="1"/>
  <c r="V3267" i="1"/>
  <c r="V3273" i="1"/>
  <c r="V3275" i="1"/>
  <c r="V3285" i="1"/>
  <c r="V3289" i="1"/>
  <c r="V3297" i="1"/>
  <c r="V3299" i="1"/>
  <c r="V3305" i="1"/>
  <c r="V5124" i="1"/>
  <c r="V5150" i="1"/>
  <c r="V5174" i="1"/>
  <c r="V5280" i="1"/>
  <c r="V5290" i="1"/>
  <c r="V5332" i="1"/>
  <c r="V5358" i="1"/>
  <c r="V5380" i="1"/>
  <c r="V5384" i="1"/>
  <c r="V5766" i="1"/>
  <c r="V5768" i="1"/>
  <c r="V5772" i="1"/>
  <c r="V5774" i="1"/>
  <c r="V5776" i="1"/>
  <c r="V5780" i="1"/>
  <c r="V5782" i="1"/>
  <c r="V5784" i="1"/>
  <c r="V5788" i="1"/>
  <c r="V5870" i="1"/>
  <c r="V5872" i="1"/>
  <c r="V5876" i="1"/>
  <c r="V5878" i="1"/>
  <c r="V5880" i="1"/>
  <c r="V5886" i="1"/>
  <c r="V5888" i="1"/>
  <c r="V5892" i="1"/>
  <c r="V5894" i="1"/>
  <c r="V5940" i="1"/>
  <c r="V5956" i="1"/>
  <c r="V5958" i="1"/>
  <c r="V5966" i="1"/>
  <c r="V5972" i="1"/>
  <c r="V5974" i="1"/>
  <c r="V5980" i="1"/>
  <c r="V54" i="1"/>
  <c r="V198" i="1"/>
  <c r="V374" i="1"/>
  <c r="V390" i="1"/>
  <c r="U454" i="1"/>
  <c r="V454" i="1" s="1"/>
  <c r="V2979" i="1"/>
  <c r="V3135" i="1"/>
  <c r="V3147" i="1"/>
  <c r="V3153" i="1"/>
  <c r="V3501" i="1"/>
  <c r="V3511" i="1"/>
  <c r="V3519" i="1"/>
  <c r="V3539" i="1"/>
  <c r="V3575" i="1"/>
  <c r="V3579" i="1"/>
  <c r="V3687" i="1"/>
  <c r="V3933" i="1"/>
  <c r="V3957" i="1"/>
  <c r="V3985" i="1"/>
  <c r="V4815" i="1"/>
  <c r="V4817" i="1"/>
  <c r="V4819" i="1"/>
  <c r="V4823" i="1"/>
  <c r="V508" i="1"/>
  <c r="U142" i="1"/>
  <c r="V142" i="1" s="1"/>
  <c r="U391" i="1"/>
  <c r="V391" i="1" s="1"/>
  <c r="P487" i="1"/>
  <c r="P1014" i="1"/>
  <c r="V1894" i="1"/>
  <c r="V1934" i="1"/>
  <c r="V2218" i="1"/>
  <c r="V2230" i="1"/>
  <c r="V2234" i="1"/>
  <c r="V2238" i="1"/>
  <c r="V2240" i="1"/>
  <c r="V2246" i="1"/>
  <c r="V2250" i="1"/>
  <c r="V2262" i="1"/>
  <c r="V2336" i="1"/>
  <c r="V2358" i="1"/>
  <c r="V2434" i="1"/>
  <c r="V2482" i="1"/>
  <c r="V2484" i="1"/>
  <c r="V2486" i="1"/>
  <c r="V2504" i="1"/>
  <c r="V2506" i="1"/>
  <c r="V2508" i="1"/>
  <c r="V2510" i="1"/>
  <c r="V2528" i="1"/>
  <c r="V2572" i="1"/>
  <c r="V2574" i="1"/>
  <c r="V2576" i="1"/>
  <c r="V2578" i="1"/>
  <c r="V2580" i="1"/>
  <c r="V2582" i="1"/>
  <c r="V2622" i="1"/>
  <c r="V2626" i="1"/>
  <c r="V2800" i="1"/>
  <c r="V2818" i="1"/>
  <c r="V2926" i="1"/>
  <c r="V2928" i="1"/>
  <c r="V2930" i="1"/>
  <c r="V2946" i="1"/>
  <c r="V2948" i="1"/>
  <c r="V2950" i="1"/>
  <c r="V2954" i="1"/>
  <c r="V2966" i="1"/>
  <c r="V2968" i="1"/>
  <c r="V2970" i="1"/>
  <c r="V2972" i="1"/>
  <c r="V2974" i="1"/>
  <c r="V4843" i="1"/>
  <c r="V4877" i="1"/>
  <c r="V4903" i="1"/>
  <c r="V4961" i="1"/>
  <c r="V5243" i="1"/>
  <c r="V5265" i="1"/>
  <c r="V5409" i="1"/>
  <c r="V5415" i="1"/>
  <c r="V5423" i="1"/>
  <c r="V5427" i="1"/>
  <c r="V5431" i="1"/>
  <c r="V5449" i="1"/>
  <c r="V5451" i="1"/>
  <c r="V5463" i="1"/>
  <c r="V5467" i="1"/>
  <c r="V5469" i="1"/>
  <c r="V5471" i="1"/>
  <c r="V5485" i="1"/>
  <c r="V5487" i="1"/>
  <c r="V5489" i="1"/>
  <c r="V5491" i="1"/>
  <c r="V5493" i="1"/>
  <c r="V5495" i="1"/>
  <c r="V5533" i="1"/>
  <c r="V5537" i="1"/>
  <c r="V5539" i="1"/>
  <c r="V5541" i="1"/>
  <c r="V5545" i="1"/>
  <c r="V5549" i="1"/>
  <c r="V5551" i="1"/>
  <c r="V5553" i="1"/>
  <c r="V5557" i="1"/>
  <c r="V5559" i="1"/>
  <c r="V5565" i="1"/>
  <c r="V5591" i="1"/>
  <c r="V5593" i="1"/>
  <c r="V5595" i="1"/>
  <c r="V5597" i="1"/>
  <c r="V5727" i="1"/>
  <c r="V5743" i="1"/>
  <c r="V5749" i="1"/>
  <c r="V2041" i="1"/>
  <c r="V5967" i="1"/>
  <c r="U1133" i="1"/>
  <c r="V1133" i="1" s="1"/>
  <c r="V1522" i="1"/>
  <c r="V2226" i="1"/>
  <c r="V1338" i="1"/>
  <c r="V1530" i="1"/>
  <c r="V5983" i="1"/>
  <c r="U245" i="1"/>
  <c r="V245" i="1" s="1"/>
  <c r="V1326" i="1"/>
  <c r="V2318" i="1"/>
  <c r="V2430" i="1"/>
  <c r="V4642" i="1"/>
  <c r="V4726" i="1"/>
  <c r="V4730" i="1"/>
  <c r="V4738" i="1"/>
  <c r="V4782" i="1"/>
  <c r="V119" i="1"/>
  <c r="U86" i="1"/>
  <c r="V86" i="1" s="1"/>
  <c r="P110" i="1"/>
  <c r="U175" i="1"/>
  <c r="V175" i="1" s="1"/>
  <c r="P239" i="1"/>
  <c r="U943" i="1"/>
  <c r="V943" i="1" s="1"/>
  <c r="V1614" i="1"/>
  <c r="V1700" i="1"/>
  <c r="V71" i="1"/>
  <c r="P118" i="1"/>
  <c r="P198" i="1"/>
  <c r="V4119" i="1"/>
  <c r="V4301" i="1"/>
  <c r="V185" i="1"/>
  <c r="V537" i="1"/>
  <c r="V665" i="1"/>
  <c r="P894" i="1"/>
  <c r="V90" i="1"/>
  <c r="V98" i="1"/>
  <c r="V114" i="1"/>
  <c r="V170" i="1"/>
  <c r="V210" i="1"/>
  <c r="V242" i="1"/>
  <c r="V250" i="1"/>
  <c r="V298" i="1"/>
  <c r="V458" i="1"/>
  <c r="P45" i="1"/>
  <c r="U95" i="1"/>
  <c r="V95" i="1" s="1"/>
  <c r="V103" i="1"/>
  <c r="P145" i="1"/>
  <c r="P159" i="1"/>
  <c r="P174" i="1"/>
  <c r="P221" i="1"/>
  <c r="V334" i="1"/>
  <c r="P509" i="1"/>
  <c r="P759" i="1"/>
  <c r="V1193" i="1"/>
  <c r="V1197" i="1"/>
  <c r="V1221" i="1"/>
  <c r="V1245" i="1"/>
  <c r="V2667" i="1"/>
  <c r="V2671" i="1"/>
  <c r="V3186" i="1"/>
  <c r="V3188" i="1"/>
  <c r="V3242" i="1"/>
  <c r="V2222" i="1"/>
  <c r="P638" i="1"/>
  <c r="V4658" i="1"/>
  <c r="V4742" i="1"/>
  <c r="V4746" i="1"/>
  <c r="V4798" i="1"/>
  <c r="V190" i="1"/>
  <c r="U197" i="1"/>
  <c r="V197" i="1" s="1"/>
  <c r="U582" i="1"/>
  <c r="V582" i="1" s="1"/>
  <c r="U1062" i="1"/>
  <c r="V1062" i="1" s="1"/>
  <c r="V1698" i="1"/>
  <c r="V696" i="1"/>
  <c r="V736" i="1"/>
  <c r="V752" i="1"/>
  <c r="V816" i="1"/>
  <c r="V302" i="1"/>
  <c r="U325" i="1"/>
  <c r="V325" i="1" s="1"/>
  <c r="V4319" i="1"/>
  <c r="P319" i="1"/>
  <c r="V611" i="1"/>
  <c r="U134" i="1"/>
  <c r="V134" i="1" s="1"/>
  <c r="P149" i="1"/>
  <c r="U166" i="1"/>
  <c r="V166" i="1" s="1"/>
  <c r="P214" i="1"/>
  <c r="U671" i="1"/>
  <c r="V671" i="1" s="1"/>
  <c r="V1859" i="1"/>
  <c r="V1861" i="1"/>
  <c r="V1863" i="1"/>
  <c r="V1871" i="1"/>
  <c r="V1873" i="1"/>
  <c r="V1875" i="1"/>
  <c r="V1877" i="1"/>
  <c r="V1907" i="1"/>
  <c r="V1915" i="1"/>
  <c r="V1925" i="1"/>
  <c r="V1927" i="1"/>
  <c r="V1929" i="1"/>
  <c r="V1931" i="1"/>
  <c r="V1933" i="1"/>
  <c r="V1955" i="1"/>
  <c r="V1967" i="1"/>
  <c r="V1969" i="1"/>
  <c r="V1971" i="1"/>
  <c r="V1973" i="1"/>
  <c r="V1979" i="1"/>
  <c r="V1981" i="1"/>
  <c r="V1983" i="1"/>
  <c r="V1987" i="1"/>
  <c r="V1989" i="1"/>
  <c r="V1991" i="1"/>
  <c r="V1993" i="1"/>
  <c r="V1999" i="1"/>
  <c r="V2009" i="1"/>
  <c r="V2011" i="1"/>
  <c r="V2013" i="1"/>
  <c r="V2015" i="1"/>
  <c r="V2019" i="1"/>
  <c r="V2116" i="1"/>
  <c r="V2118" i="1"/>
  <c r="V2126" i="1"/>
  <c r="V2134" i="1"/>
  <c r="V2154" i="1"/>
  <c r="V2174" i="1"/>
  <c r="V1794" i="1"/>
  <c r="V1798" i="1"/>
  <c r="V1800" i="1"/>
  <c r="V1802" i="1"/>
  <c r="V1804" i="1"/>
  <c r="V1806" i="1"/>
  <c r="V1814" i="1"/>
  <c r="V1820" i="1"/>
  <c r="V1822" i="1"/>
  <c r="V1824" i="1"/>
  <c r="V1826" i="1"/>
  <c r="V1830" i="1"/>
  <c r="V1838" i="1"/>
  <c r="V1842" i="1"/>
  <c r="V1846" i="1"/>
  <c r="V1852" i="1"/>
  <c r="V1854" i="1"/>
  <c r="V1856" i="1"/>
  <c r="V1878" i="1"/>
  <c r="V1968" i="1"/>
  <c r="V1974" i="1"/>
  <c r="V2071" i="1"/>
  <c r="V2079" i="1"/>
  <c r="V2081" i="1"/>
  <c r="V2085" i="1"/>
  <c r="V2087" i="1"/>
  <c r="V2089" i="1"/>
  <c r="V2103" i="1"/>
  <c r="V2113" i="1"/>
  <c r="V2115" i="1"/>
  <c r="V2117" i="1"/>
  <c r="V2119" i="1"/>
  <c r="V2143" i="1"/>
  <c r="V2145" i="1"/>
  <c r="V2149" i="1"/>
  <c r="V2153" i="1"/>
  <c r="V2155" i="1"/>
  <c r="V2157" i="1"/>
  <c r="V2159" i="1"/>
  <c r="V2161" i="1"/>
  <c r="V2163" i="1"/>
  <c r="V2167" i="1"/>
  <c r="V2169" i="1"/>
  <c r="V2171" i="1"/>
  <c r="V2177" i="1"/>
  <c r="V2179" i="1"/>
  <c r="V2181" i="1"/>
  <c r="V2185" i="1"/>
  <c r="V2191" i="1"/>
  <c r="V2470" i="1"/>
  <c r="V2534" i="1"/>
  <c r="V2584" i="1"/>
  <c r="V2656" i="1"/>
  <c r="V2658" i="1"/>
  <c r="V2660" i="1"/>
  <c r="V2662" i="1"/>
  <c r="V2664" i="1"/>
  <c r="V2666" i="1"/>
  <c r="V2668" i="1"/>
  <c r="V2670" i="1"/>
  <c r="V2672" i="1"/>
  <c r="V2674" i="1"/>
  <c r="V2676" i="1"/>
  <c r="V2678" i="1"/>
  <c r="V2686" i="1"/>
  <c r="V2688" i="1"/>
  <c r="V2718" i="1"/>
  <c r="V2726" i="1"/>
  <c r="V2730" i="1"/>
  <c r="V2732" i="1"/>
  <c r="V2734" i="1"/>
  <c r="V3314" i="1"/>
  <c r="V3410" i="1"/>
  <c r="V3414" i="1"/>
  <c r="V3424" i="1"/>
  <c r="V3460" i="1"/>
  <c r="V3466" i="1"/>
  <c r="V3474" i="1"/>
  <c r="V3492" i="1"/>
  <c r="V4723" i="1"/>
  <c r="V5610" i="1"/>
  <c r="V5664" i="1"/>
  <c r="V2223" i="1"/>
  <c r="V2225" i="1"/>
  <c r="V2227" i="1"/>
  <c r="V2229" i="1"/>
  <c r="V2239" i="1"/>
  <c r="V2241" i="1"/>
  <c r="V2245" i="1"/>
  <c r="V2736" i="1"/>
  <c r="V2738" i="1"/>
  <c r="V2740" i="1"/>
  <c r="V2742" i="1"/>
  <c r="V2754" i="1"/>
  <c r="V2774" i="1"/>
  <c r="V2782" i="1"/>
  <c r="V2784" i="1"/>
  <c r="V3023" i="1"/>
  <c r="V3065" i="1"/>
  <c r="V3067" i="1"/>
  <c r="V3075" i="1"/>
  <c r="V3079" i="1"/>
  <c r="V3081" i="1"/>
  <c r="V3083" i="1"/>
  <c r="V3087" i="1"/>
  <c r="V3089" i="1"/>
  <c r="V3105" i="1"/>
  <c r="V3111" i="1"/>
  <c r="V3115" i="1"/>
  <c r="V3117" i="1"/>
  <c r="V3119" i="1"/>
  <c r="V3131" i="1"/>
  <c r="V4979" i="1"/>
  <c r="V4981" i="1"/>
  <c r="V4985" i="1"/>
  <c r="V4993" i="1"/>
  <c r="V4995" i="1"/>
  <c r="V4999" i="1"/>
  <c r="V5001" i="1"/>
  <c r="V5003" i="1"/>
  <c r="V5013" i="1"/>
  <c r="V5017" i="1"/>
  <c r="V5025" i="1"/>
  <c r="V5027" i="1"/>
  <c r="V5031" i="1"/>
  <c r="V5033" i="1"/>
  <c r="V5047" i="1"/>
  <c r="V5051" i="1"/>
  <c r="V5063" i="1"/>
  <c r="V5087" i="1"/>
  <c r="V5093" i="1"/>
  <c r="V5115" i="1"/>
  <c r="V1501" i="1"/>
  <c r="V1575" i="1"/>
  <c r="V1579" i="1"/>
  <c r="V1581" i="1"/>
  <c r="V1589" i="1"/>
  <c r="V1593" i="1"/>
  <c r="V1599" i="1"/>
  <c r="V1601" i="1"/>
  <c r="V1603" i="1"/>
  <c r="V1605" i="1"/>
  <c r="V1637" i="1"/>
  <c r="V1661" i="1"/>
  <c r="V1663" i="1"/>
  <c r="V1665" i="1"/>
  <c r="V1667" i="1"/>
  <c r="V1669" i="1"/>
  <c r="V1731" i="1"/>
  <c r="V1735" i="1"/>
  <c r="V2359" i="1"/>
  <c r="V2383" i="1"/>
  <c r="V2449" i="1"/>
  <c r="V2453" i="1"/>
  <c r="V2463" i="1"/>
  <c r="V2511" i="1"/>
  <c r="V2591" i="1"/>
  <c r="V2597" i="1"/>
  <c r="V2599" i="1"/>
  <c r="V2870" i="1"/>
  <c r="V2894" i="1"/>
  <c r="V2902" i="1"/>
  <c r="V2906" i="1"/>
  <c r="V5125" i="1"/>
  <c r="V5129" i="1"/>
  <c r="V5141" i="1"/>
  <c r="V5161" i="1"/>
  <c r="V5395" i="1"/>
  <c r="V5699" i="1"/>
  <c r="V3560" i="1"/>
  <c r="V3608" i="1"/>
  <c r="V3722" i="1"/>
  <c r="V3870" i="1"/>
  <c r="V3882" i="1"/>
  <c r="V3940" i="1"/>
  <c r="V3952" i="1"/>
  <c r="V4361" i="1"/>
  <c r="V4401" i="1"/>
  <c r="V4405" i="1"/>
  <c r="V4433" i="1"/>
  <c r="V4850" i="1"/>
  <c r="V4858" i="1"/>
  <c r="V4866" i="1"/>
  <c r="V4870" i="1"/>
  <c r="V4874" i="1"/>
  <c r="V4898" i="1"/>
  <c r="V4902" i="1"/>
  <c r="V4918" i="1"/>
  <c r="V4922" i="1"/>
  <c r="V5820" i="1"/>
  <c r="V5838" i="1"/>
  <c r="V5996" i="1"/>
  <c r="V3315" i="1"/>
  <c r="V3323" i="1"/>
  <c r="V3357" i="1"/>
  <c r="V3359" i="1"/>
  <c r="V3361" i="1"/>
  <c r="V3363" i="1"/>
  <c r="V3373" i="1"/>
  <c r="V3377" i="1"/>
  <c r="V3381" i="1"/>
  <c r="V4022" i="1"/>
  <c r="V4046" i="1"/>
  <c r="V4136" i="1"/>
  <c r="V4138" i="1"/>
  <c r="V4142" i="1"/>
  <c r="V4144" i="1"/>
  <c r="V4178" i="1"/>
  <c r="V4188" i="1"/>
  <c r="V4541" i="1"/>
  <c r="V4573" i="1"/>
  <c r="V4581" i="1"/>
  <c r="V4587" i="1"/>
  <c r="V4591" i="1"/>
  <c r="V4673" i="1"/>
  <c r="V4675" i="1"/>
  <c r="V4681" i="1"/>
  <c r="V4683" i="1"/>
  <c r="V4685" i="1"/>
  <c r="V4695" i="1"/>
  <c r="V4697" i="1"/>
  <c r="V4699" i="1"/>
  <c r="V4701" i="1"/>
  <c r="V4978" i="1"/>
  <c r="V5182" i="1"/>
  <c r="V5214" i="1"/>
  <c r="V5244" i="1"/>
  <c r="V5246" i="1"/>
  <c r="V5248" i="1"/>
  <c r="V5250" i="1"/>
  <c r="V5258" i="1"/>
  <c r="V5260" i="1"/>
  <c r="V5266" i="1"/>
  <c r="V5268" i="1"/>
  <c r="V5408" i="1"/>
  <c r="V5424" i="1"/>
  <c r="V5434" i="1"/>
  <c r="V5569" i="1"/>
  <c r="V5577" i="1"/>
  <c r="V5603" i="1"/>
  <c r="V5605" i="1"/>
  <c r="V5617" i="1"/>
  <c r="V5619" i="1"/>
  <c r="V5621" i="1"/>
  <c r="V5623" i="1"/>
  <c r="V5625" i="1"/>
  <c r="V5667" i="1"/>
  <c r="V5673" i="1"/>
  <c r="V5675" i="1"/>
  <c r="V5687" i="1"/>
  <c r="V5691" i="1"/>
  <c r="V5693" i="1"/>
  <c r="V5896" i="1"/>
  <c r="V5918" i="1"/>
  <c r="V6000" i="1"/>
  <c r="V2976" i="1"/>
  <c r="V2978" i="1"/>
  <c r="V2980" i="1"/>
  <c r="V2982" i="1"/>
  <c r="V3102" i="1"/>
  <c r="V3104" i="1"/>
  <c r="V3126" i="1"/>
  <c r="V3142" i="1"/>
  <c r="V3146" i="1"/>
  <c r="V3389" i="1"/>
  <c r="V3587" i="1"/>
  <c r="V3595" i="1"/>
  <c r="V3647" i="1"/>
  <c r="V3651" i="1"/>
  <c r="V3655" i="1"/>
  <c r="V3661" i="1"/>
  <c r="V3685" i="1"/>
  <c r="V3721" i="1"/>
  <c r="V3765" i="1"/>
  <c r="V3805" i="1"/>
  <c r="V3809" i="1"/>
  <c r="V3811" i="1"/>
  <c r="V3813" i="1"/>
  <c r="V3819" i="1"/>
  <c r="V3825" i="1"/>
  <c r="V3843" i="1"/>
  <c r="V3845" i="1"/>
  <c r="V3849" i="1"/>
  <c r="V3873" i="1"/>
  <c r="V3881" i="1"/>
  <c r="V3929" i="1"/>
  <c r="V4200" i="1"/>
  <c r="V4324" i="1"/>
  <c r="V4328" i="1"/>
  <c r="V4336" i="1"/>
  <c r="V4344" i="1"/>
  <c r="V4374" i="1"/>
  <c r="V4376" i="1"/>
  <c r="V4388" i="1"/>
  <c r="V4400" i="1"/>
  <c r="V4414" i="1"/>
  <c r="V4420" i="1"/>
  <c r="V4448" i="1"/>
  <c r="V4482" i="1"/>
  <c r="V4484" i="1"/>
  <c r="V4496" i="1"/>
  <c r="V4498" i="1"/>
  <c r="V4500" i="1"/>
  <c r="V4502" i="1"/>
  <c r="V4504" i="1"/>
  <c r="V4506" i="1"/>
  <c r="V4508" i="1"/>
  <c r="V4510" i="1"/>
  <c r="V4512" i="1"/>
  <c r="V4514" i="1"/>
  <c r="V4516" i="1"/>
  <c r="V4522" i="1"/>
  <c r="V4532" i="1"/>
  <c r="V4741" i="1"/>
  <c r="V4777" i="1"/>
  <c r="V4811" i="1"/>
  <c r="V5480" i="1"/>
  <c r="V5498" i="1"/>
  <c r="V5512" i="1"/>
  <c r="V5520" i="1"/>
  <c r="V5528" i="1"/>
  <c r="V5703" i="1"/>
  <c r="V5711" i="1"/>
  <c r="V5801" i="1"/>
  <c r="V5803" i="1"/>
  <c r="V5807" i="1"/>
  <c r="V5809" i="1"/>
  <c r="V5811" i="1"/>
  <c r="V5813" i="1"/>
  <c r="V5823" i="1"/>
  <c r="V5831" i="1"/>
  <c r="V5839" i="1"/>
  <c r="V5841" i="1"/>
  <c r="V5863" i="1"/>
  <c r="V5865" i="1"/>
  <c r="V5867" i="1"/>
  <c r="V656" i="1"/>
  <c r="V1297" i="1"/>
  <c r="V1366" i="1"/>
  <c r="V1505" i="1"/>
  <c r="V1718" i="1"/>
  <c r="V1720" i="1"/>
  <c r="V1722" i="1"/>
  <c r="V1724" i="1"/>
  <c r="V1726" i="1"/>
  <c r="V1857" i="1"/>
  <c r="V1879" i="1"/>
  <c r="V1895" i="1"/>
  <c r="V1899" i="1"/>
  <c r="V1901" i="1"/>
  <c r="V1903" i="1"/>
  <c r="V1986" i="1"/>
  <c r="V1994" i="1"/>
  <c r="V2034" i="1"/>
  <c r="V2036" i="1"/>
  <c r="V2038" i="1"/>
  <c r="V2040" i="1"/>
  <c r="V2290" i="1"/>
  <c r="V2294" i="1"/>
  <c r="V2298" i="1"/>
  <c r="V2304" i="1"/>
  <c r="V2328" i="1"/>
  <c r="V2330" i="1"/>
  <c r="V2387" i="1"/>
  <c r="V2407" i="1"/>
  <c r="V2409" i="1"/>
  <c r="V2413" i="1"/>
  <c r="V2478" i="1"/>
  <c r="V2544" i="1"/>
  <c r="V2546" i="1"/>
  <c r="V2548" i="1"/>
  <c r="V2550" i="1"/>
  <c r="V2560" i="1"/>
  <c r="V2562" i="1"/>
  <c r="V2844" i="1"/>
  <c r="V2846" i="1"/>
  <c r="V2848" i="1"/>
  <c r="V2854" i="1"/>
  <c r="V2858" i="1"/>
  <c r="V2860" i="1"/>
  <c r="V2862" i="1"/>
  <c r="V2983" i="1"/>
  <c r="V3611" i="1"/>
  <c r="V4028" i="1"/>
  <c r="V4030" i="1"/>
  <c r="V4032" i="1"/>
  <c r="V4034" i="1"/>
  <c r="V4040" i="1"/>
  <c r="V4042" i="1"/>
  <c r="V4044" i="1"/>
  <c r="V4558" i="1"/>
  <c r="V4560" i="1"/>
  <c r="V4562" i="1"/>
  <c r="V1454" i="1"/>
  <c r="V1561" i="1"/>
  <c r="V1565" i="1"/>
  <c r="V1734" i="1"/>
  <c r="V2342" i="1"/>
  <c r="V2350" i="1"/>
  <c r="V2366" i="1"/>
  <c r="V2370" i="1"/>
  <c r="V2382" i="1"/>
  <c r="V2427" i="1"/>
  <c r="V2431" i="1"/>
  <c r="V2757" i="1"/>
  <c r="V2765" i="1"/>
  <c r="V2769" i="1"/>
  <c r="V2773" i="1"/>
  <c r="V2783" i="1"/>
  <c r="V2789" i="1"/>
  <c r="V2791" i="1"/>
  <c r="V2793" i="1"/>
  <c r="V2878" i="1"/>
  <c r="V3027" i="1"/>
  <c r="V3043" i="1"/>
  <c r="V3400" i="1"/>
  <c r="V3402" i="1"/>
  <c r="V3432" i="1"/>
  <c r="V3436" i="1"/>
  <c r="V3444" i="1"/>
  <c r="V3448" i="1"/>
  <c r="V3480" i="1"/>
  <c r="V1678" i="1"/>
  <c r="V1180" i="1"/>
  <c r="V2910" i="1"/>
  <c r="V3500" i="1"/>
  <c r="V3508" i="1"/>
  <c r="V3512" i="1"/>
  <c r="V3520" i="1"/>
  <c r="V3829" i="1"/>
  <c r="V3837" i="1"/>
  <c r="V450" i="1"/>
  <c r="U120" i="1"/>
  <c r="V120" i="1" s="1"/>
  <c r="P752" i="1"/>
  <c r="V707" i="1"/>
  <c r="U75" i="1"/>
  <c r="V75" i="1" s="1"/>
  <c r="U200" i="1"/>
  <c r="V200" i="1" s="1"/>
  <c r="V1321" i="1"/>
  <c r="P240" i="1"/>
  <c r="V1204" i="1"/>
  <c r="V1625" i="1"/>
  <c r="P109" i="1"/>
  <c r="U111" i="1"/>
  <c r="V111" i="1" s="1"/>
  <c r="P119" i="1"/>
  <c r="U184" i="1"/>
  <c r="V184" i="1" s="1"/>
  <c r="V208" i="1"/>
  <c r="U215" i="1"/>
  <c r="V215" i="1" s="1"/>
  <c r="U526" i="1"/>
  <c r="V526" i="1" s="1"/>
  <c r="P616" i="1"/>
  <c r="V623" i="1"/>
  <c r="P647" i="1"/>
  <c r="P816" i="1"/>
  <c r="V823" i="1"/>
  <c r="P902" i="1"/>
  <c r="V1282" i="1"/>
  <c r="V1381" i="1"/>
  <c r="V1389" i="1"/>
  <c r="V1405" i="1"/>
  <c r="V1407" i="1"/>
  <c r="V1409" i="1"/>
  <c r="V1411" i="1"/>
  <c r="V1413" i="1"/>
  <c r="V1518" i="1"/>
  <c r="V1520" i="1"/>
  <c r="V1526" i="1"/>
  <c r="V1528" i="1"/>
  <c r="V1653" i="1"/>
  <c r="V1681" i="1"/>
  <c r="V1685" i="1"/>
  <c r="V1693" i="1"/>
  <c r="V1697" i="1"/>
  <c r="V1703" i="1"/>
  <c r="V1705" i="1"/>
  <c r="V1707" i="1"/>
  <c r="V1709" i="1"/>
  <c r="V1713" i="1"/>
  <c r="V1721" i="1"/>
  <c r="V1898" i="1"/>
  <c r="V1902" i="1"/>
  <c r="V1904" i="1"/>
  <c r="V1975" i="1"/>
  <c r="V2080" i="1"/>
  <c r="V2231" i="1"/>
  <c r="V2247" i="1"/>
  <c r="V2263" i="1"/>
  <c r="V2265" i="1"/>
  <c r="V2267" i="1"/>
  <c r="V2275" i="1"/>
  <c r="V2277" i="1"/>
  <c r="V2281" i="1"/>
  <c r="V2285" i="1"/>
  <c r="V2650" i="1"/>
  <c r="V2803" i="1"/>
  <c r="V2815" i="1"/>
  <c r="V2942" i="1"/>
  <c r="V3187" i="1"/>
  <c r="V3215" i="1"/>
  <c r="V3219" i="1"/>
  <c r="V3223" i="1"/>
  <c r="V3231" i="1"/>
  <c r="V3853" i="1"/>
  <c r="V3865" i="1"/>
  <c r="U872" i="1"/>
  <c r="V872" i="1" s="1"/>
  <c r="P72" i="1"/>
  <c r="P128" i="1"/>
  <c r="P448" i="1"/>
  <c r="P80" i="1"/>
  <c r="U232" i="1"/>
  <c r="V232" i="1" s="1"/>
  <c r="U568" i="1"/>
  <c r="V568" i="1" s="1"/>
  <c r="V1943" i="1"/>
  <c r="V110" i="1"/>
  <c r="V470" i="1"/>
  <c r="V73" i="1"/>
  <c r="U94" i="1"/>
  <c r="V94" i="1" s="1"/>
  <c r="U101" i="1"/>
  <c r="V101" i="1" s="1"/>
  <c r="U150" i="1"/>
  <c r="V150" i="1" s="1"/>
  <c r="P165" i="1"/>
  <c r="P248" i="1"/>
  <c r="U278" i="1"/>
  <c r="V278" i="1" s="1"/>
  <c r="P302" i="1"/>
  <c r="U351" i="1"/>
  <c r="V351" i="1" s="1"/>
  <c r="P527" i="1"/>
  <c r="P605" i="1"/>
  <c r="U800" i="1"/>
  <c r="V800" i="1" s="1"/>
  <c r="V512" i="1"/>
  <c r="U169" i="1"/>
  <c r="V169" i="1" s="1"/>
  <c r="U224" i="1"/>
  <c r="V224" i="1" s="1"/>
  <c r="V539" i="1"/>
  <c r="U296" i="1"/>
  <c r="V296" i="1" s="1"/>
  <c r="U17" i="1"/>
  <c r="V17" i="1" s="1"/>
  <c r="V1202" i="1"/>
  <c r="V231" i="1"/>
  <c r="P85" i="1"/>
  <c r="P127" i="1"/>
  <c r="U182" i="1"/>
  <c r="V182" i="1" s="1"/>
  <c r="P231" i="1"/>
  <c r="U271" i="1"/>
  <c r="V271" i="1" s="1"/>
  <c r="U344" i="1"/>
  <c r="V344" i="1" s="1"/>
  <c r="U359" i="1"/>
  <c r="V359" i="1" s="1"/>
  <c r="P415" i="1"/>
  <c r="U504" i="1"/>
  <c r="V504" i="1" s="1"/>
  <c r="U542" i="1"/>
  <c r="V542" i="1" s="1"/>
  <c r="U686" i="1"/>
  <c r="V686" i="1" s="1"/>
  <c r="U879" i="1"/>
  <c r="V879" i="1" s="1"/>
  <c r="P1033" i="1"/>
  <c r="V1145" i="1"/>
  <c r="V1161" i="1"/>
  <c r="V1165" i="1"/>
  <c r="V1171" i="1"/>
  <c r="V1209" i="1"/>
  <c r="V1217" i="1"/>
  <c r="V1253" i="1"/>
  <c r="V1261" i="1"/>
  <c r="V1263" i="1"/>
  <c r="V1265" i="1"/>
  <c r="V1465" i="1"/>
  <c r="V1598" i="1"/>
  <c r="V1600" i="1"/>
  <c r="V1602" i="1"/>
  <c r="V1604" i="1"/>
  <c r="V1624" i="1"/>
  <c r="V1626" i="1"/>
  <c r="V1628" i="1"/>
  <c r="V1630" i="1"/>
  <c r="V1632" i="1"/>
  <c r="V1634" i="1"/>
  <c r="V1636" i="1"/>
  <c r="V1747" i="1"/>
  <c r="V1779" i="1"/>
  <c r="V1783" i="1"/>
  <c r="V1793" i="1"/>
  <c r="V1795" i="1"/>
  <c r="V1799" i="1"/>
  <c r="V1803" i="1"/>
  <c r="V1805" i="1"/>
  <c r="V1809" i="1"/>
  <c r="V1813" i="1"/>
  <c r="V1815" i="1"/>
  <c r="V1817" i="1"/>
  <c r="V1839" i="1"/>
  <c r="V1914" i="1"/>
  <c r="V1930" i="1"/>
  <c r="V1936" i="1"/>
  <c r="V1940" i="1"/>
  <c r="V1942" i="1"/>
  <c r="V1950" i="1"/>
  <c r="V2094" i="1"/>
  <c r="V2178" i="1"/>
  <c r="V2182" i="1"/>
  <c r="V2196" i="1"/>
  <c r="V2198" i="1"/>
  <c r="V2206" i="1"/>
  <c r="V2212" i="1"/>
  <c r="V2214" i="1"/>
  <c r="V2456" i="1"/>
  <c r="V2458" i="1"/>
  <c r="V2460" i="1"/>
  <c r="V2462" i="1"/>
  <c r="V2464" i="1"/>
  <c r="V2466" i="1"/>
  <c r="V2603" i="1"/>
  <c r="V2607" i="1"/>
  <c r="V2611" i="1"/>
  <c r="V2615" i="1"/>
  <c r="V2619" i="1"/>
  <c r="V2629" i="1"/>
  <c r="V2631" i="1"/>
  <c r="V2720" i="1"/>
  <c r="V3114" i="1"/>
  <c r="V3172" i="1"/>
  <c r="V3728" i="1"/>
  <c r="V3738" i="1"/>
  <c r="V3744" i="1"/>
  <c r="V3746" i="1"/>
  <c r="V3748" i="1"/>
  <c r="V3752" i="1"/>
  <c r="V3352" i="1"/>
  <c r="V3360" i="1"/>
  <c r="V3372" i="1"/>
  <c r="V3541" i="1"/>
  <c r="V3551" i="1"/>
  <c r="V3555" i="1"/>
  <c r="V3557" i="1"/>
  <c r="V3559" i="1"/>
  <c r="V3561" i="1"/>
  <c r="V3563" i="1"/>
  <c r="V3565" i="1"/>
  <c r="V3616" i="1"/>
  <c r="V3628" i="1"/>
  <c r="V3632" i="1"/>
  <c r="V3634" i="1"/>
  <c r="V3666" i="1"/>
  <c r="V3672" i="1"/>
  <c r="V3684" i="1"/>
  <c r="V3690" i="1"/>
  <c r="V3700" i="1"/>
  <c r="V3718" i="1"/>
  <c r="V3769" i="1"/>
  <c r="V3773" i="1"/>
  <c r="V3783" i="1"/>
  <c r="V3785" i="1"/>
  <c r="V3888" i="1"/>
  <c r="V3908" i="1"/>
  <c r="V3930" i="1"/>
  <c r="V3932" i="1"/>
  <c r="V3934" i="1"/>
  <c r="V3954" i="1"/>
  <c r="V3956" i="1"/>
  <c r="V3958" i="1"/>
  <c r="V3964" i="1"/>
  <c r="V3966" i="1"/>
  <c r="V3968" i="1"/>
  <c r="V3972" i="1"/>
  <c r="V3974" i="1"/>
  <c r="V3976" i="1"/>
  <c r="V3978" i="1"/>
  <c r="V3984" i="1"/>
  <c r="V3986" i="1"/>
  <c r="V3990" i="1"/>
  <c r="V4409" i="1"/>
  <c r="V4542" i="1"/>
  <c r="V4544" i="1"/>
  <c r="V4546" i="1"/>
  <c r="V4601" i="1"/>
  <c r="V4609" i="1"/>
  <c r="V4621" i="1"/>
  <c r="V4637" i="1"/>
  <c r="V4643" i="1"/>
  <c r="V4645" i="1"/>
  <c r="V4649" i="1"/>
  <c r="V4651" i="1"/>
  <c r="V4653" i="1"/>
  <c r="V4659" i="1"/>
  <c r="V4201" i="1"/>
  <c r="V4229" i="1"/>
  <c r="V4231" i="1"/>
  <c r="V4237" i="1"/>
  <c r="V4445" i="1"/>
  <c r="V2295" i="1"/>
  <c r="V2435" i="1"/>
  <c r="V2439" i="1"/>
  <c r="V2471" i="1"/>
  <c r="V2477" i="1"/>
  <c r="V2501" i="1"/>
  <c r="V2594" i="1"/>
  <c r="V2596" i="1"/>
  <c r="V2598" i="1"/>
  <c r="V2602" i="1"/>
  <c r="V2604" i="1"/>
  <c r="V2606" i="1"/>
  <c r="V2614" i="1"/>
  <c r="V2616" i="1"/>
  <c r="V2618" i="1"/>
  <c r="V2620" i="1"/>
  <c r="V2651" i="1"/>
  <c r="V2681" i="1"/>
  <c r="V2685" i="1"/>
  <c r="V2827" i="1"/>
  <c r="V2863" i="1"/>
  <c r="V2867" i="1"/>
  <c r="V2873" i="1"/>
  <c r="V2877" i="1"/>
  <c r="V2885" i="1"/>
  <c r="V2893" i="1"/>
  <c r="V2992" i="1"/>
  <c r="V3000" i="1"/>
  <c r="V3002" i="1"/>
  <c r="V3004" i="1"/>
  <c r="V3006" i="1"/>
  <c r="V3010" i="1"/>
  <c r="V3121" i="1"/>
  <c r="V3127" i="1"/>
  <c r="V3137" i="1"/>
  <c r="V3145" i="1"/>
  <c r="V3174" i="1"/>
  <c r="V3178" i="1"/>
  <c r="V3192" i="1"/>
  <c r="V3194" i="1"/>
  <c r="V3204" i="1"/>
  <c r="V3210" i="1"/>
  <c r="V3212" i="1"/>
  <c r="V3218" i="1"/>
  <c r="V3327" i="1"/>
  <c r="V3554" i="1"/>
  <c r="V3627" i="1"/>
  <c r="V3663" i="1"/>
  <c r="V3675" i="1"/>
  <c r="V3697" i="1"/>
  <c r="V3703" i="1"/>
  <c r="V3705" i="1"/>
  <c r="V3719" i="1"/>
  <c r="V3768" i="1"/>
  <c r="V3772" i="1"/>
  <c r="V3776" i="1"/>
  <c r="V3780" i="1"/>
  <c r="V3782" i="1"/>
  <c r="V3784" i="1"/>
  <c r="V3788" i="1"/>
  <c r="V3909" i="1"/>
  <c r="V3921" i="1"/>
  <c r="V3937" i="1"/>
  <c r="V3945" i="1"/>
  <c r="V3961" i="1"/>
  <c r="V3967" i="1"/>
  <c r="V4001" i="1"/>
  <c r="V4003" i="1"/>
  <c r="V4009" i="1"/>
  <c r="V4370" i="1"/>
  <c r="V4398" i="1"/>
  <c r="V4965" i="1"/>
  <c r="V5184" i="1"/>
  <c r="V5198" i="1"/>
  <c r="V2392" i="1"/>
  <c r="V2398" i="1"/>
  <c r="V2400" i="1"/>
  <c r="V2404" i="1"/>
  <c r="V2406" i="1"/>
  <c r="V2412" i="1"/>
  <c r="V2414" i="1"/>
  <c r="V4325" i="1"/>
  <c r="V4329" i="1"/>
  <c r="V4989" i="1"/>
  <c r="V2025" i="1"/>
  <c r="V2027" i="1"/>
  <c r="V2029" i="1"/>
  <c r="V2031" i="1"/>
  <c r="V2033" i="1"/>
  <c r="V2135" i="1"/>
  <c r="V2139" i="1"/>
  <c r="V2213" i="1"/>
  <c r="V2373" i="1"/>
  <c r="V2377" i="1"/>
  <c r="V2381" i="1"/>
  <c r="V2515" i="1"/>
  <c r="V2543" i="1"/>
  <c r="V2545" i="1"/>
  <c r="V2549" i="1"/>
  <c r="V2695" i="1"/>
  <c r="V2703" i="1"/>
  <c r="V2719" i="1"/>
  <c r="V2727" i="1"/>
  <c r="V2758" i="1"/>
  <c r="V2929" i="1"/>
  <c r="V2933" i="1"/>
  <c r="V2959" i="1"/>
  <c r="V3064" i="1"/>
  <c r="V3066" i="1"/>
  <c r="V3078" i="1"/>
  <c r="V3169" i="1"/>
  <c r="V3246" i="1"/>
  <c r="V3260" i="1"/>
  <c r="V3270" i="1"/>
  <c r="V3274" i="1"/>
  <c r="V3290" i="1"/>
  <c r="V3403" i="1"/>
  <c r="V3445" i="1"/>
  <c r="V3459" i="1"/>
  <c r="V3493" i="1"/>
  <c r="V3495" i="1"/>
  <c r="V3523" i="1"/>
  <c r="V3533" i="1"/>
  <c r="V3535" i="1"/>
  <c r="V3537" i="1"/>
  <c r="V3584" i="1"/>
  <c r="V3602" i="1"/>
  <c r="V3604" i="1"/>
  <c r="V3731" i="1"/>
  <c r="V3735" i="1"/>
  <c r="V3737" i="1"/>
  <c r="V3751" i="1"/>
  <c r="V3753" i="1"/>
  <c r="V3755" i="1"/>
  <c r="V3757" i="1"/>
  <c r="V3761" i="1"/>
  <c r="V3763" i="1"/>
  <c r="V3854" i="1"/>
  <c r="V3862" i="1"/>
  <c r="V3880" i="1"/>
  <c r="V4021" i="1"/>
  <c r="V4047" i="1"/>
  <c r="V4120" i="1"/>
  <c r="V4148" i="1"/>
  <c r="V4152" i="1"/>
  <c r="V4164" i="1"/>
  <c r="V4168" i="1"/>
  <c r="V4220" i="1"/>
  <c r="V4224" i="1"/>
  <c r="V4236" i="1"/>
  <c r="V4240" i="1"/>
  <c r="V4840" i="1"/>
  <c r="V4852" i="1"/>
  <c r="V4884" i="1"/>
  <c r="V4894" i="1"/>
  <c r="V5484" i="1"/>
  <c r="V4106" i="1"/>
  <c r="V4112" i="1"/>
  <c r="V4253" i="1"/>
  <c r="V4317" i="1"/>
  <c r="V4360" i="1"/>
  <c r="V4362" i="1"/>
  <c r="V4413" i="1"/>
  <c r="V4472" i="1"/>
  <c r="V4750" i="1"/>
  <c r="V4752" i="1"/>
  <c r="V4756" i="1"/>
  <c r="V4766" i="1"/>
  <c r="V4913" i="1"/>
  <c r="V4915" i="1"/>
  <c r="V4917" i="1"/>
  <c r="V4921" i="1"/>
  <c r="V4923" i="1"/>
  <c r="V4929" i="1"/>
  <c r="V4931" i="1"/>
  <c r="V4933" i="1"/>
  <c r="V4939" i="1"/>
  <c r="V4943" i="1"/>
  <c r="V4945" i="1"/>
  <c r="V4947" i="1"/>
  <c r="V4949" i="1"/>
  <c r="V4951" i="1"/>
  <c r="V4953" i="1"/>
  <c r="V5020" i="1"/>
  <c r="V5072" i="1"/>
  <c r="V5082" i="1"/>
  <c r="V5235" i="1"/>
  <c r="V5239" i="1"/>
  <c r="V5291" i="1"/>
  <c r="V5293" i="1"/>
  <c r="V5299" i="1"/>
  <c r="V5301" i="1"/>
  <c r="V5305" i="1"/>
  <c r="V5307" i="1"/>
  <c r="V5309" i="1"/>
  <c r="V5317" i="1"/>
  <c r="V5323" i="1"/>
  <c r="V5325" i="1"/>
  <c r="V5331" i="1"/>
  <c r="V5333" i="1"/>
  <c r="V5337" i="1"/>
  <c r="V5339" i="1"/>
  <c r="V5363" i="1"/>
  <c r="V5371" i="1"/>
  <c r="V5379" i="1"/>
  <c r="V5401" i="1"/>
  <c r="V5405" i="1"/>
  <c r="V5407" i="1"/>
  <c r="V5535" i="1"/>
  <c r="V5573" i="1"/>
  <c r="V5575" i="1"/>
  <c r="V5626" i="1"/>
  <c r="V5632" i="1"/>
  <c r="V5640" i="1"/>
  <c r="V5656" i="1"/>
  <c r="V5658" i="1"/>
  <c r="V5662" i="1"/>
  <c r="V5735" i="1"/>
  <c r="V5765" i="1"/>
  <c r="V5898" i="1"/>
  <c r="V5900" i="1"/>
  <c r="V5902" i="1"/>
  <c r="V5904" i="1"/>
  <c r="V5908" i="1"/>
  <c r="V5910" i="1"/>
  <c r="V5912" i="1"/>
  <c r="V5999" i="1"/>
  <c r="V6007" i="1"/>
  <c r="V5666" i="1"/>
  <c r="V5797" i="1"/>
  <c r="V5932" i="1"/>
  <c r="AF112" i="1"/>
  <c r="AF113" i="1"/>
  <c r="V5439" i="1"/>
  <c r="V5443" i="1"/>
  <c r="V5496" i="1"/>
  <c r="V5601" i="1"/>
  <c r="V5700" i="1"/>
  <c r="V5712" i="1"/>
  <c r="V5815" i="1"/>
  <c r="V5853" i="1"/>
  <c r="V5879" i="1"/>
  <c r="V5889" i="1"/>
  <c r="V5891" i="1"/>
  <c r="V5968" i="1"/>
  <c r="V6004" i="1"/>
  <c r="V6006" i="1"/>
  <c r="V6008" i="1"/>
  <c r="V6010" i="1"/>
  <c r="V3994" i="1"/>
  <c r="V4008" i="1"/>
  <c r="V4057" i="1"/>
  <c r="V4089" i="1"/>
  <c r="V4244" i="1"/>
  <c r="V4252" i="1"/>
  <c r="V4260" i="1"/>
  <c r="V4296" i="1"/>
  <c r="V4306" i="1"/>
  <c r="V4308" i="1"/>
  <c r="V4310" i="1"/>
  <c r="V4312" i="1"/>
  <c r="V4316" i="1"/>
  <c r="V4477" i="1"/>
  <c r="V4497" i="1"/>
  <c r="V4505" i="1"/>
  <c r="V4509" i="1"/>
  <c r="V4525" i="1"/>
  <c r="V4529" i="1"/>
  <c r="V4572" i="1"/>
  <c r="V4663" i="1"/>
  <c r="V4705" i="1"/>
  <c r="V4711" i="1"/>
  <c r="V4719" i="1"/>
  <c r="V4747" i="1"/>
  <c r="V4757" i="1"/>
  <c r="V4759" i="1"/>
  <c r="V4761" i="1"/>
  <c r="V4763" i="1"/>
  <c r="V4767" i="1"/>
  <c r="V4769" i="1"/>
  <c r="V4771" i="1"/>
  <c r="V4773" i="1"/>
  <c r="V4783" i="1"/>
  <c r="V4785" i="1"/>
  <c r="V4787" i="1"/>
  <c r="V4793" i="1"/>
  <c r="V4795" i="1"/>
  <c r="V4805" i="1"/>
  <c r="V4807" i="1"/>
  <c r="V4809" i="1"/>
  <c r="V4926" i="1"/>
  <c r="V4932" i="1"/>
  <c r="V4940" i="1"/>
  <c r="V4958" i="1"/>
  <c r="V4960" i="1"/>
  <c r="V5065" i="1"/>
  <c r="V5069" i="1"/>
  <c r="V5073" i="1"/>
  <c r="V5240" i="1"/>
  <c r="V5294" i="1"/>
  <c r="V5298" i="1"/>
  <c r="V5314" i="1"/>
  <c r="V5318" i="1"/>
  <c r="V5320" i="1"/>
  <c r="V5322" i="1"/>
  <c r="V5328" i="1"/>
  <c r="V5330" i="1"/>
  <c r="V5344" i="1"/>
  <c r="V5360" i="1"/>
  <c r="V5362" i="1"/>
  <c r="V5366" i="1"/>
  <c r="V5368" i="1"/>
  <c r="V5370" i="1"/>
  <c r="V5378" i="1"/>
  <c r="V5540" i="1"/>
  <c r="V5548" i="1"/>
  <c r="V5552" i="1"/>
  <c r="V5576" i="1"/>
  <c r="V5635" i="1"/>
  <c r="V5637" i="1"/>
  <c r="V5639" i="1"/>
  <c r="V5647" i="1"/>
  <c r="V5649" i="1"/>
  <c r="V5655" i="1"/>
  <c r="V5661" i="1"/>
  <c r="V5762" i="1"/>
  <c r="V5895" i="1"/>
  <c r="V5897" i="1"/>
  <c r="V4444" i="1"/>
  <c r="V4458" i="1"/>
  <c r="V4460" i="1"/>
  <c r="V4545" i="1"/>
  <c r="V4618" i="1"/>
  <c r="V4634" i="1"/>
  <c r="V4648" i="1"/>
  <c r="V4654" i="1"/>
  <c r="V4851" i="1"/>
  <c r="V4855" i="1"/>
  <c r="V4879" i="1"/>
  <c r="V4887" i="1"/>
  <c r="V4893" i="1"/>
  <c r="V4986" i="1"/>
  <c r="V4988" i="1"/>
  <c r="V4990" i="1"/>
  <c r="V4992" i="1"/>
  <c r="V4996" i="1"/>
  <c r="V4998" i="1"/>
  <c r="V5000" i="1"/>
  <c r="V5008" i="1"/>
  <c r="V5012" i="1"/>
  <c r="V5183" i="1"/>
  <c r="V5185" i="1"/>
  <c r="V5189" i="1"/>
  <c r="V5191" i="1"/>
  <c r="V5193" i="1"/>
  <c r="V5207" i="1"/>
  <c r="V5410" i="1"/>
  <c r="V5448" i="1"/>
  <c r="V5497" i="1"/>
  <c r="V5501" i="1"/>
  <c r="V5503" i="1"/>
  <c r="V5505" i="1"/>
  <c r="V5525" i="1"/>
  <c r="V5527" i="1"/>
  <c r="V5529" i="1"/>
  <c r="V5531" i="1"/>
  <c r="V5606" i="1"/>
  <c r="V5794" i="1"/>
  <c r="V5822" i="1"/>
  <c r="V5830" i="1"/>
  <c r="V5842" i="1"/>
  <c r="V5844" i="1"/>
  <c r="V5919" i="1"/>
  <c r="V5921" i="1"/>
  <c r="V5935" i="1"/>
  <c r="V5969" i="1"/>
  <c r="V5971" i="1"/>
  <c r="V5977" i="1"/>
  <c r="V5979" i="1"/>
  <c r="P63" i="1"/>
  <c r="U65" i="1"/>
  <c r="V65" i="1" s="1"/>
  <c r="U30" i="1"/>
  <c r="V30" i="1" s="1"/>
  <c r="P24" i="1"/>
  <c r="P31" i="1"/>
  <c r="U21" i="1"/>
  <c r="V21" i="1" s="1"/>
  <c r="U35" i="1"/>
  <c r="V35" i="1" s="1"/>
  <c r="P43" i="1"/>
  <c r="V56" i="1"/>
  <c r="P71" i="1"/>
  <c r="P15" i="1"/>
  <c r="U55" i="1"/>
  <c r="V55" i="1" s="1"/>
  <c r="P13" i="1"/>
  <c r="P16" i="1"/>
  <c r="U32" i="1"/>
  <c r="V32" i="1" s="1"/>
  <c r="P40" i="1"/>
  <c r="P54" i="1"/>
  <c r="P10" i="1"/>
  <c r="U10" i="1"/>
  <c r="V10" i="1" s="1"/>
  <c r="P66" i="1"/>
  <c r="U66" i="1"/>
  <c r="V66" i="1" s="1"/>
  <c r="P842" i="1"/>
  <c r="U842" i="1"/>
  <c r="V842" i="1" s="1"/>
  <c r="U82" i="1"/>
  <c r="V82" i="1" s="1"/>
  <c r="P91" i="1"/>
  <c r="U91" i="1"/>
  <c r="V91" i="1" s="1"/>
  <c r="U155" i="1"/>
  <c r="V155" i="1" s="1"/>
  <c r="P155" i="1"/>
  <c r="U259" i="1"/>
  <c r="V259" i="1" s="1"/>
  <c r="P259" i="1"/>
  <c r="P323" i="1"/>
  <c r="U323" i="1"/>
  <c r="V323" i="1" s="1"/>
  <c r="U403" i="1"/>
  <c r="V403" i="1" s="1"/>
  <c r="P403" i="1"/>
  <c r="U419" i="1"/>
  <c r="V419" i="1" s="1"/>
  <c r="P419" i="1"/>
  <c r="U443" i="1"/>
  <c r="V443" i="1" s="1"/>
  <c r="P443" i="1"/>
  <c r="P459" i="1"/>
  <c r="U459" i="1"/>
  <c r="V459" i="1" s="1"/>
  <c r="U587" i="1"/>
  <c r="V587" i="1" s="1"/>
  <c r="P587" i="1"/>
  <c r="U699" i="1"/>
  <c r="V699" i="1" s="1"/>
  <c r="P699" i="1"/>
  <c r="P739" i="1"/>
  <c r="U739" i="1"/>
  <c r="V739" i="1" s="1"/>
  <c r="U771" i="1"/>
  <c r="V771" i="1" s="1"/>
  <c r="P771" i="1"/>
  <c r="P979" i="1"/>
  <c r="U979" i="1"/>
  <c r="V979" i="1" s="1"/>
  <c r="U1011" i="1"/>
  <c r="V1011" i="1" s="1"/>
  <c r="P1011" i="1"/>
  <c r="V1249" i="1"/>
  <c r="P188" i="1"/>
  <c r="U188" i="1"/>
  <c r="V188" i="1" s="1"/>
  <c r="U300" i="1"/>
  <c r="V300" i="1" s="1"/>
  <c r="P300" i="1"/>
  <c r="P524" i="1"/>
  <c r="U524" i="1"/>
  <c r="V524" i="1" s="1"/>
  <c r="U26" i="1"/>
  <c r="V26" i="1" s="1"/>
  <c r="P107" i="1"/>
  <c r="P203" i="1"/>
  <c r="P515" i="1"/>
  <c r="U564" i="1"/>
  <c r="V564" i="1" s="1"/>
  <c r="U579" i="1"/>
  <c r="V579" i="1" s="1"/>
  <c r="V683" i="1"/>
  <c r="V33" i="1"/>
  <c r="P51" i="1"/>
  <c r="P74" i="1"/>
  <c r="P90" i="1"/>
  <c r="V154" i="1"/>
  <c r="U164" i="1"/>
  <c r="V164" i="1" s="1"/>
  <c r="P458" i="1"/>
  <c r="P665" i="1"/>
  <c r="P891" i="1"/>
  <c r="V1144" i="1"/>
  <c r="V1689" i="1"/>
  <c r="V2209" i="1"/>
  <c r="V2363" i="1"/>
  <c r="U146" i="1"/>
  <c r="V146" i="1" s="1"/>
  <c r="P146" i="1"/>
  <c r="P234" i="1"/>
  <c r="U234" i="1"/>
  <c r="V234" i="1" s="1"/>
  <c r="P330" i="1"/>
  <c r="U330" i="1"/>
  <c r="V330" i="1" s="1"/>
  <c r="P642" i="1"/>
  <c r="U642" i="1"/>
  <c r="V642" i="1" s="1"/>
  <c r="U882" i="1"/>
  <c r="V882" i="1" s="1"/>
  <c r="P882" i="1"/>
  <c r="P914" i="1"/>
  <c r="U914" i="1"/>
  <c r="V914" i="1" s="1"/>
  <c r="U99" i="1"/>
  <c r="V99" i="1" s="1"/>
  <c r="P99" i="1"/>
  <c r="V483" i="1"/>
  <c r="P787" i="1"/>
  <c r="U787" i="1"/>
  <c r="V787" i="1" s="1"/>
  <c r="P851" i="1"/>
  <c r="U851" i="1"/>
  <c r="V851" i="1" s="1"/>
  <c r="P955" i="1"/>
  <c r="U955" i="1"/>
  <c r="V955" i="1" s="1"/>
  <c r="U139" i="1"/>
  <c r="V139" i="1" s="1"/>
  <c r="U92" i="1"/>
  <c r="V92" i="1" s="1"/>
  <c r="P92" i="1"/>
  <c r="P140" i="1"/>
  <c r="U140" i="1"/>
  <c r="V140" i="1" s="1"/>
  <c r="U187" i="1"/>
  <c r="V187" i="1" s="1"/>
  <c r="U68" i="1"/>
  <c r="V68" i="1" s="1"/>
  <c r="U451" i="1"/>
  <c r="V451" i="1" s="1"/>
  <c r="V2286" i="1"/>
  <c r="V2288" i="1"/>
  <c r="U50" i="1"/>
  <c r="V50" i="1" s="1"/>
  <c r="P50" i="1"/>
  <c r="P122" i="1"/>
  <c r="U122" i="1"/>
  <c r="V122" i="1" s="1"/>
  <c r="P186" i="1"/>
  <c r="U186" i="1"/>
  <c r="V186" i="1" s="1"/>
  <c r="U194" i="1"/>
  <c r="V194" i="1" s="1"/>
  <c r="P194" i="1"/>
  <c r="P466" i="1"/>
  <c r="U466" i="1"/>
  <c r="V466" i="1" s="1"/>
  <c r="U626" i="1"/>
  <c r="V626" i="1" s="1"/>
  <c r="P626" i="1"/>
  <c r="P19" i="1"/>
  <c r="U19" i="1"/>
  <c r="V19" i="1" s="1"/>
  <c r="P83" i="1"/>
  <c r="U83" i="1"/>
  <c r="V83" i="1" s="1"/>
  <c r="U147" i="1"/>
  <c r="V147" i="1" s="1"/>
  <c r="P147" i="1"/>
  <c r="U219" i="1"/>
  <c r="V219" i="1" s="1"/>
  <c r="P219" i="1"/>
  <c r="P243" i="1"/>
  <c r="U243" i="1"/>
  <c r="V243" i="1" s="1"/>
  <c r="U307" i="1"/>
  <c r="V307" i="1" s="1"/>
  <c r="P307" i="1"/>
  <c r="U339" i="1"/>
  <c r="V339" i="1" s="1"/>
  <c r="P339" i="1"/>
  <c r="U363" i="1"/>
  <c r="V363" i="1" s="1"/>
  <c r="P363" i="1"/>
  <c r="U427" i="1"/>
  <c r="V427" i="1" s="1"/>
  <c r="P427" i="1"/>
  <c r="P531" i="1"/>
  <c r="U531" i="1"/>
  <c r="V531" i="1" s="1"/>
  <c r="P595" i="1"/>
  <c r="U595" i="1"/>
  <c r="V595" i="1" s="1"/>
  <c r="P667" i="1"/>
  <c r="U667" i="1"/>
  <c r="V667" i="1" s="1"/>
  <c r="U763" i="1"/>
  <c r="V763" i="1" s="1"/>
  <c r="P763" i="1"/>
  <c r="U843" i="1"/>
  <c r="V843" i="1" s="1"/>
  <c r="P843" i="1"/>
  <c r="U931" i="1"/>
  <c r="V931" i="1" s="1"/>
  <c r="P931" i="1"/>
  <c r="U106" i="1"/>
  <c r="V106" i="1" s="1"/>
  <c r="U299" i="1"/>
  <c r="V299" i="1" s="1"/>
  <c r="U196" i="1"/>
  <c r="V196" i="1" s="1"/>
  <c r="P196" i="1"/>
  <c r="U380" i="1"/>
  <c r="V380" i="1" s="1"/>
  <c r="P380" i="1"/>
  <c r="U436" i="1"/>
  <c r="V436" i="1" s="1"/>
  <c r="P436" i="1"/>
  <c r="P468" i="1"/>
  <c r="U468" i="1"/>
  <c r="V468" i="1" s="1"/>
  <c r="U500" i="1"/>
  <c r="V500" i="1" s="1"/>
  <c r="P500" i="1"/>
  <c r="U732" i="1"/>
  <c r="V732" i="1" s="1"/>
  <c r="P732" i="1"/>
  <c r="U274" i="1"/>
  <c r="V274" i="1" s="1"/>
  <c r="P627" i="1"/>
  <c r="U747" i="1"/>
  <c r="V747" i="1" s="1"/>
  <c r="U1051" i="1"/>
  <c r="V1051" i="1" s="1"/>
  <c r="P1083" i="1"/>
  <c r="V138" i="1"/>
  <c r="U178" i="1"/>
  <c r="V178" i="1" s="1"/>
  <c r="P475" i="1"/>
  <c r="U755" i="1"/>
  <c r="V755" i="1" s="1"/>
  <c r="U762" i="1"/>
  <c r="V762" i="1" s="1"/>
  <c r="V1456" i="1"/>
  <c r="U58" i="1"/>
  <c r="V58" i="1" s="1"/>
  <c r="P58" i="1"/>
  <c r="P130" i="1"/>
  <c r="U130" i="1"/>
  <c r="V130" i="1" s="1"/>
  <c r="P426" i="1"/>
  <c r="U426" i="1"/>
  <c r="V426" i="1" s="1"/>
  <c r="U506" i="1"/>
  <c r="V506" i="1" s="1"/>
  <c r="P506" i="1"/>
  <c r="P794" i="1"/>
  <c r="U794" i="1"/>
  <c r="V794" i="1" s="1"/>
  <c r="U922" i="1"/>
  <c r="V922" i="1" s="1"/>
  <c r="P922" i="1"/>
  <c r="P131" i="1"/>
  <c r="U131" i="1"/>
  <c r="V131" i="1" s="1"/>
  <c r="U163" i="1"/>
  <c r="V163" i="1" s="1"/>
  <c r="P163" i="1"/>
  <c r="P283" i="1"/>
  <c r="U283" i="1"/>
  <c r="V283" i="1" s="1"/>
  <c r="U315" i="1"/>
  <c r="V315" i="1" s="1"/>
  <c r="P315" i="1"/>
  <c r="P371" i="1"/>
  <c r="U371" i="1"/>
  <c r="V371" i="1" s="1"/>
  <c r="U467" i="1"/>
  <c r="V467" i="1" s="1"/>
  <c r="P467" i="1"/>
  <c r="U603" i="1"/>
  <c r="V603" i="1" s="1"/>
  <c r="P603" i="1"/>
  <c r="U715" i="1"/>
  <c r="V715" i="1" s="1"/>
  <c r="P715" i="1"/>
  <c r="U779" i="1"/>
  <c r="V779" i="1" s="1"/>
  <c r="P779" i="1"/>
  <c r="P795" i="1"/>
  <c r="U795" i="1"/>
  <c r="V795" i="1" s="1"/>
  <c r="U52" i="1"/>
  <c r="V52" i="1" s="1"/>
  <c r="P52" i="1"/>
  <c r="U108" i="1"/>
  <c r="V108" i="1" s="1"/>
  <c r="P108" i="1"/>
  <c r="P828" i="1"/>
  <c r="U828" i="1"/>
  <c r="V828" i="1" s="1"/>
  <c r="P138" i="1"/>
  <c r="U251" i="1"/>
  <c r="V251" i="1" s="1"/>
  <c r="U84" i="1"/>
  <c r="V84" i="1" s="1"/>
  <c r="U25" i="1"/>
  <c r="V25" i="1" s="1"/>
  <c r="P25" i="1"/>
  <c r="P41" i="1"/>
  <c r="U41" i="1"/>
  <c r="V41" i="1" s="1"/>
  <c r="U49" i="1"/>
  <c r="V49" i="1" s="1"/>
  <c r="P49" i="1"/>
  <c r="P81" i="1"/>
  <c r="U81" i="1"/>
  <c r="V81" i="1" s="1"/>
  <c r="U89" i="1"/>
  <c r="V89" i="1" s="1"/>
  <c r="P89" i="1"/>
  <c r="P113" i="1"/>
  <c r="U113" i="1"/>
  <c r="V113" i="1" s="1"/>
  <c r="V129" i="1"/>
  <c r="U217" i="1"/>
  <c r="V217" i="1" s="1"/>
  <c r="P217" i="1"/>
  <c r="P225" i="1"/>
  <c r="U225" i="1"/>
  <c r="V225" i="1" s="1"/>
  <c r="P233" i="1"/>
  <c r="U233" i="1"/>
  <c r="V233" i="1" s="1"/>
  <c r="U273" i="1"/>
  <c r="V273" i="1" s="1"/>
  <c r="P273" i="1"/>
  <c r="P289" i="1"/>
  <c r="U289" i="1"/>
  <c r="V289" i="1" s="1"/>
  <c r="V329" i="1"/>
  <c r="U417" i="1"/>
  <c r="V417" i="1" s="1"/>
  <c r="P417" i="1"/>
  <c r="U457" i="1"/>
  <c r="V457" i="1" s="1"/>
  <c r="P457" i="1"/>
  <c r="P553" i="1"/>
  <c r="U553" i="1"/>
  <c r="V553" i="1" s="1"/>
  <c r="U585" i="1"/>
  <c r="V585" i="1" s="1"/>
  <c r="P585" i="1"/>
  <c r="P601" i="1"/>
  <c r="U601" i="1"/>
  <c r="V601" i="1" s="1"/>
  <c r="P657" i="1"/>
  <c r="U657" i="1"/>
  <c r="V657" i="1" s="1"/>
  <c r="U721" i="1"/>
  <c r="V721" i="1" s="1"/>
  <c r="P721" i="1"/>
  <c r="P873" i="1"/>
  <c r="U873" i="1"/>
  <c r="V873" i="1" s="1"/>
  <c r="U132" i="1"/>
  <c r="V132" i="1" s="1"/>
  <c r="U195" i="1"/>
  <c r="V195" i="1" s="1"/>
  <c r="P337" i="1"/>
  <c r="U362" i="1"/>
  <c r="V362" i="1" s="1"/>
  <c r="V1286" i="1"/>
  <c r="V1306" i="1"/>
  <c r="V1341" i="1"/>
  <c r="V2014" i="1"/>
  <c r="V2063" i="1"/>
  <c r="V2065" i="1"/>
  <c r="V2067" i="1"/>
  <c r="V2069" i="1"/>
  <c r="V159" i="1"/>
  <c r="U261" i="1"/>
  <c r="V261" i="1" s="1"/>
  <c r="P261" i="1"/>
  <c r="P581" i="1"/>
  <c r="U581" i="1"/>
  <c r="V581" i="1" s="1"/>
  <c r="P813" i="1"/>
  <c r="U813" i="1"/>
  <c r="V813" i="1" s="1"/>
  <c r="U925" i="1"/>
  <c r="V925" i="1" s="1"/>
  <c r="P925" i="1"/>
  <c r="V43" i="1"/>
  <c r="V63" i="1"/>
  <c r="V74" i="1"/>
  <c r="V85" i="1"/>
  <c r="U93" i="1"/>
  <c r="V93" i="1" s="1"/>
  <c r="P96" i="1"/>
  <c r="V105" i="1"/>
  <c r="V112" i="1"/>
  <c r="U133" i="1"/>
  <c r="V133" i="1" s="1"/>
  <c r="P136" i="1"/>
  <c r="P141" i="1"/>
  <c r="U151" i="1"/>
  <c r="V151" i="1" s="1"/>
  <c r="U176" i="1"/>
  <c r="V176" i="1" s="1"/>
  <c r="P246" i="1"/>
  <c r="U255" i="1"/>
  <c r="V255" i="1" s="1"/>
  <c r="P270" i="1"/>
  <c r="P280" i="1"/>
  <c r="U309" i="1"/>
  <c r="V309" i="1" s="1"/>
  <c r="U312" i="1"/>
  <c r="V312" i="1" s="1"/>
  <c r="P320" i="1"/>
  <c r="V352" i="1"/>
  <c r="V407" i="1"/>
  <c r="P463" i="1"/>
  <c r="U550" i="1"/>
  <c r="V550" i="1" s="1"/>
  <c r="P870" i="1"/>
  <c r="U967" i="1"/>
  <c r="V967" i="1" s="1"/>
  <c r="V1421" i="1"/>
  <c r="V1638" i="1"/>
  <c r="V745" i="1"/>
  <c r="V1257" i="1"/>
  <c r="V1401" i="1"/>
  <c r="P285" i="1"/>
  <c r="U285" i="1"/>
  <c r="V285" i="1" s="1"/>
  <c r="U677" i="1"/>
  <c r="V677" i="1" s="1"/>
  <c r="P677" i="1"/>
  <c r="P733" i="1"/>
  <c r="U733" i="1"/>
  <c r="V733" i="1" s="1"/>
  <c r="V254" i="1"/>
  <c r="P294" i="1"/>
  <c r="U294" i="1"/>
  <c r="V294" i="1" s="1"/>
  <c r="U310" i="1"/>
  <c r="V310" i="1" s="1"/>
  <c r="P310" i="1"/>
  <c r="P350" i="1"/>
  <c r="U350" i="1"/>
  <c r="V350" i="1" s="1"/>
  <c r="U382" i="1"/>
  <c r="V382" i="1" s="1"/>
  <c r="P382" i="1"/>
  <c r="P422" i="1"/>
  <c r="U422" i="1"/>
  <c r="V422" i="1" s="1"/>
  <c r="P478" i="1"/>
  <c r="U478" i="1"/>
  <c r="V478" i="1" s="1"/>
  <c r="P494" i="1"/>
  <c r="U494" i="1"/>
  <c r="V494" i="1" s="1"/>
  <c r="P518" i="1"/>
  <c r="U518" i="1"/>
  <c r="V518" i="1" s="1"/>
  <c r="P534" i="1"/>
  <c r="U534" i="1"/>
  <c r="V534" i="1" s="1"/>
  <c r="P566" i="1"/>
  <c r="U566" i="1"/>
  <c r="V566" i="1" s="1"/>
  <c r="U574" i="1"/>
  <c r="V574" i="1" s="1"/>
  <c r="P574" i="1"/>
  <c r="U598" i="1"/>
  <c r="V598" i="1" s="1"/>
  <c r="P598" i="1"/>
  <c r="P646" i="1"/>
  <c r="U646" i="1"/>
  <c r="V646" i="1" s="1"/>
  <c r="P742" i="1"/>
  <c r="U742" i="1"/>
  <c r="V742" i="1" s="1"/>
  <c r="U774" i="1"/>
  <c r="V774" i="1" s="1"/>
  <c r="P774" i="1"/>
  <c r="P846" i="1"/>
  <c r="U846" i="1"/>
  <c r="V846" i="1" s="1"/>
  <c r="U958" i="1"/>
  <c r="V958" i="1" s="1"/>
  <c r="P958" i="1"/>
  <c r="V16" i="1"/>
  <c r="U37" i="1"/>
  <c r="V37" i="1" s="1"/>
  <c r="U77" i="1"/>
  <c r="V77" i="1" s="1"/>
  <c r="P158" i="1"/>
  <c r="U167" i="1"/>
  <c r="V167" i="1" s="1"/>
  <c r="P205" i="1"/>
  <c r="U216" i="1"/>
  <c r="V216" i="1" s="1"/>
  <c r="P223" i="1"/>
  <c r="P263" i="1"/>
  <c r="U303" i="1"/>
  <c r="V303" i="1" s="1"/>
  <c r="U342" i="1"/>
  <c r="V342" i="1" s="1"/>
  <c r="P390" i="1"/>
  <c r="U392" i="1"/>
  <c r="V392" i="1" s="1"/>
  <c r="P470" i="1"/>
  <c r="U591" i="1"/>
  <c r="V591" i="1" s="1"/>
  <c r="U662" i="1"/>
  <c r="V662" i="1" s="1"/>
  <c r="P696" i="1"/>
  <c r="U854" i="1"/>
  <c r="V854" i="1" s="1"/>
  <c r="V1569" i="1"/>
  <c r="V1573" i="1"/>
  <c r="V1985" i="1"/>
  <c r="V2007" i="1"/>
  <c r="V2707" i="1"/>
  <c r="V3869" i="1"/>
  <c r="V1699" i="1"/>
  <c r="P301" i="1"/>
  <c r="U301" i="1"/>
  <c r="V301" i="1" s="1"/>
  <c r="V15" i="1"/>
  <c r="P247" i="1"/>
  <c r="U247" i="1"/>
  <c r="V247" i="1" s="1"/>
  <c r="U279" i="1"/>
  <c r="V279" i="1" s="1"/>
  <c r="P279" i="1"/>
  <c r="U295" i="1"/>
  <c r="V295" i="1" s="1"/>
  <c r="P295" i="1"/>
  <c r="V319" i="1"/>
  <c r="U423" i="1"/>
  <c r="V423" i="1" s="1"/>
  <c r="P423" i="1"/>
  <c r="U439" i="1"/>
  <c r="V439" i="1" s="1"/>
  <c r="P439" i="1"/>
  <c r="P447" i="1"/>
  <c r="U447" i="1"/>
  <c r="V447" i="1" s="1"/>
  <c r="P495" i="1"/>
  <c r="U495" i="1"/>
  <c r="V495" i="1" s="1"/>
  <c r="U511" i="1"/>
  <c r="V511" i="1" s="1"/>
  <c r="P511" i="1"/>
  <c r="U535" i="1"/>
  <c r="V535" i="1" s="1"/>
  <c r="P535" i="1"/>
  <c r="U543" i="1"/>
  <c r="V543" i="1" s="1"/>
  <c r="P543" i="1"/>
  <c r="P599" i="1"/>
  <c r="U599" i="1"/>
  <c r="V599" i="1" s="1"/>
  <c r="P639" i="1"/>
  <c r="U639" i="1"/>
  <c r="V639" i="1" s="1"/>
  <c r="U663" i="1"/>
  <c r="V663" i="1" s="1"/>
  <c r="P663" i="1"/>
  <c r="P695" i="1"/>
  <c r="U695" i="1"/>
  <c r="V695" i="1" s="1"/>
  <c r="U743" i="1"/>
  <c r="V743" i="1" s="1"/>
  <c r="P743" i="1"/>
  <c r="U775" i="1"/>
  <c r="V775" i="1" s="1"/>
  <c r="P775" i="1"/>
  <c r="U839" i="1"/>
  <c r="V839" i="1" s="1"/>
  <c r="P839" i="1"/>
  <c r="P855" i="1"/>
  <c r="U855" i="1"/>
  <c r="V855" i="1" s="1"/>
  <c r="P903" i="1"/>
  <c r="U903" i="1"/>
  <c r="V903" i="1" s="1"/>
  <c r="U951" i="1"/>
  <c r="V951" i="1" s="1"/>
  <c r="P951" i="1"/>
  <c r="P1023" i="1"/>
  <c r="U1023" i="1"/>
  <c r="V1023" i="1" s="1"/>
  <c r="U46" i="1"/>
  <c r="V46" i="1" s="1"/>
  <c r="P62" i="1"/>
  <c r="U102" i="1"/>
  <c r="V102" i="1" s="1"/>
  <c r="V141" i="1"/>
  <c r="V152" i="1"/>
  <c r="U191" i="1"/>
  <c r="V191" i="1" s="1"/>
  <c r="U207" i="1"/>
  <c r="V207" i="1" s="1"/>
  <c r="U375" i="1"/>
  <c r="V375" i="1" s="1"/>
  <c r="P383" i="1"/>
  <c r="U400" i="1"/>
  <c r="V400" i="1" s="1"/>
  <c r="U430" i="1"/>
  <c r="V430" i="1" s="1"/>
  <c r="V463" i="1"/>
  <c r="U496" i="1"/>
  <c r="V496" i="1" s="1"/>
  <c r="U503" i="1"/>
  <c r="V503" i="1" s="1"/>
  <c r="P589" i="1"/>
  <c r="P648" i="1"/>
  <c r="V655" i="1"/>
  <c r="U688" i="1"/>
  <c r="V688" i="1" s="1"/>
  <c r="P822" i="1"/>
  <c r="U840" i="1"/>
  <c r="V840" i="1" s="1"/>
  <c r="U1112" i="1"/>
  <c r="V1112" i="1" s="1"/>
  <c r="V1203" i="1"/>
  <c r="V1534" i="1"/>
  <c r="V1706" i="1"/>
  <c r="V1787" i="1"/>
  <c r="V1866" i="1"/>
  <c r="V1911" i="1"/>
  <c r="V1913" i="1"/>
  <c r="V1946" i="1"/>
  <c r="V1954" i="1"/>
  <c r="V1956" i="1"/>
  <c r="V1962" i="1"/>
  <c r="V1964" i="1"/>
  <c r="V1966" i="1"/>
  <c r="V2043" i="1"/>
  <c r="V2096" i="1"/>
  <c r="V2100" i="1"/>
  <c r="V2102" i="1"/>
  <c r="V2151" i="1"/>
  <c r="V2445" i="1"/>
  <c r="V2538" i="1"/>
  <c r="V2654" i="1"/>
  <c r="U253" i="1"/>
  <c r="V253" i="1" s="1"/>
  <c r="P253" i="1"/>
  <c r="P613" i="1"/>
  <c r="U613" i="1"/>
  <c r="V613" i="1" s="1"/>
  <c r="P264" i="1"/>
  <c r="U264" i="1"/>
  <c r="V264" i="1" s="1"/>
  <c r="P272" i="1"/>
  <c r="U272" i="1"/>
  <c r="V272" i="1" s="1"/>
  <c r="U304" i="1"/>
  <c r="V304" i="1" s="1"/>
  <c r="P304" i="1"/>
  <c r="U328" i="1"/>
  <c r="V328" i="1" s="1"/>
  <c r="P328" i="1"/>
  <c r="P360" i="1"/>
  <c r="U360" i="1"/>
  <c r="V360" i="1" s="1"/>
  <c r="U376" i="1"/>
  <c r="V376" i="1" s="1"/>
  <c r="P376" i="1"/>
  <c r="U432" i="1"/>
  <c r="V432" i="1" s="1"/>
  <c r="P432" i="1"/>
  <c r="U456" i="1"/>
  <c r="V456" i="1" s="1"/>
  <c r="P456" i="1"/>
  <c r="P480" i="1"/>
  <c r="U480" i="1"/>
  <c r="V480" i="1" s="1"/>
  <c r="P488" i="1"/>
  <c r="U488" i="1"/>
  <c r="V488" i="1" s="1"/>
  <c r="U552" i="1"/>
  <c r="V552" i="1" s="1"/>
  <c r="P552" i="1"/>
  <c r="P560" i="1"/>
  <c r="U560" i="1"/>
  <c r="V560" i="1" s="1"/>
  <c r="P592" i="1"/>
  <c r="U592" i="1"/>
  <c r="V592" i="1" s="1"/>
  <c r="V600" i="1"/>
  <c r="U824" i="1"/>
  <c r="V824" i="1" s="1"/>
  <c r="P824" i="1"/>
  <c r="U1128" i="1"/>
  <c r="V1128" i="1" s="1"/>
  <c r="P1128" i="1"/>
  <c r="P53" i="1"/>
  <c r="U64" i="1"/>
  <c r="V64" i="1" s="1"/>
  <c r="U70" i="1"/>
  <c r="V70" i="1" s="1"/>
  <c r="U126" i="1"/>
  <c r="V126" i="1" s="1"/>
  <c r="U160" i="1"/>
  <c r="V160" i="1" s="1"/>
  <c r="V168" i="1"/>
  <c r="U189" i="1"/>
  <c r="V189" i="1" s="1"/>
  <c r="P192" i="1"/>
  <c r="P230" i="1"/>
  <c r="U238" i="1"/>
  <c r="V238" i="1" s="1"/>
  <c r="P254" i="1"/>
  <c r="U256" i="1"/>
  <c r="V256" i="1" s="1"/>
  <c r="V263" i="1"/>
  <c r="P288" i="1"/>
  <c r="P311" i="1"/>
  <c r="V368" i="1"/>
  <c r="U670" i="1"/>
  <c r="V670" i="1" s="1"/>
  <c r="V712" i="1"/>
  <c r="U768" i="1"/>
  <c r="V768" i="1" s="1"/>
  <c r="P886" i="1"/>
  <c r="P927" i="1"/>
  <c r="U1015" i="1"/>
  <c r="V1015" i="1" s="1"/>
  <c r="V1136" i="1"/>
  <c r="V1333" i="1"/>
  <c r="V1430" i="1"/>
  <c r="V1736" i="1"/>
  <c r="V1738" i="1"/>
  <c r="V1740" i="1"/>
  <c r="V1742" i="1"/>
  <c r="V1744" i="1"/>
  <c r="V1886" i="1"/>
  <c r="V1919" i="1"/>
  <c r="V1921" i="1"/>
  <c r="V2110" i="1"/>
  <c r="V2384" i="1"/>
  <c r="V2386" i="1"/>
  <c r="V2388" i="1"/>
  <c r="V2390" i="1"/>
  <c r="V3032" i="1"/>
  <c r="V3034" i="1"/>
  <c r="V3036" i="1"/>
  <c r="V3038" i="1"/>
  <c r="V3040" i="1"/>
  <c r="V3046" i="1"/>
  <c r="V3052" i="1"/>
  <c r="V3054" i="1"/>
  <c r="V3056" i="1"/>
  <c r="V1241" i="1"/>
  <c r="V1243" i="1"/>
  <c r="V1274" i="1"/>
  <c r="V1276" i="1"/>
  <c r="V1280" i="1"/>
  <c r="V1323" i="1"/>
  <c r="V1358" i="1"/>
  <c r="V1360" i="1"/>
  <c r="V1362" i="1"/>
  <c r="V1364" i="1"/>
  <c r="V1385" i="1"/>
  <c r="V1393" i="1"/>
  <c r="V1397" i="1"/>
  <c r="V1438" i="1"/>
  <c r="V1446" i="1"/>
  <c r="V1448" i="1"/>
  <c r="V1450" i="1"/>
  <c r="V1452" i="1"/>
  <c r="V1481" i="1"/>
  <c r="V1495" i="1"/>
  <c r="V1497" i="1"/>
  <c r="V1547" i="1"/>
  <c r="V1549" i="1"/>
  <c r="V1553" i="1"/>
  <c r="V1557" i="1"/>
  <c r="V1563" i="1"/>
  <c r="V1606" i="1"/>
  <c r="V1608" i="1"/>
  <c r="V1610" i="1"/>
  <c r="V1612" i="1"/>
  <c r="V1675" i="1"/>
  <c r="V1732" i="1"/>
  <c r="V1753" i="1"/>
  <c r="V1755" i="1"/>
  <c r="V1761" i="1"/>
  <c r="V1767" i="1"/>
  <c r="V1769" i="1"/>
  <c r="V1771" i="1"/>
  <c r="V1777" i="1"/>
  <c r="V1810" i="1"/>
  <c r="V1816" i="1"/>
  <c r="V1843" i="1"/>
  <c r="V1849" i="1"/>
  <c r="V1853" i="1"/>
  <c r="V1855" i="1"/>
  <c r="V1874" i="1"/>
  <c r="V2020" i="1"/>
  <c r="V2022" i="1"/>
  <c r="V2030" i="1"/>
  <c r="V2055" i="1"/>
  <c r="V2074" i="1"/>
  <c r="V2086" i="1"/>
  <c r="V2129" i="1"/>
  <c r="V2131" i="1"/>
  <c r="V2176" i="1"/>
  <c r="V2186" i="1"/>
  <c r="V2188" i="1"/>
  <c r="V2190" i="1"/>
  <c r="V2192" i="1"/>
  <c r="V2211" i="1"/>
  <c r="V2242" i="1"/>
  <c r="V2368" i="1"/>
  <c r="V2417" i="1"/>
  <c r="V2421" i="1"/>
  <c r="V2498" i="1"/>
  <c r="V2630" i="1"/>
  <c r="V2693" i="1"/>
  <c r="V2759" i="1"/>
  <c r="V2767" i="1"/>
  <c r="V3161" i="1"/>
  <c r="V3190" i="1"/>
  <c r="V3347" i="1"/>
  <c r="V320" i="1"/>
  <c r="V343" i="1"/>
  <c r="V473" i="1"/>
  <c r="V520" i="1"/>
  <c r="V648" i="1"/>
  <c r="V659" i="1"/>
  <c r="V759" i="1"/>
  <c r="V1213" i="1"/>
  <c r="V1310" i="1"/>
  <c r="V1441" i="1"/>
  <c r="V1478" i="1"/>
  <c r="V1727" i="1"/>
  <c r="V1729" i="1"/>
  <c r="V1923" i="1"/>
  <c r="V1970" i="1"/>
  <c r="V2050" i="1"/>
  <c r="V2122" i="1"/>
  <c r="V2326" i="1"/>
  <c r="V2367" i="1"/>
  <c r="V2375" i="1"/>
  <c r="V2402" i="1"/>
  <c r="V2623" i="1"/>
  <c r="V4300" i="1"/>
  <c r="V4304" i="1"/>
  <c r="V311" i="1"/>
  <c r="V367" i="1"/>
  <c r="V527" i="1"/>
  <c r="V1160" i="1"/>
  <c r="V1172" i="1"/>
  <c r="V1174" i="1"/>
  <c r="V1176" i="1"/>
  <c r="V1182" i="1"/>
  <c r="V1184" i="1"/>
  <c r="V1186" i="1"/>
  <c r="V1188" i="1"/>
  <c r="V1223" i="1"/>
  <c r="V1233" i="1"/>
  <c r="V1248" i="1"/>
  <c r="V1250" i="1"/>
  <c r="V1252" i="1"/>
  <c r="V1277" i="1"/>
  <c r="V1287" i="1"/>
  <c r="V1291" i="1"/>
  <c r="V1293" i="1"/>
  <c r="V1301" i="1"/>
  <c r="V1328" i="1"/>
  <c r="V1334" i="1"/>
  <c r="V1336" i="1"/>
  <c r="V1367" i="1"/>
  <c r="V1369" i="1"/>
  <c r="V1371" i="1"/>
  <c r="V1373" i="1"/>
  <c r="V1392" i="1"/>
  <c r="V1402" i="1"/>
  <c r="V1404" i="1"/>
  <c r="V1406" i="1"/>
  <c r="V1408" i="1"/>
  <c r="V1449" i="1"/>
  <c r="V1457" i="1"/>
  <c r="V1461" i="1"/>
  <c r="V1504" i="1"/>
  <c r="V1508" i="1"/>
  <c r="V1510" i="1"/>
  <c r="V1521" i="1"/>
  <c r="V1529" i="1"/>
  <c r="V1550" i="1"/>
  <c r="V1566" i="1"/>
  <c r="V1568" i="1"/>
  <c r="V1570" i="1"/>
  <c r="V1572" i="1"/>
  <c r="V1609" i="1"/>
  <c r="V1613" i="1"/>
  <c r="V1617" i="1"/>
  <c r="V1619" i="1"/>
  <c r="V1621" i="1"/>
  <c r="V1629" i="1"/>
  <c r="V1631" i="1"/>
  <c r="V1680" i="1"/>
  <c r="V1686" i="1"/>
  <c r="V1688" i="1"/>
  <c r="V1690" i="1"/>
  <c r="V1692" i="1"/>
  <c r="V1694" i="1"/>
  <c r="V1696" i="1"/>
  <c r="V1739" i="1"/>
  <c r="V1754" i="1"/>
  <c r="V1770" i="1"/>
  <c r="V1782" i="1"/>
  <c r="V1823" i="1"/>
  <c r="V1850" i="1"/>
  <c r="V1860" i="1"/>
  <c r="V1862" i="1"/>
  <c r="V1881" i="1"/>
  <c r="V1883" i="1"/>
  <c r="V1887" i="1"/>
  <c r="V1891" i="1"/>
  <c r="V1893" i="1"/>
  <c r="V1937" i="1"/>
  <c r="V1939" i="1"/>
  <c r="V1945" i="1"/>
  <c r="V1947" i="1"/>
  <c r="V1949" i="1"/>
  <c r="V1951" i="1"/>
  <c r="V1953" i="1"/>
  <c r="V1978" i="1"/>
  <c r="V1982" i="1"/>
  <c r="V2023" i="1"/>
  <c r="V2039" i="1"/>
  <c r="V2064" i="1"/>
  <c r="V2083" i="1"/>
  <c r="V2097" i="1"/>
  <c r="V2271" i="1"/>
  <c r="V2293" i="1"/>
  <c r="V2301" i="1"/>
  <c r="V2303" i="1"/>
  <c r="V2354" i="1"/>
  <c r="V2440" i="1"/>
  <c r="V2442" i="1"/>
  <c r="V2446" i="1"/>
  <c r="V2525" i="1"/>
  <c r="V2527" i="1"/>
  <c r="V2590" i="1"/>
  <c r="V2710" i="1"/>
  <c r="V2806" i="1"/>
  <c r="V2808" i="1"/>
  <c r="V2810" i="1"/>
  <c r="V2812" i="1"/>
  <c r="V2814" i="1"/>
  <c r="V2879" i="1"/>
  <c r="V2887" i="1"/>
  <c r="V2895" i="1"/>
  <c r="V2897" i="1"/>
  <c r="V2901" i="1"/>
  <c r="V2944" i="1"/>
  <c r="V3545" i="1"/>
  <c r="V3547" i="1"/>
  <c r="V3642" i="1"/>
  <c r="V3729" i="1"/>
  <c r="V3745" i="1"/>
  <c r="V3830" i="1"/>
  <c r="V3834" i="1"/>
  <c r="V3836" i="1"/>
  <c r="V4056" i="1"/>
  <c r="V4247" i="1"/>
  <c r="V4251" i="1"/>
  <c r="V4255" i="1"/>
  <c r="V282" i="1"/>
  <c r="V563" i="1"/>
  <c r="V767" i="1"/>
  <c r="V1139" i="1"/>
  <c r="V1200" i="1"/>
  <c r="V1256" i="1"/>
  <c r="V1258" i="1"/>
  <c r="V1260" i="1"/>
  <c r="V1262" i="1"/>
  <c r="V1264" i="1"/>
  <c r="V1342" i="1"/>
  <c r="V1348" i="1"/>
  <c r="V1375" i="1"/>
  <c r="V1418" i="1"/>
  <c r="V1420" i="1"/>
  <c r="V1422" i="1"/>
  <c r="V1424" i="1"/>
  <c r="V1426" i="1"/>
  <c r="V1428" i="1"/>
  <c r="V1576" i="1"/>
  <c r="V1580" i="1"/>
  <c r="V1582" i="1"/>
  <c r="V1588" i="1"/>
  <c r="V1590" i="1"/>
  <c r="V1592" i="1"/>
  <c r="V1643" i="1"/>
  <c r="V1645" i="1"/>
  <c r="V1704" i="1"/>
  <c r="V1784" i="1"/>
  <c r="V1786" i="1"/>
  <c r="V1835" i="1"/>
  <c r="V1837" i="1"/>
  <c r="V1920" i="1"/>
  <c r="V1959" i="1"/>
  <c r="V1984" i="1"/>
  <c r="V1988" i="1"/>
  <c r="V1990" i="1"/>
  <c r="V1998" i="1"/>
  <c r="V2000" i="1"/>
  <c r="V2004" i="1"/>
  <c r="V2006" i="1"/>
  <c r="V2107" i="1"/>
  <c r="V2109" i="1"/>
  <c r="V2111" i="1"/>
  <c r="V2148" i="1"/>
  <c r="V2150" i="1"/>
  <c r="V2207" i="1"/>
  <c r="V2533" i="1"/>
  <c r="V2537" i="1"/>
  <c r="V2745" i="1"/>
  <c r="V2749" i="1"/>
  <c r="V2824" i="1"/>
  <c r="V2826" i="1"/>
  <c r="V2830" i="1"/>
  <c r="V2840" i="1"/>
  <c r="V3392" i="1"/>
  <c r="V3394" i="1"/>
  <c r="V2133" i="1"/>
  <c r="V2137" i="1"/>
  <c r="V2162" i="1"/>
  <c r="V2168" i="1"/>
  <c r="V2199" i="1"/>
  <c r="V2201" i="1"/>
  <c r="V2203" i="1"/>
  <c r="V2205" i="1"/>
  <c r="V2249" i="1"/>
  <c r="V2251" i="1"/>
  <c r="V2253" i="1"/>
  <c r="V2255" i="1"/>
  <c r="V2296" i="1"/>
  <c r="V2306" i="1"/>
  <c r="V2357" i="1"/>
  <c r="V2374" i="1"/>
  <c r="V2403" i="1"/>
  <c r="V2454" i="1"/>
  <c r="V2474" i="1"/>
  <c r="V2507" i="1"/>
  <c r="V2558" i="1"/>
  <c r="V2646" i="1"/>
  <c r="V2712" i="1"/>
  <c r="V2731" i="1"/>
  <c r="V2776" i="1"/>
  <c r="V2794" i="1"/>
  <c r="V2798" i="1"/>
  <c r="V2851" i="1"/>
  <c r="V2861" i="1"/>
  <c r="V2904" i="1"/>
  <c r="V2912" i="1"/>
  <c r="V2918" i="1"/>
  <c r="V2955" i="1"/>
  <c r="V2963" i="1"/>
  <c r="V2990" i="1"/>
  <c r="V3097" i="1"/>
  <c r="V3099" i="1"/>
  <c r="V3247" i="1"/>
  <c r="V3255" i="1"/>
  <c r="V3263" i="1"/>
  <c r="V3279" i="1"/>
  <c r="V3291" i="1"/>
  <c r="V3447" i="1"/>
  <c r="V3449" i="1"/>
  <c r="V3451" i="1"/>
  <c r="V3568" i="1"/>
  <c r="V3572" i="1"/>
  <c r="V3576" i="1"/>
  <c r="V3580" i="1"/>
  <c r="V3582" i="1"/>
  <c r="V3900" i="1"/>
  <c r="V3910" i="1"/>
  <c r="V3912" i="1"/>
  <c r="V3916" i="1"/>
  <c r="V4017" i="1"/>
  <c r="V4323" i="1"/>
  <c r="V4327" i="1"/>
  <c r="V4333" i="1"/>
  <c r="V4335" i="1"/>
  <c r="V4337" i="1"/>
  <c r="V4339" i="1"/>
  <c r="V4341" i="1"/>
  <c r="V4372" i="1"/>
  <c r="V4518" i="1"/>
  <c r="V2447" i="1"/>
  <c r="V2459" i="1"/>
  <c r="V2467" i="1"/>
  <c r="V2502" i="1"/>
  <c r="V2539" i="1"/>
  <c r="V2551" i="1"/>
  <c r="V2555" i="1"/>
  <c r="V2592" i="1"/>
  <c r="V2711" i="1"/>
  <c r="V2715" i="1"/>
  <c r="V2775" i="1"/>
  <c r="V2779" i="1"/>
  <c r="V2842" i="1"/>
  <c r="V2903" i="1"/>
  <c r="V2987" i="1"/>
  <c r="V3167" i="1"/>
  <c r="V3696" i="1"/>
  <c r="V4261" i="1"/>
  <c r="V4265" i="1"/>
  <c r="V2130" i="1"/>
  <c r="V2138" i="1"/>
  <c r="V2142" i="1"/>
  <c r="V2144" i="1"/>
  <c r="V2202" i="1"/>
  <c r="V2258" i="1"/>
  <c r="V2270" i="1"/>
  <c r="V2274" i="1"/>
  <c r="V2276" i="1"/>
  <c r="V2278" i="1"/>
  <c r="V2329" i="1"/>
  <c r="V2331" i="1"/>
  <c r="V2362" i="1"/>
  <c r="V2397" i="1"/>
  <c r="V2418" i="1"/>
  <c r="V2420" i="1"/>
  <c r="V2422" i="1"/>
  <c r="V2424" i="1"/>
  <c r="V2481" i="1"/>
  <c r="V2485" i="1"/>
  <c r="V2512" i="1"/>
  <c r="V2514" i="1"/>
  <c r="V2516" i="1"/>
  <c r="V2518" i="1"/>
  <c r="V2520" i="1"/>
  <c r="V2563" i="1"/>
  <c r="V2573" i="1"/>
  <c r="V2575" i="1"/>
  <c r="V2577" i="1"/>
  <c r="V2581" i="1"/>
  <c r="V2635" i="1"/>
  <c r="V2655" i="1"/>
  <c r="V2661" i="1"/>
  <c r="V2692" i="1"/>
  <c r="V2694" i="1"/>
  <c r="V2698" i="1"/>
  <c r="V2700" i="1"/>
  <c r="V2702" i="1"/>
  <c r="V2725" i="1"/>
  <c r="V2752" i="1"/>
  <c r="V2795" i="1"/>
  <c r="V2809" i="1"/>
  <c r="V2813" i="1"/>
  <c r="V2880" i="1"/>
  <c r="V2882" i="1"/>
  <c r="V2884" i="1"/>
  <c r="V2886" i="1"/>
  <c r="V2890" i="1"/>
  <c r="V2892" i="1"/>
  <c r="V2915" i="1"/>
  <c r="V3312" i="1"/>
  <c r="V3484" i="1"/>
  <c r="V3488" i="1"/>
  <c r="V3496" i="1"/>
  <c r="V3502" i="1"/>
  <c r="V3506" i="1"/>
  <c r="V3516" i="1"/>
  <c r="V3518" i="1"/>
  <c r="V3756" i="1"/>
  <c r="V3793" i="1"/>
  <c r="V3801" i="1"/>
  <c r="V4107" i="1"/>
  <c r="V4109" i="1"/>
  <c r="V4111" i="1"/>
  <c r="V4113" i="1"/>
  <c r="V4115" i="1"/>
  <c r="V4172" i="1"/>
  <c r="V4176" i="1"/>
  <c r="V4202" i="1"/>
  <c r="V4206" i="1"/>
  <c r="V4208" i="1"/>
  <c r="V4212" i="1"/>
  <c r="V4216" i="1"/>
  <c r="V4348" i="1"/>
  <c r="V2536" i="1"/>
  <c r="V2589" i="1"/>
  <c r="V2673" i="1"/>
  <c r="V2677" i="1"/>
  <c r="V2704" i="1"/>
  <c r="V2706" i="1"/>
  <c r="V2708" i="1"/>
  <c r="V2762" i="1"/>
  <c r="V2764" i="1"/>
  <c r="V2766" i="1"/>
  <c r="V2768" i="1"/>
  <c r="V2770" i="1"/>
  <c r="V2772" i="1"/>
  <c r="V2821" i="1"/>
  <c r="V2823" i="1"/>
  <c r="V2831" i="1"/>
  <c r="V2833" i="1"/>
  <c r="V2837" i="1"/>
  <c r="V2896" i="1"/>
  <c r="V2898" i="1"/>
  <c r="V2900" i="1"/>
  <c r="V3191" i="1"/>
  <c r="V3235" i="1"/>
  <c r="V3237" i="1"/>
  <c r="V3241" i="1"/>
  <c r="V3405" i="1"/>
  <c r="V3615" i="1"/>
  <c r="V3617" i="1"/>
  <c r="V3619" i="1"/>
  <c r="V3629" i="1"/>
  <c r="V3631" i="1"/>
  <c r="V3635" i="1"/>
  <c r="V3637" i="1"/>
  <c r="V3639" i="1"/>
  <c r="V3641" i="1"/>
  <c r="V4123" i="1"/>
  <c r="V4129" i="1"/>
  <c r="V4131" i="1"/>
  <c r="V4309" i="1"/>
  <c r="V4419" i="1"/>
  <c r="V4490" i="1"/>
  <c r="V2932" i="1"/>
  <c r="V2934" i="1"/>
  <c r="V2971" i="1"/>
  <c r="V3008" i="1"/>
  <c r="V3014" i="1"/>
  <c r="V3016" i="1"/>
  <c r="V3059" i="1"/>
  <c r="V3071" i="1"/>
  <c r="V3110" i="1"/>
  <c r="V3116" i="1"/>
  <c r="V3118" i="1"/>
  <c r="V3149" i="1"/>
  <c r="V3151" i="1"/>
  <c r="V3199" i="1"/>
  <c r="V3207" i="1"/>
  <c r="V3213" i="1"/>
  <c r="V3319" i="1"/>
  <c r="V3333" i="1"/>
  <c r="V3335" i="1"/>
  <c r="V3341" i="1"/>
  <c r="V3345" i="1"/>
  <c r="V3411" i="1"/>
  <c r="V3413" i="1"/>
  <c r="V3415" i="1"/>
  <c r="V3423" i="1"/>
  <c r="V3468" i="1"/>
  <c r="V3472" i="1"/>
  <c r="V3482" i="1"/>
  <c r="V3531" i="1"/>
  <c r="V3556" i="1"/>
  <c r="V3599" i="1"/>
  <c r="V3601" i="1"/>
  <c r="V3603" i="1"/>
  <c r="V3644" i="1"/>
  <c r="V3699" i="1"/>
  <c r="V3923" i="1"/>
  <c r="V3942" i="1"/>
  <c r="V3944" i="1"/>
  <c r="V3948" i="1"/>
  <c r="V3950" i="1"/>
  <c r="V4038" i="1"/>
  <c r="V4065" i="1"/>
  <c r="V4077" i="1"/>
  <c r="V4083" i="1"/>
  <c r="V4091" i="1"/>
  <c r="V4095" i="1"/>
  <c r="V4097" i="1"/>
  <c r="V4099" i="1"/>
  <c r="V4101" i="1"/>
  <c r="V4132" i="1"/>
  <c r="V4154" i="1"/>
  <c r="V4156" i="1"/>
  <c r="V4160" i="1"/>
  <c r="V4162" i="1"/>
  <c r="V4217" i="1"/>
  <c r="V4221" i="1"/>
  <c r="V4227" i="1"/>
  <c r="V4233" i="1"/>
  <c r="V4235" i="1"/>
  <c r="V4272" i="1"/>
  <c r="V4280" i="1"/>
  <c r="V4286" i="1"/>
  <c r="V4290" i="1"/>
  <c r="V4292" i="1"/>
  <c r="V4377" i="1"/>
  <c r="V4454" i="1"/>
  <c r="V4547" i="1"/>
  <c r="V2995" i="1"/>
  <c r="V2999" i="1"/>
  <c r="V3003" i="1"/>
  <c r="V3062" i="1"/>
  <c r="V3074" i="1"/>
  <c r="V3103" i="1"/>
  <c r="V3416" i="1"/>
  <c r="V3418" i="1"/>
  <c r="V3467" i="1"/>
  <c r="V3536" i="1"/>
  <c r="V3778" i="1"/>
  <c r="V3877" i="1"/>
  <c r="V3918" i="1"/>
  <c r="V4033" i="1"/>
  <c r="V4045" i="1"/>
  <c r="V4070" i="1"/>
  <c r="V4080" i="1"/>
  <c r="V4133" i="1"/>
  <c r="V4137" i="1"/>
  <c r="V4665" i="1"/>
  <c r="V2923" i="1"/>
  <c r="V2935" i="1"/>
  <c r="V2939" i="1"/>
  <c r="V2949" i="1"/>
  <c r="V3011" i="1"/>
  <c r="V3015" i="1"/>
  <c r="V3021" i="1"/>
  <c r="V3082" i="1"/>
  <c r="V3088" i="1"/>
  <c r="V3123" i="1"/>
  <c r="V3158" i="1"/>
  <c r="V3175" i="1"/>
  <c r="V3181" i="1"/>
  <c r="V3183" i="1"/>
  <c r="V3214" i="1"/>
  <c r="V3230" i="1"/>
  <c r="V3232" i="1"/>
  <c r="V3234" i="1"/>
  <c r="V3236" i="1"/>
  <c r="V3238" i="1"/>
  <c r="V3240" i="1"/>
  <c r="V3336" i="1"/>
  <c r="V3340" i="1"/>
  <c r="V3356" i="1"/>
  <c r="V3387" i="1"/>
  <c r="V3440" i="1"/>
  <c r="V3477" i="1"/>
  <c r="V3497" i="1"/>
  <c r="V3546" i="1"/>
  <c r="V3573" i="1"/>
  <c r="V3577" i="1"/>
  <c r="V3596" i="1"/>
  <c r="V3665" i="1"/>
  <c r="V3667" i="1"/>
  <c r="V3669" i="1"/>
  <c r="V3671" i="1"/>
  <c r="V3681" i="1"/>
  <c r="V3683" i="1"/>
  <c r="V3704" i="1"/>
  <c r="V3792" i="1"/>
  <c r="V3796" i="1"/>
  <c r="V3798" i="1"/>
  <c r="V3817" i="1"/>
  <c r="V3833" i="1"/>
  <c r="V3885" i="1"/>
  <c r="V3949" i="1"/>
  <c r="V3998" i="1"/>
  <c r="V4000" i="1"/>
  <c r="V4094" i="1"/>
  <c r="V4153" i="1"/>
  <c r="V4163" i="1"/>
  <c r="V4479" i="1"/>
  <c r="V4485" i="1"/>
  <c r="V4554" i="1"/>
  <c r="V3037" i="1"/>
  <c r="V3047" i="1"/>
  <c r="V3053" i="1"/>
  <c r="V3055" i="1"/>
  <c r="V3094" i="1"/>
  <c r="V3096" i="1"/>
  <c r="V3098" i="1"/>
  <c r="V3189" i="1"/>
  <c r="V3248" i="1"/>
  <c r="V3250" i="1"/>
  <c r="V3254" i="1"/>
  <c r="V3256" i="1"/>
  <c r="V3258" i="1"/>
  <c r="V3264" i="1"/>
  <c r="V3266" i="1"/>
  <c r="V3276" i="1"/>
  <c r="V3278" i="1"/>
  <c r="V3280" i="1"/>
  <c r="V3282" i="1"/>
  <c r="V3294" i="1"/>
  <c r="V3296" i="1"/>
  <c r="V3298" i="1"/>
  <c r="V3362" i="1"/>
  <c r="V3364" i="1"/>
  <c r="V3366" i="1"/>
  <c r="V3370" i="1"/>
  <c r="V3393" i="1"/>
  <c r="V3395" i="1"/>
  <c r="V3397" i="1"/>
  <c r="V3399" i="1"/>
  <c r="V3458" i="1"/>
  <c r="V3503" i="1"/>
  <c r="V3505" i="1"/>
  <c r="V3507" i="1"/>
  <c r="V3509" i="1"/>
  <c r="V3513" i="1"/>
  <c r="V3515" i="1"/>
  <c r="V3521" i="1"/>
  <c r="V3581" i="1"/>
  <c r="V3583" i="1"/>
  <c r="V3585" i="1"/>
  <c r="V3612" i="1"/>
  <c r="V3614" i="1"/>
  <c r="V3622" i="1"/>
  <c r="V3626" i="1"/>
  <c r="V3689" i="1"/>
  <c r="V3691" i="1"/>
  <c r="V3693" i="1"/>
  <c r="V3695" i="1"/>
  <c r="V3841" i="1"/>
  <c r="V3872" i="1"/>
  <c r="V3897" i="1"/>
  <c r="V3903" i="1"/>
  <c r="V3913" i="1"/>
  <c r="V4264" i="1"/>
  <c r="V4266" i="1"/>
  <c r="V4432" i="1"/>
  <c r="V4605" i="1"/>
  <c r="V4268" i="1"/>
  <c r="V4299" i="1"/>
  <c r="V4303" i="1"/>
  <c r="V4305" i="1"/>
  <c r="V4330" i="1"/>
  <c r="V4332" i="1"/>
  <c r="V4402" i="1"/>
  <c r="V4404" i="1"/>
  <c r="V4406" i="1"/>
  <c r="V4408" i="1"/>
  <c r="V4435" i="1"/>
  <c r="V4437" i="1"/>
  <c r="V4439" i="1"/>
  <c r="V4441" i="1"/>
  <c r="V4623" i="1"/>
  <c r="V4629" i="1"/>
  <c r="V4662" i="1"/>
  <c r="V4733" i="1"/>
  <c r="V4737" i="1"/>
  <c r="V4739" i="1"/>
  <c r="V4784" i="1"/>
  <c r="V4788" i="1"/>
  <c r="V4792" i="1"/>
  <c r="V4839" i="1"/>
  <c r="V4841" i="1"/>
  <c r="V4980" i="1"/>
  <c r="V4982" i="1"/>
  <c r="V4984" i="1"/>
  <c r="V5202" i="1"/>
  <c r="V5204" i="1"/>
  <c r="V5206" i="1"/>
  <c r="V5208" i="1"/>
  <c r="V5210" i="1"/>
  <c r="V5212" i="1"/>
  <c r="V5414" i="1"/>
  <c r="V5416" i="1"/>
  <c r="V5418" i="1"/>
  <c r="V5420" i="1"/>
  <c r="V5422" i="1"/>
  <c r="V5536" i="1"/>
  <c r="V5554" i="1"/>
  <c r="V5560" i="1"/>
  <c r="V4412" i="1"/>
  <c r="V4416" i="1"/>
  <c r="V4430" i="1"/>
  <c r="V4457" i="1"/>
  <c r="V4476" i="1"/>
  <c r="V4480" i="1"/>
  <c r="V4486" i="1"/>
  <c r="V4488" i="1"/>
  <c r="V4513" i="1"/>
  <c r="V4552" i="1"/>
  <c r="V4577" i="1"/>
  <c r="V4583" i="1"/>
  <c r="V4674" i="1"/>
  <c r="V4847" i="1"/>
  <c r="V4882" i="1"/>
  <c r="V5085" i="1"/>
  <c r="V5101" i="1"/>
  <c r="V5105" i="1"/>
  <c r="V5109" i="1"/>
  <c r="V5875" i="1"/>
  <c r="V5881" i="1"/>
  <c r="V5887" i="1"/>
  <c r="V4682" i="1"/>
  <c r="V4694" i="1"/>
  <c r="V4698" i="1"/>
  <c r="V4710" i="1"/>
  <c r="V4712" i="1"/>
  <c r="V4720" i="1"/>
  <c r="V4749" i="1"/>
  <c r="V4751" i="1"/>
  <c r="V4755" i="1"/>
  <c r="V4818" i="1"/>
  <c r="V4824" i="1"/>
  <c r="V4861" i="1"/>
  <c r="V4869" i="1"/>
  <c r="V4875" i="1"/>
  <c r="V4890" i="1"/>
  <c r="V5367" i="1"/>
  <c r="V5517" i="1"/>
  <c r="V5519" i="1"/>
  <c r="V5627" i="1"/>
  <c r="V5629" i="1"/>
  <c r="V5767" i="1"/>
  <c r="V5775" i="1"/>
  <c r="V5783" i="1"/>
  <c r="V5850" i="1"/>
  <c r="V5852" i="1"/>
  <c r="V5854" i="1"/>
  <c r="V5860" i="1"/>
  <c r="V5862" i="1"/>
  <c r="V5976" i="1"/>
  <c r="V5988" i="1"/>
  <c r="V5990" i="1"/>
  <c r="V5992" i="1"/>
  <c r="V4364" i="1"/>
  <c r="V4389" i="1"/>
  <c r="V4393" i="1"/>
  <c r="V4407" i="1"/>
  <c r="V4434" i="1"/>
  <c r="V4436" i="1"/>
  <c r="V4438" i="1"/>
  <c r="V4440" i="1"/>
  <c r="V4465" i="1"/>
  <c r="V4494" i="1"/>
  <c r="V4537" i="1"/>
  <c r="V4620" i="1"/>
  <c r="V4622" i="1"/>
  <c r="V4624" i="1"/>
  <c r="V4626" i="1"/>
  <c r="V4628" i="1"/>
  <c r="V4734" i="1"/>
  <c r="V4781" i="1"/>
  <c r="V4803" i="1"/>
  <c r="V4846" i="1"/>
  <c r="V4885" i="1"/>
  <c r="V5022" i="1"/>
  <c r="V5026" i="1"/>
  <c r="V5038" i="1"/>
  <c r="V5300" i="1"/>
  <c r="V5312" i="1"/>
  <c r="V5342" i="1"/>
  <c r="V5488" i="1"/>
  <c r="V5614" i="1"/>
  <c r="V5742" i="1"/>
  <c r="V5821" i="1"/>
  <c r="V5829" i="1"/>
  <c r="V3607" i="1"/>
  <c r="V3609" i="1"/>
  <c r="V3674" i="1"/>
  <c r="V3676" i="1"/>
  <c r="V3678" i="1"/>
  <c r="V3680" i="1"/>
  <c r="V3806" i="1"/>
  <c r="V3810" i="1"/>
  <c r="V3812" i="1"/>
  <c r="V3855" i="1"/>
  <c r="V3859" i="1"/>
  <c r="V3878" i="1"/>
  <c r="V3965" i="1"/>
  <c r="V3977" i="1"/>
  <c r="V4018" i="1"/>
  <c r="V4020" i="1"/>
  <c r="V4122" i="1"/>
  <c r="V4124" i="1"/>
  <c r="V4128" i="1"/>
  <c r="V4183" i="1"/>
  <c r="V4197" i="1"/>
  <c r="V4199" i="1"/>
  <c r="V4215" i="1"/>
  <c r="V4228" i="1"/>
  <c r="V4248" i="1"/>
  <c r="V4394" i="1"/>
  <c r="V4396" i="1"/>
  <c r="V4421" i="1"/>
  <c r="V4425" i="1"/>
  <c r="V4429" i="1"/>
  <c r="V4464" i="1"/>
  <c r="V4468" i="1"/>
  <c r="V4489" i="1"/>
  <c r="V4491" i="1"/>
  <c r="V4530" i="1"/>
  <c r="V4536" i="1"/>
  <c r="V4538" i="1"/>
  <c r="V4549" i="1"/>
  <c r="V4555" i="1"/>
  <c r="V4613" i="1"/>
  <c r="V4677" i="1"/>
  <c r="V4691" i="1"/>
  <c r="V4693" i="1"/>
  <c r="V4707" i="1"/>
  <c r="V4709" i="1"/>
  <c r="V4762" i="1"/>
  <c r="V4770" i="1"/>
  <c r="V4774" i="1"/>
  <c r="V4827" i="1"/>
  <c r="V4829" i="1"/>
  <c r="V4831" i="1"/>
  <c r="V4833" i="1"/>
  <c r="V4862" i="1"/>
  <c r="V4868" i="1"/>
  <c r="V4899" i="1"/>
  <c r="V4901" i="1"/>
  <c r="V5180" i="1"/>
  <c r="V5247" i="1"/>
  <c r="V5400" i="1"/>
  <c r="V5402" i="1"/>
  <c r="V5406" i="1"/>
  <c r="V5457" i="1"/>
  <c r="V5459" i="1"/>
  <c r="V5587" i="1"/>
  <c r="V5589" i="1"/>
  <c r="V5715" i="1"/>
  <c r="V5717" i="1"/>
  <c r="V5798" i="1"/>
  <c r="V5800" i="1"/>
  <c r="V5802" i="1"/>
  <c r="V5806" i="1"/>
  <c r="V4907" i="1"/>
  <c r="V4909" i="1"/>
  <c r="V4946" i="1"/>
  <c r="V4950" i="1"/>
  <c r="V4954" i="1"/>
  <c r="V4956" i="1"/>
  <c r="V4964" i="1"/>
  <c r="V4966" i="1"/>
  <c r="V4968" i="1"/>
  <c r="V4972" i="1"/>
  <c r="V4974" i="1"/>
  <c r="V5009" i="1"/>
  <c r="V5070" i="1"/>
  <c r="V5074" i="1"/>
  <c r="V5076" i="1"/>
  <c r="V5080" i="1"/>
  <c r="V5117" i="1"/>
  <c r="V5121" i="1"/>
  <c r="V5123" i="1"/>
  <c r="V5131" i="1"/>
  <c r="V5135" i="1"/>
  <c r="V5149" i="1"/>
  <c r="V5151" i="1"/>
  <c r="V5157" i="1"/>
  <c r="V5163" i="1"/>
  <c r="V5167" i="1"/>
  <c r="V5169" i="1"/>
  <c r="V5218" i="1"/>
  <c r="V5220" i="1"/>
  <c r="V5222" i="1"/>
  <c r="V5226" i="1"/>
  <c r="V5230" i="1"/>
  <c r="V5232" i="1"/>
  <c r="V5263" i="1"/>
  <c r="V5269" i="1"/>
  <c r="V5275" i="1"/>
  <c r="V5285" i="1"/>
  <c r="V5350" i="1"/>
  <c r="V5352" i="1"/>
  <c r="V5354" i="1"/>
  <c r="V5375" i="1"/>
  <c r="V5383" i="1"/>
  <c r="V5391" i="1"/>
  <c r="V5440" i="1"/>
  <c r="V5442" i="1"/>
  <c r="V5461" i="1"/>
  <c r="V5473" i="1"/>
  <c r="V5475" i="1"/>
  <c r="V5564" i="1"/>
  <c r="V5566" i="1"/>
  <c r="V5568" i="1"/>
  <c r="V5618" i="1"/>
  <c r="V5622" i="1"/>
  <c r="V5663" i="1"/>
  <c r="V5702" i="1"/>
  <c r="V5704" i="1"/>
  <c r="V5706" i="1"/>
  <c r="V5710" i="1"/>
  <c r="V5787" i="1"/>
  <c r="V5791" i="1"/>
  <c r="V5793" i="1"/>
  <c r="V5795" i="1"/>
  <c r="V5814" i="1"/>
  <c r="V5816" i="1"/>
  <c r="V5818" i="1"/>
  <c r="V5833" i="1"/>
  <c r="V5916" i="1"/>
  <c r="V5924" i="1"/>
  <c r="V5926" i="1"/>
  <c r="V5934" i="1"/>
  <c r="V5998" i="1"/>
  <c r="V5086" i="1"/>
  <c r="V5179" i="1"/>
  <c r="V5319" i="1"/>
  <c r="V5399" i="1"/>
  <c r="V5444" i="1"/>
  <c r="V5504" i="1"/>
  <c r="V5572" i="1"/>
  <c r="V5671" i="1"/>
  <c r="V5799" i="1"/>
  <c r="V5824" i="1"/>
  <c r="V5855" i="1"/>
  <c r="V5857" i="1"/>
  <c r="V5903" i="1"/>
  <c r="V5946" i="1"/>
  <c r="V5948" i="1"/>
  <c r="V5991" i="1"/>
  <c r="V5021" i="1"/>
  <c r="V5037" i="1"/>
  <c r="V5045" i="1"/>
  <c r="V5199" i="1"/>
  <c r="V5211" i="1"/>
  <c r="V5256" i="1"/>
  <c r="V5419" i="1"/>
  <c r="V5508" i="1"/>
  <c r="V5516" i="1"/>
  <c r="V5586" i="1"/>
  <c r="V5607" i="1"/>
  <c r="V5634" i="1"/>
  <c r="V5638" i="1"/>
  <c r="V5679" i="1"/>
  <c r="V4941" i="1"/>
  <c r="V4969" i="1"/>
  <c r="V4971" i="1"/>
  <c r="V5004" i="1"/>
  <c r="V5014" i="1"/>
  <c r="V5016" i="1"/>
  <c r="V5061" i="1"/>
  <c r="V5079" i="1"/>
  <c r="V5128" i="1"/>
  <c r="V5130" i="1"/>
  <c r="V5132" i="1"/>
  <c r="V5134" i="1"/>
  <c r="V5136" i="1"/>
  <c r="V5138" i="1"/>
  <c r="V5140" i="1"/>
  <c r="V5148" i="1"/>
  <c r="V5152" i="1"/>
  <c r="V5154" i="1"/>
  <c r="V5156" i="1"/>
  <c r="V5160" i="1"/>
  <c r="V5162" i="1"/>
  <c r="V5164" i="1"/>
  <c r="V5166" i="1"/>
  <c r="V5168" i="1"/>
  <c r="V5170" i="1"/>
  <c r="V5217" i="1"/>
  <c r="V5221" i="1"/>
  <c r="V5223" i="1"/>
  <c r="V5225" i="1"/>
  <c r="V5229" i="1"/>
  <c r="V5274" i="1"/>
  <c r="V5282" i="1"/>
  <c r="V5284" i="1"/>
  <c r="V5286" i="1"/>
  <c r="V5288" i="1"/>
  <c r="V5343" i="1"/>
  <c r="V5349" i="1"/>
  <c r="V5355" i="1"/>
  <c r="V5386" i="1"/>
  <c r="V5388" i="1"/>
  <c r="V5390" i="1"/>
  <c r="V5392" i="1"/>
  <c r="V5394" i="1"/>
  <c r="V5441" i="1"/>
  <c r="V5464" i="1"/>
  <c r="V5472" i="1"/>
  <c r="V5476" i="1"/>
  <c r="V5524" i="1"/>
  <c r="V5532" i="1"/>
  <c r="V5590" i="1"/>
  <c r="V5730" i="1"/>
  <c r="V5734" i="1"/>
  <c r="V5747" i="1"/>
  <c r="V5755" i="1"/>
  <c r="V5819" i="1"/>
  <c r="V5834" i="1"/>
  <c r="V5911" i="1"/>
  <c r="V5927" i="1"/>
  <c r="V5929" i="1"/>
  <c r="V5931" i="1"/>
  <c r="V5964" i="1"/>
  <c r="V5997" i="1"/>
  <c r="P12" i="1"/>
  <c r="U12" i="1"/>
  <c r="V12" i="1" s="1"/>
  <c r="U20" i="1"/>
  <c r="V20" i="1" s="1"/>
  <c r="P20" i="1"/>
  <c r="U36" i="1"/>
  <c r="P36" i="1"/>
  <c r="U76" i="1"/>
  <c r="V76" i="1" s="1"/>
  <c r="P76" i="1"/>
  <c r="P220" i="1"/>
  <c r="U220" i="1"/>
  <c r="V220" i="1" s="1"/>
  <c r="P260" i="1"/>
  <c r="U260" i="1"/>
  <c r="V260" i="1" s="1"/>
  <c r="U284" i="1"/>
  <c r="V284" i="1" s="1"/>
  <c r="P284" i="1"/>
  <c r="U308" i="1"/>
  <c r="V308" i="1" s="1"/>
  <c r="P308" i="1"/>
  <c r="P316" i="1"/>
  <c r="U316" i="1"/>
  <c r="V316" i="1" s="1"/>
  <c r="U324" i="1"/>
  <c r="V324" i="1" s="1"/>
  <c r="P324" i="1"/>
  <c r="P348" i="1"/>
  <c r="U348" i="1"/>
  <c r="V348" i="1" s="1"/>
  <c r="U356" i="1"/>
  <c r="V356" i="1" s="1"/>
  <c r="P356" i="1"/>
  <c r="P364" i="1"/>
  <c r="U364" i="1"/>
  <c r="V364" i="1" s="1"/>
  <c r="U372" i="1"/>
  <c r="V372" i="1" s="1"/>
  <c r="P372" i="1"/>
  <c r="U388" i="1"/>
  <c r="V388" i="1" s="1"/>
  <c r="P388" i="1"/>
  <c r="P404" i="1"/>
  <c r="U404" i="1"/>
  <c r="V404" i="1" s="1"/>
  <c r="U412" i="1"/>
  <c r="V412" i="1" s="1"/>
  <c r="P412" i="1"/>
  <c r="P420" i="1"/>
  <c r="U420" i="1"/>
  <c r="V420" i="1" s="1"/>
  <c r="U444" i="1"/>
  <c r="V444" i="1" s="1"/>
  <c r="P444" i="1"/>
  <c r="U452" i="1"/>
  <c r="V452" i="1" s="1"/>
  <c r="P452" i="1"/>
  <c r="P476" i="1"/>
  <c r="U476" i="1"/>
  <c r="V476" i="1" s="1"/>
  <c r="P484" i="1"/>
  <c r="U484" i="1"/>
  <c r="V484" i="1" s="1"/>
  <c r="P492" i="1"/>
  <c r="U492" i="1"/>
  <c r="V492" i="1" s="1"/>
  <c r="P516" i="1"/>
  <c r="U516" i="1"/>
  <c r="V516" i="1" s="1"/>
  <c r="P532" i="1"/>
  <c r="U532" i="1"/>
  <c r="V532" i="1" s="1"/>
  <c r="P540" i="1"/>
  <c r="U540" i="1"/>
  <c r="V540" i="1" s="1"/>
  <c r="P548" i="1"/>
  <c r="U548" i="1"/>
  <c r="V548" i="1" s="1"/>
  <c r="U556" i="1"/>
  <c r="V556" i="1" s="1"/>
  <c r="P556" i="1"/>
  <c r="P572" i="1"/>
  <c r="U572" i="1"/>
  <c r="V572" i="1" s="1"/>
  <c r="U580" i="1"/>
  <c r="V580" i="1" s="1"/>
  <c r="P580" i="1"/>
  <c r="U588" i="1"/>
  <c r="V588" i="1" s="1"/>
  <c r="P588" i="1"/>
  <c r="U596" i="1"/>
  <c r="V596" i="1" s="1"/>
  <c r="P596" i="1"/>
  <c r="P604" i="1"/>
  <c r="U604" i="1"/>
  <c r="V604" i="1" s="1"/>
  <c r="P620" i="1"/>
  <c r="U620" i="1"/>
  <c r="V620" i="1" s="1"/>
  <c r="P628" i="1"/>
  <c r="U628" i="1"/>
  <c r="V628" i="1" s="1"/>
  <c r="U636" i="1"/>
  <c r="V636" i="1" s="1"/>
  <c r="P636" i="1"/>
  <c r="P644" i="1"/>
  <c r="U644" i="1"/>
  <c r="U652" i="1"/>
  <c r="V652" i="1" s="1"/>
  <c r="P652" i="1"/>
  <c r="P660" i="1"/>
  <c r="U660" i="1"/>
  <c r="V660" i="1" s="1"/>
  <c r="U676" i="1"/>
  <c r="V676" i="1" s="1"/>
  <c r="P676" i="1"/>
  <c r="U684" i="1"/>
  <c r="V684" i="1" s="1"/>
  <c r="P684" i="1"/>
  <c r="P700" i="1"/>
  <c r="U700" i="1"/>
  <c r="V700" i="1" s="1"/>
  <c r="P708" i="1"/>
  <c r="U708" i="1"/>
  <c r="V708" i="1" s="1"/>
  <c r="P716" i="1"/>
  <c r="U716" i="1"/>
  <c r="V716" i="1" s="1"/>
  <c r="P724" i="1"/>
  <c r="U724" i="1"/>
  <c r="V724" i="1" s="1"/>
  <c r="P740" i="1"/>
  <c r="U740" i="1"/>
  <c r="V740" i="1" s="1"/>
  <c r="U748" i="1"/>
  <c r="V748" i="1" s="1"/>
  <c r="P748" i="1"/>
  <c r="P764" i="1"/>
  <c r="U764" i="1"/>
  <c r="V764" i="1" s="1"/>
  <c r="P772" i="1"/>
  <c r="U772" i="1"/>
  <c r="V772" i="1" s="1"/>
  <c r="P780" i="1"/>
  <c r="U780" i="1"/>
  <c r="V780" i="1" s="1"/>
  <c r="P788" i="1"/>
  <c r="U788" i="1"/>
  <c r="V788" i="1" s="1"/>
  <c r="P796" i="1"/>
  <c r="U796" i="1"/>
  <c r="V796" i="1" s="1"/>
  <c r="U812" i="1"/>
  <c r="V812" i="1" s="1"/>
  <c r="P812" i="1"/>
  <c r="P820" i="1"/>
  <c r="U820" i="1"/>
  <c r="V820" i="1" s="1"/>
  <c r="P836" i="1"/>
  <c r="U836" i="1"/>
  <c r="V836" i="1" s="1"/>
  <c r="P844" i="1"/>
  <c r="U844" i="1"/>
  <c r="V844" i="1" s="1"/>
  <c r="U852" i="1"/>
  <c r="V852" i="1" s="1"/>
  <c r="P852" i="1"/>
  <c r="P860" i="1"/>
  <c r="U860" i="1"/>
  <c r="V860" i="1" s="1"/>
  <c r="P868" i="1"/>
  <c r="U868" i="1"/>
  <c r="V868" i="1" s="1"/>
  <c r="U876" i="1"/>
  <c r="V876" i="1" s="1"/>
  <c r="P876" i="1"/>
  <c r="U884" i="1"/>
  <c r="V884" i="1" s="1"/>
  <c r="P884" i="1"/>
  <c r="U892" i="1"/>
  <c r="V892" i="1" s="1"/>
  <c r="P892" i="1"/>
  <c r="P900" i="1"/>
  <c r="U900" i="1"/>
  <c r="V900" i="1" s="1"/>
  <c r="P908" i="1"/>
  <c r="U908" i="1"/>
  <c r="V908" i="1" s="1"/>
  <c r="P916" i="1"/>
  <c r="U916" i="1"/>
  <c r="V916" i="1" s="1"/>
  <c r="U924" i="1"/>
  <c r="V924" i="1" s="1"/>
  <c r="P924" i="1"/>
  <c r="P932" i="1"/>
  <c r="U932" i="1"/>
  <c r="V932" i="1" s="1"/>
  <c r="U940" i="1"/>
  <c r="V940" i="1" s="1"/>
  <c r="P940" i="1"/>
  <c r="P948" i="1"/>
  <c r="U948" i="1"/>
  <c r="V948" i="1" s="1"/>
  <c r="U956" i="1"/>
  <c r="V956" i="1" s="1"/>
  <c r="P956" i="1"/>
  <c r="U964" i="1"/>
  <c r="V964" i="1" s="1"/>
  <c r="P964" i="1"/>
  <c r="U972" i="1"/>
  <c r="V972" i="1" s="1"/>
  <c r="P972" i="1"/>
  <c r="U980" i="1"/>
  <c r="V980" i="1" s="1"/>
  <c r="P980" i="1"/>
  <c r="P988" i="1"/>
  <c r="U988" i="1"/>
  <c r="V988" i="1" s="1"/>
  <c r="U996" i="1"/>
  <c r="V996" i="1" s="1"/>
  <c r="P996" i="1"/>
  <c r="P1004" i="1"/>
  <c r="U1004" i="1"/>
  <c r="V1004" i="1" s="1"/>
  <c r="U1020" i="1"/>
  <c r="V1020" i="1" s="1"/>
  <c r="P1020" i="1"/>
  <c r="U1028" i="1"/>
  <c r="V1028" i="1" s="1"/>
  <c r="P1028" i="1"/>
  <c r="P1036" i="1"/>
  <c r="U1036" i="1"/>
  <c r="V1036" i="1" s="1"/>
  <c r="P1044" i="1"/>
  <c r="U1044" i="1"/>
  <c r="V1044" i="1" s="1"/>
  <c r="U1052" i="1"/>
  <c r="V1052" i="1" s="1"/>
  <c r="P1052" i="1"/>
  <c r="P1060" i="1"/>
  <c r="U1060" i="1"/>
  <c r="V1060" i="1" s="1"/>
  <c r="P1068" i="1"/>
  <c r="U1068" i="1"/>
  <c r="V1068" i="1" s="1"/>
  <c r="U1076" i="1"/>
  <c r="V1076" i="1" s="1"/>
  <c r="P1076" i="1"/>
  <c r="P1084" i="1"/>
  <c r="U1084" i="1"/>
  <c r="V1084" i="1" s="1"/>
  <c r="P1092" i="1"/>
  <c r="U1092" i="1"/>
  <c r="V1092" i="1" s="1"/>
  <c r="P1100" i="1"/>
  <c r="U1100" i="1"/>
  <c r="V1100" i="1" s="1"/>
  <c r="P1108" i="1"/>
  <c r="U1108" i="1"/>
  <c r="V1108" i="1" s="1"/>
  <c r="P1116" i="1"/>
  <c r="U1116" i="1"/>
  <c r="V1116" i="1" s="1"/>
  <c r="U1124" i="1"/>
  <c r="V1124" i="1" s="1"/>
  <c r="P1124" i="1"/>
  <c r="P1132" i="1"/>
  <c r="U1132" i="1"/>
  <c r="V1132" i="1" s="1"/>
  <c r="U28" i="1"/>
  <c r="V31" i="1"/>
  <c r="U100" i="1"/>
  <c r="V100" i="1" s="1"/>
  <c r="V118" i="1"/>
  <c r="V174" i="1"/>
  <c r="U236" i="1"/>
  <c r="V236" i="1" s="1"/>
  <c r="V239" i="1"/>
  <c r="P244" i="1"/>
  <c r="P508" i="1"/>
  <c r="U29" i="1"/>
  <c r="V29" i="1" s="1"/>
  <c r="P29" i="1"/>
  <c r="P61" i="1"/>
  <c r="U61" i="1"/>
  <c r="V61" i="1" s="1"/>
  <c r="U69" i="1"/>
  <c r="V69" i="1" s="1"/>
  <c r="P69" i="1"/>
  <c r="P117" i="1"/>
  <c r="U117" i="1"/>
  <c r="V117" i="1" s="1"/>
  <c r="U125" i="1"/>
  <c r="V125" i="1" s="1"/>
  <c r="P125" i="1"/>
  <c r="P173" i="1"/>
  <c r="U173" i="1"/>
  <c r="V173" i="1" s="1"/>
  <c r="U181" i="1"/>
  <c r="V181" i="1" s="1"/>
  <c r="P181" i="1"/>
  <c r="P213" i="1"/>
  <c r="U213" i="1"/>
  <c r="V213" i="1" s="1"/>
  <c r="P229" i="1"/>
  <c r="U229" i="1"/>
  <c r="V229" i="1" s="1"/>
  <c r="U237" i="1"/>
  <c r="V237" i="1" s="1"/>
  <c r="P237" i="1"/>
  <c r="P269" i="1"/>
  <c r="U269" i="1"/>
  <c r="V269" i="1" s="1"/>
  <c r="U277" i="1"/>
  <c r="V277" i="1" s="1"/>
  <c r="P277" i="1"/>
  <c r="U293" i="1"/>
  <c r="V293" i="1" s="1"/>
  <c r="P293" i="1"/>
  <c r="U333" i="1"/>
  <c r="V333" i="1" s="1"/>
  <c r="P333" i="1"/>
  <c r="U341" i="1"/>
  <c r="V341" i="1" s="1"/>
  <c r="P341" i="1"/>
  <c r="U349" i="1"/>
  <c r="V349" i="1" s="1"/>
  <c r="P349" i="1"/>
  <c r="U357" i="1"/>
  <c r="V357" i="1" s="1"/>
  <c r="P357" i="1"/>
  <c r="P365" i="1"/>
  <c r="U365" i="1"/>
  <c r="V365" i="1" s="1"/>
  <c r="P373" i="1"/>
  <c r="U373" i="1"/>
  <c r="V373" i="1" s="1"/>
  <c r="P381" i="1"/>
  <c r="U381" i="1"/>
  <c r="V381" i="1" s="1"/>
  <c r="U389" i="1"/>
  <c r="V389" i="1" s="1"/>
  <c r="P389" i="1"/>
  <c r="P405" i="1"/>
  <c r="U405" i="1"/>
  <c r="V405" i="1" s="1"/>
  <c r="P413" i="1"/>
  <c r="U413" i="1"/>
  <c r="V413" i="1" s="1"/>
  <c r="U429" i="1"/>
  <c r="V429" i="1" s="1"/>
  <c r="P429" i="1"/>
  <c r="P437" i="1"/>
  <c r="U437" i="1"/>
  <c r="V437" i="1" s="1"/>
  <c r="U445" i="1"/>
  <c r="V445" i="1" s="1"/>
  <c r="P445" i="1"/>
  <c r="P453" i="1"/>
  <c r="U453" i="1"/>
  <c r="V453" i="1" s="1"/>
  <c r="U461" i="1"/>
  <c r="V461" i="1" s="1"/>
  <c r="P461" i="1"/>
  <c r="U469" i="1"/>
  <c r="V469" i="1" s="1"/>
  <c r="P469" i="1"/>
  <c r="P493" i="1"/>
  <c r="U493" i="1"/>
  <c r="V493" i="1" s="1"/>
  <c r="P501" i="1"/>
  <c r="U501" i="1"/>
  <c r="V501" i="1" s="1"/>
  <c r="P517" i="1"/>
  <c r="U517" i="1"/>
  <c r="V517" i="1" s="1"/>
  <c r="U525" i="1"/>
  <c r="V525" i="1" s="1"/>
  <c r="P525" i="1"/>
  <c r="U541" i="1"/>
  <c r="V541" i="1" s="1"/>
  <c r="P541" i="1"/>
  <c r="U557" i="1"/>
  <c r="V557" i="1" s="1"/>
  <c r="P557" i="1"/>
  <c r="U565" i="1"/>
  <c r="V565" i="1" s="1"/>
  <c r="P565" i="1"/>
  <c r="P573" i="1"/>
  <c r="U573" i="1"/>
  <c r="V573" i="1" s="1"/>
  <c r="P597" i="1"/>
  <c r="U597" i="1"/>
  <c r="V597" i="1" s="1"/>
  <c r="P621" i="1"/>
  <c r="U621" i="1"/>
  <c r="V621" i="1" s="1"/>
  <c r="P629" i="1"/>
  <c r="U629" i="1"/>
  <c r="V629" i="1" s="1"/>
  <c r="U645" i="1"/>
  <c r="V645" i="1" s="1"/>
  <c r="P645" i="1"/>
  <c r="P653" i="1"/>
  <c r="U653" i="1"/>
  <c r="V653" i="1" s="1"/>
  <c r="U661" i="1"/>
  <c r="V661" i="1" s="1"/>
  <c r="P661" i="1"/>
  <c r="P669" i="1"/>
  <c r="U669" i="1"/>
  <c r="V669" i="1" s="1"/>
  <c r="U685" i="1"/>
  <c r="V685" i="1" s="1"/>
  <c r="P685" i="1"/>
  <c r="P693" i="1"/>
  <c r="U693" i="1"/>
  <c r="V693" i="1" s="1"/>
  <c r="U701" i="1"/>
  <c r="V701" i="1" s="1"/>
  <c r="P701" i="1"/>
  <c r="P709" i="1"/>
  <c r="U709" i="1"/>
  <c r="V709" i="1" s="1"/>
  <c r="P717" i="1"/>
  <c r="U717" i="1"/>
  <c r="V717" i="1" s="1"/>
  <c r="P725" i="1"/>
  <c r="U725" i="1"/>
  <c r="V725" i="1" s="1"/>
  <c r="P749" i="1"/>
  <c r="U749" i="1"/>
  <c r="V749" i="1" s="1"/>
  <c r="U757" i="1"/>
  <c r="V757" i="1" s="1"/>
  <c r="P757" i="1"/>
  <c r="U765" i="1"/>
  <c r="V765" i="1" s="1"/>
  <c r="P765" i="1"/>
  <c r="P773" i="1"/>
  <c r="U773" i="1"/>
  <c r="V773" i="1" s="1"/>
  <c r="P789" i="1"/>
  <c r="U789" i="1"/>
  <c r="V789" i="1" s="1"/>
  <c r="P797" i="1"/>
  <c r="U797" i="1"/>
  <c r="V797" i="1" s="1"/>
  <c r="U805" i="1"/>
  <c r="V805" i="1" s="1"/>
  <c r="P805" i="1"/>
  <c r="U821" i="1"/>
  <c r="V821" i="1" s="1"/>
  <c r="P821" i="1"/>
  <c r="U837" i="1"/>
  <c r="V837" i="1" s="1"/>
  <c r="P837" i="1"/>
  <c r="U845" i="1"/>
  <c r="V845" i="1" s="1"/>
  <c r="P845" i="1"/>
  <c r="P853" i="1"/>
  <c r="U853" i="1"/>
  <c r="V853" i="1" s="1"/>
  <c r="P861" i="1"/>
  <c r="U861" i="1"/>
  <c r="V861" i="1" s="1"/>
  <c r="P869" i="1"/>
  <c r="U869" i="1"/>
  <c r="V869" i="1" s="1"/>
  <c r="P877" i="1"/>
  <c r="U877" i="1"/>
  <c r="V877" i="1" s="1"/>
  <c r="U885" i="1"/>
  <c r="V885" i="1" s="1"/>
  <c r="P885" i="1"/>
  <c r="P893" i="1"/>
  <c r="U893" i="1"/>
  <c r="V893" i="1" s="1"/>
  <c r="U901" i="1"/>
  <c r="V901" i="1" s="1"/>
  <c r="P901" i="1"/>
  <c r="U909" i="1"/>
  <c r="V909" i="1" s="1"/>
  <c r="P909" i="1"/>
  <c r="P917" i="1"/>
  <c r="U917" i="1"/>
  <c r="V917" i="1" s="1"/>
  <c r="U933" i="1"/>
  <c r="V933" i="1" s="1"/>
  <c r="P933" i="1"/>
  <c r="P941" i="1"/>
  <c r="U941" i="1"/>
  <c r="V941" i="1" s="1"/>
  <c r="U949" i="1"/>
  <c r="V949" i="1" s="1"/>
  <c r="P949" i="1"/>
  <c r="P957" i="1"/>
  <c r="U957" i="1"/>
  <c r="V957" i="1" s="1"/>
  <c r="U965" i="1"/>
  <c r="V965" i="1" s="1"/>
  <c r="P965" i="1"/>
  <c r="U973" i="1"/>
  <c r="V973" i="1" s="1"/>
  <c r="P973" i="1"/>
  <c r="U981" i="1"/>
  <c r="V981" i="1" s="1"/>
  <c r="P981" i="1"/>
  <c r="U989" i="1"/>
  <c r="V989" i="1" s="1"/>
  <c r="P989" i="1"/>
  <c r="P997" i="1"/>
  <c r="U997" i="1"/>
  <c r="V997" i="1" s="1"/>
  <c r="P1005" i="1"/>
  <c r="U1005" i="1"/>
  <c r="V1005" i="1" s="1"/>
  <c r="P1013" i="1"/>
  <c r="U1013" i="1"/>
  <c r="V1013" i="1" s="1"/>
  <c r="P1021" i="1"/>
  <c r="U1021" i="1"/>
  <c r="V1021" i="1" s="1"/>
  <c r="U1029" i="1"/>
  <c r="V1029" i="1" s="1"/>
  <c r="P1029" i="1"/>
  <c r="U1037" i="1"/>
  <c r="V1037" i="1" s="1"/>
  <c r="P1037" i="1"/>
  <c r="P1045" i="1"/>
  <c r="U1045" i="1"/>
  <c r="V1045" i="1" s="1"/>
  <c r="P1053" i="1"/>
  <c r="U1053" i="1"/>
  <c r="V1053" i="1" s="1"/>
  <c r="P1061" i="1"/>
  <c r="U1061" i="1"/>
  <c r="V1061" i="1" s="1"/>
  <c r="U1069" i="1"/>
  <c r="V1069" i="1" s="1"/>
  <c r="P1069" i="1"/>
  <c r="P1077" i="1"/>
  <c r="U1077" i="1"/>
  <c r="V1077" i="1" s="1"/>
  <c r="U1085" i="1"/>
  <c r="V1085" i="1" s="1"/>
  <c r="P1085" i="1"/>
  <c r="P1093" i="1"/>
  <c r="U1093" i="1"/>
  <c r="V1093" i="1" s="1"/>
  <c r="U1101" i="1"/>
  <c r="V1101" i="1" s="1"/>
  <c r="P1101" i="1"/>
  <c r="P1109" i="1"/>
  <c r="U1109" i="1"/>
  <c r="V1109" i="1" s="1"/>
  <c r="U1117" i="1"/>
  <c r="V1117" i="1" s="1"/>
  <c r="P1117" i="1"/>
  <c r="P1125" i="1"/>
  <c r="U1125" i="1"/>
  <c r="V1125" i="1" s="1"/>
  <c r="P9" i="1"/>
  <c r="P34" i="1"/>
  <c r="P116" i="1"/>
  <c r="P121" i="1"/>
  <c r="V123" i="1"/>
  <c r="P129" i="1"/>
  <c r="V145" i="1"/>
  <c r="P148" i="1"/>
  <c r="P172" i="1"/>
  <c r="P177" i="1"/>
  <c r="P185" i="1"/>
  <c r="P204" i="1"/>
  <c r="U218" i="1"/>
  <c r="V218" i="1" s="1"/>
  <c r="P242" i="1"/>
  <c r="V246" i="1"/>
  <c r="V286" i="1"/>
  <c r="P329" i="1"/>
  <c r="V337" i="1"/>
  <c r="U340" i="1"/>
  <c r="V340" i="1" s="1"/>
  <c r="U369" i="1"/>
  <c r="V369" i="1" s="1"/>
  <c r="P425" i="1"/>
  <c r="P477" i="1"/>
  <c r="P549" i="1"/>
  <c r="P681" i="1"/>
  <c r="U737" i="1"/>
  <c r="V737" i="1" s="1"/>
  <c r="P741" i="1"/>
  <c r="U756" i="1"/>
  <c r="V756" i="1" s="1"/>
  <c r="P804" i="1"/>
  <c r="V244" i="1"/>
  <c r="V34" i="1"/>
  <c r="U44" i="1"/>
  <c r="V44" i="1" s="1"/>
  <c r="V177" i="1"/>
  <c r="V270" i="1"/>
  <c r="P396" i="1"/>
  <c r="V487" i="1"/>
  <c r="P692" i="1"/>
  <c r="V22" i="1"/>
  <c r="U42" i="1"/>
  <c r="V42" i="1" s="1"/>
  <c r="P60" i="1"/>
  <c r="P73" i="1"/>
  <c r="V87" i="1"/>
  <c r="P114" i="1"/>
  <c r="U124" i="1"/>
  <c r="V124" i="1" s="1"/>
  <c r="V127" i="1"/>
  <c r="V143" i="1"/>
  <c r="P170" i="1"/>
  <c r="U180" i="1"/>
  <c r="V180" i="1" s="1"/>
  <c r="V183" i="1"/>
  <c r="V230" i="1"/>
  <c r="P250" i="1"/>
  <c r="P268" i="1"/>
  <c r="U292" i="1"/>
  <c r="V292" i="1" s="1"/>
  <c r="P298" i="1"/>
  <c r="V335" i="1"/>
  <c r="U402" i="1"/>
  <c r="V402" i="1" s="1"/>
  <c r="P450" i="1"/>
  <c r="P485" i="1"/>
  <c r="U586" i="1"/>
  <c r="V586" i="1" s="1"/>
  <c r="P609" i="1"/>
  <c r="U668" i="1"/>
  <c r="V668" i="1" s="1"/>
  <c r="P745" i="1"/>
  <c r="P781" i="1"/>
  <c r="V326" i="1"/>
  <c r="P252" i="1"/>
  <c r="V515" i="1"/>
  <c r="P97" i="1"/>
  <c r="U97" i="1"/>
  <c r="V97" i="1" s="1"/>
  <c r="P137" i="1"/>
  <c r="U137" i="1"/>
  <c r="V137" i="1" s="1"/>
  <c r="U161" i="1"/>
  <c r="V161" i="1" s="1"/>
  <c r="P161" i="1"/>
  <c r="P193" i="1"/>
  <c r="U193" i="1"/>
  <c r="V193" i="1" s="1"/>
  <c r="U201" i="1"/>
  <c r="V201" i="1" s="1"/>
  <c r="P201" i="1"/>
  <c r="P249" i="1"/>
  <c r="U249" i="1"/>
  <c r="V249" i="1" s="1"/>
  <c r="U257" i="1"/>
  <c r="V257" i="1" s="1"/>
  <c r="P257" i="1"/>
  <c r="U281" i="1"/>
  <c r="V281" i="1" s="1"/>
  <c r="P281" i="1"/>
  <c r="U297" i="1"/>
  <c r="V297" i="1" s="1"/>
  <c r="P297" i="1"/>
  <c r="P305" i="1"/>
  <c r="U305" i="1"/>
  <c r="V305" i="1" s="1"/>
  <c r="U313" i="1"/>
  <c r="V313" i="1" s="1"/>
  <c r="P313" i="1"/>
  <c r="U345" i="1"/>
  <c r="V345" i="1" s="1"/>
  <c r="P345" i="1"/>
  <c r="U353" i="1"/>
  <c r="V353" i="1" s="1"/>
  <c r="P353" i="1"/>
  <c r="U361" i="1"/>
  <c r="V361" i="1" s="1"/>
  <c r="P361" i="1"/>
  <c r="P377" i="1"/>
  <c r="U377" i="1"/>
  <c r="V377" i="1" s="1"/>
  <c r="P385" i="1"/>
  <c r="U385" i="1"/>
  <c r="V385" i="1" s="1"/>
  <c r="U401" i="1"/>
  <c r="V401" i="1" s="1"/>
  <c r="P401" i="1"/>
  <c r="P409" i="1"/>
  <c r="U409" i="1"/>
  <c r="V409" i="1" s="1"/>
  <c r="U433" i="1"/>
  <c r="V433" i="1" s="1"/>
  <c r="P433" i="1"/>
  <c r="U441" i="1"/>
  <c r="V441" i="1" s="1"/>
  <c r="P441" i="1"/>
  <c r="P449" i="1"/>
  <c r="U449" i="1"/>
  <c r="V449" i="1" s="1"/>
  <c r="U481" i="1"/>
  <c r="V481" i="1" s="1"/>
  <c r="P481" i="1"/>
  <c r="P489" i="1"/>
  <c r="U489" i="1"/>
  <c r="V489" i="1" s="1"/>
  <c r="P505" i="1"/>
  <c r="U505" i="1"/>
  <c r="V505" i="1" s="1"/>
  <c r="U513" i="1"/>
  <c r="V513" i="1" s="1"/>
  <c r="P513" i="1"/>
  <c r="U521" i="1"/>
  <c r="V521" i="1" s="1"/>
  <c r="P521" i="1"/>
  <c r="U529" i="1"/>
  <c r="V529" i="1" s="1"/>
  <c r="P529" i="1"/>
  <c r="U545" i="1"/>
  <c r="V545" i="1" s="1"/>
  <c r="P545" i="1"/>
  <c r="U561" i="1"/>
  <c r="V561" i="1" s="1"/>
  <c r="P561" i="1"/>
  <c r="P569" i="1"/>
  <c r="U569" i="1"/>
  <c r="V569" i="1" s="1"/>
  <c r="P577" i="1"/>
  <c r="U577" i="1"/>
  <c r="V577" i="1" s="1"/>
  <c r="P593" i="1"/>
  <c r="U593" i="1"/>
  <c r="V593" i="1" s="1"/>
  <c r="P617" i="1"/>
  <c r="U617" i="1"/>
  <c r="V617" i="1" s="1"/>
  <c r="U625" i="1"/>
  <c r="V625" i="1" s="1"/>
  <c r="P625" i="1"/>
  <c r="P633" i="1"/>
  <c r="U633" i="1"/>
  <c r="V633" i="1" s="1"/>
  <c r="U641" i="1"/>
  <c r="V641" i="1" s="1"/>
  <c r="P641" i="1"/>
  <c r="P649" i="1"/>
  <c r="U649" i="1"/>
  <c r="V649" i="1" s="1"/>
  <c r="P673" i="1"/>
  <c r="U673" i="1"/>
  <c r="V673" i="1" s="1"/>
  <c r="P689" i="1"/>
  <c r="U689" i="1"/>
  <c r="V689" i="1" s="1"/>
  <c r="P697" i="1"/>
  <c r="U697" i="1"/>
  <c r="V697" i="1" s="1"/>
  <c r="U705" i="1"/>
  <c r="V705" i="1" s="1"/>
  <c r="P705" i="1"/>
  <c r="P713" i="1"/>
  <c r="U713" i="1"/>
  <c r="V713" i="1" s="1"/>
  <c r="P729" i="1"/>
  <c r="U729" i="1"/>
  <c r="V729" i="1" s="1"/>
  <c r="P753" i="1"/>
  <c r="U753" i="1"/>
  <c r="V753" i="1" s="1"/>
  <c r="U761" i="1"/>
  <c r="V761" i="1" s="1"/>
  <c r="P761" i="1"/>
  <c r="U769" i="1"/>
  <c r="V769" i="1" s="1"/>
  <c r="P769" i="1"/>
  <c r="U777" i="1"/>
  <c r="V777" i="1" s="1"/>
  <c r="P777" i="1"/>
  <c r="U785" i="1"/>
  <c r="V785" i="1" s="1"/>
  <c r="P785" i="1"/>
  <c r="U793" i="1"/>
  <c r="V793" i="1" s="1"/>
  <c r="P793" i="1"/>
  <c r="P801" i="1"/>
  <c r="U801" i="1"/>
  <c r="V801" i="1" s="1"/>
  <c r="P809" i="1"/>
  <c r="U809" i="1"/>
  <c r="V809" i="1" s="1"/>
  <c r="P817" i="1"/>
  <c r="U817" i="1"/>
  <c r="V817" i="1" s="1"/>
  <c r="U825" i="1"/>
  <c r="V825" i="1" s="1"/>
  <c r="P825" i="1"/>
  <c r="P833" i="1"/>
  <c r="U833" i="1"/>
  <c r="V833" i="1" s="1"/>
  <c r="U841" i="1"/>
  <c r="V841" i="1" s="1"/>
  <c r="P841" i="1"/>
  <c r="P849" i="1"/>
  <c r="U849" i="1"/>
  <c r="V849" i="1" s="1"/>
  <c r="P857" i="1"/>
  <c r="U857" i="1"/>
  <c r="V857" i="1" s="1"/>
  <c r="U865" i="1"/>
  <c r="V865" i="1" s="1"/>
  <c r="P865" i="1"/>
  <c r="U881" i="1"/>
  <c r="V881" i="1" s="1"/>
  <c r="P881" i="1"/>
  <c r="P889" i="1"/>
  <c r="U889" i="1"/>
  <c r="V889" i="1" s="1"/>
  <c r="P897" i="1"/>
  <c r="U897" i="1"/>
  <c r="V897" i="1" s="1"/>
  <c r="P905" i="1"/>
  <c r="U905" i="1"/>
  <c r="V905" i="1" s="1"/>
  <c r="U913" i="1"/>
  <c r="V913" i="1" s="1"/>
  <c r="P913" i="1"/>
  <c r="P921" i="1"/>
  <c r="U921" i="1"/>
  <c r="V921" i="1" s="1"/>
  <c r="U929" i="1"/>
  <c r="V929" i="1" s="1"/>
  <c r="P929" i="1"/>
  <c r="P937" i="1"/>
  <c r="U937" i="1"/>
  <c r="V937" i="1" s="1"/>
  <c r="U953" i="1"/>
  <c r="V953" i="1" s="1"/>
  <c r="P953" i="1"/>
  <c r="P961" i="1"/>
  <c r="U961" i="1"/>
  <c r="V961" i="1" s="1"/>
  <c r="U969" i="1"/>
  <c r="V969" i="1" s="1"/>
  <c r="P969" i="1"/>
  <c r="P977" i="1"/>
  <c r="U977" i="1"/>
  <c r="V977" i="1" s="1"/>
  <c r="P985" i="1"/>
  <c r="U985" i="1"/>
  <c r="V985" i="1" s="1"/>
  <c r="U993" i="1"/>
  <c r="V993" i="1" s="1"/>
  <c r="P993" i="1"/>
  <c r="P1001" i="1"/>
  <c r="U1001" i="1"/>
  <c r="V1001" i="1" s="1"/>
  <c r="U1009" i="1"/>
  <c r="V1009" i="1" s="1"/>
  <c r="P1009" i="1"/>
  <c r="P1017" i="1"/>
  <c r="U1017" i="1"/>
  <c r="V1017" i="1" s="1"/>
  <c r="P1025" i="1"/>
  <c r="U1025" i="1"/>
  <c r="V1025" i="1" s="1"/>
  <c r="U1041" i="1"/>
  <c r="V1041" i="1" s="1"/>
  <c r="P1041" i="1"/>
  <c r="P1049" i="1"/>
  <c r="U1049" i="1"/>
  <c r="V1049" i="1" s="1"/>
  <c r="P1057" i="1"/>
  <c r="U1057" i="1"/>
  <c r="V1057" i="1" s="1"/>
  <c r="U1065" i="1"/>
  <c r="V1065" i="1" s="1"/>
  <c r="P1065" i="1"/>
  <c r="U1073" i="1"/>
  <c r="V1073" i="1" s="1"/>
  <c r="P1073" i="1"/>
  <c r="U1081" i="1"/>
  <c r="V1081" i="1" s="1"/>
  <c r="P1081" i="1"/>
  <c r="U1089" i="1"/>
  <c r="V1089" i="1" s="1"/>
  <c r="P1089" i="1"/>
  <c r="U1097" i="1"/>
  <c r="V1097" i="1" s="1"/>
  <c r="P1097" i="1"/>
  <c r="P1105" i="1"/>
  <c r="U1105" i="1"/>
  <c r="V1105" i="1" s="1"/>
  <c r="P1113" i="1"/>
  <c r="U1113" i="1"/>
  <c r="V1113" i="1" s="1"/>
  <c r="U1121" i="1"/>
  <c r="V1121" i="1" s="1"/>
  <c r="P1121" i="1"/>
  <c r="P1129" i="1"/>
  <c r="U1129" i="1"/>
  <c r="V1129" i="1" s="1"/>
  <c r="V27" i="1"/>
  <c r="P33" i="1"/>
  <c r="V47" i="1"/>
  <c r="V78" i="1"/>
  <c r="P105" i="1"/>
  <c r="U153" i="1"/>
  <c r="V153" i="1" s="1"/>
  <c r="P156" i="1"/>
  <c r="U209" i="1"/>
  <c r="V209" i="1" s="1"/>
  <c r="P228" i="1"/>
  <c r="V235" i="1"/>
  <c r="P241" i="1"/>
  <c r="U276" i="1"/>
  <c r="V276" i="1" s="1"/>
  <c r="P282" i="1"/>
  <c r="P317" i="1"/>
  <c r="U321" i="1"/>
  <c r="V321" i="1" s="1"/>
  <c r="U332" i="1"/>
  <c r="V332" i="1" s="1"/>
  <c r="P378" i="1"/>
  <c r="P465" i="1"/>
  <c r="V491" i="1"/>
  <c r="U497" i="1"/>
  <c r="V497" i="1" s="1"/>
  <c r="V509" i="1"/>
  <c r="U533" i="1"/>
  <c r="V533" i="1" s="1"/>
  <c r="P578" i="1"/>
  <c r="U612" i="1"/>
  <c r="V612" i="1" s="1"/>
  <c r="V619" i="1"/>
  <c r="U637" i="1"/>
  <c r="V637" i="1" s="1"/>
  <c r="P650" i="1"/>
  <c r="U778" i="1"/>
  <c r="V778" i="1" s="1"/>
  <c r="U829" i="1"/>
  <c r="V829" i="1" s="1"/>
  <c r="V214" i="1"/>
  <c r="V62" i="1"/>
  <c r="V121" i="1"/>
  <c r="P212" i="1"/>
  <c r="P428" i="1"/>
  <c r="V446" i="1"/>
  <c r="U460" i="1"/>
  <c r="V460" i="1" s="1"/>
  <c r="U18" i="1"/>
  <c r="V18" i="1" s="1"/>
  <c r="P18" i="1"/>
  <c r="P162" i="1"/>
  <c r="U162" i="1"/>
  <c r="V162" i="1" s="1"/>
  <c r="P202" i="1"/>
  <c r="U202" i="1"/>
  <c r="V202" i="1" s="1"/>
  <c r="U226" i="1"/>
  <c r="V226" i="1" s="1"/>
  <c r="P226" i="1"/>
  <c r="P258" i="1"/>
  <c r="U258" i="1"/>
  <c r="V258" i="1" s="1"/>
  <c r="U266" i="1"/>
  <c r="V266" i="1" s="1"/>
  <c r="P266" i="1"/>
  <c r="U306" i="1"/>
  <c r="V306" i="1" s="1"/>
  <c r="P306" i="1"/>
  <c r="P314" i="1"/>
  <c r="U314" i="1"/>
  <c r="V314" i="1" s="1"/>
  <c r="U322" i="1"/>
  <c r="V322" i="1" s="1"/>
  <c r="P322" i="1"/>
  <c r="P338" i="1"/>
  <c r="U338" i="1"/>
  <c r="V338" i="1" s="1"/>
  <c r="P346" i="1"/>
  <c r="U346" i="1"/>
  <c r="V346" i="1" s="1"/>
  <c r="P354" i="1"/>
  <c r="U354" i="1"/>
  <c r="V354" i="1" s="1"/>
  <c r="U370" i="1"/>
  <c r="V370" i="1" s="1"/>
  <c r="P370" i="1"/>
  <c r="P386" i="1"/>
  <c r="U386" i="1"/>
  <c r="V386" i="1" s="1"/>
  <c r="U394" i="1"/>
  <c r="V394" i="1" s="1"/>
  <c r="P394" i="1"/>
  <c r="U410" i="1"/>
  <c r="V410" i="1" s="1"/>
  <c r="P410" i="1"/>
  <c r="P418" i="1"/>
  <c r="U418" i="1"/>
  <c r="V418" i="1" s="1"/>
  <c r="U434" i="1"/>
  <c r="V434" i="1" s="1"/>
  <c r="P434" i="1"/>
  <c r="U442" i="1"/>
  <c r="V442" i="1" s="1"/>
  <c r="P442" i="1"/>
  <c r="P474" i="1"/>
  <c r="U474" i="1"/>
  <c r="V474" i="1" s="1"/>
  <c r="P482" i="1"/>
  <c r="U482" i="1"/>
  <c r="V482" i="1" s="1"/>
  <c r="U490" i="1"/>
  <c r="V490" i="1" s="1"/>
  <c r="P490" i="1"/>
  <c r="U498" i="1"/>
  <c r="V498" i="1" s="1"/>
  <c r="P498" i="1"/>
  <c r="P514" i="1"/>
  <c r="U514" i="1"/>
  <c r="V514" i="1" s="1"/>
  <c r="P522" i="1"/>
  <c r="U522" i="1"/>
  <c r="V522" i="1" s="1"/>
  <c r="P530" i="1"/>
  <c r="U530" i="1"/>
  <c r="V530" i="1" s="1"/>
  <c r="P538" i="1"/>
  <c r="U538" i="1"/>
  <c r="V538" i="1" s="1"/>
  <c r="P546" i="1"/>
  <c r="U546" i="1"/>
  <c r="V546" i="1" s="1"/>
  <c r="U554" i="1"/>
  <c r="V554" i="1" s="1"/>
  <c r="P554" i="1"/>
  <c r="P562" i="1"/>
  <c r="U562" i="1"/>
  <c r="V562" i="1" s="1"/>
  <c r="P570" i="1"/>
  <c r="U570" i="1"/>
  <c r="V570" i="1" s="1"/>
  <c r="U594" i="1"/>
  <c r="V594" i="1" s="1"/>
  <c r="P594" i="1"/>
  <c r="P602" i="1"/>
  <c r="U602" i="1"/>
  <c r="V602" i="1" s="1"/>
  <c r="P610" i="1"/>
  <c r="U610" i="1"/>
  <c r="V610" i="1" s="1"/>
  <c r="U618" i="1"/>
  <c r="V618" i="1" s="1"/>
  <c r="P618" i="1"/>
  <c r="U634" i="1"/>
  <c r="V634" i="1" s="1"/>
  <c r="P634" i="1"/>
  <c r="P658" i="1"/>
  <c r="U658" i="1"/>
  <c r="V658" i="1" s="1"/>
  <c r="P666" i="1"/>
  <c r="U666" i="1"/>
  <c r="V666" i="1" s="1"/>
  <c r="U674" i="1"/>
  <c r="V674" i="1" s="1"/>
  <c r="P674" i="1"/>
  <c r="P682" i="1"/>
  <c r="U682" i="1"/>
  <c r="V682" i="1" s="1"/>
  <c r="U690" i="1"/>
  <c r="V690" i="1" s="1"/>
  <c r="P690" i="1"/>
  <c r="P698" i="1"/>
  <c r="U698" i="1"/>
  <c r="V698" i="1" s="1"/>
  <c r="U706" i="1"/>
  <c r="V706" i="1" s="1"/>
  <c r="P706" i="1"/>
  <c r="U714" i="1"/>
  <c r="V714" i="1" s="1"/>
  <c r="P714" i="1"/>
  <c r="P722" i="1"/>
  <c r="U722" i="1"/>
  <c r="V722" i="1" s="1"/>
  <c r="U730" i="1"/>
  <c r="V730" i="1" s="1"/>
  <c r="P730" i="1"/>
  <c r="P738" i="1"/>
  <c r="U738" i="1"/>
  <c r="V738" i="1" s="1"/>
  <c r="P746" i="1"/>
  <c r="U746" i="1"/>
  <c r="V746" i="1" s="1"/>
  <c r="P754" i="1"/>
  <c r="U754" i="1"/>
  <c r="V754" i="1" s="1"/>
  <c r="P770" i="1"/>
  <c r="U770" i="1"/>
  <c r="V770" i="1" s="1"/>
  <c r="P786" i="1"/>
  <c r="U786" i="1"/>
  <c r="V786" i="1" s="1"/>
  <c r="P802" i="1"/>
  <c r="U802" i="1"/>
  <c r="V802" i="1" s="1"/>
  <c r="P818" i="1"/>
  <c r="U818" i="1"/>
  <c r="V818" i="1" s="1"/>
  <c r="P826" i="1"/>
  <c r="U826" i="1"/>
  <c r="V826" i="1" s="1"/>
  <c r="U834" i="1"/>
  <c r="V834" i="1" s="1"/>
  <c r="P834" i="1"/>
  <c r="U850" i="1"/>
  <c r="V850" i="1" s="1"/>
  <c r="P850" i="1"/>
  <c r="P858" i="1"/>
  <c r="U858" i="1"/>
  <c r="V858" i="1" s="1"/>
  <c r="P866" i="1"/>
  <c r="U866" i="1"/>
  <c r="V866" i="1" s="1"/>
  <c r="U874" i="1"/>
  <c r="V874" i="1" s="1"/>
  <c r="P874" i="1"/>
  <c r="U890" i="1"/>
  <c r="V890" i="1" s="1"/>
  <c r="P890" i="1"/>
  <c r="U898" i="1"/>
  <c r="V898" i="1" s="1"/>
  <c r="P898" i="1"/>
  <c r="P906" i="1"/>
  <c r="U906" i="1"/>
  <c r="V906" i="1" s="1"/>
  <c r="P930" i="1"/>
  <c r="U930" i="1"/>
  <c r="V930" i="1" s="1"/>
  <c r="U938" i="1"/>
  <c r="V938" i="1" s="1"/>
  <c r="P938" i="1"/>
  <c r="P946" i="1"/>
  <c r="U946" i="1"/>
  <c r="V946" i="1" s="1"/>
  <c r="U954" i="1"/>
  <c r="V954" i="1" s="1"/>
  <c r="P954" i="1"/>
  <c r="U962" i="1"/>
  <c r="V962" i="1" s="1"/>
  <c r="P962" i="1"/>
  <c r="P970" i="1"/>
  <c r="U970" i="1"/>
  <c r="V970" i="1" s="1"/>
  <c r="U978" i="1"/>
  <c r="V978" i="1" s="1"/>
  <c r="P978" i="1"/>
  <c r="P986" i="1"/>
  <c r="U986" i="1"/>
  <c r="V986" i="1" s="1"/>
  <c r="P994" i="1"/>
  <c r="U994" i="1"/>
  <c r="V994" i="1" s="1"/>
  <c r="U1002" i="1"/>
  <c r="V1002" i="1" s="1"/>
  <c r="P1002" i="1"/>
  <c r="P1010" i="1"/>
  <c r="U1010" i="1"/>
  <c r="V1010" i="1" s="1"/>
  <c r="U1018" i="1"/>
  <c r="V1018" i="1" s="1"/>
  <c r="P1018" i="1"/>
  <c r="U1026" i="1"/>
  <c r="V1026" i="1" s="1"/>
  <c r="P1026" i="1"/>
  <c r="P1034" i="1"/>
  <c r="U1034" i="1"/>
  <c r="V1034" i="1" s="1"/>
  <c r="P1042" i="1"/>
  <c r="U1042" i="1"/>
  <c r="V1042" i="1" s="1"/>
  <c r="U1050" i="1"/>
  <c r="V1050" i="1" s="1"/>
  <c r="P1050" i="1"/>
  <c r="P1058" i="1"/>
  <c r="U1058" i="1"/>
  <c r="V1058" i="1" s="1"/>
  <c r="P1066" i="1"/>
  <c r="U1066" i="1"/>
  <c r="V1066" i="1" s="1"/>
  <c r="U1074" i="1"/>
  <c r="V1074" i="1" s="1"/>
  <c r="P1074" i="1"/>
  <c r="P1082" i="1"/>
  <c r="U1082" i="1"/>
  <c r="V1082" i="1" s="1"/>
  <c r="P1090" i="1"/>
  <c r="U1090" i="1"/>
  <c r="V1090" i="1" s="1"/>
  <c r="U1098" i="1"/>
  <c r="V1098" i="1" s="1"/>
  <c r="P1098" i="1"/>
  <c r="U1106" i="1"/>
  <c r="V1106" i="1" s="1"/>
  <c r="P1106" i="1"/>
  <c r="P1114" i="1"/>
  <c r="U1114" i="1"/>
  <c r="V1114" i="1" s="1"/>
  <c r="U1122" i="1"/>
  <c r="V1122" i="1" s="1"/>
  <c r="P1122" i="1"/>
  <c r="P1130" i="1"/>
  <c r="U1130" i="1"/>
  <c r="V1130" i="1" s="1"/>
  <c r="V38" i="1"/>
  <c r="V45" i="1"/>
  <c r="U57" i="1"/>
  <c r="V57" i="1" s="1"/>
  <c r="P98" i="1"/>
  <c r="P154" i="1"/>
  <c r="P210" i="1"/>
  <c r="U265" i="1"/>
  <c r="V265" i="1" s="1"/>
  <c r="U290" i="1"/>
  <c r="V290" i="1" s="1"/>
  <c r="U393" i="1"/>
  <c r="V393" i="1" s="1"/>
  <c r="P397" i="1"/>
  <c r="P421" i="1"/>
  <c r="P473" i="1"/>
  <c r="P537" i="1"/>
  <c r="P810" i="1"/>
  <c r="P945" i="1"/>
  <c r="U1012" i="1"/>
  <c r="V1012" i="1" s="1"/>
  <c r="P411" i="1"/>
  <c r="U411" i="1"/>
  <c r="V411" i="1" s="1"/>
  <c r="P555" i="1"/>
  <c r="U555" i="1"/>
  <c r="V555" i="1" s="1"/>
  <c r="P651" i="1"/>
  <c r="U651" i="1"/>
  <c r="V651" i="1" s="1"/>
  <c r="U723" i="1"/>
  <c r="V723" i="1" s="1"/>
  <c r="P723" i="1"/>
  <c r="P803" i="1"/>
  <c r="U803" i="1"/>
  <c r="V803" i="1" s="1"/>
  <c r="P859" i="1"/>
  <c r="U859" i="1"/>
  <c r="V859" i="1" s="1"/>
  <c r="U867" i="1"/>
  <c r="V867" i="1" s="1"/>
  <c r="P867" i="1"/>
  <c r="P875" i="1"/>
  <c r="U875" i="1"/>
  <c r="V875" i="1" s="1"/>
  <c r="P907" i="1"/>
  <c r="U907" i="1"/>
  <c r="V907" i="1" s="1"/>
  <c r="P915" i="1"/>
  <c r="U915" i="1"/>
  <c r="V915" i="1" s="1"/>
  <c r="U947" i="1"/>
  <c r="V947" i="1" s="1"/>
  <c r="P947" i="1"/>
  <c r="P963" i="1"/>
  <c r="U963" i="1"/>
  <c r="V963" i="1" s="1"/>
  <c r="U971" i="1"/>
  <c r="V971" i="1" s="1"/>
  <c r="P971" i="1"/>
  <c r="U987" i="1"/>
  <c r="V987" i="1" s="1"/>
  <c r="P987" i="1"/>
  <c r="U995" i="1"/>
  <c r="V995" i="1" s="1"/>
  <c r="P995" i="1"/>
  <c r="P1019" i="1"/>
  <c r="U1019" i="1"/>
  <c r="V1019" i="1" s="1"/>
  <c r="U1035" i="1"/>
  <c r="V1035" i="1" s="1"/>
  <c r="P1035" i="1"/>
  <c r="U1043" i="1"/>
  <c r="V1043" i="1" s="1"/>
  <c r="P1043" i="1"/>
  <c r="P1059" i="1"/>
  <c r="U1059" i="1"/>
  <c r="V1059" i="1" s="1"/>
  <c r="U1067" i="1"/>
  <c r="V1067" i="1" s="1"/>
  <c r="P1067" i="1"/>
  <c r="P1075" i="1"/>
  <c r="U1075" i="1"/>
  <c r="V1075" i="1" s="1"/>
  <c r="U1099" i="1"/>
  <c r="V1099" i="1" s="1"/>
  <c r="P1099" i="1"/>
  <c r="P1107" i="1"/>
  <c r="U1107" i="1"/>
  <c r="V1107" i="1" s="1"/>
  <c r="U1115" i="1"/>
  <c r="V1115" i="1" s="1"/>
  <c r="P1115" i="1"/>
  <c r="U1123" i="1"/>
  <c r="V1123" i="1" s="1"/>
  <c r="P1123" i="1"/>
  <c r="P1131" i="1"/>
  <c r="U1131" i="1"/>
  <c r="V1131" i="1" s="1"/>
  <c r="P11" i="1"/>
  <c r="U14" i="1"/>
  <c r="V14" i="1" s="1"/>
  <c r="P22" i="1"/>
  <c r="U23" i="1"/>
  <c r="V23" i="1" s="1"/>
  <c r="P27" i="1"/>
  <c r="P38" i="1"/>
  <c r="U39" i="1"/>
  <c r="V39" i="1" s="1"/>
  <c r="P47" i="1"/>
  <c r="U48" i="1"/>
  <c r="V48" i="1" s="1"/>
  <c r="P56" i="1"/>
  <c r="U59" i="1"/>
  <c r="V59" i="1" s="1"/>
  <c r="P67" i="1"/>
  <c r="V72" i="1"/>
  <c r="P78" i="1"/>
  <c r="U79" i="1"/>
  <c r="V79" i="1" s="1"/>
  <c r="P87" i="1"/>
  <c r="U88" i="1"/>
  <c r="V88" i="1" s="1"/>
  <c r="P103" i="1"/>
  <c r="U104" i="1"/>
  <c r="V104" i="1" s="1"/>
  <c r="P112" i="1"/>
  <c r="U115" i="1"/>
  <c r="V115" i="1" s="1"/>
  <c r="P123" i="1"/>
  <c r="V128" i="1"/>
  <c r="P143" i="1"/>
  <c r="U144" i="1"/>
  <c r="V144" i="1" s="1"/>
  <c r="V148" i="1"/>
  <c r="P152" i="1"/>
  <c r="V157" i="1"/>
  <c r="P168" i="1"/>
  <c r="U171" i="1"/>
  <c r="V171" i="1" s="1"/>
  <c r="P179" i="1"/>
  <c r="V204" i="1"/>
  <c r="P208" i="1"/>
  <c r="U211" i="1"/>
  <c r="V211" i="1" s="1"/>
  <c r="U222" i="1"/>
  <c r="V222" i="1" s="1"/>
  <c r="U227" i="1"/>
  <c r="V227" i="1" s="1"/>
  <c r="P235" i="1"/>
  <c r="V240" i="1"/>
  <c r="U262" i="1"/>
  <c r="V262" i="1" s="1"/>
  <c r="U267" i="1"/>
  <c r="V267" i="1" s="1"/>
  <c r="P275" i="1"/>
  <c r="V280" i="1"/>
  <c r="P286" i="1"/>
  <c r="U287" i="1"/>
  <c r="V287" i="1" s="1"/>
  <c r="P291" i="1"/>
  <c r="U318" i="1"/>
  <c r="V318" i="1" s="1"/>
  <c r="P326" i="1"/>
  <c r="U327" i="1"/>
  <c r="V327" i="1" s="1"/>
  <c r="P331" i="1"/>
  <c r="P335" i="1"/>
  <c r="U336" i="1"/>
  <c r="V336" i="1" s="1"/>
  <c r="P343" i="1"/>
  <c r="P355" i="1"/>
  <c r="P368" i="1"/>
  <c r="P374" i="1"/>
  <c r="U379" i="1"/>
  <c r="V379" i="1" s="1"/>
  <c r="V383" i="1"/>
  <c r="V396" i="1"/>
  <c r="P399" i="1"/>
  <c r="U414" i="1"/>
  <c r="V414" i="1" s="1"/>
  <c r="U416" i="1"/>
  <c r="V416" i="1" s="1"/>
  <c r="U424" i="1"/>
  <c r="V424" i="1" s="1"/>
  <c r="V428" i="1"/>
  <c r="U438" i="1"/>
  <c r="V438" i="1" s="1"/>
  <c r="P446" i="1"/>
  <c r="U464" i="1"/>
  <c r="V464" i="1" s="1"/>
  <c r="P479" i="1"/>
  <c r="P483" i="1"/>
  <c r="U486" i="1"/>
  <c r="V486" i="1" s="1"/>
  <c r="P491" i="1"/>
  <c r="U499" i="1"/>
  <c r="V499" i="1" s="1"/>
  <c r="P502" i="1"/>
  <c r="P519" i="1"/>
  <c r="P523" i="1"/>
  <c r="U536" i="1"/>
  <c r="V536" i="1" s="1"/>
  <c r="P539" i="1"/>
  <c r="U558" i="1"/>
  <c r="V558" i="1" s="1"/>
  <c r="P567" i="1"/>
  <c r="U571" i="1"/>
  <c r="V571" i="1" s="1"/>
  <c r="U584" i="1"/>
  <c r="V584" i="1" s="1"/>
  <c r="P600" i="1"/>
  <c r="P611" i="1"/>
  <c r="V616" i="1"/>
  <c r="P619" i="1"/>
  <c r="U631" i="1"/>
  <c r="V631" i="1" s="1"/>
  <c r="P640" i="1"/>
  <c r="P655" i="1"/>
  <c r="U678" i="1"/>
  <c r="V678" i="1" s="1"/>
  <c r="V681" i="1"/>
  <c r="U691" i="1"/>
  <c r="V691" i="1" s="1"/>
  <c r="P694" i="1"/>
  <c r="P712" i="1"/>
  <c r="U731" i="1"/>
  <c r="V731" i="1" s="1"/>
  <c r="U784" i="1"/>
  <c r="V784" i="1" s="1"/>
  <c r="U798" i="1"/>
  <c r="V798" i="1" s="1"/>
  <c r="P808" i="1"/>
  <c r="U815" i="1"/>
  <c r="V815" i="1" s="1"/>
  <c r="U832" i="1"/>
  <c r="V832" i="1" s="1"/>
  <c r="U835" i="1"/>
  <c r="V835" i="1" s="1"/>
  <c r="U838" i="1"/>
  <c r="V838" i="1" s="1"/>
  <c r="U864" i="1"/>
  <c r="V864" i="1" s="1"/>
  <c r="V891" i="1"/>
  <c r="P935" i="1"/>
  <c r="U1003" i="1"/>
  <c r="V1003" i="1" s="1"/>
  <c r="U1006" i="1"/>
  <c r="V1006" i="1" s="1"/>
  <c r="P1024" i="1"/>
  <c r="P1027" i="1"/>
  <c r="P1056" i="1"/>
  <c r="V399" i="1"/>
  <c r="V523" i="1"/>
  <c r="U398" i="1"/>
  <c r="V398" i="1" s="1"/>
  <c r="P398" i="1"/>
  <c r="P462" i="1"/>
  <c r="U462" i="1"/>
  <c r="V462" i="1" s="1"/>
  <c r="P510" i="1"/>
  <c r="U510" i="1"/>
  <c r="V510" i="1" s="1"/>
  <c r="P590" i="1"/>
  <c r="U590" i="1"/>
  <c r="V590" i="1" s="1"/>
  <c r="P606" i="1"/>
  <c r="U606" i="1"/>
  <c r="V606" i="1" s="1"/>
  <c r="U614" i="1"/>
  <c r="V614" i="1" s="1"/>
  <c r="P614" i="1"/>
  <c r="P622" i="1"/>
  <c r="U622" i="1"/>
  <c r="V622" i="1" s="1"/>
  <c r="P702" i="1"/>
  <c r="U702" i="1"/>
  <c r="V702" i="1" s="1"/>
  <c r="P718" i="1"/>
  <c r="U718" i="1"/>
  <c r="V718" i="1" s="1"/>
  <c r="U734" i="1"/>
  <c r="V734" i="1" s="1"/>
  <c r="P734" i="1"/>
  <c r="P758" i="1"/>
  <c r="U758" i="1"/>
  <c r="V758" i="1" s="1"/>
  <c r="P766" i="1"/>
  <c r="U766" i="1"/>
  <c r="V766" i="1" s="1"/>
  <c r="P782" i="1"/>
  <c r="U782" i="1"/>
  <c r="V782" i="1" s="1"/>
  <c r="U814" i="1"/>
  <c r="V814" i="1" s="1"/>
  <c r="P814" i="1"/>
  <c r="P830" i="1"/>
  <c r="U830" i="1"/>
  <c r="V830" i="1" s="1"/>
  <c r="P862" i="1"/>
  <c r="U862" i="1"/>
  <c r="V862" i="1" s="1"/>
  <c r="P878" i="1"/>
  <c r="U878" i="1"/>
  <c r="V878" i="1" s="1"/>
  <c r="P910" i="1"/>
  <c r="U910" i="1"/>
  <c r="V910" i="1" s="1"/>
  <c r="U918" i="1"/>
  <c r="V918" i="1" s="1"/>
  <c r="P918" i="1"/>
  <c r="U926" i="1"/>
  <c r="V926" i="1" s="1"/>
  <c r="P926" i="1"/>
  <c r="U934" i="1"/>
  <c r="V934" i="1" s="1"/>
  <c r="P934" i="1"/>
  <c r="U942" i="1"/>
  <c r="V942" i="1" s="1"/>
  <c r="P942" i="1"/>
  <c r="P950" i="1"/>
  <c r="U950" i="1"/>
  <c r="V950" i="1" s="1"/>
  <c r="U974" i="1"/>
  <c r="V974" i="1" s="1"/>
  <c r="P974" i="1"/>
  <c r="U982" i="1"/>
  <c r="V982" i="1" s="1"/>
  <c r="P982" i="1"/>
  <c r="P990" i="1"/>
  <c r="U990" i="1"/>
  <c r="V990" i="1" s="1"/>
  <c r="U998" i="1"/>
  <c r="V998" i="1" s="1"/>
  <c r="P998" i="1"/>
  <c r="U1022" i="1"/>
  <c r="V1022" i="1" s="1"/>
  <c r="P1022" i="1"/>
  <c r="P1030" i="1"/>
  <c r="U1030" i="1"/>
  <c r="V1030" i="1" s="1"/>
  <c r="P1038" i="1"/>
  <c r="U1038" i="1"/>
  <c r="V1038" i="1" s="1"/>
  <c r="P1046" i="1"/>
  <c r="U1046" i="1"/>
  <c r="V1046" i="1" s="1"/>
  <c r="U1054" i="1"/>
  <c r="V1054" i="1" s="1"/>
  <c r="P1054" i="1"/>
  <c r="U1070" i="1"/>
  <c r="V1070" i="1" s="1"/>
  <c r="P1070" i="1"/>
  <c r="U1078" i="1"/>
  <c r="V1078" i="1" s="1"/>
  <c r="P1078" i="1"/>
  <c r="P1086" i="1"/>
  <c r="U1086" i="1"/>
  <c r="V1086" i="1" s="1"/>
  <c r="P1094" i="1"/>
  <c r="U1094" i="1"/>
  <c r="V1094" i="1" s="1"/>
  <c r="P1102" i="1"/>
  <c r="U1102" i="1"/>
  <c r="V1102" i="1" s="1"/>
  <c r="P1110" i="1"/>
  <c r="U1110" i="1"/>
  <c r="V1110" i="1" s="1"/>
  <c r="P1118" i="1"/>
  <c r="U1118" i="1"/>
  <c r="V1118" i="1" s="1"/>
  <c r="P1126" i="1"/>
  <c r="U1126" i="1"/>
  <c r="V1126" i="1" s="1"/>
  <c r="P1134" i="1"/>
  <c r="U1134" i="1"/>
  <c r="V1134" i="1" s="1"/>
  <c r="U8" i="1"/>
  <c r="V13" i="1"/>
  <c r="V60" i="1"/>
  <c r="V96" i="1"/>
  <c r="V116" i="1"/>
  <c r="V136" i="1"/>
  <c r="V172" i="1"/>
  <c r="V192" i="1"/>
  <c r="V212" i="1"/>
  <c r="V221" i="1"/>
  <c r="V228" i="1"/>
  <c r="V248" i="1"/>
  <c r="V268" i="1"/>
  <c r="V317" i="1"/>
  <c r="P358" i="1"/>
  <c r="U366" i="1"/>
  <c r="V366" i="1" s="1"/>
  <c r="P395" i="1"/>
  <c r="V397" i="1"/>
  <c r="U406" i="1"/>
  <c r="V406" i="1" s="1"/>
  <c r="U408" i="1"/>
  <c r="V408" i="1" s="1"/>
  <c r="V415" i="1"/>
  <c r="V448" i="1"/>
  <c r="V477" i="1"/>
  <c r="V485" i="1"/>
  <c r="P547" i="1"/>
  <c r="U559" i="1"/>
  <c r="V559" i="1" s="1"/>
  <c r="P576" i="1"/>
  <c r="P607" i="1"/>
  <c r="V609" i="1"/>
  <c r="U632" i="1"/>
  <c r="V632" i="1" s="1"/>
  <c r="U635" i="1"/>
  <c r="V635" i="1" s="1"/>
  <c r="V650" i="1"/>
  <c r="P656" i="1"/>
  <c r="U679" i="1"/>
  <c r="V679" i="1" s="1"/>
  <c r="V692" i="1"/>
  <c r="P707" i="1"/>
  <c r="P710" i="1"/>
  <c r="U726" i="1"/>
  <c r="V726" i="1" s="1"/>
  <c r="P736" i="1"/>
  <c r="P783" i="1"/>
  <c r="U790" i="1"/>
  <c r="V790" i="1" s="1"/>
  <c r="U799" i="1"/>
  <c r="V799" i="1" s="1"/>
  <c r="P806" i="1"/>
  <c r="U811" i="1"/>
  <c r="V811" i="1" s="1"/>
  <c r="U819" i="1"/>
  <c r="V819" i="1" s="1"/>
  <c r="U827" i="1"/>
  <c r="V827" i="1" s="1"/>
  <c r="P863" i="1"/>
  <c r="U871" i="1"/>
  <c r="V871" i="1" s="1"/>
  <c r="U883" i="1"/>
  <c r="V883" i="1" s="1"/>
  <c r="P896" i="1"/>
  <c r="U551" i="1"/>
  <c r="V551" i="1" s="1"/>
  <c r="P551" i="1"/>
  <c r="P575" i="1"/>
  <c r="U575" i="1"/>
  <c r="V575" i="1" s="1"/>
  <c r="P615" i="1"/>
  <c r="U615" i="1"/>
  <c r="V615" i="1" s="1"/>
  <c r="U703" i="1"/>
  <c r="V703" i="1" s="1"/>
  <c r="P703" i="1"/>
  <c r="P711" i="1"/>
  <c r="U711" i="1"/>
  <c r="V711" i="1" s="1"/>
  <c r="U719" i="1"/>
  <c r="V719" i="1" s="1"/>
  <c r="P719" i="1"/>
  <c r="P727" i="1"/>
  <c r="U727" i="1"/>
  <c r="V727" i="1" s="1"/>
  <c r="P735" i="1"/>
  <c r="U735" i="1"/>
  <c r="V735" i="1" s="1"/>
  <c r="P751" i="1"/>
  <c r="U751" i="1"/>
  <c r="V751" i="1" s="1"/>
  <c r="P791" i="1"/>
  <c r="U791" i="1"/>
  <c r="V791" i="1" s="1"/>
  <c r="P807" i="1"/>
  <c r="U807" i="1"/>
  <c r="V807" i="1" s="1"/>
  <c r="P831" i="1"/>
  <c r="U831" i="1"/>
  <c r="V831" i="1" s="1"/>
  <c r="P895" i="1"/>
  <c r="U895" i="1"/>
  <c r="V895" i="1" s="1"/>
  <c r="U911" i="1"/>
  <c r="V911" i="1" s="1"/>
  <c r="P911" i="1"/>
  <c r="P959" i="1"/>
  <c r="U959" i="1"/>
  <c r="V959" i="1" s="1"/>
  <c r="P975" i="1"/>
  <c r="U975" i="1"/>
  <c r="V975" i="1" s="1"/>
  <c r="P983" i="1"/>
  <c r="U983" i="1"/>
  <c r="V983" i="1" s="1"/>
  <c r="U991" i="1"/>
  <c r="V991" i="1" s="1"/>
  <c r="P991" i="1"/>
  <c r="U1007" i="1"/>
  <c r="V1007" i="1" s="1"/>
  <c r="P1007" i="1"/>
  <c r="U1031" i="1"/>
  <c r="V1031" i="1" s="1"/>
  <c r="P1031" i="1"/>
  <c r="U1039" i="1"/>
  <c r="V1039" i="1" s="1"/>
  <c r="P1039" i="1"/>
  <c r="P1047" i="1"/>
  <c r="U1047" i="1"/>
  <c r="V1047" i="1" s="1"/>
  <c r="P1055" i="1"/>
  <c r="U1055" i="1"/>
  <c r="V1055" i="1" s="1"/>
  <c r="U1063" i="1"/>
  <c r="V1063" i="1" s="1"/>
  <c r="P1063" i="1"/>
  <c r="U1071" i="1"/>
  <c r="V1071" i="1" s="1"/>
  <c r="P1071" i="1"/>
  <c r="U1079" i="1"/>
  <c r="V1079" i="1" s="1"/>
  <c r="P1079" i="1"/>
  <c r="P1087" i="1"/>
  <c r="U1087" i="1"/>
  <c r="V1087" i="1" s="1"/>
  <c r="U1095" i="1"/>
  <c r="V1095" i="1" s="1"/>
  <c r="P1095" i="1"/>
  <c r="P1103" i="1"/>
  <c r="U1103" i="1"/>
  <c r="V1103" i="1" s="1"/>
  <c r="P1111" i="1"/>
  <c r="U1111" i="1"/>
  <c r="V1111" i="1" s="1"/>
  <c r="U1119" i="1"/>
  <c r="V1119" i="1" s="1"/>
  <c r="P1119" i="1"/>
  <c r="P1127" i="1"/>
  <c r="U1127" i="1"/>
  <c r="V1127" i="1" s="1"/>
  <c r="P1135" i="1"/>
  <c r="U1135" i="1"/>
  <c r="V1135" i="1" s="1"/>
  <c r="V24" i="1"/>
  <c r="V40" i="1"/>
  <c r="V53" i="1"/>
  <c r="V80" i="1"/>
  <c r="V107" i="1"/>
  <c r="V109" i="1"/>
  <c r="V149" i="1"/>
  <c r="V156" i="1"/>
  <c r="V165" i="1"/>
  <c r="V205" i="1"/>
  <c r="V252" i="1"/>
  <c r="V288" i="1"/>
  <c r="P334" i="1"/>
  <c r="U347" i="1"/>
  <c r="V347" i="1" s="1"/>
  <c r="P352" i="1"/>
  <c r="P367" i="1"/>
  <c r="U384" i="1"/>
  <c r="V384" i="1" s="1"/>
  <c r="P387" i="1"/>
  <c r="U455" i="1"/>
  <c r="V455" i="1" s="1"/>
  <c r="V475" i="1"/>
  <c r="U507" i="1"/>
  <c r="V507" i="1" s="1"/>
  <c r="P512" i="1"/>
  <c r="P520" i="1"/>
  <c r="U528" i="1"/>
  <c r="V528" i="1" s="1"/>
  <c r="P563" i="1"/>
  <c r="U643" i="1"/>
  <c r="V643" i="1" s="1"/>
  <c r="P659" i="1"/>
  <c r="U664" i="1"/>
  <c r="V664" i="1" s="1"/>
  <c r="P683" i="1"/>
  <c r="U687" i="1"/>
  <c r="V687" i="1" s="1"/>
  <c r="U744" i="1"/>
  <c r="V744" i="1" s="1"/>
  <c r="P823" i="1"/>
  <c r="U899" i="1"/>
  <c r="V899" i="1" s="1"/>
  <c r="U912" i="1"/>
  <c r="V912" i="1" s="1"/>
  <c r="U919" i="1"/>
  <c r="V919" i="1" s="1"/>
  <c r="U939" i="1"/>
  <c r="V939" i="1" s="1"/>
  <c r="P960" i="1"/>
  <c r="U966" i="1"/>
  <c r="V966" i="1" s="1"/>
  <c r="V275" i="1"/>
  <c r="V291" i="1"/>
  <c r="V355" i="1"/>
  <c r="P440" i="1"/>
  <c r="U440" i="1"/>
  <c r="V440" i="1" s="1"/>
  <c r="U472" i="1"/>
  <c r="V472" i="1" s="1"/>
  <c r="P472" i="1"/>
  <c r="U544" i="1"/>
  <c r="V544" i="1" s="1"/>
  <c r="P544" i="1"/>
  <c r="P608" i="1"/>
  <c r="U608" i="1"/>
  <c r="V608" i="1" s="1"/>
  <c r="P624" i="1"/>
  <c r="U624" i="1"/>
  <c r="V624" i="1" s="1"/>
  <c r="P680" i="1"/>
  <c r="U680" i="1"/>
  <c r="V680" i="1" s="1"/>
  <c r="P704" i="1"/>
  <c r="U704" i="1"/>
  <c r="V704" i="1" s="1"/>
  <c r="P720" i="1"/>
  <c r="U720" i="1"/>
  <c r="V720" i="1" s="1"/>
  <c r="P728" i="1"/>
  <c r="U728" i="1"/>
  <c r="V728" i="1" s="1"/>
  <c r="P760" i="1"/>
  <c r="U760" i="1"/>
  <c r="V760" i="1" s="1"/>
  <c r="U776" i="1"/>
  <c r="V776" i="1" s="1"/>
  <c r="P776" i="1"/>
  <c r="P792" i="1"/>
  <c r="U792" i="1"/>
  <c r="V792" i="1" s="1"/>
  <c r="P848" i="1"/>
  <c r="U848" i="1"/>
  <c r="V848" i="1" s="1"/>
  <c r="P856" i="1"/>
  <c r="U856" i="1"/>
  <c r="V856" i="1" s="1"/>
  <c r="P880" i="1"/>
  <c r="U880" i="1"/>
  <c r="V880" i="1" s="1"/>
  <c r="U888" i="1"/>
  <c r="V888" i="1" s="1"/>
  <c r="P888" i="1"/>
  <c r="U904" i="1"/>
  <c r="V904" i="1" s="1"/>
  <c r="P904" i="1"/>
  <c r="U920" i="1"/>
  <c r="V920" i="1" s="1"/>
  <c r="P920" i="1"/>
  <c r="U928" i="1"/>
  <c r="V928" i="1" s="1"/>
  <c r="P928" i="1"/>
  <c r="U944" i="1"/>
  <c r="V944" i="1" s="1"/>
  <c r="P944" i="1"/>
  <c r="P952" i="1"/>
  <c r="U952" i="1"/>
  <c r="V952" i="1" s="1"/>
  <c r="P968" i="1"/>
  <c r="U968" i="1"/>
  <c r="V968" i="1" s="1"/>
  <c r="P976" i="1"/>
  <c r="U976" i="1"/>
  <c r="V976" i="1" s="1"/>
  <c r="U984" i="1"/>
  <c r="V984" i="1" s="1"/>
  <c r="P984" i="1"/>
  <c r="P992" i="1"/>
  <c r="U992" i="1"/>
  <c r="V992" i="1" s="1"/>
  <c r="U1000" i="1"/>
  <c r="V1000" i="1" s="1"/>
  <c r="P1000" i="1"/>
  <c r="P1008" i="1"/>
  <c r="U1008" i="1"/>
  <c r="V1008" i="1" s="1"/>
  <c r="P1016" i="1"/>
  <c r="U1016" i="1"/>
  <c r="V1016" i="1" s="1"/>
  <c r="P1032" i="1"/>
  <c r="U1032" i="1"/>
  <c r="V1032" i="1" s="1"/>
  <c r="P1040" i="1"/>
  <c r="U1040" i="1"/>
  <c r="V1040" i="1" s="1"/>
  <c r="P1048" i="1"/>
  <c r="U1048" i="1"/>
  <c r="V1048" i="1" s="1"/>
  <c r="P1064" i="1"/>
  <c r="U1064" i="1"/>
  <c r="V1064" i="1" s="1"/>
  <c r="U1072" i="1"/>
  <c r="V1072" i="1" s="1"/>
  <c r="P1072" i="1"/>
  <c r="U1080" i="1"/>
  <c r="V1080" i="1" s="1"/>
  <c r="P1080" i="1"/>
  <c r="P1088" i="1"/>
  <c r="U1088" i="1"/>
  <c r="V1088" i="1" s="1"/>
  <c r="P1096" i="1"/>
  <c r="U1096" i="1"/>
  <c r="V1096" i="1" s="1"/>
  <c r="U1104" i="1"/>
  <c r="V1104" i="1" s="1"/>
  <c r="P1104" i="1"/>
  <c r="P1120" i="1"/>
  <c r="U1120" i="1"/>
  <c r="V1120" i="1" s="1"/>
  <c r="V358" i="1"/>
  <c r="P407" i="1"/>
  <c r="U431" i="1"/>
  <c r="V431" i="1" s="1"/>
  <c r="U435" i="1"/>
  <c r="V435" i="1" s="1"/>
  <c r="U471" i="1"/>
  <c r="V471" i="1" s="1"/>
  <c r="V576" i="1"/>
  <c r="U583" i="1"/>
  <c r="V583" i="1" s="1"/>
  <c r="V607" i="1"/>
  <c r="P623" i="1"/>
  <c r="U630" i="1"/>
  <c r="V630" i="1" s="1"/>
  <c r="P654" i="1"/>
  <c r="U672" i="1"/>
  <c r="V672" i="1" s="1"/>
  <c r="U675" i="1"/>
  <c r="V675" i="1" s="1"/>
  <c r="P750" i="1"/>
  <c r="P767" i="1"/>
  <c r="U847" i="1"/>
  <c r="V847" i="1" s="1"/>
  <c r="P887" i="1"/>
  <c r="U936" i="1"/>
  <c r="V936" i="1" s="1"/>
  <c r="U999" i="1"/>
  <c r="V999" i="1" s="1"/>
  <c r="U1091" i="1"/>
  <c r="V1091" i="1" s="1"/>
  <c r="V421" i="1"/>
  <c r="V741" i="1"/>
  <c r="V896" i="1"/>
  <c r="V960" i="1"/>
  <c r="V1376" i="1"/>
  <c r="V1378" i="1"/>
  <c r="V1380" i="1"/>
  <c r="V1670" i="1"/>
  <c r="V887" i="1"/>
  <c r="V1033" i="1"/>
  <c r="V1246" i="1"/>
  <c r="V808" i="1"/>
  <c r="V1469" i="1"/>
  <c r="V1141" i="1"/>
  <c r="V1143" i="1"/>
  <c r="V1166" i="1"/>
  <c r="V1240" i="1"/>
  <c r="V1329" i="1"/>
  <c r="V1482" i="1"/>
  <c r="V1701" i="1"/>
  <c r="V1796" i="1"/>
  <c r="V1833" i="1"/>
  <c r="V2017" i="1"/>
  <c r="V2046" i="1"/>
  <c r="V2106" i="1"/>
  <c r="V547" i="1"/>
  <c r="V638" i="1"/>
  <c r="V750" i="1"/>
  <c r="V894" i="1"/>
  <c r="V927" i="1"/>
  <c r="V1177" i="1"/>
  <c r="V1216" i="1"/>
  <c r="V1237" i="1"/>
  <c r="V1318" i="1"/>
  <c r="V1363" i="1"/>
  <c r="V1365" i="1"/>
  <c r="V1427" i="1"/>
  <c r="V1429" i="1"/>
  <c r="V1485" i="1"/>
  <c r="V1533" i="1"/>
  <c r="V1560" i="1"/>
  <c r="V1622" i="1"/>
  <c r="V1791" i="1"/>
  <c r="V1909" i="1"/>
  <c r="V549" i="1"/>
  <c r="V567" i="1"/>
  <c r="V627" i="1"/>
  <c r="V647" i="1"/>
  <c r="V654" i="1"/>
  <c r="V781" i="1"/>
  <c r="V783" i="1"/>
  <c r="V810" i="1"/>
  <c r="V863" i="1"/>
  <c r="V886" i="1"/>
  <c r="V1014" i="1"/>
  <c r="V1027" i="1"/>
  <c r="V1524" i="1"/>
  <c r="V1714" i="1"/>
  <c r="V1780" i="1"/>
  <c r="V640" i="1"/>
  <c r="V1201" i="1"/>
  <c r="V1205" i="1"/>
  <c r="V1288" i="1"/>
  <c r="V1352" i="1"/>
  <c r="V1416" i="1"/>
  <c r="V1503" i="1"/>
  <c r="V1509" i="1"/>
  <c r="V1867" i="1"/>
  <c r="V1869" i="1"/>
  <c r="V2197" i="1"/>
  <c r="V2339" i="1"/>
  <c r="V945" i="1"/>
  <c r="V1225" i="1"/>
  <c r="V1229" i="1"/>
  <c r="V1235" i="1"/>
  <c r="V1244" i="1"/>
  <c r="V1267" i="1"/>
  <c r="V1269" i="1"/>
  <c r="V1308" i="1"/>
  <c r="V1312" i="1"/>
  <c r="V1314" i="1"/>
  <c r="V1316" i="1"/>
  <c r="V1370" i="1"/>
  <c r="V1372" i="1"/>
  <c r="V1432" i="1"/>
  <c r="V1434" i="1"/>
  <c r="V1436" i="1"/>
  <c r="V1455" i="1"/>
  <c r="V1474" i="1"/>
  <c r="V1476" i="1"/>
  <c r="V1491" i="1"/>
  <c r="V1493" i="1"/>
  <c r="V1567" i="1"/>
  <c r="V1578" i="1"/>
  <c r="V1584" i="1"/>
  <c r="V1611" i="1"/>
  <c r="V1666" i="1"/>
  <c r="V1668" i="1"/>
  <c r="V1695" i="1"/>
  <c r="V1716" i="1"/>
  <c r="V1827" i="1"/>
  <c r="V1829" i="1"/>
  <c r="V1865" i="1"/>
  <c r="V1905" i="1"/>
  <c r="V1926" i="1"/>
  <c r="V2127" i="1"/>
  <c r="V2164" i="1"/>
  <c r="V2166" i="1"/>
  <c r="V2210" i="1"/>
  <c r="V2327" i="1"/>
  <c r="V2360" i="1"/>
  <c r="V2416" i="1"/>
  <c r="V2891" i="1"/>
  <c r="V1083" i="1"/>
  <c r="V1305" i="1"/>
  <c r="V1545" i="1"/>
  <c r="V1657" i="1"/>
  <c r="V1751" i="1"/>
  <c r="V1818" i="1"/>
  <c r="V1858" i="1"/>
  <c r="V1958" i="1"/>
  <c r="V2114" i="1"/>
  <c r="V2675" i="1"/>
  <c r="V1513" i="1"/>
  <c r="V1585" i="1"/>
  <c r="V1807" i="1"/>
  <c r="V1811" i="1"/>
  <c r="V1834" i="1"/>
  <c r="V1847" i="1"/>
  <c r="V1851" i="1"/>
  <c r="V1870" i="1"/>
  <c r="V1889" i="1"/>
  <c r="V1910" i="1"/>
  <c r="V2016" i="1"/>
  <c r="V2045" i="1"/>
  <c r="V2072" i="1"/>
  <c r="V2078" i="1"/>
  <c r="V2095" i="1"/>
  <c r="V2219" i="1"/>
  <c r="V2221" i="1"/>
  <c r="V2291" i="1"/>
  <c r="V2437" i="1"/>
  <c r="V1169" i="1"/>
  <c r="V1173" i="1"/>
  <c r="V1175" i="1"/>
  <c r="V1190" i="1"/>
  <c r="V1192" i="1"/>
  <c r="V1194" i="1"/>
  <c r="V1196" i="1"/>
  <c r="V1198" i="1"/>
  <c r="V1259" i="1"/>
  <c r="V1285" i="1"/>
  <c r="V1327" i="1"/>
  <c r="V1340" i="1"/>
  <c r="V1383" i="1"/>
  <c r="V1387" i="1"/>
  <c r="V1394" i="1"/>
  <c r="V1400" i="1"/>
  <c r="V1447" i="1"/>
  <c r="V1451" i="1"/>
  <c r="V1458" i="1"/>
  <c r="V1464" i="1"/>
  <c r="V1483" i="1"/>
  <c r="V1502" i="1"/>
  <c r="V1536" i="1"/>
  <c r="V1538" i="1"/>
  <c r="V1540" i="1"/>
  <c r="V1597" i="1"/>
  <c r="V1616" i="1"/>
  <c r="V1618" i="1"/>
  <c r="V1620" i="1"/>
  <c r="V1633" i="1"/>
  <c r="V1918" i="1"/>
  <c r="V1935" i="1"/>
  <c r="V2026" i="1"/>
  <c r="V2105" i="1"/>
  <c r="V2175" i="1"/>
  <c r="V2371" i="1"/>
  <c r="V2790" i="1"/>
  <c r="V3039" i="1"/>
  <c r="V1644" i="1"/>
  <c r="V1649" i="1"/>
  <c r="V1664" i="1"/>
  <c r="V1682" i="1"/>
  <c r="V1684" i="1"/>
  <c r="V1710" i="1"/>
  <c r="V1712" i="1"/>
  <c r="V1719" i="1"/>
  <c r="V1723" i="1"/>
  <c r="V1743" i="1"/>
  <c r="V1758" i="1"/>
  <c r="V1785" i="1"/>
  <c r="V1801" i="1"/>
  <c r="V1825" i="1"/>
  <c r="V1845" i="1"/>
  <c r="V1872" i="1"/>
  <c r="V1876" i="1"/>
  <c r="V1885" i="1"/>
  <c r="V1890" i="1"/>
  <c r="V1892" i="1"/>
  <c r="V1912" i="1"/>
  <c r="V1941" i="1"/>
  <c r="V1952" i="1"/>
  <c r="V1961" i="1"/>
  <c r="V1972" i="1"/>
  <c r="V2001" i="1"/>
  <c r="V2003" i="1"/>
  <c r="V2005" i="1"/>
  <c r="V2010" i="1"/>
  <c r="V2021" i="1"/>
  <c r="V2048" i="1"/>
  <c r="V2057" i="1"/>
  <c r="V2066" i="1"/>
  <c r="V2068" i="1"/>
  <c r="V2099" i="1"/>
  <c r="V2101" i="1"/>
  <c r="V2121" i="1"/>
  <c r="V2158" i="1"/>
  <c r="V2200" i="1"/>
  <c r="V2224" i="1"/>
  <c r="V2228" i="1"/>
  <c r="V2254" i="1"/>
  <c r="V2280" i="1"/>
  <c r="V2282" i="1"/>
  <c r="V2308" i="1"/>
  <c r="V2310" i="1"/>
  <c r="V2365" i="1"/>
  <c r="V2376" i="1"/>
  <c r="V2378" i="1"/>
  <c r="V2391" i="1"/>
  <c r="V2395" i="1"/>
  <c r="V2410" i="1"/>
  <c r="V2419" i="1"/>
  <c r="V2476" i="1"/>
  <c r="V2499" i="1"/>
  <c r="V2526" i="1"/>
  <c r="V3171" i="1"/>
  <c r="V3202" i="1"/>
  <c r="V3597" i="1"/>
  <c r="V1932" i="1"/>
  <c r="V1963" i="1"/>
  <c r="V1965" i="1"/>
  <c r="V2032" i="1"/>
  <c r="V2059" i="1"/>
  <c r="V2061" i="1"/>
  <c r="V2092" i="1"/>
  <c r="V2112" i="1"/>
  <c r="V2123" i="1"/>
  <c r="V2125" i="1"/>
  <c r="V2147" i="1"/>
  <c r="V2173" i="1"/>
  <c r="V2180" i="1"/>
  <c r="V2193" i="1"/>
  <c r="V2208" i="1"/>
  <c r="V2217" i="1"/>
  <c r="V2243" i="1"/>
  <c r="V2297" i="1"/>
  <c r="V2299" i="1"/>
  <c r="V2369" i="1"/>
  <c r="V2448" i="1"/>
  <c r="V2450" i="1"/>
  <c r="V2452" i="1"/>
  <c r="V2469" i="1"/>
  <c r="V2480" i="1"/>
  <c r="V2669" i="1"/>
  <c r="V2717" i="1"/>
  <c r="V2908" i="1"/>
  <c r="V3107" i="1"/>
  <c r="V3148" i="1"/>
  <c r="V3150" i="1"/>
  <c r="V3152" i="1"/>
  <c r="V3543" i="1"/>
  <c r="V4016" i="1"/>
  <c r="V4209" i="1"/>
  <c r="V4211" i="1"/>
  <c r="V1024" i="1"/>
  <c r="V1142" i="1"/>
  <c r="V1153" i="1"/>
  <c r="V1181" i="1"/>
  <c r="V1183" i="1"/>
  <c r="V1230" i="1"/>
  <c r="V1254" i="1"/>
  <c r="V1278" i="1"/>
  <c r="V1311" i="1"/>
  <c r="V1344" i="1"/>
  <c r="V1388" i="1"/>
  <c r="V1586" i="1"/>
  <c r="V1641" i="1"/>
  <c r="V1775" i="1"/>
  <c r="V1882" i="1"/>
  <c r="V1938" i="1"/>
  <c r="V2018" i="1"/>
  <c r="V2266" i="1"/>
  <c r="V2519" i="1"/>
  <c r="V2571" i="1"/>
  <c r="V2679" i="1"/>
  <c r="V2683" i="1"/>
  <c r="V935" i="1"/>
  <c r="V1056" i="1"/>
  <c r="V1215" i="1"/>
  <c r="V1289" i="1"/>
  <c r="V1353" i="1"/>
  <c r="V1488" i="1"/>
  <c r="V1577" i="1"/>
  <c r="V1711" i="1"/>
  <c r="V1746" i="1"/>
  <c r="V1759" i="1"/>
  <c r="V2002" i="1"/>
  <c r="V2170" i="1"/>
  <c r="V2347" i="1"/>
  <c r="V2379" i="1"/>
  <c r="V2523" i="1"/>
  <c r="V2579" i="1"/>
  <c r="V2958" i="1"/>
  <c r="V3022" i="1"/>
  <c r="V3211" i="1"/>
  <c r="V1163" i="1"/>
  <c r="V1178" i="1"/>
  <c r="V1208" i="1"/>
  <c r="V1219" i="1"/>
  <c r="V1234" i="1"/>
  <c r="V1247" i="1"/>
  <c r="V1266" i="1"/>
  <c r="V1268" i="1"/>
  <c r="V1273" i="1"/>
  <c r="V1275" i="1"/>
  <c r="V1284" i="1"/>
  <c r="V1295" i="1"/>
  <c r="V1319" i="1"/>
  <c r="V1330" i="1"/>
  <c r="V1332" i="1"/>
  <c r="V1337" i="1"/>
  <c r="V1339" i="1"/>
  <c r="V1368" i="1"/>
  <c r="V1377" i="1"/>
  <c r="V1412" i="1"/>
  <c r="V1417" i="1"/>
  <c r="V1419" i="1"/>
  <c r="V1439" i="1"/>
  <c r="V1472" i="1"/>
  <c r="V1490" i="1"/>
  <c r="V1492" i="1"/>
  <c r="V1514" i="1"/>
  <c r="V1516" i="1"/>
  <c r="V1532" i="1"/>
  <c r="V1559" i="1"/>
  <c r="V1594" i="1"/>
  <c r="V1596" i="1"/>
  <c r="V1623" i="1"/>
  <c r="V1647" i="1"/>
  <c r="V1656" i="1"/>
  <c r="V1658" i="1"/>
  <c r="V1660" i="1"/>
  <c r="V1687" i="1"/>
  <c r="V1715" i="1"/>
  <c r="V1737" i="1"/>
  <c r="V1748" i="1"/>
  <c r="V1752" i="1"/>
  <c r="V1768" i="1"/>
  <c r="V1790" i="1"/>
  <c r="V1819" i="1"/>
  <c r="V1821" i="1"/>
  <c r="V1888" i="1"/>
  <c r="V1897" i="1"/>
  <c r="V1906" i="1"/>
  <c r="V1908" i="1"/>
  <c r="V1917" i="1"/>
  <c r="V1922" i="1"/>
  <c r="V1924" i="1"/>
  <c r="V1944" i="1"/>
  <c r="V1957" i="1"/>
  <c r="V1977" i="1"/>
  <c r="V1995" i="1"/>
  <c r="V1997" i="1"/>
  <c r="V2037" i="1"/>
  <c r="V2042" i="1"/>
  <c r="V2053" i="1"/>
  <c r="V2073" i="1"/>
  <c r="V2075" i="1"/>
  <c r="V2077" i="1"/>
  <c r="V2082" i="1"/>
  <c r="V2084" i="1"/>
  <c r="V2128" i="1"/>
  <c r="V2132" i="1"/>
  <c r="V2141" i="1"/>
  <c r="V2146" i="1"/>
  <c r="V2165" i="1"/>
  <c r="V2183" i="1"/>
  <c r="V2194" i="1"/>
  <c r="V2233" i="1"/>
  <c r="V2235" i="1"/>
  <c r="V2237" i="1"/>
  <c r="V2272" i="1"/>
  <c r="V2289" i="1"/>
  <c r="V2302" i="1"/>
  <c r="V2315" i="1"/>
  <c r="V2323" i="1"/>
  <c r="V2334" i="1"/>
  <c r="V2338" i="1"/>
  <c r="V2432" i="1"/>
  <c r="V2436" i="1"/>
  <c r="V2438" i="1"/>
  <c r="V2451" i="1"/>
  <c r="V2483" i="1"/>
  <c r="V2489" i="1"/>
  <c r="V2493" i="1"/>
  <c r="V2535" i="1"/>
  <c r="V2564" i="1"/>
  <c r="V2566" i="1"/>
  <c r="V2583" i="1"/>
  <c r="V2587" i="1"/>
  <c r="V2786" i="1"/>
  <c r="V2788" i="1"/>
  <c r="V3221" i="1"/>
  <c r="V3225" i="1"/>
  <c r="V2091" i="1"/>
  <c r="V2093" i="1"/>
  <c r="V2098" i="1"/>
  <c r="V2160" i="1"/>
  <c r="V2187" i="1"/>
  <c r="V2189" i="1"/>
  <c r="V2220" i="1"/>
  <c r="V2244" i="1"/>
  <c r="V2257" i="1"/>
  <c r="V2259" i="1"/>
  <c r="V2261" i="1"/>
  <c r="V2279" i="1"/>
  <c r="V2344" i="1"/>
  <c r="V2346" i="1"/>
  <c r="V2352" i="1"/>
  <c r="V2361" i="1"/>
  <c r="V2372" i="1"/>
  <c r="V2385" i="1"/>
  <c r="V2389" i="1"/>
  <c r="V2411" i="1"/>
  <c r="V2426" i="1"/>
  <c r="V2428" i="1"/>
  <c r="V2443" i="1"/>
  <c r="V2488" i="1"/>
  <c r="V2490" i="1"/>
  <c r="V2492" i="1"/>
  <c r="V2494" i="1"/>
  <c r="V2530" i="1"/>
  <c r="V2532" i="1"/>
  <c r="V2547" i="1"/>
  <c r="V2553" i="1"/>
  <c r="V2557" i="1"/>
  <c r="V2568" i="1"/>
  <c r="V2570" i="1"/>
  <c r="V2628" i="1"/>
  <c r="V2643" i="1"/>
  <c r="V2647" i="1"/>
  <c r="V2653" i="1"/>
  <c r="V2729" i="1"/>
  <c r="V2733" i="1"/>
  <c r="V2771" i="1"/>
  <c r="V2781" i="1"/>
  <c r="V2835" i="1"/>
  <c r="V2957" i="1"/>
  <c r="V3090" i="1"/>
  <c r="V3092" i="1"/>
  <c r="V3133" i="1"/>
  <c r="V3265" i="1"/>
  <c r="V3524" i="1"/>
  <c r="V3528" i="1"/>
  <c r="V3892" i="1"/>
  <c r="V3894" i="1"/>
  <c r="V3896" i="1"/>
  <c r="V3898" i="1"/>
  <c r="V2737" i="1"/>
  <c r="V2741" i="1"/>
  <c r="V2756" i="1"/>
  <c r="V2820" i="1"/>
  <c r="V2872" i="1"/>
  <c r="V2874" i="1"/>
  <c r="V2876" i="1"/>
  <c r="V3050" i="1"/>
  <c r="V3139" i="1"/>
  <c r="V3226" i="1"/>
  <c r="V3485" i="1"/>
  <c r="V3487" i="1"/>
  <c r="V3491" i="1"/>
  <c r="V2540" i="1"/>
  <c r="V2542" i="1"/>
  <c r="V2605" i="1"/>
  <c r="V2609" i="1"/>
  <c r="V2613" i="1"/>
  <c r="V2617" i="1"/>
  <c r="V2621" i="1"/>
  <c r="V2636" i="1"/>
  <c r="V2638" i="1"/>
  <c r="V2701" i="1"/>
  <c r="V2722" i="1"/>
  <c r="V2724" i="1"/>
  <c r="V3355" i="1"/>
  <c r="V3630" i="1"/>
  <c r="V3636" i="1"/>
  <c r="V3638" i="1"/>
  <c r="V3640" i="1"/>
  <c r="V3852" i="1"/>
  <c r="V4105" i="1"/>
  <c r="V2625" i="1"/>
  <c r="V2699" i="1"/>
  <c r="V2705" i="1"/>
  <c r="V2709" i="1"/>
  <c r="V2743" i="1"/>
  <c r="V2747" i="1"/>
  <c r="V2799" i="1"/>
  <c r="V2801" i="1"/>
  <c r="V2805" i="1"/>
  <c r="V2838" i="1"/>
  <c r="V2925" i="1"/>
  <c r="V2981" i="1"/>
  <c r="V2994" i="1"/>
  <c r="V2996" i="1"/>
  <c r="V2998" i="1"/>
  <c r="V3120" i="1"/>
  <c r="V3295" i="1"/>
  <c r="V3316" i="1"/>
  <c r="V3754" i="1"/>
  <c r="V3767" i="1"/>
  <c r="V3790" i="1"/>
  <c r="V2763" i="1"/>
  <c r="V2797" i="1"/>
  <c r="V2816" i="1"/>
  <c r="V2829" i="1"/>
  <c r="V2853" i="1"/>
  <c r="V2864" i="1"/>
  <c r="V2866" i="1"/>
  <c r="V2868" i="1"/>
  <c r="V2883" i="1"/>
  <c r="V2917" i="1"/>
  <c r="V2936" i="1"/>
  <c r="V2938" i="1"/>
  <c r="V2940" i="1"/>
  <c r="V2947" i="1"/>
  <c r="V2960" i="1"/>
  <c r="V2962" i="1"/>
  <c r="V2964" i="1"/>
  <c r="V2988" i="1"/>
  <c r="V3007" i="1"/>
  <c r="V3013" i="1"/>
  <c r="V3024" i="1"/>
  <c r="V3026" i="1"/>
  <c r="V3028" i="1"/>
  <c r="V3045" i="1"/>
  <c r="V3063" i="1"/>
  <c r="V3073" i="1"/>
  <c r="V3129" i="1"/>
  <c r="V3159" i="1"/>
  <c r="V3163" i="1"/>
  <c r="V3165" i="1"/>
  <c r="V3180" i="1"/>
  <c r="V3182" i="1"/>
  <c r="V3193" i="1"/>
  <c r="V3206" i="1"/>
  <c r="V3228" i="1"/>
  <c r="V3251" i="1"/>
  <c r="V3268" i="1"/>
  <c r="V3310" i="1"/>
  <c r="V3329" i="1"/>
  <c r="V3331" i="1"/>
  <c r="V3408" i="1"/>
  <c r="V3425" i="1"/>
  <c r="V3427" i="1"/>
  <c r="V3479" i="1"/>
  <c r="V3552" i="1"/>
  <c r="V3774" i="1"/>
  <c r="V3867" i="1"/>
  <c r="V3928" i="1"/>
  <c r="V3941" i="1"/>
  <c r="V4049" i="1"/>
  <c r="V2503" i="1"/>
  <c r="V2509" i="1"/>
  <c r="V2522" i="1"/>
  <c r="V2524" i="1"/>
  <c r="V2531" i="1"/>
  <c r="V2559" i="1"/>
  <c r="V2565" i="1"/>
  <c r="V2608" i="1"/>
  <c r="V2610" i="1"/>
  <c r="V2612" i="1"/>
  <c r="V2627" i="1"/>
  <c r="V2640" i="1"/>
  <c r="V2642" i="1"/>
  <c r="V2644" i="1"/>
  <c r="V2687" i="1"/>
  <c r="V2689" i="1"/>
  <c r="V2751" i="1"/>
  <c r="V2796" i="1"/>
  <c r="V2807" i="1"/>
  <c r="V2811" i="1"/>
  <c r="V2828" i="1"/>
  <c r="V2839" i="1"/>
  <c r="V2850" i="1"/>
  <c r="V2852" i="1"/>
  <c r="V2859" i="1"/>
  <c r="V2865" i="1"/>
  <c r="V2869" i="1"/>
  <c r="V2899" i="1"/>
  <c r="V2914" i="1"/>
  <c r="V2916" i="1"/>
  <c r="V2927" i="1"/>
  <c r="V2931" i="1"/>
  <c r="V2937" i="1"/>
  <c r="V2941" i="1"/>
  <c r="V2961" i="1"/>
  <c r="V2965" i="1"/>
  <c r="V3012" i="1"/>
  <c r="V3025" i="1"/>
  <c r="V3029" i="1"/>
  <c r="V3042" i="1"/>
  <c r="V3044" i="1"/>
  <c r="V3051" i="1"/>
  <c r="V3068" i="1"/>
  <c r="V3070" i="1"/>
  <c r="V3085" i="1"/>
  <c r="V3113" i="1"/>
  <c r="V3122" i="1"/>
  <c r="V3124" i="1"/>
  <c r="V3128" i="1"/>
  <c r="V3130" i="1"/>
  <c r="V3164" i="1"/>
  <c r="V3166" i="1"/>
  <c r="V3168" i="1"/>
  <c r="V3179" i="1"/>
  <c r="V3203" i="1"/>
  <c r="V3252" i="1"/>
  <c r="V3303" i="1"/>
  <c r="V3332" i="1"/>
  <c r="V3334" i="1"/>
  <c r="V3338" i="1"/>
  <c r="V3407" i="1"/>
  <c r="V3428" i="1"/>
  <c r="V3430" i="1"/>
  <c r="V3434" i="1"/>
  <c r="V3438" i="1"/>
  <c r="V3613" i="1"/>
  <c r="V3648" i="1"/>
  <c r="V3652" i="1"/>
  <c r="V3777" i="1"/>
  <c r="V5049" i="1"/>
  <c r="V2256" i="1"/>
  <c r="V2260" i="1"/>
  <c r="V2269" i="1"/>
  <c r="V2283" i="1"/>
  <c r="V2312" i="1"/>
  <c r="V2314" i="1"/>
  <c r="V2316" i="1"/>
  <c r="V2320" i="1"/>
  <c r="V2322" i="1"/>
  <c r="V2340" i="1"/>
  <c r="V2355" i="1"/>
  <c r="V2394" i="1"/>
  <c r="V2396" i="1"/>
  <c r="V2405" i="1"/>
  <c r="V2423" i="1"/>
  <c r="V2425" i="1"/>
  <c r="V2429" i="1"/>
  <c r="V2444" i="1"/>
  <c r="V2455" i="1"/>
  <c r="V2461" i="1"/>
  <c r="V2468" i="1"/>
  <c r="V2475" i="1"/>
  <c r="V2496" i="1"/>
  <c r="V2500" i="1"/>
  <c r="V2513" i="1"/>
  <c r="V2517" i="1"/>
  <c r="V2541" i="1"/>
  <c r="V2552" i="1"/>
  <c r="V2554" i="1"/>
  <c r="V2556" i="1"/>
  <c r="V2586" i="1"/>
  <c r="V2588" i="1"/>
  <c r="V2595" i="1"/>
  <c r="V2624" i="1"/>
  <c r="V2637" i="1"/>
  <c r="V2648" i="1"/>
  <c r="V2652" i="1"/>
  <c r="V2659" i="1"/>
  <c r="V2680" i="1"/>
  <c r="V2682" i="1"/>
  <c r="V2684" i="1"/>
  <c r="V2691" i="1"/>
  <c r="V2714" i="1"/>
  <c r="V2716" i="1"/>
  <c r="V2723" i="1"/>
  <c r="V2744" i="1"/>
  <c r="V2746" i="1"/>
  <c r="V2748" i="1"/>
  <c r="V2755" i="1"/>
  <c r="V2778" i="1"/>
  <c r="V2780" i="1"/>
  <c r="V2787" i="1"/>
  <c r="V2802" i="1"/>
  <c r="V2804" i="1"/>
  <c r="V2819" i="1"/>
  <c r="V2832" i="1"/>
  <c r="V2834" i="1"/>
  <c r="V2836" i="1"/>
  <c r="V2843" i="1"/>
  <c r="V2856" i="1"/>
  <c r="V2871" i="1"/>
  <c r="V2875" i="1"/>
  <c r="V2907" i="1"/>
  <c r="V2920" i="1"/>
  <c r="V2922" i="1"/>
  <c r="V2924" i="1"/>
  <c r="V2943" i="1"/>
  <c r="V2945" i="1"/>
  <c r="V2956" i="1"/>
  <c r="V2967" i="1"/>
  <c r="V2973" i="1"/>
  <c r="V2991" i="1"/>
  <c r="V2993" i="1"/>
  <c r="V2997" i="1"/>
  <c r="V3001" i="1"/>
  <c r="V3005" i="1"/>
  <c r="V3020" i="1"/>
  <c r="V3031" i="1"/>
  <c r="V3035" i="1"/>
  <c r="V3048" i="1"/>
  <c r="V3057" i="1"/>
  <c r="V3061" i="1"/>
  <c r="V3076" i="1"/>
  <c r="V3091" i="1"/>
  <c r="V3106" i="1"/>
  <c r="V3138" i="1"/>
  <c r="V3196" i="1"/>
  <c r="V3198" i="1"/>
  <c r="V3200" i="1"/>
  <c r="V3220" i="1"/>
  <c r="V3222" i="1"/>
  <c r="V3224" i="1"/>
  <c r="V3239" i="1"/>
  <c r="V3262" i="1"/>
  <c r="V3271" i="1"/>
  <c r="V3292" i="1"/>
  <c r="V3321" i="1"/>
  <c r="V3348" i="1"/>
  <c r="V3354" i="1"/>
  <c r="V3421" i="1"/>
  <c r="V3544" i="1"/>
  <c r="V3567" i="1"/>
  <c r="V3569" i="1"/>
  <c r="V3571" i="1"/>
  <c r="V3600" i="1"/>
  <c r="V3724" i="1"/>
  <c r="V3726" i="1"/>
  <c r="V3747" i="1"/>
  <c r="V3749" i="1"/>
  <c r="V3770" i="1"/>
  <c r="V3826" i="1"/>
  <c r="V3828" i="1"/>
  <c r="V3832" i="1"/>
  <c r="V3889" i="1"/>
  <c r="V3980" i="1"/>
  <c r="V3982" i="1"/>
  <c r="V4061" i="1"/>
  <c r="V4196" i="1"/>
  <c r="V4257" i="1"/>
  <c r="V4565" i="1"/>
  <c r="V2989" i="1"/>
  <c r="V3019" i="1"/>
  <c r="V3049" i="1"/>
  <c r="V3058" i="1"/>
  <c r="V3060" i="1"/>
  <c r="V3084" i="1"/>
  <c r="V3086" i="1"/>
  <c r="V3095" i="1"/>
  <c r="V3108" i="1"/>
  <c r="V3134" i="1"/>
  <c r="V3143" i="1"/>
  <c r="V3154" i="1"/>
  <c r="V3156" i="1"/>
  <c r="V3160" i="1"/>
  <c r="V3177" i="1"/>
  <c r="V3197" i="1"/>
  <c r="V3201" i="1"/>
  <c r="V3208" i="1"/>
  <c r="V3217" i="1"/>
  <c r="V3243" i="1"/>
  <c r="V3249" i="1"/>
  <c r="V3284" i="1"/>
  <c r="V3286" i="1"/>
  <c r="V3288" i="1"/>
  <c r="V3301" i="1"/>
  <c r="V3368" i="1"/>
  <c r="V3379" i="1"/>
  <c r="V3383" i="1"/>
  <c r="V3388" i="1"/>
  <c r="V3442" i="1"/>
  <c r="V3453" i="1"/>
  <c r="V3455" i="1"/>
  <c r="V3464" i="1"/>
  <c r="V3470" i="1"/>
  <c r="V3481" i="1"/>
  <c r="V3498" i="1"/>
  <c r="V3522" i="1"/>
  <c r="V3550" i="1"/>
  <c r="V3578" i="1"/>
  <c r="V3589" i="1"/>
  <c r="V3591" i="1"/>
  <c r="V3593" i="1"/>
  <c r="V3610" i="1"/>
  <c r="V3621" i="1"/>
  <c r="V3623" i="1"/>
  <c r="V3625" i="1"/>
  <c r="V3682" i="1"/>
  <c r="V3706" i="1"/>
  <c r="V3712" i="1"/>
  <c r="V3714" i="1"/>
  <c r="V3716" i="1"/>
  <c r="V3720" i="1"/>
  <c r="V3733" i="1"/>
  <c r="V3739" i="1"/>
  <c r="V3743" i="1"/>
  <c r="V3779" i="1"/>
  <c r="V3781" i="1"/>
  <c r="V3820" i="1"/>
  <c r="V3822" i="1"/>
  <c r="V3824" i="1"/>
  <c r="V3844" i="1"/>
  <c r="V3846" i="1"/>
  <c r="V3848" i="1"/>
  <c r="V3857" i="1"/>
  <c r="V3861" i="1"/>
  <c r="V3874" i="1"/>
  <c r="V3876" i="1"/>
  <c r="V3883" i="1"/>
  <c r="V3887" i="1"/>
  <c r="V3902" i="1"/>
  <c r="V3904" i="1"/>
  <c r="V3906" i="1"/>
  <c r="V3917" i="1"/>
  <c r="V3919" i="1"/>
  <c r="V3936" i="1"/>
  <c r="V3953" i="1"/>
  <c r="V3993" i="1"/>
  <c r="V4093" i="1"/>
  <c r="V4157" i="1"/>
  <c r="V4180" i="1"/>
  <c r="V4219" i="1"/>
  <c r="V4274" i="1"/>
  <c r="V4276" i="1"/>
  <c r="V4347" i="1"/>
  <c r="V4426" i="1"/>
  <c r="V4428" i="1"/>
  <c r="V4449" i="1"/>
  <c r="V4453" i="1"/>
  <c r="V4493" i="1"/>
  <c r="V3140" i="1"/>
  <c r="V3155" i="1"/>
  <c r="V3170" i="1"/>
  <c r="V3227" i="1"/>
  <c r="V3233" i="1"/>
  <c r="V3257" i="1"/>
  <c r="V3277" i="1"/>
  <c r="V3281" i="1"/>
  <c r="V3307" i="1"/>
  <c r="V3313" i="1"/>
  <c r="V3339" i="1"/>
  <c r="V3343" i="1"/>
  <c r="V3365" i="1"/>
  <c r="V3367" i="1"/>
  <c r="V3380" i="1"/>
  <c r="V3396" i="1"/>
  <c r="V3398" i="1"/>
  <c r="V3420" i="1"/>
  <c r="V3435" i="1"/>
  <c r="V3450" i="1"/>
  <c r="V3461" i="1"/>
  <c r="V3476" i="1"/>
  <c r="V3504" i="1"/>
  <c r="V3517" i="1"/>
  <c r="V3532" i="1"/>
  <c r="V3538" i="1"/>
  <c r="V3558" i="1"/>
  <c r="V3562" i="1"/>
  <c r="V3586" i="1"/>
  <c r="V3618" i="1"/>
  <c r="V3633" i="1"/>
  <c r="V3656" i="1"/>
  <c r="V3673" i="1"/>
  <c r="V3677" i="1"/>
  <c r="V3679" i="1"/>
  <c r="V3688" i="1"/>
  <c r="V3692" i="1"/>
  <c r="V3694" i="1"/>
  <c r="V3701" i="1"/>
  <c r="V3709" i="1"/>
  <c r="V3711" i="1"/>
  <c r="V3713" i="1"/>
  <c r="V3730" i="1"/>
  <c r="V3789" i="1"/>
  <c r="V3791" i="1"/>
  <c r="V3802" i="1"/>
  <c r="V3856" i="1"/>
  <c r="V3858" i="1"/>
  <c r="V3860" i="1"/>
  <c r="V3893" i="1"/>
  <c r="V3931" i="1"/>
  <c r="V3946" i="1"/>
  <c r="V3969" i="1"/>
  <c r="V3973" i="1"/>
  <c r="V3992" i="1"/>
  <c r="V4025" i="1"/>
  <c r="V4052" i="1"/>
  <c r="V4054" i="1"/>
  <c r="V4069" i="1"/>
  <c r="V4121" i="1"/>
  <c r="V4204" i="1"/>
  <c r="V4315" i="1"/>
  <c r="V4625" i="1"/>
  <c r="V3272" i="1"/>
  <c r="V3283" i="1"/>
  <c r="V3287" i="1"/>
  <c r="V3304" i="1"/>
  <c r="V3324" i="1"/>
  <c r="V3328" i="1"/>
  <c r="V3330" i="1"/>
  <c r="V3351" i="1"/>
  <c r="V3371" i="1"/>
  <c r="V3375" i="1"/>
  <c r="V3404" i="1"/>
  <c r="V3406" i="1"/>
  <c r="V3426" i="1"/>
  <c r="V3452" i="1"/>
  <c r="V3456" i="1"/>
  <c r="V3490" i="1"/>
  <c r="V3514" i="1"/>
  <c r="V3527" i="1"/>
  <c r="V3529" i="1"/>
  <c r="V3549" i="1"/>
  <c r="V3553" i="1"/>
  <c r="V3564" i="1"/>
  <c r="V3566" i="1"/>
  <c r="V3570" i="1"/>
  <c r="V3588" i="1"/>
  <c r="V3592" i="1"/>
  <c r="V3605" i="1"/>
  <c r="V3620" i="1"/>
  <c r="V3624" i="1"/>
  <c r="V3643" i="1"/>
  <c r="V3645" i="1"/>
  <c r="V3723" i="1"/>
  <c r="V3725" i="1"/>
  <c r="V3727" i="1"/>
  <c r="V3750" i="1"/>
  <c r="V3759" i="1"/>
  <c r="V3766" i="1"/>
  <c r="V3797" i="1"/>
  <c r="V3821" i="1"/>
  <c r="V3838" i="1"/>
  <c r="V3866" i="1"/>
  <c r="V3868" i="1"/>
  <c r="V3901" i="1"/>
  <c r="V3905" i="1"/>
  <c r="V3924" i="1"/>
  <c r="V4002" i="1"/>
  <c r="V4004" i="1"/>
  <c r="V4006" i="1"/>
  <c r="V4041" i="1"/>
  <c r="V4058" i="1"/>
  <c r="V4104" i="1"/>
  <c r="V4193" i="1"/>
  <c r="V4195" i="1"/>
  <c r="V4243" i="1"/>
  <c r="V4285" i="1"/>
  <c r="V4321" i="1"/>
  <c r="V4350" i="1"/>
  <c r="V4369" i="1"/>
  <c r="V4585" i="1"/>
  <c r="V4786" i="1"/>
  <c r="V4845" i="1"/>
  <c r="V3653" i="1"/>
  <c r="V3657" i="1"/>
  <c r="V3659" i="1"/>
  <c r="V3664" i="1"/>
  <c r="V3668" i="1"/>
  <c r="V3698" i="1"/>
  <c r="V3715" i="1"/>
  <c r="V3717" i="1"/>
  <c r="V3732" i="1"/>
  <c r="V3736" i="1"/>
  <c r="V3740" i="1"/>
  <c r="V3742" i="1"/>
  <c r="V3762" i="1"/>
  <c r="V3787" i="1"/>
  <c r="V3794" i="1"/>
  <c r="V3814" i="1"/>
  <c r="V3816" i="1"/>
  <c r="V3851" i="1"/>
  <c r="V3864" i="1"/>
  <c r="V3884" i="1"/>
  <c r="V3886" i="1"/>
  <c r="V3914" i="1"/>
  <c r="V3925" i="1"/>
  <c r="V3938" i="1"/>
  <c r="V3947" i="1"/>
  <c r="V3960" i="1"/>
  <c r="V3988" i="1"/>
  <c r="V3997" i="1"/>
  <c r="V4010" i="1"/>
  <c r="V4012" i="1"/>
  <c r="V4019" i="1"/>
  <c r="V4036" i="1"/>
  <c r="V4085" i="1"/>
  <c r="V4100" i="1"/>
  <c r="V4117" i="1"/>
  <c r="V4130" i="1"/>
  <c r="V4139" i="1"/>
  <c r="V4141" i="1"/>
  <c r="V4143" i="1"/>
  <c r="V4161" i="1"/>
  <c r="V4170" i="1"/>
  <c r="V4189" i="1"/>
  <c r="V4191" i="1"/>
  <c r="V4213" i="1"/>
  <c r="V4239" i="1"/>
  <c r="V4250" i="1"/>
  <c r="V4283" i="1"/>
  <c r="V4288" i="1"/>
  <c r="V4297" i="1"/>
  <c r="V4326" i="1"/>
  <c r="V4343" i="1"/>
  <c r="V4352" i="1"/>
  <c r="V4365" i="1"/>
  <c r="V4378" i="1"/>
  <c r="V4380" i="1"/>
  <c r="V4382" i="1"/>
  <c r="V4384" i="1"/>
  <c r="V4397" i="1"/>
  <c r="V4467" i="1"/>
  <c r="V4478" i="1"/>
  <c r="V4487" i="1"/>
  <c r="V4553" i="1"/>
  <c r="V4666" i="1"/>
  <c r="V4744" i="1"/>
  <c r="V4775" i="1"/>
  <c r="V4878" i="1"/>
  <c r="V5346" i="1"/>
  <c r="V5412" i="1"/>
  <c r="V3955" i="1"/>
  <c r="V3970" i="1"/>
  <c r="V3981" i="1"/>
  <c r="V3983" i="1"/>
  <c r="V3996" i="1"/>
  <c r="V4005" i="1"/>
  <c r="V4029" i="1"/>
  <c r="V4031" i="1"/>
  <c r="V4053" i="1"/>
  <c r="V4055" i="1"/>
  <c r="V4084" i="1"/>
  <c r="V4108" i="1"/>
  <c r="V4114" i="1"/>
  <c r="V4125" i="1"/>
  <c r="V4127" i="1"/>
  <c r="V4184" i="1"/>
  <c r="V4186" i="1"/>
  <c r="V4223" i="1"/>
  <c r="V4232" i="1"/>
  <c r="V4245" i="1"/>
  <c r="V4256" i="1"/>
  <c r="V4258" i="1"/>
  <c r="V4267" i="1"/>
  <c r="V4278" i="1"/>
  <c r="V4289" i="1"/>
  <c r="V4291" i="1"/>
  <c r="V4307" i="1"/>
  <c r="V4338" i="1"/>
  <c r="V4340" i="1"/>
  <c r="V4375" i="1"/>
  <c r="V4403" i="1"/>
  <c r="V4442" i="1"/>
  <c r="V4473" i="1"/>
  <c r="V4501" i="1"/>
  <c r="V4524" i="1"/>
  <c r="V4528" i="1"/>
  <c r="V4550" i="1"/>
  <c r="V4588" i="1"/>
  <c r="V4592" i="1"/>
  <c r="V4594" i="1"/>
  <c r="V4611" i="1"/>
  <c r="V4661" i="1"/>
  <c r="V4725" i="1"/>
  <c r="V4729" i="1"/>
  <c r="V4731" i="1"/>
  <c r="V4822" i="1"/>
  <c r="V4857" i="1"/>
  <c r="V4859" i="1"/>
  <c r="V5054" i="1"/>
  <c r="V3963" i="1"/>
  <c r="V3989" i="1"/>
  <c r="V3991" i="1"/>
  <c r="V4013" i="1"/>
  <c r="V4015" i="1"/>
  <c r="V4024" i="1"/>
  <c r="V4037" i="1"/>
  <c r="V4048" i="1"/>
  <c r="V4066" i="1"/>
  <c r="V4068" i="1"/>
  <c r="V4092" i="1"/>
  <c r="V4116" i="1"/>
  <c r="V4140" i="1"/>
  <c r="V4155" i="1"/>
  <c r="V4169" i="1"/>
  <c r="V4179" i="1"/>
  <c r="V4181" i="1"/>
  <c r="V4194" i="1"/>
  <c r="V4203" i="1"/>
  <c r="V4205" i="1"/>
  <c r="V4207" i="1"/>
  <c r="V4249" i="1"/>
  <c r="V4262" i="1"/>
  <c r="V4271" i="1"/>
  <c r="V4273" i="1"/>
  <c r="V4275" i="1"/>
  <c r="V4311" i="1"/>
  <c r="V4381" i="1"/>
  <c r="V4385" i="1"/>
  <c r="V4418" i="1"/>
  <c r="V4422" i="1"/>
  <c r="V4424" i="1"/>
  <c r="V4446" i="1"/>
  <c r="V4452" i="1"/>
  <c r="V4461" i="1"/>
  <c r="V4515" i="1"/>
  <c r="V4543" i="1"/>
  <c r="V4568" i="1"/>
  <c r="V4570" i="1"/>
  <c r="V4598" i="1"/>
  <c r="V4600" i="1"/>
  <c r="V4602" i="1"/>
  <c r="V4704" i="1"/>
  <c r="V4838" i="1"/>
  <c r="V4842" i="1"/>
  <c r="V4881" i="1"/>
  <c r="V4883" i="1"/>
  <c r="V5084" i="1"/>
  <c r="V5200" i="1"/>
  <c r="V4320" i="1"/>
  <c r="V4322" i="1"/>
  <c r="V4331" i="1"/>
  <c r="V4342" i="1"/>
  <c r="V4353" i="1"/>
  <c r="V4355" i="1"/>
  <c r="V4371" i="1"/>
  <c r="V4386" i="1"/>
  <c r="V4390" i="1"/>
  <c r="V4392" i="1"/>
  <c r="V4410" i="1"/>
  <c r="V4417" i="1"/>
  <c r="V4443" i="1"/>
  <c r="V4456" i="1"/>
  <c r="V4474" i="1"/>
  <c r="V4481" i="1"/>
  <c r="V4492" i="1"/>
  <c r="V4520" i="1"/>
  <c r="V4557" i="1"/>
  <c r="V4559" i="1"/>
  <c r="V4616" i="1"/>
  <c r="V4633" i="1"/>
  <c r="V4646" i="1"/>
  <c r="V4713" i="1"/>
  <c r="V4715" i="1"/>
  <c r="V4717" i="1"/>
  <c r="V4721" i="1"/>
  <c r="V4740" i="1"/>
  <c r="V4753" i="1"/>
  <c r="V4768" i="1"/>
  <c r="V4779" i="1"/>
  <c r="V4790" i="1"/>
  <c r="V4794" i="1"/>
  <c r="V4813" i="1"/>
  <c r="V4830" i="1"/>
  <c r="V4853" i="1"/>
  <c r="V4872" i="1"/>
  <c r="V4876" i="1"/>
  <c r="V4889" i="1"/>
  <c r="V4891" i="1"/>
  <c r="V5010" i="1"/>
  <c r="V5066" i="1"/>
  <c r="V5068" i="1"/>
  <c r="V5126" i="1"/>
  <c r="V5146" i="1"/>
  <c r="V5165" i="1"/>
  <c r="V5171" i="1"/>
  <c r="V5173" i="1"/>
  <c r="V5177" i="1"/>
  <c r="V5259" i="1"/>
  <c r="V5308" i="1"/>
  <c r="V5310" i="1"/>
  <c r="V5327" i="1"/>
  <c r="V5659" i="1"/>
  <c r="V5696" i="1"/>
  <c r="V4556" i="1"/>
  <c r="V4569" i="1"/>
  <c r="V4589" i="1"/>
  <c r="V4593" i="1"/>
  <c r="V4667" i="1"/>
  <c r="V4669" i="1"/>
  <c r="V4680" i="1"/>
  <c r="V4706" i="1"/>
  <c r="V4735" i="1"/>
  <c r="V4765" i="1"/>
  <c r="V4789" i="1"/>
  <c r="V4791" i="1"/>
  <c r="V4825" i="1"/>
  <c r="V4848" i="1"/>
  <c r="V4865" i="1"/>
  <c r="V4867" i="1"/>
  <c r="V4905" i="1"/>
  <c r="V4963" i="1"/>
  <c r="V4967" i="1"/>
  <c r="V5036" i="1"/>
  <c r="V5053" i="1"/>
  <c r="V5242" i="1"/>
  <c r="V5425" i="1"/>
  <c r="V4517" i="1"/>
  <c r="V4521" i="1"/>
  <c r="V4523" i="1"/>
  <c r="V4527" i="1"/>
  <c r="V4564" i="1"/>
  <c r="V4584" i="1"/>
  <c r="V4617" i="1"/>
  <c r="V4619" i="1"/>
  <c r="V4638" i="1"/>
  <c r="V4640" i="1"/>
  <c r="V4647" i="1"/>
  <c r="V4657" i="1"/>
  <c r="V4664" i="1"/>
  <c r="V4690" i="1"/>
  <c r="V4714" i="1"/>
  <c r="V4718" i="1"/>
  <c r="V4722" i="1"/>
  <c r="V4724" i="1"/>
  <c r="V4743" i="1"/>
  <c r="V4745" i="1"/>
  <c r="V4754" i="1"/>
  <c r="V4801" i="1"/>
  <c r="V4837" i="1"/>
  <c r="V4952" i="1"/>
  <c r="V4973" i="1"/>
  <c r="V5019" i="1"/>
  <c r="V5077" i="1"/>
  <c r="V5081" i="1"/>
  <c r="V5145" i="1"/>
  <c r="V5186" i="1"/>
  <c r="V5188" i="1"/>
  <c r="V5190" i="1"/>
  <c r="V5192" i="1"/>
  <c r="V5194" i="1"/>
  <c r="V5196" i="1"/>
  <c r="V5215" i="1"/>
  <c r="V5264" i="1"/>
  <c r="V5359" i="1"/>
  <c r="V4632" i="1"/>
  <c r="V4641" i="1"/>
  <c r="V4650" i="1"/>
  <c r="V4679" i="1"/>
  <c r="V4689" i="1"/>
  <c r="V4758" i="1"/>
  <c r="V4778" i="1"/>
  <c r="V4797" i="1"/>
  <c r="V4806" i="1"/>
  <c r="V4810" i="1"/>
  <c r="V4812" i="1"/>
  <c r="V4821" i="1"/>
  <c r="V4834" i="1"/>
  <c r="V4849" i="1"/>
  <c r="V4886" i="1"/>
  <c r="V4888" i="1"/>
  <c r="V4912" i="1"/>
  <c r="V4948" i="1"/>
  <c r="V4987" i="1"/>
  <c r="V4994" i="1"/>
  <c r="V5002" i="1"/>
  <c r="V5028" i="1"/>
  <c r="V5030" i="1"/>
  <c r="V5032" i="1"/>
  <c r="V5041" i="1"/>
  <c r="V5060" i="1"/>
  <c r="V5097" i="1"/>
  <c r="V5099" i="1"/>
  <c r="V5103" i="1"/>
  <c r="V5116" i="1"/>
  <c r="V5133" i="1"/>
  <c r="V5203" i="1"/>
  <c r="V5209" i="1"/>
  <c r="V5216" i="1"/>
  <c r="V5228" i="1"/>
  <c r="V5234" i="1"/>
  <c r="V5238" i="1"/>
  <c r="V5251" i="1"/>
  <c r="V5255" i="1"/>
  <c r="V5257" i="1"/>
  <c r="V5270" i="1"/>
  <c r="V5272" i="1"/>
  <c r="V5283" i="1"/>
  <c r="V5292" i="1"/>
  <c r="V5296" i="1"/>
  <c r="V5334" i="1"/>
  <c r="V5336" i="1"/>
  <c r="V5338" i="1"/>
  <c r="V5340" i="1"/>
  <c r="V5347" i="1"/>
  <c r="V5351" i="1"/>
  <c r="V5357" i="1"/>
  <c r="V5364" i="1"/>
  <c r="V5372" i="1"/>
  <c r="V5374" i="1"/>
  <c r="V5421" i="1"/>
  <c r="V5438" i="1"/>
  <c r="V5515" i="1"/>
  <c r="V5585" i="1"/>
  <c r="V5740" i="1"/>
  <c r="V4930" i="1"/>
  <c r="V4997" i="1"/>
  <c r="V5094" i="1"/>
  <c r="V5113" i="1"/>
  <c r="V5119" i="1"/>
  <c r="V5219" i="1"/>
  <c r="V5267" i="1"/>
  <c r="V5295" i="1"/>
  <c r="V5316" i="1"/>
  <c r="V5348" i="1"/>
  <c r="V5403" i="1"/>
  <c r="V5452" i="1"/>
  <c r="V5683" i="1"/>
  <c r="V4911" i="1"/>
  <c r="V4934" i="1"/>
  <c r="V4938" i="1"/>
  <c r="V4977" i="1"/>
  <c r="V5158" i="1"/>
  <c r="V5271" i="1"/>
  <c r="V5303" i="1"/>
  <c r="V5335" i="1"/>
  <c r="V4802" i="1"/>
  <c r="V4804" i="1"/>
  <c r="V4826" i="1"/>
  <c r="V4854" i="1"/>
  <c r="V4856" i="1"/>
  <c r="V4871" i="1"/>
  <c r="V4873" i="1"/>
  <c r="V4895" i="1"/>
  <c r="V4897" i="1"/>
  <c r="V4906" i="1"/>
  <c r="V4919" i="1"/>
  <c r="V4925" i="1"/>
  <c r="V4942" i="1"/>
  <c r="V4955" i="1"/>
  <c r="V4962" i="1"/>
  <c r="V5046" i="1"/>
  <c r="V5052" i="1"/>
  <c r="V5078" i="1"/>
  <c r="V5089" i="1"/>
  <c r="V5144" i="1"/>
  <c r="V5153" i="1"/>
  <c r="V5172" i="1"/>
  <c r="V5176" i="1"/>
  <c r="V5178" i="1"/>
  <c r="V5187" i="1"/>
  <c r="V5249" i="1"/>
  <c r="V5262" i="1"/>
  <c r="V5279" i="1"/>
  <c r="V5311" i="1"/>
  <c r="V5324" i="1"/>
  <c r="V5326" i="1"/>
  <c r="V5398" i="1"/>
  <c r="V5432" i="1"/>
  <c r="V5447" i="1"/>
  <c r="V5567" i="1"/>
  <c r="V5707" i="1"/>
  <c r="V5513" i="1"/>
  <c r="V5550" i="1"/>
  <c r="V5592" i="1"/>
  <c r="V5636" i="1"/>
  <c r="V5694" i="1"/>
  <c r="V5705" i="1"/>
  <c r="V5729" i="1"/>
  <c r="V5745" i="1"/>
  <c r="V5764" i="1"/>
  <c r="V5790" i="1"/>
  <c r="V5808" i="1"/>
  <c r="V5817" i="1"/>
  <c r="V5840" i="1"/>
  <c r="V5851" i="1"/>
  <c r="V5873" i="1"/>
  <c r="V5890" i="1"/>
  <c r="V5942" i="1"/>
  <c r="V5970" i="1"/>
  <c r="V5989" i="1"/>
  <c r="V6005" i="1"/>
  <c r="V6009" i="1"/>
  <c r="V6011" i="1"/>
  <c r="V5468" i="1"/>
  <c r="V5477" i="1"/>
  <c r="V5479" i="1"/>
  <c r="V5500" i="1"/>
  <c r="V5502" i="1"/>
  <c r="V5543" i="1"/>
  <c r="V5556" i="1"/>
  <c r="V5631" i="1"/>
  <c r="V5642" i="1"/>
  <c r="V5646" i="1"/>
  <c r="V5648" i="1"/>
  <c r="V5650" i="1"/>
  <c r="V5652" i="1"/>
  <c r="V5654" i="1"/>
  <c r="V5668" i="1"/>
  <c r="V5674" i="1"/>
  <c r="V5685" i="1"/>
  <c r="V5718" i="1"/>
  <c r="V5720" i="1"/>
  <c r="V5722" i="1"/>
  <c r="V5731" i="1"/>
  <c r="V5751" i="1"/>
  <c r="V5770" i="1"/>
  <c r="V5779" i="1"/>
  <c r="V5781" i="1"/>
  <c r="V5792" i="1"/>
  <c r="V5810" i="1"/>
  <c r="V5826" i="1"/>
  <c r="V5835" i="1"/>
  <c r="V5859" i="1"/>
  <c r="V5861" i="1"/>
  <c r="V5866" i="1"/>
  <c r="V5868" i="1"/>
  <c r="V5883" i="1"/>
  <c r="V5905" i="1"/>
  <c r="V5914" i="1"/>
  <c r="V5944" i="1"/>
  <c r="V5950" i="1"/>
  <c r="V5965" i="1"/>
  <c r="V5978" i="1"/>
  <c r="V5483" i="1"/>
  <c r="V5490" i="1"/>
  <c r="V5521" i="1"/>
  <c r="V5523" i="1"/>
  <c r="V5547" i="1"/>
  <c r="V5571" i="1"/>
  <c r="V5578" i="1"/>
  <c r="V5600" i="1"/>
  <c r="V5609" i="1"/>
  <c r="V5611" i="1"/>
  <c r="V5613" i="1"/>
  <c r="V5624" i="1"/>
  <c r="V5676" i="1"/>
  <c r="V5678" i="1"/>
  <c r="V5726" i="1"/>
  <c r="V5785" i="1"/>
  <c r="V5805" i="1"/>
  <c r="V5848" i="1"/>
  <c r="V5920" i="1"/>
  <c r="V5937" i="1"/>
  <c r="V5939" i="1"/>
  <c r="V5954" i="1"/>
  <c r="V5982" i="1"/>
  <c r="V5984" i="1"/>
  <c r="V5986" i="1"/>
  <c r="V5995" i="1"/>
  <c r="V6002" i="1"/>
  <c r="V5376" i="1"/>
  <c r="V5387" i="1"/>
  <c r="V5411" i="1"/>
  <c r="V5458" i="1"/>
  <c r="V5474" i="1"/>
  <c r="V5499" i="1"/>
  <c r="V5538" i="1"/>
  <c r="V5555" i="1"/>
  <c r="V5602" i="1"/>
  <c r="V5641" i="1"/>
  <c r="V5643" i="1"/>
  <c r="V5645" i="1"/>
  <c r="V5660" i="1"/>
  <c r="V5669" i="1"/>
  <c r="V5695" i="1"/>
  <c r="V5732" i="1"/>
  <c r="V5739" i="1"/>
  <c r="V5741" i="1"/>
  <c r="V5750" i="1"/>
  <c r="V5763" i="1"/>
  <c r="V5778" i="1"/>
  <c r="V5825" i="1"/>
  <c r="V5856" i="1"/>
  <c r="V5874" i="1"/>
  <c r="V5928" i="1"/>
  <c r="V5930" i="1"/>
  <c r="V5945" i="1"/>
  <c r="V5947" i="1"/>
  <c r="V5962" i="1"/>
  <c r="V5973" i="1"/>
  <c r="V4914" i="1"/>
  <c r="V4916" i="1"/>
  <c r="V4920" i="1"/>
  <c r="V4935" i="1"/>
  <c r="V4937" i="1"/>
  <c r="V4957" i="1"/>
  <c r="V5005" i="1"/>
  <c r="V5011" i="1"/>
  <c r="V5029" i="1"/>
  <c r="V5035" i="1"/>
  <c r="V5057" i="1"/>
  <c r="V5137" i="1"/>
  <c r="V5195" i="1"/>
  <c r="V5201" i="1"/>
  <c r="V5227" i="1"/>
  <c r="V5231" i="1"/>
  <c r="V5233" i="1"/>
  <c r="V5252" i="1"/>
  <c r="V5254" i="1"/>
  <c r="V5276" i="1"/>
  <c r="V5278" i="1"/>
  <c r="V5287" i="1"/>
  <c r="V5302" i="1"/>
  <c r="V5304" i="1"/>
  <c r="V5306" i="1"/>
  <c r="V5315" i="1"/>
  <c r="V5365" i="1"/>
  <c r="V5369" i="1"/>
  <c r="V5382" i="1"/>
  <c r="V5393" i="1"/>
  <c r="V5426" i="1"/>
  <c r="V5430" i="1"/>
  <c r="V5435" i="1"/>
  <c r="V5437" i="1"/>
  <c r="V5446" i="1"/>
  <c r="V5453" i="1"/>
  <c r="V5455" i="1"/>
  <c r="V5460" i="1"/>
  <c r="V5507" i="1"/>
  <c r="V5509" i="1"/>
  <c r="V5511" i="1"/>
  <c r="V5544" i="1"/>
  <c r="V5563" i="1"/>
  <c r="V5579" i="1"/>
  <c r="V5581" i="1"/>
  <c r="V5608" i="1"/>
  <c r="V5612" i="1"/>
  <c r="V5630" i="1"/>
  <c r="V5651" i="1"/>
  <c r="V5688" i="1"/>
  <c r="V5690" i="1"/>
  <c r="V5701" i="1"/>
  <c r="V5719" i="1"/>
  <c r="V5723" i="1"/>
  <c r="V5736" i="1"/>
  <c r="V5771" i="1"/>
  <c r="V5786" i="1"/>
  <c r="V5836" i="1"/>
  <c r="V5843" i="1"/>
  <c r="V5847" i="1"/>
  <c r="V5849" i="1"/>
  <c r="V5858" i="1"/>
  <c r="V5884" i="1"/>
  <c r="V5923" i="1"/>
  <c r="V5936" i="1"/>
  <c r="V5938" i="1"/>
  <c r="V5953" i="1"/>
  <c r="V5955" i="1"/>
  <c r="V5975" i="1"/>
  <c r="V5981" i="1"/>
  <c r="V5987" i="1"/>
  <c r="V5994" i="1"/>
  <c r="V6001" i="1"/>
  <c r="V6003" i="1"/>
  <c r="V51" i="1"/>
  <c r="V179" i="1"/>
  <c r="V694" i="1"/>
  <c r="V822" i="1"/>
  <c r="V1149" i="1"/>
  <c r="V11" i="1"/>
  <c r="V203" i="1"/>
  <c r="V331" i="1"/>
  <c r="V395" i="1"/>
  <c r="V67" i="1"/>
  <c r="V387" i="1"/>
  <c r="V502" i="1"/>
  <c r="V605" i="1"/>
  <c r="V578" i="1"/>
  <c r="V1191" i="1"/>
  <c r="V1227" i="1"/>
  <c r="V1255" i="1"/>
  <c r="V1331" i="1"/>
  <c r="V1391" i="1"/>
  <c r="V1499" i="1"/>
  <c r="V1511" i="1"/>
  <c r="V1555" i="1"/>
  <c r="V519" i="1"/>
  <c r="V710" i="1"/>
  <c r="V806" i="1"/>
  <c r="V870" i="1"/>
  <c r="V902" i="1"/>
  <c r="V1140" i="1"/>
  <c r="V1162" i="1"/>
  <c r="V1195" i="1"/>
  <c r="V1210" i="1"/>
  <c r="V1410" i="1"/>
  <c r="V1506" i="1"/>
  <c r="V1583" i="1"/>
  <c r="V1691" i="1"/>
  <c r="V2696" i="1"/>
  <c r="V1150" i="1"/>
  <c r="V1299" i="1"/>
  <c r="V1346" i="1"/>
  <c r="V1442" i="1"/>
  <c r="V1519" i="1"/>
  <c r="V1627" i="1"/>
  <c r="V1639" i="1"/>
  <c r="V1683" i="1"/>
  <c r="V1844" i="1"/>
  <c r="V1167" i="1"/>
  <c r="V1199" i="1"/>
  <c r="V1231" i="1"/>
  <c r="V1379" i="1"/>
  <c r="V1399" i="1"/>
  <c r="V1443" i="1"/>
  <c r="V1463" i="1"/>
  <c r="V1507" i="1"/>
  <c r="V1527" i="1"/>
  <c r="V1571" i="1"/>
  <c r="V1591" i="1"/>
  <c r="V1635" i="1"/>
  <c r="V1655" i="1"/>
  <c r="V1772" i="1"/>
  <c r="V1880" i="1"/>
  <c r="V1900" i="1"/>
  <c r="V2008" i="1"/>
  <c r="V2028" i="1"/>
  <c r="V2136" i="1"/>
  <c r="V2156" i="1"/>
  <c r="V2264" i="1"/>
  <c r="V2632" i="1"/>
  <c r="V2857" i="1"/>
  <c r="V1159" i="1"/>
  <c r="V1211" i="1"/>
  <c r="V1239" i="1"/>
  <c r="V1251" i="1"/>
  <c r="V1271" i="1"/>
  <c r="V1283" i="1"/>
  <c r="V1303" i="1"/>
  <c r="V1315" i="1"/>
  <c r="V1335" i="1"/>
  <c r="V1359" i="1"/>
  <c r="V1403" i="1"/>
  <c r="V1423" i="1"/>
  <c r="V1467" i="1"/>
  <c r="V1487" i="1"/>
  <c r="V1531" i="1"/>
  <c r="V1551" i="1"/>
  <c r="V1595" i="1"/>
  <c r="V1615" i="1"/>
  <c r="V1659" i="1"/>
  <c r="V1679" i="1"/>
  <c r="V1702" i="1"/>
  <c r="V1741" i="1"/>
  <c r="V1756" i="1"/>
  <c r="V1808" i="1"/>
  <c r="V1836" i="1"/>
  <c r="V2380" i="1"/>
  <c r="V2408" i="1"/>
  <c r="V2984" i="1"/>
  <c r="V1207" i="1"/>
  <c r="V1351" i="1"/>
  <c r="V1395" i="1"/>
  <c r="V1415" i="1"/>
  <c r="V1459" i="1"/>
  <c r="V1479" i="1"/>
  <c r="V1523" i="1"/>
  <c r="V1543" i="1"/>
  <c r="V1587" i="1"/>
  <c r="V1607" i="1"/>
  <c r="V1651" i="1"/>
  <c r="V1671" i="1"/>
  <c r="V1708" i="1"/>
  <c r="V1773" i="1"/>
  <c r="V1788" i="1"/>
  <c r="V1868" i="1"/>
  <c r="V1976" i="1"/>
  <c r="V1996" i="1"/>
  <c r="V2104" i="1"/>
  <c r="V2124" i="1"/>
  <c r="V2232" i="1"/>
  <c r="V2252" i="1"/>
  <c r="V2284" i="1"/>
  <c r="V2287" i="1"/>
  <c r="V2472" i="1"/>
  <c r="V2753" i="1"/>
  <c r="V2817" i="1"/>
  <c r="V2921" i="1"/>
  <c r="V1717" i="1"/>
  <c r="V1749" i="1"/>
  <c r="V1781" i="1"/>
  <c r="V1828" i="1"/>
  <c r="V2473" i="1"/>
  <c r="V2600" i="1"/>
  <c r="V2760" i="1"/>
  <c r="V2881" i="1"/>
  <c r="V2985" i="1"/>
  <c r="V3072" i="1"/>
  <c r="V3244" i="1"/>
  <c r="V1733" i="1"/>
  <c r="V1765" i="1"/>
  <c r="V1797" i="1"/>
  <c r="V1832" i="1"/>
  <c r="V1728" i="1"/>
  <c r="V1760" i="1"/>
  <c r="V1792" i="1"/>
  <c r="V1840" i="1"/>
  <c r="V1864" i="1"/>
  <c r="V1884" i="1"/>
  <c r="V1896" i="1"/>
  <c r="V1916" i="1"/>
  <c r="V1928" i="1"/>
  <c r="V1948" i="1"/>
  <c r="V1960" i="1"/>
  <c r="V1980" i="1"/>
  <c r="V1992" i="1"/>
  <c r="V2012" i="1"/>
  <c r="V2024" i="1"/>
  <c r="V2044" i="1"/>
  <c r="V2056" i="1"/>
  <c r="V2076" i="1"/>
  <c r="V2088" i="1"/>
  <c r="V2108" i="1"/>
  <c r="V2120" i="1"/>
  <c r="V2140" i="1"/>
  <c r="V2152" i="1"/>
  <c r="V2172" i="1"/>
  <c r="V2184" i="1"/>
  <c r="V2204" i="1"/>
  <c r="V2216" i="1"/>
  <c r="V2236" i="1"/>
  <c r="V2248" i="1"/>
  <c r="V2268" i="1"/>
  <c r="V2321" i="1"/>
  <c r="V2348" i="1"/>
  <c r="V2351" i="1"/>
  <c r="V2561" i="1"/>
  <c r="V2665" i="1"/>
  <c r="V2792" i="1"/>
  <c r="V2952" i="1"/>
  <c r="V3349" i="1"/>
  <c r="V1725" i="1"/>
  <c r="V1757" i="1"/>
  <c r="V1789" i="1"/>
  <c r="V1812" i="1"/>
  <c r="V1848" i="1"/>
  <c r="V2335" i="1"/>
  <c r="V2433" i="1"/>
  <c r="V2497" i="1"/>
  <c r="V2601" i="1"/>
  <c r="V2728" i="1"/>
  <c r="V2888" i="1"/>
  <c r="V3009" i="1"/>
  <c r="V3308" i="1"/>
  <c r="V3741" i="1"/>
  <c r="V2292" i="1"/>
  <c r="V2324" i="1"/>
  <c r="V2356" i="1"/>
  <c r="V2393" i="1"/>
  <c r="V2457" i="1"/>
  <c r="V2521" i="1"/>
  <c r="V2585" i="1"/>
  <c r="V2649" i="1"/>
  <c r="V2713" i="1"/>
  <c r="V2777" i="1"/>
  <c r="V2841" i="1"/>
  <c r="V2905" i="1"/>
  <c r="V2969" i="1"/>
  <c r="V3033" i="1"/>
  <c r="V3136" i="1"/>
  <c r="V3245" i="1"/>
  <c r="V3309" i="1"/>
  <c r="V3465" i="1"/>
  <c r="V3525" i="1"/>
  <c r="V2273" i="1"/>
  <c r="V2305" i="1"/>
  <c r="V2337" i="1"/>
  <c r="V2364" i="1"/>
  <c r="V2401" i="1"/>
  <c r="V2465" i="1"/>
  <c r="V2529" i="1"/>
  <c r="V2593" i="1"/>
  <c r="V2657" i="1"/>
  <c r="V2721" i="1"/>
  <c r="V2785" i="1"/>
  <c r="V2849" i="1"/>
  <c r="V2913" i="1"/>
  <c r="V2977" i="1"/>
  <c r="V3041" i="1"/>
  <c r="V3101" i="1"/>
  <c r="V3132" i="1"/>
  <c r="V3269" i="1"/>
  <c r="V3526" i="1"/>
  <c r="V2300" i="1"/>
  <c r="V2332" i="1"/>
  <c r="V2441" i="1"/>
  <c r="V2505" i="1"/>
  <c r="V2569" i="1"/>
  <c r="V2633" i="1"/>
  <c r="V2697" i="1"/>
  <c r="V2761" i="1"/>
  <c r="V2825" i="1"/>
  <c r="V2889" i="1"/>
  <c r="V2953" i="1"/>
  <c r="V3017" i="1"/>
  <c r="V3069" i="1"/>
  <c r="V3100" i="1"/>
  <c r="V3590" i="1"/>
  <c r="V3093" i="1"/>
  <c r="V3125" i="1"/>
  <c r="V3157" i="1"/>
  <c r="V3261" i="1"/>
  <c r="V3325" i="1"/>
  <c r="V3409" i="1"/>
  <c r="V3454" i="1"/>
  <c r="V3707" i="1"/>
  <c r="V3710" i="1"/>
  <c r="V3080" i="1"/>
  <c r="V3112" i="1"/>
  <c r="V3144" i="1"/>
  <c r="V3176" i="1"/>
  <c r="V3205" i="1"/>
  <c r="V3216" i="1"/>
  <c r="V3253" i="1"/>
  <c r="V3317" i="1"/>
  <c r="V3412" i="1"/>
  <c r="V3077" i="1"/>
  <c r="V3109" i="1"/>
  <c r="V3141" i="1"/>
  <c r="V3173" i="1"/>
  <c r="V3229" i="1"/>
  <c r="V3293" i="1"/>
  <c r="V3350" i="1"/>
  <c r="V3486" i="1"/>
  <c r="V3670" i="1"/>
  <c r="V4177" i="1"/>
  <c r="V3337" i="1"/>
  <c r="V3369" i="1"/>
  <c r="V3401" i="1"/>
  <c r="V3433" i="1"/>
  <c r="V3462" i="1"/>
  <c r="V3473" i="1"/>
  <c r="V3494" i="1"/>
  <c r="V3542" i="1"/>
  <c r="V3606" i="1"/>
  <c r="V3818" i="1"/>
  <c r="V3850" i="1"/>
  <c r="V3358" i="1"/>
  <c r="V3390" i="1"/>
  <c r="V3422" i="1"/>
  <c r="V3534" i="1"/>
  <c r="V3598" i="1"/>
  <c r="V3708" i="1"/>
  <c r="V3795" i="1"/>
  <c r="V3353" i="1"/>
  <c r="V3385" i="1"/>
  <c r="V3417" i="1"/>
  <c r="V3446" i="1"/>
  <c r="V3457" i="1"/>
  <c r="V3478" i="1"/>
  <c r="V3489" i="1"/>
  <c r="V3510" i="1"/>
  <c r="V3574" i="1"/>
  <c r="V3649" i="1"/>
  <c r="V4146" i="1"/>
  <c r="V3654" i="1"/>
  <c r="V3895" i="1"/>
  <c r="V3987" i="1"/>
  <c r="V4026" i="1"/>
  <c r="V3662" i="1"/>
  <c r="V3702" i="1"/>
  <c r="V3734" i="1"/>
  <c r="V3823" i="1"/>
  <c r="V3951" i="1"/>
  <c r="V4079" i="1"/>
  <c r="V4294" i="1"/>
  <c r="V4358" i="1"/>
  <c r="V3686" i="1"/>
  <c r="V3786" i="1"/>
  <c r="V3827" i="1"/>
  <c r="V3915" i="1"/>
  <c r="V3962" i="1"/>
  <c r="V4051" i="1"/>
  <c r="V4090" i="1"/>
  <c r="V4238" i="1"/>
  <c r="V3815" i="1"/>
  <c r="V3847" i="1"/>
  <c r="V3875" i="1"/>
  <c r="V3911" i="1"/>
  <c r="V3939" i="1"/>
  <c r="V3979" i="1"/>
  <c r="V4007" i="1"/>
  <c r="V4043" i="1"/>
  <c r="V4071" i="1"/>
  <c r="V4218" i="1"/>
  <c r="V4241" i="1"/>
  <c r="V3775" i="1"/>
  <c r="V3807" i="1"/>
  <c r="V3839" i="1"/>
  <c r="V3863" i="1"/>
  <c r="V3891" i="1"/>
  <c r="V3927" i="1"/>
  <c r="V3959" i="1"/>
  <c r="V3995" i="1"/>
  <c r="V4023" i="1"/>
  <c r="V4059" i="1"/>
  <c r="V4087" i="1"/>
  <c r="V4313" i="1"/>
  <c r="V4379" i="1"/>
  <c r="V4507" i="1"/>
  <c r="V3771" i="1"/>
  <c r="V3803" i="1"/>
  <c r="V3835" i="1"/>
  <c r="V3871" i="1"/>
  <c r="V3899" i="1"/>
  <c r="V3935" i="1"/>
  <c r="V3971" i="1"/>
  <c r="V3999" i="1"/>
  <c r="V4035" i="1"/>
  <c r="V4063" i="1"/>
  <c r="V4110" i="1"/>
  <c r="V4174" i="1"/>
  <c r="V4225" i="1"/>
  <c r="V4526" i="1"/>
  <c r="V4635" i="1"/>
  <c r="V3799" i="1"/>
  <c r="V3831" i="1"/>
  <c r="V3879" i="1"/>
  <c r="V3907" i="1"/>
  <c r="V3943" i="1"/>
  <c r="V3975" i="1"/>
  <c r="V4011" i="1"/>
  <c r="V4039" i="1"/>
  <c r="V4075" i="1"/>
  <c r="V4281" i="1"/>
  <c r="V4345" i="1"/>
  <c r="V4411" i="1"/>
  <c r="V4590" i="1"/>
  <c r="V5006" i="1"/>
  <c r="V4118" i="1"/>
  <c r="V4150" i="1"/>
  <c r="V4182" i="1"/>
  <c r="V4210" i="1"/>
  <c r="V4230" i="1"/>
  <c r="V4242" i="1"/>
  <c r="V4282" i="1"/>
  <c r="V4302" i="1"/>
  <c r="V4346" i="1"/>
  <c r="V4471" i="1"/>
  <c r="V4630" i="1"/>
  <c r="V4936" i="1"/>
  <c r="V4102" i="1"/>
  <c r="V4134" i="1"/>
  <c r="V4166" i="1"/>
  <c r="V4198" i="1"/>
  <c r="V4214" i="1"/>
  <c r="V4226" i="1"/>
  <c r="V4246" i="1"/>
  <c r="V4270" i="1"/>
  <c r="V4314" i="1"/>
  <c r="V4334" i="1"/>
  <c r="V4470" i="1"/>
  <c r="V4566" i="1"/>
  <c r="V4727" i="1"/>
  <c r="V5018" i="1"/>
  <c r="V4126" i="1"/>
  <c r="V4158" i="1"/>
  <c r="V4190" i="1"/>
  <c r="V4222" i="1"/>
  <c r="V4234" i="1"/>
  <c r="V4254" i="1"/>
  <c r="V4298" i="1"/>
  <c r="V4318" i="1"/>
  <c r="V4534" i="1"/>
  <c r="V4571" i="1"/>
  <c r="V4607" i="1"/>
  <c r="V4684" i="1"/>
  <c r="V4808" i="1"/>
  <c r="V4383" i="1"/>
  <c r="V4415" i="1"/>
  <c r="V4447" i="1"/>
  <c r="V4499" i="1"/>
  <c r="V4531" i="1"/>
  <c r="V4567" i="1"/>
  <c r="V4595" i="1"/>
  <c r="V4631" i="1"/>
  <c r="V4655" i="1"/>
  <c r="V4688" i="1"/>
  <c r="V4703" i="1"/>
  <c r="V4799" i="1"/>
  <c r="V4863" i="1"/>
  <c r="V4927" i="1"/>
  <c r="V5034" i="1"/>
  <c r="V4367" i="1"/>
  <c r="V4399" i="1"/>
  <c r="V4431" i="1"/>
  <c r="V4463" i="1"/>
  <c r="V4495" i="1"/>
  <c r="V4535" i="1"/>
  <c r="V4563" i="1"/>
  <c r="V4599" i="1"/>
  <c r="V4627" i="1"/>
  <c r="V4656" i="1"/>
  <c r="V4671" i="1"/>
  <c r="V4687" i="1"/>
  <c r="V4772" i="1"/>
  <c r="V4780" i="1"/>
  <c r="V4970" i="1"/>
  <c r="V4363" i="1"/>
  <c r="V4395" i="1"/>
  <c r="V4427" i="1"/>
  <c r="V4459" i="1"/>
  <c r="V4475" i="1"/>
  <c r="V4503" i="1"/>
  <c r="V4539" i="1"/>
  <c r="V4575" i="1"/>
  <c r="V4603" i="1"/>
  <c r="V4639" i="1"/>
  <c r="V4836" i="1"/>
  <c r="V4900" i="1"/>
  <c r="V4359" i="1"/>
  <c r="V4391" i="1"/>
  <c r="V4423" i="1"/>
  <c r="V4455" i="1"/>
  <c r="V4483" i="1"/>
  <c r="V4511" i="1"/>
  <c r="V4551" i="1"/>
  <c r="V4579" i="1"/>
  <c r="V4615" i="1"/>
  <c r="V4652" i="1"/>
  <c r="V4716" i="1"/>
  <c r="V4736" i="1"/>
  <c r="V4660" i="1"/>
  <c r="V4692" i="1"/>
  <c r="V4728" i="1"/>
  <c r="V4764" i="1"/>
  <c r="V4796" i="1"/>
  <c r="V4832" i="1"/>
  <c r="V4860" i="1"/>
  <c r="V4896" i="1"/>
  <c r="V4924" i="1"/>
  <c r="V5083" i="1"/>
  <c r="V5147" i="1"/>
  <c r="V5236" i="1"/>
  <c r="V5281" i="1"/>
  <c r="V4644" i="1"/>
  <c r="V4676" i="1"/>
  <c r="V4708" i="1"/>
  <c r="V4732" i="1"/>
  <c r="V4760" i="1"/>
  <c r="V4800" i="1"/>
  <c r="V4828" i="1"/>
  <c r="V4864" i="1"/>
  <c r="V4892" i="1"/>
  <c r="V4928" i="1"/>
  <c r="V5067" i="1"/>
  <c r="V5075" i="1"/>
  <c r="V5224" i="1"/>
  <c r="V4668" i="1"/>
  <c r="V4700" i="1"/>
  <c r="V4748" i="1"/>
  <c r="V4776" i="1"/>
  <c r="V4816" i="1"/>
  <c r="V4844" i="1"/>
  <c r="V4880" i="1"/>
  <c r="V4908" i="1"/>
  <c r="V4944" i="1"/>
  <c r="V5095" i="1"/>
  <c r="V5142" i="1"/>
  <c r="V5159" i="1"/>
  <c r="V4975" i="1"/>
  <c r="V5007" i="1"/>
  <c r="V5039" i="1"/>
  <c r="V5059" i="1"/>
  <c r="V5107" i="1"/>
  <c r="V5143" i="1"/>
  <c r="V5175" i="1"/>
  <c r="V5356" i="1"/>
  <c r="V5404" i="1"/>
  <c r="V5478" i="1"/>
  <c r="V4959" i="1"/>
  <c r="V4991" i="1"/>
  <c r="V5023" i="1"/>
  <c r="V5055" i="1"/>
  <c r="V5111" i="1"/>
  <c r="V5139" i="1"/>
  <c r="V5561" i="1"/>
  <c r="V4983" i="1"/>
  <c r="V5015" i="1"/>
  <c r="V5043" i="1"/>
  <c r="V5071" i="1"/>
  <c r="V5091" i="1"/>
  <c r="V5127" i="1"/>
  <c r="V5155" i="1"/>
  <c r="V5245" i="1"/>
  <c r="V5253" i="1"/>
  <c r="V5341" i="1"/>
  <c r="V5197" i="1"/>
  <c r="V5237" i="1"/>
  <c r="V5277" i="1"/>
  <c r="V5381" i="1"/>
  <c r="V5389" i="1"/>
  <c r="V5445" i="1"/>
  <c r="V5680" i="1"/>
  <c r="V5181" i="1"/>
  <c r="V5213" i="1"/>
  <c r="V5241" i="1"/>
  <c r="V5273" i="1"/>
  <c r="V5428" i="1"/>
  <c r="V5599" i="1"/>
  <c r="V5205" i="1"/>
  <c r="V5261" i="1"/>
  <c r="V5289" i="1"/>
  <c r="V5396" i="1"/>
  <c r="V5465" i="1"/>
  <c r="V5313" i="1"/>
  <c r="V5345" i="1"/>
  <c r="V5373" i="1"/>
  <c r="V5397" i="1"/>
  <c r="V5417" i="1"/>
  <c r="V5482" i="1"/>
  <c r="V5615" i="1"/>
  <c r="V5297" i="1"/>
  <c r="V5329" i="1"/>
  <c r="V5361" i="1"/>
  <c r="V5377" i="1"/>
  <c r="V5385" i="1"/>
  <c r="V5429" i="1"/>
  <c r="V5481" i="1"/>
  <c r="V5542" i="1"/>
  <c r="V5321" i="1"/>
  <c r="V5353" i="1"/>
  <c r="V5413" i="1"/>
  <c r="V5433" i="1"/>
  <c r="V5518" i="1"/>
  <c r="V5584" i="1"/>
  <c r="V5486" i="1"/>
  <c r="V5510" i="1"/>
  <c r="V5526" i="1"/>
  <c r="V5562" i="1"/>
  <c r="V5470" i="1"/>
  <c r="V5506" i="1"/>
  <c r="V5530" i="1"/>
  <c r="V5558" i="1"/>
  <c r="V5580" i="1"/>
  <c r="V5450" i="1"/>
  <c r="V5466" i="1"/>
  <c r="V5514" i="1"/>
  <c r="V5534" i="1"/>
  <c r="V5570" i="1"/>
  <c r="V5583" i="1"/>
  <c r="V5616" i="1"/>
  <c r="V5462" i="1"/>
  <c r="V5494" i="1"/>
  <c r="V5522" i="1"/>
  <c r="V5546" i="1"/>
  <c r="V5574" i="1"/>
  <c r="V5692" i="1"/>
  <c r="V5708" i="1"/>
  <c r="V5773" i="1"/>
  <c r="V5588" i="1"/>
  <c r="V5620" i="1"/>
  <c r="V5644" i="1"/>
  <c r="V5677" i="1"/>
  <c r="V5760" i="1"/>
  <c r="V5827" i="1"/>
  <c r="V5604" i="1"/>
  <c r="V5653" i="1"/>
  <c r="V5728" i="1"/>
  <c r="V5596" i="1"/>
  <c r="V5628" i="1"/>
  <c r="V5665" i="1"/>
  <c r="V5697" i="1"/>
  <c r="V5721" i="1"/>
  <c r="V5757" i="1"/>
  <c r="V5789" i="1"/>
  <c r="V5846" i="1"/>
  <c r="V5657" i="1"/>
  <c r="V5689" i="1"/>
  <c r="V5737" i="1"/>
  <c r="V5777" i="1"/>
  <c r="V5681" i="1"/>
  <c r="V5713" i="1"/>
  <c r="V5725" i="1"/>
  <c r="V5753" i="1"/>
  <c r="V5845" i="1"/>
  <c r="V5709" i="1"/>
  <c r="V5733" i="1"/>
  <c r="V5761" i="1"/>
  <c r="V5769" i="1"/>
  <c r="V5796" i="1"/>
  <c r="V5828" i="1"/>
  <c r="V5885" i="1"/>
  <c r="V5812" i="1"/>
  <c r="V5837" i="1"/>
  <c r="V5877" i="1"/>
  <c r="V5882" i="1"/>
  <c r="V5906" i="1"/>
  <c r="V5804" i="1"/>
  <c r="V5869" i="1"/>
  <c r="V5864" i="1"/>
  <c r="V5901" i="1"/>
  <c r="V5961" i="1"/>
  <c r="V5832" i="1"/>
  <c r="V5913" i="1"/>
  <c r="V5952" i="1"/>
  <c r="V5960" i="1"/>
  <c r="V5909" i="1"/>
  <c r="V5933" i="1"/>
  <c r="V5941" i="1"/>
  <c r="V5893" i="1"/>
  <c r="V5922" i="1"/>
  <c r="V5949" i="1"/>
  <c r="V5985" i="1"/>
  <c r="V5925" i="1"/>
  <c r="V5957" i="1"/>
  <c r="V5993" i="1"/>
  <c r="T2" i="1"/>
  <c r="BQ66" i="1"/>
  <c r="BQ107" i="1" s="1"/>
  <c r="BN66" i="1"/>
  <c r="BN107" i="1" s="1"/>
  <c r="BQ65" i="1"/>
  <c r="BO65" i="1" s="1"/>
  <c r="BO106" i="1" s="1"/>
  <c r="BN65" i="1"/>
  <c r="BN106" i="1" s="1"/>
  <c r="BQ64" i="1"/>
  <c r="BQ105" i="1" s="1"/>
  <c r="BN64" i="1"/>
  <c r="BN105" i="1" s="1"/>
  <c r="BQ63" i="1"/>
  <c r="BO63" i="1" s="1"/>
  <c r="BO104" i="1" s="1"/>
  <c r="BN63" i="1"/>
  <c r="BN104" i="1" s="1"/>
  <c r="BQ62" i="1"/>
  <c r="BO62" i="1" s="1"/>
  <c r="BO103" i="1" s="1"/>
  <c r="BN62" i="1"/>
  <c r="BN103" i="1" s="1"/>
  <c r="BQ61" i="1"/>
  <c r="BO61" i="1" s="1"/>
  <c r="BN61" i="1"/>
  <c r="BN102" i="1" s="1"/>
  <c r="BQ60" i="1"/>
  <c r="BP60" i="1" s="1"/>
  <c r="BP101" i="1" s="1"/>
  <c r="BN60" i="1"/>
  <c r="BN101" i="1" s="1"/>
  <c r="BQ59" i="1"/>
  <c r="BQ100" i="1" s="1"/>
  <c r="BN59" i="1"/>
  <c r="BN100" i="1" s="1"/>
  <c r="BQ58" i="1"/>
  <c r="BQ99" i="1" s="1"/>
  <c r="BN58" i="1"/>
  <c r="BN99" i="1" s="1"/>
  <c r="BQ57" i="1"/>
  <c r="BN57" i="1"/>
  <c r="BN98" i="1" s="1"/>
  <c r="BQ56" i="1"/>
  <c r="BQ97" i="1" s="1"/>
  <c r="BN56" i="1"/>
  <c r="BN97" i="1" s="1"/>
  <c r="BQ55" i="1"/>
  <c r="BO55" i="1" s="1"/>
  <c r="BN55" i="1"/>
  <c r="BN96" i="1" s="1"/>
  <c r="BQ54" i="1"/>
  <c r="BO54" i="1" s="1"/>
  <c r="BO95" i="1" s="1"/>
  <c r="BN54" i="1"/>
  <c r="BN95" i="1" s="1"/>
  <c r="BQ53" i="1"/>
  <c r="BO53" i="1" s="1"/>
  <c r="BO94" i="1" s="1"/>
  <c r="BN53" i="1"/>
  <c r="BN94" i="1" s="1"/>
  <c r="BQ52" i="1"/>
  <c r="BP52" i="1" s="1"/>
  <c r="BP93" i="1" s="1"/>
  <c r="BN52" i="1"/>
  <c r="BN93" i="1" s="1"/>
  <c r="BQ51" i="1"/>
  <c r="BP51" i="1" s="1"/>
  <c r="BP92" i="1" s="1"/>
  <c r="BN51" i="1"/>
  <c r="BN92" i="1" s="1"/>
  <c r="BQ50" i="1"/>
  <c r="BO50" i="1" s="1"/>
  <c r="BO91" i="1" s="1"/>
  <c r="BN50" i="1"/>
  <c r="BN91" i="1" s="1"/>
  <c r="BQ49" i="1"/>
  <c r="BO49" i="1" s="1"/>
  <c r="BN49" i="1"/>
  <c r="BN90" i="1" s="1"/>
  <c r="BQ48" i="1"/>
  <c r="BQ88" i="1" s="1"/>
  <c r="BN48" i="1"/>
  <c r="BN88" i="1" s="1"/>
  <c r="BQ47" i="1"/>
  <c r="BO47" i="1" s="1"/>
  <c r="BN47" i="1"/>
  <c r="BN87" i="1" s="1"/>
  <c r="BQ46" i="1"/>
  <c r="BP46" i="1" s="1"/>
  <c r="BP86" i="1" s="1"/>
  <c r="BN46" i="1"/>
  <c r="BN86" i="1" s="1"/>
  <c r="BQ45" i="1"/>
  <c r="BO45" i="1" s="1"/>
  <c r="BO85" i="1" s="1"/>
  <c r="BN45" i="1"/>
  <c r="BN85" i="1" s="1"/>
  <c r="BQ44" i="1"/>
  <c r="BP44" i="1" s="1"/>
  <c r="BP84" i="1" s="1"/>
  <c r="BN44" i="1"/>
  <c r="BN84" i="1" s="1"/>
  <c r="BQ43" i="1"/>
  <c r="BN43" i="1"/>
  <c r="BN83" i="1" s="1"/>
  <c r="BQ42" i="1"/>
  <c r="BQ82" i="1" s="1"/>
  <c r="BN42" i="1"/>
  <c r="BN82" i="1" s="1"/>
  <c r="BQ41" i="1"/>
  <c r="BN41" i="1"/>
  <c r="BN81" i="1" s="1"/>
  <c r="BQ40" i="1"/>
  <c r="BQ80" i="1" s="1"/>
  <c r="BN40" i="1"/>
  <c r="BN80" i="1" s="1"/>
  <c r="BQ39" i="1"/>
  <c r="BO39" i="1" s="1"/>
  <c r="BO79" i="1" s="1"/>
  <c r="BN39" i="1"/>
  <c r="BN79" i="1" s="1"/>
  <c r="BQ38" i="1"/>
  <c r="BP38" i="1" s="1"/>
  <c r="BP78" i="1" s="1"/>
  <c r="BN38" i="1"/>
  <c r="BN78" i="1" s="1"/>
  <c r="BQ37" i="1"/>
  <c r="BO37" i="1" s="1"/>
  <c r="BN37" i="1"/>
  <c r="BN77" i="1" s="1"/>
  <c r="BQ36" i="1"/>
  <c r="BP36" i="1" s="1"/>
  <c r="BP76" i="1" s="1"/>
  <c r="BN36" i="1"/>
  <c r="BN76" i="1" s="1"/>
  <c r="BQ35" i="1"/>
  <c r="BQ75" i="1" s="1"/>
  <c r="BN35" i="1"/>
  <c r="BN75" i="1" s="1"/>
  <c r="BQ34" i="1"/>
  <c r="BQ74" i="1" s="1"/>
  <c r="BN34" i="1"/>
  <c r="BN74" i="1" s="1"/>
  <c r="BQ33" i="1"/>
  <c r="BO33" i="1" s="1"/>
  <c r="BO73" i="1" s="1"/>
  <c r="BN33" i="1"/>
  <c r="BN73" i="1" s="1"/>
  <c r="BQ32" i="1"/>
  <c r="BQ72" i="1" s="1"/>
  <c r="BN32" i="1"/>
  <c r="BN72" i="1" s="1"/>
  <c r="BQ31" i="1"/>
  <c r="BO31" i="1" s="1"/>
  <c r="BO71" i="1" s="1"/>
  <c r="BN31" i="1"/>
  <c r="BN71" i="1" s="1"/>
  <c r="BQ30" i="1"/>
  <c r="BP30" i="1"/>
  <c r="BO30" i="1"/>
  <c r="BG66" i="1"/>
  <c r="BF66" i="1" s="1"/>
  <c r="BF107" i="1" s="1"/>
  <c r="BD66" i="1"/>
  <c r="BD107" i="1" s="1"/>
  <c r="BG65" i="1"/>
  <c r="BE65" i="1" s="1"/>
  <c r="BE106" i="1" s="1"/>
  <c r="BD65" i="1"/>
  <c r="BD106" i="1" s="1"/>
  <c r="BG64" i="1"/>
  <c r="BF64" i="1" s="1"/>
  <c r="BF105" i="1" s="1"/>
  <c r="BD64" i="1"/>
  <c r="BD105" i="1" s="1"/>
  <c r="BG63" i="1"/>
  <c r="BF63" i="1" s="1"/>
  <c r="BF104" i="1" s="1"/>
  <c r="BD63" i="1"/>
  <c r="BD104" i="1" s="1"/>
  <c r="BG62" i="1"/>
  <c r="BG103" i="1" s="1"/>
  <c r="BD62" i="1"/>
  <c r="BD103" i="1" s="1"/>
  <c r="BG61" i="1"/>
  <c r="BF61" i="1" s="1"/>
  <c r="BF102" i="1" s="1"/>
  <c r="BD61" i="1"/>
  <c r="BD102" i="1" s="1"/>
  <c r="BG60" i="1"/>
  <c r="BF60" i="1" s="1"/>
  <c r="BF101" i="1" s="1"/>
  <c r="BD60" i="1"/>
  <c r="BD101" i="1" s="1"/>
  <c r="BG59" i="1"/>
  <c r="BG100" i="1" s="1"/>
  <c r="BD59" i="1"/>
  <c r="BD100" i="1" s="1"/>
  <c r="BG58" i="1"/>
  <c r="BF58" i="1" s="1"/>
  <c r="BF99" i="1" s="1"/>
  <c r="BD58" i="1"/>
  <c r="BD99" i="1" s="1"/>
  <c r="BG57" i="1"/>
  <c r="BE57" i="1" s="1"/>
  <c r="BE98" i="1" s="1"/>
  <c r="BD57" i="1"/>
  <c r="BD98" i="1" s="1"/>
  <c r="BG56" i="1"/>
  <c r="BF56" i="1" s="1"/>
  <c r="BF97" i="1" s="1"/>
  <c r="BD56" i="1"/>
  <c r="BD97" i="1" s="1"/>
  <c r="BG55" i="1"/>
  <c r="BF55" i="1" s="1"/>
  <c r="BF96" i="1" s="1"/>
  <c r="BD55" i="1"/>
  <c r="BD96" i="1" s="1"/>
  <c r="BG54" i="1"/>
  <c r="BF54" i="1" s="1"/>
  <c r="BF95" i="1" s="1"/>
  <c r="BD54" i="1"/>
  <c r="BD95" i="1" s="1"/>
  <c r="BG53" i="1"/>
  <c r="BF53" i="1" s="1"/>
  <c r="BF94" i="1" s="1"/>
  <c r="BD53" i="1"/>
  <c r="BD94" i="1" s="1"/>
  <c r="BG52" i="1"/>
  <c r="BF52" i="1" s="1"/>
  <c r="BF93" i="1" s="1"/>
  <c r="BD52" i="1"/>
  <c r="BD93" i="1" s="1"/>
  <c r="BG51" i="1"/>
  <c r="BF51" i="1" s="1"/>
  <c r="BF92" i="1" s="1"/>
  <c r="BD51" i="1"/>
  <c r="BD92" i="1" s="1"/>
  <c r="BG50" i="1"/>
  <c r="BF50" i="1" s="1"/>
  <c r="BF91" i="1" s="1"/>
  <c r="BD50" i="1"/>
  <c r="BD91" i="1" s="1"/>
  <c r="BG49" i="1"/>
  <c r="BE49" i="1" s="1"/>
  <c r="BD49" i="1"/>
  <c r="BD90" i="1" s="1"/>
  <c r="BG48" i="1"/>
  <c r="BG88" i="1" s="1"/>
  <c r="BD48" i="1"/>
  <c r="BD88" i="1" s="1"/>
  <c r="BG47" i="1"/>
  <c r="BD47" i="1"/>
  <c r="BD87" i="1" s="1"/>
  <c r="BG46" i="1"/>
  <c r="BD46" i="1"/>
  <c r="BD86" i="1" s="1"/>
  <c r="BG45" i="1"/>
  <c r="BF45" i="1" s="1"/>
  <c r="BF85" i="1" s="1"/>
  <c r="BD45" i="1"/>
  <c r="BD85" i="1" s="1"/>
  <c r="BG44" i="1"/>
  <c r="BF44" i="1" s="1"/>
  <c r="BF84" i="1" s="1"/>
  <c r="BD44" i="1"/>
  <c r="BD84" i="1" s="1"/>
  <c r="BG43" i="1"/>
  <c r="BF43" i="1" s="1"/>
  <c r="BF83" i="1" s="1"/>
  <c r="BD43" i="1"/>
  <c r="BD83" i="1" s="1"/>
  <c r="BG42" i="1"/>
  <c r="BF42" i="1" s="1"/>
  <c r="BF82" i="1" s="1"/>
  <c r="BD42" i="1"/>
  <c r="BD82" i="1" s="1"/>
  <c r="BG41" i="1"/>
  <c r="BE41" i="1" s="1"/>
  <c r="BE81" i="1" s="1"/>
  <c r="BD41" i="1"/>
  <c r="BD81" i="1" s="1"/>
  <c r="BG40" i="1"/>
  <c r="BF40" i="1" s="1"/>
  <c r="BF80" i="1" s="1"/>
  <c r="BD40" i="1"/>
  <c r="BD80" i="1" s="1"/>
  <c r="BG39" i="1"/>
  <c r="BF39" i="1" s="1"/>
  <c r="BF79" i="1" s="1"/>
  <c r="BD39" i="1"/>
  <c r="BD79" i="1" s="1"/>
  <c r="BG38" i="1"/>
  <c r="BG78" i="1" s="1"/>
  <c r="BD38" i="1"/>
  <c r="BD78" i="1" s="1"/>
  <c r="BG37" i="1"/>
  <c r="BF37" i="1" s="1"/>
  <c r="BF77" i="1" s="1"/>
  <c r="BD37" i="1"/>
  <c r="BD77" i="1" s="1"/>
  <c r="BG36" i="1"/>
  <c r="BF36" i="1" s="1"/>
  <c r="BF76" i="1" s="1"/>
  <c r="BD36" i="1"/>
  <c r="BD76" i="1" s="1"/>
  <c r="BG35" i="1"/>
  <c r="BG75" i="1" s="1"/>
  <c r="BD35" i="1"/>
  <c r="BD75" i="1" s="1"/>
  <c r="BG34" i="1"/>
  <c r="BF34" i="1" s="1"/>
  <c r="BF74" i="1" s="1"/>
  <c r="BD34" i="1"/>
  <c r="BD74" i="1" s="1"/>
  <c r="BG33" i="1"/>
  <c r="BE33" i="1" s="1"/>
  <c r="BE73" i="1" s="1"/>
  <c r="BD33" i="1"/>
  <c r="BD73" i="1" s="1"/>
  <c r="BG32" i="1"/>
  <c r="BF32" i="1" s="1"/>
  <c r="BF72" i="1" s="1"/>
  <c r="BD32" i="1"/>
  <c r="BD72" i="1" s="1"/>
  <c r="BG31" i="1"/>
  <c r="BF31" i="1" s="1"/>
  <c r="BF71" i="1" s="1"/>
  <c r="BD31" i="1"/>
  <c r="BD71" i="1" s="1"/>
  <c r="BG30" i="1"/>
  <c r="BF30" i="1"/>
  <c r="BE30" i="1"/>
  <c r="AB15" i="1" l="1"/>
  <c r="AA15" i="1"/>
  <c r="BT67" i="1"/>
  <c r="BZ90" i="1" s="1"/>
  <c r="CN67" i="1"/>
  <c r="CT90" i="1" s="1"/>
  <c r="CD67" i="1"/>
  <c r="CJ90" i="1" s="1"/>
  <c r="BB29" i="1"/>
  <c r="AJ7" i="1"/>
  <c r="CF29" i="1"/>
  <c r="BL29" i="1"/>
  <c r="CP29" i="1"/>
  <c r="CZ29" i="1"/>
  <c r="BT29" i="1"/>
  <c r="CX29" i="1"/>
  <c r="AJ10" i="1"/>
  <c r="AJ9" i="1"/>
  <c r="AZ29" i="1"/>
  <c r="CN29" i="1"/>
  <c r="DE89" i="1"/>
  <c r="DE90" i="1" s="1"/>
  <c r="BJ29" i="1"/>
  <c r="CU89" i="1"/>
  <c r="CU90" i="1" s="1"/>
  <c r="CX67" i="1"/>
  <c r="DD90" i="1" s="1"/>
  <c r="CK89" i="1"/>
  <c r="CK90" i="1" s="1"/>
  <c r="CD29" i="1"/>
  <c r="AJ6" i="1"/>
  <c r="AJ4" i="1"/>
  <c r="AJ5" i="1"/>
  <c r="AJ8" i="1"/>
  <c r="CA89" i="1"/>
  <c r="CA90" i="1" s="1"/>
  <c r="BJ67" i="1"/>
  <c r="AP29" i="1"/>
  <c r="V28" i="1"/>
  <c r="V36" i="1"/>
  <c r="BO59" i="1"/>
  <c r="BO100" i="1" s="1"/>
  <c r="BE38" i="1"/>
  <c r="BE78" i="1" s="1"/>
  <c r="BO51" i="1"/>
  <c r="BO92" i="1" s="1"/>
  <c r="BP62" i="1"/>
  <c r="BP103" i="1" s="1"/>
  <c r="BQ86" i="1"/>
  <c r="BG91" i="1"/>
  <c r="BG96" i="1"/>
  <c r="BQ103" i="1"/>
  <c r="BO35" i="1"/>
  <c r="BO75" i="1" s="1"/>
  <c r="V644" i="1"/>
  <c r="BV29" i="1" s="1"/>
  <c r="BF35" i="1"/>
  <c r="BF75" i="1" s="1"/>
  <c r="BE62" i="1"/>
  <c r="BE103" i="1" s="1"/>
  <c r="BP33" i="1"/>
  <c r="BP73" i="1" s="1"/>
  <c r="BP65" i="1"/>
  <c r="BP106" i="1" s="1"/>
  <c r="BQ73" i="1"/>
  <c r="V8" i="1"/>
  <c r="BQ106" i="1"/>
  <c r="BG106" i="1"/>
  <c r="BU82" i="1"/>
  <c r="BK82" i="1"/>
  <c r="BP54" i="1"/>
  <c r="BP95" i="1" s="1"/>
  <c r="BG77" i="1"/>
  <c r="BG94" i="1"/>
  <c r="BO41" i="1"/>
  <c r="BO81" i="1" s="1"/>
  <c r="BP41" i="1"/>
  <c r="BP81" i="1" s="1"/>
  <c r="BP43" i="1"/>
  <c r="BP83" i="1" s="1"/>
  <c r="BQ83" i="1"/>
  <c r="BG73" i="1"/>
  <c r="BQ77" i="1"/>
  <c r="BQ92" i="1"/>
  <c r="BQ102" i="1"/>
  <c r="BF59" i="1"/>
  <c r="BF100" i="1" s="1"/>
  <c r="BO57" i="1"/>
  <c r="BO98" i="1" s="1"/>
  <c r="BQ98" i="1"/>
  <c r="BP57" i="1"/>
  <c r="BP98" i="1" s="1"/>
  <c r="BG98" i="1"/>
  <c r="BG85" i="1"/>
  <c r="BQ78" i="1"/>
  <c r="BO38" i="1"/>
  <c r="BO78" i="1" s="1"/>
  <c r="BG102" i="1"/>
  <c r="BF46" i="1"/>
  <c r="BF86" i="1" s="1"/>
  <c r="BE46" i="1"/>
  <c r="BE86" i="1" s="1"/>
  <c r="BE54" i="1"/>
  <c r="BE95" i="1" s="1"/>
  <c r="BO46" i="1"/>
  <c r="BO86" i="1" s="1"/>
  <c r="BP49" i="1"/>
  <c r="BQ90" i="1"/>
  <c r="BQ95" i="1"/>
  <c r="BF47" i="1"/>
  <c r="BF87" i="1" s="1"/>
  <c r="BG87" i="1"/>
  <c r="BO43" i="1"/>
  <c r="BO83" i="1" s="1"/>
  <c r="BG81" i="1"/>
  <c r="BQ81" i="1"/>
  <c r="BS96" i="1"/>
  <c r="BF38" i="1"/>
  <c r="BF78" i="1" s="1"/>
  <c r="BF62" i="1"/>
  <c r="BF103" i="1" s="1"/>
  <c r="BP31" i="1"/>
  <c r="BP71" i="1" s="1"/>
  <c r="BO34" i="1"/>
  <c r="BO74" i="1" s="1"/>
  <c r="BP39" i="1"/>
  <c r="BP79" i="1" s="1"/>
  <c r="BO42" i="1"/>
  <c r="BO82" i="1" s="1"/>
  <c r="BP47" i="1"/>
  <c r="BP87" i="1" s="1"/>
  <c r="BP55" i="1"/>
  <c r="BP96" i="1" s="1"/>
  <c r="BO58" i="1"/>
  <c r="BO99" i="1" s="1"/>
  <c r="BP63" i="1"/>
  <c r="BP104" i="1" s="1"/>
  <c r="BO66" i="1"/>
  <c r="BO107" i="1" s="1"/>
  <c r="BT96" i="1"/>
  <c r="BF33" i="1"/>
  <c r="BF73" i="1" s="1"/>
  <c r="BF41" i="1"/>
  <c r="BF81" i="1" s="1"/>
  <c r="BF49" i="1"/>
  <c r="BF57" i="1"/>
  <c r="BF98" i="1" s="1"/>
  <c r="BF65" i="1"/>
  <c r="BF106" i="1" s="1"/>
  <c r="BP37" i="1"/>
  <c r="BP77" i="1" s="1"/>
  <c r="BP45" i="1"/>
  <c r="BP85" i="1" s="1"/>
  <c r="BP53" i="1"/>
  <c r="BP94" i="1" s="1"/>
  <c r="BP61" i="1"/>
  <c r="BP102" i="1" s="1"/>
  <c r="BQ71" i="1"/>
  <c r="BQ79" i="1"/>
  <c r="BU96" i="1"/>
  <c r="BQ104" i="1"/>
  <c r="BG72" i="1"/>
  <c r="BG80" i="1"/>
  <c r="BG97" i="1"/>
  <c r="BG105" i="1"/>
  <c r="BQ76" i="1"/>
  <c r="BQ101" i="1"/>
  <c r="BG84" i="1"/>
  <c r="BG93" i="1"/>
  <c r="BI96" i="1"/>
  <c r="BO96" i="1"/>
  <c r="BE37" i="1"/>
  <c r="BE45" i="1"/>
  <c r="BE53" i="1"/>
  <c r="BE61" i="1"/>
  <c r="BP35" i="1"/>
  <c r="BP75" i="1" s="1"/>
  <c r="BP59" i="1"/>
  <c r="BP100" i="1" s="1"/>
  <c r="BG74" i="1"/>
  <c r="BG82" i="1"/>
  <c r="BG86" i="1"/>
  <c r="BG95" i="1"/>
  <c r="BJ96" i="1"/>
  <c r="BG99" i="1"/>
  <c r="BG107" i="1"/>
  <c r="BQ91" i="1"/>
  <c r="BQ96" i="1"/>
  <c r="BQ85" i="1"/>
  <c r="BO87" i="1"/>
  <c r="BQ94" i="1"/>
  <c r="BE32" i="1"/>
  <c r="BE40" i="1"/>
  <c r="BE48" i="1"/>
  <c r="BE56" i="1"/>
  <c r="BE64" i="1"/>
  <c r="BG71" i="1"/>
  <c r="BG79" i="1"/>
  <c r="BG83" i="1"/>
  <c r="BG92" i="1"/>
  <c r="BK96" i="1"/>
  <c r="BG104" i="1"/>
  <c r="BO77" i="1"/>
  <c r="BQ87" i="1"/>
  <c r="BO102" i="1"/>
  <c r="BE35" i="1"/>
  <c r="BE75" i="1" s="1"/>
  <c r="BE43" i="1"/>
  <c r="BE83" i="1" s="1"/>
  <c r="BF48" i="1"/>
  <c r="BF88" i="1" s="1"/>
  <c r="BE51" i="1"/>
  <c r="BE92" i="1" s="1"/>
  <c r="BE59" i="1"/>
  <c r="BE100" i="1" s="1"/>
  <c r="BG76" i="1"/>
  <c r="BG101" i="1"/>
  <c r="BQ84" i="1"/>
  <c r="BQ93" i="1"/>
  <c r="BO32" i="1"/>
  <c r="BO72" i="1" s="1"/>
  <c r="BO40" i="1"/>
  <c r="BO80" i="1" s="1"/>
  <c r="BO48" i="1"/>
  <c r="BO56" i="1"/>
  <c r="BO64" i="1"/>
  <c r="BP32" i="1"/>
  <c r="BP72" i="1" s="1"/>
  <c r="BP40" i="1"/>
  <c r="BP80" i="1" s="1"/>
  <c r="BP48" i="1"/>
  <c r="BP88" i="1" s="1"/>
  <c r="BP56" i="1"/>
  <c r="BP97" i="1" s="1"/>
  <c r="BP64" i="1"/>
  <c r="BP105" i="1" s="1"/>
  <c r="BP34" i="1"/>
  <c r="BP74" i="1" s="1"/>
  <c r="BP42" i="1"/>
  <c r="BP82" i="1" s="1"/>
  <c r="BP50" i="1"/>
  <c r="BP91" i="1" s="1"/>
  <c r="BP58" i="1"/>
  <c r="BP99" i="1" s="1"/>
  <c r="BP66" i="1"/>
  <c r="BP107" i="1" s="1"/>
  <c r="BO36" i="1"/>
  <c r="BO76" i="1" s="1"/>
  <c r="BO44" i="1"/>
  <c r="BO52" i="1"/>
  <c r="BO93" i="1" s="1"/>
  <c r="BO60" i="1"/>
  <c r="BE34" i="1"/>
  <c r="BE42" i="1"/>
  <c r="BE50" i="1"/>
  <c r="BE58" i="1"/>
  <c r="BE66" i="1"/>
  <c r="BE31" i="1"/>
  <c r="BE39" i="1"/>
  <c r="BE47" i="1"/>
  <c r="BE55" i="1"/>
  <c r="BE63" i="1"/>
  <c r="BE36" i="1"/>
  <c r="BE76" i="1" s="1"/>
  <c r="BE44" i="1"/>
  <c r="BE84" i="1" s="1"/>
  <c r="BE52" i="1"/>
  <c r="BE93" i="1" s="1"/>
  <c r="BE60" i="1"/>
  <c r="BE101" i="1" s="1"/>
  <c r="CI67" i="1" l="1"/>
  <c r="CI89" i="1" s="1"/>
  <c r="CI90" i="1" s="1"/>
  <c r="CI109" i="1" s="1"/>
  <c r="BY67" i="1"/>
  <c r="BY89" i="1" s="1"/>
  <c r="BY90" i="1" s="1"/>
  <c r="BY109" i="1" s="1"/>
  <c r="CS67" i="1"/>
  <c r="CS89" i="1" s="1"/>
  <c r="CS90" i="1" s="1"/>
  <c r="CS109" i="1" s="1"/>
  <c r="AR29" i="1"/>
  <c r="DC67" i="1"/>
  <c r="DC89" i="1" s="1"/>
  <c r="DC90" i="1" s="1"/>
  <c r="DC109" i="1" s="1"/>
  <c r="BO67" i="1"/>
  <c r="BO89" i="1" s="1"/>
  <c r="BO90" i="1" s="1"/>
  <c r="BP90" i="1"/>
  <c r="BS82" i="1"/>
  <c r="BT82" i="1"/>
  <c r="BI82" i="1"/>
  <c r="BJ82" i="1"/>
  <c r="BE104" i="1"/>
  <c r="BE99" i="1"/>
  <c r="BE105" i="1"/>
  <c r="BE96" i="1"/>
  <c r="BE91" i="1"/>
  <c r="BO101" i="1"/>
  <c r="BE97" i="1"/>
  <c r="BE107" i="1"/>
  <c r="BE87" i="1"/>
  <c r="BE88" i="1"/>
  <c r="BE74" i="1"/>
  <c r="BE80" i="1"/>
  <c r="BE102" i="1"/>
  <c r="BE71" i="1"/>
  <c r="BO97" i="1"/>
  <c r="BE72" i="1"/>
  <c r="BE94" i="1"/>
  <c r="BE82" i="1"/>
  <c r="BE79" i="1"/>
  <c r="BE85" i="1"/>
  <c r="BO105" i="1"/>
  <c r="BO84" i="1"/>
  <c r="BO88" i="1"/>
  <c r="BE77" i="1"/>
  <c r="E3" i="1"/>
  <c r="E4" i="1"/>
  <c r="E5" i="1"/>
  <c r="E6" i="1"/>
  <c r="E7" i="1"/>
  <c r="E2" i="1"/>
  <c r="BO109" i="1" l="1"/>
  <c r="M2" i="1"/>
  <c r="M3" i="1" s="1"/>
  <c r="M4" i="1" s="1"/>
  <c r="M5" i="1" s="1"/>
  <c r="M6" i="1" s="1"/>
  <c r="M7" i="1" s="1"/>
  <c r="M8" i="1" s="1"/>
  <c r="M9" i="1" s="1"/>
  <c r="M10" i="1" s="1"/>
  <c r="M11" i="1" s="1"/>
  <c r="M12" i="1" s="1"/>
  <c r="M13" i="1" s="1"/>
  <c r="M14" i="1" s="1"/>
  <c r="M15" i="1" s="1"/>
  <c r="M16" i="1" s="1"/>
  <c r="M17" i="1" s="1"/>
  <c r="M18" i="1" s="1"/>
  <c r="M19" i="1" s="1"/>
  <c r="M20" i="1" s="1"/>
  <c r="M21" i="1" s="1"/>
  <c r="M22" i="1" s="1"/>
  <c r="M23" i="1" s="1"/>
  <c r="M24" i="1" s="1"/>
  <c r="M25" i="1" s="1"/>
  <c r="M26" i="1" s="1"/>
  <c r="M27" i="1" s="1"/>
  <c r="M28" i="1" s="1"/>
  <c r="M29" i="1" s="1"/>
  <c r="M30" i="1" s="1"/>
  <c r="M31" i="1" s="1"/>
  <c r="M32" i="1" s="1"/>
  <c r="M33" i="1" s="1"/>
  <c r="M34" i="1" s="1"/>
  <c r="M35" i="1" s="1"/>
  <c r="M36" i="1" s="1"/>
  <c r="M37" i="1" s="1"/>
  <c r="M38" i="1" s="1"/>
  <c r="M39" i="1" s="1"/>
  <c r="M40" i="1" s="1"/>
  <c r="M41" i="1" s="1"/>
  <c r="M42" i="1" s="1"/>
  <c r="M43" i="1" s="1"/>
  <c r="M44" i="1" s="1"/>
  <c r="M45" i="1" s="1"/>
  <c r="M46" i="1" s="1"/>
  <c r="M47" i="1" s="1"/>
  <c r="M48" i="1" s="1"/>
  <c r="M49" i="1" s="1"/>
  <c r="M50" i="1" s="1"/>
  <c r="M51" i="1" s="1"/>
  <c r="M52" i="1" s="1"/>
  <c r="M53" i="1" s="1"/>
  <c r="M54" i="1" s="1"/>
  <c r="M55" i="1" s="1"/>
  <c r="M56" i="1" s="1"/>
  <c r="M57" i="1" s="1"/>
  <c r="M58" i="1" s="1"/>
  <c r="M59" i="1" s="1"/>
  <c r="M60" i="1" s="1"/>
  <c r="M61" i="1" s="1"/>
  <c r="M62" i="1" s="1"/>
  <c r="M63" i="1" s="1"/>
  <c r="M64" i="1" s="1"/>
  <c r="M65" i="1" s="1"/>
  <c r="M66" i="1" s="1"/>
  <c r="M67" i="1" s="1"/>
  <c r="M68" i="1" s="1"/>
  <c r="M69" i="1" s="1"/>
  <c r="M70" i="1" s="1"/>
  <c r="M71" i="1" s="1"/>
  <c r="M72" i="1" s="1"/>
  <c r="M73" i="1" s="1"/>
  <c r="M74" i="1" s="1"/>
  <c r="M75" i="1" s="1"/>
  <c r="M76" i="1" s="1"/>
  <c r="M77" i="1" s="1"/>
  <c r="M78" i="1" s="1"/>
  <c r="M79" i="1" s="1"/>
  <c r="M80" i="1" s="1"/>
  <c r="M81" i="1" s="1"/>
  <c r="M82" i="1" s="1"/>
  <c r="M83" i="1" s="1"/>
  <c r="M84" i="1" s="1"/>
  <c r="M85" i="1" s="1"/>
  <c r="M86" i="1" s="1"/>
  <c r="M87" i="1" s="1"/>
  <c r="M88" i="1" s="1"/>
  <c r="M89" i="1" s="1"/>
  <c r="M90" i="1" s="1"/>
  <c r="M91" i="1" s="1"/>
  <c r="M92" i="1" s="1"/>
  <c r="M93" i="1" s="1"/>
  <c r="M94" i="1" s="1"/>
  <c r="M95" i="1" s="1"/>
  <c r="M96" i="1" s="1"/>
  <c r="M97" i="1" s="1"/>
  <c r="M98" i="1" s="1"/>
  <c r="M99" i="1" s="1"/>
  <c r="M100" i="1" s="1"/>
  <c r="M101" i="1" s="1"/>
  <c r="M102" i="1" s="1"/>
  <c r="M103" i="1" s="1"/>
  <c r="M104" i="1" s="1"/>
  <c r="M105" i="1" s="1"/>
  <c r="M106" i="1" s="1"/>
  <c r="M107" i="1" s="1"/>
  <c r="M108" i="1" s="1"/>
  <c r="M109" i="1" s="1"/>
  <c r="M110" i="1" s="1"/>
  <c r="M111" i="1" s="1"/>
  <c r="M112" i="1" s="1"/>
  <c r="M113" i="1" s="1"/>
  <c r="M114" i="1" s="1"/>
  <c r="M115" i="1" s="1"/>
  <c r="M116" i="1" s="1"/>
  <c r="M117" i="1" s="1"/>
  <c r="M118" i="1" s="1"/>
  <c r="M119" i="1" s="1"/>
  <c r="M120" i="1" s="1"/>
  <c r="M121" i="1" s="1"/>
  <c r="M122" i="1" s="1"/>
  <c r="M123" i="1" s="1"/>
  <c r="M124" i="1" s="1"/>
  <c r="M125" i="1" s="1"/>
  <c r="M126" i="1" s="1"/>
  <c r="M127" i="1" s="1"/>
  <c r="M128" i="1" s="1"/>
  <c r="M129" i="1" s="1"/>
  <c r="M130" i="1" s="1"/>
  <c r="M131" i="1" s="1"/>
  <c r="M132" i="1" s="1"/>
  <c r="M133" i="1" s="1"/>
  <c r="M134" i="1" s="1"/>
  <c r="M135" i="1" s="1"/>
  <c r="M136" i="1" s="1"/>
  <c r="M137" i="1" s="1"/>
  <c r="M138" i="1" s="1"/>
  <c r="M139" i="1" s="1"/>
  <c r="M140" i="1" s="1"/>
  <c r="M141" i="1" s="1"/>
  <c r="M142" i="1" s="1"/>
  <c r="M143" i="1" s="1"/>
  <c r="M144" i="1" s="1"/>
  <c r="M145" i="1" s="1"/>
  <c r="M146" i="1" s="1"/>
  <c r="M147" i="1" s="1"/>
  <c r="M148" i="1" s="1"/>
  <c r="M149" i="1" s="1"/>
  <c r="M150" i="1" s="1"/>
  <c r="M151" i="1" s="1"/>
  <c r="M152" i="1" s="1"/>
  <c r="M153" i="1" s="1"/>
  <c r="M154" i="1" s="1"/>
  <c r="M155" i="1" s="1"/>
  <c r="M156" i="1" s="1"/>
  <c r="M157" i="1" s="1"/>
  <c r="M158" i="1" s="1"/>
  <c r="M159" i="1" s="1"/>
  <c r="M160" i="1" s="1"/>
  <c r="M161" i="1" s="1"/>
  <c r="M162" i="1" s="1"/>
  <c r="M163" i="1" s="1"/>
  <c r="M164" i="1" s="1"/>
  <c r="M165" i="1" s="1"/>
  <c r="M166" i="1" s="1"/>
  <c r="M167" i="1" s="1"/>
  <c r="M168" i="1" s="1"/>
  <c r="M169" i="1" s="1"/>
  <c r="M170" i="1" s="1"/>
  <c r="M171" i="1" s="1"/>
  <c r="M172" i="1" s="1"/>
  <c r="M173" i="1" s="1"/>
  <c r="M174" i="1" s="1"/>
  <c r="M175" i="1" s="1"/>
  <c r="M176" i="1" s="1"/>
  <c r="M177" i="1" s="1"/>
  <c r="M178" i="1" s="1"/>
  <c r="M179" i="1" s="1"/>
  <c r="M180" i="1" s="1"/>
  <c r="M181" i="1" s="1"/>
  <c r="M182" i="1" s="1"/>
  <c r="M183" i="1" s="1"/>
  <c r="M184" i="1" s="1"/>
  <c r="M185" i="1" s="1"/>
  <c r="M186" i="1" s="1"/>
  <c r="M187" i="1" s="1"/>
  <c r="M188" i="1" s="1"/>
  <c r="M189" i="1" s="1"/>
  <c r="M190" i="1" s="1"/>
  <c r="M191" i="1" s="1"/>
  <c r="M192" i="1" s="1"/>
  <c r="M193" i="1" s="1"/>
  <c r="M194" i="1" s="1"/>
  <c r="M195" i="1" s="1"/>
  <c r="M196" i="1" s="1"/>
  <c r="M197" i="1" s="1"/>
  <c r="M198" i="1" s="1"/>
  <c r="M199" i="1" s="1"/>
  <c r="M200" i="1" s="1"/>
  <c r="M201" i="1" s="1"/>
  <c r="M202" i="1" s="1"/>
  <c r="M203" i="1" s="1"/>
  <c r="M204" i="1" s="1"/>
  <c r="M205" i="1" s="1"/>
  <c r="M206" i="1" s="1"/>
  <c r="M207" i="1" s="1"/>
  <c r="M208" i="1" s="1"/>
  <c r="M209" i="1" s="1"/>
  <c r="M210" i="1" s="1"/>
  <c r="M211" i="1" s="1"/>
  <c r="M212" i="1" s="1"/>
  <c r="M213" i="1" s="1"/>
  <c r="M214" i="1" s="1"/>
  <c r="M215" i="1" s="1"/>
  <c r="M216" i="1" s="1"/>
  <c r="M217" i="1" s="1"/>
  <c r="M218" i="1" s="1"/>
  <c r="M219" i="1" s="1"/>
  <c r="M220" i="1" s="1"/>
  <c r="M221" i="1" s="1"/>
  <c r="M222" i="1" s="1"/>
  <c r="M223" i="1" s="1"/>
  <c r="M224" i="1" s="1"/>
  <c r="M225" i="1" s="1"/>
  <c r="M226" i="1" s="1"/>
  <c r="M227" i="1" s="1"/>
  <c r="M228" i="1" s="1"/>
  <c r="M229" i="1" s="1"/>
  <c r="M230" i="1" s="1"/>
  <c r="M231" i="1" s="1"/>
  <c r="M232" i="1" s="1"/>
  <c r="M233" i="1" s="1"/>
  <c r="M234" i="1" s="1"/>
  <c r="M235" i="1" s="1"/>
  <c r="M236" i="1" s="1"/>
  <c r="M237" i="1" s="1"/>
  <c r="M238" i="1" s="1"/>
  <c r="M239" i="1" s="1"/>
  <c r="M240" i="1" s="1"/>
  <c r="M241" i="1" s="1"/>
  <c r="M242" i="1" s="1"/>
  <c r="M243" i="1" s="1"/>
  <c r="M244" i="1" s="1"/>
  <c r="M245" i="1" s="1"/>
  <c r="M246" i="1" s="1"/>
  <c r="M247" i="1" s="1"/>
  <c r="M248" i="1" s="1"/>
  <c r="M249" i="1" s="1"/>
  <c r="M250" i="1" s="1"/>
  <c r="M251" i="1" s="1"/>
  <c r="M252" i="1" s="1"/>
  <c r="M253" i="1" s="1"/>
  <c r="M254" i="1" s="1"/>
  <c r="M255" i="1" s="1"/>
  <c r="M256" i="1" s="1"/>
  <c r="M257" i="1" s="1"/>
  <c r="M258" i="1" s="1"/>
  <c r="M259" i="1" s="1"/>
  <c r="M260" i="1" s="1"/>
  <c r="M261" i="1" s="1"/>
  <c r="M262" i="1" s="1"/>
  <c r="M263" i="1" s="1"/>
  <c r="M264" i="1" s="1"/>
  <c r="M265" i="1" s="1"/>
  <c r="M266" i="1" s="1"/>
  <c r="M267" i="1" s="1"/>
  <c r="M268" i="1" s="1"/>
  <c r="M269" i="1" s="1"/>
  <c r="M270" i="1" s="1"/>
  <c r="M271" i="1" s="1"/>
  <c r="M272" i="1" s="1"/>
  <c r="M273" i="1" s="1"/>
  <c r="M274" i="1" s="1"/>
  <c r="M275" i="1" s="1"/>
  <c r="M276" i="1" s="1"/>
  <c r="M277" i="1" s="1"/>
  <c r="M278" i="1" s="1"/>
  <c r="M279" i="1" s="1"/>
  <c r="M280" i="1" s="1"/>
  <c r="M281" i="1" s="1"/>
  <c r="M282" i="1" s="1"/>
  <c r="M283" i="1" s="1"/>
  <c r="M284" i="1" s="1"/>
  <c r="M285" i="1" s="1"/>
  <c r="M286" i="1" s="1"/>
  <c r="M287" i="1" s="1"/>
  <c r="M288" i="1" s="1"/>
  <c r="M289" i="1" s="1"/>
  <c r="M290" i="1" s="1"/>
  <c r="M291" i="1" s="1"/>
  <c r="M292" i="1" s="1"/>
  <c r="M293" i="1" s="1"/>
  <c r="M294" i="1" s="1"/>
  <c r="M295" i="1" s="1"/>
  <c r="M296" i="1" s="1"/>
  <c r="M297" i="1" s="1"/>
  <c r="M298" i="1" s="1"/>
  <c r="M299" i="1" s="1"/>
  <c r="M300" i="1" s="1"/>
  <c r="M301" i="1" s="1"/>
  <c r="M302" i="1" s="1"/>
  <c r="M303" i="1" s="1"/>
  <c r="M304" i="1" s="1"/>
  <c r="M305" i="1" s="1"/>
  <c r="M306" i="1" s="1"/>
  <c r="M307" i="1" s="1"/>
  <c r="M308" i="1" s="1"/>
  <c r="M309" i="1" s="1"/>
  <c r="M310" i="1" s="1"/>
  <c r="M311" i="1" s="1"/>
  <c r="M312" i="1" s="1"/>
  <c r="M313" i="1" s="1"/>
  <c r="M314" i="1" s="1"/>
  <c r="M315" i="1" s="1"/>
  <c r="M316" i="1" s="1"/>
  <c r="M317" i="1" s="1"/>
  <c r="M318" i="1" s="1"/>
  <c r="M319" i="1" s="1"/>
  <c r="M320" i="1" s="1"/>
  <c r="M321" i="1" s="1"/>
  <c r="M322" i="1" s="1"/>
  <c r="M323" i="1" s="1"/>
  <c r="M324" i="1" s="1"/>
  <c r="M325" i="1" s="1"/>
  <c r="M326" i="1" s="1"/>
  <c r="M327" i="1" s="1"/>
  <c r="M328" i="1" s="1"/>
  <c r="M329" i="1" s="1"/>
  <c r="M330" i="1" s="1"/>
  <c r="M331" i="1" s="1"/>
  <c r="M332" i="1" s="1"/>
  <c r="M333" i="1" s="1"/>
  <c r="M334" i="1" s="1"/>
  <c r="M335" i="1" s="1"/>
  <c r="M336" i="1" s="1"/>
  <c r="M337" i="1" s="1"/>
  <c r="M338" i="1" s="1"/>
  <c r="M339" i="1" s="1"/>
  <c r="M340" i="1" s="1"/>
  <c r="M341" i="1" s="1"/>
  <c r="M342" i="1" s="1"/>
  <c r="M343" i="1" s="1"/>
  <c r="M344" i="1" s="1"/>
  <c r="M345" i="1" s="1"/>
  <c r="M346" i="1" s="1"/>
  <c r="M347" i="1" s="1"/>
  <c r="M348" i="1" s="1"/>
  <c r="M349" i="1" s="1"/>
  <c r="M350" i="1" s="1"/>
  <c r="M351" i="1" s="1"/>
  <c r="M352" i="1" s="1"/>
  <c r="M353" i="1" s="1"/>
  <c r="M354" i="1" s="1"/>
  <c r="M355" i="1" s="1"/>
  <c r="M356" i="1" s="1"/>
  <c r="M357" i="1" s="1"/>
  <c r="M358" i="1" s="1"/>
  <c r="M359" i="1" s="1"/>
  <c r="M360" i="1" s="1"/>
  <c r="M361" i="1" s="1"/>
  <c r="M362" i="1" s="1"/>
  <c r="M363" i="1" s="1"/>
  <c r="M364" i="1" s="1"/>
  <c r="M365" i="1" s="1"/>
  <c r="M366" i="1" s="1"/>
  <c r="M367" i="1" s="1"/>
  <c r="M368" i="1" s="1"/>
  <c r="M369" i="1" s="1"/>
  <c r="M370" i="1" s="1"/>
  <c r="M371" i="1" s="1"/>
  <c r="M372" i="1" s="1"/>
  <c r="M373" i="1" s="1"/>
  <c r="M374" i="1" s="1"/>
  <c r="M375" i="1" s="1"/>
  <c r="M376" i="1" s="1"/>
  <c r="M377" i="1" s="1"/>
  <c r="M378" i="1" s="1"/>
  <c r="M379" i="1" s="1"/>
  <c r="M380" i="1" s="1"/>
  <c r="M381" i="1" s="1"/>
  <c r="M382" i="1" s="1"/>
  <c r="M383" i="1" s="1"/>
  <c r="M384" i="1" s="1"/>
  <c r="M385" i="1" s="1"/>
  <c r="M386" i="1" s="1"/>
  <c r="M387" i="1" s="1"/>
  <c r="M388" i="1" s="1"/>
  <c r="M389" i="1" s="1"/>
  <c r="M390" i="1" s="1"/>
  <c r="M391" i="1" s="1"/>
  <c r="M392" i="1" s="1"/>
  <c r="M393" i="1" s="1"/>
  <c r="M394" i="1" s="1"/>
  <c r="M395" i="1" s="1"/>
  <c r="M396" i="1" s="1"/>
  <c r="M397" i="1" s="1"/>
  <c r="M398" i="1" s="1"/>
  <c r="M399" i="1" s="1"/>
  <c r="M400" i="1" s="1"/>
  <c r="M401" i="1" s="1"/>
  <c r="M402" i="1" s="1"/>
  <c r="M403" i="1" s="1"/>
  <c r="M404" i="1" s="1"/>
  <c r="M405" i="1" s="1"/>
  <c r="M406" i="1" s="1"/>
  <c r="M407" i="1" s="1"/>
  <c r="M408" i="1" s="1"/>
  <c r="M409" i="1" s="1"/>
  <c r="M410" i="1" s="1"/>
  <c r="M411" i="1" s="1"/>
  <c r="M412" i="1" s="1"/>
  <c r="M413" i="1" s="1"/>
  <c r="M414" i="1" s="1"/>
  <c r="M415" i="1" s="1"/>
  <c r="M416" i="1" s="1"/>
  <c r="M417" i="1" s="1"/>
  <c r="M418" i="1" s="1"/>
  <c r="M419" i="1" s="1"/>
  <c r="M420" i="1" s="1"/>
  <c r="M421" i="1" s="1"/>
  <c r="M422" i="1" s="1"/>
  <c r="M423" i="1" s="1"/>
  <c r="M424" i="1" s="1"/>
  <c r="M425" i="1" s="1"/>
  <c r="M426" i="1" s="1"/>
  <c r="M427" i="1" s="1"/>
  <c r="M428" i="1" s="1"/>
  <c r="M429" i="1" s="1"/>
  <c r="M430" i="1" s="1"/>
  <c r="M431" i="1" s="1"/>
  <c r="M432" i="1" s="1"/>
  <c r="M433" i="1" s="1"/>
  <c r="M434" i="1" s="1"/>
  <c r="M435" i="1" s="1"/>
  <c r="M436" i="1" s="1"/>
  <c r="M437" i="1" s="1"/>
  <c r="M438" i="1" s="1"/>
  <c r="M439" i="1" s="1"/>
  <c r="M440" i="1" s="1"/>
  <c r="M441" i="1" s="1"/>
  <c r="M442" i="1" s="1"/>
  <c r="M443" i="1" s="1"/>
  <c r="M444" i="1" s="1"/>
  <c r="M445" i="1" s="1"/>
  <c r="M446" i="1" s="1"/>
  <c r="M447" i="1" s="1"/>
  <c r="M448" i="1" s="1"/>
  <c r="M449" i="1" s="1"/>
  <c r="M450" i="1" s="1"/>
  <c r="M451" i="1" s="1"/>
  <c r="M452" i="1" s="1"/>
  <c r="M453" i="1" s="1"/>
  <c r="M454" i="1" s="1"/>
  <c r="M455" i="1" s="1"/>
  <c r="M456" i="1" s="1"/>
  <c r="M457" i="1" s="1"/>
  <c r="M458" i="1" s="1"/>
  <c r="M459" i="1" s="1"/>
  <c r="M460" i="1" s="1"/>
  <c r="M461" i="1" s="1"/>
  <c r="M462" i="1" s="1"/>
  <c r="M463" i="1" s="1"/>
  <c r="M464" i="1" s="1"/>
  <c r="M465" i="1" s="1"/>
  <c r="M466" i="1" s="1"/>
  <c r="M467" i="1" s="1"/>
  <c r="M468" i="1" s="1"/>
  <c r="M469" i="1" s="1"/>
  <c r="M470" i="1" s="1"/>
  <c r="M471" i="1" s="1"/>
  <c r="M472" i="1" s="1"/>
  <c r="M473" i="1" s="1"/>
  <c r="M474" i="1" s="1"/>
  <c r="M475" i="1" s="1"/>
  <c r="M476" i="1" s="1"/>
  <c r="M477" i="1" s="1"/>
  <c r="M478" i="1" s="1"/>
  <c r="M479" i="1" s="1"/>
  <c r="M480" i="1" s="1"/>
  <c r="M481" i="1" s="1"/>
  <c r="M482" i="1" s="1"/>
  <c r="M483" i="1" s="1"/>
  <c r="M484" i="1" s="1"/>
  <c r="M485" i="1" s="1"/>
  <c r="M486" i="1" s="1"/>
  <c r="M487" i="1" s="1"/>
  <c r="M488" i="1" s="1"/>
  <c r="M489" i="1" s="1"/>
  <c r="M490" i="1" s="1"/>
  <c r="M491" i="1" s="1"/>
  <c r="M492" i="1" s="1"/>
  <c r="M493" i="1" s="1"/>
  <c r="M494" i="1" s="1"/>
  <c r="M495" i="1" s="1"/>
  <c r="M496" i="1" s="1"/>
  <c r="M497" i="1" s="1"/>
  <c r="M498" i="1" s="1"/>
  <c r="M499" i="1" s="1"/>
  <c r="M500" i="1" s="1"/>
  <c r="M501" i="1" s="1"/>
  <c r="M502" i="1" s="1"/>
  <c r="M503" i="1" s="1"/>
  <c r="M504" i="1" s="1"/>
  <c r="M505" i="1" s="1"/>
  <c r="M506" i="1" s="1"/>
  <c r="M507" i="1" s="1"/>
  <c r="M508" i="1" s="1"/>
  <c r="M509" i="1" s="1"/>
  <c r="M510" i="1" s="1"/>
  <c r="M511" i="1" s="1"/>
  <c r="M512" i="1" s="1"/>
  <c r="M513" i="1" s="1"/>
  <c r="M514" i="1" s="1"/>
  <c r="M515" i="1" s="1"/>
  <c r="M516" i="1" s="1"/>
  <c r="M517" i="1" s="1"/>
  <c r="M518" i="1" s="1"/>
  <c r="M519" i="1" s="1"/>
  <c r="M520" i="1" s="1"/>
  <c r="M521" i="1" s="1"/>
  <c r="M522" i="1" s="1"/>
  <c r="M523" i="1" s="1"/>
  <c r="M524" i="1" s="1"/>
  <c r="M525" i="1" s="1"/>
  <c r="M526" i="1" s="1"/>
  <c r="M527" i="1" s="1"/>
  <c r="M528" i="1" s="1"/>
  <c r="M529" i="1" s="1"/>
  <c r="M530" i="1" s="1"/>
  <c r="M531" i="1" s="1"/>
  <c r="M532" i="1" s="1"/>
  <c r="M533" i="1" s="1"/>
  <c r="M534" i="1" s="1"/>
  <c r="M535" i="1" s="1"/>
  <c r="M536" i="1" s="1"/>
  <c r="M537" i="1" s="1"/>
  <c r="M538" i="1" s="1"/>
  <c r="M539" i="1" s="1"/>
  <c r="M540" i="1" s="1"/>
  <c r="M541" i="1" s="1"/>
  <c r="M542" i="1" s="1"/>
  <c r="M543" i="1" s="1"/>
  <c r="M544" i="1" s="1"/>
  <c r="M545" i="1" s="1"/>
  <c r="M546" i="1" s="1"/>
  <c r="M547" i="1" s="1"/>
  <c r="M548" i="1" s="1"/>
  <c r="M549" i="1" s="1"/>
  <c r="M550" i="1" s="1"/>
  <c r="M551" i="1" s="1"/>
  <c r="M552" i="1" s="1"/>
  <c r="M553" i="1" s="1"/>
  <c r="M554" i="1" s="1"/>
  <c r="M555" i="1" s="1"/>
  <c r="M556" i="1" s="1"/>
  <c r="M557" i="1" s="1"/>
  <c r="M558" i="1" s="1"/>
  <c r="M559" i="1" s="1"/>
  <c r="M560" i="1" s="1"/>
  <c r="M561" i="1" s="1"/>
  <c r="M562" i="1" s="1"/>
  <c r="M563" i="1" s="1"/>
  <c r="M564" i="1" s="1"/>
  <c r="M565" i="1" s="1"/>
  <c r="M566" i="1" s="1"/>
  <c r="M567" i="1" s="1"/>
  <c r="M568" i="1" s="1"/>
  <c r="M569" i="1" s="1"/>
  <c r="M570" i="1" s="1"/>
  <c r="M571" i="1" s="1"/>
  <c r="M572" i="1" s="1"/>
  <c r="M573" i="1" s="1"/>
  <c r="M574" i="1" s="1"/>
  <c r="M575" i="1" s="1"/>
  <c r="M576" i="1" s="1"/>
  <c r="M577" i="1" s="1"/>
  <c r="M578" i="1" s="1"/>
  <c r="M579" i="1" s="1"/>
  <c r="M580" i="1" s="1"/>
  <c r="M581" i="1" s="1"/>
  <c r="M582" i="1" s="1"/>
  <c r="M583" i="1" s="1"/>
  <c r="M584" i="1" s="1"/>
  <c r="M585" i="1" s="1"/>
  <c r="M586" i="1" s="1"/>
  <c r="M587" i="1" s="1"/>
  <c r="M588" i="1" s="1"/>
  <c r="M589" i="1" s="1"/>
  <c r="M590" i="1" s="1"/>
  <c r="M591" i="1" s="1"/>
  <c r="M592" i="1" s="1"/>
  <c r="M593" i="1" s="1"/>
  <c r="M594" i="1" s="1"/>
  <c r="M595" i="1" s="1"/>
  <c r="M596" i="1" s="1"/>
  <c r="M597" i="1" s="1"/>
  <c r="M598" i="1" s="1"/>
  <c r="M599" i="1" s="1"/>
  <c r="M600" i="1" s="1"/>
  <c r="M601" i="1" s="1"/>
  <c r="M602" i="1" s="1"/>
  <c r="M603" i="1" s="1"/>
  <c r="M604" i="1" s="1"/>
  <c r="M605" i="1" s="1"/>
  <c r="M606" i="1" s="1"/>
  <c r="M607" i="1" s="1"/>
  <c r="M608" i="1" s="1"/>
  <c r="M609" i="1" s="1"/>
  <c r="M610" i="1" s="1"/>
  <c r="M611" i="1" s="1"/>
  <c r="M612" i="1" s="1"/>
  <c r="M613" i="1" s="1"/>
  <c r="M614" i="1" s="1"/>
  <c r="M615" i="1" s="1"/>
  <c r="M616" i="1" s="1"/>
  <c r="M617" i="1" s="1"/>
  <c r="M618" i="1" s="1"/>
  <c r="M619" i="1" s="1"/>
  <c r="M620" i="1" s="1"/>
  <c r="M621" i="1" s="1"/>
  <c r="M622" i="1" s="1"/>
  <c r="M623" i="1" s="1"/>
  <c r="M624" i="1" s="1"/>
  <c r="M625" i="1" s="1"/>
  <c r="M626" i="1" s="1"/>
  <c r="M627" i="1" s="1"/>
  <c r="M628" i="1" s="1"/>
  <c r="M629" i="1" s="1"/>
  <c r="M630" i="1" s="1"/>
  <c r="M631" i="1" s="1"/>
  <c r="M632" i="1" s="1"/>
  <c r="M633" i="1" s="1"/>
  <c r="M634" i="1" s="1"/>
  <c r="M635" i="1" s="1"/>
  <c r="M636" i="1" s="1"/>
  <c r="M637" i="1" s="1"/>
  <c r="M638" i="1" s="1"/>
  <c r="M639" i="1" s="1"/>
  <c r="M640" i="1" s="1"/>
  <c r="M641" i="1" s="1"/>
  <c r="M642" i="1" s="1"/>
  <c r="M643" i="1" s="1"/>
  <c r="M644" i="1" s="1"/>
  <c r="M645" i="1" s="1"/>
  <c r="M646" i="1" s="1"/>
  <c r="M647" i="1" s="1"/>
  <c r="M648" i="1" s="1"/>
  <c r="M649" i="1" s="1"/>
  <c r="M650" i="1" s="1"/>
  <c r="M651" i="1" s="1"/>
  <c r="M652" i="1" s="1"/>
  <c r="M653" i="1" s="1"/>
  <c r="M654" i="1" s="1"/>
  <c r="M655" i="1" s="1"/>
  <c r="M656" i="1" s="1"/>
  <c r="M657" i="1" s="1"/>
  <c r="M658" i="1" s="1"/>
  <c r="M659" i="1" s="1"/>
  <c r="M660" i="1" s="1"/>
  <c r="M661" i="1" s="1"/>
  <c r="M662" i="1" s="1"/>
  <c r="M663" i="1" s="1"/>
  <c r="M664" i="1" s="1"/>
  <c r="M665" i="1" s="1"/>
  <c r="M666" i="1" s="1"/>
  <c r="M667" i="1" s="1"/>
  <c r="M668" i="1" s="1"/>
  <c r="M669" i="1" s="1"/>
  <c r="M670" i="1" s="1"/>
  <c r="M671" i="1" s="1"/>
  <c r="M672" i="1" s="1"/>
  <c r="M673" i="1" s="1"/>
  <c r="M674" i="1" s="1"/>
  <c r="M675" i="1" s="1"/>
  <c r="M676" i="1" s="1"/>
  <c r="M677" i="1" s="1"/>
  <c r="M678" i="1" s="1"/>
  <c r="M679" i="1" s="1"/>
  <c r="M680" i="1" s="1"/>
  <c r="M681" i="1" s="1"/>
  <c r="M682" i="1" s="1"/>
  <c r="M683" i="1" s="1"/>
  <c r="M684" i="1" s="1"/>
  <c r="M685" i="1" s="1"/>
  <c r="M686" i="1" s="1"/>
  <c r="M687" i="1" s="1"/>
  <c r="M688" i="1" s="1"/>
  <c r="M689" i="1" s="1"/>
  <c r="M690" i="1" s="1"/>
  <c r="M691" i="1" s="1"/>
  <c r="M692" i="1" s="1"/>
  <c r="M693" i="1" s="1"/>
  <c r="M694" i="1" s="1"/>
  <c r="M695" i="1" s="1"/>
  <c r="M696" i="1" s="1"/>
  <c r="M697" i="1" s="1"/>
  <c r="M698" i="1" s="1"/>
  <c r="M699" i="1" s="1"/>
  <c r="M700" i="1" s="1"/>
  <c r="M701" i="1" s="1"/>
  <c r="M702" i="1" s="1"/>
  <c r="M703" i="1" s="1"/>
  <c r="M704" i="1" s="1"/>
  <c r="M705" i="1" s="1"/>
  <c r="M706" i="1" s="1"/>
  <c r="M707" i="1" s="1"/>
  <c r="M708" i="1" s="1"/>
  <c r="M709" i="1" s="1"/>
  <c r="M710" i="1" s="1"/>
  <c r="M711" i="1" s="1"/>
  <c r="M712" i="1" s="1"/>
  <c r="M713" i="1" s="1"/>
  <c r="M714" i="1" s="1"/>
  <c r="M715" i="1" s="1"/>
  <c r="M716" i="1" s="1"/>
  <c r="M717" i="1" s="1"/>
  <c r="M718" i="1" s="1"/>
  <c r="M719" i="1" s="1"/>
  <c r="M720" i="1" s="1"/>
  <c r="M721" i="1" s="1"/>
  <c r="M722" i="1" s="1"/>
  <c r="M723" i="1" s="1"/>
  <c r="M724" i="1" s="1"/>
  <c r="M725" i="1" s="1"/>
  <c r="M726" i="1" s="1"/>
  <c r="M727" i="1" s="1"/>
  <c r="M728" i="1" s="1"/>
  <c r="M729" i="1" s="1"/>
  <c r="M730" i="1" s="1"/>
  <c r="M731" i="1" s="1"/>
  <c r="M732" i="1" s="1"/>
  <c r="M733" i="1" s="1"/>
  <c r="M734" i="1" s="1"/>
  <c r="M735" i="1" s="1"/>
  <c r="M736" i="1" s="1"/>
  <c r="M737" i="1" s="1"/>
  <c r="M738" i="1" s="1"/>
  <c r="M739" i="1" s="1"/>
  <c r="M740" i="1" s="1"/>
  <c r="M741" i="1" s="1"/>
  <c r="M742" i="1" s="1"/>
  <c r="M743" i="1" s="1"/>
  <c r="M744" i="1" s="1"/>
  <c r="M745" i="1" s="1"/>
  <c r="M746" i="1" s="1"/>
  <c r="M747" i="1" s="1"/>
  <c r="M748" i="1" s="1"/>
  <c r="M749" i="1" s="1"/>
  <c r="M750" i="1" s="1"/>
  <c r="M751" i="1" s="1"/>
  <c r="M752" i="1" s="1"/>
  <c r="M753" i="1" s="1"/>
  <c r="M754" i="1" s="1"/>
  <c r="M755" i="1" s="1"/>
  <c r="M756" i="1" s="1"/>
  <c r="M757" i="1" s="1"/>
  <c r="M758" i="1" s="1"/>
  <c r="M759" i="1" s="1"/>
  <c r="M760" i="1" s="1"/>
  <c r="M761" i="1" s="1"/>
  <c r="M762" i="1" s="1"/>
  <c r="M763" i="1" s="1"/>
  <c r="M764" i="1" s="1"/>
  <c r="M765" i="1" s="1"/>
  <c r="M766" i="1" s="1"/>
  <c r="M767" i="1" s="1"/>
  <c r="M768" i="1" s="1"/>
  <c r="M769" i="1" s="1"/>
  <c r="M770" i="1" s="1"/>
  <c r="M771" i="1" s="1"/>
  <c r="M772" i="1" s="1"/>
  <c r="M773" i="1" s="1"/>
  <c r="M774" i="1" s="1"/>
  <c r="M775" i="1" s="1"/>
  <c r="M776" i="1" s="1"/>
  <c r="M777" i="1" s="1"/>
  <c r="M778" i="1" s="1"/>
  <c r="M779" i="1" s="1"/>
  <c r="M780" i="1" s="1"/>
  <c r="M781" i="1" s="1"/>
  <c r="M782" i="1" s="1"/>
  <c r="M783" i="1" s="1"/>
  <c r="M784" i="1" s="1"/>
  <c r="M785" i="1" s="1"/>
  <c r="M786" i="1" s="1"/>
  <c r="M787" i="1" s="1"/>
  <c r="M788" i="1" s="1"/>
  <c r="M789" i="1" s="1"/>
  <c r="M790" i="1" s="1"/>
  <c r="M791" i="1" s="1"/>
  <c r="M792" i="1" s="1"/>
  <c r="M793" i="1" s="1"/>
  <c r="M794" i="1" s="1"/>
  <c r="M795" i="1" s="1"/>
  <c r="M796" i="1" s="1"/>
  <c r="M797" i="1" s="1"/>
  <c r="M798" i="1" s="1"/>
  <c r="M799" i="1" s="1"/>
  <c r="M800" i="1" s="1"/>
  <c r="M801" i="1" s="1"/>
  <c r="M802" i="1" s="1"/>
  <c r="M803" i="1" s="1"/>
  <c r="M804" i="1" s="1"/>
  <c r="M805" i="1" s="1"/>
  <c r="M806" i="1" s="1"/>
  <c r="M807" i="1" s="1"/>
  <c r="M808" i="1" s="1"/>
  <c r="M809" i="1" s="1"/>
  <c r="M810" i="1" s="1"/>
  <c r="M811" i="1" s="1"/>
  <c r="M812" i="1" s="1"/>
  <c r="M813" i="1" s="1"/>
  <c r="M814" i="1" s="1"/>
  <c r="M815" i="1" s="1"/>
  <c r="M816" i="1" s="1"/>
  <c r="M817" i="1" s="1"/>
  <c r="M818" i="1" s="1"/>
  <c r="M819" i="1" s="1"/>
  <c r="M820" i="1" s="1"/>
  <c r="M821" i="1" s="1"/>
  <c r="M822" i="1" s="1"/>
  <c r="M823" i="1" s="1"/>
  <c r="M824" i="1" s="1"/>
  <c r="M825" i="1" s="1"/>
  <c r="M826" i="1" s="1"/>
  <c r="M827" i="1" s="1"/>
  <c r="M828" i="1" s="1"/>
  <c r="M829" i="1" s="1"/>
  <c r="M830" i="1" s="1"/>
  <c r="M831" i="1" s="1"/>
  <c r="M832" i="1" s="1"/>
  <c r="M833" i="1" s="1"/>
  <c r="M834" i="1" s="1"/>
  <c r="M835" i="1" s="1"/>
  <c r="M836" i="1" s="1"/>
  <c r="M837" i="1" s="1"/>
  <c r="M838" i="1" s="1"/>
  <c r="M839" i="1" s="1"/>
  <c r="M840" i="1" s="1"/>
  <c r="M841" i="1" s="1"/>
  <c r="M842" i="1" s="1"/>
  <c r="M843" i="1" s="1"/>
  <c r="M844" i="1" s="1"/>
  <c r="M845" i="1" s="1"/>
  <c r="M846" i="1" s="1"/>
  <c r="M847" i="1" s="1"/>
  <c r="M848" i="1" s="1"/>
  <c r="M849" i="1" s="1"/>
  <c r="M850" i="1" s="1"/>
  <c r="M851" i="1" s="1"/>
  <c r="M852" i="1" s="1"/>
  <c r="M853" i="1" s="1"/>
  <c r="M854" i="1" s="1"/>
  <c r="M855" i="1" s="1"/>
  <c r="M856" i="1" s="1"/>
  <c r="M857" i="1" s="1"/>
  <c r="M858" i="1" s="1"/>
  <c r="M859" i="1" s="1"/>
  <c r="M860" i="1" s="1"/>
  <c r="M861" i="1" s="1"/>
  <c r="M862" i="1" s="1"/>
  <c r="M863" i="1" s="1"/>
  <c r="M864" i="1" s="1"/>
  <c r="M865" i="1" s="1"/>
  <c r="M866" i="1" s="1"/>
  <c r="M867" i="1" s="1"/>
  <c r="M868" i="1" s="1"/>
  <c r="M869" i="1" s="1"/>
  <c r="M870" i="1" s="1"/>
  <c r="M871" i="1" s="1"/>
  <c r="M872" i="1" s="1"/>
  <c r="M873" i="1" s="1"/>
  <c r="M874" i="1" s="1"/>
  <c r="M875" i="1" s="1"/>
  <c r="M876" i="1" s="1"/>
  <c r="M877" i="1" s="1"/>
  <c r="M878" i="1" s="1"/>
  <c r="M879" i="1" s="1"/>
  <c r="M880" i="1" s="1"/>
  <c r="M881" i="1" s="1"/>
  <c r="M882" i="1" s="1"/>
  <c r="M883" i="1" s="1"/>
  <c r="M884" i="1" s="1"/>
  <c r="M885" i="1" s="1"/>
  <c r="M886" i="1" s="1"/>
  <c r="M887" i="1" s="1"/>
  <c r="M888" i="1" s="1"/>
  <c r="M889" i="1" s="1"/>
  <c r="M890" i="1" s="1"/>
  <c r="M891" i="1" s="1"/>
  <c r="M892" i="1" s="1"/>
  <c r="M893" i="1" s="1"/>
  <c r="M894" i="1" s="1"/>
  <c r="M895" i="1" s="1"/>
  <c r="M896" i="1" s="1"/>
  <c r="M897" i="1" s="1"/>
  <c r="M898" i="1" s="1"/>
  <c r="M899" i="1" s="1"/>
  <c r="M900" i="1" s="1"/>
  <c r="M901" i="1" s="1"/>
  <c r="M902" i="1" s="1"/>
  <c r="M903" i="1" s="1"/>
  <c r="M904" i="1" s="1"/>
  <c r="M905" i="1" s="1"/>
  <c r="M906" i="1" s="1"/>
  <c r="M907" i="1" s="1"/>
  <c r="M908" i="1" s="1"/>
  <c r="M909" i="1" s="1"/>
  <c r="M910" i="1" s="1"/>
  <c r="M911" i="1" s="1"/>
  <c r="M912" i="1" s="1"/>
  <c r="M913" i="1" s="1"/>
  <c r="M914" i="1" s="1"/>
  <c r="M915" i="1" s="1"/>
  <c r="M916" i="1" s="1"/>
  <c r="M917" i="1" s="1"/>
  <c r="M918" i="1" s="1"/>
  <c r="M919" i="1" s="1"/>
  <c r="M920" i="1" s="1"/>
  <c r="M921" i="1" s="1"/>
  <c r="M922" i="1" s="1"/>
  <c r="M923" i="1" s="1"/>
  <c r="M924" i="1" s="1"/>
  <c r="M925" i="1" s="1"/>
  <c r="M926" i="1" s="1"/>
  <c r="M927" i="1" s="1"/>
  <c r="M928" i="1" s="1"/>
  <c r="M929" i="1" s="1"/>
  <c r="M930" i="1" s="1"/>
  <c r="M931" i="1" s="1"/>
  <c r="M932" i="1" s="1"/>
  <c r="M933" i="1" s="1"/>
  <c r="M934" i="1" s="1"/>
  <c r="M935" i="1" s="1"/>
  <c r="M936" i="1" s="1"/>
  <c r="M937" i="1" s="1"/>
  <c r="M938" i="1" s="1"/>
  <c r="M939" i="1" s="1"/>
  <c r="M940" i="1" s="1"/>
  <c r="M941" i="1" s="1"/>
  <c r="M942" i="1" s="1"/>
  <c r="M943" i="1" s="1"/>
  <c r="M944" i="1" s="1"/>
  <c r="M945" i="1" s="1"/>
  <c r="M946" i="1" s="1"/>
  <c r="M947" i="1" s="1"/>
  <c r="M948" i="1" s="1"/>
  <c r="M949" i="1" s="1"/>
  <c r="M950" i="1" s="1"/>
  <c r="M951" i="1" s="1"/>
  <c r="M952" i="1" s="1"/>
  <c r="M953" i="1" s="1"/>
  <c r="M954" i="1" s="1"/>
  <c r="M955" i="1" s="1"/>
  <c r="M956" i="1" s="1"/>
  <c r="M957" i="1" s="1"/>
  <c r="M958" i="1" s="1"/>
  <c r="M959" i="1" s="1"/>
  <c r="M960" i="1" s="1"/>
  <c r="M961" i="1" s="1"/>
  <c r="M962" i="1" s="1"/>
  <c r="M963" i="1" s="1"/>
  <c r="M964" i="1" s="1"/>
  <c r="M965" i="1" s="1"/>
  <c r="M966" i="1" s="1"/>
  <c r="M967" i="1" s="1"/>
  <c r="M968" i="1" s="1"/>
  <c r="M969" i="1" s="1"/>
  <c r="M970" i="1" s="1"/>
  <c r="M971" i="1" s="1"/>
  <c r="M972" i="1" s="1"/>
  <c r="M973" i="1" s="1"/>
  <c r="M974" i="1" s="1"/>
  <c r="M975" i="1" s="1"/>
  <c r="M976" i="1" s="1"/>
  <c r="M977" i="1" s="1"/>
  <c r="M978" i="1" s="1"/>
  <c r="M979" i="1" s="1"/>
  <c r="M980" i="1" s="1"/>
  <c r="M981" i="1" s="1"/>
  <c r="M982" i="1" s="1"/>
  <c r="M983" i="1" s="1"/>
  <c r="M984" i="1" s="1"/>
  <c r="M985" i="1" s="1"/>
  <c r="M986" i="1" s="1"/>
  <c r="M987" i="1" s="1"/>
  <c r="M988" i="1" s="1"/>
  <c r="M989" i="1" s="1"/>
  <c r="M990" i="1" s="1"/>
  <c r="M991" i="1" s="1"/>
  <c r="M992" i="1" s="1"/>
  <c r="M993" i="1" s="1"/>
  <c r="M994" i="1" s="1"/>
  <c r="M995" i="1" s="1"/>
  <c r="M996" i="1" s="1"/>
  <c r="M997" i="1" s="1"/>
  <c r="M998" i="1" s="1"/>
  <c r="M999" i="1" s="1"/>
  <c r="M1000" i="1" s="1"/>
  <c r="M1001" i="1" s="1"/>
  <c r="M1002" i="1" s="1"/>
  <c r="M1003" i="1" s="1"/>
  <c r="M1004" i="1" s="1"/>
  <c r="M1005" i="1" s="1"/>
  <c r="M1006" i="1" s="1"/>
  <c r="M1007" i="1" s="1"/>
  <c r="M1008" i="1" s="1"/>
  <c r="M1009" i="1" s="1"/>
  <c r="M1010" i="1" s="1"/>
  <c r="M1011" i="1" s="1"/>
  <c r="M1012" i="1" s="1"/>
  <c r="M1013" i="1" s="1"/>
  <c r="M1014" i="1" s="1"/>
  <c r="M1015" i="1" s="1"/>
  <c r="M1016" i="1" s="1"/>
  <c r="M1017" i="1" s="1"/>
  <c r="M1018" i="1" s="1"/>
  <c r="M1019" i="1" s="1"/>
  <c r="M1020" i="1" s="1"/>
  <c r="M1021" i="1" s="1"/>
  <c r="M1022" i="1" s="1"/>
  <c r="M1023" i="1" s="1"/>
  <c r="M1024" i="1" s="1"/>
  <c r="M1025" i="1" s="1"/>
  <c r="M1026" i="1" s="1"/>
  <c r="M1027" i="1" s="1"/>
  <c r="M1028" i="1" s="1"/>
  <c r="M1029" i="1" s="1"/>
  <c r="M1030" i="1" s="1"/>
  <c r="M1031" i="1" s="1"/>
  <c r="M1032" i="1" s="1"/>
  <c r="M1033" i="1" s="1"/>
  <c r="M1034" i="1" s="1"/>
  <c r="M1035" i="1" s="1"/>
  <c r="M1036" i="1" s="1"/>
  <c r="M1037" i="1" s="1"/>
  <c r="M1038" i="1" s="1"/>
  <c r="M1039" i="1" s="1"/>
  <c r="M1040" i="1" s="1"/>
  <c r="M1041" i="1" s="1"/>
  <c r="M1042" i="1" s="1"/>
  <c r="M1043" i="1" s="1"/>
  <c r="M1044" i="1" s="1"/>
  <c r="M1045" i="1" s="1"/>
  <c r="M1046" i="1" s="1"/>
  <c r="M1047" i="1" s="1"/>
  <c r="M1048" i="1" s="1"/>
  <c r="M1049" i="1" s="1"/>
  <c r="M1050" i="1" s="1"/>
  <c r="M1051" i="1" s="1"/>
  <c r="M1052" i="1" s="1"/>
  <c r="M1053" i="1" s="1"/>
  <c r="M1054" i="1" s="1"/>
  <c r="M1055" i="1" s="1"/>
  <c r="M1056" i="1" s="1"/>
  <c r="M1057" i="1" s="1"/>
  <c r="M1058" i="1" s="1"/>
  <c r="M1059" i="1" s="1"/>
  <c r="M1060" i="1" s="1"/>
  <c r="M1061" i="1" s="1"/>
  <c r="M1062" i="1" s="1"/>
  <c r="M1063" i="1" s="1"/>
  <c r="M1064" i="1" s="1"/>
  <c r="M1065" i="1" s="1"/>
  <c r="M1066" i="1" s="1"/>
  <c r="M1067" i="1" s="1"/>
  <c r="M1068" i="1" s="1"/>
  <c r="M1069" i="1" s="1"/>
  <c r="M1070" i="1" s="1"/>
  <c r="M1071" i="1" s="1"/>
  <c r="M1072" i="1" s="1"/>
  <c r="M1073" i="1" s="1"/>
  <c r="M1074" i="1" s="1"/>
  <c r="M1075" i="1" s="1"/>
  <c r="M1076" i="1" s="1"/>
  <c r="M1077" i="1" s="1"/>
  <c r="M1078" i="1" s="1"/>
  <c r="M1079" i="1" s="1"/>
  <c r="M1080" i="1" s="1"/>
  <c r="M1081" i="1" s="1"/>
  <c r="M1082" i="1" s="1"/>
  <c r="M1083" i="1" s="1"/>
  <c r="M1084" i="1" s="1"/>
  <c r="M1085" i="1" s="1"/>
  <c r="M1086" i="1" s="1"/>
  <c r="M1087" i="1" s="1"/>
  <c r="M1088" i="1" s="1"/>
  <c r="M1089" i="1" s="1"/>
  <c r="M1090" i="1" s="1"/>
  <c r="M1091" i="1" s="1"/>
  <c r="M1092" i="1" s="1"/>
  <c r="M1093" i="1" s="1"/>
  <c r="M1094" i="1" s="1"/>
  <c r="M1095" i="1" s="1"/>
  <c r="M1096" i="1" s="1"/>
  <c r="M1097" i="1" s="1"/>
  <c r="M1098" i="1" s="1"/>
  <c r="M1099" i="1" s="1"/>
  <c r="M1100" i="1" s="1"/>
  <c r="M1101" i="1" s="1"/>
  <c r="M1102" i="1" s="1"/>
  <c r="M1103" i="1" s="1"/>
  <c r="M1104" i="1" s="1"/>
  <c r="M1105" i="1" s="1"/>
  <c r="M1106" i="1" s="1"/>
  <c r="M1107" i="1" s="1"/>
  <c r="M1108" i="1" s="1"/>
  <c r="M1109" i="1" s="1"/>
  <c r="M1110" i="1" s="1"/>
  <c r="M1111" i="1" s="1"/>
  <c r="M1112" i="1" s="1"/>
  <c r="M1113" i="1" s="1"/>
  <c r="M1114" i="1" s="1"/>
  <c r="M1115" i="1" s="1"/>
  <c r="M1116" i="1" s="1"/>
  <c r="M1117" i="1" s="1"/>
  <c r="M1118" i="1" s="1"/>
  <c r="M1119" i="1" s="1"/>
  <c r="M1120" i="1" s="1"/>
  <c r="M1121" i="1" s="1"/>
  <c r="M1122" i="1" s="1"/>
  <c r="M1123" i="1" s="1"/>
  <c r="M1124" i="1" s="1"/>
  <c r="M1125" i="1" s="1"/>
  <c r="M1126" i="1" s="1"/>
  <c r="M1127" i="1" s="1"/>
  <c r="M1128" i="1" s="1"/>
  <c r="M1129" i="1" s="1"/>
  <c r="M1130" i="1" s="1"/>
  <c r="M1131" i="1" s="1"/>
  <c r="M1132" i="1" s="1"/>
  <c r="M1133" i="1" s="1"/>
  <c r="M1134" i="1" s="1"/>
  <c r="M1135" i="1" s="1"/>
  <c r="P2" i="1"/>
  <c r="AW55" i="1"/>
  <c r="AU55" i="1" s="1"/>
  <c r="AU96" i="1" s="1"/>
  <c r="AW56" i="1"/>
  <c r="AU56" i="1" s="1"/>
  <c r="AU97" i="1" s="1"/>
  <c r="AW57" i="1"/>
  <c r="AU57" i="1" s="1"/>
  <c r="AU98" i="1" s="1"/>
  <c r="AW58" i="1"/>
  <c r="AV58" i="1" s="1"/>
  <c r="AV99" i="1" s="1"/>
  <c r="AW59" i="1"/>
  <c r="AW60" i="1"/>
  <c r="AU60" i="1" s="1"/>
  <c r="AU101" i="1" s="1"/>
  <c r="AW61" i="1"/>
  <c r="AU61" i="1" s="1"/>
  <c r="AU102" i="1" s="1"/>
  <c r="AW62" i="1"/>
  <c r="AU62" i="1" s="1"/>
  <c r="AU103" i="1" s="1"/>
  <c r="AW63" i="1"/>
  <c r="AU63" i="1" s="1"/>
  <c r="AU104" i="1" s="1"/>
  <c r="AW64" i="1"/>
  <c r="AW105" i="1" s="1"/>
  <c r="AW65" i="1"/>
  <c r="AU65" i="1" s="1"/>
  <c r="AU106" i="1" s="1"/>
  <c r="AW66" i="1"/>
  <c r="AV66" i="1" s="1"/>
  <c r="AV107" i="1" s="1"/>
  <c r="AW30" i="1"/>
  <c r="AU30" i="1"/>
  <c r="AW31" i="1"/>
  <c r="AW32" i="1"/>
  <c r="AW33" i="1"/>
  <c r="AW34" i="1"/>
  <c r="AW35" i="1"/>
  <c r="AW36" i="1"/>
  <c r="AW37" i="1"/>
  <c r="AW38" i="1"/>
  <c r="AW39" i="1"/>
  <c r="AW40" i="1"/>
  <c r="AW41" i="1"/>
  <c r="AW42" i="1"/>
  <c r="AV30" i="1"/>
  <c r="AM30" i="1"/>
  <c r="AK30" i="1"/>
  <c r="AL30" i="1"/>
  <c r="AM55" i="1"/>
  <c r="AL55" i="1" s="1"/>
  <c r="AL96" i="1" s="1"/>
  <c r="AM56" i="1"/>
  <c r="AM97" i="1" s="1"/>
  <c r="AM57" i="1"/>
  <c r="AL57" i="1" s="1"/>
  <c r="AL98" i="1" s="1"/>
  <c r="AM58" i="1"/>
  <c r="AM99" i="1" s="1"/>
  <c r="AM59" i="1"/>
  <c r="AM100" i="1" s="1"/>
  <c r="AM60" i="1"/>
  <c r="AL60" i="1" s="1"/>
  <c r="AL101" i="1" s="1"/>
  <c r="AM61" i="1"/>
  <c r="AM102" i="1" s="1"/>
  <c r="AM62" i="1"/>
  <c r="AK62" i="1" s="1"/>
  <c r="AK103" i="1" s="1"/>
  <c r="AM63" i="1"/>
  <c r="AK63" i="1" s="1"/>
  <c r="AK104" i="1" s="1"/>
  <c r="AM64" i="1"/>
  <c r="AM105" i="1" s="1"/>
  <c r="AM65" i="1"/>
  <c r="AK65" i="1" s="1"/>
  <c r="AK106" i="1" s="1"/>
  <c r="AM66" i="1"/>
  <c r="AM107" i="1" s="1"/>
  <c r="AM31" i="1"/>
  <c r="AM32" i="1"/>
  <c r="AM33" i="1"/>
  <c r="AM34" i="1"/>
  <c r="AM35" i="1"/>
  <c r="AM36" i="1"/>
  <c r="AM37" i="1"/>
  <c r="AM38" i="1"/>
  <c r="AM39" i="1"/>
  <c r="AM40" i="1"/>
  <c r="AM41" i="1"/>
  <c r="AM42" i="1"/>
  <c r="AW54" i="1"/>
  <c r="AU54" i="1" s="1"/>
  <c r="AU95" i="1" s="1"/>
  <c r="AM54" i="1"/>
  <c r="AK54" i="1" s="1"/>
  <c r="AK95" i="1" s="1"/>
  <c r="AW53" i="1"/>
  <c r="AV53" i="1" s="1"/>
  <c r="AV94" i="1" s="1"/>
  <c r="AM53" i="1"/>
  <c r="AK53" i="1" s="1"/>
  <c r="AK94" i="1" s="1"/>
  <c r="AW52" i="1"/>
  <c r="AV52" i="1" s="1"/>
  <c r="AV93" i="1" s="1"/>
  <c r="AM52" i="1"/>
  <c r="AK52" i="1" s="1"/>
  <c r="AK93" i="1" s="1"/>
  <c r="AW51" i="1"/>
  <c r="AV51" i="1" s="1"/>
  <c r="AV92" i="1" s="1"/>
  <c r="AM51" i="1"/>
  <c r="AM92" i="1" s="1"/>
  <c r="AW50" i="1"/>
  <c r="AV50" i="1" s="1"/>
  <c r="AV91" i="1" s="1"/>
  <c r="AM50" i="1"/>
  <c r="AM91" i="1" s="1"/>
  <c r="AW43" i="1"/>
  <c r="AV43" i="1" s="1"/>
  <c r="AV83" i="1" s="1"/>
  <c r="AM43" i="1"/>
  <c r="AL43" i="1" s="1"/>
  <c r="AL83" i="1" s="1"/>
  <c r="AW44" i="1"/>
  <c r="AV44" i="1" s="1"/>
  <c r="AV84" i="1" s="1"/>
  <c r="AM44" i="1"/>
  <c r="AM84" i="1" s="1"/>
  <c r="AW45" i="1"/>
  <c r="AW85" i="1" s="1"/>
  <c r="AM45" i="1"/>
  <c r="AM85" i="1" s="1"/>
  <c r="AW46" i="1"/>
  <c r="AV46" i="1" s="1"/>
  <c r="AV86" i="1" s="1"/>
  <c r="AM46" i="1"/>
  <c r="AK46" i="1" s="1"/>
  <c r="AK86" i="1" s="1"/>
  <c r="AW47" i="1"/>
  <c r="AV47" i="1" s="1"/>
  <c r="AV87" i="1" s="1"/>
  <c r="AM47" i="1"/>
  <c r="AK47" i="1" s="1"/>
  <c r="AK87" i="1" s="1"/>
  <c r="O3" i="1"/>
  <c r="O4" i="1" s="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AW49" i="1"/>
  <c r="AU49" i="1" s="1"/>
  <c r="AW48" i="1"/>
  <c r="AW88" i="1" s="1"/>
  <c r="AM49" i="1"/>
  <c r="AL49" i="1" s="1"/>
  <c r="AM48" i="1"/>
  <c r="AL48" i="1" s="1"/>
  <c r="AL88" i="1" s="1"/>
  <c r="AG114" i="1"/>
  <c r="AH114" i="1" s="1"/>
  <c r="AI114" i="1" s="1"/>
  <c r="AJ114" i="1" s="1"/>
  <c r="AK114" i="1" s="1"/>
  <c r="AL114" i="1" s="1"/>
  <c r="AM114" i="1" s="1"/>
  <c r="T3" i="1"/>
  <c r="T4" i="1"/>
  <c r="T5" i="1"/>
  <c r="T6" i="1"/>
  <c r="U3" i="1"/>
  <c r="U4" i="1"/>
  <c r="U5" i="1"/>
  <c r="U6" i="1"/>
  <c r="T7" i="1"/>
  <c r="U7" i="1"/>
  <c r="U2" i="1"/>
  <c r="P5" i="1"/>
  <c r="P6" i="1"/>
  <c r="P7" i="1"/>
  <c r="P3" i="1"/>
  <c r="P4" i="1"/>
  <c r="AT66" i="1"/>
  <c r="AT107" i="1" s="1"/>
  <c r="AJ66" i="1"/>
  <c r="AJ107" i="1" s="1"/>
  <c r="AT65" i="1"/>
  <c r="AT106" i="1" s="1"/>
  <c r="AJ65" i="1"/>
  <c r="AJ106" i="1" s="1"/>
  <c r="AT64" i="1"/>
  <c r="AT105" i="1" s="1"/>
  <c r="AJ64" i="1"/>
  <c r="AJ105" i="1" s="1"/>
  <c r="AT63" i="1"/>
  <c r="AT104" i="1" s="1"/>
  <c r="AJ63" i="1"/>
  <c r="AJ104" i="1" s="1"/>
  <c r="AT62" i="1"/>
  <c r="AT103" i="1" s="1"/>
  <c r="AT61" i="1"/>
  <c r="AT102" i="1" s="1"/>
  <c r="AT60" i="1"/>
  <c r="AT101" i="1" s="1"/>
  <c r="AT59" i="1"/>
  <c r="AT100" i="1" s="1"/>
  <c r="AT58" i="1"/>
  <c r="AT99" i="1" s="1"/>
  <c r="AT57" i="1"/>
  <c r="AT98" i="1" s="1"/>
  <c r="AT56" i="1"/>
  <c r="AT97" i="1" s="1"/>
  <c r="AT55" i="1"/>
  <c r="AT96" i="1" s="1"/>
  <c r="AT54" i="1"/>
  <c r="AT95" i="1" s="1"/>
  <c r="AT53" i="1"/>
  <c r="AT94" i="1" s="1"/>
  <c r="AT52" i="1"/>
  <c r="AT93" i="1" s="1"/>
  <c r="AT51" i="1"/>
  <c r="AT92" i="1" s="1"/>
  <c r="AT50" i="1"/>
  <c r="AT91" i="1" s="1"/>
  <c r="AT49" i="1"/>
  <c r="AT90" i="1" s="1"/>
  <c r="AT48" i="1"/>
  <c r="AT88" i="1" s="1"/>
  <c r="AT47" i="1"/>
  <c r="AT87" i="1" s="1"/>
  <c r="AT46" i="1"/>
  <c r="AT86" i="1" s="1"/>
  <c r="AT45" i="1"/>
  <c r="AT85" i="1" s="1"/>
  <c r="AT44" i="1"/>
  <c r="AT84" i="1" s="1"/>
  <c r="AT43" i="1"/>
  <c r="AT83" i="1" s="1"/>
  <c r="AT42" i="1"/>
  <c r="AT82" i="1" s="1"/>
  <c r="AT41" i="1"/>
  <c r="AT81" i="1" s="1"/>
  <c r="AT40" i="1"/>
  <c r="AT80" i="1" s="1"/>
  <c r="AT39" i="1"/>
  <c r="AT79" i="1" s="1"/>
  <c r="AT38" i="1"/>
  <c r="AT78" i="1" s="1"/>
  <c r="AT37" i="1"/>
  <c r="AT77" i="1" s="1"/>
  <c r="AT36" i="1"/>
  <c r="AT76" i="1" s="1"/>
  <c r="AT35" i="1"/>
  <c r="AT75" i="1" s="1"/>
  <c r="AT34" i="1"/>
  <c r="AT74" i="1" s="1"/>
  <c r="AT33" i="1"/>
  <c r="AT73" i="1" s="1"/>
  <c r="AT32" i="1"/>
  <c r="AT72" i="1" s="1"/>
  <c r="AT31" i="1"/>
  <c r="AT71" i="1" s="1"/>
  <c r="AJ62" i="1"/>
  <c r="AJ103" i="1" s="1"/>
  <c r="AJ61" i="1"/>
  <c r="AJ102" i="1" s="1"/>
  <c r="AJ60" i="1"/>
  <c r="AJ101" i="1" s="1"/>
  <c r="AJ59" i="1"/>
  <c r="AJ100" i="1" s="1"/>
  <c r="AJ58" i="1"/>
  <c r="AJ99" i="1" s="1"/>
  <c r="AJ57" i="1"/>
  <c r="AJ98" i="1" s="1"/>
  <c r="AJ56" i="1"/>
  <c r="AJ97" i="1" s="1"/>
  <c r="AJ55" i="1"/>
  <c r="AJ96" i="1" s="1"/>
  <c r="AJ54" i="1"/>
  <c r="AJ95" i="1" s="1"/>
  <c r="AJ53" i="1"/>
  <c r="AJ94" i="1" s="1"/>
  <c r="AJ52" i="1"/>
  <c r="AJ93" i="1" s="1"/>
  <c r="AJ51" i="1"/>
  <c r="AJ92" i="1" s="1"/>
  <c r="AJ50" i="1"/>
  <c r="AJ91" i="1" s="1"/>
  <c r="AJ49" i="1"/>
  <c r="AJ90" i="1" s="1"/>
  <c r="AJ48" i="1"/>
  <c r="AJ88" i="1" s="1"/>
  <c r="AJ47" i="1"/>
  <c r="AJ87" i="1" s="1"/>
  <c r="AJ46" i="1"/>
  <c r="AJ86" i="1" s="1"/>
  <c r="AJ45" i="1"/>
  <c r="AJ85" i="1" s="1"/>
  <c r="AJ44" i="1"/>
  <c r="AJ84" i="1" s="1"/>
  <c r="AJ43" i="1"/>
  <c r="AJ83" i="1" s="1"/>
  <c r="AJ42" i="1"/>
  <c r="AJ82" i="1" s="1"/>
  <c r="AJ41" i="1"/>
  <c r="AJ81" i="1" s="1"/>
  <c r="AJ40" i="1"/>
  <c r="AJ80" i="1" s="1"/>
  <c r="AJ39" i="1"/>
  <c r="AJ79" i="1" s="1"/>
  <c r="AJ38" i="1"/>
  <c r="AJ78" i="1" s="1"/>
  <c r="AJ37" i="1"/>
  <c r="AJ77" i="1" s="1"/>
  <c r="AJ36" i="1"/>
  <c r="AJ76" i="1" s="1"/>
  <c r="AJ35" i="1"/>
  <c r="AJ75" i="1" s="1"/>
  <c r="AJ34" i="1"/>
  <c r="AJ74" i="1" s="1"/>
  <c r="AJ33" i="1"/>
  <c r="AJ73" i="1" s="1"/>
  <c r="AJ32" i="1"/>
  <c r="AJ72" i="1" s="1"/>
  <c r="AJ31" i="1"/>
  <c r="AJ71" i="1" s="1"/>
  <c r="S3" i="1"/>
  <c r="S4" i="1" s="1"/>
  <c r="S5" i="1" s="1"/>
  <c r="R7" i="1"/>
  <c r="R6" i="1"/>
  <c r="R5" i="1"/>
  <c r="R4" i="1"/>
  <c r="Q2" i="1"/>
  <c r="R2" i="1" s="1"/>
  <c r="AP67" i="1" l="1"/>
  <c r="AW67" i="1"/>
  <c r="AW89" i="1" s="1"/>
  <c r="AW90" i="1" s="1"/>
  <c r="BG67" i="1"/>
  <c r="AZ67" i="1"/>
  <c r="BF90" i="1" s="1"/>
  <c r="AF67" i="1"/>
  <c r="AF29" i="1"/>
  <c r="AG29" i="1"/>
  <c r="AM67" i="1"/>
  <c r="AJ3" i="1"/>
  <c r="O36" i="1"/>
  <c r="M1136" i="1"/>
  <c r="M1137" i="1" s="1"/>
  <c r="M1138" i="1" s="1"/>
  <c r="M1139" i="1" s="1"/>
  <c r="M1140" i="1" s="1"/>
  <c r="M1141" i="1" s="1"/>
  <c r="M1142" i="1" s="1"/>
  <c r="M1143" i="1" s="1"/>
  <c r="M1144" i="1" s="1"/>
  <c r="M1145" i="1" s="1"/>
  <c r="M1146" i="1" s="1"/>
  <c r="M1147" i="1" s="1"/>
  <c r="M1148" i="1" s="1"/>
  <c r="M1149" i="1" s="1"/>
  <c r="M1150" i="1" s="1"/>
  <c r="M1151" i="1" s="1"/>
  <c r="M1152" i="1" s="1"/>
  <c r="M1153" i="1" s="1"/>
  <c r="M1154" i="1" s="1"/>
  <c r="M1155" i="1" s="1"/>
  <c r="M1156" i="1" s="1"/>
  <c r="M1157" i="1" s="1"/>
  <c r="M1158" i="1" s="1"/>
  <c r="M1159" i="1" s="1"/>
  <c r="M1160" i="1" s="1"/>
  <c r="M1161" i="1" s="1"/>
  <c r="M1162" i="1" s="1"/>
  <c r="M1163" i="1" s="1"/>
  <c r="M1164" i="1" s="1"/>
  <c r="M1165" i="1" s="1"/>
  <c r="M1166" i="1" s="1"/>
  <c r="M1167" i="1" s="1"/>
  <c r="M1168" i="1" s="1"/>
  <c r="M1169" i="1" s="1"/>
  <c r="M1170" i="1" s="1"/>
  <c r="M1171" i="1" s="1"/>
  <c r="M1172" i="1" s="1"/>
  <c r="M1173" i="1" s="1"/>
  <c r="M1174" i="1" s="1"/>
  <c r="M1175" i="1" s="1"/>
  <c r="M1176" i="1" s="1"/>
  <c r="M1177" i="1" s="1"/>
  <c r="M1178" i="1" s="1"/>
  <c r="M1179" i="1" s="1"/>
  <c r="M1180" i="1" s="1"/>
  <c r="M1181" i="1" s="1"/>
  <c r="M1182" i="1" s="1"/>
  <c r="M1183" i="1" s="1"/>
  <c r="M1184" i="1" s="1"/>
  <c r="M1185" i="1" s="1"/>
  <c r="M1186" i="1" s="1"/>
  <c r="M1187" i="1" s="1"/>
  <c r="M1188" i="1" s="1"/>
  <c r="M1189" i="1" s="1"/>
  <c r="M1190" i="1" s="1"/>
  <c r="M1191" i="1" s="1"/>
  <c r="M1192" i="1" s="1"/>
  <c r="M1193" i="1" s="1"/>
  <c r="M1194" i="1" s="1"/>
  <c r="M1195" i="1" s="1"/>
  <c r="M1196" i="1" s="1"/>
  <c r="M1197" i="1" s="1"/>
  <c r="M1198" i="1" s="1"/>
  <c r="M1199" i="1" s="1"/>
  <c r="M1200" i="1" s="1"/>
  <c r="M1201" i="1" s="1"/>
  <c r="M1202" i="1" s="1"/>
  <c r="M1203" i="1" s="1"/>
  <c r="M1204" i="1" s="1"/>
  <c r="M1205" i="1" s="1"/>
  <c r="M1206" i="1" s="1"/>
  <c r="M1207" i="1" s="1"/>
  <c r="M1208" i="1" s="1"/>
  <c r="M1209" i="1" s="1"/>
  <c r="M1210" i="1" s="1"/>
  <c r="M1211" i="1" s="1"/>
  <c r="M1212" i="1" s="1"/>
  <c r="M1213" i="1" s="1"/>
  <c r="M1214" i="1" s="1"/>
  <c r="M1215" i="1" s="1"/>
  <c r="M1216" i="1" s="1"/>
  <c r="M1217" i="1" s="1"/>
  <c r="M1218" i="1" s="1"/>
  <c r="M1219" i="1" s="1"/>
  <c r="M1220" i="1" s="1"/>
  <c r="M1221" i="1" s="1"/>
  <c r="M1222" i="1" s="1"/>
  <c r="M1223" i="1" s="1"/>
  <c r="M1224" i="1" s="1"/>
  <c r="M1225" i="1" s="1"/>
  <c r="M1226" i="1" s="1"/>
  <c r="M1227" i="1" s="1"/>
  <c r="M1228" i="1" s="1"/>
  <c r="M1229" i="1" s="1"/>
  <c r="M1230" i="1" s="1"/>
  <c r="M1231" i="1" s="1"/>
  <c r="M1232" i="1" s="1"/>
  <c r="M1233" i="1" s="1"/>
  <c r="M1234" i="1" s="1"/>
  <c r="M1235" i="1" s="1"/>
  <c r="M1236" i="1" s="1"/>
  <c r="M1237" i="1" s="1"/>
  <c r="M1238" i="1" s="1"/>
  <c r="M1239" i="1" s="1"/>
  <c r="M1240" i="1" s="1"/>
  <c r="M1241" i="1" s="1"/>
  <c r="M1242" i="1" s="1"/>
  <c r="M1243" i="1" s="1"/>
  <c r="M1244" i="1" s="1"/>
  <c r="M1245" i="1" s="1"/>
  <c r="M1246" i="1" s="1"/>
  <c r="M1247" i="1" s="1"/>
  <c r="M1248" i="1" s="1"/>
  <c r="M1249" i="1" s="1"/>
  <c r="M1250" i="1" s="1"/>
  <c r="M1251" i="1" s="1"/>
  <c r="M1252" i="1" s="1"/>
  <c r="M1253" i="1" s="1"/>
  <c r="M1254" i="1" s="1"/>
  <c r="M1255" i="1" s="1"/>
  <c r="M1256" i="1" s="1"/>
  <c r="M1257" i="1" s="1"/>
  <c r="M1258" i="1" s="1"/>
  <c r="M1259" i="1" s="1"/>
  <c r="M1260" i="1" s="1"/>
  <c r="M1261" i="1" s="1"/>
  <c r="M1262" i="1" s="1"/>
  <c r="M1263" i="1" s="1"/>
  <c r="M1264" i="1" s="1"/>
  <c r="M1265" i="1" s="1"/>
  <c r="M1266" i="1" s="1"/>
  <c r="M1267" i="1" s="1"/>
  <c r="M1268" i="1" s="1"/>
  <c r="M1269" i="1" s="1"/>
  <c r="M1270" i="1" s="1"/>
  <c r="M1271" i="1" s="1"/>
  <c r="M1272" i="1" s="1"/>
  <c r="M1273" i="1" s="1"/>
  <c r="M1274" i="1" s="1"/>
  <c r="M1275" i="1" s="1"/>
  <c r="M1276" i="1" s="1"/>
  <c r="M1277" i="1" s="1"/>
  <c r="M1278" i="1" s="1"/>
  <c r="M1279" i="1" s="1"/>
  <c r="M1280" i="1" s="1"/>
  <c r="M1281" i="1" s="1"/>
  <c r="M1282" i="1" s="1"/>
  <c r="M1283" i="1" s="1"/>
  <c r="M1284" i="1" s="1"/>
  <c r="M1285" i="1" s="1"/>
  <c r="M1286" i="1" s="1"/>
  <c r="M1287" i="1" s="1"/>
  <c r="M1288" i="1" s="1"/>
  <c r="M1289" i="1" s="1"/>
  <c r="M1290" i="1" s="1"/>
  <c r="M1291" i="1" s="1"/>
  <c r="M1292" i="1" s="1"/>
  <c r="M1293" i="1" s="1"/>
  <c r="M1294" i="1" s="1"/>
  <c r="M1295" i="1" s="1"/>
  <c r="M1296" i="1" s="1"/>
  <c r="M1297" i="1" s="1"/>
  <c r="M1298" i="1" s="1"/>
  <c r="M1299" i="1" s="1"/>
  <c r="M1300" i="1" s="1"/>
  <c r="M1301" i="1" s="1"/>
  <c r="M1302" i="1" s="1"/>
  <c r="M1303" i="1" s="1"/>
  <c r="M1304" i="1" s="1"/>
  <c r="M1305" i="1" s="1"/>
  <c r="M1306" i="1" s="1"/>
  <c r="M1307" i="1" s="1"/>
  <c r="M1308" i="1" s="1"/>
  <c r="M1309" i="1" s="1"/>
  <c r="M1310" i="1" s="1"/>
  <c r="M1311" i="1" s="1"/>
  <c r="M1312" i="1" s="1"/>
  <c r="M1313" i="1" s="1"/>
  <c r="M1314" i="1" s="1"/>
  <c r="M1315" i="1" s="1"/>
  <c r="M1316" i="1" s="1"/>
  <c r="M1317" i="1" s="1"/>
  <c r="M1318" i="1" s="1"/>
  <c r="M1319" i="1" s="1"/>
  <c r="M1320" i="1" s="1"/>
  <c r="M1321" i="1" s="1"/>
  <c r="M1322" i="1" s="1"/>
  <c r="M1323" i="1" s="1"/>
  <c r="M1324" i="1" s="1"/>
  <c r="M1325" i="1" s="1"/>
  <c r="M1326" i="1" s="1"/>
  <c r="M1327" i="1" s="1"/>
  <c r="M1328" i="1" s="1"/>
  <c r="M1329" i="1" s="1"/>
  <c r="M1330" i="1" s="1"/>
  <c r="M1331" i="1" s="1"/>
  <c r="M1332" i="1" s="1"/>
  <c r="M1333" i="1" s="1"/>
  <c r="M1334" i="1" s="1"/>
  <c r="M1335" i="1" s="1"/>
  <c r="M1336" i="1" s="1"/>
  <c r="M1337" i="1" s="1"/>
  <c r="M1338" i="1" s="1"/>
  <c r="M1339" i="1" s="1"/>
  <c r="M1340" i="1" s="1"/>
  <c r="M1341" i="1" s="1"/>
  <c r="M1342" i="1" s="1"/>
  <c r="M1343" i="1" s="1"/>
  <c r="M1344" i="1" s="1"/>
  <c r="M1345" i="1" s="1"/>
  <c r="M1346" i="1" s="1"/>
  <c r="M1347" i="1" s="1"/>
  <c r="M1348" i="1" s="1"/>
  <c r="M1349" i="1" s="1"/>
  <c r="M1350" i="1" s="1"/>
  <c r="M1351" i="1" s="1"/>
  <c r="M1352" i="1" s="1"/>
  <c r="M1353" i="1" s="1"/>
  <c r="M1354" i="1" s="1"/>
  <c r="M1355" i="1" s="1"/>
  <c r="M1356" i="1" s="1"/>
  <c r="M1357" i="1" s="1"/>
  <c r="M1358" i="1" s="1"/>
  <c r="M1359" i="1" s="1"/>
  <c r="M1360" i="1" s="1"/>
  <c r="M1361" i="1" s="1"/>
  <c r="M1362" i="1" s="1"/>
  <c r="M1363" i="1" s="1"/>
  <c r="M1364" i="1" s="1"/>
  <c r="M1365" i="1" s="1"/>
  <c r="M1366" i="1" s="1"/>
  <c r="M1367" i="1" s="1"/>
  <c r="M1368" i="1" s="1"/>
  <c r="M1369" i="1" s="1"/>
  <c r="M1370" i="1" s="1"/>
  <c r="M1371" i="1" s="1"/>
  <c r="M1372" i="1" s="1"/>
  <c r="M1373" i="1" s="1"/>
  <c r="M1374" i="1" s="1"/>
  <c r="M1375" i="1" s="1"/>
  <c r="M1376" i="1" s="1"/>
  <c r="M1377" i="1" s="1"/>
  <c r="M1378" i="1" s="1"/>
  <c r="M1379" i="1" s="1"/>
  <c r="M1380" i="1" s="1"/>
  <c r="M1381" i="1" s="1"/>
  <c r="M1382" i="1" s="1"/>
  <c r="M1383" i="1" s="1"/>
  <c r="M1384" i="1" s="1"/>
  <c r="M1385" i="1" s="1"/>
  <c r="M1386" i="1" s="1"/>
  <c r="M1387" i="1" s="1"/>
  <c r="M1388" i="1" s="1"/>
  <c r="M1389" i="1" s="1"/>
  <c r="M1390" i="1" s="1"/>
  <c r="M1391" i="1" s="1"/>
  <c r="M1392" i="1" s="1"/>
  <c r="M1393" i="1" s="1"/>
  <c r="M1394" i="1" s="1"/>
  <c r="M1395" i="1" s="1"/>
  <c r="M1396" i="1" s="1"/>
  <c r="M1397" i="1" s="1"/>
  <c r="M1398" i="1" s="1"/>
  <c r="M1399" i="1" s="1"/>
  <c r="M1400" i="1" s="1"/>
  <c r="M1401" i="1" s="1"/>
  <c r="M1402" i="1" s="1"/>
  <c r="M1403" i="1" s="1"/>
  <c r="M1404" i="1" s="1"/>
  <c r="M1405" i="1" s="1"/>
  <c r="M1406" i="1" s="1"/>
  <c r="M1407" i="1" s="1"/>
  <c r="M1408" i="1" s="1"/>
  <c r="M1409" i="1" s="1"/>
  <c r="M1410" i="1" s="1"/>
  <c r="M1411" i="1" s="1"/>
  <c r="M1412" i="1" s="1"/>
  <c r="M1413" i="1" s="1"/>
  <c r="M1414" i="1" s="1"/>
  <c r="M1415" i="1" s="1"/>
  <c r="M1416" i="1" s="1"/>
  <c r="M1417" i="1" s="1"/>
  <c r="M1418" i="1" s="1"/>
  <c r="M1419" i="1" s="1"/>
  <c r="M1420" i="1" s="1"/>
  <c r="M1421" i="1" s="1"/>
  <c r="M1422" i="1" s="1"/>
  <c r="M1423" i="1" s="1"/>
  <c r="M1424" i="1" s="1"/>
  <c r="M1425" i="1" s="1"/>
  <c r="M1426" i="1" s="1"/>
  <c r="M1427" i="1" s="1"/>
  <c r="M1428" i="1" s="1"/>
  <c r="M1429" i="1" s="1"/>
  <c r="M1430" i="1" s="1"/>
  <c r="M1431" i="1" s="1"/>
  <c r="M1432" i="1" s="1"/>
  <c r="M1433" i="1" s="1"/>
  <c r="M1434" i="1" s="1"/>
  <c r="M1435" i="1" s="1"/>
  <c r="M1436" i="1" s="1"/>
  <c r="M1437" i="1" s="1"/>
  <c r="M1438" i="1" s="1"/>
  <c r="M1439" i="1" s="1"/>
  <c r="M1440" i="1" s="1"/>
  <c r="M1441" i="1" s="1"/>
  <c r="M1442" i="1" s="1"/>
  <c r="M1443" i="1" s="1"/>
  <c r="M1444" i="1" s="1"/>
  <c r="M1445" i="1" s="1"/>
  <c r="M1446" i="1" s="1"/>
  <c r="M1447" i="1" s="1"/>
  <c r="M1448" i="1" s="1"/>
  <c r="M1449" i="1" s="1"/>
  <c r="M1450" i="1" s="1"/>
  <c r="M1451" i="1" s="1"/>
  <c r="M1452" i="1" s="1"/>
  <c r="M1453" i="1" s="1"/>
  <c r="M1454" i="1" s="1"/>
  <c r="M1455" i="1" s="1"/>
  <c r="M1456" i="1" s="1"/>
  <c r="M1457" i="1" s="1"/>
  <c r="M1458" i="1" s="1"/>
  <c r="M1459" i="1" s="1"/>
  <c r="M1460" i="1" s="1"/>
  <c r="M1461" i="1" s="1"/>
  <c r="M1462" i="1" s="1"/>
  <c r="M1463" i="1" s="1"/>
  <c r="M1464" i="1" s="1"/>
  <c r="M1465" i="1" s="1"/>
  <c r="M1466" i="1" s="1"/>
  <c r="M1467" i="1" s="1"/>
  <c r="M1468" i="1" s="1"/>
  <c r="M1469" i="1" s="1"/>
  <c r="M1470" i="1" s="1"/>
  <c r="M1471" i="1" s="1"/>
  <c r="M1472" i="1" s="1"/>
  <c r="M1473" i="1" s="1"/>
  <c r="M1474" i="1" s="1"/>
  <c r="M1475" i="1" s="1"/>
  <c r="M1476" i="1" s="1"/>
  <c r="M1477" i="1" s="1"/>
  <c r="M1478" i="1" s="1"/>
  <c r="M1479" i="1" s="1"/>
  <c r="M1480" i="1" s="1"/>
  <c r="M1481" i="1" s="1"/>
  <c r="M1482" i="1" s="1"/>
  <c r="M1483" i="1" s="1"/>
  <c r="M1484" i="1" s="1"/>
  <c r="M1485" i="1" s="1"/>
  <c r="M1486" i="1" s="1"/>
  <c r="M1487" i="1" s="1"/>
  <c r="M1488" i="1" s="1"/>
  <c r="M1489" i="1" s="1"/>
  <c r="M1490" i="1" s="1"/>
  <c r="M1491" i="1" s="1"/>
  <c r="M1492" i="1" s="1"/>
  <c r="M1493" i="1" s="1"/>
  <c r="M1494" i="1" s="1"/>
  <c r="M1495" i="1" s="1"/>
  <c r="M1496" i="1" s="1"/>
  <c r="M1497" i="1" s="1"/>
  <c r="M1498" i="1" s="1"/>
  <c r="M1499" i="1" s="1"/>
  <c r="M1500" i="1" s="1"/>
  <c r="M1501" i="1" s="1"/>
  <c r="M1502" i="1" s="1"/>
  <c r="M1503" i="1" s="1"/>
  <c r="M1504" i="1" s="1"/>
  <c r="M1505" i="1" s="1"/>
  <c r="M1506" i="1" s="1"/>
  <c r="M1507" i="1" s="1"/>
  <c r="M1508" i="1" s="1"/>
  <c r="M1509" i="1" s="1"/>
  <c r="M1510" i="1" s="1"/>
  <c r="M1511" i="1" s="1"/>
  <c r="M1512" i="1" s="1"/>
  <c r="M1513" i="1" s="1"/>
  <c r="M1514" i="1" s="1"/>
  <c r="M1515" i="1" s="1"/>
  <c r="M1516" i="1" s="1"/>
  <c r="M1517" i="1" s="1"/>
  <c r="M1518" i="1" s="1"/>
  <c r="M1519" i="1" s="1"/>
  <c r="M1520" i="1" s="1"/>
  <c r="M1521" i="1" s="1"/>
  <c r="M1522" i="1" s="1"/>
  <c r="M1523" i="1" s="1"/>
  <c r="M1524" i="1" s="1"/>
  <c r="M1525" i="1" s="1"/>
  <c r="M1526" i="1" s="1"/>
  <c r="M1527" i="1" s="1"/>
  <c r="M1528" i="1" s="1"/>
  <c r="M1529" i="1" s="1"/>
  <c r="M1530" i="1" s="1"/>
  <c r="M1531" i="1" s="1"/>
  <c r="M1532" i="1" s="1"/>
  <c r="M1533" i="1" s="1"/>
  <c r="M1534" i="1" s="1"/>
  <c r="M1535" i="1" s="1"/>
  <c r="M1536" i="1" s="1"/>
  <c r="M1537" i="1" s="1"/>
  <c r="M1538" i="1" s="1"/>
  <c r="M1539" i="1" s="1"/>
  <c r="M1540" i="1" s="1"/>
  <c r="M1541" i="1" s="1"/>
  <c r="M1542" i="1" s="1"/>
  <c r="M1543" i="1" s="1"/>
  <c r="M1544" i="1" s="1"/>
  <c r="M1545" i="1" s="1"/>
  <c r="M1546" i="1" s="1"/>
  <c r="M1547" i="1" s="1"/>
  <c r="M1548" i="1" s="1"/>
  <c r="M1549" i="1" s="1"/>
  <c r="M1550" i="1" s="1"/>
  <c r="M1551" i="1" s="1"/>
  <c r="M1552" i="1" s="1"/>
  <c r="M1553" i="1" s="1"/>
  <c r="M1554" i="1" s="1"/>
  <c r="M1555" i="1" s="1"/>
  <c r="M1556" i="1" s="1"/>
  <c r="M1557" i="1" s="1"/>
  <c r="M1558" i="1" s="1"/>
  <c r="M1559" i="1" s="1"/>
  <c r="M1560" i="1" s="1"/>
  <c r="M1561" i="1" s="1"/>
  <c r="M1562" i="1" s="1"/>
  <c r="M1563" i="1" s="1"/>
  <c r="M1564" i="1" s="1"/>
  <c r="M1565" i="1" s="1"/>
  <c r="M1566" i="1" s="1"/>
  <c r="M1567" i="1" s="1"/>
  <c r="M1568" i="1" s="1"/>
  <c r="M1569" i="1" s="1"/>
  <c r="M1570" i="1" s="1"/>
  <c r="M1571" i="1" s="1"/>
  <c r="M1572" i="1" s="1"/>
  <c r="M1573" i="1" s="1"/>
  <c r="M1574" i="1" s="1"/>
  <c r="M1575" i="1" s="1"/>
  <c r="M1576" i="1" s="1"/>
  <c r="M1577" i="1" s="1"/>
  <c r="M1578" i="1" s="1"/>
  <c r="M1579" i="1" s="1"/>
  <c r="M1580" i="1" s="1"/>
  <c r="M1581" i="1" s="1"/>
  <c r="M1582" i="1" s="1"/>
  <c r="M1583" i="1" s="1"/>
  <c r="M1584" i="1" s="1"/>
  <c r="M1585" i="1" s="1"/>
  <c r="M1586" i="1" s="1"/>
  <c r="M1587" i="1" s="1"/>
  <c r="M1588" i="1" s="1"/>
  <c r="M1589" i="1" s="1"/>
  <c r="M1590" i="1" s="1"/>
  <c r="M1591" i="1" s="1"/>
  <c r="M1592" i="1" s="1"/>
  <c r="M1593" i="1" s="1"/>
  <c r="M1594" i="1" s="1"/>
  <c r="M1595" i="1" s="1"/>
  <c r="M1596" i="1" s="1"/>
  <c r="M1597" i="1" s="1"/>
  <c r="M1598" i="1" s="1"/>
  <c r="M1599" i="1" s="1"/>
  <c r="M1600" i="1" s="1"/>
  <c r="M1601" i="1" s="1"/>
  <c r="M1602" i="1" s="1"/>
  <c r="M1603" i="1" s="1"/>
  <c r="M1604" i="1" s="1"/>
  <c r="M1605" i="1" s="1"/>
  <c r="M1606" i="1" s="1"/>
  <c r="M1607" i="1" s="1"/>
  <c r="M1608" i="1" s="1"/>
  <c r="M1609" i="1" s="1"/>
  <c r="M1610" i="1" s="1"/>
  <c r="M1611" i="1" s="1"/>
  <c r="M1612" i="1" s="1"/>
  <c r="M1613" i="1" s="1"/>
  <c r="M1614" i="1" s="1"/>
  <c r="M1615" i="1" s="1"/>
  <c r="M1616" i="1" s="1"/>
  <c r="M1617" i="1" s="1"/>
  <c r="M1618" i="1" s="1"/>
  <c r="M1619" i="1" s="1"/>
  <c r="M1620" i="1" s="1"/>
  <c r="M1621" i="1" s="1"/>
  <c r="M1622" i="1" s="1"/>
  <c r="M1623" i="1" s="1"/>
  <c r="M1624" i="1" s="1"/>
  <c r="M1625" i="1" s="1"/>
  <c r="M1626" i="1" s="1"/>
  <c r="M1627" i="1" s="1"/>
  <c r="M1628" i="1" s="1"/>
  <c r="M1629" i="1" s="1"/>
  <c r="M1630" i="1" s="1"/>
  <c r="M1631" i="1" s="1"/>
  <c r="M1632" i="1" s="1"/>
  <c r="M1633" i="1" s="1"/>
  <c r="M1634" i="1" s="1"/>
  <c r="M1635" i="1" s="1"/>
  <c r="M1636" i="1" s="1"/>
  <c r="M1637" i="1" s="1"/>
  <c r="M1638" i="1" s="1"/>
  <c r="M1639" i="1" s="1"/>
  <c r="M1640" i="1" s="1"/>
  <c r="M1641" i="1" s="1"/>
  <c r="M1642" i="1" s="1"/>
  <c r="M1643" i="1" s="1"/>
  <c r="M1644" i="1" s="1"/>
  <c r="M1645" i="1" s="1"/>
  <c r="M1646" i="1" s="1"/>
  <c r="M1647" i="1" s="1"/>
  <c r="M1648" i="1" s="1"/>
  <c r="M1649" i="1" s="1"/>
  <c r="M1650" i="1" s="1"/>
  <c r="M1651" i="1" s="1"/>
  <c r="M1652" i="1" s="1"/>
  <c r="M1653" i="1" s="1"/>
  <c r="M1654" i="1" s="1"/>
  <c r="M1655" i="1" s="1"/>
  <c r="M1656" i="1" s="1"/>
  <c r="M1657" i="1" s="1"/>
  <c r="M1658" i="1" s="1"/>
  <c r="M1659" i="1" s="1"/>
  <c r="M1660" i="1" s="1"/>
  <c r="M1661" i="1" s="1"/>
  <c r="M1662" i="1" s="1"/>
  <c r="M1663" i="1" s="1"/>
  <c r="M1664" i="1" s="1"/>
  <c r="M1665" i="1" s="1"/>
  <c r="M1666" i="1" s="1"/>
  <c r="M1667" i="1" s="1"/>
  <c r="M1668" i="1" s="1"/>
  <c r="M1669" i="1" s="1"/>
  <c r="M1670" i="1" s="1"/>
  <c r="M1671" i="1" s="1"/>
  <c r="M1672" i="1" s="1"/>
  <c r="M1673" i="1" s="1"/>
  <c r="M1674" i="1" s="1"/>
  <c r="M1675" i="1" s="1"/>
  <c r="M1676" i="1" s="1"/>
  <c r="M1677" i="1" s="1"/>
  <c r="M1678" i="1" s="1"/>
  <c r="M1679" i="1" s="1"/>
  <c r="M1680" i="1" s="1"/>
  <c r="M1681" i="1" s="1"/>
  <c r="M1682" i="1" s="1"/>
  <c r="M1683" i="1" s="1"/>
  <c r="M1684" i="1" s="1"/>
  <c r="M1685" i="1" s="1"/>
  <c r="M1686" i="1" s="1"/>
  <c r="M1687" i="1" s="1"/>
  <c r="M1688" i="1" s="1"/>
  <c r="M1689" i="1" s="1"/>
  <c r="M1690" i="1" s="1"/>
  <c r="M1691" i="1" s="1"/>
  <c r="M1692" i="1" s="1"/>
  <c r="M1693" i="1" s="1"/>
  <c r="M1694" i="1" s="1"/>
  <c r="M1695" i="1" s="1"/>
  <c r="M1696" i="1" s="1"/>
  <c r="M1697" i="1" s="1"/>
  <c r="M1698" i="1" s="1"/>
  <c r="M1699" i="1" s="1"/>
  <c r="M1700" i="1" s="1"/>
  <c r="M1701" i="1" s="1"/>
  <c r="M1702" i="1" s="1"/>
  <c r="M1703" i="1" s="1"/>
  <c r="M1704" i="1" s="1"/>
  <c r="M1705" i="1" s="1"/>
  <c r="M1706" i="1" s="1"/>
  <c r="M1707" i="1" s="1"/>
  <c r="M1708" i="1" s="1"/>
  <c r="M1709" i="1" s="1"/>
  <c r="M1710" i="1" s="1"/>
  <c r="M1711" i="1" s="1"/>
  <c r="M1712" i="1" s="1"/>
  <c r="M1713" i="1" s="1"/>
  <c r="M1714" i="1" s="1"/>
  <c r="M1715" i="1" s="1"/>
  <c r="M1716" i="1" s="1"/>
  <c r="M1717" i="1" s="1"/>
  <c r="M1718" i="1" s="1"/>
  <c r="M1719" i="1" s="1"/>
  <c r="M1720" i="1" s="1"/>
  <c r="M1721" i="1" s="1"/>
  <c r="M1722" i="1" s="1"/>
  <c r="M1723" i="1" s="1"/>
  <c r="M1724" i="1" s="1"/>
  <c r="M1725" i="1" s="1"/>
  <c r="M1726" i="1" s="1"/>
  <c r="M1727" i="1" s="1"/>
  <c r="M1728" i="1" s="1"/>
  <c r="M1729" i="1" s="1"/>
  <c r="M1730" i="1" s="1"/>
  <c r="M1731" i="1" s="1"/>
  <c r="M1732" i="1" s="1"/>
  <c r="M1733" i="1" s="1"/>
  <c r="M1734" i="1" s="1"/>
  <c r="M1735" i="1" s="1"/>
  <c r="M1736" i="1" s="1"/>
  <c r="M1737" i="1" s="1"/>
  <c r="M1738" i="1" s="1"/>
  <c r="M1739" i="1" s="1"/>
  <c r="M1740" i="1" s="1"/>
  <c r="M1741" i="1" s="1"/>
  <c r="M1742" i="1" s="1"/>
  <c r="M1743" i="1" s="1"/>
  <c r="M1744" i="1" s="1"/>
  <c r="M1745" i="1" s="1"/>
  <c r="M1746" i="1" s="1"/>
  <c r="M1747" i="1" s="1"/>
  <c r="M1748" i="1" s="1"/>
  <c r="M1749" i="1" s="1"/>
  <c r="M1750" i="1" s="1"/>
  <c r="M1751" i="1" s="1"/>
  <c r="M1752" i="1" s="1"/>
  <c r="M1753" i="1" s="1"/>
  <c r="M1754" i="1" s="1"/>
  <c r="M1755" i="1" s="1"/>
  <c r="M1756" i="1" s="1"/>
  <c r="M1757" i="1" s="1"/>
  <c r="M1758" i="1" s="1"/>
  <c r="M1759" i="1" s="1"/>
  <c r="M1760" i="1" s="1"/>
  <c r="M1761" i="1" s="1"/>
  <c r="M1762" i="1" s="1"/>
  <c r="M1763" i="1" s="1"/>
  <c r="M1764" i="1" s="1"/>
  <c r="M1765" i="1" s="1"/>
  <c r="M1766" i="1" s="1"/>
  <c r="M1767" i="1" s="1"/>
  <c r="M1768" i="1" s="1"/>
  <c r="M1769" i="1" s="1"/>
  <c r="M1770" i="1" s="1"/>
  <c r="M1771" i="1" s="1"/>
  <c r="M1772" i="1" s="1"/>
  <c r="M1773" i="1" s="1"/>
  <c r="M1774" i="1" s="1"/>
  <c r="M1775" i="1" s="1"/>
  <c r="M1776" i="1" s="1"/>
  <c r="M1777" i="1" s="1"/>
  <c r="M1778" i="1" s="1"/>
  <c r="M1779" i="1" s="1"/>
  <c r="M1780" i="1" s="1"/>
  <c r="M1781" i="1" s="1"/>
  <c r="M1782" i="1" s="1"/>
  <c r="M1783" i="1" s="1"/>
  <c r="M1784" i="1" s="1"/>
  <c r="M1785" i="1" s="1"/>
  <c r="M1786" i="1" s="1"/>
  <c r="M1787" i="1" s="1"/>
  <c r="M1788" i="1" s="1"/>
  <c r="M1789" i="1" s="1"/>
  <c r="M1790" i="1" s="1"/>
  <c r="M1791" i="1" s="1"/>
  <c r="M1792" i="1" s="1"/>
  <c r="M1793" i="1" s="1"/>
  <c r="M1794" i="1" s="1"/>
  <c r="M1795" i="1" s="1"/>
  <c r="M1796" i="1" s="1"/>
  <c r="M1797" i="1" s="1"/>
  <c r="M1798" i="1" s="1"/>
  <c r="M1799" i="1" s="1"/>
  <c r="M1800" i="1" s="1"/>
  <c r="M1801" i="1" s="1"/>
  <c r="M1802" i="1" s="1"/>
  <c r="M1803" i="1" s="1"/>
  <c r="M1804" i="1" s="1"/>
  <c r="M1805" i="1" s="1"/>
  <c r="M1806" i="1" s="1"/>
  <c r="M1807" i="1" s="1"/>
  <c r="M1808" i="1" s="1"/>
  <c r="M1809" i="1" s="1"/>
  <c r="M1810" i="1" s="1"/>
  <c r="M1811" i="1" s="1"/>
  <c r="M1812" i="1" s="1"/>
  <c r="M1813" i="1" s="1"/>
  <c r="M1814" i="1" s="1"/>
  <c r="M1815" i="1" s="1"/>
  <c r="M1816" i="1" s="1"/>
  <c r="M1817" i="1" s="1"/>
  <c r="M1818" i="1" s="1"/>
  <c r="M1819" i="1" s="1"/>
  <c r="M1820" i="1" s="1"/>
  <c r="M1821" i="1" s="1"/>
  <c r="M1822" i="1" s="1"/>
  <c r="M1823" i="1" s="1"/>
  <c r="M1824" i="1" s="1"/>
  <c r="M1825" i="1" s="1"/>
  <c r="M1826" i="1" s="1"/>
  <c r="M1827" i="1" s="1"/>
  <c r="M1828" i="1" s="1"/>
  <c r="M1829" i="1" s="1"/>
  <c r="M1830" i="1" s="1"/>
  <c r="M1831" i="1" s="1"/>
  <c r="M1832" i="1" s="1"/>
  <c r="M1833" i="1" s="1"/>
  <c r="M1834" i="1" s="1"/>
  <c r="M1835" i="1" s="1"/>
  <c r="M1836" i="1" s="1"/>
  <c r="M1837" i="1" s="1"/>
  <c r="M1838" i="1" s="1"/>
  <c r="M1839" i="1" s="1"/>
  <c r="M1840" i="1" s="1"/>
  <c r="M1841" i="1" s="1"/>
  <c r="M1842" i="1" s="1"/>
  <c r="M1843" i="1" s="1"/>
  <c r="M1844" i="1" s="1"/>
  <c r="M1845" i="1" s="1"/>
  <c r="M1846" i="1" s="1"/>
  <c r="M1847" i="1" s="1"/>
  <c r="M1848" i="1" s="1"/>
  <c r="M1849" i="1" s="1"/>
  <c r="M1850" i="1" s="1"/>
  <c r="M1851" i="1" s="1"/>
  <c r="M1852" i="1" s="1"/>
  <c r="M1853" i="1" s="1"/>
  <c r="M1854" i="1" s="1"/>
  <c r="M1855" i="1" s="1"/>
  <c r="M1856" i="1" s="1"/>
  <c r="M1857" i="1" s="1"/>
  <c r="M1858" i="1" s="1"/>
  <c r="M1859" i="1" s="1"/>
  <c r="M1860" i="1" s="1"/>
  <c r="M1861" i="1" s="1"/>
  <c r="M1862" i="1" s="1"/>
  <c r="M1863" i="1" s="1"/>
  <c r="M1864" i="1" s="1"/>
  <c r="M1865" i="1" s="1"/>
  <c r="M1866" i="1" s="1"/>
  <c r="M1867" i="1" s="1"/>
  <c r="M1868" i="1" s="1"/>
  <c r="M1869" i="1" s="1"/>
  <c r="M1870" i="1" s="1"/>
  <c r="M1871" i="1" s="1"/>
  <c r="M1872" i="1" s="1"/>
  <c r="M1873" i="1" s="1"/>
  <c r="M1874" i="1" s="1"/>
  <c r="M1875" i="1" s="1"/>
  <c r="M1876" i="1" s="1"/>
  <c r="M1877" i="1" s="1"/>
  <c r="M1878" i="1" s="1"/>
  <c r="M1879" i="1" s="1"/>
  <c r="M1880" i="1" s="1"/>
  <c r="M1881" i="1" s="1"/>
  <c r="M1882" i="1" s="1"/>
  <c r="M1883" i="1" s="1"/>
  <c r="M1884" i="1" s="1"/>
  <c r="M1885" i="1" s="1"/>
  <c r="M1886" i="1" s="1"/>
  <c r="M1887" i="1" s="1"/>
  <c r="M1888" i="1" s="1"/>
  <c r="M1889" i="1" s="1"/>
  <c r="M1890" i="1" s="1"/>
  <c r="M1891" i="1" s="1"/>
  <c r="M1892" i="1" s="1"/>
  <c r="M1893" i="1" s="1"/>
  <c r="M1894" i="1" s="1"/>
  <c r="M1895" i="1" s="1"/>
  <c r="M1896" i="1" s="1"/>
  <c r="M1897" i="1" s="1"/>
  <c r="M1898" i="1" s="1"/>
  <c r="M1899" i="1" s="1"/>
  <c r="M1900" i="1" s="1"/>
  <c r="M1901" i="1" s="1"/>
  <c r="M1902" i="1" s="1"/>
  <c r="M1903" i="1" s="1"/>
  <c r="M1904" i="1" s="1"/>
  <c r="M1905" i="1" s="1"/>
  <c r="M1906" i="1" s="1"/>
  <c r="M1907" i="1" s="1"/>
  <c r="M1908" i="1" s="1"/>
  <c r="M1909" i="1" s="1"/>
  <c r="M1910" i="1" s="1"/>
  <c r="M1911" i="1" s="1"/>
  <c r="M1912" i="1" s="1"/>
  <c r="M1913" i="1" s="1"/>
  <c r="M1914" i="1" s="1"/>
  <c r="M1915" i="1" s="1"/>
  <c r="M1916" i="1" s="1"/>
  <c r="M1917" i="1" s="1"/>
  <c r="M1918" i="1" s="1"/>
  <c r="M1919" i="1" s="1"/>
  <c r="M1920" i="1" s="1"/>
  <c r="M1921" i="1" s="1"/>
  <c r="M1922" i="1" s="1"/>
  <c r="M1923" i="1" s="1"/>
  <c r="M1924" i="1" s="1"/>
  <c r="M1925" i="1" s="1"/>
  <c r="M1926" i="1" s="1"/>
  <c r="M1927" i="1" s="1"/>
  <c r="M1928" i="1" s="1"/>
  <c r="M1929" i="1" s="1"/>
  <c r="M1930" i="1" s="1"/>
  <c r="M1931" i="1" s="1"/>
  <c r="M1932" i="1" s="1"/>
  <c r="M1933" i="1" s="1"/>
  <c r="M1934" i="1" s="1"/>
  <c r="M1935" i="1" s="1"/>
  <c r="M1936" i="1" s="1"/>
  <c r="M1937" i="1" s="1"/>
  <c r="M1938" i="1" s="1"/>
  <c r="M1939" i="1" s="1"/>
  <c r="M1940" i="1" s="1"/>
  <c r="M1941" i="1" s="1"/>
  <c r="M1942" i="1" s="1"/>
  <c r="M1943" i="1" s="1"/>
  <c r="M1944" i="1" s="1"/>
  <c r="M1945" i="1" s="1"/>
  <c r="M1946" i="1" s="1"/>
  <c r="M1947" i="1" s="1"/>
  <c r="M1948" i="1" s="1"/>
  <c r="M1949" i="1" s="1"/>
  <c r="M1950" i="1" s="1"/>
  <c r="M1951" i="1" s="1"/>
  <c r="M1952" i="1" s="1"/>
  <c r="M1953" i="1" s="1"/>
  <c r="M1954" i="1" s="1"/>
  <c r="M1955" i="1" s="1"/>
  <c r="M1956" i="1" s="1"/>
  <c r="M1957" i="1" s="1"/>
  <c r="M1958" i="1" s="1"/>
  <c r="M1959" i="1" s="1"/>
  <c r="M1960" i="1" s="1"/>
  <c r="M1961" i="1" s="1"/>
  <c r="M1962" i="1" s="1"/>
  <c r="M1963" i="1" s="1"/>
  <c r="M1964" i="1" s="1"/>
  <c r="M1965" i="1" s="1"/>
  <c r="M1966" i="1" s="1"/>
  <c r="M1967" i="1" s="1"/>
  <c r="M1968" i="1" s="1"/>
  <c r="M1969" i="1" s="1"/>
  <c r="M1970" i="1" s="1"/>
  <c r="M1971" i="1" s="1"/>
  <c r="M1972" i="1" s="1"/>
  <c r="M1973" i="1" s="1"/>
  <c r="M1974" i="1" s="1"/>
  <c r="M1975" i="1" s="1"/>
  <c r="M1976" i="1" s="1"/>
  <c r="M1977" i="1" s="1"/>
  <c r="M1978" i="1" s="1"/>
  <c r="M1979" i="1" s="1"/>
  <c r="M1980" i="1" s="1"/>
  <c r="M1981" i="1" s="1"/>
  <c r="M1982" i="1" s="1"/>
  <c r="M1983" i="1" s="1"/>
  <c r="M1984" i="1" s="1"/>
  <c r="M1985" i="1" s="1"/>
  <c r="M1986" i="1" s="1"/>
  <c r="M1987" i="1" s="1"/>
  <c r="M1988" i="1" s="1"/>
  <c r="M1989" i="1" s="1"/>
  <c r="M1990" i="1" s="1"/>
  <c r="M1991" i="1" s="1"/>
  <c r="M1992" i="1" s="1"/>
  <c r="M1993" i="1" s="1"/>
  <c r="M1994" i="1" s="1"/>
  <c r="M1995" i="1" s="1"/>
  <c r="M1996" i="1" s="1"/>
  <c r="M1997" i="1" s="1"/>
  <c r="M1998" i="1" s="1"/>
  <c r="M1999" i="1" s="1"/>
  <c r="M2000" i="1" s="1"/>
  <c r="M2001" i="1" s="1"/>
  <c r="M2002" i="1" s="1"/>
  <c r="M2003" i="1" s="1"/>
  <c r="M2004" i="1" s="1"/>
  <c r="M2005" i="1" s="1"/>
  <c r="M2006" i="1" s="1"/>
  <c r="M2007" i="1" s="1"/>
  <c r="M2008" i="1" s="1"/>
  <c r="M2009" i="1" s="1"/>
  <c r="M2010" i="1" s="1"/>
  <c r="M2011" i="1" s="1"/>
  <c r="M2012" i="1" s="1"/>
  <c r="M2013" i="1" s="1"/>
  <c r="M2014" i="1" s="1"/>
  <c r="M2015" i="1" s="1"/>
  <c r="M2016" i="1" s="1"/>
  <c r="M2017" i="1" s="1"/>
  <c r="M2018" i="1" s="1"/>
  <c r="M2019" i="1" s="1"/>
  <c r="M2020" i="1" s="1"/>
  <c r="M2021" i="1" s="1"/>
  <c r="M2022" i="1" s="1"/>
  <c r="M2023" i="1" s="1"/>
  <c r="M2024" i="1" s="1"/>
  <c r="M2025" i="1" s="1"/>
  <c r="M2026" i="1" s="1"/>
  <c r="M2027" i="1" s="1"/>
  <c r="M2028" i="1" s="1"/>
  <c r="M2029" i="1" s="1"/>
  <c r="M2030" i="1" s="1"/>
  <c r="M2031" i="1" s="1"/>
  <c r="M2032" i="1" s="1"/>
  <c r="M2033" i="1" s="1"/>
  <c r="M2034" i="1" s="1"/>
  <c r="M2035" i="1" s="1"/>
  <c r="M2036" i="1" s="1"/>
  <c r="M2037" i="1" s="1"/>
  <c r="M2038" i="1" s="1"/>
  <c r="M2039" i="1" s="1"/>
  <c r="M2040" i="1" s="1"/>
  <c r="M2041" i="1" s="1"/>
  <c r="M2042" i="1" s="1"/>
  <c r="M2043" i="1" s="1"/>
  <c r="M2044" i="1" s="1"/>
  <c r="M2045" i="1" s="1"/>
  <c r="M2046" i="1" s="1"/>
  <c r="M2047" i="1" s="1"/>
  <c r="M2048" i="1" s="1"/>
  <c r="M2049" i="1" s="1"/>
  <c r="M2050" i="1" s="1"/>
  <c r="M2051" i="1" s="1"/>
  <c r="M2052" i="1" s="1"/>
  <c r="M2053" i="1" s="1"/>
  <c r="M2054" i="1" s="1"/>
  <c r="M2055" i="1" s="1"/>
  <c r="M2056" i="1" s="1"/>
  <c r="M2057" i="1" s="1"/>
  <c r="M2058" i="1" s="1"/>
  <c r="M2059" i="1" s="1"/>
  <c r="M2060" i="1" s="1"/>
  <c r="M2061" i="1" s="1"/>
  <c r="M2062" i="1" s="1"/>
  <c r="M2063" i="1" s="1"/>
  <c r="M2064" i="1" s="1"/>
  <c r="M2065" i="1" s="1"/>
  <c r="M2066" i="1" s="1"/>
  <c r="M2067" i="1" s="1"/>
  <c r="M2068" i="1" s="1"/>
  <c r="M2069" i="1" s="1"/>
  <c r="M2070" i="1" s="1"/>
  <c r="M2071" i="1" s="1"/>
  <c r="M2072" i="1" s="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M2100" i="1" s="1"/>
  <c r="M2101" i="1" s="1"/>
  <c r="M2102" i="1" s="1"/>
  <c r="M2103" i="1" s="1"/>
  <c r="M2104" i="1" s="1"/>
  <c r="M2105" i="1" s="1"/>
  <c r="M2106" i="1" s="1"/>
  <c r="M2107" i="1" s="1"/>
  <c r="M2108" i="1" s="1"/>
  <c r="M2109" i="1" s="1"/>
  <c r="M2110" i="1" s="1"/>
  <c r="M2111" i="1" s="1"/>
  <c r="M2112" i="1" s="1"/>
  <c r="M2113" i="1" s="1"/>
  <c r="M2114" i="1" s="1"/>
  <c r="M2115" i="1" s="1"/>
  <c r="M2116" i="1" s="1"/>
  <c r="M2117" i="1" s="1"/>
  <c r="M2118" i="1" s="1"/>
  <c r="M2119" i="1" s="1"/>
  <c r="M2120" i="1" s="1"/>
  <c r="M2121" i="1" s="1"/>
  <c r="M2122" i="1" s="1"/>
  <c r="M2123" i="1" s="1"/>
  <c r="M2124" i="1" s="1"/>
  <c r="M2125" i="1" s="1"/>
  <c r="M2126" i="1" s="1"/>
  <c r="M2127" i="1" s="1"/>
  <c r="M2128" i="1" s="1"/>
  <c r="M2129" i="1" s="1"/>
  <c r="M2130" i="1" s="1"/>
  <c r="M2131" i="1" s="1"/>
  <c r="M2132" i="1" s="1"/>
  <c r="M2133" i="1" s="1"/>
  <c r="M2134" i="1" s="1"/>
  <c r="M2135" i="1" s="1"/>
  <c r="M2136" i="1" s="1"/>
  <c r="M2137" i="1" s="1"/>
  <c r="M2138" i="1" s="1"/>
  <c r="M2139" i="1" s="1"/>
  <c r="M2140" i="1" s="1"/>
  <c r="M2141" i="1" s="1"/>
  <c r="M2142" i="1" s="1"/>
  <c r="M2143" i="1" s="1"/>
  <c r="M2144" i="1" s="1"/>
  <c r="M2145" i="1" s="1"/>
  <c r="M2146" i="1" s="1"/>
  <c r="M2147" i="1" s="1"/>
  <c r="M2148" i="1" s="1"/>
  <c r="M2149" i="1" s="1"/>
  <c r="M2150" i="1" s="1"/>
  <c r="M2151" i="1" s="1"/>
  <c r="M2152" i="1" s="1"/>
  <c r="M2153" i="1" s="1"/>
  <c r="M2154" i="1" s="1"/>
  <c r="M2155" i="1" s="1"/>
  <c r="M2156" i="1" s="1"/>
  <c r="M2157" i="1" s="1"/>
  <c r="M2158" i="1" s="1"/>
  <c r="M2159" i="1" s="1"/>
  <c r="M2160" i="1" s="1"/>
  <c r="M2161" i="1" s="1"/>
  <c r="M2162" i="1" s="1"/>
  <c r="M2163" i="1" s="1"/>
  <c r="M2164" i="1" s="1"/>
  <c r="M2165" i="1" s="1"/>
  <c r="M2166" i="1" s="1"/>
  <c r="M2167" i="1" s="1"/>
  <c r="M2168" i="1" s="1"/>
  <c r="M2169" i="1" s="1"/>
  <c r="M2170" i="1" s="1"/>
  <c r="M2171" i="1" s="1"/>
  <c r="M2172" i="1" s="1"/>
  <c r="M2173" i="1" s="1"/>
  <c r="M2174" i="1" s="1"/>
  <c r="M2175" i="1" s="1"/>
  <c r="M2176" i="1" s="1"/>
  <c r="M2177" i="1" s="1"/>
  <c r="M2178" i="1" s="1"/>
  <c r="M2179" i="1" s="1"/>
  <c r="M2180" i="1" s="1"/>
  <c r="M2181" i="1" s="1"/>
  <c r="M2182" i="1" s="1"/>
  <c r="M2183" i="1" s="1"/>
  <c r="M2184" i="1" s="1"/>
  <c r="M2185" i="1" s="1"/>
  <c r="M2186" i="1" s="1"/>
  <c r="M2187" i="1" s="1"/>
  <c r="M2188" i="1" s="1"/>
  <c r="M2189" i="1" s="1"/>
  <c r="M2190" i="1" s="1"/>
  <c r="M2191" i="1" s="1"/>
  <c r="M2192" i="1" s="1"/>
  <c r="M2193" i="1" s="1"/>
  <c r="M2194" i="1" s="1"/>
  <c r="M2195" i="1" s="1"/>
  <c r="M2196" i="1" s="1"/>
  <c r="M2197" i="1" s="1"/>
  <c r="M2198" i="1" s="1"/>
  <c r="M2199" i="1" s="1"/>
  <c r="M2200" i="1" s="1"/>
  <c r="M2201" i="1" s="1"/>
  <c r="M2202" i="1" s="1"/>
  <c r="M2203" i="1" s="1"/>
  <c r="M2204" i="1" s="1"/>
  <c r="M2205" i="1" s="1"/>
  <c r="M2206" i="1" s="1"/>
  <c r="M2207" i="1" s="1"/>
  <c r="M2208" i="1" s="1"/>
  <c r="M2209" i="1" s="1"/>
  <c r="M2210" i="1" s="1"/>
  <c r="M2211" i="1" s="1"/>
  <c r="M2212" i="1" s="1"/>
  <c r="M2213" i="1" s="1"/>
  <c r="M2214" i="1" s="1"/>
  <c r="M2215" i="1" s="1"/>
  <c r="M2216" i="1" s="1"/>
  <c r="M2217" i="1" s="1"/>
  <c r="M2218" i="1" s="1"/>
  <c r="M2219" i="1" s="1"/>
  <c r="M2220" i="1" s="1"/>
  <c r="M2221" i="1" s="1"/>
  <c r="M2222" i="1" s="1"/>
  <c r="M2223" i="1" s="1"/>
  <c r="M2224" i="1" s="1"/>
  <c r="M2225" i="1" s="1"/>
  <c r="M2226" i="1" s="1"/>
  <c r="M2227" i="1" s="1"/>
  <c r="M2228" i="1" s="1"/>
  <c r="M2229" i="1" s="1"/>
  <c r="M2230" i="1" s="1"/>
  <c r="M2231" i="1" s="1"/>
  <c r="M2232" i="1" s="1"/>
  <c r="M2233" i="1" s="1"/>
  <c r="M2234" i="1" s="1"/>
  <c r="M2235" i="1" s="1"/>
  <c r="M2236" i="1" s="1"/>
  <c r="M2237" i="1" s="1"/>
  <c r="M2238" i="1" s="1"/>
  <c r="M2239" i="1" s="1"/>
  <c r="M2240" i="1" s="1"/>
  <c r="M2241" i="1" s="1"/>
  <c r="M2242" i="1" s="1"/>
  <c r="M2243" i="1" s="1"/>
  <c r="M2244" i="1" s="1"/>
  <c r="M2245" i="1" s="1"/>
  <c r="M2246" i="1" s="1"/>
  <c r="M2247" i="1" s="1"/>
  <c r="M2248" i="1" s="1"/>
  <c r="M2249" i="1" s="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M2278" i="1" s="1"/>
  <c r="M2279" i="1" s="1"/>
  <c r="M2280" i="1" s="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M2309" i="1" s="1"/>
  <c r="M2310" i="1" s="1"/>
  <c r="M2311" i="1" s="1"/>
  <c r="M2312" i="1" s="1"/>
  <c r="M2313" i="1" s="1"/>
  <c r="M2314" i="1" s="1"/>
  <c r="M2315" i="1" s="1"/>
  <c r="M2316" i="1" s="1"/>
  <c r="M2317" i="1" s="1"/>
  <c r="M2318" i="1" s="1"/>
  <c r="M2319" i="1" s="1"/>
  <c r="M2320" i="1" s="1"/>
  <c r="M2321" i="1" s="1"/>
  <c r="M2322" i="1" s="1"/>
  <c r="M2323" i="1" s="1"/>
  <c r="M2324" i="1" s="1"/>
  <c r="M2325" i="1" s="1"/>
  <c r="M2326" i="1" s="1"/>
  <c r="M2327" i="1" s="1"/>
  <c r="M2328" i="1" s="1"/>
  <c r="M2329" i="1" s="1"/>
  <c r="M2330" i="1" s="1"/>
  <c r="M2331" i="1" s="1"/>
  <c r="M2332" i="1" s="1"/>
  <c r="M2333" i="1" s="1"/>
  <c r="M2334" i="1" s="1"/>
  <c r="M2335" i="1" s="1"/>
  <c r="M2336" i="1" s="1"/>
  <c r="M2337" i="1" s="1"/>
  <c r="M2338" i="1" s="1"/>
  <c r="M2339" i="1" s="1"/>
  <c r="M2340" i="1" s="1"/>
  <c r="M2341" i="1" s="1"/>
  <c r="M2342" i="1" s="1"/>
  <c r="M2343" i="1" s="1"/>
  <c r="M2344" i="1" s="1"/>
  <c r="M2345" i="1" s="1"/>
  <c r="M2346" i="1" s="1"/>
  <c r="M2347" i="1" s="1"/>
  <c r="M2348" i="1" s="1"/>
  <c r="M2349" i="1" s="1"/>
  <c r="M2350" i="1" s="1"/>
  <c r="M2351" i="1" s="1"/>
  <c r="M2352" i="1" s="1"/>
  <c r="M2353" i="1" s="1"/>
  <c r="M2354" i="1" s="1"/>
  <c r="M2355" i="1" s="1"/>
  <c r="M2356" i="1" s="1"/>
  <c r="M2357" i="1" s="1"/>
  <c r="M2358" i="1" s="1"/>
  <c r="M2359" i="1" s="1"/>
  <c r="M2360" i="1" s="1"/>
  <c r="M2361" i="1" s="1"/>
  <c r="M2362" i="1" s="1"/>
  <c r="M2363" i="1" s="1"/>
  <c r="M2364" i="1" s="1"/>
  <c r="M2365" i="1" s="1"/>
  <c r="M2366" i="1" s="1"/>
  <c r="M2367" i="1" s="1"/>
  <c r="M2368" i="1" s="1"/>
  <c r="M2369" i="1" s="1"/>
  <c r="M2370" i="1" s="1"/>
  <c r="M2371" i="1" s="1"/>
  <c r="M2372" i="1" s="1"/>
  <c r="M2373" i="1" s="1"/>
  <c r="M2374" i="1" s="1"/>
  <c r="M2375" i="1" s="1"/>
  <c r="M2376" i="1" s="1"/>
  <c r="M2377" i="1" s="1"/>
  <c r="M2378" i="1" s="1"/>
  <c r="M2379" i="1" s="1"/>
  <c r="M2380" i="1" s="1"/>
  <c r="M2381" i="1" s="1"/>
  <c r="M2382" i="1" s="1"/>
  <c r="M2383" i="1" s="1"/>
  <c r="M2384" i="1" s="1"/>
  <c r="M2385" i="1" s="1"/>
  <c r="M2386" i="1" s="1"/>
  <c r="M2387" i="1" s="1"/>
  <c r="M2388" i="1" s="1"/>
  <c r="M2389" i="1" s="1"/>
  <c r="M2390" i="1" s="1"/>
  <c r="M2391" i="1" s="1"/>
  <c r="M2392" i="1" s="1"/>
  <c r="M2393" i="1" s="1"/>
  <c r="M2394" i="1" s="1"/>
  <c r="M2395" i="1" s="1"/>
  <c r="M2396" i="1" s="1"/>
  <c r="M2397" i="1" s="1"/>
  <c r="M2398" i="1" s="1"/>
  <c r="M2399" i="1" s="1"/>
  <c r="M2400" i="1" s="1"/>
  <c r="M2401" i="1" s="1"/>
  <c r="M2402" i="1" s="1"/>
  <c r="M2403" i="1" s="1"/>
  <c r="M2404" i="1" s="1"/>
  <c r="M2405" i="1" s="1"/>
  <c r="M2406" i="1" s="1"/>
  <c r="M2407" i="1" s="1"/>
  <c r="M2408" i="1" s="1"/>
  <c r="M2409" i="1" s="1"/>
  <c r="M2410" i="1" s="1"/>
  <c r="M2411" i="1" s="1"/>
  <c r="M2412" i="1" s="1"/>
  <c r="M2413" i="1" s="1"/>
  <c r="M2414" i="1" s="1"/>
  <c r="M2415" i="1" s="1"/>
  <c r="M2416" i="1" s="1"/>
  <c r="M2417" i="1" s="1"/>
  <c r="M2418" i="1" s="1"/>
  <c r="M2419" i="1" s="1"/>
  <c r="M2420" i="1" s="1"/>
  <c r="M2421" i="1" s="1"/>
  <c r="M2422" i="1" s="1"/>
  <c r="M2423" i="1" s="1"/>
  <c r="M2424" i="1" s="1"/>
  <c r="M2425" i="1" s="1"/>
  <c r="M2426" i="1" s="1"/>
  <c r="M2427" i="1" s="1"/>
  <c r="M2428" i="1" s="1"/>
  <c r="M2429" i="1" s="1"/>
  <c r="M2430" i="1" s="1"/>
  <c r="M2431" i="1" s="1"/>
  <c r="M2432" i="1" s="1"/>
  <c r="M2433" i="1" s="1"/>
  <c r="M2434" i="1" s="1"/>
  <c r="M2435" i="1" s="1"/>
  <c r="M2436" i="1" s="1"/>
  <c r="M2437" i="1" s="1"/>
  <c r="M2438" i="1" s="1"/>
  <c r="M2439" i="1" s="1"/>
  <c r="M2440" i="1" s="1"/>
  <c r="M2441" i="1" s="1"/>
  <c r="M2442" i="1" s="1"/>
  <c r="M2443" i="1" s="1"/>
  <c r="M2444" i="1" s="1"/>
  <c r="M2445" i="1" s="1"/>
  <c r="M2446" i="1" s="1"/>
  <c r="M2447" i="1" s="1"/>
  <c r="M2448" i="1" s="1"/>
  <c r="M2449" i="1" s="1"/>
  <c r="M2450" i="1" s="1"/>
  <c r="M2451" i="1" s="1"/>
  <c r="M2452" i="1" s="1"/>
  <c r="M2453" i="1" s="1"/>
  <c r="M2454" i="1" s="1"/>
  <c r="M2455" i="1" s="1"/>
  <c r="M2456" i="1" s="1"/>
  <c r="M2457" i="1" s="1"/>
  <c r="M2458" i="1" s="1"/>
  <c r="M2459" i="1" s="1"/>
  <c r="M2460" i="1" s="1"/>
  <c r="M2461" i="1" s="1"/>
  <c r="M2462" i="1" s="1"/>
  <c r="M2463" i="1" s="1"/>
  <c r="M2464" i="1" s="1"/>
  <c r="M2465" i="1" s="1"/>
  <c r="M2466" i="1" s="1"/>
  <c r="M2467" i="1" s="1"/>
  <c r="M2468" i="1" s="1"/>
  <c r="M2469" i="1" s="1"/>
  <c r="M2470" i="1" s="1"/>
  <c r="M2471" i="1" s="1"/>
  <c r="M2472" i="1" s="1"/>
  <c r="M2473" i="1" s="1"/>
  <c r="M2474" i="1" s="1"/>
  <c r="M2475" i="1" s="1"/>
  <c r="M2476" i="1" s="1"/>
  <c r="M2477" i="1" s="1"/>
  <c r="M2478" i="1" s="1"/>
  <c r="M2479" i="1" s="1"/>
  <c r="M2480" i="1" s="1"/>
  <c r="M2481" i="1" s="1"/>
  <c r="M2482" i="1" s="1"/>
  <c r="M2483" i="1" s="1"/>
  <c r="M2484" i="1" s="1"/>
  <c r="M2485" i="1" s="1"/>
  <c r="M2486" i="1" s="1"/>
  <c r="M2487" i="1" s="1"/>
  <c r="M2488" i="1" s="1"/>
  <c r="M2489" i="1" s="1"/>
  <c r="M2490" i="1" s="1"/>
  <c r="M2491" i="1" s="1"/>
  <c r="M2492" i="1" s="1"/>
  <c r="M2493" i="1" s="1"/>
  <c r="M2494" i="1" s="1"/>
  <c r="M2495" i="1" s="1"/>
  <c r="M2496" i="1" s="1"/>
  <c r="M2497" i="1" s="1"/>
  <c r="M2498" i="1" s="1"/>
  <c r="M2499" i="1" s="1"/>
  <c r="M2500" i="1" s="1"/>
  <c r="M2501" i="1" s="1"/>
  <c r="M2502" i="1" s="1"/>
  <c r="M2503" i="1" s="1"/>
  <c r="M2504" i="1" s="1"/>
  <c r="M2505" i="1" s="1"/>
  <c r="M2506" i="1" s="1"/>
  <c r="M2507" i="1" s="1"/>
  <c r="M2508" i="1" s="1"/>
  <c r="M2509" i="1" s="1"/>
  <c r="M2510" i="1" s="1"/>
  <c r="M2511" i="1" s="1"/>
  <c r="M2512" i="1" s="1"/>
  <c r="M2513" i="1" s="1"/>
  <c r="M2514" i="1" s="1"/>
  <c r="M2515" i="1" s="1"/>
  <c r="M2516" i="1" s="1"/>
  <c r="M2517" i="1" s="1"/>
  <c r="M2518" i="1" s="1"/>
  <c r="M2519" i="1" s="1"/>
  <c r="M2520" i="1" s="1"/>
  <c r="M2521" i="1" s="1"/>
  <c r="M2522" i="1" s="1"/>
  <c r="M2523" i="1" s="1"/>
  <c r="M2524" i="1" s="1"/>
  <c r="M2525" i="1" s="1"/>
  <c r="M2526" i="1" s="1"/>
  <c r="M2527" i="1" s="1"/>
  <c r="M2528" i="1" s="1"/>
  <c r="M2529" i="1" s="1"/>
  <c r="M2530" i="1" s="1"/>
  <c r="M2531" i="1" s="1"/>
  <c r="M2532" i="1" s="1"/>
  <c r="M2533" i="1" s="1"/>
  <c r="M2534" i="1" s="1"/>
  <c r="M2535" i="1" s="1"/>
  <c r="M2536" i="1" s="1"/>
  <c r="M2537" i="1" s="1"/>
  <c r="M2538" i="1" s="1"/>
  <c r="M2539" i="1" s="1"/>
  <c r="M2540" i="1" s="1"/>
  <c r="M2541" i="1" s="1"/>
  <c r="M2542" i="1" s="1"/>
  <c r="M2543" i="1" s="1"/>
  <c r="M2544" i="1" s="1"/>
  <c r="M2545" i="1" s="1"/>
  <c r="M2546" i="1" s="1"/>
  <c r="M2547" i="1" s="1"/>
  <c r="M2548" i="1" s="1"/>
  <c r="M2549" i="1" s="1"/>
  <c r="M2550" i="1" s="1"/>
  <c r="M2551" i="1" s="1"/>
  <c r="M2552" i="1" s="1"/>
  <c r="M2553" i="1" s="1"/>
  <c r="M2554" i="1" s="1"/>
  <c r="M2555" i="1" s="1"/>
  <c r="M2556" i="1" s="1"/>
  <c r="M2557" i="1" s="1"/>
  <c r="M2558" i="1" s="1"/>
  <c r="M2559" i="1" s="1"/>
  <c r="M2560" i="1" s="1"/>
  <c r="M2561" i="1" s="1"/>
  <c r="M2562" i="1" s="1"/>
  <c r="M2563" i="1" s="1"/>
  <c r="M2564" i="1" s="1"/>
  <c r="M2565" i="1" s="1"/>
  <c r="M2566" i="1" s="1"/>
  <c r="M2567" i="1" s="1"/>
  <c r="M2568" i="1" s="1"/>
  <c r="M2569" i="1" s="1"/>
  <c r="M2570" i="1" s="1"/>
  <c r="M2571" i="1" s="1"/>
  <c r="M2572" i="1" s="1"/>
  <c r="M2573" i="1" s="1"/>
  <c r="M2574" i="1" s="1"/>
  <c r="M2575" i="1" s="1"/>
  <c r="M2576" i="1" s="1"/>
  <c r="M2577" i="1" s="1"/>
  <c r="M2578" i="1" s="1"/>
  <c r="M2579" i="1" s="1"/>
  <c r="M2580" i="1" s="1"/>
  <c r="M2581" i="1" s="1"/>
  <c r="M2582" i="1" s="1"/>
  <c r="M2583" i="1" s="1"/>
  <c r="M2584" i="1" s="1"/>
  <c r="M2585" i="1" s="1"/>
  <c r="M2586" i="1" s="1"/>
  <c r="M2587" i="1" s="1"/>
  <c r="M2588" i="1" s="1"/>
  <c r="M2589" i="1" s="1"/>
  <c r="M2590" i="1" s="1"/>
  <c r="M2591" i="1" s="1"/>
  <c r="M2592" i="1" s="1"/>
  <c r="M2593" i="1" s="1"/>
  <c r="M2594" i="1" s="1"/>
  <c r="M2595" i="1" s="1"/>
  <c r="M2596" i="1" s="1"/>
  <c r="M2597" i="1" s="1"/>
  <c r="M2598" i="1" s="1"/>
  <c r="M2599" i="1" s="1"/>
  <c r="M2600" i="1" s="1"/>
  <c r="M2601" i="1" s="1"/>
  <c r="M2602" i="1" s="1"/>
  <c r="M2603" i="1" s="1"/>
  <c r="M2604" i="1" s="1"/>
  <c r="M2605" i="1" s="1"/>
  <c r="M2606" i="1" s="1"/>
  <c r="M2607" i="1" s="1"/>
  <c r="M2608" i="1" s="1"/>
  <c r="M2609" i="1" s="1"/>
  <c r="M2610" i="1" s="1"/>
  <c r="M2611" i="1" s="1"/>
  <c r="M2612" i="1" s="1"/>
  <c r="M2613" i="1" s="1"/>
  <c r="M2614" i="1" s="1"/>
  <c r="M2615" i="1" s="1"/>
  <c r="M2616" i="1" s="1"/>
  <c r="M2617" i="1" s="1"/>
  <c r="M2618" i="1" s="1"/>
  <c r="M2619" i="1" s="1"/>
  <c r="M2620" i="1" s="1"/>
  <c r="M2621" i="1" s="1"/>
  <c r="M2622" i="1" s="1"/>
  <c r="M2623" i="1" s="1"/>
  <c r="M2624" i="1" s="1"/>
  <c r="M2625" i="1" s="1"/>
  <c r="M2626" i="1" s="1"/>
  <c r="M2627" i="1" s="1"/>
  <c r="M2628" i="1" s="1"/>
  <c r="M2629" i="1" s="1"/>
  <c r="M2630" i="1" s="1"/>
  <c r="M2631" i="1" s="1"/>
  <c r="M2632" i="1" s="1"/>
  <c r="M2633" i="1" s="1"/>
  <c r="M2634" i="1" s="1"/>
  <c r="M2635" i="1" s="1"/>
  <c r="M2636" i="1" s="1"/>
  <c r="M2637" i="1" s="1"/>
  <c r="M2638" i="1" s="1"/>
  <c r="M2639" i="1" s="1"/>
  <c r="M2640" i="1" s="1"/>
  <c r="M2641" i="1" s="1"/>
  <c r="M2642" i="1" s="1"/>
  <c r="M2643" i="1" s="1"/>
  <c r="M2644" i="1" s="1"/>
  <c r="M2645" i="1" s="1"/>
  <c r="M2646" i="1" s="1"/>
  <c r="M2647" i="1" s="1"/>
  <c r="M2648" i="1" s="1"/>
  <c r="M2649" i="1" s="1"/>
  <c r="M2650" i="1" s="1"/>
  <c r="M2651" i="1" s="1"/>
  <c r="M2652" i="1" s="1"/>
  <c r="M2653" i="1" s="1"/>
  <c r="M2654" i="1" s="1"/>
  <c r="M2655" i="1" s="1"/>
  <c r="M2656" i="1" s="1"/>
  <c r="M2657" i="1" s="1"/>
  <c r="M2658" i="1" s="1"/>
  <c r="M2659" i="1" s="1"/>
  <c r="M2660" i="1" s="1"/>
  <c r="M2661" i="1" s="1"/>
  <c r="M2662" i="1" s="1"/>
  <c r="M2663" i="1" s="1"/>
  <c r="M2664" i="1" s="1"/>
  <c r="M2665" i="1" s="1"/>
  <c r="M2666" i="1" s="1"/>
  <c r="M2667" i="1" s="1"/>
  <c r="M2668" i="1" s="1"/>
  <c r="M2669" i="1" s="1"/>
  <c r="M2670" i="1" s="1"/>
  <c r="M2671" i="1" s="1"/>
  <c r="M2672" i="1" s="1"/>
  <c r="M2673" i="1" s="1"/>
  <c r="M2674" i="1" s="1"/>
  <c r="M2675" i="1" s="1"/>
  <c r="M2676" i="1" s="1"/>
  <c r="M2677" i="1" s="1"/>
  <c r="M2678" i="1" s="1"/>
  <c r="M2679" i="1" s="1"/>
  <c r="M2680" i="1" s="1"/>
  <c r="M2681" i="1" s="1"/>
  <c r="M2682" i="1" s="1"/>
  <c r="M2683" i="1" s="1"/>
  <c r="M2684" i="1" s="1"/>
  <c r="M2685" i="1" s="1"/>
  <c r="M2686" i="1" s="1"/>
  <c r="M2687" i="1" s="1"/>
  <c r="M2688" i="1" s="1"/>
  <c r="M2689" i="1" s="1"/>
  <c r="M2690" i="1" s="1"/>
  <c r="M2691" i="1" s="1"/>
  <c r="M2692" i="1" s="1"/>
  <c r="M2693" i="1" s="1"/>
  <c r="M2694" i="1" s="1"/>
  <c r="M2695" i="1" s="1"/>
  <c r="M2696" i="1" s="1"/>
  <c r="M2697" i="1" s="1"/>
  <c r="M2698" i="1" s="1"/>
  <c r="M2699" i="1" s="1"/>
  <c r="M2700" i="1" s="1"/>
  <c r="M2701" i="1" s="1"/>
  <c r="M2702" i="1" s="1"/>
  <c r="M2703" i="1" s="1"/>
  <c r="M2704" i="1" s="1"/>
  <c r="M2705" i="1" s="1"/>
  <c r="M2706" i="1" s="1"/>
  <c r="M2707" i="1" s="1"/>
  <c r="M2708" i="1" s="1"/>
  <c r="M2709" i="1" s="1"/>
  <c r="M2710" i="1" s="1"/>
  <c r="M2711" i="1" s="1"/>
  <c r="M2712" i="1" s="1"/>
  <c r="M2713" i="1" s="1"/>
  <c r="M2714" i="1" s="1"/>
  <c r="M2715" i="1" s="1"/>
  <c r="M2716" i="1" s="1"/>
  <c r="M2717" i="1" s="1"/>
  <c r="M2718" i="1" s="1"/>
  <c r="M2719" i="1" s="1"/>
  <c r="M2720" i="1" s="1"/>
  <c r="M2721" i="1" s="1"/>
  <c r="M2722" i="1" s="1"/>
  <c r="M2723" i="1" s="1"/>
  <c r="M2724" i="1" s="1"/>
  <c r="M2725" i="1" s="1"/>
  <c r="M2726" i="1" s="1"/>
  <c r="M2727" i="1" s="1"/>
  <c r="M2728" i="1" s="1"/>
  <c r="M2729" i="1" s="1"/>
  <c r="M2730" i="1" s="1"/>
  <c r="M2731" i="1" s="1"/>
  <c r="M2732" i="1" s="1"/>
  <c r="M2733" i="1" s="1"/>
  <c r="M2734" i="1" s="1"/>
  <c r="M2735" i="1" s="1"/>
  <c r="M2736" i="1" s="1"/>
  <c r="M2737" i="1" s="1"/>
  <c r="M2738" i="1" s="1"/>
  <c r="M2739" i="1" s="1"/>
  <c r="M2740" i="1" s="1"/>
  <c r="M2741" i="1" s="1"/>
  <c r="M2742" i="1" s="1"/>
  <c r="M2743" i="1" s="1"/>
  <c r="M2744" i="1" s="1"/>
  <c r="M2745" i="1" s="1"/>
  <c r="M2746" i="1" s="1"/>
  <c r="M2747" i="1" s="1"/>
  <c r="M2748" i="1" s="1"/>
  <c r="M2749" i="1" s="1"/>
  <c r="M2750" i="1" s="1"/>
  <c r="M2751" i="1" s="1"/>
  <c r="M2752" i="1" s="1"/>
  <c r="M2753" i="1" s="1"/>
  <c r="M2754" i="1" s="1"/>
  <c r="M2755" i="1" s="1"/>
  <c r="M2756" i="1" s="1"/>
  <c r="M2757" i="1" s="1"/>
  <c r="M2758" i="1" s="1"/>
  <c r="M2759" i="1" s="1"/>
  <c r="M2760" i="1" s="1"/>
  <c r="M2761" i="1" s="1"/>
  <c r="M2762" i="1" s="1"/>
  <c r="M2763" i="1" s="1"/>
  <c r="M2764" i="1" s="1"/>
  <c r="M2765" i="1" s="1"/>
  <c r="M2766" i="1" s="1"/>
  <c r="M2767" i="1" s="1"/>
  <c r="M2768" i="1" s="1"/>
  <c r="M2769" i="1" s="1"/>
  <c r="M2770" i="1" s="1"/>
  <c r="M2771" i="1" s="1"/>
  <c r="M2772" i="1" s="1"/>
  <c r="M2773" i="1" s="1"/>
  <c r="M2774" i="1" s="1"/>
  <c r="M2775" i="1" s="1"/>
  <c r="M2776" i="1" s="1"/>
  <c r="M2777" i="1" s="1"/>
  <c r="M2778" i="1" s="1"/>
  <c r="M2779" i="1" s="1"/>
  <c r="M2780" i="1" s="1"/>
  <c r="M2781" i="1" s="1"/>
  <c r="M2782" i="1" s="1"/>
  <c r="M2783" i="1" s="1"/>
  <c r="M2784" i="1" s="1"/>
  <c r="M2785" i="1" s="1"/>
  <c r="M2786" i="1" s="1"/>
  <c r="M2787" i="1" s="1"/>
  <c r="M2788" i="1" s="1"/>
  <c r="M2789" i="1" s="1"/>
  <c r="M2790" i="1" s="1"/>
  <c r="M2791" i="1" s="1"/>
  <c r="M2792" i="1" s="1"/>
  <c r="M2793" i="1" s="1"/>
  <c r="M2794" i="1" s="1"/>
  <c r="M2795" i="1" s="1"/>
  <c r="M2796" i="1" s="1"/>
  <c r="M2797" i="1" s="1"/>
  <c r="M2798" i="1" s="1"/>
  <c r="M2799" i="1" s="1"/>
  <c r="M2800" i="1" s="1"/>
  <c r="M2801" i="1" s="1"/>
  <c r="M2802" i="1" s="1"/>
  <c r="M2803" i="1" s="1"/>
  <c r="M2804" i="1" s="1"/>
  <c r="M2805" i="1" s="1"/>
  <c r="M2806" i="1" s="1"/>
  <c r="M2807" i="1" s="1"/>
  <c r="M2808" i="1" s="1"/>
  <c r="M2809" i="1" s="1"/>
  <c r="M2810" i="1" s="1"/>
  <c r="M2811" i="1" s="1"/>
  <c r="M2812" i="1" s="1"/>
  <c r="M2813" i="1" s="1"/>
  <c r="M2814" i="1" s="1"/>
  <c r="M2815" i="1" s="1"/>
  <c r="M2816" i="1" s="1"/>
  <c r="M2817" i="1" s="1"/>
  <c r="M2818" i="1" s="1"/>
  <c r="M2819" i="1" s="1"/>
  <c r="M2820" i="1" s="1"/>
  <c r="M2821" i="1" s="1"/>
  <c r="M2822" i="1" s="1"/>
  <c r="M2823" i="1" s="1"/>
  <c r="M2824" i="1" s="1"/>
  <c r="M2825" i="1" s="1"/>
  <c r="M2826" i="1" s="1"/>
  <c r="M2827" i="1" s="1"/>
  <c r="M2828" i="1" s="1"/>
  <c r="M2829" i="1" s="1"/>
  <c r="M2830" i="1" s="1"/>
  <c r="M2831" i="1" s="1"/>
  <c r="M2832" i="1" s="1"/>
  <c r="M2833" i="1" s="1"/>
  <c r="M2834" i="1" s="1"/>
  <c r="M2835" i="1" s="1"/>
  <c r="M2836" i="1" s="1"/>
  <c r="M2837" i="1" s="1"/>
  <c r="M2838" i="1" s="1"/>
  <c r="M2839" i="1" s="1"/>
  <c r="M2840" i="1" s="1"/>
  <c r="M2841" i="1" s="1"/>
  <c r="M2842" i="1" s="1"/>
  <c r="M2843" i="1" s="1"/>
  <c r="M2844" i="1" s="1"/>
  <c r="M2845" i="1" s="1"/>
  <c r="M2846" i="1" s="1"/>
  <c r="M2847" i="1" s="1"/>
  <c r="M2848" i="1" s="1"/>
  <c r="M2849" i="1" s="1"/>
  <c r="M2850" i="1" s="1"/>
  <c r="M2851" i="1" s="1"/>
  <c r="M2852" i="1" s="1"/>
  <c r="M2853" i="1" s="1"/>
  <c r="M2854" i="1" s="1"/>
  <c r="M2855" i="1" s="1"/>
  <c r="M2856" i="1" s="1"/>
  <c r="M2857" i="1" s="1"/>
  <c r="M2858" i="1" s="1"/>
  <c r="M2859" i="1" s="1"/>
  <c r="M2860" i="1" s="1"/>
  <c r="M2861" i="1" s="1"/>
  <c r="M2862" i="1" s="1"/>
  <c r="M2863" i="1" s="1"/>
  <c r="M2864" i="1" s="1"/>
  <c r="M2865" i="1" s="1"/>
  <c r="M2866" i="1" s="1"/>
  <c r="M2867" i="1" s="1"/>
  <c r="M2868" i="1" s="1"/>
  <c r="M2869" i="1" s="1"/>
  <c r="M2870" i="1" s="1"/>
  <c r="M2871" i="1" s="1"/>
  <c r="M2872" i="1" s="1"/>
  <c r="M2873" i="1" s="1"/>
  <c r="M2874" i="1" s="1"/>
  <c r="M2875" i="1" s="1"/>
  <c r="M2876" i="1" s="1"/>
  <c r="M2877" i="1" s="1"/>
  <c r="M2878" i="1" s="1"/>
  <c r="M2879" i="1" s="1"/>
  <c r="M2880" i="1" s="1"/>
  <c r="M2881" i="1" s="1"/>
  <c r="M2882" i="1" s="1"/>
  <c r="M2883" i="1" s="1"/>
  <c r="M2884" i="1" s="1"/>
  <c r="M2885" i="1" s="1"/>
  <c r="M2886" i="1" s="1"/>
  <c r="M2887" i="1" s="1"/>
  <c r="M2888" i="1" s="1"/>
  <c r="M2889" i="1" s="1"/>
  <c r="M2890" i="1" s="1"/>
  <c r="M2891" i="1" s="1"/>
  <c r="M2892" i="1" s="1"/>
  <c r="M2893" i="1" s="1"/>
  <c r="M2894" i="1" s="1"/>
  <c r="M2895" i="1" s="1"/>
  <c r="M2896" i="1" s="1"/>
  <c r="M2897" i="1" s="1"/>
  <c r="M2898" i="1" s="1"/>
  <c r="M2899" i="1" s="1"/>
  <c r="M2900" i="1" s="1"/>
  <c r="M2901" i="1" s="1"/>
  <c r="M2902" i="1" s="1"/>
  <c r="M2903" i="1" s="1"/>
  <c r="M2904" i="1" s="1"/>
  <c r="M2905" i="1" s="1"/>
  <c r="M2906" i="1" s="1"/>
  <c r="M2907" i="1" s="1"/>
  <c r="M2908" i="1" s="1"/>
  <c r="M2909" i="1" s="1"/>
  <c r="M2910" i="1" s="1"/>
  <c r="M2911" i="1" s="1"/>
  <c r="M2912" i="1" s="1"/>
  <c r="M2913" i="1" s="1"/>
  <c r="M2914" i="1" s="1"/>
  <c r="M2915" i="1" s="1"/>
  <c r="M2916" i="1" s="1"/>
  <c r="M2917" i="1" s="1"/>
  <c r="M2918" i="1" s="1"/>
  <c r="M2919" i="1" s="1"/>
  <c r="M2920" i="1" s="1"/>
  <c r="M2921" i="1" s="1"/>
  <c r="M2922" i="1" s="1"/>
  <c r="M2923" i="1" s="1"/>
  <c r="M2924" i="1" s="1"/>
  <c r="M2925" i="1" s="1"/>
  <c r="M2926" i="1" s="1"/>
  <c r="M2927" i="1" s="1"/>
  <c r="M2928" i="1" s="1"/>
  <c r="M2929" i="1" s="1"/>
  <c r="M2930" i="1" s="1"/>
  <c r="M2931" i="1" s="1"/>
  <c r="M2932" i="1" s="1"/>
  <c r="M2933" i="1" s="1"/>
  <c r="M2934" i="1" s="1"/>
  <c r="M2935" i="1" s="1"/>
  <c r="M2936" i="1" s="1"/>
  <c r="M2937" i="1" s="1"/>
  <c r="M2938" i="1" s="1"/>
  <c r="M2939" i="1" s="1"/>
  <c r="M2940" i="1" s="1"/>
  <c r="M2941" i="1" s="1"/>
  <c r="M2942" i="1" s="1"/>
  <c r="M2943" i="1" s="1"/>
  <c r="M2944" i="1" s="1"/>
  <c r="M2945" i="1" s="1"/>
  <c r="M2946" i="1" s="1"/>
  <c r="M2947" i="1" s="1"/>
  <c r="M2948" i="1" s="1"/>
  <c r="M2949" i="1" s="1"/>
  <c r="M2950" i="1" s="1"/>
  <c r="M2951" i="1" s="1"/>
  <c r="M2952" i="1" s="1"/>
  <c r="M2953" i="1" s="1"/>
  <c r="M2954" i="1" s="1"/>
  <c r="M2955" i="1" s="1"/>
  <c r="M2956" i="1" s="1"/>
  <c r="M2957" i="1" s="1"/>
  <c r="M2958" i="1" s="1"/>
  <c r="M2959" i="1" s="1"/>
  <c r="M2960" i="1" s="1"/>
  <c r="M2961" i="1" s="1"/>
  <c r="M2962" i="1" s="1"/>
  <c r="M2963" i="1" s="1"/>
  <c r="M2964" i="1" s="1"/>
  <c r="M2965" i="1" s="1"/>
  <c r="M2966" i="1" s="1"/>
  <c r="M2967" i="1" s="1"/>
  <c r="M2968" i="1" s="1"/>
  <c r="M2969" i="1" s="1"/>
  <c r="M2970" i="1" s="1"/>
  <c r="M2971" i="1" s="1"/>
  <c r="M2972" i="1" s="1"/>
  <c r="M2973" i="1" s="1"/>
  <c r="M2974" i="1" s="1"/>
  <c r="M2975" i="1" s="1"/>
  <c r="M2976" i="1" s="1"/>
  <c r="M2977" i="1" s="1"/>
  <c r="M2978" i="1" s="1"/>
  <c r="M2979" i="1" s="1"/>
  <c r="M2980" i="1" s="1"/>
  <c r="M2981" i="1" s="1"/>
  <c r="M2982" i="1" s="1"/>
  <c r="M2983" i="1" s="1"/>
  <c r="M2984" i="1" s="1"/>
  <c r="M2985" i="1" s="1"/>
  <c r="M2986" i="1" s="1"/>
  <c r="M2987" i="1" s="1"/>
  <c r="M2988" i="1" s="1"/>
  <c r="M2989" i="1" s="1"/>
  <c r="M2990" i="1" s="1"/>
  <c r="M2991" i="1" s="1"/>
  <c r="M2992" i="1" s="1"/>
  <c r="M2993" i="1" s="1"/>
  <c r="M2994" i="1" s="1"/>
  <c r="M2995" i="1" s="1"/>
  <c r="M2996" i="1" s="1"/>
  <c r="M2997" i="1" s="1"/>
  <c r="M2998" i="1" s="1"/>
  <c r="M2999" i="1" s="1"/>
  <c r="M3000" i="1" s="1"/>
  <c r="M3001" i="1" s="1"/>
  <c r="M3002" i="1" s="1"/>
  <c r="M3003" i="1" s="1"/>
  <c r="M3004" i="1" s="1"/>
  <c r="M3005" i="1" s="1"/>
  <c r="M3006" i="1" s="1"/>
  <c r="M3007" i="1" s="1"/>
  <c r="M3008" i="1" s="1"/>
  <c r="M3009" i="1" s="1"/>
  <c r="M3010" i="1" s="1"/>
  <c r="M3011" i="1" s="1"/>
  <c r="M3012" i="1" s="1"/>
  <c r="M3013" i="1" s="1"/>
  <c r="M3014" i="1" s="1"/>
  <c r="M3015" i="1" s="1"/>
  <c r="M3016" i="1" s="1"/>
  <c r="M3017" i="1" s="1"/>
  <c r="M3018" i="1" s="1"/>
  <c r="M3019" i="1" s="1"/>
  <c r="M3020" i="1" s="1"/>
  <c r="M3021" i="1" s="1"/>
  <c r="M3022" i="1" s="1"/>
  <c r="M3023" i="1" s="1"/>
  <c r="M3024" i="1" s="1"/>
  <c r="M3025" i="1" s="1"/>
  <c r="M3026" i="1" s="1"/>
  <c r="M3027" i="1" s="1"/>
  <c r="M3028" i="1" s="1"/>
  <c r="M3029" i="1" s="1"/>
  <c r="M3030" i="1" s="1"/>
  <c r="M3031" i="1" s="1"/>
  <c r="M3032" i="1" s="1"/>
  <c r="M3033" i="1" s="1"/>
  <c r="M3034" i="1" s="1"/>
  <c r="M3035" i="1" s="1"/>
  <c r="M3036" i="1" s="1"/>
  <c r="M3037" i="1" s="1"/>
  <c r="M3038" i="1" s="1"/>
  <c r="M3039" i="1" s="1"/>
  <c r="M3040" i="1" s="1"/>
  <c r="M3041" i="1" s="1"/>
  <c r="M3042" i="1" s="1"/>
  <c r="M3043" i="1" s="1"/>
  <c r="M3044" i="1" s="1"/>
  <c r="M3045" i="1" s="1"/>
  <c r="M3046" i="1" s="1"/>
  <c r="M3047" i="1" s="1"/>
  <c r="M3048" i="1" s="1"/>
  <c r="M3049" i="1" s="1"/>
  <c r="M3050" i="1" s="1"/>
  <c r="M3051" i="1" s="1"/>
  <c r="M3052" i="1" s="1"/>
  <c r="M3053" i="1" s="1"/>
  <c r="M3054" i="1" s="1"/>
  <c r="M3055" i="1" s="1"/>
  <c r="M3056" i="1" s="1"/>
  <c r="M3057" i="1" s="1"/>
  <c r="M3058" i="1" s="1"/>
  <c r="M3059" i="1" s="1"/>
  <c r="M3060" i="1" s="1"/>
  <c r="M3061" i="1" s="1"/>
  <c r="M3062" i="1" s="1"/>
  <c r="M3063" i="1" s="1"/>
  <c r="M3064" i="1" s="1"/>
  <c r="M3065" i="1" s="1"/>
  <c r="M3066" i="1" s="1"/>
  <c r="M3067" i="1" s="1"/>
  <c r="M3068" i="1" s="1"/>
  <c r="M3069" i="1" s="1"/>
  <c r="M3070" i="1" s="1"/>
  <c r="M3071" i="1" s="1"/>
  <c r="M3072" i="1" s="1"/>
  <c r="M3073" i="1" s="1"/>
  <c r="M3074" i="1" s="1"/>
  <c r="M3075" i="1" s="1"/>
  <c r="M3076" i="1" s="1"/>
  <c r="M3077" i="1" s="1"/>
  <c r="M3078" i="1" s="1"/>
  <c r="M3079" i="1" s="1"/>
  <c r="M3080" i="1" s="1"/>
  <c r="M3081" i="1" s="1"/>
  <c r="M3082" i="1" s="1"/>
  <c r="M3083" i="1" s="1"/>
  <c r="M3084" i="1" s="1"/>
  <c r="M3085" i="1" s="1"/>
  <c r="M3086" i="1" s="1"/>
  <c r="M3087" i="1" s="1"/>
  <c r="M3088" i="1" s="1"/>
  <c r="M3089" i="1" s="1"/>
  <c r="M3090" i="1" s="1"/>
  <c r="M3091" i="1" s="1"/>
  <c r="M3092" i="1" s="1"/>
  <c r="M3093" i="1" s="1"/>
  <c r="M3094" i="1" s="1"/>
  <c r="M3095" i="1" s="1"/>
  <c r="M3096" i="1" s="1"/>
  <c r="M3097" i="1" s="1"/>
  <c r="M3098" i="1" s="1"/>
  <c r="M3099" i="1" s="1"/>
  <c r="M3100" i="1" s="1"/>
  <c r="M3101" i="1" s="1"/>
  <c r="M3102" i="1" s="1"/>
  <c r="M3103" i="1" s="1"/>
  <c r="M3104" i="1" s="1"/>
  <c r="M3105" i="1" s="1"/>
  <c r="M3106" i="1" s="1"/>
  <c r="M3107" i="1" s="1"/>
  <c r="M3108" i="1" s="1"/>
  <c r="M3109" i="1" s="1"/>
  <c r="M3110" i="1" s="1"/>
  <c r="M3111" i="1" s="1"/>
  <c r="M3112" i="1" s="1"/>
  <c r="M3113" i="1" s="1"/>
  <c r="M3114" i="1" s="1"/>
  <c r="M3115" i="1" s="1"/>
  <c r="M3116" i="1" s="1"/>
  <c r="M3117" i="1" s="1"/>
  <c r="M3118" i="1" s="1"/>
  <c r="M3119" i="1" s="1"/>
  <c r="M3120" i="1" s="1"/>
  <c r="M3121" i="1" s="1"/>
  <c r="M3122" i="1" s="1"/>
  <c r="M3123" i="1" s="1"/>
  <c r="M3124" i="1" s="1"/>
  <c r="M3125" i="1" s="1"/>
  <c r="M3126" i="1" s="1"/>
  <c r="M3127" i="1" s="1"/>
  <c r="M3128" i="1" s="1"/>
  <c r="M3129" i="1" s="1"/>
  <c r="M3130" i="1" s="1"/>
  <c r="M3131" i="1" s="1"/>
  <c r="M3132" i="1" s="1"/>
  <c r="M3133" i="1" s="1"/>
  <c r="M3134" i="1" s="1"/>
  <c r="M3135" i="1" s="1"/>
  <c r="M3136" i="1" s="1"/>
  <c r="M3137" i="1" s="1"/>
  <c r="M3138" i="1" s="1"/>
  <c r="M3139" i="1" s="1"/>
  <c r="M3140" i="1" s="1"/>
  <c r="M3141" i="1" s="1"/>
  <c r="M3142" i="1" s="1"/>
  <c r="M3143" i="1" s="1"/>
  <c r="M3144" i="1" s="1"/>
  <c r="M3145" i="1" s="1"/>
  <c r="M3146" i="1" s="1"/>
  <c r="M3147" i="1" s="1"/>
  <c r="M3148" i="1" s="1"/>
  <c r="M3149" i="1" s="1"/>
  <c r="M3150" i="1" s="1"/>
  <c r="M3151" i="1" s="1"/>
  <c r="M3152" i="1" s="1"/>
  <c r="M3153" i="1" s="1"/>
  <c r="M3154" i="1" s="1"/>
  <c r="M3155" i="1" s="1"/>
  <c r="M3156" i="1" s="1"/>
  <c r="M3157" i="1" s="1"/>
  <c r="M3158" i="1" s="1"/>
  <c r="M3159" i="1" s="1"/>
  <c r="M3160" i="1" s="1"/>
  <c r="M3161" i="1" s="1"/>
  <c r="M3162" i="1" s="1"/>
  <c r="M3163" i="1" s="1"/>
  <c r="M3164" i="1" s="1"/>
  <c r="M3165" i="1" s="1"/>
  <c r="M3166" i="1" s="1"/>
  <c r="M3167" i="1" s="1"/>
  <c r="M3168" i="1" s="1"/>
  <c r="M3169" i="1" s="1"/>
  <c r="M3170" i="1" s="1"/>
  <c r="M3171" i="1" s="1"/>
  <c r="M3172" i="1" s="1"/>
  <c r="M3173" i="1" s="1"/>
  <c r="M3174" i="1" s="1"/>
  <c r="M3175" i="1" s="1"/>
  <c r="M3176" i="1" s="1"/>
  <c r="M3177" i="1" s="1"/>
  <c r="M3178" i="1" s="1"/>
  <c r="M3179" i="1" s="1"/>
  <c r="M3180" i="1" s="1"/>
  <c r="M3181" i="1" s="1"/>
  <c r="M3182" i="1" s="1"/>
  <c r="M3183" i="1" s="1"/>
  <c r="M3184" i="1" s="1"/>
  <c r="M3185" i="1" s="1"/>
  <c r="M3186" i="1" s="1"/>
  <c r="M3187" i="1" s="1"/>
  <c r="M3188" i="1" s="1"/>
  <c r="M3189" i="1" s="1"/>
  <c r="M3190" i="1" s="1"/>
  <c r="M3191" i="1" s="1"/>
  <c r="M3192" i="1" s="1"/>
  <c r="M3193" i="1" s="1"/>
  <c r="M3194" i="1" s="1"/>
  <c r="M3195" i="1" s="1"/>
  <c r="M3196" i="1" s="1"/>
  <c r="M3197" i="1" s="1"/>
  <c r="M3198" i="1" s="1"/>
  <c r="M3199" i="1" s="1"/>
  <c r="M3200" i="1" s="1"/>
  <c r="M3201" i="1" s="1"/>
  <c r="M3202" i="1" s="1"/>
  <c r="M3203" i="1" s="1"/>
  <c r="M3204" i="1" s="1"/>
  <c r="M3205" i="1" s="1"/>
  <c r="M3206" i="1" s="1"/>
  <c r="M3207" i="1" s="1"/>
  <c r="M3208" i="1" s="1"/>
  <c r="M3209" i="1" s="1"/>
  <c r="M3210" i="1" s="1"/>
  <c r="M3211" i="1" s="1"/>
  <c r="M3212" i="1" s="1"/>
  <c r="M3213" i="1" s="1"/>
  <c r="M3214" i="1" s="1"/>
  <c r="M3215" i="1" s="1"/>
  <c r="M3216" i="1" s="1"/>
  <c r="M3217" i="1" s="1"/>
  <c r="M3218" i="1" s="1"/>
  <c r="M3219" i="1" s="1"/>
  <c r="M3220" i="1" s="1"/>
  <c r="M3221" i="1" s="1"/>
  <c r="M3222" i="1" s="1"/>
  <c r="M3223" i="1" s="1"/>
  <c r="M3224" i="1" s="1"/>
  <c r="M3225" i="1" s="1"/>
  <c r="M3226" i="1" s="1"/>
  <c r="M3227" i="1" s="1"/>
  <c r="M3228" i="1" s="1"/>
  <c r="M3229" i="1" s="1"/>
  <c r="M3230" i="1" s="1"/>
  <c r="M3231" i="1" s="1"/>
  <c r="M3232" i="1" s="1"/>
  <c r="M3233" i="1" s="1"/>
  <c r="M3234" i="1" s="1"/>
  <c r="M3235" i="1" s="1"/>
  <c r="M3236" i="1" s="1"/>
  <c r="M3237" i="1" s="1"/>
  <c r="M3238" i="1" s="1"/>
  <c r="M3239" i="1" s="1"/>
  <c r="M3240" i="1" s="1"/>
  <c r="M3241" i="1" s="1"/>
  <c r="M3242" i="1" s="1"/>
  <c r="M3243" i="1" s="1"/>
  <c r="M3244" i="1" s="1"/>
  <c r="M3245" i="1" s="1"/>
  <c r="M3246" i="1" s="1"/>
  <c r="M3247" i="1" s="1"/>
  <c r="M3248" i="1" s="1"/>
  <c r="M3249" i="1" s="1"/>
  <c r="M3250" i="1" s="1"/>
  <c r="M3251" i="1" s="1"/>
  <c r="M3252" i="1" s="1"/>
  <c r="M3253" i="1" s="1"/>
  <c r="M3254" i="1" s="1"/>
  <c r="M3255" i="1" s="1"/>
  <c r="M3256" i="1" s="1"/>
  <c r="M3257" i="1" s="1"/>
  <c r="M3258" i="1" s="1"/>
  <c r="M3259" i="1" s="1"/>
  <c r="M3260" i="1" s="1"/>
  <c r="M3261" i="1" s="1"/>
  <c r="M3262" i="1" s="1"/>
  <c r="M3263" i="1" s="1"/>
  <c r="M3264" i="1" s="1"/>
  <c r="M3265" i="1" s="1"/>
  <c r="M3266" i="1" s="1"/>
  <c r="M3267" i="1" s="1"/>
  <c r="M3268" i="1" s="1"/>
  <c r="M3269" i="1" s="1"/>
  <c r="M3270" i="1" s="1"/>
  <c r="M3271" i="1" s="1"/>
  <c r="M3272" i="1" s="1"/>
  <c r="M3273" i="1" s="1"/>
  <c r="M3274" i="1" s="1"/>
  <c r="M3275" i="1" s="1"/>
  <c r="M3276" i="1" s="1"/>
  <c r="M3277" i="1" s="1"/>
  <c r="M3278" i="1" s="1"/>
  <c r="M3279" i="1" s="1"/>
  <c r="M3280" i="1" s="1"/>
  <c r="M3281" i="1" s="1"/>
  <c r="M3282" i="1" s="1"/>
  <c r="M3283" i="1" s="1"/>
  <c r="M3284" i="1" s="1"/>
  <c r="M3285" i="1" s="1"/>
  <c r="M3286" i="1" s="1"/>
  <c r="M3287" i="1" s="1"/>
  <c r="M3288" i="1" s="1"/>
  <c r="M3289" i="1" s="1"/>
  <c r="M3290" i="1" s="1"/>
  <c r="M3291" i="1" s="1"/>
  <c r="M3292" i="1" s="1"/>
  <c r="M3293" i="1" s="1"/>
  <c r="M3294" i="1" s="1"/>
  <c r="M3295" i="1" s="1"/>
  <c r="M3296" i="1" s="1"/>
  <c r="M3297" i="1" s="1"/>
  <c r="M3298" i="1" s="1"/>
  <c r="M3299" i="1" s="1"/>
  <c r="M3300" i="1" s="1"/>
  <c r="M3301" i="1" s="1"/>
  <c r="M3302" i="1" s="1"/>
  <c r="M3303" i="1" s="1"/>
  <c r="M3304" i="1" s="1"/>
  <c r="M3305" i="1" s="1"/>
  <c r="M3306" i="1" s="1"/>
  <c r="M3307" i="1" s="1"/>
  <c r="M3308" i="1" s="1"/>
  <c r="M3309" i="1" s="1"/>
  <c r="M3310" i="1" s="1"/>
  <c r="M3311" i="1" s="1"/>
  <c r="M3312" i="1" s="1"/>
  <c r="M3313" i="1" s="1"/>
  <c r="M3314" i="1" s="1"/>
  <c r="M3315" i="1" s="1"/>
  <c r="M3316" i="1" s="1"/>
  <c r="M3317" i="1" s="1"/>
  <c r="M3318" i="1" s="1"/>
  <c r="M3319" i="1" s="1"/>
  <c r="M3320" i="1" s="1"/>
  <c r="M3321" i="1" s="1"/>
  <c r="M3322" i="1" s="1"/>
  <c r="M3323" i="1" s="1"/>
  <c r="M3324" i="1" s="1"/>
  <c r="M3325" i="1" s="1"/>
  <c r="M3326" i="1" s="1"/>
  <c r="M3327" i="1" s="1"/>
  <c r="M3328" i="1" s="1"/>
  <c r="M3329" i="1" s="1"/>
  <c r="M3330" i="1" s="1"/>
  <c r="M3331" i="1" s="1"/>
  <c r="M3332" i="1" s="1"/>
  <c r="M3333" i="1" s="1"/>
  <c r="M3334" i="1" s="1"/>
  <c r="M3335" i="1" s="1"/>
  <c r="M3336" i="1" s="1"/>
  <c r="M3337" i="1" s="1"/>
  <c r="M3338" i="1" s="1"/>
  <c r="M3339" i="1" s="1"/>
  <c r="M3340" i="1" s="1"/>
  <c r="M3341" i="1" s="1"/>
  <c r="M3342" i="1" s="1"/>
  <c r="M3343" i="1" s="1"/>
  <c r="M3344" i="1" s="1"/>
  <c r="M3345" i="1" s="1"/>
  <c r="M3346" i="1" s="1"/>
  <c r="M3347" i="1" s="1"/>
  <c r="M3348" i="1" s="1"/>
  <c r="M3349" i="1" s="1"/>
  <c r="M3350" i="1" s="1"/>
  <c r="M3351" i="1" s="1"/>
  <c r="M3352" i="1" s="1"/>
  <c r="M3353" i="1" s="1"/>
  <c r="M3354" i="1" s="1"/>
  <c r="M3355" i="1" s="1"/>
  <c r="M3356" i="1" s="1"/>
  <c r="M3357" i="1" s="1"/>
  <c r="M3358" i="1" s="1"/>
  <c r="M3359" i="1" s="1"/>
  <c r="M3360" i="1" s="1"/>
  <c r="M3361" i="1" s="1"/>
  <c r="M3362" i="1" s="1"/>
  <c r="M3363" i="1" s="1"/>
  <c r="M3364" i="1" s="1"/>
  <c r="M3365" i="1" s="1"/>
  <c r="M3366" i="1" s="1"/>
  <c r="M3367" i="1" s="1"/>
  <c r="M3368" i="1" s="1"/>
  <c r="M3369" i="1" s="1"/>
  <c r="M3370" i="1" s="1"/>
  <c r="M3371" i="1" s="1"/>
  <c r="M3372" i="1" s="1"/>
  <c r="M3373" i="1" s="1"/>
  <c r="M3374" i="1" s="1"/>
  <c r="M3375" i="1" s="1"/>
  <c r="M3376" i="1" s="1"/>
  <c r="M3377" i="1" s="1"/>
  <c r="M3378" i="1" s="1"/>
  <c r="M3379" i="1" s="1"/>
  <c r="M3380" i="1" s="1"/>
  <c r="M3381" i="1" s="1"/>
  <c r="M3382" i="1" s="1"/>
  <c r="M3383" i="1" s="1"/>
  <c r="M3384" i="1" s="1"/>
  <c r="M3385" i="1" s="1"/>
  <c r="M3386" i="1" s="1"/>
  <c r="M3387" i="1" s="1"/>
  <c r="M3388" i="1" s="1"/>
  <c r="M3389" i="1" s="1"/>
  <c r="M3390" i="1" s="1"/>
  <c r="M3391" i="1" s="1"/>
  <c r="M3392" i="1" s="1"/>
  <c r="M3393" i="1" s="1"/>
  <c r="M3394" i="1" s="1"/>
  <c r="M3395" i="1" s="1"/>
  <c r="M3396" i="1" s="1"/>
  <c r="M3397" i="1" s="1"/>
  <c r="M3398" i="1" s="1"/>
  <c r="M3399" i="1" s="1"/>
  <c r="M3400" i="1" s="1"/>
  <c r="M3401" i="1" s="1"/>
  <c r="M3402" i="1" s="1"/>
  <c r="M3403" i="1" s="1"/>
  <c r="M3404" i="1" s="1"/>
  <c r="M3405" i="1" s="1"/>
  <c r="M3406" i="1" s="1"/>
  <c r="M3407" i="1" s="1"/>
  <c r="M3408" i="1" s="1"/>
  <c r="M3409" i="1" s="1"/>
  <c r="M3410" i="1" s="1"/>
  <c r="M3411" i="1" s="1"/>
  <c r="M3412" i="1" s="1"/>
  <c r="M3413" i="1" s="1"/>
  <c r="M3414" i="1" s="1"/>
  <c r="M3415" i="1" s="1"/>
  <c r="M3416" i="1" s="1"/>
  <c r="M3417" i="1" s="1"/>
  <c r="M3418" i="1" s="1"/>
  <c r="M3419" i="1" s="1"/>
  <c r="M3420" i="1" s="1"/>
  <c r="M3421" i="1" s="1"/>
  <c r="M3422" i="1" s="1"/>
  <c r="M3423" i="1" s="1"/>
  <c r="M3424" i="1" s="1"/>
  <c r="M3425" i="1" s="1"/>
  <c r="M3426" i="1" s="1"/>
  <c r="M3427" i="1" s="1"/>
  <c r="M3428" i="1" s="1"/>
  <c r="M3429" i="1" s="1"/>
  <c r="M3430" i="1" s="1"/>
  <c r="M3431" i="1" s="1"/>
  <c r="M3432" i="1" s="1"/>
  <c r="M3433" i="1" s="1"/>
  <c r="M3434" i="1" s="1"/>
  <c r="M3435" i="1" s="1"/>
  <c r="M3436" i="1" s="1"/>
  <c r="M3437" i="1" s="1"/>
  <c r="M3438" i="1" s="1"/>
  <c r="M3439" i="1" s="1"/>
  <c r="M3440" i="1" s="1"/>
  <c r="M3441" i="1" s="1"/>
  <c r="M3442" i="1" s="1"/>
  <c r="M3443" i="1" s="1"/>
  <c r="M3444" i="1" s="1"/>
  <c r="M3445" i="1" s="1"/>
  <c r="M3446" i="1" s="1"/>
  <c r="M3447" i="1" s="1"/>
  <c r="M3448" i="1" s="1"/>
  <c r="M3449" i="1" s="1"/>
  <c r="M3450" i="1" s="1"/>
  <c r="M3451" i="1" s="1"/>
  <c r="M3452" i="1" s="1"/>
  <c r="M3453" i="1" s="1"/>
  <c r="M3454" i="1" s="1"/>
  <c r="M3455" i="1" s="1"/>
  <c r="M3456" i="1" s="1"/>
  <c r="M3457" i="1" s="1"/>
  <c r="M3458" i="1" s="1"/>
  <c r="M3459" i="1" s="1"/>
  <c r="M3460" i="1" s="1"/>
  <c r="M3461" i="1" s="1"/>
  <c r="M3462" i="1" s="1"/>
  <c r="M3463" i="1" s="1"/>
  <c r="M3464" i="1" s="1"/>
  <c r="M3465" i="1" s="1"/>
  <c r="M3466" i="1" s="1"/>
  <c r="M3467" i="1" s="1"/>
  <c r="M3468" i="1" s="1"/>
  <c r="M3469" i="1" s="1"/>
  <c r="M3470" i="1" s="1"/>
  <c r="M3471" i="1" s="1"/>
  <c r="M3472" i="1" s="1"/>
  <c r="M3473" i="1" s="1"/>
  <c r="M3474" i="1" s="1"/>
  <c r="M3475" i="1" s="1"/>
  <c r="M3476" i="1" s="1"/>
  <c r="M3477" i="1" s="1"/>
  <c r="M3478" i="1" s="1"/>
  <c r="M3479" i="1" s="1"/>
  <c r="M3480" i="1" s="1"/>
  <c r="M3481" i="1" s="1"/>
  <c r="M3482" i="1" s="1"/>
  <c r="M3483" i="1" s="1"/>
  <c r="M3484" i="1" s="1"/>
  <c r="M3485" i="1" s="1"/>
  <c r="M3486" i="1" s="1"/>
  <c r="M3487" i="1" s="1"/>
  <c r="M3488" i="1" s="1"/>
  <c r="M3489" i="1" s="1"/>
  <c r="M3490" i="1" s="1"/>
  <c r="M3491" i="1" s="1"/>
  <c r="M3492" i="1" s="1"/>
  <c r="M3493" i="1" s="1"/>
  <c r="M3494" i="1" s="1"/>
  <c r="M3495" i="1" s="1"/>
  <c r="M3496" i="1" s="1"/>
  <c r="M3497" i="1" s="1"/>
  <c r="M3498" i="1" s="1"/>
  <c r="M3499" i="1" s="1"/>
  <c r="M3500" i="1" s="1"/>
  <c r="M3501" i="1" s="1"/>
  <c r="M3502" i="1" s="1"/>
  <c r="M3503" i="1" s="1"/>
  <c r="M3504" i="1" s="1"/>
  <c r="M3505" i="1" s="1"/>
  <c r="M3506" i="1" s="1"/>
  <c r="M3507" i="1" s="1"/>
  <c r="M3508" i="1" s="1"/>
  <c r="M3509" i="1" s="1"/>
  <c r="M3510" i="1" s="1"/>
  <c r="M3511" i="1" s="1"/>
  <c r="M3512" i="1" s="1"/>
  <c r="M3513" i="1" s="1"/>
  <c r="M3514" i="1" s="1"/>
  <c r="M3515" i="1" s="1"/>
  <c r="M3516" i="1" s="1"/>
  <c r="M3517" i="1" s="1"/>
  <c r="M3518" i="1" s="1"/>
  <c r="M3519" i="1" s="1"/>
  <c r="M3520" i="1" s="1"/>
  <c r="M3521" i="1" s="1"/>
  <c r="M3522" i="1" s="1"/>
  <c r="M3523" i="1" s="1"/>
  <c r="M3524" i="1" s="1"/>
  <c r="M3525" i="1" s="1"/>
  <c r="M3526" i="1" s="1"/>
  <c r="M3527" i="1" s="1"/>
  <c r="M3528" i="1" s="1"/>
  <c r="M3529" i="1" s="1"/>
  <c r="M3530" i="1" s="1"/>
  <c r="M3531" i="1" s="1"/>
  <c r="M3532" i="1" s="1"/>
  <c r="M3533" i="1" s="1"/>
  <c r="M3534" i="1" s="1"/>
  <c r="M3535" i="1" s="1"/>
  <c r="M3536" i="1" s="1"/>
  <c r="M3537" i="1" s="1"/>
  <c r="M3538" i="1" s="1"/>
  <c r="M3539" i="1" s="1"/>
  <c r="M3540" i="1" s="1"/>
  <c r="M3541" i="1" s="1"/>
  <c r="M3542" i="1" s="1"/>
  <c r="M3543" i="1" s="1"/>
  <c r="M3544" i="1" s="1"/>
  <c r="M3545" i="1" s="1"/>
  <c r="M3546" i="1" s="1"/>
  <c r="M3547" i="1" s="1"/>
  <c r="M3548" i="1" s="1"/>
  <c r="M3549" i="1" s="1"/>
  <c r="M3550" i="1" s="1"/>
  <c r="M3551" i="1" s="1"/>
  <c r="M3552" i="1" s="1"/>
  <c r="M3553" i="1" s="1"/>
  <c r="M3554" i="1" s="1"/>
  <c r="M3555" i="1" s="1"/>
  <c r="M3556" i="1" s="1"/>
  <c r="M3557" i="1" s="1"/>
  <c r="M3558" i="1" s="1"/>
  <c r="M3559" i="1" s="1"/>
  <c r="M3560" i="1" s="1"/>
  <c r="M3561" i="1" s="1"/>
  <c r="M3562" i="1" s="1"/>
  <c r="M3563" i="1" s="1"/>
  <c r="M3564" i="1" s="1"/>
  <c r="M3565" i="1" s="1"/>
  <c r="M3566" i="1" s="1"/>
  <c r="M3567" i="1" s="1"/>
  <c r="M3568" i="1" s="1"/>
  <c r="M3569" i="1" s="1"/>
  <c r="M3570" i="1" s="1"/>
  <c r="M3571" i="1" s="1"/>
  <c r="M3572" i="1" s="1"/>
  <c r="M3573" i="1" s="1"/>
  <c r="M3574" i="1" s="1"/>
  <c r="M3575" i="1" s="1"/>
  <c r="M3576" i="1" s="1"/>
  <c r="M3577" i="1" s="1"/>
  <c r="M3578" i="1" s="1"/>
  <c r="M3579" i="1" s="1"/>
  <c r="M3580" i="1" s="1"/>
  <c r="M3581" i="1" s="1"/>
  <c r="M3582" i="1" s="1"/>
  <c r="M3583" i="1" s="1"/>
  <c r="M3584" i="1" s="1"/>
  <c r="M3585" i="1" s="1"/>
  <c r="M3586" i="1" s="1"/>
  <c r="M3587" i="1" s="1"/>
  <c r="M3588" i="1" s="1"/>
  <c r="M3589" i="1" s="1"/>
  <c r="M3590" i="1" s="1"/>
  <c r="M3591" i="1" s="1"/>
  <c r="M3592" i="1" s="1"/>
  <c r="M3593" i="1" s="1"/>
  <c r="M3594" i="1" s="1"/>
  <c r="M3595" i="1" s="1"/>
  <c r="M3596" i="1" s="1"/>
  <c r="M3597" i="1" s="1"/>
  <c r="M3598" i="1" s="1"/>
  <c r="M3599" i="1" s="1"/>
  <c r="M3600" i="1" s="1"/>
  <c r="M3601" i="1" s="1"/>
  <c r="M3602" i="1" s="1"/>
  <c r="M3603" i="1" s="1"/>
  <c r="M3604" i="1" s="1"/>
  <c r="M3605" i="1" s="1"/>
  <c r="M3606" i="1" s="1"/>
  <c r="M3607" i="1" s="1"/>
  <c r="M3608" i="1" s="1"/>
  <c r="M3609" i="1" s="1"/>
  <c r="M3610" i="1" s="1"/>
  <c r="M3611" i="1" s="1"/>
  <c r="M3612" i="1" s="1"/>
  <c r="M3613" i="1" s="1"/>
  <c r="M3614" i="1" s="1"/>
  <c r="M3615" i="1" s="1"/>
  <c r="M3616" i="1" s="1"/>
  <c r="M3617" i="1" s="1"/>
  <c r="M3618" i="1" s="1"/>
  <c r="M3619" i="1" s="1"/>
  <c r="M3620" i="1" s="1"/>
  <c r="M3621" i="1" s="1"/>
  <c r="M3622" i="1" s="1"/>
  <c r="M3623" i="1" s="1"/>
  <c r="M3624" i="1" s="1"/>
  <c r="M3625" i="1" s="1"/>
  <c r="M3626" i="1" s="1"/>
  <c r="M3627" i="1" s="1"/>
  <c r="M3628" i="1" s="1"/>
  <c r="M3629" i="1" s="1"/>
  <c r="M3630" i="1" s="1"/>
  <c r="M3631" i="1" s="1"/>
  <c r="M3632" i="1" s="1"/>
  <c r="M3633" i="1" s="1"/>
  <c r="M3634" i="1" s="1"/>
  <c r="M3635" i="1" s="1"/>
  <c r="M3636" i="1" s="1"/>
  <c r="M3637" i="1" s="1"/>
  <c r="M3638" i="1" s="1"/>
  <c r="M3639" i="1" s="1"/>
  <c r="M3640" i="1" s="1"/>
  <c r="M3641" i="1" s="1"/>
  <c r="M3642" i="1" s="1"/>
  <c r="M3643" i="1" s="1"/>
  <c r="M3644" i="1" s="1"/>
  <c r="M3645" i="1" s="1"/>
  <c r="M3646" i="1" s="1"/>
  <c r="M3647" i="1" s="1"/>
  <c r="M3648" i="1" s="1"/>
  <c r="M3649" i="1" s="1"/>
  <c r="M3650" i="1" s="1"/>
  <c r="M3651" i="1" s="1"/>
  <c r="M3652" i="1" s="1"/>
  <c r="M3653" i="1" s="1"/>
  <c r="M3654" i="1" s="1"/>
  <c r="M3655" i="1" s="1"/>
  <c r="M3656" i="1" s="1"/>
  <c r="M3657" i="1" s="1"/>
  <c r="M3658" i="1" s="1"/>
  <c r="M3659" i="1" s="1"/>
  <c r="M3660" i="1" s="1"/>
  <c r="M3661" i="1" s="1"/>
  <c r="M3662" i="1" s="1"/>
  <c r="M3663" i="1" s="1"/>
  <c r="M3664" i="1" s="1"/>
  <c r="M3665" i="1" s="1"/>
  <c r="M3666" i="1" s="1"/>
  <c r="M3667" i="1" s="1"/>
  <c r="M3668" i="1" s="1"/>
  <c r="M3669" i="1" s="1"/>
  <c r="M3670" i="1" s="1"/>
  <c r="M3671" i="1" s="1"/>
  <c r="M3672" i="1" s="1"/>
  <c r="M3673" i="1" s="1"/>
  <c r="M3674" i="1" s="1"/>
  <c r="M3675" i="1" s="1"/>
  <c r="M3676" i="1" s="1"/>
  <c r="M3677" i="1" s="1"/>
  <c r="M3678" i="1" s="1"/>
  <c r="M3679" i="1" s="1"/>
  <c r="M3680" i="1" s="1"/>
  <c r="M3681" i="1" s="1"/>
  <c r="M3682" i="1" s="1"/>
  <c r="M3683" i="1" s="1"/>
  <c r="M3684" i="1" s="1"/>
  <c r="M3685" i="1" s="1"/>
  <c r="M3686" i="1" s="1"/>
  <c r="M3687" i="1" s="1"/>
  <c r="M3688" i="1" s="1"/>
  <c r="M3689" i="1" s="1"/>
  <c r="M3690" i="1" s="1"/>
  <c r="M3691" i="1" s="1"/>
  <c r="M3692" i="1" s="1"/>
  <c r="M3693" i="1" s="1"/>
  <c r="M3694" i="1" s="1"/>
  <c r="M3695" i="1" s="1"/>
  <c r="M3696" i="1" s="1"/>
  <c r="M3697" i="1" s="1"/>
  <c r="M3698" i="1" s="1"/>
  <c r="M3699" i="1" s="1"/>
  <c r="M3700" i="1" s="1"/>
  <c r="M3701" i="1" s="1"/>
  <c r="M3702" i="1" s="1"/>
  <c r="M3703" i="1" s="1"/>
  <c r="M3704" i="1" s="1"/>
  <c r="M3705" i="1" s="1"/>
  <c r="M3706" i="1" s="1"/>
  <c r="M3707" i="1" s="1"/>
  <c r="M3708" i="1" s="1"/>
  <c r="M3709" i="1" s="1"/>
  <c r="M3710" i="1" s="1"/>
  <c r="M3711" i="1" s="1"/>
  <c r="M3712" i="1" s="1"/>
  <c r="M3713" i="1" s="1"/>
  <c r="M3714" i="1" s="1"/>
  <c r="M3715" i="1" s="1"/>
  <c r="M3716" i="1" s="1"/>
  <c r="M3717" i="1" s="1"/>
  <c r="M3718" i="1" s="1"/>
  <c r="M3719" i="1" s="1"/>
  <c r="M3720" i="1" s="1"/>
  <c r="M3721" i="1" s="1"/>
  <c r="M3722" i="1" s="1"/>
  <c r="M3723" i="1" s="1"/>
  <c r="M3724" i="1" s="1"/>
  <c r="M3725" i="1" s="1"/>
  <c r="M3726" i="1" s="1"/>
  <c r="M3727" i="1" s="1"/>
  <c r="M3728" i="1" s="1"/>
  <c r="M3729" i="1" s="1"/>
  <c r="M3730" i="1" s="1"/>
  <c r="M3731" i="1" s="1"/>
  <c r="M3732" i="1" s="1"/>
  <c r="M3733" i="1" s="1"/>
  <c r="M3734" i="1" s="1"/>
  <c r="M3735" i="1" s="1"/>
  <c r="M3736" i="1" s="1"/>
  <c r="M3737" i="1" s="1"/>
  <c r="M3738" i="1" s="1"/>
  <c r="M3739" i="1" s="1"/>
  <c r="M3740" i="1" s="1"/>
  <c r="M3741" i="1" s="1"/>
  <c r="M3742" i="1" s="1"/>
  <c r="M3743" i="1" s="1"/>
  <c r="M3744" i="1" s="1"/>
  <c r="M3745" i="1" s="1"/>
  <c r="M3746" i="1" s="1"/>
  <c r="M3747" i="1" s="1"/>
  <c r="M3748" i="1" s="1"/>
  <c r="M3749" i="1" s="1"/>
  <c r="M3750" i="1" s="1"/>
  <c r="M3751" i="1" s="1"/>
  <c r="M3752" i="1" s="1"/>
  <c r="M3753" i="1" s="1"/>
  <c r="M3754" i="1" s="1"/>
  <c r="M3755" i="1" s="1"/>
  <c r="M3756" i="1" s="1"/>
  <c r="M3757" i="1" s="1"/>
  <c r="M3758" i="1" s="1"/>
  <c r="M3759" i="1" s="1"/>
  <c r="M3760" i="1" s="1"/>
  <c r="M3761" i="1" s="1"/>
  <c r="M3762" i="1" s="1"/>
  <c r="M3763" i="1" s="1"/>
  <c r="M3764" i="1" s="1"/>
  <c r="M3765" i="1" s="1"/>
  <c r="M3766" i="1" s="1"/>
  <c r="M3767" i="1" s="1"/>
  <c r="M3768" i="1" s="1"/>
  <c r="M3769" i="1" s="1"/>
  <c r="M3770" i="1" s="1"/>
  <c r="M3771" i="1" s="1"/>
  <c r="M3772" i="1" s="1"/>
  <c r="M3773" i="1" s="1"/>
  <c r="M3774" i="1" s="1"/>
  <c r="M3775" i="1" s="1"/>
  <c r="M3776" i="1" s="1"/>
  <c r="M3777" i="1" s="1"/>
  <c r="M3778" i="1" s="1"/>
  <c r="M3779" i="1" s="1"/>
  <c r="M3780" i="1" s="1"/>
  <c r="M3781" i="1" s="1"/>
  <c r="M3782" i="1" s="1"/>
  <c r="M3783" i="1" s="1"/>
  <c r="M3784" i="1" s="1"/>
  <c r="M3785" i="1" s="1"/>
  <c r="M3786" i="1" s="1"/>
  <c r="M3787" i="1" s="1"/>
  <c r="M3788" i="1" s="1"/>
  <c r="M3789" i="1" s="1"/>
  <c r="M3790" i="1" s="1"/>
  <c r="M3791" i="1" s="1"/>
  <c r="M3792" i="1" s="1"/>
  <c r="M3793" i="1" s="1"/>
  <c r="M3794" i="1" s="1"/>
  <c r="M3795" i="1" s="1"/>
  <c r="M3796" i="1" s="1"/>
  <c r="M3797" i="1" s="1"/>
  <c r="M3798" i="1" s="1"/>
  <c r="M3799" i="1" s="1"/>
  <c r="M3800" i="1" s="1"/>
  <c r="M3801" i="1" s="1"/>
  <c r="M3802" i="1" s="1"/>
  <c r="M3803" i="1" s="1"/>
  <c r="M3804" i="1" s="1"/>
  <c r="M3805" i="1" s="1"/>
  <c r="M3806" i="1" s="1"/>
  <c r="M3807" i="1" s="1"/>
  <c r="M3808" i="1" s="1"/>
  <c r="M3809" i="1" s="1"/>
  <c r="M3810" i="1" s="1"/>
  <c r="M3811" i="1" s="1"/>
  <c r="M3812" i="1" s="1"/>
  <c r="M3813" i="1" s="1"/>
  <c r="M3814" i="1" s="1"/>
  <c r="M3815" i="1" s="1"/>
  <c r="M3816" i="1" s="1"/>
  <c r="M3817" i="1" s="1"/>
  <c r="M3818" i="1" s="1"/>
  <c r="M3819" i="1" s="1"/>
  <c r="M3820" i="1" s="1"/>
  <c r="M3821" i="1" s="1"/>
  <c r="M3822" i="1" s="1"/>
  <c r="M3823" i="1" s="1"/>
  <c r="M3824" i="1" s="1"/>
  <c r="M3825" i="1" s="1"/>
  <c r="M3826" i="1" s="1"/>
  <c r="M3827" i="1" s="1"/>
  <c r="M3828" i="1" s="1"/>
  <c r="M3829" i="1" s="1"/>
  <c r="M3830" i="1" s="1"/>
  <c r="M3831" i="1" s="1"/>
  <c r="M3832" i="1" s="1"/>
  <c r="M3833" i="1" s="1"/>
  <c r="M3834" i="1" s="1"/>
  <c r="M3835" i="1" s="1"/>
  <c r="M3836" i="1" s="1"/>
  <c r="M3837" i="1" s="1"/>
  <c r="M3838" i="1" s="1"/>
  <c r="M3839" i="1" s="1"/>
  <c r="M3840" i="1" s="1"/>
  <c r="M3841" i="1" s="1"/>
  <c r="M3842" i="1" s="1"/>
  <c r="M3843" i="1" s="1"/>
  <c r="M3844" i="1" s="1"/>
  <c r="M3845" i="1" s="1"/>
  <c r="M3846" i="1" s="1"/>
  <c r="M3847" i="1" s="1"/>
  <c r="M3848" i="1" s="1"/>
  <c r="M3849" i="1" s="1"/>
  <c r="M3850" i="1" s="1"/>
  <c r="M3851" i="1" s="1"/>
  <c r="M3852" i="1" s="1"/>
  <c r="M3853" i="1" s="1"/>
  <c r="M3854" i="1" s="1"/>
  <c r="M3855" i="1" s="1"/>
  <c r="M3856" i="1" s="1"/>
  <c r="M3857" i="1" s="1"/>
  <c r="M3858" i="1" s="1"/>
  <c r="M3859" i="1" s="1"/>
  <c r="M3860" i="1" s="1"/>
  <c r="M3861" i="1" s="1"/>
  <c r="M3862" i="1" s="1"/>
  <c r="M3863" i="1" s="1"/>
  <c r="M3864" i="1" s="1"/>
  <c r="M3865" i="1" s="1"/>
  <c r="M3866" i="1" s="1"/>
  <c r="M3867" i="1" s="1"/>
  <c r="M3868" i="1" s="1"/>
  <c r="M3869" i="1" s="1"/>
  <c r="M3870" i="1" s="1"/>
  <c r="M3871" i="1" s="1"/>
  <c r="M3872" i="1" s="1"/>
  <c r="M3873" i="1" s="1"/>
  <c r="M3874" i="1" s="1"/>
  <c r="M3875" i="1" s="1"/>
  <c r="M3876" i="1" s="1"/>
  <c r="M3877" i="1" s="1"/>
  <c r="M3878" i="1" s="1"/>
  <c r="M3879" i="1" s="1"/>
  <c r="M3880" i="1" s="1"/>
  <c r="M3881" i="1" s="1"/>
  <c r="M3882" i="1" s="1"/>
  <c r="M3883" i="1" s="1"/>
  <c r="M3884" i="1" s="1"/>
  <c r="M3885" i="1" s="1"/>
  <c r="M3886" i="1" s="1"/>
  <c r="M3887" i="1" s="1"/>
  <c r="M3888" i="1" s="1"/>
  <c r="M3889" i="1" s="1"/>
  <c r="M3890" i="1" s="1"/>
  <c r="M3891" i="1" s="1"/>
  <c r="M3892" i="1" s="1"/>
  <c r="M3893" i="1" s="1"/>
  <c r="M3894" i="1" s="1"/>
  <c r="M3895" i="1" s="1"/>
  <c r="M3896" i="1" s="1"/>
  <c r="M3897" i="1" s="1"/>
  <c r="M3898" i="1" s="1"/>
  <c r="M3899" i="1" s="1"/>
  <c r="M3900" i="1" s="1"/>
  <c r="M3901" i="1" s="1"/>
  <c r="M3902" i="1" s="1"/>
  <c r="M3903" i="1" s="1"/>
  <c r="M3904" i="1" s="1"/>
  <c r="M3905" i="1" s="1"/>
  <c r="M3906" i="1" s="1"/>
  <c r="M3907" i="1" s="1"/>
  <c r="M3908" i="1" s="1"/>
  <c r="M3909" i="1" s="1"/>
  <c r="M3910" i="1" s="1"/>
  <c r="M3911" i="1" s="1"/>
  <c r="M3912" i="1" s="1"/>
  <c r="M3913" i="1" s="1"/>
  <c r="M3914" i="1" s="1"/>
  <c r="M3915" i="1" s="1"/>
  <c r="M3916" i="1" s="1"/>
  <c r="M3917" i="1" s="1"/>
  <c r="M3918" i="1" s="1"/>
  <c r="M3919" i="1" s="1"/>
  <c r="M3920" i="1" s="1"/>
  <c r="M3921" i="1" s="1"/>
  <c r="M3922" i="1" s="1"/>
  <c r="M3923" i="1" s="1"/>
  <c r="M3924" i="1" s="1"/>
  <c r="M3925" i="1" s="1"/>
  <c r="M3926" i="1" s="1"/>
  <c r="M3927" i="1" s="1"/>
  <c r="M3928" i="1" s="1"/>
  <c r="M3929" i="1" s="1"/>
  <c r="M3930" i="1" s="1"/>
  <c r="M3931" i="1" s="1"/>
  <c r="M3932" i="1" s="1"/>
  <c r="M3933" i="1" s="1"/>
  <c r="M3934" i="1" s="1"/>
  <c r="M3935" i="1" s="1"/>
  <c r="M3936" i="1" s="1"/>
  <c r="M3937" i="1" s="1"/>
  <c r="M3938" i="1" s="1"/>
  <c r="M3939" i="1" s="1"/>
  <c r="M3940" i="1" s="1"/>
  <c r="M3941" i="1" s="1"/>
  <c r="M3942" i="1" s="1"/>
  <c r="M3943" i="1" s="1"/>
  <c r="M3944" i="1" s="1"/>
  <c r="M3945" i="1" s="1"/>
  <c r="M3946" i="1" s="1"/>
  <c r="M3947" i="1" s="1"/>
  <c r="M3948" i="1" s="1"/>
  <c r="M3949" i="1" s="1"/>
  <c r="M3950" i="1" s="1"/>
  <c r="M3951" i="1" s="1"/>
  <c r="M3952" i="1" s="1"/>
  <c r="M3953" i="1" s="1"/>
  <c r="M3954" i="1" s="1"/>
  <c r="M3955" i="1" s="1"/>
  <c r="M3956" i="1" s="1"/>
  <c r="M3957" i="1" s="1"/>
  <c r="M3958" i="1" s="1"/>
  <c r="M3959" i="1" s="1"/>
  <c r="M3960" i="1" s="1"/>
  <c r="M3961" i="1" s="1"/>
  <c r="M3962" i="1" s="1"/>
  <c r="M3963" i="1" s="1"/>
  <c r="M3964" i="1" s="1"/>
  <c r="M3965" i="1" s="1"/>
  <c r="M3966" i="1" s="1"/>
  <c r="M3967" i="1" s="1"/>
  <c r="M3968" i="1" s="1"/>
  <c r="M3969" i="1" s="1"/>
  <c r="M3970" i="1" s="1"/>
  <c r="M3971" i="1" s="1"/>
  <c r="M3972" i="1" s="1"/>
  <c r="M3973" i="1" s="1"/>
  <c r="M3974" i="1" s="1"/>
  <c r="M3975" i="1" s="1"/>
  <c r="M3976" i="1" s="1"/>
  <c r="M3977" i="1" s="1"/>
  <c r="M3978" i="1" s="1"/>
  <c r="M3979" i="1" s="1"/>
  <c r="M3980" i="1" s="1"/>
  <c r="M3981" i="1" s="1"/>
  <c r="M3982" i="1" s="1"/>
  <c r="M3983" i="1" s="1"/>
  <c r="M3984" i="1" s="1"/>
  <c r="M3985" i="1" s="1"/>
  <c r="M3986" i="1" s="1"/>
  <c r="M3987" i="1" s="1"/>
  <c r="M3988" i="1" s="1"/>
  <c r="M3989" i="1" s="1"/>
  <c r="M3990" i="1" s="1"/>
  <c r="M3991" i="1" s="1"/>
  <c r="M3992" i="1" s="1"/>
  <c r="M3993" i="1" s="1"/>
  <c r="M3994" i="1" s="1"/>
  <c r="M3995" i="1" s="1"/>
  <c r="M3996" i="1" s="1"/>
  <c r="M3997" i="1" s="1"/>
  <c r="M3998" i="1" s="1"/>
  <c r="M3999" i="1" s="1"/>
  <c r="M4000" i="1" s="1"/>
  <c r="M4001" i="1" s="1"/>
  <c r="M4002" i="1" s="1"/>
  <c r="M4003" i="1" s="1"/>
  <c r="M4004" i="1" s="1"/>
  <c r="M4005" i="1" s="1"/>
  <c r="M4006" i="1" s="1"/>
  <c r="M4007" i="1" s="1"/>
  <c r="M4008" i="1" s="1"/>
  <c r="M4009" i="1" s="1"/>
  <c r="M4010" i="1" s="1"/>
  <c r="M4011" i="1" s="1"/>
  <c r="M4012" i="1" s="1"/>
  <c r="M4013" i="1" s="1"/>
  <c r="M4014" i="1" s="1"/>
  <c r="M4015" i="1" s="1"/>
  <c r="M4016" i="1" s="1"/>
  <c r="M4017" i="1" s="1"/>
  <c r="M4018" i="1" s="1"/>
  <c r="M4019" i="1" s="1"/>
  <c r="M4020" i="1" s="1"/>
  <c r="M4021" i="1" s="1"/>
  <c r="M4022" i="1" s="1"/>
  <c r="M4023" i="1" s="1"/>
  <c r="M4024" i="1" s="1"/>
  <c r="M4025" i="1" s="1"/>
  <c r="M4026" i="1" s="1"/>
  <c r="M4027" i="1" s="1"/>
  <c r="M4028" i="1" s="1"/>
  <c r="M4029" i="1" s="1"/>
  <c r="M4030" i="1" s="1"/>
  <c r="M4031" i="1" s="1"/>
  <c r="M4032" i="1" s="1"/>
  <c r="M4033" i="1" s="1"/>
  <c r="M4034" i="1" s="1"/>
  <c r="M4035" i="1" s="1"/>
  <c r="M4036" i="1" s="1"/>
  <c r="M4037" i="1" s="1"/>
  <c r="M4038" i="1" s="1"/>
  <c r="M4039" i="1" s="1"/>
  <c r="M4040" i="1" s="1"/>
  <c r="M4041" i="1" s="1"/>
  <c r="M4042" i="1" s="1"/>
  <c r="M4043" i="1" s="1"/>
  <c r="M4044" i="1" s="1"/>
  <c r="M4045" i="1" s="1"/>
  <c r="M4046" i="1" s="1"/>
  <c r="M4047" i="1" s="1"/>
  <c r="M4048" i="1" s="1"/>
  <c r="M4049" i="1" s="1"/>
  <c r="M4050" i="1" s="1"/>
  <c r="M4051" i="1" s="1"/>
  <c r="M4052" i="1" s="1"/>
  <c r="M4053" i="1" s="1"/>
  <c r="M4054" i="1" s="1"/>
  <c r="M4055" i="1" s="1"/>
  <c r="M4056" i="1" s="1"/>
  <c r="M4057" i="1" s="1"/>
  <c r="M4058" i="1" s="1"/>
  <c r="M4059" i="1" s="1"/>
  <c r="M4060" i="1" s="1"/>
  <c r="M4061" i="1" s="1"/>
  <c r="M4062" i="1" s="1"/>
  <c r="M4063" i="1" s="1"/>
  <c r="M4064" i="1" s="1"/>
  <c r="M4065" i="1" s="1"/>
  <c r="M4066" i="1" s="1"/>
  <c r="M4067" i="1" s="1"/>
  <c r="M4068" i="1" s="1"/>
  <c r="M4069" i="1" s="1"/>
  <c r="M4070" i="1" s="1"/>
  <c r="M4071" i="1" s="1"/>
  <c r="M4072" i="1" s="1"/>
  <c r="M4073" i="1" s="1"/>
  <c r="M4074" i="1" s="1"/>
  <c r="M4075" i="1" s="1"/>
  <c r="M4076" i="1" s="1"/>
  <c r="M4077" i="1" s="1"/>
  <c r="M4078" i="1" s="1"/>
  <c r="M4079" i="1" s="1"/>
  <c r="M4080" i="1" s="1"/>
  <c r="M4081" i="1" s="1"/>
  <c r="M4082" i="1" s="1"/>
  <c r="M4083" i="1" s="1"/>
  <c r="M4084" i="1" s="1"/>
  <c r="M4085" i="1" s="1"/>
  <c r="M4086" i="1" s="1"/>
  <c r="M4087" i="1" s="1"/>
  <c r="M4088" i="1" s="1"/>
  <c r="M4089" i="1" s="1"/>
  <c r="M4090" i="1" s="1"/>
  <c r="M4091" i="1" s="1"/>
  <c r="M4092" i="1" s="1"/>
  <c r="M4093" i="1" s="1"/>
  <c r="M4094" i="1" s="1"/>
  <c r="M4095" i="1" s="1"/>
  <c r="M4096" i="1" s="1"/>
  <c r="M4097" i="1" s="1"/>
  <c r="M4098" i="1" s="1"/>
  <c r="M4099" i="1" s="1"/>
  <c r="M4100" i="1" s="1"/>
  <c r="M4101" i="1" s="1"/>
  <c r="M4102" i="1" s="1"/>
  <c r="M4103" i="1" s="1"/>
  <c r="M4104" i="1" s="1"/>
  <c r="M4105" i="1" s="1"/>
  <c r="M4106" i="1" s="1"/>
  <c r="M4107" i="1" s="1"/>
  <c r="M4108" i="1" s="1"/>
  <c r="M4109" i="1" s="1"/>
  <c r="M4110" i="1" s="1"/>
  <c r="M4111" i="1" s="1"/>
  <c r="M4112" i="1" s="1"/>
  <c r="M4113" i="1" s="1"/>
  <c r="M4114" i="1" s="1"/>
  <c r="M4115" i="1" s="1"/>
  <c r="M4116" i="1" s="1"/>
  <c r="M4117" i="1" s="1"/>
  <c r="M4118" i="1" s="1"/>
  <c r="M4119" i="1" s="1"/>
  <c r="M4120" i="1" s="1"/>
  <c r="M4121" i="1" s="1"/>
  <c r="M4122" i="1" s="1"/>
  <c r="M4123" i="1" s="1"/>
  <c r="M4124" i="1" s="1"/>
  <c r="M4125" i="1" s="1"/>
  <c r="M4126" i="1" s="1"/>
  <c r="M4127" i="1" s="1"/>
  <c r="M4128" i="1" s="1"/>
  <c r="M4129" i="1" s="1"/>
  <c r="M4130" i="1" s="1"/>
  <c r="M4131" i="1" s="1"/>
  <c r="M4132" i="1" s="1"/>
  <c r="M4133" i="1" s="1"/>
  <c r="M4134" i="1" s="1"/>
  <c r="M4135" i="1" s="1"/>
  <c r="M4136" i="1" s="1"/>
  <c r="M4137" i="1" s="1"/>
  <c r="M4138" i="1" s="1"/>
  <c r="M4139" i="1" s="1"/>
  <c r="M4140" i="1" s="1"/>
  <c r="M4141" i="1" s="1"/>
  <c r="M4142" i="1" s="1"/>
  <c r="M4143" i="1" s="1"/>
  <c r="M4144" i="1" s="1"/>
  <c r="M4145" i="1" s="1"/>
  <c r="M4146" i="1" s="1"/>
  <c r="M4147" i="1" s="1"/>
  <c r="M4148" i="1" s="1"/>
  <c r="M4149" i="1" s="1"/>
  <c r="M4150" i="1" s="1"/>
  <c r="M4151" i="1" s="1"/>
  <c r="M4152" i="1" s="1"/>
  <c r="M4153" i="1" s="1"/>
  <c r="M4154" i="1" s="1"/>
  <c r="M4155" i="1" s="1"/>
  <c r="M4156" i="1" s="1"/>
  <c r="M4157" i="1" s="1"/>
  <c r="M4158" i="1" s="1"/>
  <c r="M4159" i="1" s="1"/>
  <c r="M4160" i="1" s="1"/>
  <c r="M4161" i="1" s="1"/>
  <c r="M4162" i="1" s="1"/>
  <c r="M4163" i="1" s="1"/>
  <c r="M4164" i="1" s="1"/>
  <c r="M4165" i="1" s="1"/>
  <c r="M4166" i="1" s="1"/>
  <c r="M4167" i="1" s="1"/>
  <c r="M4168" i="1" s="1"/>
  <c r="M4169" i="1" s="1"/>
  <c r="M4170" i="1" s="1"/>
  <c r="M4171" i="1" s="1"/>
  <c r="M4172" i="1" s="1"/>
  <c r="M4173" i="1" s="1"/>
  <c r="M4174" i="1" s="1"/>
  <c r="M4175" i="1" s="1"/>
  <c r="M4176" i="1" s="1"/>
  <c r="M4177" i="1" s="1"/>
  <c r="M4178" i="1" s="1"/>
  <c r="M4179" i="1" s="1"/>
  <c r="M4180" i="1" s="1"/>
  <c r="M4181" i="1" s="1"/>
  <c r="M4182" i="1" s="1"/>
  <c r="M4183" i="1" s="1"/>
  <c r="M4184" i="1" s="1"/>
  <c r="M4185" i="1" s="1"/>
  <c r="M4186" i="1" s="1"/>
  <c r="M4187" i="1" s="1"/>
  <c r="M4188" i="1" s="1"/>
  <c r="M4189" i="1" s="1"/>
  <c r="M4190" i="1" s="1"/>
  <c r="M4191" i="1" s="1"/>
  <c r="M4192" i="1" s="1"/>
  <c r="M4193" i="1" s="1"/>
  <c r="M4194" i="1" s="1"/>
  <c r="M4195" i="1" s="1"/>
  <c r="M4196" i="1" s="1"/>
  <c r="M4197" i="1" s="1"/>
  <c r="M4198" i="1" s="1"/>
  <c r="M4199" i="1" s="1"/>
  <c r="M4200" i="1" s="1"/>
  <c r="M4201" i="1" s="1"/>
  <c r="M4202" i="1" s="1"/>
  <c r="M4203" i="1" s="1"/>
  <c r="M4204" i="1" s="1"/>
  <c r="M4205" i="1" s="1"/>
  <c r="M4206" i="1" s="1"/>
  <c r="M4207" i="1" s="1"/>
  <c r="M4208" i="1" s="1"/>
  <c r="M4209" i="1" s="1"/>
  <c r="M4210" i="1" s="1"/>
  <c r="M4211" i="1" s="1"/>
  <c r="M4212" i="1" s="1"/>
  <c r="M4213" i="1" s="1"/>
  <c r="M4214" i="1" s="1"/>
  <c r="M4215" i="1" s="1"/>
  <c r="M4216" i="1" s="1"/>
  <c r="M4217" i="1" s="1"/>
  <c r="M4218" i="1" s="1"/>
  <c r="M4219" i="1" s="1"/>
  <c r="M4220" i="1" s="1"/>
  <c r="M4221" i="1" s="1"/>
  <c r="M4222" i="1" s="1"/>
  <c r="M4223" i="1" s="1"/>
  <c r="M4224" i="1" s="1"/>
  <c r="M4225" i="1" s="1"/>
  <c r="M4226" i="1" s="1"/>
  <c r="M4227" i="1" s="1"/>
  <c r="M4228" i="1" s="1"/>
  <c r="M4229" i="1" s="1"/>
  <c r="M4230" i="1" s="1"/>
  <c r="M4231" i="1" s="1"/>
  <c r="M4232" i="1" s="1"/>
  <c r="M4233" i="1" s="1"/>
  <c r="M4234" i="1" s="1"/>
  <c r="M4235" i="1" s="1"/>
  <c r="M4236" i="1" s="1"/>
  <c r="M4237" i="1" s="1"/>
  <c r="M4238" i="1" s="1"/>
  <c r="M4239" i="1" s="1"/>
  <c r="M4240" i="1" s="1"/>
  <c r="M4241" i="1" s="1"/>
  <c r="M4242" i="1" s="1"/>
  <c r="M4243" i="1" s="1"/>
  <c r="M4244" i="1" s="1"/>
  <c r="M4245" i="1" s="1"/>
  <c r="M4246" i="1" s="1"/>
  <c r="M4247" i="1" s="1"/>
  <c r="M4248" i="1" s="1"/>
  <c r="M4249" i="1" s="1"/>
  <c r="M4250" i="1" s="1"/>
  <c r="M4251" i="1" s="1"/>
  <c r="M4252" i="1" s="1"/>
  <c r="M4253" i="1" s="1"/>
  <c r="M4254" i="1" s="1"/>
  <c r="M4255" i="1" s="1"/>
  <c r="M4256" i="1" s="1"/>
  <c r="M4257" i="1" s="1"/>
  <c r="M4258" i="1" s="1"/>
  <c r="M4259" i="1" s="1"/>
  <c r="M4260" i="1" s="1"/>
  <c r="M4261" i="1" s="1"/>
  <c r="M4262" i="1" s="1"/>
  <c r="M4263" i="1" s="1"/>
  <c r="M4264" i="1" s="1"/>
  <c r="M4265" i="1" s="1"/>
  <c r="M4266" i="1" s="1"/>
  <c r="M4267" i="1" s="1"/>
  <c r="M4268" i="1" s="1"/>
  <c r="M4269" i="1" s="1"/>
  <c r="M4270" i="1" s="1"/>
  <c r="M4271" i="1" s="1"/>
  <c r="M4272" i="1" s="1"/>
  <c r="M4273" i="1" s="1"/>
  <c r="M4274" i="1" s="1"/>
  <c r="M4275" i="1" s="1"/>
  <c r="M4276" i="1" s="1"/>
  <c r="M4277" i="1" s="1"/>
  <c r="M4278" i="1" s="1"/>
  <c r="M4279" i="1" s="1"/>
  <c r="M4280" i="1" s="1"/>
  <c r="M4281" i="1" s="1"/>
  <c r="M4282" i="1" s="1"/>
  <c r="M4283" i="1" s="1"/>
  <c r="M4284" i="1" s="1"/>
  <c r="M4285" i="1" s="1"/>
  <c r="M4286" i="1" s="1"/>
  <c r="M4287" i="1" s="1"/>
  <c r="M4288" i="1" s="1"/>
  <c r="M4289" i="1" s="1"/>
  <c r="M4290" i="1" s="1"/>
  <c r="M4291" i="1" s="1"/>
  <c r="M4292" i="1" s="1"/>
  <c r="M4293" i="1" s="1"/>
  <c r="M4294" i="1" s="1"/>
  <c r="M4295" i="1" s="1"/>
  <c r="M4296" i="1" s="1"/>
  <c r="M4297" i="1" s="1"/>
  <c r="M4298" i="1" s="1"/>
  <c r="M4299" i="1" s="1"/>
  <c r="M4300" i="1" s="1"/>
  <c r="M4301" i="1" s="1"/>
  <c r="M4302" i="1" s="1"/>
  <c r="M4303" i="1" s="1"/>
  <c r="M4304" i="1" s="1"/>
  <c r="M4305" i="1" s="1"/>
  <c r="M4306" i="1" s="1"/>
  <c r="M4307" i="1" s="1"/>
  <c r="M4308" i="1" s="1"/>
  <c r="M4309" i="1" s="1"/>
  <c r="M4310" i="1" s="1"/>
  <c r="M4311" i="1" s="1"/>
  <c r="M4312" i="1" s="1"/>
  <c r="M4313" i="1" s="1"/>
  <c r="M4314" i="1" s="1"/>
  <c r="M4315" i="1" s="1"/>
  <c r="M4316" i="1" s="1"/>
  <c r="M4317" i="1" s="1"/>
  <c r="M4318" i="1" s="1"/>
  <c r="M4319" i="1" s="1"/>
  <c r="M4320" i="1" s="1"/>
  <c r="M4321" i="1" s="1"/>
  <c r="M4322" i="1" s="1"/>
  <c r="M4323" i="1" s="1"/>
  <c r="M4324" i="1" s="1"/>
  <c r="M4325" i="1" s="1"/>
  <c r="M4326" i="1" s="1"/>
  <c r="M4327" i="1" s="1"/>
  <c r="M4328" i="1" s="1"/>
  <c r="M4329" i="1" s="1"/>
  <c r="M4330" i="1" s="1"/>
  <c r="M4331" i="1" s="1"/>
  <c r="M4332" i="1" s="1"/>
  <c r="M4333" i="1" s="1"/>
  <c r="M4334" i="1" s="1"/>
  <c r="M4335" i="1" s="1"/>
  <c r="M4336" i="1" s="1"/>
  <c r="M4337" i="1" s="1"/>
  <c r="M4338" i="1" s="1"/>
  <c r="M4339" i="1" s="1"/>
  <c r="M4340" i="1" s="1"/>
  <c r="M4341" i="1" s="1"/>
  <c r="M4342" i="1" s="1"/>
  <c r="M4343" i="1" s="1"/>
  <c r="M4344" i="1" s="1"/>
  <c r="M4345" i="1" s="1"/>
  <c r="M4346" i="1" s="1"/>
  <c r="M4347" i="1" s="1"/>
  <c r="M4348" i="1" s="1"/>
  <c r="M4349" i="1" s="1"/>
  <c r="M4350" i="1" s="1"/>
  <c r="M4351" i="1" s="1"/>
  <c r="M4352" i="1" s="1"/>
  <c r="M4353" i="1" s="1"/>
  <c r="M4354" i="1" s="1"/>
  <c r="M4355" i="1" s="1"/>
  <c r="M4356" i="1" s="1"/>
  <c r="M4357" i="1" s="1"/>
  <c r="M4358" i="1" s="1"/>
  <c r="M4359" i="1" s="1"/>
  <c r="M4360" i="1" s="1"/>
  <c r="M4361" i="1" s="1"/>
  <c r="M4362" i="1" s="1"/>
  <c r="M4363" i="1" s="1"/>
  <c r="M4364" i="1" s="1"/>
  <c r="M4365" i="1" s="1"/>
  <c r="M4366" i="1" s="1"/>
  <c r="M4367" i="1" s="1"/>
  <c r="M4368" i="1" s="1"/>
  <c r="M4369" i="1" s="1"/>
  <c r="M4370" i="1" s="1"/>
  <c r="M4371" i="1" s="1"/>
  <c r="M4372" i="1" s="1"/>
  <c r="M4373" i="1" s="1"/>
  <c r="M4374" i="1" s="1"/>
  <c r="M4375" i="1" s="1"/>
  <c r="M4376" i="1" s="1"/>
  <c r="M4377" i="1" s="1"/>
  <c r="M4378" i="1" s="1"/>
  <c r="M4379" i="1" s="1"/>
  <c r="M4380" i="1" s="1"/>
  <c r="M4381" i="1" s="1"/>
  <c r="M4382" i="1" s="1"/>
  <c r="M4383" i="1" s="1"/>
  <c r="M4384" i="1" s="1"/>
  <c r="M4385" i="1" s="1"/>
  <c r="M4386" i="1" s="1"/>
  <c r="M4387" i="1" s="1"/>
  <c r="M4388" i="1" s="1"/>
  <c r="M4389" i="1" s="1"/>
  <c r="M4390" i="1" s="1"/>
  <c r="M4391" i="1" s="1"/>
  <c r="M4392" i="1" s="1"/>
  <c r="M4393" i="1" s="1"/>
  <c r="M4394" i="1" s="1"/>
  <c r="M4395" i="1" s="1"/>
  <c r="M4396" i="1" s="1"/>
  <c r="M4397" i="1" s="1"/>
  <c r="M4398" i="1" s="1"/>
  <c r="M4399" i="1" s="1"/>
  <c r="M4400" i="1" s="1"/>
  <c r="M4401" i="1" s="1"/>
  <c r="M4402" i="1" s="1"/>
  <c r="M4403" i="1" s="1"/>
  <c r="M4404" i="1" s="1"/>
  <c r="M4405" i="1" s="1"/>
  <c r="M4406" i="1" s="1"/>
  <c r="M4407" i="1" s="1"/>
  <c r="M4408" i="1" s="1"/>
  <c r="M4409" i="1" s="1"/>
  <c r="M4410" i="1" s="1"/>
  <c r="M4411" i="1" s="1"/>
  <c r="M4412" i="1" s="1"/>
  <c r="M4413" i="1" s="1"/>
  <c r="M4414" i="1" s="1"/>
  <c r="M4415" i="1" s="1"/>
  <c r="M4416" i="1" s="1"/>
  <c r="M4417" i="1" s="1"/>
  <c r="M4418" i="1" s="1"/>
  <c r="M4419" i="1" s="1"/>
  <c r="M4420" i="1" s="1"/>
  <c r="M4421" i="1" s="1"/>
  <c r="M4422" i="1" s="1"/>
  <c r="M4423" i="1" s="1"/>
  <c r="M4424" i="1" s="1"/>
  <c r="M4425" i="1" s="1"/>
  <c r="M4426" i="1" s="1"/>
  <c r="M4427" i="1" s="1"/>
  <c r="M4428" i="1" s="1"/>
  <c r="M4429" i="1" s="1"/>
  <c r="M4430" i="1" s="1"/>
  <c r="M4431" i="1" s="1"/>
  <c r="M4432" i="1" s="1"/>
  <c r="M4433" i="1" s="1"/>
  <c r="M4434" i="1" s="1"/>
  <c r="M4435" i="1" s="1"/>
  <c r="M4436" i="1" s="1"/>
  <c r="M4437" i="1" s="1"/>
  <c r="M4438" i="1" s="1"/>
  <c r="M4439" i="1" s="1"/>
  <c r="M4440" i="1" s="1"/>
  <c r="M4441" i="1" s="1"/>
  <c r="M4442" i="1" s="1"/>
  <c r="M4443" i="1" s="1"/>
  <c r="M4444" i="1" s="1"/>
  <c r="M4445" i="1" s="1"/>
  <c r="M4446" i="1" s="1"/>
  <c r="M4447" i="1" s="1"/>
  <c r="M4448" i="1" s="1"/>
  <c r="M4449" i="1" s="1"/>
  <c r="M4450" i="1" s="1"/>
  <c r="M4451" i="1" s="1"/>
  <c r="M4452" i="1" s="1"/>
  <c r="M4453" i="1" s="1"/>
  <c r="M4454" i="1" s="1"/>
  <c r="M4455" i="1" s="1"/>
  <c r="M4456" i="1" s="1"/>
  <c r="M4457" i="1" s="1"/>
  <c r="M4458" i="1" s="1"/>
  <c r="M4459" i="1" s="1"/>
  <c r="M4460" i="1" s="1"/>
  <c r="M4461" i="1" s="1"/>
  <c r="M4462" i="1" s="1"/>
  <c r="M4463" i="1" s="1"/>
  <c r="M4464" i="1" s="1"/>
  <c r="M4465" i="1" s="1"/>
  <c r="M4466" i="1" s="1"/>
  <c r="M4467" i="1" s="1"/>
  <c r="M4468" i="1" s="1"/>
  <c r="M4469" i="1" s="1"/>
  <c r="M4470" i="1" s="1"/>
  <c r="M4471" i="1" s="1"/>
  <c r="M4472" i="1" s="1"/>
  <c r="M4473" i="1" s="1"/>
  <c r="M4474" i="1" s="1"/>
  <c r="M4475" i="1" s="1"/>
  <c r="M4476" i="1" s="1"/>
  <c r="M4477" i="1" s="1"/>
  <c r="M4478" i="1" s="1"/>
  <c r="M4479" i="1" s="1"/>
  <c r="M4480" i="1" s="1"/>
  <c r="M4481" i="1" s="1"/>
  <c r="M4482" i="1" s="1"/>
  <c r="M4483" i="1" s="1"/>
  <c r="M4484" i="1" s="1"/>
  <c r="M4485" i="1" s="1"/>
  <c r="M4486" i="1" s="1"/>
  <c r="M4487" i="1" s="1"/>
  <c r="M4488" i="1" s="1"/>
  <c r="M4489" i="1" s="1"/>
  <c r="M4490" i="1" s="1"/>
  <c r="M4491" i="1" s="1"/>
  <c r="M4492" i="1" s="1"/>
  <c r="M4493" i="1" s="1"/>
  <c r="M4494" i="1" s="1"/>
  <c r="M4495" i="1" s="1"/>
  <c r="M4496" i="1" s="1"/>
  <c r="M4497" i="1" s="1"/>
  <c r="M4498" i="1" s="1"/>
  <c r="M4499" i="1" s="1"/>
  <c r="M4500" i="1" s="1"/>
  <c r="M4501" i="1" s="1"/>
  <c r="M4502" i="1" s="1"/>
  <c r="M4503" i="1" s="1"/>
  <c r="M4504" i="1" s="1"/>
  <c r="M4505" i="1" s="1"/>
  <c r="M4506" i="1" s="1"/>
  <c r="M4507" i="1" s="1"/>
  <c r="M4508" i="1" s="1"/>
  <c r="M4509" i="1" s="1"/>
  <c r="M4510" i="1" s="1"/>
  <c r="M4511" i="1" s="1"/>
  <c r="M4512" i="1" s="1"/>
  <c r="M4513" i="1" s="1"/>
  <c r="M4514" i="1" s="1"/>
  <c r="M4515" i="1" s="1"/>
  <c r="M4516" i="1" s="1"/>
  <c r="M4517" i="1" s="1"/>
  <c r="M4518" i="1" s="1"/>
  <c r="M4519" i="1" s="1"/>
  <c r="M4520" i="1" s="1"/>
  <c r="M4521" i="1" s="1"/>
  <c r="M4522" i="1" s="1"/>
  <c r="M4523" i="1" s="1"/>
  <c r="M4524" i="1" s="1"/>
  <c r="M4525" i="1" s="1"/>
  <c r="M4526" i="1" s="1"/>
  <c r="M4527" i="1" s="1"/>
  <c r="M4528" i="1" s="1"/>
  <c r="M4529" i="1" s="1"/>
  <c r="M4530" i="1" s="1"/>
  <c r="M4531" i="1" s="1"/>
  <c r="M4532" i="1" s="1"/>
  <c r="M4533" i="1" s="1"/>
  <c r="M4534" i="1" s="1"/>
  <c r="M4535" i="1" s="1"/>
  <c r="M4536" i="1" s="1"/>
  <c r="M4537" i="1" s="1"/>
  <c r="M4538" i="1" s="1"/>
  <c r="M4539" i="1" s="1"/>
  <c r="M4540" i="1" s="1"/>
  <c r="M4541" i="1" s="1"/>
  <c r="M4542" i="1" s="1"/>
  <c r="M4543" i="1" s="1"/>
  <c r="M4544" i="1" s="1"/>
  <c r="M4545" i="1" s="1"/>
  <c r="M4546" i="1" s="1"/>
  <c r="M4547" i="1" s="1"/>
  <c r="M4548" i="1" s="1"/>
  <c r="M4549" i="1" s="1"/>
  <c r="M4550" i="1" s="1"/>
  <c r="M4551" i="1" s="1"/>
  <c r="M4552" i="1" s="1"/>
  <c r="M4553" i="1" s="1"/>
  <c r="M4554" i="1" s="1"/>
  <c r="M4555" i="1" s="1"/>
  <c r="M4556" i="1" s="1"/>
  <c r="M4557" i="1" s="1"/>
  <c r="M4558" i="1" s="1"/>
  <c r="M4559" i="1" s="1"/>
  <c r="M4560" i="1" s="1"/>
  <c r="M4561" i="1" s="1"/>
  <c r="M4562" i="1" s="1"/>
  <c r="M4563" i="1" s="1"/>
  <c r="M4564" i="1" s="1"/>
  <c r="M4565" i="1" s="1"/>
  <c r="M4566" i="1" s="1"/>
  <c r="M4567" i="1" s="1"/>
  <c r="M4568" i="1" s="1"/>
  <c r="M4569" i="1" s="1"/>
  <c r="M4570" i="1" s="1"/>
  <c r="M4571" i="1" s="1"/>
  <c r="M4572" i="1" s="1"/>
  <c r="M4573" i="1" s="1"/>
  <c r="M4574" i="1" s="1"/>
  <c r="M4575" i="1" s="1"/>
  <c r="M4576" i="1" s="1"/>
  <c r="M4577" i="1" s="1"/>
  <c r="M4578" i="1" s="1"/>
  <c r="M4579" i="1" s="1"/>
  <c r="M4580" i="1" s="1"/>
  <c r="M4581" i="1" s="1"/>
  <c r="M4582" i="1" s="1"/>
  <c r="M4583" i="1" s="1"/>
  <c r="M4584" i="1" s="1"/>
  <c r="M4585" i="1" s="1"/>
  <c r="M4586" i="1" s="1"/>
  <c r="M4587" i="1" s="1"/>
  <c r="M4588" i="1" s="1"/>
  <c r="M4589" i="1" s="1"/>
  <c r="M4590" i="1" s="1"/>
  <c r="M4591" i="1" s="1"/>
  <c r="M4592" i="1" s="1"/>
  <c r="M4593" i="1" s="1"/>
  <c r="M4594" i="1" s="1"/>
  <c r="M4595" i="1" s="1"/>
  <c r="M4596" i="1" s="1"/>
  <c r="M4597" i="1" s="1"/>
  <c r="M4598" i="1" s="1"/>
  <c r="M4599" i="1" s="1"/>
  <c r="M4600" i="1" s="1"/>
  <c r="M4601" i="1" s="1"/>
  <c r="M4602" i="1" s="1"/>
  <c r="M4603" i="1" s="1"/>
  <c r="M4604" i="1" s="1"/>
  <c r="M4605" i="1" s="1"/>
  <c r="M4606" i="1" s="1"/>
  <c r="M4607" i="1" s="1"/>
  <c r="M4608" i="1" s="1"/>
  <c r="M4609" i="1" s="1"/>
  <c r="M4610" i="1" s="1"/>
  <c r="M4611" i="1" s="1"/>
  <c r="M4612" i="1" s="1"/>
  <c r="M4613" i="1" s="1"/>
  <c r="M4614" i="1" s="1"/>
  <c r="M4615" i="1" s="1"/>
  <c r="M4616" i="1" s="1"/>
  <c r="M4617" i="1" s="1"/>
  <c r="M4618" i="1" s="1"/>
  <c r="M4619" i="1" s="1"/>
  <c r="M4620" i="1" s="1"/>
  <c r="M4621" i="1" s="1"/>
  <c r="M4622" i="1" s="1"/>
  <c r="M4623" i="1" s="1"/>
  <c r="M4624" i="1" s="1"/>
  <c r="M4625" i="1" s="1"/>
  <c r="M4626" i="1" s="1"/>
  <c r="M4627" i="1" s="1"/>
  <c r="M4628" i="1" s="1"/>
  <c r="M4629" i="1" s="1"/>
  <c r="M4630" i="1" s="1"/>
  <c r="M4631" i="1" s="1"/>
  <c r="M4632" i="1" s="1"/>
  <c r="M4633" i="1" s="1"/>
  <c r="M4634" i="1" s="1"/>
  <c r="M4635" i="1" s="1"/>
  <c r="M4636" i="1" s="1"/>
  <c r="M4637" i="1" s="1"/>
  <c r="M4638" i="1" s="1"/>
  <c r="M4639" i="1" s="1"/>
  <c r="M4640" i="1" s="1"/>
  <c r="M4641" i="1" s="1"/>
  <c r="M4642" i="1" s="1"/>
  <c r="M4643" i="1" s="1"/>
  <c r="M4644" i="1" s="1"/>
  <c r="M4645" i="1" s="1"/>
  <c r="M4646" i="1" s="1"/>
  <c r="M4647" i="1" s="1"/>
  <c r="M4648" i="1" s="1"/>
  <c r="M4649" i="1" s="1"/>
  <c r="M4650" i="1" s="1"/>
  <c r="M4651" i="1" s="1"/>
  <c r="M4652" i="1" s="1"/>
  <c r="M4653" i="1" s="1"/>
  <c r="M4654" i="1" s="1"/>
  <c r="M4655" i="1" s="1"/>
  <c r="M4656" i="1" s="1"/>
  <c r="M4657" i="1" s="1"/>
  <c r="M4658" i="1" s="1"/>
  <c r="M4659" i="1" s="1"/>
  <c r="M4660" i="1" s="1"/>
  <c r="M4661" i="1" s="1"/>
  <c r="M4662" i="1" s="1"/>
  <c r="M4663" i="1" s="1"/>
  <c r="M4664" i="1" s="1"/>
  <c r="M4665" i="1" s="1"/>
  <c r="M4666" i="1" s="1"/>
  <c r="M4667" i="1" s="1"/>
  <c r="M4668" i="1" s="1"/>
  <c r="M4669" i="1" s="1"/>
  <c r="M4670" i="1" s="1"/>
  <c r="M4671" i="1" s="1"/>
  <c r="M4672" i="1" s="1"/>
  <c r="M4673" i="1" s="1"/>
  <c r="M4674" i="1" s="1"/>
  <c r="M4675" i="1" s="1"/>
  <c r="M4676" i="1" s="1"/>
  <c r="M4677" i="1" s="1"/>
  <c r="M4678" i="1" s="1"/>
  <c r="M4679" i="1" s="1"/>
  <c r="M4680" i="1" s="1"/>
  <c r="M4681" i="1" s="1"/>
  <c r="M4682" i="1" s="1"/>
  <c r="M4683" i="1" s="1"/>
  <c r="M4684" i="1" s="1"/>
  <c r="M4685" i="1" s="1"/>
  <c r="M4686" i="1" s="1"/>
  <c r="M4687" i="1" s="1"/>
  <c r="M4688" i="1" s="1"/>
  <c r="M4689" i="1" s="1"/>
  <c r="M4690" i="1" s="1"/>
  <c r="M4691" i="1" s="1"/>
  <c r="M4692" i="1" s="1"/>
  <c r="M4693" i="1" s="1"/>
  <c r="M4694" i="1" s="1"/>
  <c r="M4695" i="1" s="1"/>
  <c r="M4696" i="1" s="1"/>
  <c r="M4697" i="1" s="1"/>
  <c r="M4698" i="1" s="1"/>
  <c r="M4699" i="1" s="1"/>
  <c r="M4700" i="1" s="1"/>
  <c r="M4701" i="1" s="1"/>
  <c r="M4702" i="1" s="1"/>
  <c r="M4703" i="1" s="1"/>
  <c r="M4704" i="1" s="1"/>
  <c r="M4705" i="1" s="1"/>
  <c r="M4706" i="1" s="1"/>
  <c r="M4707" i="1" s="1"/>
  <c r="M4708" i="1" s="1"/>
  <c r="M4709" i="1" s="1"/>
  <c r="M4710" i="1" s="1"/>
  <c r="M4711" i="1" s="1"/>
  <c r="M4712" i="1" s="1"/>
  <c r="M4713" i="1" s="1"/>
  <c r="M4714" i="1" s="1"/>
  <c r="M4715" i="1" s="1"/>
  <c r="M4716" i="1" s="1"/>
  <c r="M4717" i="1" s="1"/>
  <c r="M4718" i="1" s="1"/>
  <c r="M4719" i="1" s="1"/>
  <c r="M4720" i="1" s="1"/>
  <c r="M4721" i="1" s="1"/>
  <c r="M4722" i="1" s="1"/>
  <c r="M4723" i="1" s="1"/>
  <c r="M4724" i="1" s="1"/>
  <c r="M4725" i="1" s="1"/>
  <c r="M4726" i="1" s="1"/>
  <c r="M4727" i="1" s="1"/>
  <c r="M4728" i="1" s="1"/>
  <c r="M4729" i="1" s="1"/>
  <c r="M4730" i="1" s="1"/>
  <c r="M4731" i="1" s="1"/>
  <c r="M4732" i="1" s="1"/>
  <c r="M4733" i="1" s="1"/>
  <c r="M4734" i="1" s="1"/>
  <c r="M4735" i="1" s="1"/>
  <c r="M4736" i="1" s="1"/>
  <c r="M4737" i="1" s="1"/>
  <c r="M4738" i="1" s="1"/>
  <c r="M4739" i="1" s="1"/>
  <c r="M4740" i="1" s="1"/>
  <c r="M4741" i="1" s="1"/>
  <c r="M4742" i="1" s="1"/>
  <c r="M4743" i="1" s="1"/>
  <c r="M4744" i="1" s="1"/>
  <c r="M4745" i="1" s="1"/>
  <c r="M4746" i="1" s="1"/>
  <c r="M4747" i="1" s="1"/>
  <c r="M4748" i="1" s="1"/>
  <c r="M4749" i="1" s="1"/>
  <c r="M4750" i="1" s="1"/>
  <c r="M4751" i="1" s="1"/>
  <c r="M4752" i="1" s="1"/>
  <c r="M4753" i="1" s="1"/>
  <c r="M4754" i="1" s="1"/>
  <c r="M4755" i="1" s="1"/>
  <c r="M4756" i="1" s="1"/>
  <c r="M4757" i="1" s="1"/>
  <c r="M4758" i="1" s="1"/>
  <c r="M4759" i="1" s="1"/>
  <c r="M4760" i="1" s="1"/>
  <c r="M4761" i="1" s="1"/>
  <c r="M4762" i="1" s="1"/>
  <c r="M4763" i="1" s="1"/>
  <c r="M4764" i="1" s="1"/>
  <c r="M4765" i="1" s="1"/>
  <c r="M4766" i="1" s="1"/>
  <c r="M4767" i="1" s="1"/>
  <c r="M4768" i="1" s="1"/>
  <c r="M4769" i="1" s="1"/>
  <c r="M4770" i="1" s="1"/>
  <c r="M4771" i="1" s="1"/>
  <c r="M4772" i="1" s="1"/>
  <c r="M4773" i="1" s="1"/>
  <c r="M4774" i="1" s="1"/>
  <c r="M4775" i="1" s="1"/>
  <c r="M4776" i="1" s="1"/>
  <c r="M4777" i="1" s="1"/>
  <c r="M4778" i="1" s="1"/>
  <c r="M4779" i="1" s="1"/>
  <c r="M4780" i="1" s="1"/>
  <c r="M4781" i="1" s="1"/>
  <c r="M4782" i="1" s="1"/>
  <c r="M4783" i="1" s="1"/>
  <c r="M4784" i="1" s="1"/>
  <c r="M4785" i="1" s="1"/>
  <c r="M4786" i="1" s="1"/>
  <c r="M4787" i="1" s="1"/>
  <c r="M4788" i="1" s="1"/>
  <c r="M4789" i="1" s="1"/>
  <c r="M4790" i="1" s="1"/>
  <c r="M4791" i="1" s="1"/>
  <c r="M4792" i="1" s="1"/>
  <c r="M4793" i="1" s="1"/>
  <c r="M4794" i="1" s="1"/>
  <c r="M4795" i="1" s="1"/>
  <c r="M4796" i="1" s="1"/>
  <c r="M4797" i="1" s="1"/>
  <c r="M4798" i="1" s="1"/>
  <c r="M4799" i="1" s="1"/>
  <c r="M4800" i="1" s="1"/>
  <c r="M4801" i="1" s="1"/>
  <c r="M4802" i="1" s="1"/>
  <c r="M4803" i="1" s="1"/>
  <c r="M4804" i="1" s="1"/>
  <c r="M4805" i="1" s="1"/>
  <c r="M4806" i="1" s="1"/>
  <c r="M4807" i="1" s="1"/>
  <c r="M4808" i="1" s="1"/>
  <c r="M4809" i="1" s="1"/>
  <c r="M4810" i="1" s="1"/>
  <c r="M4811" i="1" s="1"/>
  <c r="M4812" i="1" s="1"/>
  <c r="M4813" i="1" s="1"/>
  <c r="M4814" i="1" s="1"/>
  <c r="M4815" i="1" s="1"/>
  <c r="M4816" i="1" s="1"/>
  <c r="M4817" i="1" s="1"/>
  <c r="M4818" i="1" s="1"/>
  <c r="M4819" i="1" s="1"/>
  <c r="M4820" i="1" s="1"/>
  <c r="M4821" i="1" s="1"/>
  <c r="M4822" i="1" s="1"/>
  <c r="M4823" i="1" s="1"/>
  <c r="M4824" i="1" s="1"/>
  <c r="M4825" i="1" s="1"/>
  <c r="M4826" i="1" s="1"/>
  <c r="M4827" i="1" s="1"/>
  <c r="M4828" i="1" s="1"/>
  <c r="M4829" i="1" s="1"/>
  <c r="M4830" i="1" s="1"/>
  <c r="M4831" i="1" s="1"/>
  <c r="M4832" i="1" s="1"/>
  <c r="M4833" i="1" s="1"/>
  <c r="M4834" i="1" s="1"/>
  <c r="M4835" i="1" s="1"/>
  <c r="M4836" i="1" s="1"/>
  <c r="M4837" i="1" s="1"/>
  <c r="M4838" i="1" s="1"/>
  <c r="M4839" i="1" s="1"/>
  <c r="M4840" i="1" s="1"/>
  <c r="M4841" i="1" s="1"/>
  <c r="M4842" i="1" s="1"/>
  <c r="M4843" i="1" s="1"/>
  <c r="M4844" i="1" s="1"/>
  <c r="M4845" i="1" s="1"/>
  <c r="M4846" i="1" s="1"/>
  <c r="M4847" i="1" s="1"/>
  <c r="M4848" i="1" s="1"/>
  <c r="M4849" i="1" s="1"/>
  <c r="M4850" i="1" s="1"/>
  <c r="M4851" i="1" s="1"/>
  <c r="M4852" i="1" s="1"/>
  <c r="M4853" i="1" s="1"/>
  <c r="M4854" i="1" s="1"/>
  <c r="M4855" i="1" s="1"/>
  <c r="M4856" i="1" s="1"/>
  <c r="M4857" i="1" s="1"/>
  <c r="M4858" i="1" s="1"/>
  <c r="M4859" i="1" s="1"/>
  <c r="M4860" i="1" s="1"/>
  <c r="M4861" i="1" s="1"/>
  <c r="M4862" i="1" s="1"/>
  <c r="M4863" i="1" s="1"/>
  <c r="M4864" i="1" s="1"/>
  <c r="M4865" i="1" s="1"/>
  <c r="M4866" i="1" s="1"/>
  <c r="M4867" i="1" s="1"/>
  <c r="M4868" i="1" s="1"/>
  <c r="M4869" i="1" s="1"/>
  <c r="M4870" i="1" s="1"/>
  <c r="M4871" i="1" s="1"/>
  <c r="M4872" i="1" s="1"/>
  <c r="M4873" i="1" s="1"/>
  <c r="M4874" i="1" s="1"/>
  <c r="M4875" i="1" s="1"/>
  <c r="M4876" i="1" s="1"/>
  <c r="M4877" i="1" s="1"/>
  <c r="M4878" i="1" s="1"/>
  <c r="M4879" i="1" s="1"/>
  <c r="M4880" i="1" s="1"/>
  <c r="M4881" i="1" s="1"/>
  <c r="M4882" i="1" s="1"/>
  <c r="M4883" i="1" s="1"/>
  <c r="M4884" i="1" s="1"/>
  <c r="M4885" i="1" s="1"/>
  <c r="M4886" i="1" s="1"/>
  <c r="M4887" i="1" s="1"/>
  <c r="M4888" i="1" s="1"/>
  <c r="M4889" i="1" s="1"/>
  <c r="M4890" i="1" s="1"/>
  <c r="M4891" i="1" s="1"/>
  <c r="M4892" i="1" s="1"/>
  <c r="M4893" i="1" s="1"/>
  <c r="M4894" i="1" s="1"/>
  <c r="M4895" i="1" s="1"/>
  <c r="M4896" i="1" s="1"/>
  <c r="M4897" i="1" s="1"/>
  <c r="M4898" i="1" s="1"/>
  <c r="M4899" i="1" s="1"/>
  <c r="M4900" i="1" s="1"/>
  <c r="M4901" i="1" s="1"/>
  <c r="M4902" i="1" s="1"/>
  <c r="M4903" i="1" s="1"/>
  <c r="M4904" i="1" s="1"/>
  <c r="M4905" i="1" s="1"/>
  <c r="M4906" i="1" s="1"/>
  <c r="M4907" i="1" s="1"/>
  <c r="M4908" i="1" s="1"/>
  <c r="M4909" i="1" s="1"/>
  <c r="M4910" i="1" s="1"/>
  <c r="M4911" i="1" s="1"/>
  <c r="M4912" i="1" s="1"/>
  <c r="M4913" i="1" s="1"/>
  <c r="M4914" i="1" s="1"/>
  <c r="M4915" i="1" s="1"/>
  <c r="M4916" i="1" s="1"/>
  <c r="M4917" i="1" s="1"/>
  <c r="M4918" i="1" s="1"/>
  <c r="M4919" i="1" s="1"/>
  <c r="M4920" i="1" s="1"/>
  <c r="M4921" i="1" s="1"/>
  <c r="M4922" i="1" s="1"/>
  <c r="M4923" i="1" s="1"/>
  <c r="M4924" i="1" s="1"/>
  <c r="M4925" i="1" s="1"/>
  <c r="M4926" i="1" s="1"/>
  <c r="M4927" i="1" s="1"/>
  <c r="M4928" i="1" s="1"/>
  <c r="M4929" i="1" s="1"/>
  <c r="M4930" i="1" s="1"/>
  <c r="M4931" i="1" s="1"/>
  <c r="M4932" i="1" s="1"/>
  <c r="M4933" i="1" s="1"/>
  <c r="M4934" i="1" s="1"/>
  <c r="M4935" i="1" s="1"/>
  <c r="M4936" i="1" s="1"/>
  <c r="M4937" i="1" s="1"/>
  <c r="M4938" i="1" s="1"/>
  <c r="M4939" i="1" s="1"/>
  <c r="M4940" i="1" s="1"/>
  <c r="M4941" i="1" s="1"/>
  <c r="M4942" i="1" s="1"/>
  <c r="M4943" i="1" s="1"/>
  <c r="M4944" i="1" s="1"/>
  <c r="M4945" i="1" s="1"/>
  <c r="M4946" i="1" s="1"/>
  <c r="M4947" i="1" s="1"/>
  <c r="M4948" i="1" s="1"/>
  <c r="M4949" i="1" s="1"/>
  <c r="M4950" i="1" s="1"/>
  <c r="M4951" i="1" s="1"/>
  <c r="M4952" i="1" s="1"/>
  <c r="M4953" i="1" s="1"/>
  <c r="M4954" i="1" s="1"/>
  <c r="M4955" i="1" s="1"/>
  <c r="M4956" i="1" s="1"/>
  <c r="M4957" i="1" s="1"/>
  <c r="M4958" i="1" s="1"/>
  <c r="M4959" i="1" s="1"/>
  <c r="M4960" i="1" s="1"/>
  <c r="M4961" i="1" s="1"/>
  <c r="M4962" i="1" s="1"/>
  <c r="M4963" i="1" s="1"/>
  <c r="M4964" i="1" s="1"/>
  <c r="M4965" i="1" s="1"/>
  <c r="M4966" i="1" s="1"/>
  <c r="M4967" i="1" s="1"/>
  <c r="M4968" i="1" s="1"/>
  <c r="M4969" i="1" s="1"/>
  <c r="M4970" i="1" s="1"/>
  <c r="M4971" i="1" s="1"/>
  <c r="M4972" i="1" s="1"/>
  <c r="M4973" i="1" s="1"/>
  <c r="M4974" i="1" s="1"/>
  <c r="M4975" i="1" s="1"/>
  <c r="M4976" i="1" s="1"/>
  <c r="M4977" i="1" s="1"/>
  <c r="M4978" i="1" s="1"/>
  <c r="M4979" i="1" s="1"/>
  <c r="M4980" i="1" s="1"/>
  <c r="M4981" i="1" s="1"/>
  <c r="M4982" i="1" s="1"/>
  <c r="M4983" i="1" s="1"/>
  <c r="M4984" i="1" s="1"/>
  <c r="M4985" i="1" s="1"/>
  <c r="M4986" i="1" s="1"/>
  <c r="M4987" i="1" s="1"/>
  <c r="M4988" i="1" s="1"/>
  <c r="M4989" i="1" s="1"/>
  <c r="M4990" i="1" s="1"/>
  <c r="M4991" i="1" s="1"/>
  <c r="M4992" i="1" s="1"/>
  <c r="M4993" i="1" s="1"/>
  <c r="M4994" i="1" s="1"/>
  <c r="M4995" i="1" s="1"/>
  <c r="M4996" i="1" s="1"/>
  <c r="M4997" i="1" s="1"/>
  <c r="M4998" i="1" s="1"/>
  <c r="M4999" i="1" s="1"/>
  <c r="M5000" i="1" s="1"/>
  <c r="M5001" i="1" s="1"/>
  <c r="M5002" i="1" s="1"/>
  <c r="M5003" i="1" s="1"/>
  <c r="M5004" i="1" s="1"/>
  <c r="M5005" i="1" s="1"/>
  <c r="M5006" i="1" s="1"/>
  <c r="M5007" i="1" s="1"/>
  <c r="M5008" i="1" s="1"/>
  <c r="M5009" i="1" s="1"/>
  <c r="M5010" i="1" s="1"/>
  <c r="M5011" i="1" s="1"/>
  <c r="M5012" i="1" s="1"/>
  <c r="M5013" i="1" s="1"/>
  <c r="M5014" i="1" s="1"/>
  <c r="M5015" i="1" s="1"/>
  <c r="M5016" i="1" s="1"/>
  <c r="M5017" i="1" s="1"/>
  <c r="M5018" i="1" s="1"/>
  <c r="M5019" i="1" s="1"/>
  <c r="M5020" i="1" s="1"/>
  <c r="M5021" i="1" s="1"/>
  <c r="M5022" i="1" s="1"/>
  <c r="M5023" i="1" s="1"/>
  <c r="M5024" i="1" s="1"/>
  <c r="M5025" i="1" s="1"/>
  <c r="M5026" i="1" s="1"/>
  <c r="M5027" i="1" s="1"/>
  <c r="M5028" i="1" s="1"/>
  <c r="M5029" i="1" s="1"/>
  <c r="M5030" i="1" s="1"/>
  <c r="M5031" i="1" s="1"/>
  <c r="M5032" i="1" s="1"/>
  <c r="M5033" i="1" s="1"/>
  <c r="M5034" i="1" s="1"/>
  <c r="M5035" i="1" s="1"/>
  <c r="M5036" i="1" s="1"/>
  <c r="M5037" i="1" s="1"/>
  <c r="M5038" i="1" s="1"/>
  <c r="M5039" i="1" s="1"/>
  <c r="M5040" i="1" s="1"/>
  <c r="M5041" i="1" s="1"/>
  <c r="M5042" i="1" s="1"/>
  <c r="M5043" i="1" s="1"/>
  <c r="M5044" i="1" s="1"/>
  <c r="M5045" i="1" s="1"/>
  <c r="M5046" i="1" s="1"/>
  <c r="M5047" i="1" s="1"/>
  <c r="M5048" i="1" s="1"/>
  <c r="M5049" i="1" s="1"/>
  <c r="M5050" i="1" s="1"/>
  <c r="M5051" i="1" s="1"/>
  <c r="M5052" i="1" s="1"/>
  <c r="M5053" i="1" s="1"/>
  <c r="M5054" i="1" s="1"/>
  <c r="M5055" i="1" s="1"/>
  <c r="M5056" i="1" s="1"/>
  <c r="M5057" i="1" s="1"/>
  <c r="M5058" i="1" s="1"/>
  <c r="M5059" i="1" s="1"/>
  <c r="M5060" i="1" s="1"/>
  <c r="M5061" i="1" s="1"/>
  <c r="M5062" i="1" s="1"/>
  <c r="M5063" i="1" s="1"/>
  <c r="M5064" i="1" s="1"/>
  <c r="M5065" i="1" s="1"/>
  <c r="M5066" i="1" s="1"/>
  <c r="M5067" i="1" s="1"/>
  <c r="M5068" i="1" s="1"/>
  <c r="M5069" i="1" s="1"/>
  <c r="M5070" i="1" s="1"/>
  <c r="M5071" i="1" s="1"/>
  <c r="M5072" i="1" s="1"/>
  <c r="M5073" i="1" s="1"/>
  <c r="M5074" i="1" s="1"/>
  <c r="M5075" i="1" s="1"/>
  <c r="M5076" i="1" s="1"/>
  <c r="M5077" i="1" s="1"/>
  <c r="M5078" i="1" s="1"/>
  <c r="M5079" i="1" s="1"/>
  <c r="M5080" i="1" s="1"/>
  <c r="M5081" i="1" s="1"/>
  <c r="M5082" i="1" s="1"/>
  <c r="M5083" i="1" s="1"/>
  <c r="M5084" i="1" s="1"/>
  <c r="M5085" i="1" s="1"/>
  <c r="M5086" i="1" s="1"/>
  <c r="M5087" i="1" s="1"/>
  <c r="M5088" i="1" s="1"/>
  <c r="M5089" i="1" s="1"/>
  <c r="M5090" i="1" s="1"/>
  <c r="M5091" i="1" s="1"/>
  <c r="M5092" i="1" s="1"/>
  <c r="M5093" i="1" s="1"/>
  <c r="M5094" i="1" s="1"/>
  <c r="M5095" i="1" s="1"/>
  <c r="M5096" i="1" s="1"/>
  <c r="M5097" i="1" s="1"/>
  <c r="M5098" i="1" s="1"/>
  <c r="M5099" i="1" s="1"/>
  <c r="M5100" i="1" s="1"/>
  <c r="M5101" i="1" s="1"/>
  <c r="M5102" i="1" s="1"/>
  <c r="M5103" i="1" s="1"/>
  <c r="M5104" i="1" s="1"/>
  <c r="M5105" i="1" s="1"/>
  <c r="M5106" i="1" s="1"/>
  <c r="M5107" i="1" s="1"/>
  <c r="M5108" i="1" s="1"/>
  <c r="M5109" i="1" s="1"/>
  <c r="M5110" i="1" s="1"/>
  <c r="M5111" i="1" s="1"/>
  <c r="M5112" i="1" s="1"/>
  <c r="M5113" i="1" s="1"/>
  <c r="M5114" i="1" s="1"/>
  <c r="M5115" i="1" s="1"/>
  <c r="M5116" i="1" s="1"/>
  <c r="M5117" i="1" s="1"/>
  <c r="M5118" i="1" s="1"/>
  <c r="M5119" i="1" s="1"/>
  <c r="M5120" i="1" s="1"/>
  <c r="M5121" i="1" s="1"/>
  <c r="M5122" i="1" s="1"/>
  <c r="M5123" i="1" s="1"/>
  <c r="M5124" i="1" s="1"/>
  <c r="M5125" i="1" s="1"/>
  <c r="M5126" i="1" s="1"/>
  <c r="M5127" i="1" s="1"/>
  <c r="M5128" i="1" s="1"/>
  <c r="M5129" i="1" s="1"/>
  <c r="M5130" i="1" s="1"/>
  <c r="M5131" i="1" s="1"/>
  <c r="M5132" i="1" s="1"/>
  <c r="M5133" i="1" s="1"/>
  <c r="M5134" i="1" s="1"/>
  <c r="M5135" i="1" s="1"/>
  <c r="M5136" i="1" s="1"/>
  <c r="M5137" i="1" s="1"/>
  <c r="M5138" i="1" s="1"/>
  <c r="M5139" i="1" s="1"/>
  <c r="M5140" i="1" s="1"/>
  <c r="M5141" i="1" s="1"/>
  <c r="M5142" i="1" s="1"/>
  <c r="M5143" i="1" s="1"/>
  <c r="M5144" i="1" s="1"/>
  <c r="M5145" i="1" s="1"/>
  <c r="M5146" i="1" s="1"/>
  <c r="M5147" i="1" s="1"/>
  <c r="M5148" i="1" s="1"/>
  <c r="M5149" i="1" s="1"/>
  <c r="M5150" i="1" s="1"/>
  <c r="M5151" i="1" s="1"/>
  <c r="M5152" i="1" s="1"/>
  <c r="M5153" i="1" s="1"/>
  <c r="M5154" i="1" s="1"/>
  <c r="M5155" i="1" s="1"/>
  <c r="M5156" i="1" s="1"/>
  <c r="M5157" i="1" s="1"/>
  <c r="M5158" i="1" s="1"/>
  <c r="M5159" i="1" s="1"/>
  <c r="M5160" i="1" s="1"/>
  <c r="M5161" i="1" s="1"/>
  <c r="M5162" i="1" s="1"/>
  <c r="M5163" i="1" s="1"/>
  <c r="M5164" i="1" s="1"/>
  <c r="M5165" i="1" s="1"/>
  <c r="M5166" i="1" s="1"/>
  <c r="M5167" i="1" s="1"/>
  <c r="M5168" i="1" s="1"/>
  <c r="M5169" i="1" s="1"/>
  <c r="M5170" i="1" s="1"/>
  <c r="M5171" i="1" s="1"/>
  <c r="M5172" i="1" s="1"/>
  <c r="M5173" i="1" s="1"/>
  <c r="M5174" i="1" s="1"/>
  <c r="M5175" i="1" s="1"/>
  <c r="M5176" i="1" s="1"/>
  <c r="M5177" i="1" s="1"/>
  <c r="M5178" i="1" s="1"/>
  <c r="M5179" i="1" s="1"/>
  <c r="M5180" i="1" s="1"/>
  <c r="M5181" i="1" s="1"/>
  <c r="M5182" i="1" s="1"/>
  <c r="M5183" i="1" s="1"/>
  <c r="M5184" i="1" s="1"/>
  <c r="M5185" i="1" s="1"/>
  <c r="M5186" i="1" s="1"/>
  <c r="M5187" i="1" s="1"/>
  <c r="M5188" i="1" s="1"/>
  <c r="M5189" i="1" s="1"/>
  <c r="M5190" i="1" s="1"/>
  <c r="M5191" i="1" s="1"/>
  <c r="M5192" i="1" s="1"/>
  <c r="M5193" i="1" s="1"/>
  <c r="M5194" i="1" s="1"/>
  <c r="M5195" i="1" s="1"/>
  <c r="M5196" i="1" s="1"/>
  <c r="M5197" i="1" s="1"/>
  <c r="M5198" i="1" s="1"/>
  <c r="M5199" i="1" s="1"/>
  <c r="M5200" i="1" s="1"/>
  <c r="M5201" i="1" s="1"/>
  <c r="M5202" i="1" s="1"/>
  <c r="M5203" i="1" s="1"/>
  <c r="M5204" i="1" s="1"/>
  <c r="M5205" i="1" s="1"/>
  <c r="M5206" i="1" s="1"/>
  <c r="M5207" i="1" s="1"/>
  <c r="M5208" i="1" s="1"/>
  <c r="M5209" i="1" s="1"/>
  <c r="M5210" i="1" s="1"/>
  <c r="M5211" i="1" s="1"/>
  <c r="M5212" i="1" s="1"/>
  <c r="M5213" i="1" s="1"/>
  <c r="M5214" i="1" s="1"/>
  <c r="M5215" i="1" s="1"/>
  <c r="M5216" i="1" s="1"/>
  <c r="M5217" i="1" s="1"/>
  <c r="M5218" i="1" s="1"/>
  <c r="M5219" i="1" s="1"/>
  <c r="M5220" i="1" s="1"/>
  <c r="M5221" i="1" s="1"/>
  <c r="M5222" i="1" s="1"/>
  <c r="M5223" i="1" s="1"/>
  <c r="M5224" i="1" s="1"/>
  <c r="M5225" i="1" s="1"/>
  <c r="M5226" i="1" s="1"/>
  <c r="M5227" i="1" s="1"/>
  <c r="M5228" i="1" s="1"/>
  <c r="M5229" i="1" s="1"/>
  <c r="M5230" i="1" s="1"/>
  <c r="M5231" i="1" s="1"/>
  <c r="M5232" i="1" s="1"/>
  <c r="M5233" i="1" s="1"/>
  <c r="M5234" i="1" s="1"/>
  <c r="M5235" i="1" s="1"/>
  <c r="M5236" i="1" s="1"/>
  <c r="M5237" i="1" s="1"/>
  <c r="M5238" i="1" s="1"/>
  <c r="M5239" i="1" s="1"/>
  <c r="M5240" i="1" s="1"/>
  <c r="M5241" i="1" s="1"/>
  <c r="M5242" i="1" s="1"/>
  <c r="M5243" i="1" s="1"/>
  <c r="M5244" i="1" s="1"/>
  <c r="M5245" i="1" s="1"/>
  <c r="M5246" i="1" s="1"/>
  <c r="M5247" i="1" s="1"/>
  <c r="M5248" i="1" s="1"/>
  <c r="M5249" i="1" s="1"/>
  <c r="M5250" i="1" s="1"/>
  <c r="M5251" i="1" s="1"/>
  <c r="M5252" i="1" s="1"/>
  <c r="M5253" i="1" s="1"/>
  <c r="M5254" i="1" s="1"/>
  <c r="M5255" i="1" s="1"/>
  <c r="M5256" i="1" s="1"/>
  <c r="M5257" i="1" s="1"/>
  <c r="M5258" i="1" s="1"/>
  <c r="M5259" i="1" s="1"/>
  <c r="M5260" i="1" s="1"/>
  <c r="M5261" i="1" s="1"/>
  <c r="M5262" i="1" s="1"/>
  <c r="M5263" i="1" s="1"/>
  <c r="M5264" i="1" s="1"/>
  <c r="M5265" i="1" s="1"/>
  <c r="M5266" i="1" s="1"/>
  <c r="M5267" i="1" s="1"/>
  <c r="M5268" i="1" s="1"/>
  <c r="M5269" i="1" s="1"/>
  <c r="M5270" i="1" s="1"/>
  <c r="M5271" i="1" s="1"/>
  <c r="M5272" i="1" s="1"/>
  <c r="M5273" i="1" s="1"/>
  <c r="M5274" i="1" s="1"/>
  <c r="M5275" i="1" s="1"/>
  <c r="M5276" i="1" s="1"/>
  <c r="M5277" i="1" s="1"/>
  <c r="M5278" i="1" s="1"/>
  <c r="M5279" i="1" s="1"/>
  <c r="M5280" i="1" s="1"/>
  <c r="M5281" i="1" s="1"/>
  <c r="M5282" i="1" s="1"/>
  <c r="M5283" i="1" s="1"/>
  <c r="M5284" i="1" s="1"/>
  <c r="M5285" i="1" s="1"/>
  <c r="M5286" i="1" s="1"/>
  <c r="M5287" i="1" s="1"/>
  <c r="M5288" i="1" s="1"/>
  <c r="M5289" i="1" s="1"/>
  <c r="M5290" i="1" s="1"/>
  <c r="M5291" i="1" s="1"/>
  <c r="M5292" i="1" s="1"/>
  <c r="M5293" i="1" s="1"/>
  <c r="M5294" i="1" s="1"/>
  <c r="M5295" i="1" s="1"/>
  <c r="M5296" i="1" s="1"/>
  <c r="M5297" i="1" s="1"/>
  <c r="M5298" i="1" s="1"/>
  <c r="M5299" i="1" s="1"/>
  <c r="M5300" i="1" s="1"/>
  <c r="M5301" i="1" s="1"/>
  <c r="M5302" i="1" s="1"/>
  <c r="M5303" i="1" s="1"/>
  <c r="M5304" i="1" s="1"/>
  <c r="M5305" i="1" s="1"/>
  <c r="M5306" i="1" s="1"/>
  <c r="M5307" i="1" s="1"/>
  <c r="M5308" i="1" s="1"/>
  <c r="M5309" i="1" s="1"/>
  <c r="M5310" i="1" s="1"/>
  <c r="M5311" i="1" s="1"/>
  <c r="M5312" i="1" s="1"/>
  <c r="M5313" i="1" s="1"/>
  <c r="M5314" i="1" s="1"/>
  <c r="M5315" i="1" s="1"/>
  <c r="M5316" i="1" s="1"/>
  <c r="M5317" i="1" s="1"/>
  <c r="M5318" i="1" s="1"/>
  <c r="M5319" i="1" s="1"/>
  <c r="M5320" i="1" s="1"/>
  <c r="M5321" i="1" s="1"/>
  <c r="M5322" i="1" s="1"/>
  <c r="M5323" i="1" s="1"/>
  <c r="M5324" i="1" s="1"/>
  <c r="M5325" i="1" s="1"/>
  <c r="M5326" i="1" s="1"/>
  <c r="M5327" i="1" s="1"/>
  <c r="M5328" i="1" s="1"/>
  <c r="M5329" i="1" s="1"/>
  <c r="M5330" i="1" s="1"/>
  <c r="M5331" i="1" s="1"/>
  <c r="M5332" i="1" s="1"/>
  <c r="M5333" i="1" s="1"/>
  <c r="M5334" i="1" s="1"/>
  <c r="M5335" i="1" s="1"/>
  <c r="M5336" i="1" s="1"/>
  <c r="M5337" i="1" s="1"/>
  <c r="M5338" i="1" s="1"/>
  <c r="M5339" i="1" s="1"/>
  <c r="M5340" i="1" s="1"/>
  <c r="M5341" i="1" s="1"/>
  <c r="M5342" i="1" s="1"/>
  <c r="M5343" i="1" s="1"/>
  <c r="M5344" i="1" s="1"/>
  <c r="M5345" i="1" s="1"/>
  <c r="M5346" i="1" s="1"/>
  <c r="M5347" i="1" s="1"/>
  <c r="M5348" i="1" s="1"/>
  <c r="M5349" i="1" s="1"/>
  <c r="M5350" i="1" s="1"/>
  <c r="M5351" i="1" s="1"/>
  <c r="M5352" i="1" s="1"/>
  <c r="M5353" i="1" s="1"/>
  <c r="M5354" i="1" s="1"/>
  <c r="M5355" i="1" s="1"/>
  <c r="M5356" i="1" s="1"/>
  <c r="M5357" i="1" s="1"/>
  <c r="M5358" i="1" s="1"/>
  <c r="M5359" i="1" s="1"/>
  <c r="M5360" i="1" s="1"/>
  <c r="M5361" i="1" s="1"/>
  <c r="M5362" i="1" s="1"/>
  <c r="M5363" i="1" s="1"/>
  <c r="M5364" i="1" s="1"/>
  <c r="M5365" i="1" s="1"/>
  <c r="M5366" i="1" s="1"/>
  <c r="M5367" i="1" s="1"/>
  <c r="M5368" i="1" s="1"/>
  <c r="M5369" i="1" s="1"/>
  <c r="M5370" i="1" s="1"/>
  <c r="M5371" i="1" s="1"/>
  <c r="M5372" i="1" s="1"/>
  <c r="M5373" i="1" s="1"/>
  <c r="M5374" i="1" s="1"/>
  <c r="M5375" i="1" s="1"/>
  <c r="M5376" i="1" s="1"/>
  <c r="M5377" i="1" s="1"/>
  <c r="M5378" i="1" s="1"/>
  <c r="M5379" i="1" s="1"/>
  <c r="M5380" i="1" s="1"/>
  <c r="M5381" i="1" s="1"/>
  <c r="M5382" i="1" s="1"/>
  <c r="M5383" i="1" s="1"/>
  <c r="M5384" i="1" s="1"/>
  <c r="M5385" i="1" s="1"/>
  <c r="M5386" i="1" s="1"/>
  <c r="M5387" i="1" s="1"/>
  <c r="M5388" i="1" s="1"/>
  <c r="M5389" i="1" s="1"/>
  <c r="M5390" i="1" s="1"/>
  <c r="M5391" i="1" s="1"/>
  <c r="M5392" i="1" s="1"/>
  <c r="M5393" i="1" s="1"/>
  <c r="M5394" i="1" s="1"/>
  <c r="M5395" i="1" s="1"/>
  <c r="M5396" i="1" s="1"/>
  <c r="M5397" i="1" s="1"/>
  <c r="M5398" i="1" s="1"/>
  <c r="M5399" i="1" s="1"/>
  <c r="M5400" i="1" s="1"/>
  <c r="M5401" i="1" s="1"/>
  <c r="M5402" i="1" s="1"/>
  <c r="M5403" i="1" s="1"/>
  <c r="M5404" i="1" s="1"/>
  <c r="M5405" i="1" s="1"/>
  <c r="M5406" i="1" s="1"/>
  <c r="M5407" i="1" s="1"/>
  <c r="M5408" i="1" s="1"/>
  <c r="M5409" i="1" s="1"/>
  <c r="M5410" i="1" s="1"/>
  <c r="M5411" i="1" s="1"/>
  <c r="M5412" i="1" s="1"/>
  <c r="M5413" i="1" s="1"/>
  <c r="M5414" i="1" s="1"/>
  <c r="M5415" i="1" s="1"/>
  <c r="M5416" i="1" s="1"/>
  <c r="M5417" i="1" s="1"/>
  <c r="M5418" i="1" s="1"/>
  <c r="M5419" i="1" s="1"/>
  <c r="M5420" i="1" s="1"/>
  <c r="M5421" i="1" s="1"/>
  <c r="M5422" i="1" s="1"/>
  <c r="M5423" i="1" s="1"/>
  <c r="M5424" i="1" s="1"/>
  <c r="M5425" i="1" s="1"/>
  <c r="M5426" i="1" s="1"/>
  <c r="M5427" i="1" s="1"/>
  <c r="M5428" i="1" s="1"/>
  <c r="M5429" i="1" s="1"/>
  <c r="M5430" i="1" s="1"/>
  <c r="M5431" i="1" s="1"/>
  <c r="M5432" i="1" s="1"/>
  <c r="M5433" i="1" s="1"/>
  <c r="M5434" i="1" s="1"/>
  <c r="M5435" i="1" s="1"/>
  <c r="M5436" i="1" s="1"/>
  <c r="M5437" i="1" s="1"/>
  <c r="M5438" i="1" s="1"/>
  <c r="M5439" i="1" s="1"/>
  <c r="M5440" i="1" s="1"/>
  <c r="M5441" i="1" s="1"/>
  <c r="M5442" i="1" s="1"/>
  <c r="M5443" i="1" s="1"/>
  <c r="M5444" i="1" s="1"/>
  <c r="M5445" i="1" s="1"/>
  <c r="M5446" i="1" s="1"/>
  <c r="M5447" i="1" s="1"/>
  <c r="M5448" i="1" s="1"/>
  <c r="M5449" i="1" s="1"/>
  <c r="M5450" i="1" s="1"/>
  <c r="M5451" i="1" s="1"/>
  <c r="M5452" i="1" s="1"/>
  <c r="M5453" i="1" s="1"/>
  <c r="M5454" i="1" s="1"/>
  <c r="M5455" i="1" s="1"/>
  <c r="M5456" i="1" s="1"/>
  <c r="M5457" i="1" s="1"/>
  <c r="M5458" i="1" s="1"/>
  <c r="M5459" i="1" s="1"/>
  <c r="M5460" i="1" s="1"/>
  <c r="M5461" i="1" s="1"/>
  <c r="M5462" i="1" s="1"/>
  <c r="M5463" i="1" s="1"/>
  <c r="M5464" i="1" s="1"/>
  <c r="M5465" i="1" s="1"/>
  <c r="M5466" i="1" s="1"/>
  <c r="M5467" i="1" s="1"/>
  <c r="M5468" i="1" s="1"/>
  <c r="M5469" i="1" s="1"/>
  <c r="M5470" i="1" s="1"/>
  <c r="M5471" i="1" s="1"/>
  <c r="M5472" i="1" s="1"/>
  <c r="M5473" i="1" s="1"/>
  <c r="M5474" i="1" s="1"/>
  <c r="M5475" i="1" s="1"/>
  <c r="M5476" i="1" s="1"/>
  <c r="M5477" i="1" s="1"/>
  <c r="M5478" i="1" s="1"/>
  <c r="M5479" i="1" s="1"/>
  <c r="M5480" i="1" s="1"/>
  <c r="M5481" i="1" s="1"/>
  <c r="M5482" i="1" s="1"/>
  <c r="M5483" i="1" s="1"/>
  <c r="M5484" i="1" s="1"/>
  <c r="M5485" i="1" s="1"/>
  <c r="M5486" i="1" s="1"/>
  <c r="M5487" i="1" s="1"/>
  <c r="M5488" i="1" s="1"/>
  <c r="M5489" i="1" s="1"/>
  <c r="M5490" i="1" s="1"/>
  <c r="M5491" i="1" s="1"/>
  <c r="M5492" i="1" s="1"/>
  <c r="M5493" i="1" s="1"/>
  <c r="M5494" i="1" s="1"/>
  <c r="M5495" i="1" s="1"/>
  <c r="M5496" i="1" s="1"/>
  <c r="M5497" i="1" s="1"/>
  <c r="M5498" i="1" s="1"/>
  <c r="M5499" i="1" s="1"/>
  <c r="M5500" i="1" s="1"/>
  <c r="M5501" i="1" s="1"/>
  <c r="M5502" i="1" s="1"/>
  <c r="M5503" i="1" s="1"/>
  <c r="M5504" i="1" s="1"/>
  <c r="M5505" i="1" s="1"/>
  <c r="M5506" i="1" s="1"/>
  <c r="M5507" i="1" s="1"/>
  <c r="M5508" i="1" s="1"/>
  <c r="M5509" i="1" s="1"/>
  <c r="M5510" i="1" s="1"/>
  <c r="M5511" i="1" s="1"/>
  <c r="M5512" i="1" s="1"/>
  <c r="M5513" i="1" s="1"/>
  <c r="M5514" i="1" s="1"/>
  <c r="M5515" i="1" s="1"/>
  <c r="M5516" i="1" s="1"/>
  <c r="M5517" i="1" s="1"/>
  <c r="M5518" i="1" s="1"/>
  <c r="M5519" i="1" s="1"/>
  <c r="M5520" i="1" s="1"/>
  <c r="M5521" i="1" s="1"/>
  <c r="M5522" i="1" s="1"/>
  <c r="M5523" i="1" s="1"/>
  <c r="M5524" i="1" s="1"/>
  <c r="M5525" i="1" s="1"/>
  <c r="M5526" i="1" s="1"/>
  <c r="M5527" i="1" s="1"/>
  <c r="M5528" i="1" s="1"/>
  <c r="M5529" i="1" s="1"/>
  <c r="M5530" i="1" s="1"/>
  <c r="M5531" i="1" s="1"/>
  <c r="M5532" i="1" s="1"/>
  <c r="M5533" i="1" s="1"/>
  <c r="M5534" i="1" s="1"/>
  <c r="M5535" i="1" s="1"/>
  <c r="M5536" i="1" s="1"/>
  <c r="M5537" i="1" s="1"/>
  <c r="M5538" i="1" s="1"/>
  <c r="M5539" i="1" s="1"/>
  <c r="M5540" i="1" s="1"/>
  <c r="M5541" i="1" s="1"/>
  <c r="M5542" i="1" s="1"/>
  <c r="M5543" i="1" s="1"/>
  <c r="M5544" i="1" s="1"/>
  <c r="M5545" i="1" s="1"/>
  <c r="M5546" i="1" s="1"/>
  <c r="M5547" i="1" s="1"/>
  <c r="M5548" i="1" s="1"/>
  <c r="M5549" i="1" s="1"/>
  <c r="M5550" i="1" s="1"/>
  <c r="M5551" i="1" s="1"/>
  <c r="M5552" i="1" s="1"/>
  <c r="M5553" i="1" s="1"/>
  <c r="M5554" i="1" s="1"/>
  <c r="M5555" i="1" s="1"/>
  <c r="M5556" i="1" s="1"/>
  <c r="M5557" i="1" s="1"/>
  <c r="M5558" i="1" s="1"/>
  <c r="M5559" i="1" s="1"/>
  <c r="M5560" i="1" s="1"/>
  <c r="M5561" i="1" s="1"/>
  <c r="M5562" i="1" s="1"/>
  <c r="M5563" i="1" s="1"/>
  <c r="M5564" i="1" s="1"/>
  <c r="M5565" i="1" s="1"/>
  <c r="M5566" i="1" s="1"/>
  <c r="M5567" i="1" s="1"/>
  <c r="M5568" i="1" s="1"/>
  <c r="M5569" i="1" s="1"/>
  <c r="M5570" i="1" s="1"/>
  <c r="M5571" i="1" s="1"/>
  <c r="M5572" i="1" s="1"/>
  <c r="M5573" i="1" s="1"/>
  <c r="M5574" i="1" s="1"/>
  <c r="M5575" i="1" s="1"/>
  <c r="M5576" i="1" s="1"/>
  <c r="M5577" i="1" s="1"/>
  <c r="M5578" i="1" s="1"/>
  <c r="M5579" i="1" s="1"/>
  <c r="M5580" i="1" s="1"/>
  <c r="M5581" i="1" s="1"/>
  <c r="M5582" i="1" s="1"/>
  <c r="M5583" i="1" s="1"/>
  <c r="M5584" i="1" s="1"/>
  <c r="M5585" i="1" s="1"/>
  <c r="M5586" i="1" s="1"/>
  <c r="M5587" i="1" s="1"/>
  <c r="M5588" i="1" s="1"/>
  <c r="M5589" i="1" s="1"/>
  <c r="M5590" i="1" s="1"/>
  <c r="M5591" i="1" s="1"/>
  <c r="M5592" i="1" s="1"/>
  <c r="M5593" i="1" s="1"/>
  <c r="M5594" i="1" s="1"/>
  <c r="M5595" i="1" s="1"/>
  <c r="M5596" i="1" s="1"/>
  <c r="M5597" i="1" s="1"/>
  <c r="M5598" i="1" s="1"/>
  <c r="M5599" i="1" s="1"/>
  <c r="M5600" i="1" s="1"/>
  <c r="M5601" i="1" s="1"/>
  <c r="M5602" i="1" s="1"/>
  <c r="M5603" i="1" s="1"/>
  <c r="M5604" i="1" s="1"/>
  <c r="M5605" i="1" s="1"/>
  <c r="M5606" i="1" s="1"/>
  <c r="M5607" i="1" s="1"/>
  <c r="M5608" i="1" s="1"/>
  <c r="M5609" i="1" s="1"/>
  <c r="M5610" i="1" s="1"/>
  <c r="M5611" i="1" s="1"/>
  <c r="M5612" i="1" s="1"/>
  <c r="M5613" i="1" s="1"/>
  <c r="M5614" i="1" s="1"/>
  <c r="M5615" i="1" s="1"/>
  <c r="M5616" i="1" s="1"/>
  <c r="M5617" i="1" s="1"/>
  <c r="M5618" i="1" s="1"/>
  <c r="M5619" i="1" s="1"/>
  <c r="M5620" i="1" s="1"/>
  <c r="M5621" i="1" s="1"/>
  <c r="M5622" i="1" s="1"/>
  <c r="M5623" i="1" s="1"/>
  <c r="M5624" i="1" s="1"/>
  <c r="M5625" i="1" s="1"/>
  <c r="M5626" i="1" s="1"/>
  <c r="M5627" i="1" s="1"/>
  <c r="M5628" i="1" s="1"/>
  <c r="M5629" i="1" s="1"/>
  <c r="M5630" i="1" s="1"/>
  <c r="M5631" i="1" s="1"/>
  <c r="M5632" i="1" s="1"/>
  <c r="M5633" i="1" s="1"/>
  <c r="M5634" i="1" s="1"/>
  <c r="M5635" i="1" s="1"/>
  <c r="M5636" i="1" s="1"/>
  <c r="M5637" i="1" s="1"/>
  <c r="M5638" i="1" s="1"/>
  <c r="M5639" i="1" s="1"/>
  <c r="M5640" i="1" s="1"/>
  <c r="M5641" i="1" s="1"/>
  <c r="M5642" i="1" s="1"/>
  <c r="M5643" i="1" s="1"/>
  <c r="M5644" i="1" s="1"/>
  <c r="M5645" i="1" s="1"/>
  <c r="M5646" i="1" s="1"/>
  <c r="M5647" i="1" s="1"/>
  <c r="M5648" i="1" s="1"/>
  <c r="M5649" i="1" s="1"/>
  <c r="M5650" i="1" s="1"/>
  <c r="M5651" i="1" s="1"/>
  <c r="M5652" i="1" s="1"/>
  <c r="M5653" i="1" s="1"/>
  <c r="M5654" i="1" s="1"/>
  <c r="M5655" i="1" s="1"/>
  <c r="M5656" i="1" s="1"/>
  <c r="M5657" i="1" s="1"/>
  <c r="M5658" i="1" s="1"/>
  <c r="M5659" i="1" s="1"/>
  <c r="M5660" i="1" s="1"/>
  <c r="M5661" i="1" s="1"/>
  <c r="M5662" i="1" s="1"/>
  <c r="M5663" i="1" s="1"/>
  <c r="M5664" i="1" s="1"/>
  <c r="M5665" i="1" s="1"/>
  <c r="M5666" i="1" s="1"/>
  <c r="M5667" i="1" s="1"/>
  <c r="M5668" i="1" s="1"/>
  <c r="M5669" i="1" s="1"/>
  <c r="M5670" i="1" s="1"/>
  <c r="M5671" i="1" s="1"/>
  <c r="M5672" i="1" s="1"/>
  <c r="M5673" i="1" s="1"/>
  <c r="M5674" i="1" s="1"/>
  <c r="M5675" i="1" s="1"/>
  <c r="M5676" i="1" s="1"/>
  <c r="M5677" i="1" s="1"/>
  <c r="M5678" i="1" s="1"/>
  <c r="M5679" i="1" s="1"/>
  <c r="M5680" i="1" s="1"/>
  <c r="M5681" i="1" s="1"/>
  <c r="M5682" i="1" s="1"/>
  <c r="M5683" i="1" s="1"/>
  <c r="M5684" i="1" s="1"/>
  <c r="M5685" i="1" s="1"/>
  <c r="M5686" i="1" s="1"/>
  <c r="M5687" i="1" s="1"/>
  <c r="M5688" i="1" s="1"/>
  <c r="M5689" i="1" s="1"/>
  <c r="M5690" i="1" s="1"/>
  <c r="M5691" i="1" s="1"/>
  <c r="M5692" i="1" s="1"/>
  <c r="M5693" i="1" s="1"/>
  <c r="M5694" i="1" s="1"/>
  <c r="M5695" i="1" s="1"/>
  <c r="M5696" i="1" s="1"/>
  <c r="M5697" i="1" s="1"/>
  <c r="M5698" i="1" s="1"/>
  <c r="M5699" i="1" s="1"/>
  <c r="M5700" i="1" s="1"/>
  <c r="M5701" i="1" s="1"/>
  <c r="M5702" i="1" s="1"/>
  <c r="M5703" i="1" s="1"/>
  <c r="M5704" i="1" s="1"/>
  <c r="M5705" i="1" s="1"/>
  <c r="M5706" i="1" s="1"/>
  <c r="M5707" i="1" s="1"/>
  <c r="M5708" i="1" s="1"/>
  <c r="M5709" i="1" s="1"/>
  <c r="M5710" i="1" s="1"/>
  <c r="M5711" i="1" s="1"/>
  <c r="M5712" i="1" s="1"/>
  <c r="M5713" i="1" s="1"/>
  <c r="M5714" i="1" s="1"/>
  <c r="M5715" i="1" s="1"/>
  <c r="M5716" i="1" s="1"/>
  <c r="M5717" i="1" s="1"/>
  <c r="M5718" i="1" s="1"/>
  <c r="M5719" i="1" s="1"/>
  <c r="M5720" i="1" s="1"/>
  <c r="M5721" i="1" s="1"/>
  <c r="M5722" i="1" s="1"/>
  <c r="M5723" i="1" s="1"/>
  <c r="M5724" i="1" s="1"/>
  <c r="M5725" i="1" s="1"/>
  <c r="M5726" i="1" s="1"/>
  <c r="M5727" i="1" s="1"/>
  <c r="M5728" i="1" s="1"/>
  <c r="M5729" i="1" s="1"/>
  <c r="M5730" i="1" s="1"/>
  <c r="M5731" i="1" s="1"/>
  <c r="M5732" i="1" s="1"/>
  <c r="M5733" i="1" s="1"/>
  <c r="M5734" i="1" s="1"/>
  <c r="M5735" i="1" s="1"/>
  <c r="M5736" i="1" s="1"/>
  <c r="M5737" i="1" s="1"/>
  <c r="M5738" i="1" s="1"/>
  <c r="M5739" i="1" s="1"/>
  <c r="M5740" i="1" s="1"/>
  <c r="M5741" i="1" s="1"/>
  <c r="M5742" i="1" s="1"/>
  <c r="M5743" i="1" s="1"/>
  <c r="M5744" i="1" s="1"/>
  <c r="M5745" i="1" s="1"/>
  <c r="M5746" i="1" s="1"/>
  <c r="M5747" i="1" s="1"/>
  <c r="M5748" i="1" s="1"/>
  <c r="M5749" i="1" s="1"/>
  <c r="M5750" i="1" s="1"/>
  <c r="M5751" i="1" s="1"/>
  <c r="M5752" i="1" s="1"/>
  <c r="M5753" i="1" s="1"/>
  <c r="M5754" i="1" s="1"/>
  <c r="M5755" i="1" s="1"/>
  <c r="M5756" i="1" s="1"/>
  <c r="M5757" i="1" s="1"/>
  <c r="M5758" i="1" s="1"/>
  <c r="M5759" i="1" s="1"/>
  <c r="M5760" i="1" s="1"/>
  <c r="M5761" i="1" s="1"/>
  <c r="M5762" i="1" s="1"/>
  <c r="M5763" i="1" s="1"/>
  <c r="M5764" i="1" s="1"/>
  <c r="M5765" i="1" s="1"/>
  <c r="M5766" i="1" s="1"/>
  <c r="M5767" i="1" s="1"/>
  <c r="M5768" i="1" s="1"/>
  <c r="M5769" i="1" s="1"/>
  <c r="M5770" i="1" s="1"/>
  <c r="M5771" i="1" s="1"/>
  <c r="M5772" i="1" s="1"/>
  <c r="M5773" i="1" s="1"/>
  <c r="M5774" i="1" s="1"/>
  <c r="M5775" i="1" s="1"/>
  <c r="M5776" i="1" s="1"/>
  <c r="M5777" i="1" s="1"/>
  <c r="M5778" i="1" s="1"/>
  <c r="M5779" i="1" s="1"/>
  <c r="M5780" i="1" s="1"/>
  <c r="M5781" i="1" s="1"/>
  <c r="M5782" i="1" s="1"/>
  <c r="M5783" i="1" s="1"/>
  <c r="M5784" i="1" s="1"/>
  <c r="M5785" i="1" s="1"/>
  <c r="M5786" i="1" s="1"/>
  <c r="M5787" i="1" s="1"/>
  <c r="M5788" i="1" s="1"/>
  <c r="M5789" i="1" s="1"/>
  <c r="M5790" i="1" s="1"/>
  <c r="M5791" i="1" s="1"/>
  <c r="M5792" i="1" s="1"/>
  <c r="M5793" i="1" s="1"/>
  <c r="M5794" i="1" s="1"/>
  <c r="M5795" i="1" s="1"/>
  <c r="M5796" i="1" s="1"/>
  <c r="M5797" i="1" s="1"/>
  <c r="M5798" i="1" s="1"/>
  <c r="M5799" i="1" s="1"/>
  <c r="M5800" i="1" s="1"/>
  <c r="M5801" i="1" s="1"/>
  <c r="M5802" i="1" s="1"/>
  <c r="M5803" i="1" s="1"/>
  <c r="M5804" i="1" s="1"/>
  <c r="M5805" i="1" s="1"/>
  <c r="M5806" i="1" s="1"/>
  <c r="M5807" i="1" s="1"/>
  <c r="M5808" i="1" s="1"/>
  <c r="M5809" i="1" s="1"/>
  <c r="M5810" i="1" s="1"/>
  <c r="M5811" i="1" s="1"/>
  <c r="M5812" i="1" s="1"/>
  <c r="M5813" i="1" s="1"/>
  <c r="M5814" i="1" s="1"/>
  <c r="M5815" i="1" s="1"/>
  <c r="M5816" i="1" s="1"/>
  <c r="M5817" i="1" s="1"/>
  <c r="M5818" i="1" s="1"/>
  <c r="M5819" i="1" s="1"/>
  <c r="M5820" i="1" s="1"/>
  <c r="M5821" i="1" s="1"/>
  <c r="M5822" i="1" s="1"/>
  <c r="M5823" i="1" s="1"/>
  <c r="M5824" i="1" s="1"/>
  <c r="M5825" i="1" s="1"/>
  <c r="M5826" i="1" s="1"/>
  <c r="M5827" i="1" s="1"/>
  <c r="M5828" i="1" s="1"/>
  <c r="M5829" i="1" s="1"/>
  <c r="M5830" i="1" s="1"/>
  <c r="M5831" i="1" s="1"/>
  <c r="M5832" i="1" s="1"/>
  <c r="M5833" i="1" s="1"/>
  <c r="M5834" i="1" s="1"/>
  <c r="M5835" i="1" s="1"/>
  <c r="M5836" i="1" s="1"/>
  <c r="M5837" i="1" s="1"/>
  <c r="M5838" i="1" s="1"/>
  <c r="M5839" i="1" s="1"/>
  <c r="M5840" i="1" s="1"/>
  <c r="M5841" i="1" s="1"/>
  <c r="M5842" i="1" s="1"/>
  <c r="M5843" i="1" s="1"/>
  <c r="M5844" i="1" s="1"/>
  <c r="M5845" i="1" s="1"/>
  <c r="M5846" i="1" s="1"/>
  <c r="M5847" i="1" s="1"/>
  <c r="M5848" i="1" s="1"/>
  <c r="M5849" i="1" s="1"/>
  <c r="M5850" i="1" s="1"/>
  <c r="M5851" i="1" s="1"/>
  <c r="M5852" i="1" s="1"/>
  <c r="M5853" i="1" s="1"/>
  <c r="M5854" i="1" s="1"/>
  <c r="M5855" i="1" s="1"/>
  <c r="M5856" i="1" s="1"/>
  <c r="M5857" i="1" s="1"/>
  <c r="M5858" i="1" s="1"/>
  <c r="M5859" i="1" s="1"/>
  <c r="M5860" i="1" s="1"/>
  <c r="M5861" i="1" s="1"/>
  <c r="M5862" i="1" s="1"/>
  <c r="M5863" i="1" s="1"/>
  <c r="M5864" i="1" s="1"/>
  <c r="M5865" i="1" s="1"/>
  <c r="M5866" i="1" s="1"/>
  <c r="M5867" i="1" s="1"/>
  <c r="M5868" i="1" s="1"/>
  <c r="M5869" i="1" s="1"/>
  <c r="M5870" i="1" s="1"/>
  <c r="M5871" i="1" s="1"/>
  <c r="M5872" i="1" s="1"/>
  <c r="M5873" i="1" s="1"/>
  <c r="M5874" i="1" s="1"/>
  <c r="M5875" i="1" s="1"/>
  <c r="M5876" i="1" s="1"/>
  <c r="M5877" i="1" s="1"/>
  <c r="M5878" i="1" s="1"/>
  <c r="M5879" i="1" s="1"/>
  <c r="M5880" i="1" s="1"/>
  <c r="M5881" i="1" s="1"/>
  <c r="M5882" i="1" s="1"/>
  <c r="M5883" i="1" s="1"/>
  <c r="M5884" i="1" s="1"/>
  <c r="M5885" i="1" s="1"/>
  <c r="M5886" i="1" s="1"/>
  <c r="M5887" i="1" s="1"/>
  <c r="M5888" i="1" s="1"/>
  <c r="M5889" i="1" s="1"/>
  <c r="M5890" i="1" s="1"/>
  <c r="M5891" i="1" s="1"/>
  <c r="M5892" i="1" s="1"/>
  <c r="M5893" i="1" s="1"/>
  <c r="M5894" i="1" s="1"/>
  <c r="M5895" i="1" s="1"/>
  <c r="M5896" i="1" s="1"/>
  <c r="M5897" i="1" s="1"/>
  <c r="M5898" i="1" s="1"/>
  <c r="M5899" i="1" s="1"/>
  <c r="M5900" i="1" s="1"/>
  <c r="M5901" i="1" s="1"/>
  <c r="M5902" i="1" s="1"/>
  <c r="M5903" i="1" s="1"/>
  <c r="M5904" i="1" s="1"/>
  <c r="M5905" i="1" s="1"/>
  <c r="M5906" i="1" s="1"/>
  <c r="M5907" i="1" s="1"/>
  <c r="M5908" i="1" s="1"/>
  <c r="M5909" i="1" s="1"/>
  <c r="M5910" i="1" s="1"/>
  <c r="M5911" i="1" s="1"/>
  <c r="M5912" i="1" s="1"/>
  <c r="M5913" i="1" s="1"/>
  <c r="M5914" i="1" s="1"/>
  <c r="M5915" i="1" s="1"/>
  <c r="M5916" i="1" s="1"/>
  <c r="M5917" i="1" s="1"/>
  <c r="M5918" i="1" s="1"/>
  <c r="M5919" i="1" s="1"/>
  <c r="M5920" i="1" s="1"/>
  <c r="M5921" i="1" s="1"/>
  <c r="M5922" i="1" s="1"/>
  <c r="M5923" i="1" s="1"/>
  <c r="M5924" i="1" s="1"/>
  <c r="M5925" i="1" s="1"/>
  <c r="M5926" i="1" s="1"/>
  <c r="M5927" i="1" s="1"/>
  <c r="M5928" i="1" s="1"/>
  <c r="M5929" i="1" s="1"/>
  <c r="M5930" i="1" s="1"/>
  <c r="M5931" i="1" s="1"/>
  <c r="M5932" i="1" s="1"/>
  <c r="M5933" i="1" s="1"/>
  <c r="M5934" i="1" s="1"/>
  <c r="M5935" i="1" s="1"/>
  <c r="M5936" i="1" s="1"/>
  <c r="M5937" i="1" s="1"/>
  <c r="M5938" i="1" s="1"/>
  <c r="M5939" i="1" s="1"/>
  <c r="M5940" i="1" s="1"/>
  <c r="M5941" i="1" s="1"/>
  <c r="M5942" i="1" s="1"/>
  <c r="M5943" i="1" s="1"/>
  <c r="M5944" i="1" s="1"/>
  <c r="M5945" i="1" s="1"/>
  <c r="M5946" i="1" s="1"/>
  <c r="M5947" i="1" s="1"/>
  <c r="M5948" i="1" s="1"/>
  <c r="M5949" i="1" s="1"/>
  <c r="M5950" i="1" s="1"/>
  <c r="M5951" i="1" s="1"/>
  <c r="M5952" i="1" s="1"/>
  <c r="M5953" i="1" s="1"/>
  <c r="M5954" i="1" s="1"/>
  <c r="M5955" i="1" s="1"/>
  <c r="M5956" i="1" s="1"/>
  <c r="M5957" i="1" s="1"/>
  <c r="M5958" i="1" s="1"/>
  <c r="M5959" i="1" s="1"/>
  <c r="M5960" i="1" s="1"/>
  <c r="M5961" i="1" s="1"/>
  <c r="M5962" i="1" s="1"/>
  <c r="M5963" i="1" s="1"/>
  <c r="M5964" i="1" s="1"/>
  <c r="M5965" i="1" s="1"/>
  <c r="M5966" i="1" s="1"/>
  <c r="M5967" i="1" s="1"/>
  <c r="M5968" i="1" s="1"/>
  <c r="M5969" i="1" s="1"/>
  <c r="M5970" i="1" s="1"/>
  <c r="M5971" i="1" s="1"/>
  <c r="M5972" i="1" s="1"/>
  <c r="M5973" i="1" s="1"/>
  <c r="M5974" i="1" s="1"/>
  <c r="M5975" i="1" s="1"/>
  <c r="M5976" i="1" s="1"/>
  <c r="M5977" i="1" s="1"/>
  <c r="M5978" i="1" s="1"/>
  <c r="M5979" i="1" s="1"/>
  <c r="M5980" i="1" s="1"/>
  <c r="M5981" i="1" s="1"/>
  <c r="M5982" i="1" s="1"/>
  <c r="M5983" i="1" s="1"/>
  <c r="M5984" i="1" s="1"/>
  <c r="M5985" i="1" s="1"/>
  <c r="M5986" i="1" s="1"/>
  <c r="M5987" i="1" s="1"/>
  <c r="M5988" i="1" s="1"/>
  <c r="M5989" i="1" s="1"/>
  <c r="M5990" i="1" s="1"/>
  <c r="M5991" i="1" s="1"/>
  <c r="M5992" i="1" s="1"/>
  <c r="M5993" i="1" s="1"/>
  <c r="M5994" i="1" s="1"/>
  <c r="M5995" i="1" s="1"/>
  <c r="M5996" i="1" s="1"/>
  <c r="M5997" i="1" s="1"/>
  <c r="M5998" i="1" s="1"/>
  <c r="M5999" i="1" s="1"/>
  <c r="M6000" i="1" s="1"/>
  <c r="M6001" i="1" s="1"/>
  <c r="M6002" i="1" s="1"/>
  <c r="M6003" i="1" s="1"/>
  <c r="M6004" i="1" s="1"/>
  <c r="M6005" i="1" s="1"/>
  <c r="M6006" i="1" s="1"/>
  <c r="M6007" i="1" s="1"/>
  <c r="M6008" i="1" s="1"/>
  <c r="M6009" i="1" s="1"/>
  <c r="M6010" i="1" s="1"/>
  <c r="M6011" i="1" s="1"/>
  <c r="AF12" i="1"/>
  <c r="V4" i="1"/>
  <c r="AU38" i="1"/>
  <c r="AU78" i="1" s="1"/>
  <c r="AV38" i="1"/>
  <c r="AV78" i="1" s="1"/>
  <c r="AU37" i="1"/>
  <c r="AU77" i="1" s="1"/>
  <c r="AV37" i="1"/>
  <c r="AV77" i="1" s="1"/>
  <c r="AW76" i="1"/>
  <c r="AV36" i="1"/>
  <c r="AV76" i="1" s="1"/>
  <c r="AW81" i="1"/>
  <c r="AV41" i="1"/>
  <c r="AV81" i="1" s="1"/>
  <c r="AV33" i="1"/>
  <c r="AV73" i="1" s="1"/>
  <c r="AW82" i="1"/>
  <c r="AV42" i="1"/>
  <c r="AV82" i="1" s="1"/>
  <c r="AV40" i="1"/>
  <c r="AV80" i="1" s="1"/>
  <c r="AU32" i="1"/>
  <c r="AU72" i="1" s="1"/>
  <c r="AV32" i="1"/>
  <c r="AV72" i="1" s="1"/>
  <c r="AW75" i="1"/>
  <c r="AV35" i="1"/>
  <c r="AV75" i="1" s="1"/>
  <c r="AW74" i="1"/>
  <c r="AV34" i="1"/>
  <c r="AV74" i="1" s="1"/>
  <c r="AW79" i="1"/>
  <c r="AV39" i="1"/>
  <c r="AV79" i="1" s="1"/>
  <c r="AV31" i="1"/>
  <c r="AV71" i="1" s="1"/>
  <c r="AK42" i="1"/>
  <c r="AK82" i="1" s="1"/>
  <c r="AL42" i="1"/>
  <c r="AL82" i="1" s="1"/>
  <c r="AM74" i="1"/>
  <c r="AL34" i="1"/>
  <c r="AL74" i="1" s="1"/>
  <c r="AK41" i="1"/>
  <c r="AK81" i="1" s="1"/>
  <c r="AL41" i="1"/>
  <c r="AL81" i="1" s="1"/>
  <c r="AK33" i="1"/>
  <c r="AK73" i="1" s="1"/>
  <c r="AL33" i="1"/>
  <c r="AL73" i="1" s="1"/>
  <c r="AM80" i="1"/>
  <c r="AL40" i="1"/>
  <c r="AL80" i="1" s="1"/>
  <c r="AM72" i="1"/>
  <c r="AL32" i="1"/>
  <c r="AL72" i="1" s="1"/>
  <c r="AL37" i="1"/>
  <c r="AL77" i="1" s="1"/>
  <c r="AM79" i="1"/>
  <c r="AL39" i="1"/>
  <c r="AL79" i="1" s="1"/>
  <c r="AM71" i="1"/>
  <c r="AL31" i="1"/>
  <c r="AL71" i="1" s="1"/>
  <c r="AK38" i="1"/>
  <c r="AK78" i="1" s="1"/>
  <c r="AL38" i="1"/>
  <c r="AL78" i="1" s="1"/>
  <c r="AK36" i="1"/>
  <c r="AK76" i="1" s="1"/>
  <c r="AL36" i="1"/>
  <c r="AL76" i="1" s="1"/>
  <c r="AM75" i="1"/>
  <c r="AL35" i="1"/>
  <c r="AL75" i="1" s="1"/>
  <c r="AW96" i="1"/>
  <c r="V2" i="1"/>
  <c r="AW97" i="1"/>
  <c r="AU45" i="1"/>
  <c r="AU85" i="1" s="1"/>
  <c r="AV56" i="1"/>
  <c r="AV97" i="1" s="1"/>
  <c r="AV45" i="1"/>
  <c r="AV85" i="1" s="1"/>
  <c r="AV55" i="1"/>
  <c r="AV96" i="1" s="1"/>
  <c r="AU47" i="1"/>
  <c r="AU87" i="1" s="1"/>
  <c r="AL64" i="1"/>
  <c r="AL105" i="1" s="1"/>
  <c r="S6" i="1"/>
  <c r="S7" i="1" s="1"/>
  <c r="S8" i="1" s="1"/>
  <c r="S9" i="1" s="1"/>
  <c r="S10" i="1" s="1"/>
  <c r="S11" i="1" s="1"/>
  <c r="S12" i="1" s="1"/>
  <c r="S13" i="1" s="1"/>
  <c r="S14" i="1" s="1"/>
  <c r="S15" i="1" s="1"/>
  <c r="S16" i="1" s="1"/>
  <c r="S17" i="1" s="1"/>
  <c r="S18" i="1" s="1"/>
  <c r="S19" i="1" s="1"/>
  <c r="S20" i="1" s="1"/>
  <c r="S21" i="1" s="1"/>
  <c r="S22" i="1" s="1"/>
  <c r="S23" i="1" s="1"/>
  <c r="S24" i="1" s="1"/>
  <c r="S25" i="1" s="1"/>
  <c r="S26" i="1" s="1"/>
  <c r="S27" i="1" s="1"/>
  <c r="S28" i="1" s="1"/>
  <c r="S29" i="1" s="1"/>
  <c r="S30" i="1" s="1"/>
  <c r="S31" i="1" s="1"/>
  <c r="S32" i="1" s="1"/>
  <c r="S33" i="1" s="1"/>
  <c r="S34" i="1" s="1"/>
  <c r="S35" i="1" s="1"/>
  <c r="AW80" i="1"/>
  <c r="AW72" i="1"/>
  <c r="AU40" i="1"/>
  <c r="AU80" i="1" s="1"/>
  <c r="AM96" i="1"/>
  <c r="AK55" i="1"/>
  <c r="AK96" i="1" s="1"/>
  <c r="AU50" i="1"/>
  <c r="AU91" i="1" s="1"/>
  <c r="AU64" i="1"/>
  <c r="AU105" i="1" s="1"/>
  <c r="AW86" i="1"/>
  <c r="AL59" i="1"/>
  <c r="AL100" i="1" s="1"/>
  <c r="AW84" i="1"/>
  <c r="AW102" i="1"/>
  <c r="AW78" i="1"/>
  <c r="AW77" i="1"/>
  <c r="AV61" i="1"/>
  <c r="AV102" i="1" s="1"/>
  <c r="AW87" i="1"/>
  <c r="AM101" i="1"/>
  <c r="AW95" i="1"/>
  <c r="AW73" i="1"/>
  <c r="AV54" i="1"/>
  <c r="AV95" i="1" s="1"/>
  <c r="AV57" i="1"/>
  <c r="AV98" i="1" s="1"/>
  <c r="AW99" i="1"/>
  <c r="AW101" i="1"/>
  <c r="AU35" i="1"/>
  <c r="AU75" i="1" s="1"/>
  <c r="AV65" i="1"/>
  <c r="AV106" i="1" s="1"/>
  <c r="AW91" i="1"/>
  <c r="AL58" i="1"/>
  <c r="AL99" i="1" s="1"/>
  <c r="AL66" i="1"/>
  <c r="AL107" i="1" s="1"/>
  <c r="AM87" i="1"/>
  <c r="AM94" i="1"/>
  <c r="AL47" i="1"/>
  <c r="AL87" i="1" s="1"/>
  <c r="AK32" i="1"/>
  <c r="AK72" i="1" s="1"/>
  <c r="AK61" i="1"/>
  <c r="AK102" i="1" s="1"/>
  <c r="AM82" i="1"/>
  <c r="AM76" i="1"/>
  <c r="AM93" i="1"/>
  <c r="AV62" i="1"/>
  <c r="AV103" i="1" s="1"/>
  <c r="AV64" i="1"/>
  <c r="AV105" i="1" s="1"/>
  <c r="AW107" i="1"/>
  <c r="AU53" i="1"/>
  <c r="AU94" i="1" s="1"/>
  <c r="AV60" i="1"/>
  <c r="AV101" i="1" s="1"/>
  <c r="AW106" i="1"/>
  <c r="AW92" i="1"/>
  <c r="AU43" i="1"/>
  <c r="AU83" i="1" s="1"/>
  <c r="AK43" i="1"/>
  <c r="AK83" i="1" s="1"/>
  <c r="AL65" i="1"/>
  <c r="AL106" i="1" s="1"/>
  <c r="AM106" i="1"/>
  <c r="AK37" i="1"/>
  <c r="AK77" i="1" s="1"/>
  <c r="AK60" i="1"/>
  <c r="AK101" i="1" s="1"/>
  <c r="AL61" i="1"/>
  <c r="AL102" i="1" s="1"/>
  <c r="V5" i="1"/>
  <c r="V7" i="1"/>
  <c r="V6" i="1"/>
  <c r="AM104" i="1"/>
  <c r="AL63" i="1"/>
  <c r="AL104" i="1" s="1"/>
  <c r="AM81" i="1"/>
  <c r="AM95" i="1"/>
  <c r="AL52" i="1"/>
  <c r="AL93" i="1" s="1"/>
  <c r="AW98" i="1"/>
  <c r="AW71" i="1"/>
  <c r="AU31" i="1"/>
  <c r="AU71" i="1" s="1"/>
  <c r="AV49" i="1"/>
  <c r="AV63" i="1"/>
  <c r="AV104" i="1" s="1"/>
  <c r="AW104" i="1"/>
  <c r="AW103" i="1"/>
  <c r="AW94" i="1"/>
  <c r="AW83" i="1"/>
  <c r="AU48" i="1"/>
  <c r="AU88" i="1" s="1"/>
  <c r="AW93" i="1"/>
  <c r="AU46" i="1"/>
  <c r="AU86" i="1" s="1"/>
  <c r="AU52" i="1"/>
  <c r="AU93" i="1" s="1"/>
  <c r="AM83" i="1"/>
  <c r="AK50" i="1"/>
  <c r="AK91" i="1" s="1"/>
  <c r="AK57" i="1"/>
  <c r="AK98" i="1" s="1"/>
  <c r="AM73" i="1"/>
  <c r="AL56" i="1"/>
  <c r="AL97" i="1" s="1"/>
  <c r="AM88" i="1"/>
  <c r="AL62" i="1"/>
  <c r="AL103" i="1" s="1"/>
  <c r="AL46" i="1"/>
  <c r="AL86" i="1" s="1"/>
  <c r="AL53" i="1"/>
  <c r="AL94" i="1" s="1"/>
  <c r="AM86" i="1"/>
  <c r="AM78" i="1"/>
  <c r="AM98" i="1"/>
  <c r="AM77" i="1"/>
  <c r="AM103" i="1"/>
  <c r="AU59" i="1"/>
  <c r="AU100" i="1" s="1"/>
  <c r="AV59" i="1"/>
  <c r="AV100" i="1" s="1"/>
  <c r="V3" i="1"/>
  <c r="AV48" i="1"/>
  <c r="AV88" i="1" s="1"/>
  <c r="AK48" i="1"/>
  <c r="AW100" i="1"/>
  <c r="AK49" i="1"/>
  <c r="AL45" i="1"/>
  <c r="AL85" i="1" s="1"/>
  <c r="AK45" i="1"/>
  <c r="AK85" i="1" s="1"/>
  <c r="AU34" i="1"/>
  <c r="AU74" i="1" s="1"/>
  <c r="AK66" i="1"/>
  <c r="AK107" i="1" s="1"/>
  <c r="AU39" i="1"/>
  <c r="AU79" i="1" s="1"/>
  <c r="AU33" i="1"/>
  <c r="AU73" i="1" s="1"/>
  <c r="BA82" i="1"/>
  <c r="AU66" i="1"/>
  <c r="AU107" i="1" s="1"/>
  <c r="AK56" i="1"/>
  <c r="AK97" i="1" s="1"/>
  <c r="AU58" i="1"/>
  <c r="AU99" i="1" s="1"/>
  <c r="AK40" i="1"/>
  <c r="AK80" i="1" s="1"/>
  <c r="AK31" i="1"/>
  <c r="AK35" i="1"/>
  <c r="AK75" i="1" s="1"/>
  <c r="AQ96" i="1"/>
  <c r="AU42" i="1"/>
  <c r="AU82" i="1" s="1"/>
  <c r="AU36" i="1"/>
  <c r="AU76" i="1" s="1"/>
  <c r="AK39" i="1"/>
  <c r="AK34" i="1"/>
  <c r="AK74" i="1" s="1"/>
  <c r="AK64" i="1"/>
  <c r="AK105" i="1" s="1"/>
  <c r="AK59" i="1"/>
  <c r="AK100" i="1" s="1"/>
  <c r="AL44" i="1"/>
  <c r="AL84" i="1" s="1"/>
  <c r="AK44" i="1"/>
  <c r="AK58" i="1"/>
  <c r="AK99" i="1" s="1"/>
  <c r="AL51" i="1"/>
  <c r="AL92" i="1" s="1"/>
  <c r="AK51" i="1"/>
  <c r="AU41" i="1"/>
  <c r="AU81" i="1" s="1"/>
  <c r="AL54" i="1"/>
  <c r="AL95" i="1" s="1"/>
  <c r="AQ82" i="1"/>
  <c r="AU44" i="1"/>
  <c r="AU84" i="1" s="1"/>
  <c r="AL50" i="1"/>
  <c r="AL91" i="1" s="1"/>
  <c r="AU51" i="1"/>
  <c r="AU92" i="1" s="1"/>
  <c r="BA96" i="1"/>
  <c r="AU67" i="1" l="1"/>
  <c r="AU89" i="1" s="1"/>
  <c r="AH29" i="1"/>
  <c r="BE67" i="1"/>
  <c r="BE89" i="1" s="1"/>
  <c r="BG89" i="1"/>
  <c r="BG90" i="1" s="1"/>
  <c r="AK67" i="1"/>
  <c r="AK89" i="1" s="1"/>
  <c r="AM89" i="1"/>
  <c r="AM90" i="1" s="1"/>
  <c r="AY96" i="1"/>
  <c r="O37" i="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O137" i="1" s="1"/>
  <c r="O138" i="1" s="1"/>
  <c r="O139" i="1" s="1"/>
  <c r="O140" i="1" s="1"/>
  <c r="O141" i="1" s="1"/>
  <c r="O142" i="1" s="1"/>
  <c r="O143" i="1" s="1"/>
  <c r="O144" i="1" s="1"/>
  <c r="O145" i="1" s="1"/>
  <c r="O146" i="1" s="1"/>
  <c r="O147" i="1" s="1"/>
  <c r="O148" i="1" s="1"/>
  <c r="O149" i="1" s="1"/>
  <c r="O150" i="1" s="1"/>
  <c r="O151" i="1" s="1"/>
  <c r="O152" i="1" s="1"/>
  <c r="O153" i="1" s="1"/>
  <c r="O154" i="1" s="1"/>
  <c r="O155" i="1" s="1"/>
  <c r="O156" i="1" s="1"/>
  <c r="O157" i="1" s="1"/>
  <c r="O158" i="1" s="1"/>
  <c r="O159" i="1" s="1"/>
  <c r="O160" i="1" s="1"/>
  <c r="O161" i="1" s="1"/>
  <c r="O162" i="1" s="1"/>
  <c r="O163" i="1" s="1"/>
  <c r="O164" i="1" s="1"/>
  <c r="O165" i="1" s="1"/>
  <c r="O166" i="1" s="1"/>
  <c r="O167" i="1" s="1"/>
  <c r="O168" i="1" s="1"/>
  <c r="O169" i="1" s="1"/>
  <c r="O170" i="1" s="1"/>
  <c r="O171" i="1" s="1"/>
  <c r="O172" i="1" s="1"/>
  <c r="O173" i="1" s="1"/>
  <c r="O174" i="1" s="1"/>
  <c r="O175" i="1" s="1"/>
  <c r="O176" i="1" s="1"/>
  <c r="O177" i="1" s="1"/>
  <c r="O178" i="1" s="1"/>
  <c r="O179" i="1" s="1"/>
  <c r="O180" i="1" s="1"/>
  <c r="O181" i="1" s="1"/>
  <c r="O182" i="1" s="1"/>
  <c r="O183" i="1" s="1"/>
  <c r="O184" i="1" s="1"/>
  <c r="O185" i="1" s="1"/>
  <c r="O186" i="1" s="1"/>
  <c r="O187" i="1" s="1"/>
  <c r="O188" i="1" s="1"/>
  <c r="O189" i="1" s="1"/>
  <c r="O190" i="1" s="1"/>
  <c r="O191" i="1" s="1"/>
  <c r="O192" i="1" s="1"/>
  <c r="O193" i="1" s="1"/>
  <c r="O194" i="1" s="1"/>
  <c r="O195" i="1" s="1"/>
  <c r="O196" i="1" s="1"/>
  <c r="O197" i="1" s="1"/>
  <c r="O198" i="1" s="1"/>
  <c r="O199" i="1" s="1"/>
  <c r="O200" i="1" s="1"/>
  <c r="O201" i="1" s="1"/>
  <c r="O202" i="1" s="1"/>
  <c r="O203" i="1" s="1"/>
  <c r="O204" i="1" s="1"/>
  <c r="O205" i="1" s="1"/>
  <c r="O206" i="1" s="1"/>
  <c r="O207" i="1" s="1"/>
  <c r="O208" i="1" s="1"/>
  <c r="O209" i="1" s="1"/>
  <c r="O210" i="1" s="1"/>
  <c r="O211" i="1" s="1"/>
  <c r="O212" i="1" s="1"/>
  <c r="O213" i="1" s="1"/>
  <c r="O214" i="1" s="1"/>
  <c r="O215" i="1" s="1"/>
  <c r="O216" i="1" s="1"/>
  <c r="O217" i="1" s="1"/>
  <c r="O218" i="1" s="1"/>
  <c r="O219" i="1" s="1"/>
  <c r="O220" i="1" s="1"/>
  <c r="O221" i="1" s="1"/>
  <c r="O222" i="1" s="1"/>
  <c r="O223" i="1" s="1"/>
  <c r="O224" i="1" s="1"/>
  <c r="O225" i="1" s="1"/>
  <c r="O226" i="1" s="1"/>
  <c r="O227" i="1" s="1"/>
  <c r="O228" i="1" s="1"/>
  <c r="O229" i="1" s="1"/>
  <c r="O230" i="1" s="1"/>
  <c r="O231" i="1" s="1"/>
  <c r="O232" i="1" s="1"/>
  <c r="O233" i="1" s="1"/>
  <c r="O234" i="1" s="1"/>
  <c r="O235" i="1" s="1"/>
  <c r="O236" i="1" s="1"/>
  <c r="O237" i="1" s="1"/>
  <c r="O238" i="1" s="1"/>
  <c r="O239" i="1" s="1"/>
  <c r="O240" i="1" s="1"/>
  <c r="O241" i="1" s="1"/>
  <c r="O242" i="1" s="1"/>
  <c r="O243" i="1" s="1"/>
  <c r="O244" i="1" s="1"/>
  <c r="O245" i="1" s="1"/>
  <c r="O246" i="1" s="1"/>
  <c r="O247" i="1" s="1"/>
  <c r="O248" i="1" s="1"/>
  <c r="O249" i="1" s="1"/>
  <c r="O250" i="1" s="1"/>
  <c r="O251" i="1" s="1"/>
  <c r="O252" i="1" s="1"/>
  <c r="O253" i="1" s="1"/>
  <c r="O254" i="1" s="1"/>
  <c r="O255" i="1" s="1"/>
  <c r="O256" i="1" s="1"/>
  <c r="O257" i="1" s="1"/>
  <c r="O258" i="1" s="1"/>
  <c r="O259" i="1" s="1"/>
  <c r="O260" i="1" s="1"/>
  <c r="O261" i="1" s="1"/>
  <c r="O262" i="1" s="1"/>
  <c r="O263" i="1" s="1"/>
  <c r="O264" i="1" s="1"/>
  <c r="O265" i="1" s="1"/>
  <c r="O266" i="1" s="1"/>
  <c r="O267" i="1" s="1"/>
  <c r="O268" i="1" s="1"/>
  <c r="O269" i="1" s="1"/>
  <c r="O270" i="1" s="1"/>
  <c r="O271" i="1" s="1"/>
  <c r="O272" i="1" s="1"/>
  <c r="O273" i="1" s="1"/>
  <c r="O274" i="1" s="1"/>
  <c r="O275" i="1" s="1"/>
  <c r="O276" i="1" s="1"/>
  <c r="O277" i="1" s="1"/>
  <c r="O278" i="1" s="1"/>
  <c r="O279" i="1" s="1"/>
  <c r="O280" i="1" s="1"/>
  <c r="O281" i="1" s="1"/>
  <c r="O282" i="1" s="1"/>
  <c r="AY82" i="1"/>
  <c r="AZ82" i="1"/>
  <c r="S36" i="1"/>
  <c r="AZ96" i="1"/>
  <c r="AO82" i="1"/>
  <c r="AP82" i="1"/>
  <c r="AO96" i="1"/>
  <c r="AP96" i="1"/>
  <c r="AK88" i="1"/>
  <c r="AV90" i="1"/>
  <c r="AK92" i="1"/>
  <c r="AK79" i="1"/>
  <c r="AK71" i="1"/>
  <c r="AL90" i="1"/>
  <c r="AK84" i="1"/>
  <c r="BE90" i="1" l="1"/>
  <c r="BE109" i="1" s="1"/>
  <c r="O283" i="1"/>
  <c r="O284" i="1" s="1"/>
  <c r="O285" i="1" s="1"/>
  <c r="O286" i="1" s="1"/>
  <c r="O287" i="1" s="1"/>
  <c r="O288" i="1" s="1"/>
  <c r="O289" i="1" s="1"/>
  <c r="O290" i="1" s="1"/>
  <c r="O291" i="1" s="1"/>
  <c r="O292" i="1" s="1"/>
  <c r="O293" i="1" s="1"/>
  <c r="O294" i="1" s="1"/>
  <c r="O295" i="1" s="1"/>
  <c r="O296" i="1" s="1"/>
  <c r="O297" i="1" s="1"/>
  <c r="O298" i="1" s="1"/>
  <c r="O299" i="1" s="1"/>
  <c r="O300" i="1" s="1"/>
  <c r="O301" i="1" s="1"/>
  <c r="O302" i="1" s="1"/>
  <c r="O303" i="1" s="1"/>
  <c r="O304" i="1" s="1"/>
  <c r="O305" i="1" s="1"/>
  <c r="O306" i="1" s="1"/>
  <c r="O307" i="1" s="1"/>
  <c r="O308" i="1" s="1"/>
  <c r="O309" i="1" s="1"/>
  <c r="O310" i="1" s="1"/>
  <c r="O311" i="1" s="1"/>
  <c r="O312" i="1" s="1"/>
  <c r="O313" i="1" s="1"/>
  <c r="O314" i="1" s="1"/>
  <c r="O315" i="1" s="1"/>
  <c r="O316" i="1" s="1"/>
  <c r="O317" i="1" s="1"/>
  <c r="O318" i="1" s="1"/>
  <c r="O319" i="1" s="1"/>
  <c r="O320" i="1" s="1"/>
  <c r="O321" i="1" s="1"/>
  <c r="O322" i="1" s="1"/>
  <c r="O323" i="1" s="1"/>
  <c r="O324" i="1" s="1"/>
  <c r="O325" i="1" s="1"/>
  <c r="O326" i="1" s="1"/>
  <c r="O327" i="1" s="1"/>
  <c r="O328" i="1" s="1"/>
  <c r="O329" i="1" s="1"/>
  <c r="O330" i="1" s="1"/>
  <c r="S37" i="1"/>
  <c r="S38" i="1" s="1"/>
  <c r="S39" i="1" s="1"/>
  <c r="S40" i="1" s="1"/>
  <c r="S41" i="1" s="1"/>
  <c r="S42" i="1" s="1"/>
  <c r="S43" i="1" s="1"/>
  <c r="S44" i="1" s="1"/>
  <c r="S45" i="1" s="1"/>
  <c r="S46" i="1" s="1"/>
  <c r="S47" i="1" s="1"/>
  <c r="S48" i="1" s="1"/>
  <c r="S49" i="1" s="1"/>
  <c r="S50" i="1" s="1"/>
  <c r="S51" i="1" s="1"/>
  <c r="S52" i="1" s="1"/>
  <c r="S53" i="1" s="1"/>
  <c r="S54" i="1" s="1"/>
  <c r="S55" i="1" s="1"/>
  <c r="S56" i="1" s="1"/>
  <c r="S57" i="1" s="1"/>
  <c r="S58" i="1" s="1"/>
  <c r="S59" i="1" s="1"/>
  <c r="S60" i="1" s="1"/>
  <c r="S61" i="1" s="1"/>
  <c r="S62" i="1" s="1"/>
  <c r="S63" i="1" s="1"/>
  <c r="S64" i="1" s="1"/>
  <c r="S65" i="1" s="1"/>
  <c r="S66" i="1" s="1"/>
  <c r="S67" i="1" s="1"/>
  <c r="S68" i="1" s="1"/>
  <c r="S69" i="1" s="1"/>
  <c r="S70" i="1" s="1"/>
  <c r="S71" i="1" s="1"/>
  <c r="S72" i="1" s="1"/>
  <c r="S73" i="1" s="1"/>
  <c r="S74" i="1" s="1"/>
  <c r="S75" i="1" s="1"/>
  <c r="S76" i="1" s="1"/>
  <c r="S77" i="1" s="1"/>
  <c r="S78" i="1" s="1"/>
  <c r="S79" i="1" s="1"/>
  <c r="S80" i="1" s="1"/>
  <c r="S81" i="1" s="1"/>
  <c r="S82" i="1" s="1"/>
  <c r="S83" i="1" s="1"/>
  <c r="S84" i="1" s="1"/>
  <c r="S85" i="1" s="1"/>
  <c r="S86" i="1" s="1"/>
  <c r="S87" i="1" s="1"/>
  <c r="S88" i="1" s="1"/>
  <c r="S89" i="1" s="1"/>
  <c r="S90" i="1" s="1"/>
  <c r="S91" i="1" s="1"/>
  <c r="S92" i="1" s="1"/>
  <c r="S93" i="1" s="1"/>
  <c r="S94" i="1" s="1"/>
  <c r="S95" i="1" s="1"/>
  <c r="S96" i="1" s="1"/>
  <c r="S97" i="1" s="1"/>
  <c r="S98" i="1" s="1"/>
  <c r="S99" i="1" s="1"/>
  <c r="S100" i="1" s="1"/>
  <c r="S101" i="1" s="1"/>
  <c r="S102" i="1" s="1"/>
  <c r="S103" i="1" s="1"/>
  <c r="S104" i="1" s="1"/>
  <c r="S105" i="1" s="1"/>
  <c r="S106" i="1" s="1"/>
  <c r="S107" i="1" s="1"/>
  <c r="S108" i="1" s="1"/>
  <c r="S109" i="1" s="1"/>
  <c r="S110" i="1" s="1"/>
  <c r="S111" i="1" s="1"/>
  <c r="S112" i="1" s="1"/>
  <c r="S113" i="1" s="1"/>
  <c r="S114" i="1" s="1"/>
  <c r="S115" i="1" s="1"/>
  <c r="S116" i="1" s="1"/>
  <c r="S117" i="1" s="1"/>
  <c r="S118" i="1" s="1"/>
  <c r="S119" i="1" s="1"/>
  <c r="S120" i="1" s="1"/>
  <c r="S121" i="1" s="1"/>
  <c r="S122" i="1" s="1"/>
  <c r="S123" i="1" s="1"/>
  <c r="S124" i="1" s="1"/>
  <c r="S125" i="1" s="1"/>
  <c r="S126" i="1" s="1"/>
  <c r="S127" i="1" s="1"/>
  <c r="S128" i="1" s="1"/>
  <c r="S129" i="1" s="1"/>
  <c r="S130" i="1" s="1"/>
  <c r="S131" i="1" s="1"/>
  <c r="S132" i="1" s="1"/>
  <c r="S133" i="1" s="1"/>
  <c r="S134" i="1" s="1"/>
  <c r="S135" i="1" s="1"/>
  <c r="S136" i="1" s="1"/>
  <c r="S137" i="1" s="1"/>
  <c r="S138" i="1" s="1"/>
  <c r="S139" i="1" s="1"/>
  <c r="S140" i="1" s="1"/>
  <c r="S141" i="1" s="1"/>
  <c r="S142" i="1" s="1"/>
  <c r="S143" i="1" s="1"/>
  <c r="S144" i="1" s="1"/>
  <c r="S145" i="1" s="1"/>
  <c r="S146" i="1" s="1"/>
  <c r="S147" i="1" s="1"/>
  <c r="S148" i="1" s="1"/>
  <c r="S149" i="1" s="1"/>
  <c r="S150" i="1" s="1"/>
  <c r="S151" i="1" s="1"/>
  <c r="S152" i="1" s="1"/>
  <c r="S153" i="1" s="1"/>
  <c r="S154" i="1" s="1"/>
  <c r="S155" i="1" s="1"/>
  <c r="S156" i="1" s="1"/>
  <c r="S157" i="1" s="1"/>
  <c r="S158" i="1" s="1"/>
  <c r="S159" i="1" s="1"/>
  <c r="S160" i="1" s="1"/>
  <c r="S161" i="1" s="1"/>
  <c r="S162" i="1" s="1"/>
  <c r="S163" i="1" s="1"/>
  <c r="S164" i="1" s="1"/>
  <c r="S165" i="1" s="1"/>
  <c r="S166" i="1" s="1"/>
  <c r="S167" i="1" s="1"/>
  <c r="S168" i="1" s="1"/>
  <c r="S169" i="1" s="1"/>
  <c r="S170" i="1" s="1"/>
  <c r="S171" i="1" s="1"/>
  <c r="S172" i="1" s="1"/>
  <c r="S173" i="1" s="1"/>
  <c r="S174" i="1" s="1"/>
  <c r="S175" i="1" s="1"/>
  <c r="S176" i="1" s="1"/>
  <c r="S177" i="1" s="1"/>
  <c r="S178" i="1" s="1"/>
  <c r="S179" i="1" s="1"/>
  <c r="S180" i="1" s="1"/>
  <c r="S181" i="1" s="1"/>
  <c r="S182" i="1" s="1"/>
  <c r="S183" i="1" s="1"/>
  <c r="S184" i="1" s="1"/>
  <c r="S185" i="1" s="1"/>
  <c r="S186" i="1" s="1"/>
  <c r="S187" i="1" s="1"/>
  <c r="S188" i="1" s="1"/>
  <c r="S189" i="1" s="1"/>
  <c r="S190" i="1" s="1"/>
  <c r="S191" i="1" s="1"/>
  <c r="S192" i="1" s="1"/>
  <c r="S193" i="1" s="1"/>
  <c r="S194" i="1" s="1"/>
  <c r="S195" i="1" s="1"/>
  <c r="S196" i="1" s="1"/>
  <c r="S197" i="1" s="1"/>
  <c r="S198" i="1" s="1"/>
  <c r="S199" i="1" s="1"/>
  <c r="S200" i="1" s="1"/>
  <c r="S201" i="1" s="1"/>
  <c r="S202" i="1" s="1"/>
  <c r="S203" i="1" s="1"/>
  <c r="S204" i="1" s="1"/>
  <c r="S205" i="1" s="1"/>
  <c r="S206" i="1" s="1"/>
  <c r="S207" i="1" s="1"/>
  <c r="S208" i="1" s="1"/>
  <c r="S209" i="1" s="1"/>
  <c r="S210" i="1" s="1"/>
  <c r="S211" i="1" s="1"/>
  <c r="S212" i="1" s="1"/>
  <c r="S213" i="1" s="1"/>
  <c r="S214" i="1" s="1"/>
  <c r="S215" i="1" s="1"/>
  <c r="S216" i="1" s="1"/>
  <c r="S217" i="1" s="1"/>
  <c r="S218" i="1" s="1"/>
  <c r="S219" i="1" s="1"/>
  <c r="S220" i="1" s="1"/>
  <c r="S221" i="1" s="1"/>
  <c r="S222" i="1" s="1"/>
  <c r="S223" i="1" s="1"/>
  <c r="S224" i="1" s="1"/>
  <c r="S225" i="1" s="1"/>
  <c r="S226" i="1" s="1"/>
  <c r="S227" i="1" s="1"/>
  <c r="S228" i="1" s="1"/>
  <c r="S229" i="1" s="1"/>
  <c r="S230" i="1" s="1"/>
  <c r="S231" i="1" s="1"/>
  <c r="S232" i="1" s="1"/>
  <c r="S233" i="1" s="1"/>
  <c r="S234" i="1" s="1"/>
  <c r="S235" i="1" s="1"/>
  <c r="S236" i="1" s="1"/>
  <c r="S237" i="1" s="1"/>
  <c r="S238" i="1" s="1"/>
  <c r="S239" i="1" s="1"/>
  <c r="S240" i="1" s="1"/>
  <c r="S241" i="1" s="1"/>
  <c r="S242" i="1" s="1"/>
  <c r="S243" i="1" s="1"/>
  <c r="S244" i="1" s="1"/>
  <c r="S245" i="1" s="1"/>
  <c r="S246" i="1" s="1"/>
  <c r="S247" i="1" s="1"/>
  <c r="S248" i="1" s="1"/>
  <c r="S249" i="1" s="1"/>
  <c r="S250" i="1" s="1"/>
  <c r="S251" i="1" s="1"/>
  <c r="S252" i="1" s="1"/>
  <c r="S253" i="1" s="1"/>
  <c r="S254" i="1" s="1"/>
  <c r="S255" i="1" s="1"/>
  <c r="S256" i="1" s="1"/>
  <c r="S257" i="1" s="1"/>
  <c r="S258" i="1" s="1"/>
  <c r="S259" i="1" s="1"/>
  <c r="S260" i="1" s="1"/>
  <c r="S261" i="1" s="1"/>
  <c r="S262" i="1" s="1"/>
  <c r="S263" i="1" s="1"/>
  <c r="S264" i="1" s="1"/>
  <c r="S265" i="1" s="1"/>
  <c r="S266" i="1" s="1"/>
  <c r="S267" i="1" s="1"/>
  <c r="S268" i="1" s="1"/>
  <c r="S269" i="1" s="1"/>
  <c r="S270" i="1" s="1"/>
  <c r="S271" i="1" s="1"/>
  <c r="S272" i="1" s="1"/>
  <c r="S273" i="1" s="1"/>
  <c r="S274" i="1" s="1"/>
  <c r="S275" i="1" s="1"/>
  <c r="S276" i="1" s="1"/>
  <c r="S277" i="1" s="1"/>
  <c r="S278" i="1" s="1"/>
  <c r="S279" i="1" s="1"/>
  <c r="S280" i="1" s="1"/>
  <c r="S281" i="1" s="1"/>
  <c r="S282" i="1" s="1"/>
  <c r="AK90" i="1"/>
  <c r="AK109" i="1" s="1"/>
  <c r="AU90" i="1"/>
  <c r="AU109" i="1" s="1"/>
  <c r="O331" i="1" l="1"/>
  <c r="O332" i="1" s="1"/>
  <c r="O333" i="1" s="1"/>
  <c r="O334" i="1" s="1"/>
  <c r="O335" i="1" s="1"/>
  <c r="O336" i="1" s="1"/>
  <c r="O337" i="1" s="1"/>
  <c r="O338" i="1" s="1"/>
  <c r="O339" i="1" s="1"/>
  <c r="O340" i="1" s="1"/>
  <c r="O341" i="1" s="1"/>
  <c r="O342" i="1" s="1"/>
  <c r="O343" i="1" s="1"/>
  <c r="O344" i="1" s="1"/>
  <c r="O345" i="1" s="1"/>
  <c r="O346" i="1" s="1"/>
  <c r="O347" i="1" s="1"/>
  <c r="O348" i="1" s="1"/>
  <c r="O349" i="1" s="1"/>
  <c r="O350" i="1" s="1"/>
  <c r="O351" i="1" s="1"/>
  <c r="O352" i="1" s="1"/>
  <c r="O353" i="1" s="1"/>
  <c r="O354" i="1" s="1"/>
  <c r="O355" i="1" s="1"/>
  <c r="O356" i="1" s="1"/>
  <c r="O357" i="1" s="1"/>
  <c r="O358" i="1" s="1"/>
  <c r="O359" i="1" s="1"/>
  <c r="O360" i="1" s="1"/>
  <c r="O361" i="1" s="1"/>
  <c r="O362" i="1" s="1"/>
  <c r="O363" i="1" s="1"/>
  <c r="O364" i="1" s="1"/>
  <c r="O365" i="1" s="1"/>
  <c r="O366" i="1" s="1"/>
  <c r="O367" i="1" s="1"/>
  <c r="O368" i="1" s="1"/>
  <c r="O369" i="1" s="1"/>
  <c r="O370" i="1" s="1"/>
  <c r="O371" i="1" s="1"/>
  <c r="O372" i="1" s="1"/>
  <c r="O373" i="1" s="1"/>
  <c r="O374" i="1" s="1"/>
  <c r="O375" i="1" s="1"/>
  <c r="O376" i="1" s="1"/>
  <c r="O377" i="1" s="1"/>
  <c r="O378" i="1" s="1"/>
  <c r="O379" i="1" s="1"/>
  <c r="O380" i="1" s="1"/>
  <c r="O381" i="1" s="1"/>
  <c r="O382" i="1" s="1"/>
  <c r="O383" i="1" s="1"/>
  <c r="O384" i="1" s="1"/>
  <c r="O385" i="1" s="1"/>
  <c r="O386" i="1" s="1"/>
  <c r="O387" i="1" s="1"/>
  <c r="O388" i="1" s="1"/>
  <c r="O389" i="1" s="1"/>
  <c r="O390" i="1" s="1"/>
  <c r="O391" i="1" s="1"/>
  <c r="O392" i="1" s="1"/>
  <c r="O393" i="1" s="1"/>
  <c r="O394" i="1" s="1"/>
  <c r="O395" i="1" s="1"/>
  <c r="O396" i="1" s="1"/>
  <c r="O397" i="1" s="1"/>
  <c r="O398" i="1" s="1"/>
  <c r="O399" i="1" s="1"/>
  <c r="O400" i="1" s="1"/>
  <c r="O401" i="1" s="1"/>
  <c r="O402" i="1" s="1"/>
  <c r="O403" i="1" s="1"/>
  <c r="O404" i="1" s="1"/>
  <c r="O405" i="1" s="1"/>
  <c r="O406" i="1" s="1"/>
  <c r="O407" i="1" s="1"/>
  <c r="O408" i="1" s="1"/>
  <c r="O409" i="1" s="1"/>
  <c r="O410" i="1" s="1"/>
  <c r="O411" i="1" s="1"/>
  <c r="O412" i="1" s="1"/>
  <c r="O413" i="1" s="1"/>
  <c r="O414" i="1" s="1"/>
  <c r="O415" i="1" s="1"/>
  <c r="O416" i="1" s="1"/>
  <c r="O417" i="1" s="1"/>
  <c r="O418" i="1" s="1"/>
  <c r="O419" i="1" s="1"/>
  <c r="O420" i="1" s="1"/>
  <c r="O421" i="1" s="1"/>
  <c r="O422" i="1" s="1"/>
  <c r="O423" i="1" s="1"/>
  <c r="O424" i="1" s="1"/>
  <c r="O425" i="1" s="1"/>
  <c r="O426" i="1" s="1"/>
  <c r="O427" i="1" s="1"/>
  <c r="O428" i="1" s="1"/>
  <c r="O429" i="1" s="1"/>
  <c r="O430" i="1" s="1"/>
  <c r="O431" i="1" s="1"/>
  <c r="O432" i="1" s="1"/>
  <c r="O433" i="1" s="1"/>
  <c r="O434" i="1" s="1"/>
  <c r="O435" i="1" s="1"/>
  <c r="O436" i="1" s="1"/>
  <c r="O437" i="1" s="1"/>
  <c r="O438" i="1" s="1"/>
  <c r="O439" i="1" s="1"/>
  <c r="O440" i="1" s="1"/>
  <c r="O441" i="1" s="1"/>
  <c r="O442" i="1" s="1"/>
  <c r="O443" i="1" s="1"/>
  <c r="O444" i="1" s="1"/>
  <c r="O445" i="1" s="1"/>
  <c r="O446" i="1" s="1"/>
  <c r="O447" i="1" s="1"/>
  <c r="O448" i="1" s="1"/>
  <c r="O449" i="1" s="1"/>
  <c r="O450" i="1" s="1"/>
  <c r="O451" i="1" s="1"/>
  <c r="O452" i="1" s="1"/>
  <c r="O453" i="1" s="1"/>
  <c r="O454" i="1" s="1"/>
  <c r="O455" i="1" s="1"/>
  <c r="O456" i="1" s="1"/>
  <c r="O457" i="1" s="1"/>
  <c r="O458" i="1" s="1"/>
  <c r="O459" i="1" s="1"/>
  <c r="O460" i="1" s="1"/>
  <c r="O461" i="1" s="1"/>
  <c r="O462" i="1" s="1"/>
  <c r="O463" i="1" s="1"/>
  <c r="O464" i="1" s="1"/>
  <c r="O465" i="1" s="1"/>
  <c r="O466" i="1" s="1"/>
  <c r="O467" i="1" s="1"/>
  <c r="O468" i="1" s="1"/>
  <c r="O469" i="1" s="1"/>
  <c r="O470" i="1" s="1"/>
  <c r="O471" i="1" s="1"/>
  <c r="O472" i="1" s="1"/>
  <c r="O473" i="1" s="1"/>
  <c r="O474" i="1" s="1"/>
  <c r="O475" i="1" s="1"/>
  <c r="O476" i="1" s="1"/>
  <c r="O477" i="1" s="1"/>
  <c r="O478" i="1" s="1"/>
  <c r="O479" i="1" s="1"/>
  <c r="O480" i="1" s="1"/>
  <c r="O481" i="1" s="1"/>
  <c r="O482" i="1" s="1"/>
  <c r="O483" i="1" s="1"/>
  <c r="O484" i="1" s="1"/>
  <c r="O485" i="1" s="1"/>
  <c r="O486" i="1" s="1"/>
  <c r="O487" i="1" s="1"/>
  <c r="O488" i="1" s="1"/>
  <c r="O489" i="1" s="1"/>
  <c r="O490" i="1" s="1"/>
  <c r="O491" i="1" s="1"/>
  <c r="O492" i="1" s="1"/>
  <c r="O493" i="1" s="1"/>
  <c r="O494" i="1" s="1"/>
  <c r="O495" i="1" s="1"/>
  <c r="O496" i="1" s="1"/>
  <c r="O497" i="1" s="1"/>
  <c r="O498" i="1" s="1"/>
  <c r="O499" i="1" s="1"/>
  <c r="O500" i="1" s="1"/>
  <c r="O501" i="1" s="1"/>
  <c r="O502" i="1" s="1"/>
  <c r="O503" i="1" s="1"/>
  <c r="O504" i="1" s="1"/>
  <c r="O505" i="1" s="1"/>
  <c r="O506" i="1" s="1"/>
  <c r="O507" i="1" s="1"/>
  <c r="O508" i="1" s="1"/>
  <c r="O509" i="1" s="1"/>
  <c r="O510" i="1" s="1"/>
  <c r="O511" i="1" s="1"/>
  <c r="O512" i="1" s="1"/>
  <c r="O513" i="1" s="1"/>
  <c r="O514" i="1" s="1"/>
  <c r="O515" i="1" s="1"/>
  <c r="O516" i="1" s="1"/>
  <c r="O517" i="1" s="1"/>
  <c r="O518" i="1" s="1"/>
  <c r="O519" i="1" s="1"/>
  <c r="O520" i="1" s="1"/>
  <c r="O521" i="1" s="1"/>
  <c r="O522" i="1" s="1"/>
  <c r="O523" i="1" s="1"/>
  <c r="O524" i="1" s="1"/>
  <c r="O525" i="1" s="1"/>
  <c r="O526" i="1" s="1"/>
  <c r="O527" i="1" s="1"/>
  <c r="O528" i="1" s="1"/>
  <c r="O529" i="1" s="1"/>
  <c r="O530" i="1" s="1"/>
  <c r="O531" i="1" s="1"/>
  <c r="O532" i="1" s="1"/>
  <c r="O533" i="1" s="1"/>
  <c r="O534" i="1" s="1"/>
  <c r="O535" i="1" s="1"/>
  <c r="O536" i="1" s="1"/>
  <c r="O537" i="1" s="1"/>
  <c r="O538" i="1" s="1"/>
  <c r="O539" i="1" s="1"/>
  <c r="O540" i="1" s="1"/>
  <c r="O541" i="1" s="1"/>
  <c r="O542" i="1" s="1"/>
  <c r="O543" i="1" s="1"/>
  <c r="O544" i="1" s="1"/>
  <c r="O545" i="1" s="1"/>
  <c r="O546" i="1" s="1"/>
  <c r="O547" i="1" s="1"/>
  <c r="O548" i="1" s="1"/>
  <c r="O549" i="1" s="1"/>
  <c r="O550" i="1" s="1"/>
  <c r="O551" i="1" s="1"/>
  <c r="O552" i="1" s="1"/>
  <c r="O553" i="1" s="1"/>
  <c r="O554" i="1" s="1"/>
  <c r="O555" i="1" s="1"/>
  <c r="O556" i="1" s="1"/>
  <c r="O557" i="1" s="1"/>
  <c r="O558" i="1" s="1"/>
  <c r="O559" i="1" s="1"/>
  <c r="O560" i="1" s="1"/>
  <c r="O561" i="1" s="1"/>
  <c r="O562" i="1" s="1"/>
  <c r="O563" i="1" s="1"/>
  <c r="O564" i="1" s="1"/>
  <c r="O565" i="1" s="1"/>
  <c r="O566" i="1" s="1"/>
  <c r="O567" i="1" s="1"/>
  <c r="O568" i="1" s="1"/>
  <c r="O569" i="1" s="1"/>
  <c r="O570" i="1" s="1"/>
  <c r="O571" i="1" s="1"/>
  <c r="O572" i="1" s="1"/>
  <c r="O573" i="1" s="1"/>
  <c r="O574" i="1" s="1"/>
  <c r="O575" i="1" s="1"/>
  <c r="O576" i="1" s="1"/>
  <c r="O577" i="1" s="1"/>
  <c r="O578" i="1" s="1"/>
  <c r="O579" i="1" s="1"/>
  <c r="O580" i="1" s="1"/>
  <c r="O581" i="1" s="1"/>
  <c r="O582" i="1" s="1"/>
  <c r="O583" i="1" s="1"/>
  <c r="O584" i="1" s="1"/>
  <c r="O585" i="1" s="1"/>
  <c r="O586" i="1" s="1"/>
  <c r="O587" i="1" s="1"/>
  <c r="O588" i="1" s="1"/>
  <c r="O589" i="1" s="1"/>
  <c r="O590" i="1" s="1"/>
  <c r="O591" i="1" s="1"/>
  <c r="O592" i="1" s="1"/>
  <c r="O593" i="1" s="1"/>
  <c r="O594" i="1" s="1"/>
  <c r="O595" i="1" s="1"/>
  <c r="O596" i="1" s="1"/>
  <c r="O597" i="1" s="1"/>
  <c r="O598" i="1" s="1"/>
  <c r="O599" i="1" s="1"/>
  <c r="O600" i="1" s="1"/>
  <c r="O601" i="1" s="1"/>
  <c r="O602" i="1" s="1"/>
  <c r="O603" i="1" s="1"/>
  <c r="O604" i="1" s="1"/>
  <c r="O605" i="1" s="1"/>
  <c r="O606" i="1" s="1"/>
  <c r="O607" i="1" s="1"/>
  <c r="O608" i="1" s="1"/>
  <c r="O609" i="1" s="1"/>
  <c r="O610" i="1" s="1"/>
  <c r="O611" i="1" s="1"/>
  <c r="O612" i="1" s="1"/>
  <c r="O613" i="1" s="1"/>
  <c r="O614" i="1" s="1"/>
  <c r="O615" i="1" s="1"/>
  <c r="O616" i="1" s="1"/>
  <c r="O617" i="1" s="1"/>
  <c r="O618" i="1" s="1"/>
  <c r="O619" i="1" s="1"/>
  <c r="O620" i="1" s="1"/>
  <c r="O621" i="1" s="1"/>
  <c r="O622" i="1" s="1"/>
  <c r="O623" i="1" s="1"/>
  <c r="O624" i="1" s="1"/>
  <c r="O625" i="1" s="1"/>
  <c r="O626" i="1" s="1"/>
  <c r="O627" i="1" s="1"/>
  <c r="O628" i="1" s="1"/>
  <c r="O629" i="1" s="1"/>
  <c r="O630" i="1" s="1"/>
  <c r="O631" i="1" s="1"/>
  <c r="O632" i="1" s="1"/>
  <c r="O633" i="1" s="1"/>
  <c r="O634" i="1" s="1"/>
  <c r="O635" i="1" s="1"/>
  <c r="O636" i="1" s="1"/>
  <c r="O637" i="1" s="1"/>
  <c r="O638" i="1" s="1"/>
  <c r="AF6" i="1" s="1"/>
  <c r="S283" i="1"/>
  <c r="S284" i="1" s="1"/>
  <c r="S285" i="1" s="1"/>
  <c r="S286" i="1" s="1"/>
  <c r="S287" i="1" s="1"/>
  <c r="S288" i="1" s="1"/>
  <c r="S289" i="1" s="1"/>
  <c r="S290" i="1" s="1"/>
  <c r="S291" i="1" s="1"/>
  <c r="S292" i="1" s="1"/>
  <c r="S293" i="1" s="1"/>
  <c r="S294" i="1" s="1"/>
  <c r="S295" i="1" s="1"/>
  <c r="S296" i="1" s="1"/>
  <c r="S297" i="1" s="1"/>
  <c r="S298" i="1" s="1"/>
  <c r="S299" i="1" s="1"/>
  <c r="S300" i="1" s="1"/>
  <c r="S301" i="1" s="1"/>
  <c r="S302" i="1" s="1"/>
  <c r="S303" i="1" s="1"/>
  <c r="S304" i="1" s="1"/>
  <c r="S305" i="1" s="1"/>
  <c r="S306" i="1" s="1"/>
  <c r="S307" i="1" s="1"/>
  <c r="S308" i="1" s="1"/>
  <c r="S309" i="1" s="1"/>
  <c r="S310" i="1" s="1"/>
  <c r="S311" i="1" s="1"/>
  <c r="S312" i="1" s="1"/>
  <c r="S313" i="1" s="1"/>
  <c r="S314" i="1" s="1"/>
  <c r="S315" i="1" s="1"/>
  <c r="S316" i="1" s="1"/>
  <c r="S317" i="1" s="1"/>
  <c r="S318" i="1" s="1"/>
  <c r="S319" i="1" s="1"/>
  <c r="S320" i="1" s="1"/>
  <c r="S321" i="1" s="1"/>
  <c r="S322" i="1" s="1"/>
  <c r="S323" i="1" s="1"/>
  <c r="S324" i="1" s="1"/>
  <c r="S325" i="1" s="1"/>
  <c r="S326" i="1" s="1"/>
  <c r="S327" i="1" s="1"/>
  <c r="S328" i="1" s="1"/>
  <c r="S329" i="1" s="1"/>
  <c r="S330" i="1" s="1"/>
  <c r="S331" i="1" l="1"/>
  <c r="S332" i="1" s="1"/>
  <c r="S333" i="1" s="1"/>
  <c r="S334" i="1" s="1"/>
  <c r="S335" i="1" s="1"/>
  <c r="S336" i="1" s="1"/>
  <c r="S337" i="1" s="1"/>
  <c r="S338" i="1" s="1"/>
  <c r="S339" i="1" s="1"/>
  <c r="S340" i="1" s="1"/>
  <c r="S341" i="1" s="1"/>
  <c r="S342" i="1" s="1"/>
  <c r="S343" i="1" s="1"/>
  <c r="S344" i="1" s="1"/>
  <c r="S345" i="1" s="1"/>
  <c r="S346" i="1" s="1"/>
  <c r="S347" i="1" s="1"/>
  <c r="S348" i="1" s="1"/>
  <c r="S349" i="1" s="1"/>
  <c r="S350" i="1" s="1"/>
  <c r="S351" i="1" s="1"/>
  <c r="S352" i="1" s="1"/>
  <c r="S353" i="1" s="1"/>
  <c r="S354" i="1" s="1"/>
  <c r="S355" i="1" s="1"/>
  <c r="S356" i="1" s="1"/>
  <c r="S357" i="1" s="1"/>
  <c r="S358" i="1" s="1"/>
  <c r="S359" i="1" s="1"/>
  <c r="S360" i="1" s="1"/>
  <c r="S361" i="1" s="1"/>
  <c r="S362" i="1" s="1"/>
  <c r="S363" i="1" s="1"/>
  <c r="S364" i="1" s="1"/>
  <c r="S365" i="1" s="1"/>
  <c r="S366" i="1" s="1"/>
  <c r="S367" i="1" s="1"/>
  <c r="S368" i="1" s="1"/>
  <c r="S369" i="1" s="1"/>
  <c r="S370" i="1" s="1"/>
  <c r="S371" i="1" s="1"/>
  <c r="S372" i="1" s="1"/>
  <c r="S373" i="1" s="1"/>
  <c r="S374" i="1" s="1"/>
  <c r="S375" i="1" s="1"/>
  <c r="S376" i="1" s="1"/>
  <c r="S377" i="1" s="1"/>
  <c r="S378" i="1" s="1"/>
  <c r="S379" i="1" s="1"/>
  <c r="S380" i="1" s="1"/>
  <c r="S381" i="1" s="1"/>
  <c r="S382" i="1" s="1"/>
  <c r="S383" i="1" s="1"/>
  <c r="S384" i="1" s="1"/>
  <c r="S385" i="1" s="1"/>
  <c r="S386" i="1" s="1"/>
  <c r="S387" i="1" s="1"/>
  <c r="S388" i="1" s="1"/>
  <c r="S389" i="1" s="1"/>
  <c r="S390" i="1" s="1"/>
  <c r="S391" i="1" s="1"/>
  <c r="S392" i="1" s="1"/>
  <c r="S393" i="1" s="1"/>
  <c r="S394" i="1" s="1"/>
  <c r="S395" i="1" s="1"/>
  <c r="S396" i="1" s="1"/>
  <c r="S397" i="1" s="1"/>
  <c r="S398" i="1" s="1"/>
  <c r="S399" i="1" s="1"/>
  <c r="S400" i="1" s="1"/>
  <c r="S401" i="1" s="1"/>
  <c r="S402" i="1" s="1"/>
  <c r="S403" i="1" s="1"/>
  <c r="S404" i="1" s="1"/>
  <c r="S405" i="1" s="1"/>
  <c r="S406" i="1" s="1"/>
  <c r="S407" i="1" s="1"/>
  <c r="S408" i="1" s="1"/>
  <c r="S409" i="1" s="1"/>
  <c r="S410" i="1" s="1"/>
  <c r="S411" i="1" s="1"/>
  <c r="S412" i="1" s="1"/>
  <c r="S413" i="1" s="1"/>
  <c r="S414" i="1" s="1"/>
  <c r="S415" i="1" s="1"/>
  <c r="S416" i="1" s="1"/>
  <c r="S417" i="1" s="1"/>
  <c r="S418" i="1" s="1"/>
  <c r="S419" i="1" s="1"/>
  <c r="S420" i="1" s="1"/>
  <c r="S421" i="1" s="1"/>
  <c r="S422" i="1" s="1"/>
  <c r="S423" i="1" s="1"/>
  <c r="S424" i="1" s="1"/>
  <c r="S425" i="1" s="1"/>
  <c r="S426" i="1" s="1"/>
  <c r="S427" i="1" s="1"/>
  <c r="S428" i="1" s="1"/>
  <c r="S429" i="1" s="1"/>
  <c r="S430" i="1" s="1"/>
  <c r="S431" i="1" s="1"/>
  <c r="S432" i="1" s="1"/>
  <c r="S433" i="1" s="1"/>
  <c r="S434" i="1" s="1"/>
  <c r="S435" i="1" s="1"/>
  <c r="S436" i="1" s="1"/>
  <c r="S437" i="1" s="1"/>
  <c r="S438" i="1" s="1"/>
  <c r="S439" i="1" s="1"/>
  <c r="S440" i="1" s="1"/>
  <c r="S441" i="1" s="1"/>
  <c r="S442" i="1" s="1"/>
  <c r="S443" i="1" s="1"/>
  <c r="S444" i="1" s="1"/>
  <c r="S445" i="1" s="1"/>
  <c r="S446" i="1" s="1"/>
  <c r="S447" i="1" s="1"/>
  <c r="S448" i="1" s="1"/>
  <c r="S449" i="1" s="1"/>
  <c r="S450" i="1" s="1"/>
  <c r="S451" i="1" s="1"/>
  <c r="S452" i="1" s="1"/>
  <c r="S453" i="1" s="1"/>
  <c r="S454" i="1" s="1"/>
  <c r="S455" i="1" s="1"/>
  <c r="S456" i="1" s="1"/>
  <c r="S457" i="1" s="1"/>
  <c r="S458" i="1" s="1"/>
  <c r="S459" i="1" s="1"/>
  <c r="S460" i="1" s="1"/>
  <c r="S461" i="1" s="1"/>
  <c r="S462" i="1" s="1"/>
  <c r="S463" i="1" s="1"/>
  <c r="S464" i="1" s="1"/>
  <c r="S465" i="1" s="1"/>
  <c r="S466" i="1" s="1"/>
  <c r="S467" i="1" s="1"/>
  <c r="S468" i="1" s="1"/>
  <c r="S469" i="1" s="1"/>
  <c r="S470" i="1" s="1"/>
  <c r="S471" i="1" s="1"/>
  <c r="S472" i="1" s="1"/>
  <c r="S473" i="1" s="1"/>
  <c r="S474" i="1" s="1"/>
  <c r="S475" i="1" s="1"/>
  <c r="S476" i="1" s="1"/>
  <c r="S477" i="1" s="1"/>
  <c r="S478" i="1" s="1"/>
  <c r="S479" i="1" s="1"/>
  <c r="S480" i="1" s="1"/>
  <c r="S481" i="1" s="1"/>
  <c r="S482" i="1" s="1"/>
  <c r="S483" i="1" s="1"/>
  <c r="S484" i="1" s="1"/>
  <c r="S485" i="1" s="1"/>
  <c r="S486" i="1" s="1"/>
  <c r="S487" i="1" s="1"/>
  <c r="S488" i="1" s="1"/>
  <c r="S489" i="1" s="1"/>
  <c r="S490" i="1" s="1"/>
  <c r="S491" i="1" s="1"/>
  <c r="S492" i="1" s="1"/>
  <c r="S493" i="1" s="1"/>
  <c r="S494" i="1" s="1"/>
  <c r="S495" i="1" s="1"/>
  <c r="S496" i="1" s="1"/>
  <c r="S497" i="1" s="1"/>
  <c r="S498" i="1" s="1"/>
  <c r="S499" i="1" s="1"/>
  <c r="S500" i="1" s="1"/>
  <c r="S501" i="1" s="1"/>
  <c r="S502" i="1" s="1"/>
  <c r="S503" i="1" s="1"/>
  <c r="S504" i="1" s="1"/>
  <c r="S505" i="1" s="1"/>
  <c r="S506" i="1" s="1"/>
  <c r="S507" i="1" s="1"/>
  <c r="S508" i="1" s="1"/>
  <c r="S509" i="1" s="1"/>
  <c r="S510" i="1" s="1"/>
  <c r="S511" i="1" s="1"/>
  <c r="S512" i="1" s="1"/>
  <c r="S513" i="1" s="1"/>
  <c r="S514" i="1" s="1"/>
  <c r="S515" i="1" s="1"/>
  <c r="S516" i="1" s="1"/>
  <c r="S517" i="1" s="1"/>
  <c r="S518" i="1" s="1"/>
  <c r="S519" i="1" s="1"/>
  <c r="S520" i="1" s="1"/>
  <c r="S521" i="1" s="1"/>
  <c r="S522" i="1" s="1"/>
  <c r="S523" i="1" s="1"/>
  <c r="S524" i="1" s="1"/>
  <c r="S525" i="1" s="1"/>
  <c r="S526" i="1" s="1"/>
  <c r="S527" i="1" s="1"/>
  <c r="S528" i="1" s="1"/>
  <c r="S529" i="1" s="1"/>
  <c r="S530" i="1" s="1"/>
  <c r="S531" i="1" s="1"/>
  <c r="S532" i="1" s="1"/>
  <c r="S533" i="1" s="1"/>
  <c r="S534" i="1" s="1"/>
  <c r="S535" i="1" s="1"/>
  <c r="S536" i="1" s="1"/>
  <c r="S537" i="1" s="1"/>
  <c r="S538" i="1" s="1"/>
  <c r="S539" i="1" s="1"/>
  <c r="S540" i="1" s="1"/>
  <c r="S541" i="1" s="1"/>
  <c r="S542" i="1" s="1"/>
  <c r="S543" i="1" s="1"/>
  <c r="S544" i="1" s="1"/>
  <c r="S545" i="1" s="1"/>
  <c r="S546" i="1" s="1"/>
  <c r="S547" i="1" s="1"/>
  <c r="S548" i="1" s="1"/>
  <c r="S549" i="1" s="1"/>
  <c r="S550" i="1" s="1"/>
  <c r="S551" i="1" s="1"/>
  <c r="S552" i="1" s="1"/>
  <c r="S553" i="1" s="1"/>
  <c r="S554" i="1" s="1"/>
  <c r="S555" i="1" s="1"/>
  <c r="S556" i="1" s="1"/>
  <c r="S557" i="1" s="1"/>
  <c r="S558" i="1" s="1"/>
  <c r="S559" i="1" s="1"/>
  <c r="S560" i="1" s="1"/>
  <c r="S561" i="1" s="1"/>
  <c r="S562" i="1" s="1"/>
  <c r="S563" i="1" s="1"/>
  <c r="S564" i="1" s="1"/>
  <c r="S565" i="1" s="1"/>
  <c r="S566" i="1" s="1"/>
  <c r="S567" i="1" s="1"/>
  <c r="S568" i="1" s="1"/>
  <c r="S569" i="1" s="1"/>
  <c r="S570" i="1" s="1"/>
  <c r="S571" i="1" s="1"/>
  <c r="S572" i="1" s="1"/>
  <c r="S573" i="1" s="1"/>
  <c r="S574" i="1" s="1"/>
  <c r="S575" i="1" s="1"/>
  <c r="S576" i="1" s="1"/>
  <c r="S577" i="1" s="1"/>
  <c r="S578" i="1" s="1"/>
  <c r="S579" i="1" s="1"/>
  <c r="S580" i="1" s="1"/>
  <c r="S581" i="1" s="1"/>
  <c r="S582" i="1" s="1"/>
  <c r="S583" i="1" s="1"/>
  <c r="S584" i="1" s="1"/>
  <c r="S585" i="1" s="1"/>
  <c r="S586" i="1" s="1"/>
  <c r="S587" i="1" s="1"/>
  <c r="S588" i="1" s="1"/>
  <c r="S589" i="1" s="1"/>
  <c r="S590" i="1" s="1"/>
  <c r="S591" i="1" s="1"/>
  <c r="S592" i="1" s="1"/>
  <c r="S593" i="1" s="1"/>
  <c r="S594" i="1" s="1"/>
  <c r="S595" i="1" s="1"/>
  <c r="S596" i="1" s="1"/>
  <c r="S597" i="1" s="1"/>
  <c r="S598" i="1" s="1"/>
  <c r="S599" i="1" s="1"/>
  <c r="S600" i="1" s="1"/>
  <c r="S601" i="1" s="1"/>
  <c r="S602" i="1" s="1"/>
  <c r="S603" i="1" s="1"/>
  <c r="S604" i="1" s="1"/>
  <c r="S605" i="1" s="1"/>
  <c r="S606" i="1" s="1"/>
  <c r="S607" i="1" s="1"/>
  <c r="S608" i="1" s="1"/>
  <c r="S609" i="1" s="1"/>
  <c r="S610" i="1" s="1"/>
  <c r="S611" i="1" s="1"/>
  <c r="S612" i="1" s="1"/>
  <c r="S613" i="1" s="1"/>
  <c r="S614" i="1" s="1"/>
  <c r="S615" i="1" s="1"/>
  <c r="S616" i="1" s="1"/>
  <c r="S617" i="1" s="1"/>
  <c r="S618" i="1" s="1"/>
  <c r="S619" i="1" s="1"/>
  <c r="S620" i="1" s="1"/>
  <c r="S621" i="1" s="1"/>
  <c r="S622" i="1" s="1"/>
  <c r="S623" i="1" s="1"/>
  <c r="S624" i="1" s="1"/>
  <c r="S625" i="1" s="1"/>
  <c r="S626" i="1" s="1"/>
  <c r="S627" i="1" s="1"/>
  <c r="S628" i="1" s="1"/>
  <c r="S629" i="1" s="1"/>
  <c r="S630" i="1" s="1"/>
  <c r="S631" i="1" s="1"/>
  <c r="S632" i="1" s="1"/>
  <c r="S633" i="1" s="1"/>
  <c r="S634" i="1" s="1"/>
  <c r="S635" i="1" s="1"/>
  <c r="S636" i="1" s="1"/>
  <c r="S637" i="1" s="1"/>
  <c r="S638" i="1" s="1"/>
  <c r="O639" i="1"/>
  <c r="AJ112" i="1"/>
  <c r="O640" i="1" l="1"/>
  <c r="O641" i="1" s="1"/>
  <c r="O642" i="1" s="1"/>
  <c r="O643" i="1" s="1"/>
  <c r="O644" i="1" s="1"/>
  <c r="O645" i="1" s="1"/>
  <c r="O646" i="1" s="1"/>
  <c r="O647" i="1" s="1"/>
  <c r="O648" i="1" s="1"/>
  <c r="O649" i="1" s="1"/>
  <c r="O650" i="1" s="1"/>
  <c r="O651" i="1" s="1"/>
  <c r="O652" i="1" s="1"/>
  <c r="O653" i="1" s="1"/>
  <c r="O654" i="1" s="1"/>
  <c r="O655" i="1" s="1"/>
  <c r="O656" i="1" s="1"/>
  <c r="O657" i="1" s="1"/>
  <c r="O658" i="1" s="1"/>
  <c r="O659" i="1" s="1"/>
  <c r="O660" i="1" s="1"/>
  <c r="O661" i="1" s="1"/>
  <c r="O662" i="1" s="1"/>
  <c r="O663" i="1" s="1"/>
  <c r="O664" i="1" s="1"/>
  <c r="O665" i="1" s="1"/>
  <c r="O666" i="1" s="1"/>
  <c r="O667" i="1" s="1"/>
  <c r="O668" i="1" s="1"/>
  <c r="O669" i="1" s="1"/>
  <c r="O670" i="1" s="1"/>
  <c r="O671" i="1" s="1"/>
  <c r="O672" i="1" s="1"/>
  <c r="O673" i="1" s="1"/>
  <c r="O674" i="1" s="1"/>
  <c r="O675" i="1" s="1"/>
  <c r="O676" i="1" s="1"/>
  <c r="O677" i="1" s="1"/>
  <c r="O678" i="1" s="1"/>
  <c r="O679" i="1" s="1"/>
  <c r="O680" i="1" s="1"/>
  <c r="O681" i="1" s="1"/>
  <c r="O682" i="1" s="1"/>
  <c r="O683" i="1" s="1"/>
  <c r="O684" i="1" s="1"/>
  <c r="O685" i="1" s="1"/>
  <c r="O686" i="1" s="1"/>
  <c r="O687" i="1" s="1"/>
  <c r="O688" i="1" s="1"/>
  <c r="O689" i="1" s="1"/>
  <c r="O690" i="1" s="1"/>
  <c r="O691" i="1" s="1"/>
  <c r="O692" i="1" s="1"/>
  <c r="O693" i="1" s="1"/>
  <c r="O694" i="1" s="1"/>
  <c r="O695" i="1" s="1"/>
  <c r="O696" i="1" s="1"/>
  <c r="O697" i="1" s="1"/>
  <c r="O698" i="1" s="1"/>
  <c r="O699" i="1" s="1"/>
  <c r="O700" i="1" s="1"/>
  <c r="O701" i="1" s="1"/>
  <c r="O702" i="1" s="1"/>
  <c r="O703" i="1" s="1"/>
  <c r="O704" i="1" s="1"/>
  <c r="O705" i="1" s="1"/>
  <c r="O706" i="1" s="1"/>
  <c r="O707" i="1" s="1"/>
  <c r="O708" i="1" s="1"/>
  <c r="O709" i="1" s="1"/>
  <c r="O710" i="1" s="1"/>
  <c r="O711" i="1" s="1"/>
  <c r="O712" i="1" s="1"/>
  <c r="O713" i="1" s="1"/>
  <c r="O714" i="1" s="1"/>
  <c r="O715" i="1" s="1"/>
  <c r="O716" i="1" s="1"/>
  <c r="O717" i="1" s="1"/>
  <c r="O718" i="1" s="1"/>
  <c r="O719" i="1" s="1"/>
  <c r="O720" i="1" s="1"/>
  <c r="O721" i="1" s="1"/>
  <c r="O722" i="1" s="1"/>
  <c r="O723" i="1" s="1"/>
  <c r="O724" i="1" s="1"/>
  <c r="O725" i="1" s="1"/>
  <c r="O726" i="1" s="1"/>
  <c r="O727" i="1" s="1"/>
  <c r="O728" i="1" s="1"/>
  <c r="O729" i="1" s="1"/>
  <c r="O730" i="1" s="1"/>
  <c r="AF7" i="1" s="1"/>
  <c r="S639" i="1"/>
  <c r="AH6" i="1"/>
  <c r="S640" i="1" l="1"/>
  <c r="S641" i="1" s="1"/>
  <c r="S642" i="1" s="1"/>
  <c r="S643" i="1" s="1"/>
  <c r="S644" i="1" s="1"/>
  <c r="S645" i="1" s="1"/>
  <c r="S646" i="1" s="1"/>
  <c r="S647" i="1" s="1"/>
  <c r="S648" i="1" s="1"/>
  <c r="S649" i="1" s="1"/>
  <c r="S650" i="1" s="1"/>
  <c r="S651" i="1" s="1"/>
  <c r="S652" i="1" s="1"/>
  <c r="S653" i="1" s="1"/>
  <c r="S654" i="1" s="1"/>
  <c r="S655" i="1" s="1"/>
  <c r="S656" i="1" s="1"/>
  <c r="S657" i="1" s="1"/>
  <c r="S658" i="1" s="1"/>
  <c r="S659" i="1" s="1"/>
  <c r="S660" i="1" s="1"/>
  <c r="S661" i="1" s="1"/>
  <c r="S662" i="1" s="1"/>
  <c r="S663" i="1" s="1"/>
  <c r="S664" i="1" s="1"/>
  <c r="S665" i="1" s="1"/>
  <c r="S666" i="1" s="1"/>
  <c r="S667" i="1" s="1"/>
  <c r="S668" i="1" s="1"/>
  <c r="S669" i="1" s="1"/>
  <c r="S670" i="1" s="1"/>
  <c r="S671" i="1" s="1"/>
  <c r="S672" i="1" s="1"/>
  <c r="S673" i="1" s="1"/>
  <c r="S674" i="1" s="1"/>
  <c r="S675" i="1" s="1"/>
  <c r="S676" i="1" s="1"/>
  <c r="S677" i="1" s="1"/>
  <c r="S678" i="1" s="1"/>
  <c r="S679" i="1" s="1"/>
  <c r="S680" i="1" s="1"/>
  <c r="S681" i="1" s="1"/>
  <c r="S682" i="1" s="1"/>
  <c r="S683" i="1" s="1"/>
  <c r="S684" i="1" s="1"/>
  <c r="S685" i="1" s="1"/>
  <c r="S686" i="1" s="1"/>
  <c r="S687" i="1" s="1"/>
  <c r="S688" i="1" s="1"/>
  <c r="S689" i="1" s="1"/>
  <c r="S690" i="1" s="1"/>
  <c r="S691" i="1" s="1"/>
  <c r="S692" i="1" s="1"/>
  <c r="S693" i="1" s="1"/>
  <c r="S694" i="1" s="1"/>
  <c r="S695" i="1" s="1"/>
  <c r="S696" i="1" s="1"/>
  <c r="S697" i="1" s="1"/>
  <c r="S698" i="1" s="1"/>
  <c r="S699" i="1" s="1"/>
  <c r="S700" i="1" s="1"/>
  <c r="S701" i="1" s="1"/>
  <c r="S702" i="1" s="1"/>
  <c r="S703" i="1" s="1"/>
  <c r="S704" i="1" s="1"/>
  <c r="S705" i="1" s="1"/>
  <c r="S706" i="1" s="1"/>
  <c r="S707" i="1" s="1"/>
  <c r="S708" i="1" s="1"/>
  <c r="S709" i="1" s="1"/>
  <c r="S710" i="1" s="1"/>
  <c r="S711" i="1" s="1"/>
  <c r="S712" i="1" s="1"/>
  <c r="S713" i="1" s="1"/>
  <c r="S714" i="1" s="1"/>
  <c r="S715" i="1" s="1"/>
  <c r="S716" i="1" s="1"/>
  <c r="S717" i="1" s="1"/>
  <c r="S718" i="1" s="1"/>
  <c r="S719" i="1" s="1"/>
  <c r="S720" i="1" s="1"/>
  <c r="S721" i="1" s="1"/>
  <c r="S722" i="1" s="1"/>
  <c r="S723" i="1" s="1"/>
  <c r="S724" i="1" s="1"/>
  <c r="S725" i="1" s="1"/>
  <c r="S726" i="1" s="1"/>
  <c r="S727" i="1" s="1"/>
  <c r="S728" i="1" s="1"/>
  <c r="S729" i="1" s="1"/>
  <c r="S730" i="1" s="1"/>
  <c r="S731" i="1" s="1"/>
  <c r="S732" i="1" s="1"/>
  <c r="S733" i="1" s="1"/>
  <c r="S734" i="1" s="1"/>
  <c r="S735" i="1" s="1"/>
  <c r="S736" i="1" s="1"/>
  <c r="S737" i="1" s="1"/>
  <c r="S738" i="1" s="1"/>
  <c r="S739" i="1" s="1"/>
  <c r="S740" i="1" s="1"/>
  <c r="S741" i="1" s="1"/>
  <c r="S742" i="1" s="1"/>
  <c r="S743" i="1" s="1"/>
  <c r="S744" i="1" s="1"/>
  <c r="S745" i="1" s="1"/>
  <c r="S746" i="1" s="1"/>
  <c r="S747" i="1" s="1"/>
  <c r="S748" i="1" s="1"/>
  <c r="S749" i="1" s="1"/>
  <c r="S750" i="1" s="1"/>
  <c r="S751" i="1" s="1"/>
  <c r="S752" i="1" s="1"/>
  <c r="S753" i="1" s="1"/>
  <c r="S754" i="1" s="1"/>
  <c r="S755" i="1" s="1"/>
  <c r="S756" i="1" s="1"/>
  <c r="S757" i="1" s="1"/>
  <c r="S758" i="1" s="1"/>
  <c r="S759" i="1" s="1"/>
  <c r="S760" i="1" s="1"/>
  <c r="S761" i="1" s="1"/>
  <c r="S762" i="1" s="1"/>
  <c r="S763" i="1" s="1"/>
  <c r="S764" i="1" s="1"/>
  <c r="S765" i="1" s="1"/>
  <c r="S766" i="1" s="1"/>
  <c r="S767" i="1" s="1"/>
  <c r="S768" i="1" s="1"/>
  <c r="S769" i="1" s="1"/>
  <c r="S770" i="1" s="1"/>
  <c r="S771" i="1" s="1"/>
  <c r="S772" i="1" s="1"/>
  <c r="S773" i="1" s="1"/>
  <c r="S774" i="1" s="1"/>
  <c r="S775" i="1" s="1"/>
  <c r="S776" i="1" s="1"/>
  <c r="S777" i="1" s="1"/>
  <c r="S778" i="1" s="1"/>
  <c r="S779" i="1" s="1"/>
  <c r="S780" i="1" s="1"/>
  <c r="S781" i="1" s="1"/>
  <c r="S782" i="1" s="1"/>
  <c r="S783" i="1" s="1"/>
  <c r="S784" i="1" s="1"/>
  <c r="O731" i="1"/>
  <c r="O732" i="1" s="1"/>
  <c r="O733" i="1" s="1"/>
  <c r="O734" i="1" s="1"/>
  <c r="O735" i="1" s="1"/>
  <c r="O736" i="1" s="1"/>
  <c r="O737" i="1" s="1"/>
  <c r="O738" i="1" s="1"/>
  <c r="O739" i="1" s="1"/>
  <c r="O740" i="1" s="1"/>
  <c r="O741" i="1" s="1"/>
  <c r="O742" i="1" s="1"/>
  <c r="O743" i="1" s="1"/>
  <c r="O744" i="1" s="1"/>
  <c r="O745" i="1" s="1"/>
  <c r="O746" i="1" s="1"/>
  <c r="O747" i="1" s="1"/>
  <c r="O748" i="1" s="1"/>
  <c r="O749" i="1" s="1"/>
  <c r="O750" i="1" s="1"/>
  <c r="O751" i="1" s="1"/>
  <c r="O752" i="1" s="1"/>
  <c r="O753" i="1" s="1"/>
  <c r="O754" i="1" s="1"/>
  <c r="O755" i="1" s="1"/>
  <c r="O756" i="1" s="1"/>
  <c r="O757" i="1" s="1"/>
  <c r="O758" i="1" s="1"/>
  <c r="O759" i="1" s="1"/>
  <c r="O760" i="1" s="1"/>
  <c r="O761" i="1" s="1"/>
  <c r="O762" i="1" s="1"/>
  <c r="O763" i="1" s="1"/>
  <c r="O764" i="1" s="1"/>
  <c r="O765" i="1" s="1"/>
  <c r="O766" i="1" s="1"/>
  <c r="O767" i="1" s="1"/>
  <c r="O768" i="1" s="1"/>
  <c r="O769" i="1" s="1"/>
  <c r="O770" i="1" s="1"/>
  <c r="O771" i="1" s="1"/>
  <c r="O772" i="1" s="1"/>
  <c r="O773" i="1" s="1"/>
  <c r="O774" i="1" s="1"/>
  <c r="O775" i="1" s="1"/>
  <c r="O776" i="1" s="1"/>
  <c r="O777" i="1" s="1"/>
  <c r="O778" i="1" s="1"/>
  <c r="O779" i="1" s="1"/>
  <c r="O780" i="1" s="1"/>
  <c r="O781" i="1" s="1"/>
  <c r="O782" i="1" s="1"/>
  <c r="O783" i="1" s="1"/>
  <c r="O784" i="1" s="1"/>
  <c r="AF8" i="1" s="1"/>
  <c r="AI8" i="1" s="1"/>
  <c r="AJ113" i="1"/>
  <c r="AK112" i="1"/>
  <c r="AI7" i="1"/>
  <c r="CB40" i="1" s="1"/>
  <c r="CB80" i="1" s="1"/>
  <c r="AH7" i="1" l="1"/>
  <c r="AK113" i="1" s="1"/>
  <c r="O785" i="1"/>
  <c r="O786" i="1" s="1"/>
  <c r="O787" i="1" s="1"/>
  <c r="O788" i="1" s="1"/>
  <c r="O789" i="1" s="1"/>
  <c r="O790" i="1" s="1"/>
  <c r="O791" i="1" s="1"/>
  <c r="O792" i="1" s="1"/>
  <c r="O793" i="1" s="1"/>
  <c r="O794" i="1" s="1"/>
  <c r="O795" i="1" s="1"/>
  <c r="O796" i="1" s="1"/>
  <c r="O797" i="1" s="1"/>
  <c r="O798" i="1" s="1"/>
  <c r="O799" i="1" s="1"/>
  <c r="O800" i="1" s="1"/>
  <c r="O801" i="1" s="1"/>
  <c r="O802" i="1" s="1"/>
  <c r="O803" i="1" s="1"/>
  <c r="O804" i="1" s="1"/>
  <c r="O805" i="1" s="1"/>
  <c r="O806" i="1" s="1"/>
  <c r="O807" i="1" s="1"/>
  <c r="O808" i="1" s="1"/>
  <c r="O809" i="1" s="1"/>
  <c r="O810" i="1" s="1"/>
  <c r="O811" i="1" s="1"/>
  <c r="O812" i="1" s="1"/>
  <c r="O813" i="1" s="1"/>
  <c r="O814" i="1" s="1"/>
  <c r="O815" i="1" s="1"/>
  <c r="O816" i="1" s="1"/>
  <c r="O817" i="1" s="1"/>
  <c r="O818" i="1" s="1"/>
  <c r="O819" i="1" s="1"/>
  <c r="O820" i="1" s="1"/>
  <c r="O821" i="1" s="1"/>
  <c r="O822" i="1" s="1"/>
  <c r="O823" i="1" s="1"/>
  <c r="O824" i="1" s="1"/>
  <c r="O825" i="1" s="1"/>
  <c r="O826" i="1" s="1"/>
  <c r="O827" i="1" s="1"/>
  <c r="O828" i="1" s="1"/>
  <c r="O829" i="1" s="1"/>
  <c r="O830" i="1" s="1"/>
  <c r="O831" i="1" s="1"/>
  <c r="O832" i="1" s="1"/>
  <c r="O833" i="1" s="1"/>
  <c r="O834" i="1" s="1"/>
  <c r="O835" i="1" s="1"/>
  <c r="O836" i="1" s="1"/>
  <c r="O837" i="1" s="1"/>
  <c r="O838" i="1" s="1"/>
  <c r="O839" i="1" s="1"/>
  <c r="O840" i="1" s="1"/>
  <c r="O841" i="1" s="1"/>
  <c r="O842" i="1" s="1"/>
  <c r="O843" i="1" s="1"/>
  <c r="O844" i="1" s="1"/>
  <c r="O845" i="1" s="1"/>
  <c r="O846" i="1" s="1"/>
  <c r="O847" i="1" s="1"/>
  <c r="O848" i="1" s="1"/>
  <c r="O849" i="1" s="1"/>
  <c r="O850" i="1" s="1"/>
  <c r="O851" i="1" s="1"/>
  <c r="O852" i="1" s="1"/>
  <c r="O853" i="1" s="1"/>
  <c r="O854" i="1" s="1"/>
  <c r="O855" i="1" s="1"/>
  <c r="O856" i="1" s="1"/>
  <c r="O857" i="1" s="1"/>
  <c r="O858" i="1" s="1"/>
  <c r="O859" i="1" s="1"/>
  <c r="O860" i="1" s="1"/>
  <c r="O861" i="1" s="1"/>
  <c r="O862" i="1" s="1"/>
  <c r="O863" i="1" s="1"/>
  <c r="O864" i="1" s="1"/>
  <c r="O865" i="1" s="1"/>
  <c r="O866" i="1" s="1"/>
  <c r="O867" i="1" s="1"/>
  <c r="O868" i="1" s="1"/>
  <c r="O869" i="1" s="1"/>
  <c r="O870" i="1" s="1"/>
  <c r="O871" i="1" s="1"/>
  <c r="O872" i="1" s="1"/>
  <c r="O873" i="1" s="1"/>
  <c r="O874" i="1" s="1"/>
  <c r="O875" i="1" s="1"/>
  <c r="O876" i="1" s="1"/>
  <c r="O877" i="1" s="1"/>
  <c r="O878" i="1" s="1"/>
  <c r="O879" i="1" s="1"/>
  <c r="O880" i="1" s="1"/>
  <c r="O881" i="1" s="1"/>
  <c r="O882" i="1" s="1"/>
  <c r="O883" i="1" s="1"/>
  <c r="O884" i="1" s="1"/>
  <c r="O885" i="1" s="1"/>
  <c r="O886" i="1" s="1"/>
  <c r="O887" i="1" s="1"/>
  <c r="O888" i="1" s="1"/>
  <c r="O889" i="1" s="1"/>
  <c r="O890" i="1" s="1"/>
  <c r="O891" i="1" s="1"/>
  <c r="O892" i="1" s="1"/>
  <c r="O893" i="1" s="1"/>
  <c r="O894" i="1" s="1"/>
  <c r="O895" i="1" s="1"/>
  <c r="O896" i="1" s="1"/>
  <c r="O897" i="1" s="1"/>
  <c r="O898" i="1" s="1"/>
  <c r="O899" i="1" s="1"/>
  <c r="O900" i="1" s="1"/>
  <c r="O901" i="1" s="1"/>
  <c r="O902" i="1" s="1"/>
  <c r="O903" i="1" s="1"/>
  <c r="O904" i="1" s="1"/>
  <c r="O905" i="1" s="1"/>
  <c r="O906" i="1" s="1"/>
  <c r="O907" i="1" s="1"/>
  <c r="O908" i="1" s="1"/>
  <c r="O909" i="1" s="1"/>
  <c r="O910" i="1" s="1"/>
  <c r="O911" i="1" s="1"/>
  <c r="O912" i="1" s="1"/>
  <c r="O913" i="1" s="1"/>
  <c r="O914" i="1" s="1"/>
  <c r="O915" i="1" s="1"/>
  <c r="O916" i="1" s="1"/>
  <c r="O917" i="1" s="1"/>
  <c r="O918" i="1" s="1"/>
  <c r="O919" i="1" s="1"/>
  <c r="O920" i="1" s="1"/>
  <c r="O921" i="1" s="1"/>
  <c r="O922" i="1" s="1"/>
  <c r="O923" i="1" s="1"/>
  <c r="O924" i="1" s="1"/>
  <c r="O925" i="1" s="1"/>
  <c r="O926" i="1" s="1"/>
  <c r="O927" i="1" s="1"/>
  <c r="O928" i="1" s="1"/>
  <c r="AF9" i="1" s="1"/>
  <c r="CB47" i="1"/>
  <c r="CB87" i="1" s="1"/>
  <c r="CB42" i="1"/>
  <c r="CB82" i="1" s="1"/>
  <c r="CB45" i="1"/>
  <c r="CB85" i="1" s="1"/>
  <c r="CB56" i="1"/>
  <c r="CB97" i="1" s="1"/>
  <c r="CB32" i="1"/>
  <c r="CB72" i="1" s="1"/>
  <c r="CB50" i="1"/>
  <c r="CB91" i="1" s="1"/>
  <c r="CB34" i="1"/>
  <c r="CB74" i="1" s="1"/>
  <c r="CB61" i="1"/>
  <c r="CB102" i="1" s="1"/>
  <c r="CB36" i="1"/>
  <c r="CB76" i="1" s="1"/>
  <c r="CB33" i="1"/>
  <c r="CB73" i="1" s="1"/>
  <c r="CB31" i="1"/>
  <c r="CB71" i="1" s="1"/>
  <c r="CB60" i="1"/>
  <c r="CB101" i="1" s="1"/>
  <c r="CB65" i="1"/>
  <c r="CB106" i="1" s="1"/>
  <c r="CB58" i="1"/>
  <c r="CB99" i="1" s="1"/>
  <c r="CB49" i="1"/>
  <c r="CB46" i="1"/>
  <c r="CB86" i="1" s="1"/>
  <c r="CB37" i="1"/>
  <c r="CB77" i="1" s="1"/>
  <c r="CB38" i="1"/>
  <c r="CB78" i="1" s="1"/>
  <c r="CB41" i="1"/>
  <c r="CB81" i="1" s="1"/>
  <c r="CB39" i="1"/>
  <c r="CB79" i="1" s="1"/>
  <c r="CB35" i="1"/>
  <c r="CB75" i="1" s="1"/>
  <c r="CB59" i="1"/>
  <c r="CB100" i="1" s="1"/>
  <c r="CB66" i="1"/>
  <c r="CB107" i="1" s="1"/>
  <c r="CB43" i="1"/>
  <c r="CB83" i="1" s="1"/>
  <c r="CB62" i="1"/>
  <c r="CB103" i="1" s="1"/>
  <c r="CB53" i="1"/>
  <c r="CB94" i="1" s="1"/>
  <c r="CB55" i="1"/>
  <c r="CB96" i="1" s="1"/>
  <c r="CB30" i="1"/>
  <c r="CB52" i="1"/>
  <c r="CB93" i="1" s="1"/>
  <c r="CB44" i="1"/>
  <c r="CB84" i="1" s="1"/>
  <c r="CB48" i="1"/>
  <c r="CB88" i="1" s="1"/>
  <c r="CB51" i="1"/>
  <c r="CB92" i="1" s="1"/>
  <c r="S785" i="1"/>
  <c r="S786" i="1" s="1"/>
  <c r="S787" i="1" s="1"/>
  <c r="S788" i="1" s="1"/>
  <c r="S789" i="1" s="1"/>
  <c r="S790" i="1" s="1"/>
  <c r="S791" i="1" s="1"/>
  <c r="S792" i="1" s="1"/>
  <c r="S793" i="1" s="1"/>
  <c r="S794" i="1" s="1"/>
  <c r="S795" i="1" s="1"/>
  <c r="S796" i="1" s="1"/>
  <c r="S797" i="1" s="1"/>
  <c r="S798" i="1" s="1"/>
  <c r="S799" i="1" s="1"/>
  <c r="S800" i="1" s="1"/>
  <c r="S801" i="1" s="1"/>
  <c r="S802" i="1" s="1"/>
  <c r="S803" i="1" s="1"/>
  <c r="S804" i="1" s="1"/>
  <c r="S805" i="1" s="1"/>
  <c r="S806" i="1" s="1"/>
  <c r="S807" i="1" s="1"/>
  <c r="S808" i="1" s="1"/>
  <c r="S809" i="1" s="1"/>
  <c r="S810" i="1" s="1"/>
  <c r="S811" i="1" s="1"/>
  <c r="S812" i="1" s="1"/>
  <c r="S813" i="1" s="1"/>
  <c r="S814" i="1" s="1"/>
  <c r="S815" i="1" s="1"/>
  <c r="S816" i="1" s="1"/>
  <c r="S817" i="1" s="1"/>
  <c r="S818" i="1" s="1"/>
  <c r="S819" i="1" s="1"/>
  <c r="S820" i="1" s="1"/>
  <c r="S821" i="1" s="1"/>
  <c r="S822" i="1" s="1"/>
  <c r="S823" i="1" s="1"/>
  <c r="S824" i="1" s="1"/>
  <c r="S825" i="1" s="1"/>
  <c r="S826" i="1" s="1"/>
  <c r="S827" i="1" s="1"/>
  <c r="S828" i="1" s="1"/>
  <c r="S829" i="1" s="1"/>
  <c r="S830" i="1" s="1"/>
  <c r="S831" i="1" s="1"/>
  <c r="S832" i="1" s="1"/>
  <c r="S833" i="1" s="1"/>
  <c r="S834" i="1" s="1"/>
  <c r="S835" i="1" s="1"/>
  <c r="S836" i="1" s="1"/>
  <c r="S837" i="1" s="1"/>
  <c r="S838" i="1" s="1"/>
  <c r="S839" i="1" s="1"/>
  <c r="S840" i="1" s="1"/>
  <c r="S841" i="1" s="1"/>
  <c r="S842" i="1" s="1"/>
  <c r="S843" i="1" s="1"/>
  <c r="S844" i="1" s="1"/>
  <c r="S845" i="1" s="1"/>
  <c r="S846" i="1" s="1"/>
  <c r="S847" i="1" s="1"/>
  <c r="S848" i="1" s="1"/>
  <c r="S849" i="1" s="1"/>
  <c r="S850" i="1" s="1"/>
  <c r="S851" i="1" s="1"/>
  <c r="S852" i="1" s="1"/>
  <c r="S853" i="1" s="1"/>
  <c r="S854" i="1" s="1"/>
  <c r="S855" i="1" s="1"/>
  <c r="S856" i="1" s="1"/>
  <c r="S857" i="1" s="1"/>
  <c r="S858" i="1" s="1"/>
  <c r="S859" i="1" s="1"/>
  <c r="S860" i="1" s="1"/>
  <c r="S861" i="1" s="1"/>
  <c r="S862" i="1" s="1"/>
  <c r="S863" i="1" s="1"/>
  <c r="S864" i="1" s="1"/>
  <c r="S865" i="1" s="1"/>
  <c r="S866" i="1" s="1"/>
  <c r="S867" i="1" s="1"/>
  <c r="S868" i="1" s="1"/>
  <c r="S869" i="1" s="1"/>
  <c r="S870" i="1" s="1"/>
  <c r="S871" i="1" s="1"/>
  <c r="S872" i="1" s="1"/>
  <c r="S873" i="1" s="1"/>
  <c r="S874" i="1" s="1"/>
  <c r="S875" i="1" s="1"/>
  <c r="S876" i="1" s="1"/>
  <c r="S877" i="1" s="1"/>
  <c r="S878" i="1" s="1"/>
  <c r="S879" i="1" s="1"/>
  <c r="S880" i="1" s="1"/>
  <c r="S881" i="1" s="1"/>
  <c r="S882" i="1" s="1"/>
  <c r="S883" i="1" s="1"/>
  <c r="S884" i="1" s="1"/>
  <c r="S885" i="1" s="1"/>
  <c r="S886" i="1" s="1"/>
  <c r="S887" i="1" s="1"/>
  <c r="S888" i="1" s="1"/>
  <c r="S889" i="1" s="1"/>
  <c r="S890" i="1" s="1"/>
  <c r="S891" i="1" s="1"/>
  <c r="S892" i="1" s="1"/>
  <c r="S893" i="1" s="1"/>
  <c r="S894" i="1" s="1"/>
  <c r="S895" i="1" s="1"/>
  <c r="S896" i="1" s="1"/>
  <c r="S897" i="1" s="1"/>
  <c r="S898" i="1" s="1"/>
  <c r="S899" i="1" s="1"/>
  <c r="S900" i="1" s="1"/>
  <c r="S901" i="1" s="1"/>
  <c r="S902" i="1" s="1"/>
  <c r="S903" i="1" s="1"/>
  <c r="S904" i="1" s="1"/>
  <c r="S905" i="1" s="1"/>
  <c r="S906" i="1" s="1"/>
  <c r="S907" i="1" s="1"/>
  <c r="S908" i="1" s="1"/>
  <c r="S909" i="1" s="1"/>
  <c r="S910" i="1" s="1"/>
  <c r="S911" i="1" s="1"/>
  <c r="S912" i="1" s="1"/>
  <c r="S913" i="1" s="1"/>
  <c r="S914" i="1" s="1"/>
  <c r="S915" i="1" s="1"/>
  <c r="S916" i="1" s="1"/>
  <c r="S917" i="1" s="1"/>
  <c r="S918" i="1" s="1"/>
  <c r="S919" i="1" s="1"/>
  <c r="S920" i="1" s="1"/>
  <c r="S921" i="1" s="1"/>
  <c r="S922" i="1" s="1"/>
  <c r="S923" i="1" s="1"/>
  <c r="S924" i="1" s="1"/>
  <c r="S925" i="1" s="1"/>
  <c r="S926" i="1" s="1"/>
  <c r="S927" i="1" s="1"/>
  <c r="S928" i="1" s="1"/>
  <c r="AH8" i="1"/>
  <c r="AL112" i="1"/>
  <c r="CB64" i="1"/>
  <c r="CB105" i="1" s="1"/>
  <c r="CB54" i="1"/>
  <c r="CB95" i="1" s="1"/>
  <c r="CB57" i="1"/>
  <c r="CB98" i="1" s="1"/>
  <c r="CB63" i="1"/>
  <c r="CB104" i="1" s="1"/>
  <c r="CL51" i="1"/>
  <c r="CL92" i="1" s="1"/>
  <c r="CL64" i="1"/>
  <c r="CL105" i="1" s="1"/>
  <c r="CL39" i="1"/>
  <c r="CL79" i="1" s="1"/>
  <c r="CL53" i="1"/>
  <c r="CL94" i="1" s="1"/>
  <c r="CL58" i="1"/>
  <c r="CL99" i="1" s="1"/>
  <c r="CL35" i="1"/>
  <c r="CL75" i="1" s="1"/>
  <c r="CL62" i="1"/>
  <c r="CL103" i="1" s="1"/>
  <c r="CL42" i="1"/>
  <c r="CL38" i="1"/>
  <c r="CL78" i="1" s="1"/>
  <c r="CL41" i="1"/>
  <c r="CL81" i="1" s="1"/>
  <c r="CL36" i="1"/>
  <c r="CL76" i="1" s="1"/>
  <c r="CL59" i="1"/>
  <c r="CL100" i="1" s="1"/>
  <c r="CL61" i="1"/>
  <c r="CL102" i="1" s="1"/>
  <c r="CL43" i="1"/>
  <c r="CL83" i="1" s="1"/>
  <c r="CL56" i="1"/>
  <c r="CL97" i="1" s="1"/>
  <c r="CL31" i="1"/>
  <c r="CL71" i="1" s="1"/>
  <c r="CL45" i="1"/>
  <c r="CL85" i="1" s="1"/>
  <c r="CL50" i="1"/>
  <c r="CL91" i="1" s="1"/>
  <c r="CL48" i="1"/>
  <c r="CL88" i="1" s="1"/>
  <c r="CL37" i="1"/>
  <c r="CL77" i="1" s="1"/>
  <c r="CL49" i="1"/>
  <c r="CL44" i="1"/>
  <c r="CL84" i="1" s="1"/>
  <c r="CL55" i="1"/>
  <c r="CL33" i="1"/>
  <c r="CL73" i="1" s="1"/>
  <c r="CL66" i="1"/>
  <c r="CL107" i="1" s="1"/>
  <c r="CL65" i="1"/>
  <c r="CL106" i="1" s="1"/>
  <c r="CL40" i="1"/>
  <c r="CL80" i="1" s="1"/>
  <c r="CL54" i="1"/>
  <c r="CL95" i="1" s="1"/>
  <c r="CL60" i="1"/>
  <c r="CL101" i="1" s="1"/>
  <c r="CL34" i="1"/>
  <c r="CL74" i="1" s="1"/>
  <c r="CL57" i="1"/>
  <c r="CL98" i="1" s="1"/>
  <c r="CL32" i="1"/>
  <c r="CL72" i="1" s="1"/>
  <c r="CL46" i="1"/>
  <c r="CL86" i="1" s="1"/>
  <c r="CL52" i="1"/>
  <c r="CL93" i="1" s="1"/>
  <c r="CL63" i="1"/>
  <c r="CL104" i="1" s="1"/>
  <c r="CL30" i="1"/>
  <c r="CL47" i="1"/>
  <c r="CL87" i="1" s="1"/>
  <c r="O929" i="1" l="1"/>
  <c r="O930" i="1" s="1"/>
  <c r="O931" i="1" s="1"/>
  <c r="O932" i="1" s="1"/>
  <c r="O933" i="1" s="1"/>
  <c r="O934" i="1" s="1"/>
  <c r="O935" i="1" s="1"/>
  <c r="O936" i="1" s="1"/>
  <c r="O937" i="1" s="1"/>
  <c r="O938" i="1" s="1"/>
  <c r="O939" i="1" s="1"/>
  <c r="O940" i="1" s="1"/>
  <c r="O941" i="1" s="1"/>
  <c r="O942" i="1" s="1"/>
  <c r="O943" i="1" s="1"/>
  <c r="O944" i="1" s="1"/>
  <c r="O945" i="1" s="1"/>
  <c r="O946" i="1" s="1"/>
  <c r="O947" i="1" s="1"/>
  <c r="O948" i="1" s="1"/>
  <c r="O949" i="1" s="1"/>
  <c r="O950" i="1" s="1"/>
  <c r="O951" i="1" s="1"/>
  <c r="O952" i="1" s="1"/>
  <c r="O953" i="1" s="1"/>
  <c r="O954" i="1" s="1"/>
  <c r="O955" i="1" s="1"/>
  <c r="O956" i="1" s="1"/>
  <c r="O957" i="1" s="1"/>
  <c r="O958" i="1" s="1"/>
  <c r="O959" i="1" s="1"/>
  <c r="O960" i="1" s="1"/>
  <c r="O961" i="1" s="1"/>
  <c r="O962" i="1" s="1"/>
  <c r="O963" i="1" s="1"/>
  <c r="O964" i="1" s="1"/>
  <c r="O965" i="1" s="1"/>
  <c r="O966" i="1" s="1"/>
  <c r="O967" i="1" s="1"/>
  <c r="O968" i="1" s="1"/>
  <c r="O969" i="1" s="1"/>
  <c r="O970" i="1" s="1"/>
  <c r="O971" i="1" s="1"/>
  <c r="O972" i="1" s="1"/>
  <c r="O973" i="1" s="1"/>
  <c r="O974" i="1" s="1"/>
  <c r="O975" i="1" s="1"/>
  <c r="O976" i="1" s="1"/>
  <c r="O977" i="1" s="1"/>
  <c r="O978" i="1" s="1"/>
  <c r="O979" i="1" s="1"/>
  <c r="O980" i="1" s="1"/>
  <c r="O981" i="1" s="1"/>
  <c r="O982" i="1" s="1"/>
  <c r="O983" i="1" s="1"/>
  <c r="O984" i="1" s="1"/>
  <c r="O985" i="1" s="1"/>
  <c r="O986" i="1" s="1"/>
  <c r="O987" i="1" s="1"/>
  <c r="O988" i="1" s="1"/>
  <c r="O989" i="1" s="1"/>
  <c r="O990" i="1" s="1"/>
  <c r="O991" i="1" s="1"/>
  <c r="O992" i="1" s="1"/>
  <c r="O993" i="1" s="1"/>
  <c r="O994" i="1" s="1"/>
  <c r="O995" i="1" s="1"/>
  <c r="O996" i="1" s="1"/>
  <c r="O997" i="1" s="1"/>
  <c r="O998" i="1" s="1"/>
  <c r="O999" i="1" s="1"/>
  <c r="O1000" i="1" s="1"/>
  <c r="O1001" i="1" s="1"/>
  <c r="O1002" i="1" s="1"/>
  <c r="O1003" i="1" s="1"/>
  <c r="O1004" i="1" s="1"/>
  <c r="O1005" i="1" s="1"/>
  <c r="O1006" i="1" s="1"/>
  <c r="O1007" i="1" s="1"/>
  <c r="O1008" i="1" s="1"/>
  <c r="O1009" i="1" s="1"/>
  <c r="O1010" i="1" s="1"/>
  <c r="O1011" i="1" s="1"/>
  <c r="O1012" i="1" s="1"/>
  <c r="O1013" i="1" s="1"/>
  <c r="O1014" i="1" s="1"/>
  <c r="O1015" i="1" s="1"/>
  <c r="O1016" i="1" s="1"/>
  <c r="O1017" i="1" s="1"/>
  <c r="O1018" i="1" s="1"/>
  <c r="O1019" i="1" s="1"/>
  <c r="O1020" i="1" s="1"/>
  <c r="O1021" i="1" s="1"/>
  <c r="O1022" i="1" s="1"/>
  <c r="O1023" i="1" s="1"/>
  <c r="O1024" i="1" s="1"/>
  <c r="O1025" i="1" s="1"/>
  <c r="O1026" i="1" s="1"/>
  <c r="O1027" i="1" s="1"/>
  <c r="O1028" i="1" s="1"/>
  <c r="O1029" i="1" s="1"/>
  <c r="O1030" i="1" s="1"/>
  <c r="O1031" i="1" s="1"/>
  <c r="O1032" i="1" s="1"/>
  <c r="O1033" i="1" s="1"/>
  <c r="O1034" i="1" s="1"/>
  <c r="O1035" i="1" s="1"/>
  <c r="O1036" i="1" s="1"/>
  <c r="O1037" i="1" s="1"/>
  <c r="O1038" i="1" s="1"/>
  <c r="O1039" i="1" s="1"/>
  <c r="O1040" i="1" s="1"/>
  <c r="O1041" i="1" s="1"/>
  <c r="O1042" i="1" s="1"/>
  <c r="O1043" i="1" s="1"/>
  <c r="O1044" i="1" s="1"/>
  <c r="O1045" i="1" s="1"/>
  <c r="O1046" i="1" s="1"/>
  <c r="O1047" i="1" s="1"/>
  <c r="O1048" i="1" s="1"/>
  <c r="O1049" i="1" s="1"/>
  <c r="O1050" i="1" s="1"/>
  <c r="O1051" i="1" s="1"/>
  <c r="O1052" i="1" s="1"/>
  <c r="O1053" i="1" s="1"/>
  <c r="O1054" i="1" s="1"/>
  <c r="O1055" i="1" s="1"/>
  <c r="O1056" i="1" s="1"/>
  <c r="O1057" i="1" s="1"/>
  <c r="O1058" i="1" s="1"/>
  <c r="O1059" i="1" s="1"/>
  <c r="O1060" i="1" s="1"/>
  <c r="O1061" i="1" s="1"/>
  <c r="O1062" i="1" s="1"/>
  <c r="O1063" i="1" s="1"/>
  <c r="O1064" i="1" s="1"/>
  <c r="O1065" i="1" s="1"/>
  <c r="O1066" i="1" s="1"/>
  <c r="O1067" i="1" s="1"/>
  <c r="O1068" i="1" s="1"/>
  <c r="O1069" i="1" s="1"/>
  <c r="O1070" i="1" s="1"/>
  <c r="O1071" i="1" s="1"/>
  <c r="O1072" i="1" s="1"/>
  <c r="O1073" i="1" s="1"/>
  <c r="O1074" i="1" s="1"/>
  <c r="O1075" i="1" s="1"/>
  <c r="O1076" i="1" s="1"/>
  <c r="O1077" i="1" s="1"/>
  <c r="O1078" i="1" s="1"/>
  <c r="O1079" i="1" s="1"/>
  <c r="O1080" i="1" s="1"/>
  <c r="O1081" i="1" s="1"/>
  <c r="O1082" i="1" s="1"/>
  <c r="O1083" i="1" s="1"/>
  <c r="O1084" i="1" s="1"/>
  <c r="O1085" i="1" s="1"/>
  <c r="O1086" i="1" s="1"/>
  <c r="O1087" i="1" s="1"/>
  <c r="O1088" i="1" s="1"/>
  <c r="O1089" i="1" s="1"/>
  <c r="O1090" i="1" s="1"/>
  <c r="O1091" i="1" s="1"/>
  <c r="O1092" i="1" s="1"/>
  <c r="O1093" i="1" s="1"/>
  <c r="O1094" i="1" s="1"/>
  <c r="O1095" i="1" s="1"/>
  <c r="O1096" i="1" s="1"/>
  <c r="O1097" i="1" s="1"/>
  <c r="O1098" i="1" s="1"/>
  <c r="O1099" i="1" s="1"/>
  <c r="O1100" i="1" s="1"/>
  <c r="O1101" i="1" s="1"/>
  <c r="O1102" i="1" s="1"/>
  <c r="O1103" i="1" s="1"/>
  <c r="O1104" i="1" s="1"/>
  <c r="O1105" i="1" s="1"/>
  <c r="O1106" i="1" s="1"/>
  <c r="O1107" i="1" s="1"/>
  <c r="O1108" i="1" s="1"/>
  <c r="O1109" i="1" s="1"/>
  <c r="O1110" i="1" s="1"/>
  <c r="O1111" i="1" s="1"/>
  <c r="O1112" i="1" s="1"/>
  <c r="O1113" i="1" s="1"/>
  <c r="O1114" i="1" s="1"/>
  <c r="O1115" i="1" s="1"/>
  <c r="O1116" i="1" s="1"/>
  <c r="O1117" i="1" s="1"/>
  <c r="O1118" i="1" s="1"/>
  <c r="O1119" i="1" s="1"/>
  <c r="O1120" i="1" s="1"/>
  <c r="O1121" i="1" s="1"/>
  <c r="O1122" i="1" s="1"/>
  <c r="O1123" i="1" s="1"/>
  <c r="O1124" i="1" s="1"/>
  <c r="O1125" i="1" s="1"/>
  <c r="O1126" i="1" s="1"/>
  <c r="O1127" i="1" s="1"/>
  <c r="O1128" i="1" s="1"/>
  <c r="O1129" i="1" s="1"/>
  <c r="O1130" i="1" s="1"/>
  <c r="O1131" i="1" s="1"/>
  <c r="O1132" i="1" s="1"/>
  <c r="O1133" i="1" s="1"/>
  <c r="O1134" i="1" s="1"/>
  <c r="O1135" i="1" s="1"/>
  <c r="O1136" i="1" s="1"/>
  <c r="AL113" i="1"/>
  <c r="CL68" i="1"/>
  <c r="CB68" i="1"/>
  <c r="CF82" i="1"/>
  <c r="S929" i="1"/>
  <c r="S930" i="1" s="1"/>
  <c r="S931" i="1" s="1"/>
  <c r="S932" i="1" s="1"/>
  <c r="S933" i="1" s="1"/>
  <c r="S934" i="1" s="1"/>
  <c r="S935" i="1" s="1"/>
  <c r="S936" i="1" s="1"/>
  <c r="S937" i="1" s="1"/>
  <c r="S938" i="1" s="1"/>
  <c r="S939" i="1" s="1"/>
  <c r="S940" i="1" s="1"/>
  <c r="S941" i="1" s="1"/>
  <c r="S942" i="1" s="1"/>
  <c r="S943" i="1" s="1"/>
  <c r="S944" i="1" s="1"/>
  <c r="S945" i="1" s="1"/>
  <c r="S946" i="1" s="1"/>
  <c r="S947" i="1" s="1"/>
  <c r="S948" i="1" s="1"/>
  <c r="S949" i="1" s="1"/>
  <c r="S950" i="1" s="1"/>
  <c r="S951" i="1" s="1"/>
  <c r="S952" i="1" s="1"/>
  <c r="S953" i="1" s="1"/>
  <c r="S954" i="1" s="1"/>
  <c r="S955" i="1" s="1"/>
  <c r="S956" i="1" s="1"/>
  <c r="S957" i="1" s="1"/>
  <c r="S958" i="1" s="1"/>
  <c r="S959" i="1" s="1"/>
  <c r="S960" i="1" s="1"/>
  <c r="S961" i="1" s="1"/>
  <c r="S962" i="1" s="1"/>
  <c r="S963" i="1" s="1"/>
  <c r="S964" i="1" s="1"/>
  <c r="S965" i="1" s="1"/>
  <c r="S966" i="1" s="1"/>
  <c r="S967" i="1" s="1"/>
  <c r="S968" i="1" s="1"/>
  <c r="S969" i="1" s="1"/>
  <c r="S970" i="1" s="1"/>
  <c r="S971" i="1" s="1"/>
  <c r="S972" i="1" s="1"/>
  <c r="S973" i="1" s="1"/>
  <c r="S974" i="1" s="1"/>
  <c r="S975" i="1" s="1"/>
  <c r="S976" i="1" s="1"/>
  <c r="S977" i="1" s="1"/>
  <c r="S978" i="1" s="1"/>
  <c r="S979" i="1" s="1"/>
  <c r="S980" i="1" s="1"/>
  <c r="S981" i="1" s="1"/>
  <c r="S982" i="1" s="1"/>
  <c r="S983" i="1" s="1"/>
  <c r="S984" i="1" s="1"/>
  <c r="S985" i="1" s="1"/>
  <c r="S986" i="1" s="1"/>
  <c r="S987" i="1" s="1"/>
  <c r="S988" i="1" s="1"/>
  <c r="S989" i="1" s="1"/>
  <c r="S990" i="1" s="1"/>
  <c r="S991" i="1" s="1"/>
  <c r="S992" i="1" s="1"/>
  <c r="S993" i="1" s="1"/>
  <c r="S994" i="1" s="1"/>
  <c r="S995" i="1" s="1"/>
  <c r="S996" i="1" s="1"/>
  <c r="S997" i="1" s="1"/>
  <c r="S998" i="1" s="1"/>
  <c r="S999" i="1" s="1"/>
  <c r="S1000" i="1" s="1"/>
  <c r="S1001" i="1" s="1"/>
  <c r="S1002" i="1" s="1"/>
  <c r="S1003" i="1" s="1"/>
  <c r="S1004" i="1" s="1"/>
  <c r="S1005" i="1" s="1"/>
  <c r="S1006" i="1" s="1"/>
  <c r="S1007" i="1" s="1"/>
  <c r="S1008" i="1" s="1"/>
  <c r="S1009" i="1" s="1"/>
  <c r="S1010" i="1" s="1"/>
  <c r="S1011" i="1" s="1"/>
  <c r="S1012" i="1" s="1"/>
  <c r="S1013" i="1" s="1"/>
  <c r="S1014" i="1" s="1"/>
  <c r="S1015" i="1" s="1"/>
  <c r="S1016" i="1" s="1"/>
  <c r="S1017" i="1" s="1"/>
  <c r="S1018" i="1" s="1"/>
  <c r="S1019" i="1" s="1"/>
  <c r="S1020" i="1" s="1"/>
  <c r="S1021" i="1" s="1"/>
  <c r="S1022" i="1" s="1"/>
  <c r="S1023" i="1" s="1"/>
  <c r="S1024" i="1" s="1"/>
  <c r="S1025" i="1" s="1"/>
  <c r="S1026" i="1" s="1"/>
  <c r="S1027" i="1" s="1"/>
  <c r="S1028" i="1" s="1"/>
  <c r="S1029" i="1" s="1"/>
  <c r="S1030" i="1" s="1"/>
  <c r="S1031" i="1" s="1"/>
  <c r="S1032" i="1" s="1"/>
  <c r="S1033" i="1" s="1"/>
  <c r="S1034" i="1" s="1"/>
  <c r="S1035" i="1" s="1"/>
  <c r="S1036" i="1" s="1"/>
  <c r="S1037" i="1" s="1"/>
  <c r="S1038" i="1" s="1"/>
  <c r="S1039" i="1" s="1"/>
  <c r="S1040" i="1" s="1"/>
  <c r="S1041" i="1" s="1"/>
  <c r="S1042" i="1" s="1"/>
  <c r="S1043" i="1" s="1"/>
  <c r="S1044" i="1" s="1"/>
  <c r="S1045" i="1" s="1"/>
  <c r="S1046" i="1" s="1"/>
  <c r="S1047" i="1" s="1"/>
  <c r="S1048" i="1" s="1"/>
  <c r="S1049" i="1" s="1"/>
  <c r="S1050" i="1" s="1"/>
  <c r="S1051" i="1" s="1"/>
  <c r="S1052" i="1" s="1"/>
  <c r="S1053" i="1" s="1"/>
  <c r="S1054" i="1" s="1"/>
  <c r="S1055" i="1" s="1"/>
  <c r="S1056" i="1" s="1"/>
  <c r="S1057" i="1" s="1"/>
  <c r="S1058" i="1" s="1"/>
  <c r="S1059" i="1" s="1"/>
  <c r="S1060" i="1" s="1"/>
  <c r="S1061" i="1" s="1"/>
  <c r="S1062" i="1" s="1"/>
  <c r="S1063" i="1" s="1"/>
  <c r="S1064" i="1" s="1"/>
  <c r="S1065" i="1" s="1"/>
  <c r="S1066" i="1" s="1"/>
  <c r="S1067" i="1" s="1"/>
  <c r="S1068" i="1" s="1"/>
  <c r="S1069" i="1" s="1"/>
  <c r="S1070" i="1" s="1"/>
  <c r="S1071" i="1" s="1"/>
  <c r="S1072" i="1" s="1"/>
  <c r="S1073" i="1" s="1"/>
  <c r="S1074" i="1" s="1"/>
  <c r="S1075" i="1" s="1"/>
  <c r="S1076" i="1" s="1"/>
  <c r="S1077" i="1" s="1"/>
  <c r="S1078" i="1" s="1"/>
  <c r="S1079" i="1" s="1"/>
  <c r="S1080" i="1" s="1"/>
  <c r="S1081" i="1" s="1"/>
  <c r="S1082" i="1" s="1"/>
  <c r="S1083" i="1" s="1"/>
  <c r="S1084" i="1" s="1"/>
  <c r="S1085" i="1" s="1"/>
  <c r="S1086" i="1" s="1"/>
  <c r="S1087" i="1" s="1"/>
  <c r="S1088" i="1" s="1"/>
  <c r="S1089" i="1" s="1"/>
  <c r="S1090" i="1" s="1"/>
  <c r="S1091" i="1" s="1"/>
  <c r="S1092" i="1" s="1"/>
  <c r="S1093" i="1" s="1"/>
  <c r="S1094" i="1" s="1"/>
  <c r="S1095" i="1" s="1"/>
  <c r="S1096" i="1" s="1"/>
  <c r="S1097" i="1" s="1"/>
  <c r="S1098" i="1" s="1"/>
  <c r="S1099" i="1" s="1"/>
  <c r="S1100" i="1" s="1"/>
  <c r="S1101" i="1" s="1"/>
  <c r="S1102" i="1" s="1"/>
  <c r="S1103" i="1" s="1"/>
  <c r="S1104" i="1" s="1"/>
  <c r="S1105" i="1" s="1"/>
  <c r="S1106" i="1" s="1"/>
  <c r="S1107" i="1" s="1"/>
  <c r="S1108" i="1" s="1"/>
  <c r="S1109" i="1" s="1"/>
  <c r="S1110" i="1" s="1"/>
  <c r="S1111" i="1" s="1"/>
  <c r="S1112" i="1" s="1"/>
  <c r="S1113" i="1" s="1"/>
  <c r="S1114" i="1" s="1"/>
  <c r="S1115" i="1" s="1"/>
  <c r="S1116" i="1" s="1"/>
  <c r="S1117" i="1" s="1"/>
  <c r="S1118" i="1" s="1"/>
  <c r="S1119" i="1" s="1"/>
  <c r="S1120" i="1" s="1"/>
  <c r="S1121" i="1" s="1"/>
  <c r="S1122" i="1" s="1"/>
  <c r="S1123" i="1" s="1"/>
  <c r="S1124" i="1" s="1"/>
  <c r="S1125" i="1" s="1"/>
  <c r="S1126" i="1" s="1"/>
  <c r="S1127" i="1" s="1"/>
  <c r="S1128" i="1" s="1"/>
  <c r="S1129" i="1" s="1"/>
  <c r="S1130" i="1" s="1"/>
  <c r="S1131" i="1" s="1"/>
  <c r="S1132" i="1" s="1"/>
  <c r="S1133" i="1" s="1"/>
  <c r="S1134" i="1" s="1"/>
  <c r="S1135" i="1" s="1"/>
  <c r="S1136" i="1" s="1"/>
  <c r="AH3" i="1" s="1"/>
  <c r="AH9" i="1"/>
  <c r="AM112" i="1"/>
  <c r="AI9" i="1"/>
  <c r="CV30" i="1" s="1"/>
  <c r="CF96" i="1"/>
  <c r="CP82" i="1"/>
  <c r="CP96" i="1"/>
  <c r="CL96" i="1"/>
  <c r="CL82" i="1"/>
  <c r="AF4" i="1" l="1"/>
  <c r="AH112" i="1" s="1"/>
  <c r="AF3" i="1"/>
  <c r="AG113" i="1" s="1"/>
  <c r="AH5" i="1"/>
  <c r="AH4" i="1"/>
  <c r="AF10" i="1"/>
  <c r="AN112" i="1" s="1"/>
  <c r="AF5" i="1"/>
  <c r="AI6" i="1" s="1"/>
  <c r="O1137" i="1"/>
  <c r="O1138" i="1" s="1"/>
  <c r="O1139" i="1" s="1"/>
  <c r="O1140" i="1" s="1"/>
  <c r="O1141" i="1" s="1"/>
  <c r="O1142" i="1" s="1"/>
  <c r="O1143" i="1" s="1"/>
  <c r="O1144" i="1" s="1"/>
  <c r="O1145" i="1" s="1"/>
  <c r="O1146" i="1" s="1"/>
  <c r="O1147" i="1" s="1"/>
  <c r="O1148" i="1" s="1"/>
  <c r="O1149" i="1" s="1"/>
  <c r="O1150" i="1" s="1"/>
  <c r="O1151" i="1" s="1"/>
  <c r="O1152" i="1" s="1"/>
  <c r="O1153" i="1" s="1"/>
  <c r="O1154" i="1" s="1"/>
  <c r="O1155" i="1" s="1"/>
  <c r="O1156" i="1" s="1"/>
  <c r="O1157" i="1" s="1"/>
  <c r="O1158" i="1" s="1"/>
  <c r="O1159" i="1" s="1"/>
  <c r="O1160" i="1" s="1"/>
  <c r="O1161" i="1" s="1"/>
  <c r="O1162" i="1" s="1"/>
  <c r="O1163" i="1" s="1"/>
  <c r="O1164" i="1" s="1"/>
  <c r="O1165" i="1" s="1"/>
  <c r="O1166" i="1" s="1"/>
  <c r="O1167" i="1" s="1"/>
  <c r="O1168" i="1" s="1"/>
  <c r="O1169" i="1" s="1"/>
  <c r="O1170" i="1" s="1"/>
  <c r="O1171" i="1" s="1"/>
  <c r="O1172" i="1" s="1"/>
  <c r="O1173" i="1" s="1"/>
  <c r="O1174" i="1" s="1"/>
  <c r="O1175" i="1" s="1"/>
  <c r="O1176" i="1" s="1"/>
  <c r="O1177" i="1" s="1"/>
  <c r="O1178" i="1" s="1"/>
  <c r="O1179" i="1" s="1"/>
  <c r="O1180" i="1" s="1"/>
  <c r="O1181" i="1" s="1"/>
  <c r="O1182" i="1" s="1"/>
  <c r="O1183" i="1" s="1"/>
  <c r="O1184" i="1" s="1"/>
  <c r="O1185" i="1" s="1"/>
  <c r="O1186" i="1" s="1"/>
  <c r="O1187" i="1" s="1"/>
  <c r="O1188" i="1" s="1"/>
  <c r="O1189" i="1" s="1"/>
  <c r="O1190" i="1" s="1"/>
  <c r="O1191" i="1" s="1"/>
  <c r="O1192" i="1" s="1"/>
  <c r="O1193" i="1" s="1"/>
  <c r="O1194" i="1" s="1"/>
  <c r="O1195" i="1" s="1"/>
  <c r="O1196" i="1" s="1"/>
  <c r="O1197" i="1" s="1"/>
  <c r="O1198" i="1" s="1"/>
  <c r="O1199" i="1" s="1"/>
  <c r="O1200" i="1" s="1"/>
  <c r="O1201" i="1" s="1"/>
  <c r="O1202" i="1" s="1"/>
  <c r="O1203" i="1" s="1"/>
  <c r="O1204" i="1" s="1"/>
  <c r="O1205" i="1" s="1"/>
  <c r="O1206" i="1" s="1"/>
  <c r="O1207" i="1" s="1"/>
  <c r="O1208" i="1" s="1"/>
  <c r="O1209" i="1" s="1"/>
  <c r="O1210" i="1" s="1"/>
  <c r="O1211" i="1" s="1"/>
  <c r="O1212" i="1" s="1"/>
  <c r="O1213" i="1" s="1"/>
  <c r="O1214" i="1" s="1"/>
  <c r="O1215" i="1" s="1"/>
  <c r="O1216" i="1" s="1"/>
  <c r="O1217" i="1" s="1"/>
  <c r="O1218" i="1" s="1"/>
  <c r="O1219" i="1" s="1"/>
  <c r="O1220" i="1" s="1"/>
  <c r="O1221" i="1" s="1"/>
  <c r="O1222" i="1" s="1"/>
  <c r="O1223" i="1" s="1"/>
  <c r="O1224" i="1" s="1"/>
  <c r="O1225" i="1" s="1"/>
  <c r="O1226" i="1" s="1"/>
  <c r="O1227" i="1" s="1"/>
  <c r="O1228" i="1" s="1"/>
  <c r="O1229" i="1" s="1"/>
  <c r="O1230" i="1" s="1"/>
  <c r="O1231" i="1" s="1"/>
  <c r="O1232" i="1" s="1"/>
  <c r="O1233" i="1" s="1"/>
  <c r="O1234" i="1" s="1"/>
  <c r="O1235" i="1" s="1"/>
  <c r="O1236" i="1" s="1"/>
  <c r="O1237" i="1" s="1"/>
  <c r="O1238" i="1" s="1"/>
  <c r="O1239" i="1" s="1"/>
  <c r="O1240" i="1" s="1"/>
  <c r="O1241" i="1" s="1"/>
  <c r="O1242" i="1" s="1"/>
  <c r="O1243" i="1" s="1"/>
  <c r="O1244" i="1" s="1"/>
  <c r="O1245" i="1" s="1"/>
  <c r="O1246" i="1" s="1"/>
  <c r="O1247" i="1" s="1"/>
  <c r="O1248" i="1" s="1"/>
  <c r="O1249" i="1" s="1"/>
  <c r="O1250" i="1" s="1"/>
  <c r="O1251" i="1" s="1"/>
  <c r="O1252" i="1" s="1"/>
  <c r="O1253" i="1" s="1"/>
  <c r="O1254" i="1" s="1"/>
  <c r="O1255" i="1" s="1"/>
  <c r="O1256" i="1" s="1"/>
  <c r="O1257" i="1" s="1"/>
  <c r="O1258" i="1" s="1"/>
  <c r="O1259" i="1" s="1"/>
  <c r="O1260" i="1" s="1"/>
  <c r="O1261" i="1" s="1"/>
  <c r="O1262" i="1" s="1"/>
  <c r="O1263" i="1" s="1"/>
  <c r="O1264" i="1" s="1"/>
  <c r="O1265" i="1" s="1"/>
  <c r="O1266" i="1" s="1"/>
  <c r="O1267" i="1" s="1"/>
  <c r="O1268" i="1" s="1"/>
  <c r="O1269" i="1" s="1"/>
  <c r="O1270" i="1" s="1"/>
  <c r="O1271" i="1" s="1"/>
  <c r="O1272" i="1" s="1"/>
  <c r="O1273" i="1" s="1"/>
  <c r="O1274" i="1" s="1"/>
  <c r="O1275" i="1" s="1"/>
  <c r="O1276" i="1" s="1"/>
  <c r="O1277" i="1" s="1"/>
  <c r="O1278" i="1" s="1"/>
  <c r="O1279" i="1" s="1"/>
  <c r="O1280" i="1" s="1"/>
  <c r="O1281" i="1" s="1"/>
  <c r="O1282" i="1" s="1"/>
  <c r="O1283" i="1" s="1"/>
  <c r="O1284" i="1" s="1"/>
  <c r="O1285" i="1" s="1"/>
  <c r="O1286" i="1" s="1"/>
  <c r="O1287" i="1" s="1"/>
  <c r="O1288" i="1" s="1"/>
  <c r="O1289" i="1" s="1"/>
  <c r="O1290" i="1" s="1"/>
  <c r="O1291" i="1" s="1"/>
  <c r="O1292" i="1" s="1"/>
  <c r="O1293" i="1" s="1"/>
  <c r="O1294" i="1" s="1"/>
  <c r="O1295" i="1" s="1"/>
  <c r="O1296" i="1" s="1"/>
  <c r="O1297" i="1" s="1"/>
  <c r="O1298" i="1" s="1"/>
  <c r="O1299" i="1" s="1"/>
  <c r="O1300" i="1" s="1"/>
  <c r="O1301" i="1" s="1"/>
  <c r="O1302" i="1" s="1"/>
  <c r="O1303" i="1" s="1"/>
  <c r="O1304" i="1" s="1"/>
  <c r="O1305" i="1" s="1"/>
  <c r="O1306" i="1" s="1"/>
  <c r="O1307" i="1" s="1"/>
  <c r="O1308" i="1" s="1"/>
  <c r="O1309" i="1" s="1"/>
  <c r="O1310" i="1" s="1"/>
  <c r="O1311" i="1" s="1"/>
  <c r="O1312" i="1" s="1"/>
  <c r="O1313" i="1" s="1"/>
  <c r="O1314" i="1" s="1"/>
  <c r="O1315" i="1" s="1"/>
  <c r="O1316" i="1" s="1"/>
  <c r="O1317" i="1" s="1"/>
  <c r="O1318" i="1" s="1"/>
  <c r="O1319" i="1" s="1"/>
  <c r="O1320" i="1" s="1"/>
  <c r="O1321" i="1" s="1"/>
  <c r="O1322" i="1" s="1"/>
  <c r="O1323" i="1" s="1"/>
  <c r="O1324" i="1" s="1"/>
  <c r="O1325" i="1" s="1"/>
  <c r="O1326" i="1" s="1"/>
  <c r="O1327" i="1" s="1"/>
  <c r="O1328" i="1" s="1"/>
  <c r="O1329" i="1" s="1"/>
  <c r="O1330" i="1" s="1"/>
  <c r="O1331" i="1" s="1"/>
  <c r="O1332" i="1" s="1"/>
  <c r="O1333" i="1" s="1"/>
  <c r="O1334" i="1" s="1"/>
  <c r="O1335" i="1" s="1"/>
  <c r="O1336" i="1" s="1"/>
  <c r="O1337" i="1" s="1"/>
  <c r="O1338" i="1" s="1"/>
  <c r="O1339" i="1" s="1"/>
  <c r="O1340" i="1" s="1"/>
  <c r="O1341" i="1" s="1"/>
  <c r="O1342" i="1" s="1"/>
  <c r="O1343" i="1" s="1"/>
  <c r="O1344" i="1" s="1"/>
  <c r="O1345" i="1" s="1"/>
  <c r="O1346" i="1" s="1"/>
  <c r="O1347" i="1" s="1"/>
  <c r="O1348" i="1" s="1"/>
  <c r="O1349" i="1" s="1"/>
  <c r="O1350" i="1" s="1"/>
  <c r="O1351" i="1" s="1"/>
  <c r="O1352" i="1" s="1"/>
  <c r="O1353" i="1" s="1"/>
  <c r="O1354" i="1" s="1"/>
  <c r="O1355" i="1" s="1"/>
  <c r="O1356" i="1" s="1"/>
  <c r="O1357" i="1" s="1"/>
  <c r="O1358" i="1" s="1"/>
  <c r="O1359" i="1" s="1"/>
  <c r="O1360" i="1" s="1"/>
  <c r="O1361" i="1" s="1"/>
  <c r="O1362" i="1" s="1"/>
  <c r="O1363" i="1" s="1"/>
  <c r="O1364" i="1" s="1"/>
  <c r="O1365" i="1" s="1"/>
  <c r="O1366" i="1" s="1"/>
  <c r="O1367" i="1" s="1"/>
  <c r="O1368" i="1" s="1"/>
  <c r="O1369" i="1" s="1"/>
  <c r="O1370" i="1" s="1"/>
  <c r="O1371" i="1" s="1"/>
  <c r="O1372" i="1" s="1"/>
  <c r="O1373" i="1" s="1"/>
  <c r="O1374" i="1" s="1"/>
  <c r="O1375" i="1" s="1"/>
  <c r="O1376" i="1" s="1"/>
  <c r="O1377" i="1" s="1"/>
  <c r="O1378" i="1" s="1"/>
  <c r="O1379" i="1" s="1"/>
  <c r="O1380" i="1" s="1"/>
  <c r="O1381" i="1" s="1"/>
  <c r="O1382" i="1" s="1"/>
  <c r="O1383" i="1" s="1"/>
  <c r="O1384" i="1" s="1"/>
  <c r="O1385" i="1" s="1"/>
  <c r="O1386" i="1" s="1"/>
  <c r="O1387" i="1" s="1"/>
  <c r="O1388" i="1" s="1"/>
  <c r="O1389" i="1" s="1"/>
  <c r="O1390" i="1" s="1"/>
  <c r="O1391" i="1" s="1"/>
  <c r="O1392" i="1" s="1"/>
  <c r="O1393" i="1" s="1"/>
  <c r="O1394" i="1" s="1"/>
  <c r="O1395" i="1" s="1"/>
  <c r="O1396" i="1" s="1"/>
  <c r="O1397" i="1" s="1"/>
  <c r="O1398" i="1" s="1"/>
  <c r="O1399" i="1" s="1"/>
  <c r="O1400" i="1" s="1"/>
  <c r="O1401" i="1" s="1"/>
  <c r="O1402" i="1" s="1"/>
  <c r="O1403" i="1" s="1"/>
  <c r="O1404" i="1" s="1"/>
  <c r="O1405" i="1" s="1"/>
  <c r="O1406" i="1" s="1"/>
  <c r="O1407" i="1" s="1"/>
  <c r="O1408" i="1" s="1"/>
  <c r="O1409" i="1" s="1"/>
  <c r="O1410" i="1" s="1"/>
  <c r="O1411" i="1" s="1"/>
  <c r="O1412" i="1" s="1"/>
  <c r="O1413" i="1" s="1"/>
  <c r="O1414" i="1" s="1"/>
  <c r="O1415" i="1" s="1"/>
  <c r="O1416" i="1" s="1"/>
  <c r="O1417" i="1" s="1"/>
  <c r="O1418" i="1" s="1"/>
  <c r="O1419" i="1" s="1"/>
  <c r="O1420" i="1" s="1"/>
  <c r="O1421" i="1" s="1"/>
  <c r="O1422" i="1" s="1"/>
  <c r="O1423" i="1" s="1"/>
  <c r="O1424" i="1" s="1"/>
  <c r="O1425" i="1" s="1"/>
  <c r="O1426" i="1" s="1"/>
  <c r="O1427" i="1" s="1"/>
  <c r="O1428" i="1" s="1"/>
  <c r="O1429" i="1" s="1"/>
  <c r="O1430" i="1" s="1"/>
  <c r="O1431" i="1" s="1"/>
  <c r="O1432" i="1" s="1"/>
  <c r="O1433" i="1" s="1"/>
  <c r="O1434" i="1" s="1"/>
  <c r="O1435" i="1" s="1"/>
  <c r="O1436" i="1" s="1"/>
  <c r="O1437" i="1" s="1"/>
  <c r="O1438" i="1" s="1"/>
  <c r="O1439" i="1" s="1"/>
  <c r="O1440" i="1" s="1"/>
  <c r="O1441" i="1" s="1"/>
  <c r="O1442" i="1" s="1"/>
  <c r="O1443" i="1" s="1"/>
  <c r="O1444" i="1" s="1"/>
  <c r="O1445" i="1" s="1"/>
  <c r="O1446" i="1" s="1"/>
  <c r="O1447" i="1" s="1"/>
  <c r="O1448" i="1" s="1"/>
  <c r="O1449" i="1" s="1"/>
  <c r="O1450" i="1" s="1"/>
  <c r="O1451" i="1" s="1"/>
  <c r="O1452" i="1" s="1"/>
  <c r="O1453" i="1" s="1"/>
  <c r="O1454" i="1" s="1"/>
  <c r="O1455" i="1" s="1"/>
  <c r="O1456" i="1" s="1"/>
  <c r="O1457" i="1" s="1"/>
  <c r="O1458" i="1" s="1"/>
  <c r="O1459" i="1" s="1"/>
  <c r="O1460" i="1" s="1"/>
  <c r="O1461" i="1" s="1"/>
  <c r="O1462" i="1" s="1"/>
  <c r="O1463" i="1" s="1"/>
  <c r="O1464" i="1" s="1"/>
  <c r="O1465" i="1" s="1"/>
  <c r="O1466" i="1" s="1"/>
  <c r="O1467" i="1" s="1"/>
  <c r="O1468" i="1" s="1"/>
  <c r="O1469" i="1" s="1"/>
  <c r="O1470" i="1" s="1"/>
  <c r="O1471" i="1" s="1"/>
  <c r="O1472" i="1" s="1"/>
  <c r="O1473" i="1" s="1"/>
  <c r="O1474" i="1" s="1"/>
  <c r="O1475" i="1" s="1"/>
  <c r="O1476" i="1" s="1"/>
  <c r="O1477" i="1" s="1"/>
  <c r="O1478" i="1" s="1"/>
  <c r="O1479" i="1" s="1"/>
  <c r="O1480" i="1" s="1"/>
  <c r="O1481" i="1" s="1"/>
  <c r="O1482" i="1" s="1"/>
  <c r="O1483" i="1" s="1"/>
  <c r="O1484" i="1" s="1"/>
  <c r="O1485" i="1" s="1"/>
  <c r="O1486" i="1" s="1"/>
  <c r="O1487" i="1" s="1"/>
  <c r="O1488" i="1" s="1"/>
  <c r="O1489" i="1" s="1"/>
  <c r="O1490" i="1" s="1"/>
  <c r="O1491" i="1" s="1"/>
  <c r="O1492" i="1" s="1"/>
  <c r="O1493" i="1" s="1"/>
  <c r="O1494" i="1" s="1"/>
  <c r="O1495" i="1" s="1"/>
  <c r="O1496" i="1" s="1"/>
  <c r="O1497" i="1" s="1"/>
  <c r="O1498" i="1" s="1"/>
  <c r="O1499" i="1" s="1"/>
  <c r="O1500" i="1" s="1"/>
  <c r="O1501" i="1" s="1"/>
  <c r="O1502" i="1" s="1"/>
  <c r="O1503" i="1" s="1"/>
  <c r="O1504" i="1" s="1"/>
  <c r="O1505" i="1" s="1"/>
  <c r="O1506" i="1" s="1"/>
  <c r="O1507" i="1" s="1"/>
  <c r="O1508" i="1" s="1"/>
  <c r="O1509" i="1" s="1"/>
  <c r="O1510" i="1" s="1"/>
  <c r="O1511" i="1" s="1"/>
  <c r="O1512" i="1" s="1"/>
  <c r="O1513" i="1" s="1"/>
  <c r="O1514" i="1" s="1"/>
  <c r="O1515" i="1" s="1"/>
  <c r="O1516" i="1" s="1"/>
  <c r="O1517" i="1" s="1"/>
  <c r="O1518" i="1" s="1"/>
  <c r="O1519" i="1" s="1"/>
  <c r="O1520" i="1" s="1"/>
  <c r="O1521" i="1" s="1"/>
  <c r="O1522" i="1" s="1"/>
  <c r="O1523" i="1" s="1"/>
  <c r="O1524" i="1" s="1"/>
  <c r="O1525" i="1" s="1"/>
  <c r="O1526" i="1" s="1"/>
  <c r="O1527" i="1" s="1"/>
  <c r="O1528" i="1" s="1"/>
  <c r="O1529" i="1" s="1"/>
  <c r="O1530" i="1" s="1"/>
  <c r="O1531" i="1" s="1"/>
  <c r="O1532" i="1" s="1"/>
  <c r="O1533" i="1" s="1"/>
  <c r="O1534" i="1" s="1"/>
  <c r="O1535" i="1" s="1"/>
  <c r="O1536" i="1" s="1"/>
  <c r="O1537" i="1" s="1"/>
  <c r="O1538" i="1" s="1"/>
  <c r="O1539" i="1" s="1"/>
  <c r="O1540" i="1" s="1"/>
  <c r="O1541" i="1" s="1"/>
  <c r="O1542" i="1" s="1"/>
  <c r="O1543" i="1" s="1"/>
  <c r="O1544" i="1" s="1"/>
  <c r="O1545" i="1" s="1"/>
  <c r="O1546" i="1" s="1"/>
  <c r="O1547" i="1" s="1"/>
  <c r="O1548" i="1" s="1"/>
  <c r="O1549" i="1" s="1"/>
  <c r="O1550" i="1" s="1"/>
  <c r="O1551" i="1" s="1"/>
  <c r="O1552" i="1" s="1"/>
  <c r="O1553" i="1" s="1"/>
  <c r="O1554" i="1" s="1"/>
  <c r="O1555" i="1" s="1"/>
  <c r="O1556" i="1" s="1"/>
  <c r="O1557" i="1" s="1"/>
  <c r="O1558" i="1" s="1"/>
  <c r="O1559" i="1" s="1"/>
  <c r="O1560" i="1" s="1"/>
  <c r="O1561" i="1" s="1"/>
  <c r="O1562" i="1" s="1"/>
  <c r="O1563" i="1" s="1"/>
  <c r="O1564" i="1" s="1"/>
  <c r="O1565" i="1" s="1"/>
  <c r="O1566" i="1" s="1"/>
  <c r="O1567" i="1" s="1"/>
  <c r="O1568" i="1" s="1"/>
  <c r="O1569" i="1" s="1"/>
  <c r="O1570" i="1" s="1"/>
  <c r="O1571" i="1" s="1"/>
  <c r="O1572" i="1" s="1"/>
  <c r="O1573" i="1" s="1"/>
  <c r="O1574" i="1" s="1"/>
  <c r="O1575" i="1" s="1"/>
  <c r="O1576" i="1" s="1"/>
  <c r="O1577" i="1" s="1"/>
  <c r="O1578" i="1" s="1"/>
  <c r="O1579" i="1" s="1"/>
  <c r="O1580" i="1" s="1"/>
  <c r="O1581" i="1" s="1"/>
  <c r="O1582" i="1" s="1"/>
  <c r="O1583" i="1" s="1"/>
  <c r="O1584" i="1" s="1"/>
  <c r="O1585" i="1" s="1"/>
  <c r="O1586" i="1" s="1"/>
  <c r="O1587" i="1" s="1"/>
  <c r="O1588" i="1" s="1"/>
  <c r="O1589" i="1" s="1"/>
  <c r="O1590" i="1" s="1"/>
  <c r="O1591" i="1" s="1"/>
  <c r="O1592" i="1" s="1"/>
  <c r="O1593" i="1" s="1"/>
  <c r="O1594" i="1" s="1"/>
  <c r="O1595" i="1" s="1"/>
  <c r="O1596" i="1" s="1"/>
  <c r="O1597" i="1" s="1"/>
  <c r="O1598" i="1" s="1"/>
  <c r="O1599" i="1" s="1"/>
  <c r="O1600" i="1" s="1"/>
  <c r="O1601" i="1" s="1"/>
  <c r="O1602" i="1" s="1"/>
  <c r="O1603" i="1" s="1"/>
  <c r="O1604" i="1" s="1"/>
  <c r="O1605" i="1" s="1"/>
  <c r="O1606" i="1" s="1"/>
  <c r="O1607" i="1" s="1"/>
  <c r="O1608" i="1" s="1"/>
  <c r="O1609" i="1" s="1"/>
  <c r="O1610" i="1" s="1"/>
  <c r="O1611" i="1" s="1"/>
  <c r="O1612" i="1" s="1"/>
  <c r="O1613" i="1" s="1"/>
  <c r="O1614" i="1" s="1"/>
  <c r="O1615" i="1" s="1"/>
  <c r="O1616" i="1" s="1"/>
  <c r="O1617" i="1" s="1"/>
  <c r="O1618" i="1" s="1"/>
  <c r="O1619" i="1" s="1"/>
  <c r="O1620" i="1" s="1"/>
  <c r="O1621" i="1" s="1"/>
  <c r="O1622" i="1" s="1"/>
  <c r="O1623" i="1" s="1"/>
  <c r="O1624" i="1" s="1"/>
  <c r="O1625" i="1" s="1"/>
  <c r="O1626" i="1" s="1"/>
  <c r="O1627" i="1" s="1"/>
  <c r="O1628" i="1" s="1"/>
  <c r="O1629" i="1" s="1"/>
  <c r="O1630" i="1" s="1"/>
  <c r="O1631" i="1" s="1"/>
  <c r="O1632" i="1" s="1"/>
  <c r="O1633" i="1" s="1"/>
  <c r="O1634" i="1" s="1"/>
  <c r="O1635" i="1" s="1"/>
  <c r="O1636" i="1" s="1"/>
  <c r="O1637" i="1" s="1"/>
  <c r="O1638" i="1" s="1"/>
  <c r="O1639" i="1" s="1"/>
  <c r="O1640" i="1" s="1"/>
  <c r="O1641" i="1" s="1"/>
  <c r="O1642" i="1" s="1"/>
  <c r="O1643" i="1" s="1"/>
  <c r="O1644" i="1" s="1"/>
  <c r="O1645" i="1" s="1"/>
  <c r="O1646" i="1" s="1"/>
  <c r="O1647" i="1" s="1"/>
  <c r="O1648" i="1" s="1"/>
  <c r="O1649" i="1" s="1"/>
  <c r="O1650" i="1" s="1"/>
  <c r="O1651" i="1" s="1"/>
  <c r="O1652" i="1" s="1"/>
  <c r="O1653" i="1" s="1"/>
  <c r="O1654" i="1" s="1"/>
  <c r="O1655" i="1" s="1"/>
  <c r="O1656" i="1" s="1"/>
  <c r="O1657" i="1" s="1"/>
  <c r="O1658" i="1" s="1"/>
  <c r="O1659" i="1" s="1"/>
  <c r="O1660" i="1" s="1"/>
  <c r="O1661" i="1" s="1"/>
  <c r="O1662" i="1" s="1"/>
  <c r="O1663" i="1" s="1"/>
  <c r="O1664" i="1" s="1"/>
  <c r="O1665" i="1" s="1"/>
  <c r="O1666" i="1" s="1"/>
  <c r="O1667" i="1" s="1"/>
  <c r="O1668" i="1" s="1"/>
  <c r="O1669" i="1" s="1"/>
  <c r="O1670" i="1" s="1"/>
  <c r="O1671" i="1" s="1"/>
  <c r="O1672" i="1" s="1"/>
  <c r="O1673" i="1" s="1"/>
  <c r="O1674" i="1" s="1"/>
  <c r="O1675" i="1" s="1"/>
  <c r="O1676" i="1" s="1"/>
  <c r="O1677" i="1" s="1"/>
  <c r="O1678" i="1" s="1"/>
  <c r="O1679" i="1" s="1"/>
  <c r="O1680" i="1" s="1"/>
  <c r="O1681" i="1" s="1"/>
  <c r="O1682" i="1" s="1"/>
  <c r="O1683" i="1" s="1"/>
  <c r="O1684" i="1" s="1"/>
  <c r="O1685" i="1" s="1"/>
  <c r="O1686" i="1" s="1"/>
  <c r="O1687" i="1" s="1"/>
  <c r="O1688" i="1" s="1"/>
  <c r="O1689" i="1" s="1"/>
  <c r="O1690" i="1" s="1"/>
  <c r="O1691" i="1" s="1"/>
  <c r="O1692" i="1" s="1"/>
  <c r="O1693" i="1" s="1"/>
  <c r="O1694" i="1" s="1"/>
  <c r="O1695" i="1" s="1"/>
  <c r="O1696" i="1" s="1"/>
  <c r="O1697" i="1" s="1"/>
  <c r="O1698" i="1" s="1"/>
  <c r="O1699" i="1" s="1"/>
  <c r="O1700" i="1" s="1"/>
  <c r="O1701" i="1" s="1"/>
  <c r="O1702" i="1" s="1"/>
  <c r="O1703" i="1" s="1"/>
  <c r="O1704" i="1" s="1"/>
  <c r="O1705" i="1" s="1"/>
  <c r="O1706" i="1" s="1"/>
  <c r="O1707" i="1" s="1"/>
  <c r="O1708" i="1" s="1"/>
  <c r="O1709" i="1" s="1"/>
  <c r="O1710" i="1" s="1"/>
  <c r="O1711" i="1" s="1"/>
  <c r="O1712" i="1" s="1"/>
  <c r="O1713" i="1" s="1"/>
  <c r="O1714" i="1" s="1"/>
  <c r="O1715" i="1" s="1"/>
  <c r="O1716" i="1" s="1"/>
  <c r="O1717" i="1" s="1"/>
  <c r="O1718" i="1" s="1"/>
  <c r="O1719" i="1" s="1"/>
  <c r="O1720" i="1" s="1"/>
  <c r="O1721" i="1" s="1"/>
  <c r="O1722" i="1" s="1"/>
  <c r="O1723" i="1" s="1"/>
  <c r="O1724" i="1" s="1"/>
  <c r="O1725" i="1" s="1"/>
  <c r="O1726" i="1" s="1"/>
  <c r="O1727" i="1" s="1"/>
  <c r="O1728" i="1" s="1"/>
  <c r="O1729" i="1" s="1"/>
  <c r="O1730" i="1" s="1"/>
  <c r="O1731" i="1" s="1"/>
  <c r="O1732" i="1" s="1"/>
  <c r="O1733" i="1" s="1"/>
  <c r="O1734" i="1" s="1"/>
  <c r="O1735" i="1" s="1"/>
  <c r="O1736" i="1" s="1"/>
  <c r="O1737" i="1" s="1"/>
  <c r="O1738" i="1" s="1"/>
  <c r="O1739" i="1" s="1"/>
  <c r="O1740" i="1" s="1"/>
  <c r="O1741" i="1" s="1"/>
  <c r="O1742" i="1" s="1"/>
  <c r="O1743" i="1" s="1"/>
  <c r="O1744" i="1" s="1"/>
  <c r="O1745" i="1" s="1"/>
  <c r="O1746" i="1" s="1"/>
  <c r="O1747" i="1" s="1"/>
  <c r="O1748" i="1" s="1"/>
  <c r="O1749" i="1" s="1"/>
  <c r="O1750" i="1" s="1"/>
  <c r="O1751" i="1" s="1"/>
  <c r="O1752" i="1" s="1"/>
  <c r="O1753" i="1" s="1"/>
  <c r="O1754" i="1" s="1"/>
  <c r="O1755" i="1" s="1"/>
  <c r="O1756" i="1" s="1"/>
  <c r="O1757" i="1" s="1"/>
  <c r="O1758" i="1" s="1"/>
  <c r="O1759" i="1" s="1"/>
  <c r="O1760" i="1" s="1"/>
  <c r="O1761" i="1" s="1"/>
  <c r="O1762" i="1" s="1"/>
  <c r="O1763" i="1" s="1"/>
  <c r="O1764" i="1" s="1"/>
  <c r="O1765" i="1" s="1"/>
  <c r="O1766" i="1" s="1"/>
  <c r="O1767" i="1" s="1"/>
  <c r="O1768" i="1" s="1"/>
  <c r="O1769" i="1" s="1"/>
  <c r="O1770" i="1" s="1"/>
  <c r="O1771" i="1" s="1"/>
  <c r="O1772" i="1" s="1"/>
  <c r="O1773" i="1" s="1"/>
  <c r="O1774" i="1" s="1"/>
  <c r="O1775" i="1" s="1"/>
  <c r="O1776" i="1" s="1"/>
  <c r="O1777" i="1" s="1"/>
  <c r="O1778" i="1" s="1"/>
  <c r="O1779" i="1" s="1"/>
  <c r="O1780" i="1" s="1"/>
  <c r="O1781" i="1" s="1"/>
  <c r="O1782" i="1" s="1"/>
  <c r="O1783" i="1" s="1"/>
  <c r="O1784" i="1" s="1"/>
  <c r="O1785" i="1" s="1"/>
  <c r="O1786" i="1" s="1"/>
  <c r="O1787" i="1" s="1"/>
  <c r="O1788" i="1" s="1"/>
  <c r="O1789" i="1" s="1"/>
  <c r="O1790" i="1" s="1"/>
  <c r="O1791" i="1" s="1"/>
  <c r="O1792" i="1" s="1"/>
  <c r="O1793" i="1" s="1"/>
  <c r="O1794" i="1" s="1"/>
  <c r="O1795" i="1" s="1"/>
  <c r="O1796" i="1" s="1"/>
  <c r="O1797" i="1" s="1"/>
  <c r="O1798" i="1" s="1"/>
  <c r="O1799" i="1" s="1"/>
  <c r="O1800" i="1" s="1"/>
  <c r="O1801" i="1" s="1"/>
  <c r="O1802" i="1" s="1"/>
  <c r="O1803" i="1" s="1"/>
  <c r="O1804" i="1" s="1"/>
  <c r="O1805" i="1" s="1"/>
  <c r="O1806" i="1" s="1"/>
  <c r="O1807" i="1" s="1"/>
  <c r="O1808" i="1" s="1"/>
  <c r="O1809" i="1" s="1"/>
  <c r="O1810" i="1" s="1"/>
  <c r="O1811" i="1" s="1"/>
  <c r="O1812" i="1" s="1"/>
  <c r="O1813" i="1" s="1"/>
  <c r="O1814" i="1" s="1"/>
  <c r="O1815" i="1" s="1"/>
  <c r="O1816" i="1" s="1"/>
  <c r="O1817" i="1" s="1"/>
  <c r="O1818" i="1" s="1"/>
  <c r="O1819" i="1" s="1"/>
  <c r="O1820" i="1" s="1"/>
  <c r="O1821" i="1" s="1"/>
  <c r="O1822" i="1" s="1"/>
  <c r="O1823" i="1" s="1"/>
  <c r="O1824" i="1" s="1"/>
  <c r="O1825" i="1" s="1"/>
  <c r="O1826" i="1" s="1"/>
  <c r="O1827" i="1" s="1"/>
  <c r="O1828" i="1" s="1"/>
  <c r="O1829" i="1" s="1"/>
  <c r="O1830" i="1" s="1"/>
  <c r="O1831" i="1" s="1"/>
  <c r="O1832" i="1" s="1"/>
  <c r="O1833" i="1" s="1"/>
  <c r="O1834" i="1" s="1"/>
  <c r="O1835" i="1" s="1"/>
  <c r="O1836" i="1" s="1"/>
  <c r="O1837" i="1" s="1"/>
  <c r="O1838" i="1" s="1"/>
  <c r="O1839" i="1" s="1"/>
  <c r="O1840" i="1" s="1"/>
  <c r="O1841" i="1" s="1"/>
  <c r="O1842" i="1" s="1"/>
  <c r="O1843" i="1" s="1"/>
  <c r="O1844" i="1" s="1"/>
  <c r="O1845" i="1" s="1"/>
  <c r="O1846" i="1" s="1"/>
  <c r="O1847" i="1" s="1"/>
  <c r="O1848" i="1" s="1"/>
  <c r="O1849" i="1" s="1"/>
  <c r="O1850" i="1" s="1"/>
  <c r="O1851" i="1" s="1"/>
  <c r="O1852" i="1" s="1"/>
  <c r="O1853" i="1" s="1"/>
  <c r="O1854" i="1" s="1"/>
  <c r="O1855" i="1" s="1"/>
  <c r="O1856" i="1" s="1"/>
  <c r="O1857" i="1" s="1"/>
  <c r="O1858" i="1" s="1"/>
  <c r="O1859" i="1" s="1"/>
  <c r="O1860" i="1" s="1"/>
  <c r="O1861" i="1" s="1"/>
  <c r="O1862" i="1" s="1"/>
  <c r="O1863" i="1" s="1"/>
  <c r="O1864" i="1" s="1"/>
  <c r="O1865" i="1" s="1"/>
  <c r="O1866" i="1" s="1"/>
  <c r="O1867" i="1" s="1"/>
  <c r="O1868" i="1" s="1"/>
  <c r="O1869" i="1" s="1"/>
  <c r="O1870" i="1" s="1"/>
  <c r="O1871" i="1" s="1"/>
  <c r="O1872" i="1" s="1"/>
  <c r="O1873" i="1" s="1"/>
  <c r="O1874" i="1" s="1"/>
  <c r="O1875" i="1" s="1"/>
  <c r="O1876" i="1" s="1"/>
  <c r="O1877" i="1" s="1"/>
  <c r="O1878" i="1" s="1"/>
  <c r="O1879" i="1" s="1"/>
  <c r="O1880" i="1" s="1"/>
  <c r="O1881" i="1" s="1"/>
  <c r="O1882" i="1" s="1"/>
  <c r="O1883" i="1" s="1"/>
  <c r="O1884" i="1" s="1"/>
  <c r="O1885" i="1" s="1"/>
  <c r="O1886" i="1" s="1"/>
  <c r="O1887" i="1" s="1"/>
  <c r="O1888" i="1" s="1"/>
  <c r="O1889" i="1" s="1"/>
  <c r="O1890" i="1" s="1"/>
  <c r="O1891" i="1" s="1"/>
  <c r="O1892" i="1" s="1"/>
  <c r="O1893" i="1" s="1"/>
  <c r="O1894" i="1" s="1"/>
  <c r="O1895" i="1" s="1"/>
  <c r="O1896" i="1" s="1"/>
  <c r="O1897" i="1" s="1"/>
  <c r="O1898" i="1" s="1"/>
  <c r="O1899" i="1" s="1"/>
  <c r="O1900" i="1" s="1"/>
  <c r="O1901" i="1" s="1"/>
  <c r="O1902" i="1" s="1"/>
  <c r="O1903" i="1" s="1"/>
  <c r="O1904" i="1" s="1"/>
  <c r="O1905" i="1" s="1"/>
  <c r="O1906" i="1" s="1"/>
  <c r="O1907" i="1" s="1"/>
  <c r="O1908" i="1" s="1"/>
  <c r="O1909" i="1" s="1"/>
  <c r="O1910" i="1" s="1"/>
  <c r="O1911" i="1" s="1"/>
  <c r="O1912" i="1" s="1"/>
  <c r="O1913" i="1" s="1"/>
  <c r="O1914" i="1" s="1"/>
  <c r="O1915" i="1" s="1"/>
  <c r="O1916" i="1" s="1"/>
  <c r="O1917" i="1" s="1"/>
  <c r="O1918" i="1" s="1"/>
  <c r="O1919" i="1" s="1"/>
  <c r="O1920" i="1" s="1"/>
  <c r="O1921" i="1" s="1"/>
  <c r="O1922" i="1" s="1"/>
  <c r="O1923" i="1" s="1"/>
  <c r="O1924" i="1" s="1"/>
  <c r="O1925" i="1" s="1"/>
  <c r="O1926" i="1" s="1"/>
  <c r="O1927" i="1" s="1"/>
  <c r="O1928" i="1" s="1"/>
  <c r="O1929" i="1" s="1"/>
  <c r="O1930" i="1" s="1"/>
  <c r="O1931" i="1" s="1"/>
  <c r="O1932" i="1" s="1"/>
  <c r="O1933" i="1" s="1"/>
  <c r="O1934" i="1" s="1"/>
  <c r="O1935" i="1" s="1"/>
  <c r="O1936" i="1" s="1"/>
  <c r="O1937" i="1" s="1"/>
  <c r="O1938" i="1" s="1"/>
  <c r="O1939" i="1" s="1"/>
  <c r="O1940" i="1" s="1"/>
  <c r="O1941" i="1" s="1"/>
  <c r="O1942" i="1" s="1"/>
  <c r="O1943" i="1" s="1"/>
  <c r="O1944" i="1" s="1"/>
  <c r="O1945" i="1" s="1"/>
  <c r="O1946" i="1" s="1"/>
  <c r="O1947" i="1" s="1"/>
  <c r="O1948" i="1" s="1"/>
  <c r="O1949" i="1" s="1"/>
  <c r="O1950" i="1" s="1"/>
  <c r="O1951" i="1" s="1"/>
  <c r="O1952" i="1" s="1"/>
  <c r="O1953" i="1" s="1"/>
  <c r="O1954" i="1" s="1"/>
  <c r="O1955" i="1" s="1"/>
  <c r="O1956" i="1" s="1"/>
  <c r="O1957" i="1" s="1"/>
  <c r="O1958" i="1" s="1"/>
  <c r="O1959" i="1" s="1"/>
  <c r="O1960" i="1" s="1"/>
  <c r="O1961" i="1" s="1"/>
  <c r="O1962" i="1" s="1"/>
  <c r="O1963" i="1" s="1"/>
  <c r="O1964" i="1" s="1"/>
  <c r="O1965" i="1" s="1"/>
  <c r="O1966" i="1" s="1"/>
  <c r="O1967" i="1" s="1"/>
  <c r="O1968" i="1" s="1"/>
  <c r="O1969" i="1" s="1"/>
  <c r="O1970" i="1" s="1"/>
  <c r="O1971" i="1" s="1"/>
  <c r="O1972" i="1" s="1"/>
  <c r="O1973" i="1" s="1"/>
  <c r="O1974" i="1" s="1"/>
  <c r="O1975" i="1" s="1"/>
  <c r="O1976" i="1" s="1"/>
  <c r="O1977" i="1" s="1"/>
  <c r="O1978" i="1" s="1"/>
  <c r="O1979" i="1" s="1"/>
  <c r="O1980" i="1" s="1"/>
  <c r="O1981" i="1" s="1"/>
  <c r="O1982" i="1" s="1"/>
  <c r="O1983" i="1" s="1"/>
  <c r="O1984" i="1" s="1"/>
  <c r="O1985" i="1" s="1"/>
  <c r="O1986" i="1" s="1"/>
  <c r="O1987" i="1" s="1"/>
  <c r="O1988" i="1" s="1"/>
  <c r="O1989" i="1" s="1"/>
  <c r="O1990" i="1" s="1"/>
  <c r="O1991" i="1" s="1"/>
  <c r="O1992" i="1" s="1"/>
  <c r="O1993" i="1" s="1"/>
  <c r="O1994" i="1" s="1"/>
  <c r="O1995" i="1" s="1"/>
  <c r="O1996" i="1" s="1"/>
  <c r="O1997" i="1" s="1"/>
  <c r="O1998" i="1" s="1"/>
  <c r="O1999" i="1" s="1"/>
  <c r="O2000" i="1" s="1"/>
  <c r="O2001" i="1" s="1"/>
  <c r="O2002" i="1" s="1"/>
  <c r="O2003" i="1" s="1"/>
  <c r="O2004" i="1" s="1"/>
  <c r="O2005" i="1" s="1"/>
  <c r="O2006" i="1" s="1"/>
  <c r="O2007" i="1" s="1"/>
  <c r="O2008" i="1" s="1"/>
  <c r="O2009" i="1" s="1"/>
  <c r="O2010" i="1" s="1"/>
  <c r="O2011" i="1" s="1"/>
  <c r="O2012" i="1" s="1"/>
  <c r="O2013" i="1" s="1"/>
  <c r="O2014" i="1" s="1"/>
  <c r="O2015" i="1" s="1"/>
  <c r="O2016" i="1" s="1"/>
  <c r="O2017" i="1" s="1"/>
  <c r="O2018" i="1" s="1"/>
  <c r="O2019" i="1" s="1"/>
  <c r="O2020" i="1" s="1"/>
  <c r="O2021" i="1" s="1"/>
  <c r="O2022" i="1" s="1"/>
  <c r="O2023" i="1" s="1"/>
  <c r="O2024" i="1" s="1"/>
  <c r="O2025" i="1" s="1"/>
  <c r="O2026" i="1" s="1"/>
  <c r="O2027" i="1" s="1"/>
  <c r="O2028" i="1" s="1"/>
  <c r="O2029" i="1" s="1"/>
  <c r="O2030" i="1" s="1"/>
  <c r="O2031" i="1" s="1"/>
  <c r="O2032" i="1" s="1"/>
  <c r="O2033" i="1" s="1"/>
  <c r="O2034" i="1" s="1"/>
  <c r="O2035" i="1" s="1"/>
  <c r="O2036" i="1" s="1"/>
  <c r="O2037" i="1" s="1"/>
  <c r="O2038" i="1" s="1"/>
  <c r="O2039" i="1" s="1"/>
  <c r="O2040" i="1" s="1"/>
  <c r="O2041" i="1" s="1"/>
  <c r="O2042" i="1" s="1"/>
  <c r="O2043" i="1" s="1"/>
  <c r="O2044" i="1" s="1"/>
  <c r="O2045" i="1" s="1"/>
  <c r="O2046" i="1" s="1"/>
  <c r="O2047" i="1" s="1"/>
  <c r="O2048" i="1" s="1"/>
  <c r="O2049" i="1" s="1"/>
  <c r="O2050" i="1" s="1"/>
  <c r="O2051" i="1" s="1"/>
  <c r="O2052" i="1" s="1"/>
  <c r="O2053" i="1" s="1"/>
  <c r="O2054" i="1" s="1"/>
  <c r="O2055" i="1" s="1"/>
  <c r="O2056" i="1" s="1"/>
  <c r="O2057" i="1" s="1"/>
  <c r="O2058" i="1" s="1"/>
  <c r="O2059" i="1" s="1"/>
  <c r="O2060" i="1" s="1"/>
  <c r="O2061" i="1" s="1"/>
  <c r="O2062" i="1" s="1"/>
  <c r="O2063" i="1" s="1"/>
  <c r="O2064" i="1" s="1"/>
  <c r="O2065" i="1" s="1"/>
  <c r="O2066" i="1" s="1"/>
  <c r="O2067" i="1" s="1"/>
  <c r="O2068" i="1" s="1"/>
  <c r="O2069" i="1" s="1"/>
  <c r="O2070" i="1" s="1"/>
  <c r="O2071" i="1" s="1"/>
  <c r="O2072" i="1" s="1"/>
  <c r="O2073" i="1" s="1"/>
  <c r="O2074" i="1" s="1"/>
  <c r="O2075" i="1" s="1"/>
  <c r="O2076" i="1" s="1"/>
  <c r="O2077" i="1" s="1"/>
  <c r="O2078" i="1" s="1"/>
  <c r="O2079" i="1" s="1"/>
  <c r="O2080" i="1" s="1"/>
  <c r="O2081" i="1" s="1"/>
  <c r="O2082" i="1" s="1"/>
  <c r="O2083" i="1" s="1"/>
  <c r="O2084" i="1" s="1"/>
  <c r="O2085" i="1" s="1"/>
  <c r="O2086" i="1" s="1"/>
  <c r="O2087" i="1" s="1"/>
  <c r="O2088" i="1" s="1"/>
  <c r="O2089" i="1" s="1"/>
  <c r="O2090" i="1" s="1"/>
  <c r="O2091" i="1" s="1"/>
  <c r="O2092" i="1" s="1"/>
  <c r="O2093" i="1" s="1"/>
  <c r="O2094" i="1" s="1"/>
  <c r="O2095" i="1" s="1"/>
  <c r="O2096" i="1" s="1"/>
  <c r="O2097" i="1" s="1"/>
  <c r="O2098" i="1" s="1"/>
  <c r="O2099" i="1" s="1"/>
  <c r="O2100" i="1" s="1"/>
  <c r="O2101" i="1" s="1"/>
  <c r="O2102" i="1" s="1"/>
  <c r="O2103" i="1" s="1"/>
  <c r="O2104" i="1" s="1"/>
  <c r="O2105" i="1" s="1"/>
  <c r="O2106" i="1" s="1"/>
  <c r="O2107" i="1" s="1"/>
  <c r="O2108" i="1" s="1"/>
  <c r="O2109" i="1" s="1"/>
  <c r="O2110" i="1" s="1"/>
  <c r="O2111" i="1" s="1"/>
  <c r="O2112" i="1" s="1"/>
  <c r="O2113" i="1" s="1"/>
  <c r="O2114" i="1" s="1"/>
  <c r="O2115" i="1" s="1"/>
  <c r="O2116" i="1" s="1"/>
  <c r="O2117" i="1" s="1"/>
  <c r="O2118" i="1" s="1"/>
  <c r="O2119" i="1" s="1"/>
  <c r="O2120" i="1" s="1"/>
  <c r="O2121" i="1" s="1"/>
  <c r="O2122" i="1" s="1"/>
  <c r="O2123" i="1" s="1"/>
  <c r="O2124" i="1" s="1"/>
  <c r="O2125" i="1" s="1"/>
  <c r="O2126" i="1" s="1"/>
  <c r="O2127" i="1" s="1"/>
  <c r="O2128" i="1" s="1"/>
  <c r="O2129" i="1" s="1"/>
  <c r="O2130" i="1" s="1"/>
  <c r="O2131" i="1" s="1"/>
  <c r="O2132" i="1" s="1"/>
  <c r="O2133" i="1" s="1"/>
  <c r="O2134" i="1" s="1"/>
  <c r="O2135" i="1" s="1"/>
  <c r="O2136" i="1" s="1"/>
  <c r="O2137" i="1" s="1"/>
  <c r="O2138" i="1" s="1"/>
  <c r="O2139" i="1" s="1"/>
  <c r="O2140" i="1" s="1"/>
  <c r="O2141" i="1" s="1"/>
  <c r="O2142" i="1" s="1"/>
  <c r="O2143" i="1" s="1"/>
  <c r="O2144" i="1" s="1"/>
  <c r="O2145" i="1" s="1"/>
  <c r="O2146" i="1" s="1"/>
  <c r="O2147" i="1" s="1"/>
  <c r="O2148" i="1" s="1"/>
  <c r="O2149" i="1" s="1"/>
  <c r="O2150" i="1" s="1"/>
  <c r="O2151" i="1" s="1"/>
  <c r="O2152" i="1" s="1"/>
  <c r="O2153" i="1" s="1"/>
  <c r="O2154" i="1" s="1"/>
  <c r="O2155" i="1" s="1"/>
  <c r="O2156" i="1" s="1"/>
  <c r="O2157" i="1" s="1"/>
  <c r="O2158" i="1" s="1"/>
  <c r="O2159" i="1" s="1"/>
  <c r="O2160" i="1" s="1"/>
  <c r="O2161" i="1" s="1"/>
  <c r="O2162" i="1" s="1"/>
  <c r="O2163" i="1" s="1"/>
  <c r="O2164" i="1" s="1"/>
  <c r="O2165" i="1" s="1"/>
  <c r="O2166" i="1" s="1"/>
  <c r="O2167" i="1" s="1"/>
  <c r="O2168" i="1" s="1"/>
  <c r="O2169" i="1" s="1"/>
  <c r="O2170" i="1" s="1"/>
  <c r="O2171" i="1" s="1"/>
  <c r="O2172" i="1" s="1"/>
  <c r="O2173" i="1" s="1"/>
  <c r="O2174" i="1" s="1"/>
  <c r="O2175" i="1" s="1"/>
  <c r="O2176" i="1" s="1"/>
  <c r="O2177" i="1" s="1"/>
  <c r="O2178" i="1" s="1"/>
  <c r="O2179" i="1" s="1"/>
  <c r="O2180" i="1" s="1"/>
  <c r="O2181" i="1" s="1"/>
  <c r="O2182" i="1" s="1"/>
  <c r="O2183" i="1" s="1"/>
  <c r="O2184" i="1" s="1"/>
  <c r="O2185" i="1" s="1"/>
  <c r="O2186" i="1" s="1"/>
  <c r="O2187" i="1" s="1"/>
  <c r="O2188" i="1" s="1"/>
  <c r="O2189" i="1" s="1"/>
  <c r="O2190" i="1" s="1"/>
  <c r="O2191" i="1" s="1"/>
  <c r="O2192" i="1" s="1"/>
  <c r="O2193" i="1" s="1"/>
  <c r="O2194" i="1" s="1"/>
  <c r="O2195" i="1" s="1"/>
  <c r="O2196" i="1" s="1"/>
  <c r="O2197" i="1" s="1"/>
  <c r="O2198" i="1" s="1"/>
  <c r="O2199" i="1" s="1"/>
  <c r="O2200" i="1" s="1"/>
  <c r="O2201" i="1" s="1"/>
  <c r="O2202" i="1" s="1"/>
  <c r="O2203" i="1" s="1"/>
  <c r="O2204" i="1" s="1"/>
  <c r="O2205" i="1" s="1"/>
  <c r="O2206" i="1" s="1"/>
  <c r="O2207" i="1" s="1"/>
  <c r="O2208" i="1" s="1"/>
  <c r="O2209" i="1" s="1"/>
  <c r="O2210" i="1" s="1"/>
  <c r="O2211" i="1" s="1"/>
  <c r="O2212" i="1" s="1"/>
  <c r="O2213" i="1" s="1"/>
  <c r="O2214" i="1" s="1"/>
  <c r="O2215" i="1" s="1"/>
  <c r="O2216" i="1" s="1"/>
  <c r="O2217" i="1" s="1"/>
  <c r="O2218" i="1" s="1"/>
  <c r="O2219" i="1" s="1"/>
  <c r="O2220" i="1" s="1"/>
  <c r="O2221" i="1" s="1"/>
  <c r="O2222" i="1" s="1"/>
  <c r="O2223" i="1" s="1"/>
  <c r="O2224" i="1" s="1"/>
  <c r="O2225" i="1" s="1"/>
  <c r="O2226" i="1" s="1"/>
  <c r="O2227" i="1" s="1"/>
  <c r="O2228" i="1" s="1"/>
  <c r="O2229" i="1" s="1"/>
  <c r="O2230" i="1" s="1"/>
  <c r="O2231" i="1" s="1"/>
  <c r="O2232" i="1" s="1"/>
  <c r="O2233" i="1" s="1"/>
  <c r="O2234" i="1" s="1"/>
  <c r="O2235" i="1" s="1"/>
  <c r="O2236" i="1" s="1"/>
  <c r="O2237" i="1" s="1"/>
  <c r="O2238" i="1" s="1"/>
  <c r="O2239" i="1" s="1"/>
  <c r="O2240" i="1" s="1"/>
  <c r="O2241" i="1" s="1"/>
  <c r="O2242" i="1" s="1"/>
  <c r="O2243" i="1" s="1"/>
  <c r="O2244" i="1" s="1"/>
  <c r="O2245" i="1" s="1"/>
  <c r="O2246" i="1" s="1"/>
  <c r="O2247" i="1" s="1"/>
  <c r="O2248" i="1" s="1"/>
  <c r="O2249" i="1" s="1"/>
  <c r="O2250" i="1" s="1"/>
  <c r="O2251" i="1" s="1"/>
  <c r="O2252" i="1" s="1"/>
  <c r="O2253" i="1" s="1"/>
  <c r="O2254" i="1" s="1"/>
  <c r="O2255" i="1" s="1"/>
  <c r="O2256" i="1" s="1"/>
  <c r="O2257" i="1" s="1"/>
  <c r="O2258" i="1" s="1"/>
  <c r="O2259" i="1" s="1"/>
  <c r="O2260" i="1" s="1"/>
  <c r="O2261" i="1" s="1"/>
  <c r="O2262" i="1" s="1"/>
  <c r="O2263" i="1" s="1"/>
  <c r="O2264" i="1" s="1"/>
  <c r="O2265" i="1" s="1"/>
  <c r="O2266" i="1" s="1"/>
  <c r="O2267" i="1" s="1"/>
  <c r="O2268" i="1" s="1"/>
  <c r="O2269" i="1" s="1"/>
  <c r="O2270" i="1" s="1"/>
  <c r="O2271" i="1" s="1"/>
  <c r="O2272" i="1" s="1"/>
  <c r="O2273" i="1" s="1"/>
  <c r="O2274" i="1" s="1"/>
  <c r="O2275" i="1" s="1"/>
  <c r="O2276" i="1" s="1"/>
  <c r="O2277" i="1" s="1"/>
  <c r="O2278" i="1" s="1"/>
  <c r="O2279" i="1" s="1"/>
  <c r="O2280" i="1" s="1"/>
  <c r="O2281" i="1" s="1"/>
  <c r="O2282" i="1" s="1"/>
  <c r="O2283" i="1" s="1"/>
  <c r="O2284" i="1" s="1"/>
  <c r="O2285" i="1" s="1"/>
  <c r="O2286" i="1" s="1"/>
  <c r="O2287" i="1" s="1"/>
  <c r="O2288" i="1" s="1"/>
  <c r="O2289" i="1" s="1"/>
  <c r="O2290" i="1" s="1"/>
  <c r="O2291" i="1" s="1"/>
  <c r="O2292" i="1" s="1"/>
  <c r="O2293" i="1" s="1"/>
  <c r="O2294" i="1" s="1"/>
  <c r="O2295" i="1" s="1"/>
  <c r="O2296" i="1" s="1"/>
  <c r="O2297" i="1" s="1"/>
  <c r="O2298" i="1" s="1"/>
  <c r="O2299" i="1" s="1"/>
  <c r="O2300" i="1" s="1"/>
  <c r="O2301" i="1" s="1"/>
  <c r="O2302" i="1" s="1"/>
  <c r="O2303" i="1" s="1"/>
  <c r="O2304" i="1" s="1"/>
  <c r="O2305" i="1" s="1"/>
  <c r="O2306" i="1" s="1"/>
  <c r="O2307" i="1" s="1"/>
  <c r="O2308" i="1" s="1"/>
  <c r="O2309" i="1" s="1"/>
  <c r="O2310" i="1" s="1"/>
  <c r="O2311" i="1" s="1"/>
  <c r="O2312" i="1" s="1"/>
  <c r="O2313" i="1" s="1"/>
  <c r="O2314" i="1" s="1"/>
  <c r="O2315" i="1" s="1"/>
  <c r="O2316" i="1" s="1"/>
  <c r="O2317" i="1" s="1"/>
  <c r="O2318" i="1" s="1"/>
  <c r="O2319" i="1" s="1"/>
  <c r="O2320" i="1" s="1"/>
  <c r="O2321" i="1" s="1"/>
  <c r="O2322" i="1" s="1"/>
  <c r="O2323" i="1" s="1"/>
  <c r="O2324" i="1" s="1"/>
  <c r="O2325" i="1" s="1"/>
  <c r="O2326" i="1" s="1"/>
  <c r="O2327" i="1" s="1"/>
  <c r="O2328" i="1" s="1"/>
  <c r="O2329" i="1" s="1"/>
  <c r="O2330" i="1" s="1"/>
  <c r="O2331" i="1" s="1"/>
  <c r="O2332" i="1" s="1"/>
  <c r="O2333" i="1" s="1"/>
  <c r="O2334" i="1" s="1"/>
  <c r="O2335" i="1" s="1"/>
  <c r="O2336" i="1" s="1"/>
  <c r="O2337" i="1" s="1"/>
  <c r="O2338" i="1" s="1"/>
  <c r="O2339" i="1" s="1"/>
  <c r="O2340" i="1" s="1"/>
  <c r="O2341" i="1" s="1"/>
  <c r="O2342" i="1" s="1"/>
  <c r="O2343" i="1" s="1"/>
  <c r="O2344" i="1" s="1"/>
  <c r="O2345" i="1" s="1"/>
  <c r="O2346" i="1" s="1"/>
  <c r="O2347" i="1" s="1"/>
  <c r="O2348" i="1" s="1"/>
  <c r="O2349" i="1" s="1"/>
  <c r="O2350" i="1" s="1"/>
  <c r="O2351" i="1" s="1"/>
  <c r="O2352" i="1" s="1"/>
  <c r="O2353" i="1" s="1"/>
  <c r="O2354" i="1" s="1"/>
  <c r="O2355" i="1" s="1"/>
  <c r="O2356" i="1" s="1"/>
  <c r="O2357" i="1" s="1"/>
  <c r="O2358" i="1" s="1"/>
  <c r="O2359" i="1" s="1"/>
  <c r="O2360" i="1" s="1"/>
  <c r="O2361" i="1" s="1"/>
  <c r="O2362" i="1" s="1"/>
  <c r="O2363" i="1" s="1"/>
  <c r="O2364" i="1" s="1"/>
  <c r="O2365" i="1" s="1"/>
  <c r="O2366" i="1" s="1"/>
  <c r="O2367" i="1" s="1"/>
  <c r="O2368" i="1" s="1"/>
  <c r="O2369" i="1" s="1"/>
  <c r="O2370" i="1" s="1"/>
  <c r="O2371" i="1" s="1"/>
  <c r="O2372" i="1" s="1"/>
  <c r="O2373" i="1" s="1"/>
  <c r="O2374" i="1" s="1"/>
  <c r="O2375" i="1" s="1"/>
  <c r="O2376" i="1" s="1"/>
  <c r="O2377" i="1" s="1"/>
  <c r="O2378" i="1" s="1"/>
  <c r="O2379" i="1" s="1"/>
  <c r="O2380" i="1" s="1"/>
  <c r="O2381" i="1" s="1"/>
  <c r="O2382" i="1" s="1"/>
  <c r="O2383" i="1" s="1"/>
  <c r="O2384" i="1" s="1"/>
  <c r="O2385" i="1" s="1"/>
  <c r="O2386" i="1" s="1"/>
  <c r="O2387" i="1" s="1"/>
  <c r="O2388" i="1" s="1"/>
  <c r="O2389" i="1" s="1"/>
  <c r="O2390" i="1" s="1"/>
  <c r="O2391" i="1" s="1"/>
  <c r="O2392" i="1" s="1"/>
  <c r="O2393" i="1" s="1"/>
  <c r="O2394" i="1" s="1"/>
  <c r="O2395" i="1" s="1"/>
  <c r="O2396" i="1" s="1"/>
  <c r="O2397" i="1" s="1"/>
  <c r="O2398" i="1" s="1"/>
  <c r="O2399" i="1" s="1"/>
  <c r="O2400" i="1" s="1"/>
  <c r="O2401" i="1" s="1"/>
  <c r="O2402" i="1" s="1"/>
  <c r="O2403" i="1" s="1"/>
  <c r="O2404" i="1" s="1"/>
  <c r="O2405" i="1" s="1"/>
  <c r="O2406" i="1" s="1"/>
  <c r="O2407" i="1" s="1"/>
  <c r="O2408" i="1" s="1"/>
  <c r="O2409" i="1" s="1"/>
  <c r="O2410" i="1" s="1"/>
  <c r="O2411" i="1" s="1"/>
  <c r="O2412" i="1" s="1"/>
  <c r="O2413" i="1" s="1"/>
  <c r="O2414" i="1" s="1"/>
  <c r="O2415" i="1" s="1"/>
  <c r="O2416" i="1" s="1"/>
  <c r="O2417" i="1" s="1"/>
  <c r="O2418" i="1" s="1"/>
  <c r="O2419" i="1" s="1"/>
  <c r="O2420" i="1" s="1"/>
  <c r="O2421" i="1" s="1"/>
  <c r="O2422" i="1" s="1"/>
  <c r="O2423" i="1" s="1"/>
  <c r="O2424" i="1" s="1"/>
  <c r="O2425" i="1" s="1"/>
  <c r="O2426" i="1" s="1"/>
  <c r="O2427" i="1" s="1"/>
  <c r="O2428" i="1" s="1"/>
  <c r="O2429" i="1" s="1"/>
  <c r="O2430" i="1" s="1"/>
  <c r="O2431" i="1" s="1"/>
  <c r="O2432" i="1" s="1"/>
  <c r="O2433" i="1" s="1"/>
  <c r="O2434" i="1" s="1"/>
  <c r="O2435" i="1" s="1"/>
  <c r="O2436" i="1" s="1"/>
  <c r="O2437" i="1" s="1"/>
  <c r="O2438" i="1" s="1"/>
  <c r="O2439" i="1" s="1"/>
  <c r="O2440" i="1" s="1"/>
  <c r="O2441" i="1" s="1"/>
  <c r="O2442" i="1" s="1"/>
  <c r="O2443" i="1" s="1"/>
  <c r="O2444" i="1" s="1"/>
  <c r="O2445" i="1" s="1"/>
  <c r="O2446" i="1" s="1"/>
  <c r="O2447" i="1" s="1"/>
  <c r="O2448" i="1" s="1"/>
  <c r="O2449" i="1" s="1"/>
  <c r="O2450" i="1" s="1"/>
  <c r="O2451" i="1" s="1"/>
  <c r="O2452" i="1" s="1"/>
  <c r="O2453" i="1" s="1"/>
  <c r="O2454" i="1" s="1"/>
  <c r="O2455" i="1" s="1"/>
  <c r="O2456" i="1" s="1"/>
  <c r="O2457" i="1" s="1"/>
  <c r="O2458" i="1" s="1"/>
  <c r="O2459" i="1" s="1"/>
  <c r="O2460" i="1" s="1"/>
  <c r="O2461" i="1" s="1"/>
  <c r="O2462" i="1" s="1"/>
  <c r="O2463" i="1" s="1"/>
  <c r="O2464" i="1" s="1"/>
  <c r="O2465" i="1" s="1"/>
  <c r="O2466" i="1" s="1"/>
  <c r="O2467" i="1" s="1"/>
  <c r="O2468" i="1" s="1"/>
  <c r="O2469" i="1" s="1"/>
  <c r="O2470" i="1" s="1"/>
  <c r="O2471" i="1" s="1"/>
  <c r="O2472" i="1" s="1"/>
  <c r="O2473" i="1" s="1"/>
  <c r="O2474" i="1" s="1"/>
  <c r="O2475" i="1" s="1"/>
  <c r="O2476" i="1" s="1"/>
  <c r="O2477" i="1" s="1"/>
  <c r="O2478" i="1" s="1"/>
  <c r="O2479" i="1" s="1"/>
  <c r="O2480" i="1" s="1"/>
  <c r="O2481" i="1" s="1"/>
  <c r="O2482" i="1" s="1"/>
  <c r="O2483" i="1" s="1"/>
  <c r="O2484" i="1" s="1"/>
  <c r="O2485" i="1" s="1"/>
  <c r="O2486" i="1" s="1"/>
  <c r="O2487" i="1" s="1"/>
  <c r="O2488" i="1" s="1"/>
  <c r="O2489" i="1" s="1"/>
  <c r="O2490" i="1" s="1"/>
  <c r="O2491" i="1" s="1"/>
  <c r="O2492" i="1" s="1"/>
  <c r="O2493" i="1" s="1"/>
  <c r="O2494" i="1" s="1"/>
  <c r="O2495" i="1" s="1"/>
  <c r="O2496" i="1" s="1"/>
  <c r="O2497" i="1" s="1"/>
  <c r="O2498" i="1" s="1"/>
  <c r="O2499" i="1" s="1"/>
  <c r="O2500" i="1" s="1"/>
  <c r="O2501" i="1" s="1"/>
  <c r="O2502" i="1" s="1"/>
  <c r="O2503" i="1" s="1"/>
  <c r="O2504" i="1" s="1"/>
  <c r="O2505" i="1" s="1"/>
  <c r="O2506" i="1" s="1"/>
  <c r="O2507" i="1" s="1"/>
  <c r="O2508" i="1" s="1"/>
  <c r="O2509" i="1" s="1"/>
  <c r="O2510" i="1" s="1"/>
  <c r="O2511" i="1" s="1"/>
  <c r="O2512" i="1" s="1"/>
  <c r="O2513" i="1" s="1"/>
  <c r="O2514" i="1" s="1"/>
  <c r="O2515" i="1" s="1"/>
  <c r="O2516" i="1" s="1"/>
  <c r="O2517" i="1" s="1"/>
  <c r="O2518" i="1" s="1"/>
  <c r="O2519" i="1" s="1"/>
  <c r="O2520" i="1" s="1"/>
  <c r="O2521" i="1" s="1"/>
  <c r="O2522" i="1" s="1"/>
  <c r="O2523" i="1" s="1"/>
  <c r="O2524" i="1" s="1"/>
  <c r="O2525" i="1" s="1"/>
  <c r="O2526" i="1" s="1"/>
  <c r="O2527" i="1" s="1"/>
  <c r="O2528" i="1" s="1"/>
  <c r="O2529" i="1" s="1"/>
  <c r="O2530" i="1" s="1"/>
  <c r="O2531" i="1" s="1"/>
  <c r="O2532" i="1" s="1"/>
  <c r="O2533" i="1" s="1"/>
  <c r="O2534" i="1" s="1"/>
  <c r="O2535" i="1" s="1"/>
  <c r="O2536" i="1" s="1"/>
  <c r="O2537" i="1" s="1"/>
  <c r="O2538" i="1" s="1"/>
  <c r="O2539" i="1" s="1"/>
  <c r="O2540" i="1" s="1"/>
  <c r="O2541" i="1" s="1"/>
  <c r="O2542" i="1" s="1"/>
  <c r="O2543" i="1" s="1"/>
  <c r="O2544" i="1" s="1"/>
  <c r="O2545" i="1" s="1"/>
  <c r="O2546" i="1" s="1"/>
  <c r="O2547" i="1" s="1"/>
  <c r="O2548" i="1" s="1"/>
  <c r="O2549" i="1" s="1"/>
  <c r="O2550" i="1" s="1"/>
  <c r="O2551" i="1" s="1"/>
  <c r="O2552" i="1" s="1"/>
  <c r="O2553" i="1" s="1"/>
  <c r="O2554" i="1" s="1"/>
  <c r="O2555" i="1" s="1"/>
  <c r="O2556" i="1" s="1"/>
  <c r="O2557" i="1" s="1"/>
  <c r="O2558" i="1" s="1"/>
  <c r="O2559" i="1" s="1"/>
  <c r="O2560" i="1" s="1"/>
  <c r="O2561" i="1" s="1"/>
  <c r="O2562" i="1" s="1"/>
  <c r="O2563" i="1" s="1"/>
  <c r="O2564" i="1" s="1"/>
  <c r="O2565" i="1" s="1"/>
  <c r="O2566" i="1" s="1"/>
  <c r="O2567" i="1" s="1"/>
  <c r="O2568" i="1" s="1"/>
  <c r="O2569" i="1" s="1"/>
  <c r="O2570" i="1" s="1"/>
  <c r="O2571" i="1" s="1"/>
  <c r="O2572" i="1" s="1"/>
  <c r="O2573" i="1" s="1"/>
  <c r="O2574" i="1" s="1"/>
  <c r="O2575" i="1" s="1"/>
  <c r="O2576" i="1" s="1"/>
  <c r="O2577" i="1" s="1"/>
  <c r="O2578" i="1" s="1"/>
  <c r="O2579" i="1" s="1"/>
  <c r="O2580" i="1" s="1"/>
  <c r="O2581" i="1" s="1"/>
  <c r="O2582" i="1" s="1"/>
  <c r="O2583" i="1" s="1"/>
  <c r="O2584" i="1" s="1"/>
  <c r="O2585" i="1" s="1"/>
  <c r="O2586" i="1" s="1"/>
  <c r="O2587" i="1" s="1"/>
  <c r="O2588" i="1" s="1"/>
  <c r="O2589" i="1" s="1"/>
  <c r="O2590" i="1" s="1"/>
  <c r="O2591" i="1" s="1"/>
  <c r="O2592" i="1" s="1"/>
  <c r="O2593" i="1" s="1"/>
  <c r="O2594" i="1" s="1"/>
  <c r="O2595" i="1" s="1"/>
  <c r="O2596" i="1" s="1"/>
  <c r="O2597" i="1" s="1"/>
  <c r="O2598" i="1" s="1"/>
  <c r="O2599" i="1" s="1"/>
  <c r="O2600" i="1" s="1"/>
  <c r="O2601" i="1" s="1"/>
  <c r="O2602" i="1" s="1"/>
  <c r="O2603" i="1" s="1"/>
  <c r="O2604" i="1" s="1"/>
  <c r="O2605" i="1" s="1"/>
  <c r="O2606" i="1" s="1"/>
  <c r="O2607" i="1" s="1"/>
  <c r="O2608" i="1" s="1"/>
  <c r="O2609" i="1" s="1"/>
  <c r="O2610" i="1" s="1"/>
  <c r="O2611" i="1" s="1"/>
  <c r="O2612" i="1" s="1"/>
  <c r="O2613" i="1" s="1"/>
  <c r="O2614" i="1" s="1"/>
  <c r="O2615" i="1" s="1"/>
  <c r="O2616" i="1" s="1"/>
  <c r="O2617" i="1" s="1"/>
  <c r="O2618" i="1" s="1"/>
  <c r="O2619" i="1" s="1"/>
  <c r="O2620" i="1" s="1"/>
  <c r="O2621" i="1" s="1"/>
  <c r="O2622" i="1" s="1"/>
  <c r="O2623" i="1" s="1"/>
  <c r="O2624" i="1" s="1"/>
  <c r="O2625" i="1" s="1"/>
  <c r="O2626" i="1" s="1"/>
  <c r="O2627" i="1" s="1"/>
  <c r="O2628" i="1" s="1"/>
  <c r="O2629" i="1" s="1"/>
  <c r="O2630" i="1" s="1"/>
  <c r="O2631" i="1" s="1"/>
  <c r="O2632" i="1" s="1"/>
  <c r="O2633" i="1" s="1"/>
  <c r="O2634" i="1" s="1"/>
  <c r="O2635" i="1" s="1"/>
  <c r="O2636" i="1" s="1"/>
  <c r="O2637" i="1" s="1"/>
  <c r="O2638" i="1" s="1"/>
  <c r="O2639" i="1" s="1"/>
  <c r="O2640" i="1" s="1"/>
  <c r="O2641" i="1" s="1"/>
  <c r="O2642" i="1" s="1"/>
  <c r="O2643" i="1" s="1"/>
  <c r="O2644" i="1" s="1"/>
  <c r="O2645" i="1" s="1"/>
  <c r="O2646" i="1" s="1"/>
  <c r="O2647" i="1" s="1"/>
  <c r="O2648" i="1" s="1"/>
  <c r="O2649" i="1" s="1"/>
  <c r="O2650" i="1" s="1"/>
  <c r="O2651" i="1" s="1"/>
  <c r="O2652" i="1" s="1"/>
  <c r="O2653" i="1" s="1"/>
  <c r="O2654" i="1" s="1"/>
  <c r="O2655" i="1" s="1"/>
  <c r="O2656" i="1" s="1"/>
  <c r="O2657" i="1" s="1"/>
  <c r="O2658" i="1" s="1"/>
  <c r="O2659" i="1" s="1"/>
  <c r="O2660" i="1" s="1"/>
  <c r="O2661" i="1" s="1"/>
  <c r="O2662" i="1" s="1"/>
  <c r="O2663" i="1" s="1"/>
  <c r="O2664" i="1" s="1"/>
  <c r="O2665" i="1" s="1"/>
  <c r="O2666" i="1" s="1"/>
  <c r="O2667" i="1" s="1"/>
  <c r="O2668" i="1" s="1"/>
  <c r="O2669" i="1" s="1"/>
  <c r="O2670" i="1" s="1"/>
  <c r="O2671" i="1" s="1"/>
  <c r="O2672" i="1" s="1"/>
  <c r="O2673" i="1" s="1"/>
  <c r="O2674" i="1" s="1"/>
  <c r="O2675" i="1" s="1"/>
  <c r="O2676" i="1" s="1"/>
  <c r="O2677" i="1" s="1"/>
  <c r="O2678" i="1" s="1"/>
  <c r="O2679" i="1" s="1"/>
  <c r="O2680" i="1" s="1"/>
  <c r="O2681" i="1" s="1"/>
  <c r="O2682" i="1" s="1"/>
  <c r="O2683" i="1" s="1"/>
  <c r="O2684" i="1" s="1"/>
  <c r="O2685" i="1" s="1"/>
  <c r="O2686" i="1" s="1"/>
  <c r="O2687" i="1" s="1"/>
  <c r="O2688" i="1" s="1"/>
  <c r="O2689" i="1" s="1"/>
  <c r="O2690" i="1" s="1"/>
  <c r="O2691" i="1" s="1"/>
  <c r="O2692" i="1" s="1"/>
  <c r="O2693" i="1" s="1"/>
  <c r="O2694" i="1" s="1"/>
  <c r="O2695" i="1" s="1"/>
  <c r="O2696" i="1" s="1"/>
  <c r="O2697" i="1" s="1"/>
  <c r="O2698" i="1" s="1"/>
  <c r="O2699" i="1" s="1"/>
  <c r="O2700" i="1" s="1"/>
  <c r="O2701" i="1" s="1"/>
  <c r="O2702" i="1" s="1"/>
  <c r="O2703" i="1" s="1"/>
  <c r="O2704" i="1" s="1"/>
  <c r="O2705" i="1" s="1"/>
  <c r="O2706" i="1" s="1"/>
  <c r="O2707" i="1" s="1"/>
  <c r="O2708" i="1" s="1"/>
  <c r="O2709" i="1" s="1"/>
  <c r="O2710" i="1" s="1"/>
  <c r="O2711" i="1" s="1"/>
  <c r="O2712" i="1" s="1"/>
  <c r="O2713" i="1" s="1"/>
  <c r="O2714" i="1" s="1"/>
  <c r="O2715" i="1" s="1"/>
  <c r="O2716" i="1" s="1"/>
  <c r="O2717" i="1" s="1"/>
  <c r="O2718" i="1" s="1"/>
  <c r="O2719" i="1" s="1"/>
  <c r="O2720" i="1" s="1"/>
  <c r="O2721" i="1" s="1"/>
  <c r="O2722" i="1" s="1"/>
  <c r="O2723" i="1" s="1"/>
  <c r="O2724" i="1" s="1"/>
  <c r="O2725" i="1" s="1"/>
  <c r="O2726" i="1" s="1"/>
  <c r="O2727" i="1" s="1"/>
  <c r="O2728" i="1" s="1"/>
  <c r="O2729" i="1" s="1"/>
  <c r="O2730" i="1" s="1"/>
  <c r="O2731" i="1" s="1"/>
  <c r="O2732" i="1" s="1"/>
  <c r="O2733" i="1" s="1"/>
  <c r="O2734" i="1" s="1"/>
  <c r="O2735" i="1" s="1"/>
  <c r="O2736" i="1" s="1"/>
  <c r="O2737" i="1" s="1"/>
  <c r="O2738" i="1" s="1"/>
  <c r="O2739" i="1" s="1"/>
  <c r="O2740" i="1" s="1"/>
  <c r="O2741" i="1" s="1"/>
  <c r="O2742" i="1" s="1"/>
  <c r="O2743" i="1" s="1"/>
  <c r="O2744" i="1" s="1"/>
  <c r="O2745" i="1" s="1"/>
  <c r="O2746" i="1" s="1"/>
  <c r="O2747" i="1" s="1"/>
  <c r="O2748" i="1" s="1"/>
  <c r="O2749" i="1" s="1"/>
  <c r="O2750" i="1" s="1"/>
  <c r="O2751" i="1" s="1"/>
  <c r="O2752" i="1" s="1"/>
  <c r="O2753" i="1" s="1"/>
  <c r="O2754" i="1" s="1"/>
  <c r="O2755" i="1" s="1"/>
  <c r="O2756" i="1" s="1"/>
  <c r="O2757" i="1" s="1"/>
  <c r="O2758" i="1" s="1"/>
  <c r="O2759" i="1" s="1"/>
  <c r="O2760" i="1" s="1"/>
  <c r="O2761" i="1" s="1"/>
  <c r="O2762" i="1" s="1"/>
  <c r="O2763" i="1" s="1"/>
  <c r="O2764" i="1" s="1"/>
  <c r="O2765" i="1" s="1"/>
  <c r="O2766" i="1" s="1"/>
  <c r="O2767" i="1" s="1"/>
  <c r="O2768" i="1" s="1"/>
  <c r="O2769" i="1" s="1"/>
  <c r="O2770" i="1" s="1"/>
  <c r="O2771" i="1" s="1"/>
  <c r="O2772" i="1" s="1"/>
  <c r="O2773" i="1" s="1"/>
  <c r="O2774" i="1" s="1"/>
  <c r="O2775" i="1" s="1"/>
  <c r="O2776" i="1" s="1"/>
  <c r="O2777" i="1" s="1"/>
  <c r="O2778" i="1" s="1"/>
  <c r="O2779" i="1" s="1"/>
  <c r="O2780" i="1" s="1"/>
  <c r="O2781" i="1" s="1"/>
  <c r="O2782" i="1" s="1"/>
  <c r="O2783" i="1" s="1"/>
  <c r="O2784" i="1" s="1"/>
  <c r="O2785" i="1" s="1"/>
  <c r="O2786" i="1" s="1"/>
  <c r="O2787" i="1" s="1"/>
  <c r="O2788" i="1" s="1"/>
  <c r="O2789" i="1" s="1"/>
  <c r="O2790" i="1" s="1"/>
  <c r="O2791" i="1" s="1"/>
  <c r="O2792" i="1" s="1"/>
  <c r="O2793" i="1" s="1"/>
  <c r="O2794" i="1" s="1"/>
  <c r="O2795" i="1" s="1"/>
  <c r="O2796" i="1" s="1"/>
  <c r="O2797" i="1" s="1"/>
  <c r="O2798" i="1" s="1"/>
  <c r="O2799" i="1" s="1"/>
  <c r="O2800" i="1" s="1"/>
  <c r="O2801" i="1" s="1"/>
  <c r="O2802" i="1" s="1"/>
  <c r="O2803" i="1" s="1"/>
  <c r="O2804" i="1" s="1"/>
  <c r="O2805" i="1" s="1"/>
  <c r="O2806" i="1" s="1"/>
  <c r="O2807" i="1" s="1"/>
  <c r="O2808" i="1" s="1"/>
  <c r="O2809" i="1" s="1"/>
  <c r="O2810" i="1" s="1"/>
  <c r="O2811" i="1" s="1"/>
  <c r="O2812" i="1" s="1"/>
  <c r="O2813" i="1" s="1"/>
  <c r="O2814" i="1" s="1"/>
  <c r="O2815" i="1" s="1"/>
  <c r="O2816" i="1" s="1"/>
  <c r="O2817" i="1" s="1"/>
  <c r="O2818" i="1" s="1"/>
  <c r="O2819" i="1" s="1"/>
  <c r="O2820" i="1" s="1"/>
  <c r="O2821" i="1" s="1"/>
  <c r="O2822" i="1" s="1"/>
  <c r="O2823" i="1" s="1"/>
  <c r="O2824" i="1" s="1"/>
  <c r="O2825" i="1" s="1"/>
  <c r="O2826" i="1" s="1"/>
  <c r="O2827" i="1" s="1"/>
  <c r="O2828" i="1" s="1"/>
  <c r="O2829" i="1" s="1"/>
  <c r="O2830" i="1" s="1"/>
  <c r="O2831" i="1" s="1"/>
  <c r="O2832" i="1" s="1"/>
  <c r="O2833" i="1" s="1"/>
  <c r="O2834" i="1" s="1"/>
  <c r="O2835" i="1" s="1"/>
  <c r="O2836" i="1" s="1"/>
  <c r="O2837" i="1" s="1"/>
  <c r="O2838" i="1" s="1"/>
  <c r="O2839" i="1" s="1"/>
  <c r="O2840" i="1" s="1"/>
  <c r="O2841" i="1" s="1"/>
  <c r="O2842" i="1" s="1"/>
  <c r="O2843" i="1" s="1"/>
  <c r="O2844" i="1" s="1"/>
  <c r="O2845" i="1" s="1"/>
  <c r="O2846" i="1" s="1"/>
  <c r="O2847" i="1" s="1"/>
  <c r="O2848" i="1" s="1"/>
  <c r="O2849" i="1" s="1"/>
  <c r="O2850" i="1" s="1"/>
  <c r="O2851" i="1" s="1"/>
  <c r="O2852" i="1" s="1"/>
  <c r="O2853" i="1" s="1"/>
  <c r="O2854" i="1" s="1"/>
  <c r="O2855" i="1" s="1"/>
  <c r="O2856" i="1" s="1"/>
  <c r="O2857" i="1" s="1"/>
  <c r="O2858" i="1" s="1"/>
  <c r="O2859" i="1" s="1"/>
  <c r="O2860" i="1" s="1"/>
  <c r="O2861" i="1" s="1"/>
  <c r="O2862" i="1" s="1"/>
  <c r="O2863" i="1" s="1"/>
  <c r="O2864" i="1" s="1"/>
  <c r="O2865" i="1" s="1"/>
  <c r="O2866" i="1" s="1"/>
  <c r="O2867" i="1" s="1"/>
  <c r="O2868" i="1" s="1"/>
  <c r="O2869" i="1" s="1"/>
  <c r="O2870" i="1" s="1"/>
  <c r="O2871" i="1" s="1"/>
  <c r="O2872" i="1" s="1"/>
  <c r="O2873" i="1" s="1"/>
  <c r="O2874" i="1" s="1"/>
  <c r="O2875" i="1" s="1"/>
  <c r="O2876" i="1" s="1"/>
  <c r="O2877" i="1" s="1"/>
  <c r="O2878" i="1" s="1"/>
  <c r="O2879" i="1" s="1"/>
  <c r="O2880" i="1" s="1"/>
  <c r="O2881" i="1" s="1"/>
  <c r="O2882" i="1" s="1"/>
  <c r="O2883" i="1" s="1"/>
  <c r="O2884" i="1" s="1"/>
  <c r="O2885" i="1" s="1"/>
  <c r="O2886" i="1" s="1"/>
  <c r="O2887" i="1" s="1"/>
  <c r="O2888" i="1" s="1"/>
  <c r="O2889" i="1" s="1"/>
  <c r="O2890" i="1" s="1"/>
  <c r="O2891" i="1" s="1"/>
  <c r="O2892" i="1" s="1"/>
  <c r="O2893" i="1" s="1"/>
  <c r="O2894" i="1" s="1"/>
  <c r="O2895" i="1" s="1"/>
  <c r="O2896" i="1" s="1"/>
  <c r="O2897" i="1" s="1"/>
  <c r="O2898" i="1" s="1"/>
  <c r="O2899" i="1" s="1"/>
  <c r="O2900" i="1" s="1"/>
  <c r="O2901" i="1" s="1"/>
  <c r="O2902" i="1" s="1"/>
  <c r="O2903" i="1" s="1"/>
  <c r="O2904" i="1" s="1"/>
  <c r="O2905" i="1" s="1"/>
  <c r="O2906" i="1" s="1"/>
  <c r="O2907" i="1" s="1"/>
  <c r="O2908" i="1" s="1"/>
  <c r="O2909" i="1" s="1"/>
  <c r="O2910" i="1" s="1"/>
  <c r="O2911" i="1" s="1"/>
  <c r="O2912" i="1" s="1"/>
  <c r="O2913" i="1" s="1"/>
  <c r="O2914" i="1" s="1"/>
  <c r="O2915" i="1" s="1"/>
  <c r="O2916" i="1" s="1"/>
  <c r="O2917" i="1" s="1"/>
  <c r="O2918" i="1" s="1"/>
  <c r="O2919" i="1" s="1"/>
  <c r="O2920" i="1" s="1"/>
  <c r="O2921" i="1" s="1"/>
  <c r="O2922" i="1" s="1"/>
  <c r="O2923" i="1" s="1"/>
  <c r="O2924" i="1" s="1"/>
  <c r="O2925" i="1" s="1"/>
  <c r="O2926" i="1" s="1"/>
  <c r="O2927" i="1" s="1"/>
  <c r="O2928" i="1" s="1"/>
  <c r="O2929" i="1" s="1"/>
  <c r="O2930" i="1" s="1"/>
  <c r="O2931" i="1" s="1"/>
  <c r="O2932" i="1" s="1"/>
  <c r="O2933" i="1" s="1"/>
  <c r="O2934" i="1" s="1"/>
  <c r="O2935" i="1" s="1"/>
  <c r="O2936" i="1" s="1"/>
  <c r="O2937" i="1" s="1"/>
  <c r="O2938" i="1" s="1"/>
  <c r="O2939" i="1" s="1"/>
  <c r="O2940" i="1" s="1"/>
  <c r="O2941" i="1" s="1"/>
  <c r="O2942" i="1" s="1"/>
  <c r="O2943" i="1" s="1"/>
  <c r="O2944" i="1" s="1"/>
  <c r="O2945" i="1" s="1"/>
  <c r="O2946" i="1" s="1"/>
  <c r="O2947" i="1" s="1"/>
  <c r="O2948" i="1" s="1"/>
  <c r="O2949" i="1" s="1"/>
  <c r="O2950" i="1" s="1"/>
  <c r="O2951" i="1" s="1"/>
  <c r="O2952" i="1" s="1"/>
  <c r="O2953" i="1" s="1"/>
  <c r="O2954" i="1" s="1"/>
  <c r="O2955" i="1" s="1"/>
  <c r="O2956" i="1" s="1"/>
  <c r="O2957" i="1" s="1"/>
  <c r="O2958" i="1" s="1"/>
  <c r="O2959" i="1" s="1"/>
  <c r="O2960" i="1" s="1"/>
  <c r="O2961" i="1" s="1"/>
  <c r="O2962" i="1" s="1"/>
  <c r="O2963" i="1" s="1"/>
  <c r="O2964" i="1" s="1"/>
  <c r="O2965" i="1" s="1"/>
  <c r="O2966" i="1" s="1"/>
  <c r="O2967" i="1" s="1"/>
  <c r="O2968" i="1" s="1"/>
  <c r="O2969" i="1" s="1"/>
  <c r="O2970" i="1" s="1"/>
  <c r="O2971" i="1" s="1"/>
  <c r="O2972" i="1" s="1"/>
  <c r="O2973" i="1" s="1"/>
  <c r="O2974" i="1" s="1"/>
  <c r="O2975" i="1" s="1"/>
  <c r="O2976" i="1" s="1"/>
  <c r="O2977" i="1" s="1"/>
  <c r="O2978" i="1" s="1"/>
  <c r="O2979" i="1" s="1"/>
  <c r="O2980" i="1" s="1"/>
  <c r="O2981" i="1" s="1"/>
  <c r="O2982" i="1" s="1"/>
  <c r="O2983" i="1" s="1"/>
  <c r="O2984" i="1" s="1"/>
  <c r="O2985" i="1" s="1"/>
  <c r="O2986" i="1" s="1"/>
  <c r="O2987" i="1" s="1"/>
  <c r="O2988" i="1" s="1"/>
  <c r="O2989" i="1" s="1"/>
  <c r="O2990" i="1" s="1"/>
  <c r="O2991" i="1" s="1"/>
  <c r="O2992" i="1" s="1"/>
  <c r="O2993" i="1" s="1"/>
  <c r="O2994" i="1" s="1"/>
  <c r="O2995" i="1" s="1"/>
  <c r="O2996" i="1" s="1"/>
  <c r="O2997" i="1" s="1"/>
  <c r="O2998" i="1" s="1"/>
  <c r="O2999" i="1" s="1"/>
  <c r="O3000" i="1" s="1"/>
  <c r="O3001" i="1" s="1"/>
  <c r="O3002" i="1" s="1"/>
  <c r="O3003" i="1" s="1"/>
  <c r="O3004" i="1" s="1"/>
  <c r="O3005" i="1" s="1"/>
  <c r="O3006" i="1" s="1"/>
  <c r="O3007" i="1" s="1"/>
  <c r="O3008" i="1" s="1"/>
  <c r="O3009" i="1" s="1"/>
  <c r="O3010" i="1" s="1"/>
  <c r="O3011" i="1" s="1"/>
  <c r="O3012" i="1" s="1"/>
  <c r="O3013" i="1" s="1"/>
  <c r="O3014" i="1" s="1"/>
  <c r="O3015" i="1" s="1"/>
  <c r="O3016" i="1" s="1"/>
  <c r="O3017" i="1" s="1"/>
  <c r="O3018" i="1" s="1"/>
  <c r="O3019" i="1" s="1"/>
  <c r="O3020" i="1" s="1"/>
  <c r="O3021" i="1" s="1"/>
  <c r="O3022" i="1" s="1"/>
  <c r="O3023" i="1" s="1"/>
  <c r="O3024" i="1" s="1"/>
  <c r="O3025" i="1" s="1"/>
  <c r="O3026" i="1" s="1"/>
  <c r="O3027" i="1" s="1"/>
  <c r="O3028" i="1" s="1"/>
  <c r="O3029" i="1" s="1"/>
  <c r="O3030" i="1" s="1"/>
  <c r="O3031" i="1" s="1"/>
  <c r="O3032" i="1" s="1"/>
  <c r="O3033" i="1" s="1"/>
  <c r="O3034" i="1" s="1"/>
  <c r="O3035" i="1" s="1"/>
  <c r="O3036" i="1" s="1"/>
  <c r="O3037" i="1" s="1"/>
  <c r="O3038" i="1" s="1"/>
  <c r="O3039" i="1" s="1"/>
  <c r="O3040" i="1" s="1"/>
  <c r="O3041" i="1" s="1"/>
  <c r="O3042" i="1" s="1"/>
  <c r="O3043" i="1" s="1"/>
  <c r="O3044" i="1" s="1"/>
  <c r="O3045" i="1" s="1"/>
  <c r="O3046" i="1" s="1"/>
  <c r="O3047" i="1" s="1"/>
  <c r="O3048" i="1" s="1"/>
  <c r="O3049" i="1" s="1"/>
  <c r="O3050" i="1" s="1"/>
  <c r="O3051" i="1" s="1"/>
  <c r="O3052" i="1" s="1"/>
  <c r="O3053" i="1" s="1"/>
  <c r="O3054" i="1" s="1"/>
  <c r="O3055" i="1" s="1"/>
  <c r="O3056" i="1" s="1"/>
  <c r="O3057" i="1" s="1"/>
  <c r="O3058" i="1" s="1"/>
  <c r="O3059" i="1" s="1"/>
  <c r="O3060" i="1" s="1"/>
  <c r="O3061" i="1" s="1"/>
  <c r="O3062" i="1" s="1"/>
  <c r="O3063" i="1" s="1"/>
  <c r="O3064" i="1" s="1"/>
  <c r="O3065" i="1" s="1"/>
  <c r="O3066" i="1" s="1"/>
  <c r="O3067" i="1" s="1"/>
  <c r="O3068" i="1" s="1"/>
  <c r="O3069" i="1" s="1"/>
  <c r="O3070" i="1" s="1"/>
  <c r="O3071" i="1" s="1"/>
  <c r="O3072" i="1" s="1"/>
  <c r="O3073" i="1" s="1"/>
  <c r="O3074" i="1" s="1"/>
  <c r="O3075" i="1" s="1"/>
  <c r="O3076" i="1" s="1"/>
  <c r="O3077" i="1" s="1"/>
  <c r="O3078" i="1" s="1"/>
  <c r="O3079" i="1" s="1"/>
  <c r="O3080" i="1" s="1"/>
  <c r="O3081" i="1" s="1"/>
  <c r="O3082" i="1" s="1"/>
  <c r="O3083" i="1" s="1"/>
  <c r="O3084" i="1" s="1"/>
  <c r="O3085" i="1" s="1"/>
  <c r="O3086" i="1" s="1"/>
  <c r="O3087" i="1" s="1"/>
  <c r="O3088" i="1" s="1"/>
  <c r="O3089" i="1" s="1"/>
  <c r="O3090" i="1" s="1"/>
  <c r="O3091" i="1" s="1"/>
  <c r="O3092" i="1" s="1"/>
  <c r="O3093" i="1" s="1"/>
  <c r="O3094" i="1" s="1"/>
  <c r="O3095" i="1" s="1"/>
  <c r="O3096" i="1" s="1"/>
  <c r="O3097" i="1" s="1"/>
  <c r="O3098" i="1" s="1"/>
  <c r="O3099" i="1" s="1"/>
  <c r="O3100" i="1" s="1"/>
  <c r="O3101" i="1" s="1"/>
  <c r="O3102" i="1" s="1"/>
  <c r="O3103" i="1" s="1"/>
  <c r="O3104" i="1" s="1"/>
  <c r="O3105" i="1" s="1"/>
  <c r="O3106" i="1" s="1"/>
  <c r="O3107" i="1" s="1"/>
  <c r="O3108" i="1" s="1"/>
  <c r="O3109" i="1" s="1"/>
  <c r="O3110" i="1" s="1"/>
  <c r="O3111" i="1" s="1"/>
  <c r="O3112" i="1" s="1"/>
  <c r="O3113" i="1" s="1"/>
  <c r="O3114" i="1" s="1"/>
  <c r="O3115" i="1" s="1"/>
  <c r="O3116" i="1" s="1"/>
  <c r="O3117" i="1" s="1"/>
  <c r="O3118" i="1" s="1"/>
  <c r="O3119" i="1" s="1"/>
  <c r="O3120" i="1" s="1"/>
  <c r="O3121" i="1" s="1"/>
  <c r="O3122" i="1" s="1"/>
  <c r="O3123" i="1" s="1"/>
  <c r="O3124" i="1" s="1"/>
  <c r="O3125" i="1" s="1"/>
  <c r="O3126" i="1" s="1"/>
  <c r="O3127" i="1" s="1"/>
  <c r="O3128" i="1" s="1"/>
  <c r="O3129" i="1" s="1"/>
  <c r="O3130" i="1" s="1"/>
  <c r="O3131" i="1" s="1"/>
  <c r="O3132" i="1" s="1"/>
  <c r="O3133" i="1" s="1"/>
  <c r="O3134" i="1" s="1"/>
  <c r="O3135" i="1" s="1"/>
  <c r="O3136" i="1" s="1"/>
  <c r="O3137" i="1" s="1"/>
  <c r="O3138" i="1" s="1"/>
  <c r="O3139" i="1" s="1"/>
  <c r="O3140" i="1" s="1"/>
  <c r="O3141" i="1" s="1"/>
  <c r="O3142" i="1" s="1"/>
  <c r="O3143" i="1" s="1"/>
  <c r="O3144" i="1" s="1"/>
  <c r="O3145" i="1" s="1"/>
  <c r="O3146" i="1" s="1"/>
  <c r="O3147" i="1" s="1"/>
  <c r="O3148" i="1" s="1"/>
  <c r="O3149" i="1" s="1"/>
  <c r="O3150" i="1" s="1"/>
  <c r="O3151" i="1" s="1"/>
  <c r="O3152" i="1" s="1"/>
  <c r="O3153" i="1" s="1"/>
  <c r="O3154" i="1" s="1"/>
  <c r="O3155" i="1" s="1"/>
  <c r="O3156" i="1" s="1"/>
  <c r="O3157" i="1" s="1"/>
  <c r="O3158" i="1" s="1"/>
  <c r="O3159" i="1" s="1"/>
  <c r="O3160" i="1" s="1"/>
  <c r="O3161" i="1" s="1"/>
  <c r="O3162" i="1" s="1"/>
  <c r="O3163" i="1" s="1"/>
  <c r="O3164" i="1" s="1"/>
  <c r="O3165" i="1" s="1"/>
  <c r="O3166" i="1" s="1"/>
  <c r="O3167" i="1" s="1"/>
  <c r="O3168" i="1" s="1"/>
  <c r="O3169" i="1" s="1"/>
  <c r="O3170" i="1" s="1"/>
  <c r="O3171" i="1" s="1"/>
  <c r="O3172" i="1" s="1"/>
  <c r="O3173" i="1" s="1"/>
  <c r="O3174" i="1" s="1"/>
  <c r="O3175" i="1" s="1"/>
  <c r="O3176" i="1" s="1"/>
  <c r="O3177" i="1" s="1"/>
  <c r="O3178" i="1" s="1"/>
  <c r="O3179" i="1" s="1"/>
  <c r="O3180" i="1" s="1"/>
  <c r="O3181" i="1" s="1"/>
  <c r="O3182" i="1" s="1"/>
  <c r="O3183" i="1" s="1"/>
  <c r="O3184" i="1" s="1"/>
  <c r="O3185" i="1" s="1"/>
  <c r="O3186" i="1" s="1"/>
  <c r="O3187" i="1" s="1"/>
  <c r="O3188" i="1" s="1"/>
  <c r="O3189" i="1" s="1"/>
  <c r="O3190" i="1" s="1"/>
  <c r="O3191" i="1" s="1"/>
  <c r="O3192" i="1" s="1"/>
  <c r="O3193" i="1" s="1"/>
  <c r="O3194" i="1" s="1"/>
  <c r="O3195" i="1" s="1"/>
  <c r="O3196" i="1" s="1"/>
  <c r="O3197" i="1" s="1"/>
  <c r="O3198" i="1" s="1"/>
  <c r="O3199" i="1" s="1"/>
  <c r="O3200" i="1" s="1"/>
  <c r="O3201" i="1" s="1"/>
  <c r="O3202" i="1" s="1"/>
  <c r="O3203" i="1" s="1"/>
  <c r="O3204" i="1" s="1"/>
  <c r="O3205" i="1" s="1"/>
  <c r="O3206" i="1" s="1"/>
  <c r="O3207" i="1" s="1"/>
  <c r="O3208" i="1" s="1"/>
  <c r="O3209" i="1" s="1"/>
  <c r="O3210" i="1" s="1"/>
  <c r="O3211" i="1" s="1"/>
  <c r="O3212" i="1" s="1"/>
  <c r="O3213" i="1" s="1"/>
  <c r="O3214" i="1" s="1"/>
  <c r="O3215" i="1" s="1"/>
  <c r="O3216" i="1" s="1"/>
  <c r="O3217" i="1" s="1"/>
  <c r="O3218" i="1" s="1"/>
  <c r="O3219" i="1" s="1"/>
  <c r="O3220" i="1" s="1"/>
  <c r="O3221" i="1" s="1"/>
  <c r="O3222" i="1" s="1"/>
  <c r="O3223" i="1" s="1"/>
  <c r="O3224" i="1" s="1"/>
  <c r="O3225" i="1" s="1"/>
  <c r="O3226" i="1" s="1"/>
  <c r="O3227" i="1" s="1"/>
  <c r="O3228" i="1" s="1"/>
  <c r="O3229" i="1" s="1"/>
  <c r="O3230" i="1" s="1"/>
  <c r="O3231" i="1" s="1"/>
  <c r="O3232" i="1" s="1"/>
  <c r="O3233" i="1" s="1"/>
  <c r="O3234" i="1" s="1"/>
  <c r="O3235" i="1" s="1"/>
  <c r="O3236" i="1" s="1"/>
  <c r="O3237" i="1" s="1"/>
  <c r="O3238" i="1" s="1"/>
  <c r="O3239" i="1" s="1"/>
  <c r="O3240" i="1" s="1"/>
  <c r="O3241" i="1" s="1"/>
  <c r="O3242" i="1" s="1"/>
  <c r="O3243" i="1" s="1"/>
  <c r="O3244" i="1" s="1"/>
  <c r="O3245" i="1" s="1"/>
  <c r="O3246" i="1" s="1"/>
  <c r="O3247" i="1" s="1"/>
  <c r="O3248" i="1" s="1"/>
  <c r="O3249" i="1" s="1"/>
  <c r="O3250" i="1" s="1"/>
  <c r="O3251" i="1" s="1"/>
  <c r="O3252" i="1" s="1"/>
  <c r="O3253" i="1" s="1"/>
  <c r="O3254" i="1" s="1"/>
  <c r="O3255" i="1" s="1"/>
  <c r="O3256" i="1" s="1"/>
  <c r="O3257" i="1" s="1"/>
  <c r="O3258" i="1" s="1"/>
  <c r="O3259" i="1" s="1"/>
  <c r="O3260" i="1" s="1"/>
  <c r="O3261" i="1" s="1"/>
  <c r="O3262" i="1" s="1"/>
  <c r="O3263" i="1" s="1"/>
  <c r="O3264" i="1" s="1"/>
  <c r="O3265" i="1" s="1"/>
  <c r="O3266" i="1" s="1"/>
  <c r="O3267" i="1" s="1"/>
  <c r="O3268" i="1" s="1"/>
  <c r="O3269" i="1" s="1"/>
  <c r="O3270" i="1" s="1"/>
  <c r="O3271" i="1" s="1"/>
  <c r="O3272" i="1" s="1"/>
  <c r="O3273" i="1" s="1"/>
  <c r="O3274" i="1" s="1"/>
  <c r="O3275" i="1" s="1"/>
  <c r="O3276" i="1" s="1"/>
  <c r="O3277" i="1" s="1"/>
  <c r="O3278" i="1" s="1"/>
  <c r="O3279" i="1" s="1"/>
  <c r="O3280" i="1" s="1"/>
  <c r="O3281" i="1" s="1"/>
  <c r="O3282" i="1" s="1"/>
  <c r="O3283" i="1" s="1"/>
  <c r="O3284" i="1" s="1"/>
  <c r="O3285" i="1" s="1"/>
  <c r="O3286" i="1" s="1"/>
  <c r="O3287" i="1" s="1"/>
  <c r="O3288" i="1" s="1"/>
  <c r="O3289" i="1" s="1"/>
  <c r="O3290" i="1" s="1"/>
  <c r="O3291" i="1" s="1"/>
  <c r="O3292" i="1" s="1"/>
  <c r="O3293" i="1" s="1"/>
  <c r="O3294" i="1" s="1"/>
  <c r="O3295" i="1" s="1"/>
  <c r="O3296" i="1" s="1"/>
  <c r="O3297" i="1" s="1"/>
  <c r="O3298" i="1" s="1"/>
  <c r="O3299" i="1" s="1"/>
  <c r="O3300" i="1" s="1"/>
  <c r="O3301" i="1" s="1"/>
  <c r="O3302" i="1" s="1"/>
  <c r="O3303" i="1" s="1"/>
  <c r="O3304" i="1" s="1"/>
  <c r="O3305" i="1" s="1"/>
  <c r="O3306" i="1" s="1"/>
  <c r="O3307" i="1" s="1"/>
  <c r="O3308" i="1" s="1"/>
  <c r="O3309" i="1" s="1"/>
  <c r="O3310" i="1" s="1"/>
  <c r="O3311" i="1" s="1"/>
  <c r="O3312" i="1" s="1"/>
  <c r="O3313" i="1" s="1"/>
  <c r="O3314" i="1" s="1"/>
  <c r="O3315" i="1" s="1"/>
  <c r="O3316" i="1" s="1"/>
  <c r="O3317" i="1" s="1"/>
  <c r="O3318" i="1" s="1"/>
  <c r="O3319" i="1" s="1"/>
  <c r="O3320" i="1" s="1"/>
  <c r="O3321" i="1" s="1"/>
  <c r="O3322" i="1" s="1"/>
  <c r="O3323" i="1" s="1"/>
  <c r="O3324" i="1" s="1"/>
  <c r="O3325" i="1" s="1"/>
  <c r="O3326" i="1" s="1"/>
  <c r="O3327" i="1" s="1"/>
  <c r="O3328" i="1" s="1"/>
  <c r="O3329" i="1" s="1"/>
  <c r="O3330" i="1" s="1"/>
  <c r="O3331" i="1" s="1"/>
  <c r="O3332" i="1" s="1"/>
  <c r="O3333" i="1" s="1"/>
  <c r="O3334" i="1" s="1"/>
  <c r="O3335" i="1" s="1"/>
  <c r="O3336" i="1" s="1"/>
  <c r="O3337" i="1" s="1"/>
  <c r="O3338" i="1" s="1"/>
  <c r="O3339" i="1" s="1"/>
  <c r="O3340" i="1" s="1"/>
  <c r="O3341" i="1" s="1"/>
  <c r="O3342" i="1" s="1"/>
  <c r="O3343" i="1" s="1"/>
  <c r="O3344" i="1" s="1"/>
  <c r="O3345" i="1" s="1"/>
  <c r="O3346" i="1" s="1"/>
  <c r="O3347" i="1" s="1"/>
  <c r="O3348" i="1" s="1"/>
  <c r="O3349" i="1" s="1"/>
  <c r="O3350" i="1" s="1"/>
  <c r="O3351" i="1" s="1"/>
  <c r="O3352" i="1" s="1"/>
  <c r="O3353" i="1" s="1"/>
  <c r="O3354" i="1" s="1"/>
  <c r="O3355" i="1" s="1"/>
  <c r="O3356" i="1" s="1"/>
  <c r="O3357" i="1" s="1"/>
  <c r="O3358" i="1" s="1"/>
  <c r="O3359" i="1" s="1"/>
  <c r="O3360" i="1" s="1"/>
  <c r="O3361" i="1" s="1"/>
  <c r="O3362" i="1" s="1"/>
  <c r="O3363" i="1" s="1"/>
  <c r="O3364" i="1" s="1"/>
  <c r="O3365" i="1" s="1"/>
  <c r="O3366" i="1" s="1"/>
  <c r="O3367" i="1" s="1"/>
  <c r="O3368" i="1" s="1"/>
  <c r="O3369" i="1" s="1"/>
  <c r="O3370" i="1" s="1"/>
  <c r="O3371" i="1" s="1"/>
  <c r="O3372" i="1" s="1"/>
  <c r="O3373" i="1" s="1"/>
  <c r="O3374" i="1" s="1"/>
  <c r="O3375" i="1" s="1"/>
  <c r="O3376" i="1" s="1"/>
  <c r="O3377" i="1" s="1"/>
  <c r="O3378" i="1" s="1"/>
  <c r="O3379" i="1" s="1"/>
  <c r="O3380" i="1" s="1"/>
  <c r="O3381" i="1" s="1"/>
  <c r="O3382" i="1" s="1"/>
  <c r="O3383" i="1" s="1"/>
  <c r="O3384" i="1" s="1"/>
  <c r="O3385" i="1" s="1"/>
  <c r="O3386" i="1" s="1"/>
  <c r="O3387" i="1" s="1"/>
  <c r="O3388" i="1" s="1"/>
  <c r="O3389" i="1" s="1"/>
  <c r="O3390" i="1" s="1"/>
  <c r="O3391" i="1" s="1"/>
  <c r="O3392" i="1" s="1"/>
  <c r="O3393" i="1" s="1"/>
  <c r="O3394" i="1" s="1"/>
  <c r="O3395" i="1" s="1"/>
  <c r="O3396" i="1" s="1"/>
  <c r="O3397" i="1" s="1"/>
  <c r="O3398" i="1" s="1"/>
  <c r="O3399" i="1" s="1"/>
  <c r="O3400" i="1" s="1"/>
  <c r="O3401" i="1" s="1"/>
  <c r="O3402" i="1" s="1"/>
  <c r="O3403" i="1" s="1"/>
  <c r="O3404" i="1" s="1"/>
  <c r="O3405" i="1" s="1"/>
  <c r="O3406" i="1" s="1"/>
  <c r="O3407" i="1" s="1"/>
  <c r="O3408" i="1" s="1"/>
  <c r="O3409" i="1" s="1"/>
  <c r="O3410" i="1" s="1"/>
  <c r="O3411" i="1" s="1"/>
  <c r="O3412" i="1" s="1"/>
  <c r="O3413" i="1" s="1"/>
  <c r="O3414" i="1" s="1"/>
  <c r="O3415" i="1" s="1"/>
  <c r="O3416" i="1" s="1"/>
  <c r="O3417" i="1" s="1"/>
  <c r="O3418" i="1" s="1"/>
  <c r="O3419" i="1" s="1"/>
  <c r="O3420" i="1" s="1"/>
  <c r="O3421" i="1" s="1"/>
  <c r="O3422" i="1" s="1"/>
  <c r="O3423" i="1" s="1"/>
  <c r="O3424" i="1" s="1"/>
  <c r="O3425" i="1" s="1"/>
  <c r="O3426" i="1" s="1"/>
  <c r="O3427" i="1" s="1"/>
  <c r="O3428" i="1" s="1"/>
  <c r="O3429" i="1" s="1"/>
  <c r="O3430" i="1" s="1"/>
  <c r="O3431" i="1" s="1"/>
  <c r="O3432" i="1" s="1"/>
  <c r="O3433" i="1" s="1"/>
  <c r="O3434" i="1" s="1"/>
  <c r="O3435" i="1" s="1"/>
  <c r="O3436" i="1" s="1"/>
  <c r="O3437" i="1" s="1"/>
  <c r="O3438" i="1" s="1"/>
  <c r="O3439" i="1" s="1"/>
  <c r="O3440" i="1" s="1"/>
  <c r="O3441" i="1" s="1"/>
  <c r="O3442" i="1" s="1"/>
  <c r="O3443" i="1" s="1"/>
  <c r="O3444" i="1" s="1"/>
  <c r="O3445" i="1" s="1"/>
  <c r="O3446" i="1" s="1"/>
  <c r="O3447" i="1" s="1"/>
  <c r="O3448" i="1" s="1"/>
  <c r="O3449" i="1" s="1"/>
  <c r="O3450" i="1" s="1"/>
  <c r="O3451" i="1" s="1"/>
  <c r="O3452" i="1" s="1"/>
  <c r="O3453" i="1" s="1"/>
  <c r="O3454" i="1" s="1"/>
  <c r="O3455" i="1" s="1"/>
  <c r="O3456" i="1" s="1"/>
  <c r="O3457" i="1" s="1"/>
  <c r="O3458" i="1" s="1"/>
  <c r="O3459" i="1" s="1"/>
  <c r="O3460" i="1" s="1"/>
  <c r="O3461" i="1" s="1"/>
  <c r="O3462" i="1" s="1"/>
  <c r="O3463" i="1" s="1"/>
  <c r="O3464" i="1" s="1"/>
  <c r="O3465" i="1" s="1"/>
  <c r="O3466" i="1" s="1"/>
  <c r="O3467" i="1" s="1"/>
  <c r="O3468" i="1" s="1"/>
  <c r="O3469" i="1" s="1"/>
  <c r="O3470" i="1" s="1"/>
  <c r="O3471" i="1" s="1"/>
  <c r="O3472" i="1" s="1"/>
  <c r="O3473" i="1" s="1"/>
  <c r="O3474" i="1" s="1"/>
  <c r="O3475" i="1" s="1"/>
  <c r="O3476" i="1" s="1"/>
  <c r="O3477" i="1" s="1"/>
  <c r="O3478" i="1" s="1"/>
  <c r="O3479" i="1" s="1"/>
  <c r="O3480" i="1" s="1"/>
  <c r="O3481" i="1" s="1"/>
  <c r="O3482" i="1" s="1"/>
  <c r="O3483" i="1" s="1"/>
  <c r="O3484" i="1" s="1"/>
  <c r="O3485" i="1" s="1"/>
  <c r="O3486" i="1" s="1"/>
  <c r="O3487" i="1" s="1"/>
  <c r="O3488" i="1" s="1"/>
  <c r="O3489" i="1" s="1"/>
  <c r="O3490" i="1" s="1"/>
  <c r="O3491" i="1" s="1"/>
  <c r="O3492" i="1" s="1"/>
  <c r="O3493" i="1" s="1"/>
  <c r="O3494" i="1" s="1"/>
  <c r="O3495" i="1" s="1"/>
  <c r="O3496" i="1" s="1"/>
  <c r="O3497" i="1" s="1"/>
  <c r="O3498" i="1" s="1"/>
  <c r="O3499" i="1" s="1"/>
  <c r="O3500" i="1" s="1"/>
  <c r="O3501" i="1" s="1"/>
  <c r="O3502" i="1" s="1"/>
  <c r="O3503" i="1" s="1"/>
  <c r="O3504" i="1" s="1"/>
  <c r="O3505" i="1" s="1"/>
  <c r="O3506" i="1" s="1"/>
  <c r="O3507" i="1" s="1"/>
  <c r="O3508" i="1" s="1"/>
  <c r="O3509" i="1" s="1"/>
  <c r="O3510" i="1" s="1"/>
  <c r="O3511" i="1" s="1"/>
  <c r="O3512" i="1" s="1"/>
  <c r="O3513" i="1" s="1"/>
  <c r="O3514" i="1" s="1"/>
  <c r="O3515" i="1" s="1"/>
  <c r="O3516" i="1" s="1"/>
  <c r="O3517" i="1" s="1"/>
  <c r="O3518" i="1" s="1"/>
  <c r="O3519" i="1" s="1"/>
  <c r="O3520" i="1" s="1"/>
  <c r="O3521" i="1" s="1"/>
  <c r="O3522" i="1" s="1"/>
  <c r="O3523" i="1" s="1"/>
  <c r="O3524" i="1" s="1"/>
  <c r="O3525" i="1" s="1"/>
  <c r="O3526" i="1" s="1"/>
  <c r="O3527" i="1" s="1"/>
  <c r="O3528" i="1" s="1"/>
  <c r="O3529" i="1" s="1"/>
  <c r="O3530" i="1" s="1"/>
  <c r="O3531" i="1" s="1"/>
  <c r="O3532" i="1" s="1"/>
  <c r="O3533" i="1" s="1"/>
  <c r="O3534" i="1" s="1"/>
  <c r="O3535" i="1" s="1"/>
  <c r="O3536" i="1" s="1"/>
  <c r="O3537" i="1" s="1"/>
  <c r="O3538" i="1" s="1"/>
  <c r="O3539" i="1" s="1"/>
  <c r="O3540" i="1" s="1"/>
  <c r="O3541" i="1" s="1"/>
  <c r="O3542" i="1" s="1"/>
  <c r="O3543" i="1" s="1"/>
  <c r="O3544" i="1" s="1"/>
  <c r="O3545" i="1" s="1"/>
  <c r="O3546" i="1" s="1"/>
  <c r="O3547" i="1" s="1"/>
  <c r="O3548" i="1" s="1"/>
  <c r="O3549" i="1" s="1"/>
  <c r="O3550" i="1" s="1"/>
  <c r="O3551" i="1" s="1"/>
  <c r="O3552" i="1" s="1"/>
  <c r="O3553" i="1" s="1"/>
  <c r="O3554" i="1" s="1"/>
  <c r="O3555" i="1" s="1"/>
  <c r="O3556" i="1" s="1"/>
  <c r="O3557" i="1" s="1"/>
  <c r="O3558" i="1" s="1"/>
  <c r="O3559" i="1" s="1"/>
  <c r="O3560" i="1" s="1"/>
  <c r="O3561" i="1" s="1"/>
  <c r="O3562" i="1" s="1"/>
  <c r="O3563" i="1" s="1"/>
  <c r="O3564" i="1" s="1"/>
  <c r="O3565" i="1" s="1"/>
  <c r="O3566" i="1" s="1"/>
  <c r="O3567" i="1" s="1"/>
  <c r="O3568" i="1" s="1"/>
  <c r="O3569" i="1" s="1"/>
  <c r="O3570" i="1" s="1"/>
  <c r="O3571" i="1" s="1"/>
  <c r="O3572" i="1" s="1"/>
  <c r="O3573" i="1" s="1"/>
  <c r="O3574" i="1" s="1"/>
  <c r="O3575" i="1" s="1"/>
  <c r="O3576" i="1" s="1"/>
  <c r="O3577" i="1" s="1"/>
  <c r="O3578" i="1" s="1"/>
  <c r="O3579" i="1" s="1"/>
  <c r="O3580" i="1" s="1"/>
  <c r="O3581" i="1" s="1"/>
  <c r="O3582" i="1" s="1"/>
  <c r="O3583" i="1" s="1"/>
  <c r="O3584" i="1" s="1"/>
  <c r="O3585" i="1" s="1"/>
  <c r="O3586" i="1" s="1"/>
  <c r="O3587" i="1" s="1"/>
  <c r="O3588" i="1" s="1"/>
  <c r="O3589" i="1" s="1"/>
  <c r="O3590" i="1" s="1"/>
  <c r="O3591" i="1" s="1"/>
  <c r="O3592" i="1" s="1"/>
  <c r="O3593" i="1" s="1"/>
  <c r="O3594" i="1" s="1"/>
  <c r="O3595" i="1" s="1"/>
  <c r="O3596" i="1" s="1"/>
  <c r="O3597" i="1" s="1"/>
  <c r="O3598" i="1" s="1"/>
  <c r="O3599" i="1" s="1"/>
  <c r="O3600" i="1" s="1"/>
  <c r="O3601" i="1" s="1"/>
  <c r="O3602" i="1" s="1"/>
  <c r="O3603" i="1" s="1"/>
  <c r="O3604" i="1" s="1"/>
  <c r="O3605" i="1" s="1"/>
  <c r="O3606" i="1" s="1"/>
  <c r="O3607" i="1" s="1"/>
  <c r="O3608" i="1" s="1"/>
  <c r="O3609" i="1" s="1"/>
  <c r="O3610" i="1" s="1"/>
  <c r="O3611" i="1" s="1"/>
  <c r="O3612" i="1" s="1"/>
  <c r="O3613" i="1" s="1"/>
  <c r="O3614" i="1" s="1"/>
  <c r="O3615" i="1" s="1"/>
  <c r="O3616" i="1" s="1"/>
  <c r="O3617" i="1" s="1"/>
  <c r="O3618" i="1" s="1"/>
  <c r="O3619" i="1" s="1"/>
  <c r="O3620" i="1" s="1"/>
  <c r="O3621" i="1" s="1"/>
  <c r="O3622" i="1" s="1"/>
  <c r="O3623" i="1" s="1"/>
  <c r="O3624" i="1" s="1"/>
  <c r="O3625" i="1" s="1"/>
  <c r="O3626" i="1" s="1"/>
  <c r="O3627" i="1" s="1"/>
  <c r="O3628" i="1" s="1"/>
  <c r="O3629" i="1" s="1"/>
  <c r="O3630" i="1" s="1"/>
  <c r="O3631" i="1" s="1"/>
  <c r="O3632" i="1" s="1"/>
  <c r="O3633" i="1" s="1"/>
  <c r="O3634" i="1" s="1"/>
  <c r="O3635" i="1" s="1"/>
  <c r="O3636" i="1" s="1"/>
  <c r="O3637" i="1" s="1"/>
  <c r="O3638" i="1" s="1"/>
  <c r="O3639" i="1" s="1"/>
  <c r="O3640" i="1" s="1"/>
  <c r="O3641" i="1" s="1"/>
  <c r="O3642" i="1" s="1"/>
  <c r="O3643" i="1" s="1"/>
  <c r="O3644" i="1" s="1"/>
  <c r="O3645" i="1" s="1"/>
  <c r="O3646" i="1" s="1"/>
  <c r="O3647" i="1" s="1"/>
  <c r="O3648" i="1" s="1"/>
  <c r="O3649" i="1" s="1"/>
  <c r="O3650" i="1" s="1"/>
  <c r="O3651" i="1" s="1"/>
  <c r="O3652" i="1" s="1"/>
  <c r="O3653" i="1" s="1"/>
  <c r="O3654" i="1" s="1"/>
  <c r="O3655" i="1" s="1"/>
  <c r="O3656" i="1" s="1"/>
  <c r="O3657" i="1" s="1"/>
  <c r="O3658" i="1" s="1"/>
  <c r="O3659" i="1" s="1"/>
  <c r="O3660" i="1" s="1"/>
  <c r="O3661" i="1" s="1"/>
  <c r="O3662" i="1" s="1"/>
  <c r="O3663" i="1" s="1"/>
  <c r="O3664" i="1" s="1"/>
  <c r="O3665" i="1" s="1"/>
  <c r="O3666" i="1" s="1"/>
  <c r="O3667" i="1" s="1"/>
  <c r="O3668" i="1" s="1"/>
  <c r="O3669" i="1" s="1"/>
  <c r="O3670" i="1" s="1"/>
  <c r="O3671" i="1" s="1"/>
  <c r="O3672" i="1" s="1"/>
  <c r="O3673" i="1" s="1"/>
  <c r="O3674" i="1" s="1"/>
  <c r="O3675" i="1" s="1"/>
  <c r="O3676" i="1" s="1"/>
  <c r="O3677" i="1" s="1"/>
  <c r="O3678" i="1" s="1"/>
  <c r="O3679" i="1" s="1"/>
  <c r="O3680" i="1" s="1"/>
  <c r="O3681" i="1" s="1"/>
  <c r="O3682" i="1" s="1"/>
  <c r="O3683" i="1" s="1"/>
  <c r="O3684" i="1" s="1"/>
  <c r="O3685" i="1" s="1"/>
  <c r="O3686" i="1" s="1"/>
  <c r="O3687" i="1" s="1"/>
  <c r="O3688" i="1" s="1"/>
  <c r="O3689" i="1" s="1"/>
  <c r="O3690" i="1" s="1"/>
  <c r="O3691" i="1" s="1"/>
  <c r="O3692" i="1" s="1"/>
  <c r="O3693" i="1" s="1"/>
  <c r="O3694" i="1" s="1"/>
  <c r="O3695" i="1" s="1"/>
  <c r="O3696" i="1" s="1"/>
  <c r="O3697" i="1" s="1"/>
  <c r="O3698" i="1" s="1"/>
  <c r="O3699" i="1" s="1"/>
  <c r="O3700" i="1" s="1"/>
  <c r="O3701" i="1" s="1"/>
  <c r="O3702" i="1" s="1"/>
  <c r="O3703" i="1" s="1"/>
  <c r="O3704" i="1" s="1"/>
  <c r="O3705" i="1" s="1"/>
  <c r="O3706" i="1" s="1"/>
  <c r="O3707" i="1" s="1"/>
  <c r="O3708" i="1" s="1"/>
  <c r="O3709" i="1" s="1"/>
  <c r="O3710" i="1" s="1"/>
  <c r="O3711" i="1" s="1"/>
  <c r="O3712" i="1" s="1"/>
  <c r="O3713" i="1" s="1"/>
  <c r="O3714" i="1" s="1"/>
  <c r="O3715" i="1" s="1"/>
  <c r="O3716" i="1" s="1"/>
  <c r="O3717" i="1" s="1"/>
  <c r="O3718" i="1" s="1"/>
  <c r="O3719" i="1" s="1"/>
  <c r="O3720" i="1" s="1"/>
  <c r="O3721" i="1" s="1"/>
  <c r="O3722" i="1" s="1"/>
  <c r="O3723" i="1" s="1"/>
  <c r="O3724" i="1" s="1"/>
  <c r="O3725" i="1" s="1"/>
  <c r="O3726" i="1" s="1"/>
  <c r="O3727" i="1" s="1"/>
  <c r="O3728" i="1" s="1"/>
  <c r="O3729" i="1" s="1"/>
  <c r="O3730" i="1" s="1"/>
  <c r="O3731" i="1" s="1"/>
  <c r="O3732" i="1" s="1"/>
  <c r="O3733" i="1" s="1"/>
  <c r="O3734" i="1" s="1"/>
  <c r="O3735" i="1" s="1"/>
  <c r="O3736" i="1" s="1"/>
  <c r="O3737" i="1" s="1"/>
  <c r="O3738" i="1" s="1"/>
  <c r="O3739" i="1" s="1"/>
  <c r="O3740" i="1" s="1"/>
  <c r="O3741" i="1" s="1"/>
  <c r="O3742" i="1" s="1"/>
  <c r="O3743" i="1" s="1"/>
  <c r="O3744" i="1" s="1"/>
  <c r="O3745" i="1" s="1"/>
  <c r="O3746" i="1" s="1"/>
  <c r="O3747" i="1" s="1"/>
  <c r="O3748" i="1" s="1"/>
  <c r="O3749" i="1" s="1"/>
  <c r="O3750" i="1" s="1"/>
  <c r="O3751" i="1" s="1"/>
  <c r="O3752" i="1" s="1"/>
  <c r="O3753" i="1" s="1"/>
  <c r="O3754" i="1" s="1"/>
  <c r="O3755" i="1" s="1"/>
  <c r="O3756" i="1" s="1"/>
  <c r="O3757" i="1" s="1"/>
  <c r="O3758" i="1" s="1"/>
  <c r="O3759" i="1" s="1"/>
  <c r="O3760" i="1" s="1"/>
  <c r="O3761" i="1" s="1"/>
  <c r="O3762" i="1" s="1"/>
  <c r="O3763" i="1" s="1"/>
  <c r="O3764" i="1" s="1"/>
  <c r="O3765" i="1" s="1"/>
  <c r="O3766" i="1" s="1"/>
  <c r="O3767" i="1" s="1"/>
  <c r="O3768" i="1" s="1"/>
  <c r="O3769" i="1" s="1"/>
  <c r="O3770" i="1" s="1"/>
  <c r="O3771" i="1" s="1"/>
  <c r="O3772" i="1" s="1"/>
  <c r="O3773" i="1" s="1"/>
  <c r="O3774" i="1" s="1"/>
  <c r="O3775" i="1" s="1"/>
  <c r="O3776" i="1" s="1"/>
  <c r="O3777" i="1" s="1"/>
  <c r="O3778" i="1" s="1"/>
  <c r="O3779" i="1" s="1"/>
  <c r="O3780" i="1" s="1"/>
  <c r="O3781" i="1" s="1"/>
  <c r="O3782" i="1" s="1"/>
  <c r="O3783" i="1" s="1"/>
  <c r="O3784" i="1" s="1"/>
  <c r="O3785" i="1" s="1"/>
  <c r="O3786" i="1" s="1"/>
  <c r="O3787" i="1" s="1"/>
  <c r="O3788" i="1" s="1"/>
  <c r="O3789" i="1" s="1"/>
  <c r="O3790" i="1" s="1"/>
  <c r="O3791" i="1" s="1"/>
  <c r="O3792" i="1" s="1"/>
  <c r="O3793" i="1" s="1"/>
  <c r="O3794" i="1" s="1"/>
  <c r="O3795" i="1" s="1"/>
  <c r="O3796" i="1" s="1"/>
  <c r="O3797" i="1" s="1"/>
  <c r="O3798" i="1" s="1"/>
  <c r="O3799" i="1" s="1"/>
  <c r="O3800" i="1" s="1"/>
  <c r="O3801" i="1" s="1"/>
  <c r="O3802" i="1" s="1"/>
  <c r="O3803" i="1" s="1"/>
  <c r="O3804" i="1" s="1"/>
  <c r="O3805" i="1" s="1"/>
  <c r="O3806" i="1" s="1"/>
  <c r="O3807" i="1" s="1"/>
  <c r="O3808" i="1" s="1"/>
  <c r="O3809" i="1" s="1"/>
  <c r="O3810" i="1" s="1"/>
  <c r="O3811" i="1" s="1"/>
  <c r="O3812" i="1" s="1"/>
  <c r="O3813" i="1" s="1"/>
  <c r="O3814" i="1" s="1"/>
  <c r="O3815" i="1" s="1"/>
  <c r="O3816" i="1" s="1"/>
  <c r="O3817" i="1" s="1"/>
  <c r="O3818" i="1" s="1"/>
  <c r="O3819" i="1" s="1"/>
  <c r="O3820" i="1" s="1"/>
  <c r="O3821" i="1" s="1"/>
  <c r="O3822" i="1" s="1"/>
  <c r="O3823" i="1" s="1"/>
  <c r="O3824" i="1" s="1"/>
  <c r="O3825" i="1" s="1"/>
  <c r="O3826" i="1" s="1"/>
  <c r="O3827" i="1" s="1"/>
  <c r="O3828" i="1" s="1"/>
  <c r="O3829" i="1" s="1"/>
  <c r="O3830" i="1" s="1"/>
  <c r="O3831" i="1" s="1"/>
  <c r="O3832" i="1" s="1"/>
  <c r="O3833" i="1" s="1"/>
  <c r="O3834" i="1" s="1"/>
  <c r="O3835" i="1" s="1"/>
  <c r="O3836" i="1" s="1"/>
  <c r="O3837" i="1" s="1"/>
  <c r="O3838" i="1" s="1"/>
  <c r="O3839" i="1" s="1"/>
  <c r="O3840" i="1" s="1"/>
  <c r="O3841" i="1" s="1"/>
  <c r="O3842" i="1" s="1"/>
  <c r="O3843" i="1" s="1"/>
  <c r="O3844" i="1" s="1"/>
  <c r="O3845" i="1" s="1"/>
  <c r="O3846" i="1" s="1"/>
  <c r="O3847" i="1" s="1"/>
  <c r="O3848" i="1" s="1"/>
  <c r="O3849" i="1" s="1"/>
  <c r="O3850" i="1" s="1"/>
  <c r="O3851" i="1" s="1"/>
  <c r="O3852" i="1" s="1"/>
  <c r="O3853" i="1" s="1"/>
  <c r="O3854" i="1" s="1"/>
  <c r="O3855" i="1" s="1"/>
  <c r="O3856" i="1" s="1"/>
  <c r="O3857" i="1" s="1"/>
  <c r="O3858" i="1" s="1"/>
  <c r="O3859" i="1" s="1"/>
  <c r="O3860" i="1" s="1"/>
  <c r="O3861" i="1" s="1"/>
  <c r="O3862" i="1" s="1"/>
  <c r="O3863" i="1" s="1"/>
  <c r="O3864" i="1" s="1"/>
  <c r="O3865" i="1" s="1"/>
  <c r="O3866" i="1" s="1"/>
  <c r="O3867" i="1" s="1"/>
  <c r="O3868" i="1" s="1"/>
  <c r="O3869" i="1" s="1"/>
  <c r="O3870" i="1" s="1"/>
  <c r="O3871" i="1" s="1"/>
  <c r="O3872" i="1" s="1"/>
  <c r="O3873" i="1" s="1"/>
  <c r="O3874" i="1" s="1"/>
  <c r="O3875" i="1" s="1"/>
  <c r="O3876" i="1" s="1"/>
  <c r="O3877" i="1" s="1"/>
  <c r="O3878" i="1" s="1"/>
  <c r="O3879" i="1" s="1"/>
  <c r="O3880" i="1" s="1"/>
  <c r="O3881" i="1" s="1"/>
  <c r="O3882" i="1" s="1"/>
  <c r="O3883" i="1" s="1"/>
  <c r="O3884" i="1" s="1"/>
  <c r="O3885" i="1" s="1"/>
  <c r="O3886" i="1" s="1"/>
  <c r="O3887" i="1" s="1"/>
  <c r="O3888" i="1" s="1"/>
  <c r="O3889" i="1" s="1"/>
  <c r="O3890" i="1" s="1"/>
  <c r="O3891" i="1" s="1"/>
  <c r="O3892" i="1" s="1"/>
  <c r="O3893" i="1" s="1"/>
  <c r="O3894" i="1" s="1"/>
  <c r="O3895" i="1" s="1"/>
  <c r="O3896" i="1" s="1"/>
  <c r="O3897" i="1" s="1"/>
  <c r="O3898" i="1" s="1"/>
  <c r="O3899" i="1" s="1"/>
  <c r="O3900" i="1" s="1"/>
  <c r="O3901" i="1" s="1"/>
  <c r="O3902" i="1" s="1"/>
  <c r="O3903" i="1" s="1"/>
  <c r="O3904" i="1" s="1"/>
  <c r="O3905" i="1" s="1"/>
  <c r="O3906" i="1" s="1"/>
  <c r="O3907" i="1" s="1"/>
  <c r="O3908" i="1" s="1"/>
  <c r="O3909" i="1" s="1"/>
  <c r="O3910" i="1" s="1"/>
  <c r="O3911" i="1" s="1"/>
  <c r="O3912" i="1" s="1"/>
  <c r="O3913" i="1" s="1"/>
  <c r="O3914" i="1" s="1"/>
  <c r="O3915" i="1" s="1"/>
  <c r="O3916" i="1" s="1"/>
  <c r="O3917" i="1" s="1"/>
  <c r="O3918" i="1" s="1"/>
  <c r="O3919" i="1" s="1"/>
  <c r="O3920" i="1" s="1"/>
  <c r="O3921" i="1" s="1"/>
  <c r="O3922" i="1" s="1"/>
  <c r="O3923" i="1" s="1"/>
  <c r="O3924" i="1" s="1"/>
  <c r="O3925" i="1" s="1"/>
  <c r="O3926" i="1" s="1"/>
  <c r="O3927" i="1" s="1"/>
  <c r="O3928" i="1" s="1"/>
  <c r="O3929" i="1" s="1"/>
  <c r="O3930" i="1" s="1"/>
  <c r="O3931" i="1" s="1"/>
  <c r="O3932" i="1" s="1"/>
  <c r="O3933" i="1" s="1"/>
  <c r="O3934" i="1" s="1"/>
  <c r="O3935" i="1" s="1"/>
  <c r="O3936" i="1" s="1"/>
  <c r="O3937" i="1" s="1"/>
  <c r="O3938" i="1" s="1"/>
  <c r="O3939" i="1" s="1"/>
  <c r="O3940" i="1" s="1"/>
  <c r="O3941" i="1" s="1"/>
  <c r="O3942" i="1" s="1"/>
  <c r="O3943" i="1" s="1"/>
  <c r="O3944" i="1" s="1"/>
  <c r="O3945" i="1" s="1"/>
  <c r="O3946" i="1" s="1"/>
  <c r="O3947" i="1" s="1"/>
  <c r="O3948" i="1" s="1"/>
  <c r="O3949" i="1" s="1"/>
  <c r="O3950" i="1" s="1"/>
  <c r="O3951" i="1" s="1"/>
  <c r="O3952" i="1" s="1"/>
  <c r="O3953" i="1" s="1"/>
  <c r="O3954" i="1" s="1"/>
  <c r="O3955" i="1" s="1"/>
  <c r="O3956" i="1" s="1"/>
  <c r="O3957" i="1" s="1"/>
  <c r="O3958" i="1" s="1"/>
  <c r="O3959" i="1" s="1"/>
  <c r="O3960" i="1" s="1"/>
  <c r="O3961" i="1" s="1"/>
  <c r="O3962" i="1" s="1"/>
  <c r="O3963" i="1" s="1"/>
  <c r="O3964" i="1" s="1"/>
  <c r="O3965" i="1" s="1"/>
  <c r="O3966" i="1" s="1"/>
  <c r="O3967" i="1" s="1"/>
  <c r="O3968" i="1" s="1"/>
  <c r="O3969" i="1" s="1"/>
  <c r="O3970" i="1" s="1"/>
  <c r="O3971" i="1" s="1"/>
  <c r="O3972" i="1" s="1"/>
  <c r="O3973" i="1" s="1"/>
  <c r="O3974" i="1" s="1"/>
  <c r="O3975" i="1" s="1"/>
  <c r="O3976" i="1" s="1"/>
  <c r="O3977" i="1" s="1"/>
  <c r="O3978" i="1" s="1"/>
  <c r="O3979" i="1" s="1"/>
  <c r="O3980" i="1" s="1"/>
  <c r="O3981" i="1" s="1"/>
  <c r="O3982" i="1" s="1"/>
  <c r="O3983" i="1" s="1"/>
  <c r="O3984" i="1" s="1"/>
  <c r="O3985" i="1" s="1"/>
  <c r="O3986" i="1" s="1"/>
  <c r="O3987" i="1" s="1"/>
  <c r="O3988" i="1" s="1"/>
  <c r="O3989" i="1" s="1"/>
  <c r="O3990" i="1" s="1"/>
  <c r="O3991" i="1" s="1"/>
  <c r="O3992" i="1" s="1"/>
  <c r="O3993" i="1" s="1"/>
  <c r="O3994" i="1" s="1"/>
  <c r="O3995" i="1" s="1"/>
  <c r="O3996" i="1" s="1"/>
  <c r="O3997" i="1" s="1"/>
  <c r="O3998" i="1" s="1"/>
  <c r="O3999" i="1" s="1"/>
  <c r="O4000" i="1" s="1"/>
  <c r="O4001" i="1" s="1"/>
  <c r="O4002" i="1" s="1"/>
  <c r="O4003" i="1" s="1"/>
  <c r="O4004" i="1" s="1"/>
  <c r="O4005" i="1" s="1"/>
  <c r="O4006" i="1" s="1"/>
  <c r="O4007" i="1" s="1"/>
  <c r="O4008" i="1" s="1"/>
  <c r="O4009" i="1" s="1"/>
  <c r="O4010" i="1" s="1"/>
  <c r="O4011" i="1" s="1"/>
  <c r="O4012" i="1" s="1"/>
  <c r="O4013" i="1" s="1"/>
  <c r="O4014" i="1" s="1"/>
  <c r="O4015" i="1" s="1"/>
  <c r="O4016" i="1" s="1"/>
  <c r="O4017" i="1" s="1"/>
  <c r="O4018" i="1" s="1"/>
  <c r="O4019" i="1" s="1"/>
  <c r="O4020" i="1" s="1"/>
  <c r="O4021" i="1" s="1"/>
  <c r="O4022" i="1" s="1"/>
  <c r="O4023" i="1" s="1"/>
  <c r="O4024" i="1" s="1"/>
  <c r="O4025" i="1" s="1"/>
  <c r="O4026" i="1" s="1"/>
  <c r="O4027" i="1" s="1"/>
  <c r="O4028" i="1" s="1"/>
  <c r="O4029" i="1" s="1"/>
  <c r="O4030" i="1" s="1"/>
  <c r="O4031" i="1" s="1"/>
  <c r="O4032" i="1" s="1"/>
  <c r="O4033" i="1" s="1"/>
  <c r="O4034" i="1" s="1"/>
  <c r="O4035" i="1" s="1"/>
  <c r="O4036" i="1" s="1"/>
  <c r="O4037" i="1" s="1"/>
  <c r="O4038" i="1" s="1"/>
  <c r="O4039" i="1" s="1"/>
  <c r="O4040" i="1" s="1"/>
  <c r="O4041" i="1" s="1"/>
  <c r="O4042" i="1" s="1"/>
  <c r="O4043" i="1" s="1"/>
  <c r="O4044" i="1" s="1"/>
  <c r="O4045" i="1" s="1"/>
  <c r="O4046" i="1" s="1"/>
  <c r="O4047" i="1" s="1"/>
  <c r="O4048" i="1" s="1"/>
  <c r="O4049" i="1" s="1"/>
  <c r="O4050" i="1" s="1"/>
  <c r="O4051" i="1" s="1"/>
  <c r="O4052" i="1" s="1"/>
  <c r="O4053" i="1" s="1"/>
  <c r="O4054" i="1" s="1"/>
  <c r="O4055" i="1" s="1"/>
  <c r="O4056" i="1" s="1"/>
  <c r="O4057" i="1" s="1"/>
  <c r="O4058" i="1" s="1"/>
  <c r="O4059" i="1" s="1"/>
  <c r="O4060" i="1" s="1"/>
  <c r="O4061" i="1" s="1"/>
  <c r="O4062" i="1" s="1"/>
  <c r="O4063" i="1" s="1"/>
  <c r="O4064" i="1" s="1"/>
  <c r="O4065" i="1" s="1"/>
  <c r="O4066" i="1" s="1"/>
  <c r="O4067" i="1" s="1"/>
  <c r="O4068" i="1" s="1"/>
  <c r="O4069" i="1" s="1"/>
  <c r="O4070" i="1" s="1"/>
  <c r="O4071" i="1" s="1"/>
  <c r="O4072" i="1" s="1"/>
  <c r="O4073" i="1" s="1"/>
  <c r="O4074" i="1" s="1"/>
  <c r="O4075" i="1" s="1"/>
  <c r="O4076" i="1" s="1"/>
  <c r="O4077" i="1" s="1"/>
  <c r="O4078" i="1" s="1"/>
  <c r="O4079" i="1" s="1"/>
  <c r="O4080" i="1" s="1"/>
  <c r="O4081" i="1" s="1"/>
  <c r="O4082" i="1" s="1"/>
  <c r="O4083" i="1" s="1"/>
  <c r="O4084" i="1" s="1"/>
  <c r="O4085" i="1" s="1"/>
  <c r="O4086" i="1" s="1"/>
  <c r="O4087" i="1" s="1"/>
  <c r="O4088" i="1" s="1"/>
  <c r="O4089" i="1" s="1"/>
  <c r="O4090" i="1" s="1"/>
  <c r="O4091" i="1" s="1"/>
  <c r="O4092" i="1" s="1"/>
  <c r="O4093" i="1" s="1"/>
  <c r="O4094" i="1" s="1"/>
  <c r="O4095" i="1" s="1"/>
  <c r="O4096" i="1" s="1"/>
  <c r="O4097" i="1" s="1"/>
  <c r="O4098" i="1" s="1"/>
  <c r="O4099" i="1" s="1"/>
  <c r="O4100" i="1" s="1"/>
  <c r="O4101" i="1" s="1"/>
  <c r="O4102" i="1" s="1"/>
  <c r="O4103" i="1" s="1"/>
  <c r="O4104" i="1" s="1"/>
  <c r="O4105" i="1" s="1"/>
  <c r="O4106" i="1" s="1"/>
  <c r="O4107" i="1" s="1"/>
  <c r="O4108" i="1" s="1"/>
  <c r="O4109" i="1" s="1"/>
  <c r="O4110" i="1" s="1"/>
  <c r="O4111" i="1" s="1"/>
  <c r="O4112" i="1" s="1"/>
  <c r="O4113" i="1" s="1"/>
  <c r="O4114" i="1" s="1"/>
  <c r="O4115" i="1" s="1"/>
  <c r="O4116" i="1" s="1"/>
  <c r="O4117" i="1" s="1"/>
  <c r="O4118" i="1" s="1"/>
  <c r="O4119" i="1" s="1"/>
  <c r="O4120" i="1" s="1"/>
  <c r="O4121" i="1" s="1"/>
  <c r="O4122" i="1" s="1"/>
  <c r="O4123" i="1" s="1"/>
  <c r="O4124" i="1" s="1"/>
  <c r="O4125" i="1" s="1"/>
  <c r="O4126" i="1" s="1"/>
  <c r="O4127" i="1" s="1"/>
  <c r="O4128" i="1" s="1"/>
  <c r="O4129" i="1" s="1"/>
  <c r="O4130" i="1" s="1"/>
  <c r="O4131" i="1" s="1"/>
  <c r="O4132" i="1" s="1"/>
  <c r="O4133" i="1" s="1"/>
  <c r="O4134" i="1" s="1"/>
  <c r="O4135" i="1" s="1"/>
  <c r="O4136" i="1" s="1"/>
  <c r="O4137" i="1" s="1"/>
  <c r="O4138" i="1" s="1"/>
  <c r="O4139" i="1" s="1"/>
  <c r="O4140" i="1" s="1"/>
  <c r="O4141" i="1" s="1"/>
  <c r="O4142" i="1" s="1"/>
  <c r="O4143" i="1" s="1"/>
  <c r="O4144" i="1" s="1"/>
  <c r="O4145" i="1" s="1"/>
  <c r="O4146" i="1" s="1"/>
  <c r="O4147" i="1" s="1"/>
  <c r="O4148" i="1" s="1"/>
  <c r="O4149" i="1" s="1"/>
  <c r="O4150" i="1" s="1"/>
  <c r="O4151" i="1" s="1"/>
  <c r="O4152" i="1" s="1"/>
  <c r="O4153" i="1" s="1"/>
  <c r="O4154" i="1" s="1"/>
  <c r="O4155" i="1" s="1"/>
  <c r="O4156" i="1" s="1"/>
  <c r="O4157" i="1" s="1"/>
  <c r="O4158" i="1" s="1"/>
  <c r="O4159" i="1" s="1"/>
  <c r="O4160" i="1" s="1"/>
  <c r="O4161" i="1" s="1"/>
  <c r="O4162" i="1" s="1"/>
  <c r="O4163" i="1" s="1"/>
  <c r="O4164" i="1" s="1"/>
  <c r="O4165" i="1" s="1"/>
  <c r="O4166" i="1" s="1"/>
  <c r="O4167" i="1" s="1"/>
  <c r="O4168" i="1" s="1"/>
  <c r="O4169" i="1" s="1"/>
  <c r="O4170" i="1" s="1"/>
  <c r="O4171" i="1" s="1"/>
  <c r="O4172" i="1" s="1"/>
  <c r="O4173" i="1" s="1"/>
  <c r="O4174" i="1" s="1"/>
  <c r="O4175" i="1" s="1"/>
  <c r="O4176" i="1" s="1"/>
  <c r="O4177" i="1" s="1"/>
  <c r="O4178" i="1" s="1"/>
  <c r="O4179" i="1" s="1"/>
  <c r="O4180" i="1" s="1"/>
  <c r="O4181" i="1" s="1"/>
  <c r="O4182" i="1" s="1"/>
  <c r="O4183" i="1" s="1"/>
  <c r="O4184" i="1" s="1"/>
  <c r="O4185" i="1" s="1"/>
  <c r="O4186" i="1" s="1"/>
  <c r="O4187" i="1" s="1"/>
  <c r="O4188" i="1" s="1"/>
  <c r="O4189" i="1" s="1"/>
  <c r="O4190" i="1" s="1"/>
  <c r="O4191" i="1" s="1"/>
  <c r="O4192" i="1" s="1"/>
  <c r="O4193" i="1" s="1"/>
  <c r="O4194" i="1" s="1"/>
  <c r="O4195" i="1" s="1"/>
  <c r="O4196" i="1" s="1"/>
  <c r="O4197" i="1" s="1"/>
  <c r="O4198" i="1" s="1"/>
  <c r="O4199" i="1" s="1"/>
  <c r="O4200" i="1" s="1"/>
  <c r="O4201" i="1" s="1"/>
  <c r="O4202" i="1" s="1"/>
  <c r="O4203" i="1" s="1"/>
  <c r="O4204" i="1" s="1"/>
  <c r="O4205" i="1" s="1"/>
  <c r="O4206" i="1" s="1"/>
  <c r="O4207" i="1" s="1"/>
  <c r="O4208" i="1" s="1"/>
  <c r="O4209" i="1" s="1"/>
  <c r="O4210" i="1" s="1"/>
  <c r="O4211" i="1" s="1"/>
  <c r="O4212" i="1" s="1"/>
  <c r="O4213" i="1" s="1"/>
  <c r="O4214" i="1" s="1"/>
  <c r="O4215" i="1" s="1"/>
  <c r="O4216" i="1" s="1"/>
  <c r="O4217" i="1" s="1"/>
  <c r="O4218" i="1" s="1"/>
  <c r="O4219" i="1" s="1"/>
  <c r="O4220" i="1" s="1"/>
  <c r="O4221" i="1" s="1"/>
  <c r="O4222" i="1" s="1"/>
  <c r="O4223" i="1" s="1"/>
  <c r="O4224" i="1" s="1"/>
  <c r="O4225" i="1" s="1"/>
  <c r="O4226" i="1" s="1"/>
  <c r="O4227" i="1" s="1"/>
  <c r="O4228" i="1" s="1"/>
  <c r="O4229" i="1" s="1"/>
  <c r="O4230" i="1" s="1"/>
  <c r="O4231" i="1" s="1"/>
  <c r="O4232" i="1" s="1"/>
  <c r="O4233" i="1" s="1"/>
  <c r="O4234" i="1" s="1"/>
  <c r="O4235" i="1" s="1"/>
  <c r="O4236" i="1" s="1"/>
  <c r="O4237" i="1" s="1"/>
  <c r="O4238" i="1" s="1"/>
  <c r="O4239" i="1" s="1"/>
  <c r="O4240" i="1" s="1"/>
  <c r="O4241" i="1" s="1"/>
  <c r="O4242" i="1" s="1"/>
  <c r="O4243" i="1" s="1"/>
  <c r="O4244" i="1" s="1"/>
  <c r="O4245" i="1" s="1"/>
  <c r="O4246" i="1" s="1"/>
  <c r="O4247" i="1" s="1"/>
  <c r="O4248" i="1" s="1"/>
  <c r="O4249" i="1" s="1"/>
  <c r="O4250" i="1" s="1"/>
  <c r="O4251" i="1" s="1"/>
  <c r="O4252" i="1" s="1"/>
  <c r="O4253" i="1" s="1"/>
  <c r="O4254" i="1" s="1"/>
  <c r="O4255" i="1" s="1"/>
  <c r="O4256" i="1" s="1"/>
  <c r="O4257" i="1" s="1"/>
  <c r="O4258" i="1" s="1"/>
  <c r="O4259" i="1" s="1"/>
  <c r="O4260" i="1" s="1"/>
  <c r="O4261" i="1" s="1"/>
  <c r="O4262" i="1" s="1"/>
  <c r="O4263" i="1" s="1"/>
  <c r="O4264" i="1" s="1"/>
  <c r="O4265" i="1" s="1"/>
  <c r="O4266" i="1" s="1"/>
  <c r="O4267" i="1" s="1"/>
  <c r="O4268" i="1" s="1"/>
  <c r="O4269" i="1" s="1"/>
  <c r="O4270" i="1" s="1"/>
  <c r="O4271" i="1" s="1"/>
  <c r="O4272" i="1" s="1"/>
  <c r="O4273" i="1" s="1"/>
  <c r="O4274" i="1" s="1"/>
  <c r="O4275" i="1" s="1"/>
  <c r="O4276" i="1" s="1"/>
  <c r="O4277" i="1" s="1"/>
  <c r="O4278" i="1" s="1"/>
  <c r="O4279" i="1" s="1"/>
  <c r="O4280" i="1" s="1"/>
  <c r="O4281" i="1" s="1"/>
  <c r="O4282" i="1" s="1"/>
  <c r="O4283" i="1" s="1"/>
  <c r="O4284" i="1" s="1"/>
  <c r="O4285" i="1" s="1"/>
  <c r="O4286" i="1" s="1"/>
  <c r="O4287" i="1" s="1"/>
  <c r="O4288" i="1" s="1"/>
  <c r="O4289" i="1" s="1"/>
  <c r="O4290" i="1" s="1"/>
  <c r="O4291" i="1" s="1"/>
  <c r="O4292" i="1" s="1"/>
  <c r="O4293" i="1" s="1"/>
  <c r="O4294" i="1" s="1"/>
  <c r="O4295" i="1" s="1"/>
  <c r="O4296" i="1" s="1"/>
  <c r="O4297" i="1" s="1"/>
  <c r="O4298" i="1" s="1"/>
  <c r="O4299" i="1" s="1"/>
  <c r="O4300" i="1" s="1"/>
  <c r="O4301" i="1" s="1"/>
  <c r="O4302" i="1" s="1"/>
  <c r="O4303" i="1" s="1"/>
  <c r="O4304" i="1" s="1"/>
  <c r="O4305" i="1" s="1"/>
  <c r="O4306" i="1" s="1"/>
  <c r="O4307" i="1" s="1"/>
  <c r="O4308" i="1" s="1"/>
  <c r="O4309" i="1" s="1"/>
  <c r="O4310" i="1" s="1"/>
  <c r="O4311" i="1" s="1"/>
  <c r="O4312" i="1" s="1"/>
  <c r="O4313" i="1" s="1"/>
  <c r="O4314" i="1" s="1"/>
  <c r="O4315" i="1" s="1"/>
  <c r="O4316" i="1" s="1"/>
  <c r="O4317" i="1" s="1"/>
  <c r="O4318" i="1" s="1"/>
  <c r="O4319" i="1" s="1"/>
  <c r="O4320" i="1" s="1"/>
  <c r="O4321" i="1" s="1"/>
  <c r="O4322" i="1" s="1"/>
  <c r="O4323" i="1" s="1"/>
  <c r="O4324" i="1" s="1"/>
  <c r="O4325" i="1" s="1"/>
  <c r="O4326" i="1" s="1"/>
  <c r="O4327" i="1" s="1"/>
  <c r="O4328" i="1" s="1"/>
  <c r="O4329" i="1" s="1"/>
  <c r="O4330" i="1" s="1"/>
  <c r="O4331" i="1" s="1"/>
  <c r="O4332" i="1" s="1"/>
  <c r="O4333" i="1" s="1"/>
  <c r="O4334" i="1" s="1"/>
  <c r="O4335" i="1" s="1"/>
  <c r="O4336" i="1" s="1"/>
  <c r="O4337" i="1" s="1"/>
  <c r="O4338" i="1" s="1"/>
  <c r="O4339" i="1" s="1"/>
  <c r="O4340" i="1" s="1"/>
  <c r="O4341" i="1" s="1"/>
  <c r="O4342" i="1" s="1"/>
  <c r="O4343" i="1" s="1"/>
  <c r="O4344" i="1" s="1"/>
  <c r="O4345" i="1" s="1"/>
  <c r="O4346" i="1" s="1"/>
  <c r="O4347" i="1" s="1"/>
  <c r="O4348" i="1" s="1"/>
  <c r="O4349" i="1" s="1"/>
  <c r="O4350" i="1" s="1"/>
  <c r="O4351" i="1" s="1"/>
  <c r="O4352" i="1" s="1"/>
  <c r="O4353" i="1" s="1"/>
  <c r="O4354" i="1" s="1"/>
  <c r="O4355" i="1" s="1"/>
  <c r="O4356" i="1" s="1"/>
  <c r="O4357" i="1" s="1"/>
  <c r="O4358" i="1" s="1"/>
  <c r="O4359" i="1" s="1"/>
  <c r="O4360" i="1" s="1"/>
  <c r="O4361" i="1" s="1"/>
  <c r="O4362" i="1" s="1"/>
  <c r="O4363" i="1" s="1"/>
  <c r="O4364" i="1" s="1"/>
  <c r="O4365" i="1" s="1"/>
  <c r="O4366" i="1" s="1"/>
  <c r="O4367" i="1" s="1"/>
  <c r="O4368" i="1" s="1"/>
  <c r="O4369" i="1" s="1"/>
  <c r="O4370" i="1" s="1"/>
  <c r="O4371" i="1" s="1"/>
  <c r="O4372" i="1" s="1"/>
  <c r="O4373" i="1" s="1"/>
  <c r="O4374" i="1" s="1"/>
  <c r="O4375" i="1" s="1"/>
  <c r="O4376" i="1" s="1"/>
  <c r="O4377" i="1" s="1"/>
  <c r="O4378" i="1" s="1"/>
  <c r="O4379" i="1" s="1"/>
  <c r="O4380" i="1" s="1"/>
  <c r="O4381" i="1" s="1"/>
  <c r="O4382" i="1" s="1"/>
  <c r="O4383" i="1" s="1"/>
  <c r="O4384" i="1" s="1"/>
  <c r="O4385" i="1" s="1"/>
  <c r="O4386" i="1" s="1"/>
  <c r="O4387" i="1" s="1"/>
  <c r="O4388" i="1" s="1"/>
  <c r="O4389" i="1" s="1"/>
  <c r="O4390" i="1" s="1"/>
  <c r="O4391" i="1" s="1"/>
  <c r="O4392" i="1" s="1"/>
  <c r="O4393" i="1" s="1"/>
  <c r="O4394" i="1" s="1"/>
  <c r="O4395" i="1" s="1"/>
  <c r="O4396" i="1" s="1"/>
  <c r="O4397" i="1" s="1"/>
  <c r="O4398" i="1" s="1"/>
  <c r="O4399" i="1" s="1"/>
  <c r="O4400" i="1" s="1"/>
  <c r="O4401" i="1" s="1"/>
  <c r="O4402" i="1" s="1"/>
  <c r="O4403" i="1" s="1"/>
  <c r="O4404" i="1" s="1"/>
  <c r="O4405" i="1" s="1"/>
  <c r="O4406" i="1" s="1"/>
  <c r="O4407" i="1" s="1"/>
  <c r="O4408" i="1" s="1"/>
  <c r="O4409" i="1" s="1"/>
  <c r="O4410" i="1" s="1"/>
  <c r="O4411" i="1" s="1"/>
  <c r="O4412" i="1" s="1"/>
  <c r="O4413" i="1" s="1"/>
  <c r="O4414" i="1" s="1"/>
  <c r="O4415" i="1" s="1"/>
  <c r="O4416" i="1" s="1"/>
  <c r="O4417" i="1" s="1"/>
  <c r="O4418" i="1" s="1"/>
  <c r="O4419" i="1" s="1"/>
  <c r="O4420" i="1" s="1"/>
  <c r="O4421" i="1" s="1"/>
  <c r="O4422" i="1" s="1"/>
  <c r="O4423" i="1" s="1"/>
  <c r="O4424" i="1" s="1"/>
  <c r="O4425" i="1" s="1"/>
  <c r="O4426" i="1" s="1"/>
  <c r="O4427" i="1" s="1"/>
  <c r="O4428" i="1" s="1"/>
  <c r="O4429" i="1" s="1"/>
  <c r="O4430" i="1" s="1"/>
  <c r="O4431" i="1" s="1"/>
  <c r="O4432" i="1" s="1"/>
  <c r="O4433" i="1" s="1"/>
  <c r="O4434" i="1" s="1"/>
  <c r="O4435" i="1" s="1"/>
  <c r="O4436" i="1" s="1"/>
  <c r="O4437" i="1" s="1"/>
  <c r="O4438" i="1" s="1"/>
  <c r="O4439" i="1" s="1"/>
  <c r="O4440" i="1" s="1"/>
  <c r="O4441" i="1" s="1"/>
  <c r="O4442" i="1" s="1"/>
  <c r="O4443" i="1" s="1"/>
  <c r="O4444" i="1" s="1"/>
  <c r="O4445" i="1" s="1"/>
  <c r="O4446" i="1" s="1"/>
  <c r="O4447" i="1" s="1"/>
  <c r="O4448" i="1" s="1"/>
  <c r="O4449" i="1" s="1"/>
  <c r="O4450" i="1" s="1"/>
  <c r="O4451" i="1" s="1"/>
  <c r="O4452" i="1" s="1"/>
  <c r="O4453" i="1" s="1"/>
  <c r="O4454" i="1" s="1"/>
  <c r="O4455" i="1" s="1"/>
  <c r="O4456" i="1" s="1"/>
  <c r="O4457" i="1" s="1"/>
  <c r="O4458" i="1" s="1"/>
  <c r="O4459" i="1" s="1"/>
  <c r="O4460" i="1" s="1"/>
  <c r="O4461" i="1" s="1"/>
  <c r="O4462" i="1" s="1"/>
  <c r="O4463" i="1" s="1"/>
  <c r="O4464" i="1" s="1"/>
  <c r="O4465" i="1" s="1"/>
  <c r="O4466" i="1" s="1"/>
  <c r="O4467" i="1" s="1"/>
  <c r="O4468" i="1" s="1"/>
  <c r="O4469" i="1" s="1"/>
  <c r="O4470" i="1" s="1"/>
  <c r="O4471" i="1" s="1"/>
  <c r="O4472" i="1" s="1"/>
  <c r="O4473" i="1" s="1"/>
  <c r="O4474" i="1" s="1"/>
  <c r="O4475" i="1" s="1"/>
  <c r="O4476" i="1" s="1"/>
  <c r="O4477" i="1" s="1"/>
  <c r="O4478" i="1" s="1"/>
  <c r="O4479" i="1" s="1"/>
  <c r="O4480" i="1" s="1"/>
  <c r="O4481" i="1" s="1"/>
  <c r="O4482" i="1" s="1"/>
  <c r="O4483" i="1" s="1"/>
  <c r="O4484" i="1" s="1"/>
  <c r="O4485" i="1" s="1"/>
  <c r="O4486" i="1" s="1"/>
  <c r="O4487" i="1" s="1"/>
  <c r="O4488" i="1" s="1"/>
  <c r="O4489" i="1" s="1"/>
  <c r="O4490" i="1" s="1"/>
  <c r="O4491" i="1" s="1"/>
  <c r="O4492" i="1" s="1"/>
  <c r="O4493" i="1" s="1"/>
  <c r="O4494" i="1" s="1"/>
  <c r="O4495" i="1" s="1"/>
  <c r="O4496" i="1" s="1"/>
  <c r="O4497" i="1" s="1"/>
  <c r="O4498" i="1" s="1"/>
  <c r="O4499" i="1" s="1"/>
  <c r="O4500" i="1" s="1"/>
  <c r="O4501" i="1" s="1"/>
  <c r="O4502" i="1" s="1"/>
  <c r="O4503" i="1" s="1"/>
  <c r="O4504" i="1" s="1"/>
  <c r="O4505" i="1" s="1"/>
  <c r="O4506" i="1" s="1"/>
  <c r="O4507" i="1" s="1"/>
  <c r="O4508" i="1" s="1"/>
  <c r="O4509" i="1" s="1"/>
  <c r="O4510" i="1" s="1"/>
  <c r="O4511" i="1" s="1"/>
  <c r="O4512" i="1" s="1"/>
  <c r="O4513" i="1" s="1"/>
  <c r="O4514" i="1" s="1"/>
  <c r="O4515" i="1" s="1"/>
  <c r="O4516" i="1" s="1"/>
  <c r="O4517" i="1" s="1"/>
  <c r="O4518" i="1" s="1"/>
  <c r="O4519" i="1" s="1"/>
  <c r="O4520" i="1" s="1"/>
  <c r="O4521" i="1" s="1"/>
  <c r="O4522" i="1" s="1"/>
  <c r="O4523" i="1" s="1"/>
  <c r="O4524" i="1" s="1"/>
  <c r="O4525" i="1" s="1"/>
  <c r="O4526" i="1" s="1"/>
  <c r="O4527" i="1" s="1"/>
  <c r="O4528" i="1" s="1"/>
  <c r="O4529" i="1" s="1"/>
  <c r="O4530" i="1" s="1"/>
  <c r="O4531" i="1" s="1"/>
  <c r="O4532" i="1" s="1"/>
  <c r="O4533" i="1" s="1"/>
  <c r="O4534" i="1" s="1"/>
  <c r="O4535" i="1" s="1"/>
  <c r="O4536" i="1" s="1"/>
  <c r="O4537" i="1" s="1"/>
  <c r="O4538" i="1" s="1"/>
  <c r="O4539" i="1" s="1"/>
  <c r="O4540" i="1" s="1"/>
  <c r="O4541" i="1" s="1"/>
  <c r="O4542" i="1" s="1"/>
  <c r="O4543" i="1" s="1"/>
  <c r="O4544" i="1" s="1"/>
  <c r="O4545" i="1" s="1"/>
  <c r="O4546" i="1" s="1"/>
  <c r="O4547" i="1" s="1"/>
  <c r="O4548" i="1" s="1"/>
  <c r="O4549" i="1" s="1"/>
  <c r="O4550" i="1" s="1"/>
  <c r="O4551" i="1" s="1"/>
  <c r="O4552" i="1" s="1"/>
  <c r="O4553" i="1" s="1"/>
  <c r="O4554" i="1" s="1"/>
  <c r="O4555" i="1" s="1"/>
  <c r="O4556" i="1" s="1"/>
  <c r="O4557" i="1" s="1"/>
  <c r="O4558" i="1" s="1"/>
  <c r="O4559" i="1" s="1"/>
  <c r="O4560" i="1" s="1"/>
  <c r="O4561" i="1" s="1"/>
  <c r="O4562" i="1" s="1"/>
  <c r="O4563" i="1" s="1"/>
  <c r="O4564" i="1" s="1"/>
  <c r="O4565" i="1" s="1"/>
  <c r="O4566" i="1" s="1"/>
  <c r="O4567" i="1" s="1"/>
  <c r="O4568" i="1" s="1"/>
  <c r="O4569" i="1" s="1"/>
  <c r="O4570" i="1" s="1"/>
  <c r="O4571" i="1" s="1"/>
  <c r="O4572" i="1" s="1"/>
  <c r="O4573" i="1" s="1"/>
  <c r="O4574" i="1" s="1"/>
  <c r="O4575" i="1" s="1"/>
  <c r="O4576" i="1" s="1"/>
  <c r="O4577" i="1" s="1"/>
  <c r="O4578" i="1" s="1"/>
  <c r="O4579" i="1" s="1"/>
  <c r="O4580" i="1" s="1"/>
  <c r="O4581" i="1" s="1"/>
  <c r="O4582" i="1" s="1"/>
  <c r="O4583" i="1" s="1"/>
  <c r="O4584" i="1" s="1"/>
  <c r="O4585" i="1" s="1"/>
  <c r="O4586" i="1" s="1"/>
  <c r="O4587" i="1" s="1"/>
  <c r="O4588" i="1" s="1"/>
  <c r="O4589" i="1" s="1"/>
  <c r="O4590" i="1" s="1"/>
  <c r="O4591" i="1" s="1"/>
  <c r="O4592" i="1" s="1"/>
  <c r="O4593" i="1" s="1"/>
  <c r="O4594" i="1" s="1"/>
  <c r="O4595" i="1" s="1"/>
  <c r="O4596" i="1" s="1"/>
  <c r="O4597" i="1" s="1"/>
  <c r="O4598" i="1" s="1"/>
  <c r="O4599" i="1" s="1"/>
  <c r="O4600" i="1" s="1"/>
  <c r="O4601" i="1" s="1"/>
  <c r="O4602" i="1" s="1"/>
  <c r="O4603" i="1" s="1"/>
  <c r="O4604" i="1" s="1"/>
  <c r="O4605" i="1" s="1"/>
  <c r="O4606" i="1" s="1"/>
  <c r="O4607" i="1" s="1"/>
  <c r="O4608" i="1" s="1"/>
  <c r="O4609" i="1" s="1"/>
  <c r="O4610" i="1" s="1"/>
  <c r="O4611" i="1" s="1"/>
  <c r="O4612" i="1" s="1"/>
  <c r="O4613" i="1" s="1"/>
  <c r="O4614" i="1" s="1"/>
  <c r="O4615" i="1" s="1"/>
  <c r="O4616" i="1" s="1"/>
  <c r="O4617" i="1" s="1"/>
  <c r="O4618" i="1" s="1"/>
  <c r="O4619" i="1" s="1"/>
  <c r="O4620" i="1" s="1"/>
  <c r="O4621" i="1" s="1"/>
  <c r="O4622" i="1" s="1"/>
  <c r="O4623" i="1" s="1"/>
  <c r="O4624" i="1" s="1"/>
  <c r="O4625" i="1" s="1"/>
  <c r="O4626" i="1" s="1"/>
  <c r="O4627" i="1" s="1"/>
  <c r="O4628" i="1" s="1"/>
  <c r="O4629" i="1" s="1"/>
  <c r="O4630" i="1" s="1"/>
  <c r="O4631" i="1" s="1"/>
  <c r="O4632" i="1" s="1"/>
  <c r="O4633" i="1" s="1"/>
  <c r="O4634" i="1" s="1"/>
  <c r="O4635" i="1" s="1"/>
  <c r="O4636" i="1" s="1"/>
  <c r="O4637" i="1" s="1"/>
  <c r="O4638" i="1" s="1"/>
  <c r="O4639" i="1" s="1"/>
  <c r="O4640" i="1" s="1"/>
  <c r="O4641" i="1" s="1"/>
  <c r="O4642" i="1" s="1"/>
  <c r="O4643" i="1" s="1"/>
  <c r="O4644" i="1" s="1"/>
  <c r="O4645" i="1" s="1"/>
  <c r="O4646" i="1" s="1"/>
  <c r="O4647" i="1" s="1"/>
  <c r="O4648" i="1" s="1"/>
  <c r="O4649" i="1" s="1"/>
  <c r="O4650" i="1" s="1"/>
  <c r="O4651" i="1" s="1"/>
  <c r="O4652" i="1" s="1"/>
  <c r="O4653" i="1" s="1"/>
  <c r="O4654" i="1" s="1"/>
  <c r="O4655" i="1" s="1"/>
  <c r="O4656" i="1" s="1"/>
  <c r="O4657" i="1" s="1"/>
  <c r="O4658" i="1" s="1"/>
  <c r="O4659" i="1" s="1"/>
  <c r="O4660" i="1" s="1"/>
  <c r="O4661" i="1" s="1"/>
  <c r="O4662" i="1" s="1"/>
  <c r="O4663" i="1" s="1"/>
  <c r="O4664" i="1" s="1"/>
  <c r="O4665" i="1" s="1"/>
  <c r="O4666" i="1" s="1"/>
  <c r="O4667" i="1" s="1"/>
  <c r="O4668" i="1" s="1"/>
  <c r="O4669" i="1" s="1"/>
  <c r="O4670" i="1" s="1"/>
  <c r="O4671" i="1" s="1"/>
  <c r="O4672" i="1" s="1"/>
  <c r="O4673" i="1" s="1"/>
  <c r="O4674" i="1" s="1"/>
  <c r="O4675" i="1" s="1"/>
  <c r="O4676" i="1" s="1"/>
  <c r="O4677" i="1" s="1"/>
  <c r="O4678" i="1" s="1"/>
  <c r="O4679" i="1" s="1"/>
  <c r="O4680" i="1" s="1"/>
  <c r="O4681" i="1" s="1"/>
  <c r="O4682" i="1" s="1"/>
  <c r="O4683" i="1" s="1"/>
  <c r="O4684" i="1" s="1"/>
  <c r="O4685" i="1" s="1"/>
  <c r="O4686" i="1" s="1"/>
  <c r="O4687" i="1" s="1"/>
  <c r="O4688" i="1" s="1"/>
  <c r="O4689" i="1" s="1"/>
  <c r="O4690" i="1" s="1"/>
  <c r="O4691" i="1" s="1"/>
  <c r="O4692" i="1" s="1"/>
  <c r="O4693" i="1" s="1"/>
  <c r="O4694" i="1" s="1"/>
  <c r="O4695" i="1" s="1"/>
  <c r="O4696" i="1" s="1"/>
  <c r="O4697" i="1" s="1"/>
  <c r="O4698" i="1" s="1"/>
  <c r="O4699" i="1" s="1"/>
  <c r="O4700" i="1" s="1"/>
  <c r="O4701" i="1" s="1"/>
  <c r="O4702" i="1" s="1"/>
  <c r="O4703" i="1" s="1"/>
  <c r="O4704" i="1" s="1"/>
  <c r="O4705" i="1" s="1"/>
  <c r="O4706" i="1" s="1"/>
  <c r="O4707" i="1" s="1"/>
  <c r="O4708" i="1" s="1"/>
  <c r="O4709" i="1" s="1"/>
  <c r="O4710" i="1" s="1"/>
  <c r="O4711" i="1" s="1"/>
  <c r="O4712" i="1" s="1"/>
  <c r="O4713" i="1" s="1"/>
  <c r="O4714" i="1" s="1"/>
  <c r="O4715" i="1" s="1"/>
  <c r="O4716" i="1" s="1"/>
  <c r="O4717" i="1" s="1"/>
  <c r="O4718" i="1" s="1"/>
  <c r="O4719" i="1" s="1"/>
  <c r="O4720" i="1" s="1"/>
  <c r="O4721" i="1" s="1"/>
  <c r="O4722" i="1" s="1"/>
  <c r="O4723" i="1" s="1"/>
  <c r="O4724" i="1" s="1"/>
  <c r="O4725" i="1" s="1"/>
  <c r="O4726" i="1" s="1"/>
  <c r="O4727" i="1" s="1"/>
  <c r="O4728" i="1" s="1"/>
  <c r="O4729" i="1" s="1"/>
  <c r="O4730" i="1" s="1"/>
  <c r="O4731" i="1" s="1"/>
  <c r="O4732" i="1" s="1"/>
  <c r="O4733" i="1" s="1"/>
  <c r="O4734" i="1" s="1"/>
  <c r="O4735" i="1" s="1"/>
  <c r="O4736" i="1" s="1"/>
  <c r="O4737" i="1" s="1"/>
  <c r="O4738" i="1" s="1"/>
  <c r="O4739" i="1" s="1"/>
  <c r="O4740" i="1" s="1"/>
  <c r="O4741" i="1" s="1"/>
  <c r="O4742" i="1" s="1"/>
  <c r="O4743" i="1" s="1"/>
  <c r="O4744" i="1" s="1"/>
  <c r="O4745" i="1" s="1"/>
  <c r="O4746" i="1" s="1"/>
  <c r="O4747" i="1" s="1"/>
  <c r="O4748" i="1" s="1"/>
  <c r="O4749" i="1" s="1"/>
  <c r="O4750" i="1" s="1"/>
  <c r="O4751" i="1" s="1"/>
  <c r="O4752" i="1" s="1"/>
  <c r="O4753" i="1" s="1"/>
  <c r="O4754" i="1" s="1"/>
  <c r="O4755" i="1" s="1"/>
  <c r="O4756" i="1" s="1"/>
  <c r="O4757" i="1" s="1"/>
  <c r="O4758" i="1" s="1"/>
  <c r="O4759" i="1" s="1"/>
  <c r="O4760" i="1" s="1"/>
  <c r="O4761" i="1" s="1"/>
  <c r="O4762" i="1" s="1"/>
  <c r="O4763" i="1" s="1"/>
  <c r="O4764" i="1" s="1"/>
  <c r="O4765" i="1" s="1"/>
  <c r="O4766" i="1" s="1"/>
  <c r="O4767" i="1" s="1"/>
  <c r="O4768" i="1" s="1"/>
  <c r="O4769" i="1" s="1"/>
  <c r="O4770" i="1" s="1"/>
  <c r="O4771" i="1" s="1"/>
  <c r="O4772" i="1" s="1"/>
  <c r="O4773" i="1" s="1"/>
  <c r="O4774" i="1" s="1"/>
  <c r="O4775" i="1" s="1"/>
  <c r="O4776" i="1" s="1"/>
  <c r="O4777" i="1" s="1"/>
  <c r="O4778" i="1" s="1"/>
  <c r="O4779" i="1" s="1"/>
  <c r="O4780" i="1" s="1"/>
  <c r="O4781" i="1" s="1"/>
  <c r="O4782" i="1" s="1"/>
  <c r="O4783" i="1" s="1"/>
  <c r="O4784" i="1" s="1"/>
  <c r="O4785" i="1" s="1"/>
  <c r="O4786" i="1" s="1"/>
  <c r="O4787" i="1" s="1"/>
  <c r="O4788" i="1" s="1"/>
  <c r="O4789" i="1" s="1"/>
  <c r="O4790" i="1" s="1"/>
  <c r="O4791" i="1" s="1"/>
  <c r="O4792" i="1" s="1"/>
  <c r="O4793" i="1" s="1"/>
  <c r="O4794" i="1" s="1"/>
  <c r="O4795" i="1" s="1"/>
  <c r="O4796" i="1" s="1"/>
  <c r="O4797" i="1" s="1"/>
  <c r="O4798" i="1" s="1"/>
  <c r="O4799" i="1" s="1"/>
  <c r="O4800" i="1" s="1"/>
  <c r="O4801" i="1" s="1"/>
  <c r="O4802" i="1" s="1"/>
  <c r="O4803" i="1" s="1"/>
  <c r="O4804" i="1" s="1"/>
  <c r="O4805" i="1" s="1"/>
  <c r="O4806" i="1" s="1"/>
  <c r="O4807" i="1" s="1"/>
  <c r="O4808" i="1" s="1"/>
  <c r="O4809" i="1" s="1"/>
  <c r="O4810" i="1" s="1"/>
  <c r="O4811" i="1" s="1"/>
  <c r="O4812" i="1" s="1"/>
  <c r="O4813" i="1" s="1"/>
  <c r="O4814" i="1" s="1"/>
  <c r="O4815" i="1" s="1"/>
  <c r="O4816" i="1" s="1"/>
  <c r="O4817" i="1" s="1"/>
  <c r="O4818" i="1" s="1"/>
  <c r="O4819" i="1" s="1"/>
  <c r="O4820" i="1" s="1"/>
  <c r="O4821" i="1" s="1"/>
  <c r="O4822" i="1" s="1"/>
  <c r="O4823" i="1" s="1"/>
  <c r="O4824" i="1" s="1"/>
  <c r="O4825" i="1" s="1"/>
  <c r="O4826" i="1" s="1"/>
  <c r="O4827" i="1" s="1"/>
  <c r="O4828" i="1" s="1"/>
  <c r="O4829" i="1" s="1"/>
  <c r="O4830" i="1" s="1"/>
  <c r="O4831" i="1" s="1"/>
  <c r="O4832" i="1" s="1"/>
  <c r="O4833" i="1" s="1"/>
  <c r="O4834" i="1" s="1"/>
  <c r="O4835" i="1" s="1"/>
  <c r="O4836" i="1" s="1"/>
  <c r="O4837" i="1" s="1"/>
  <c r="O4838" i="1" s="1"/>
  <c r="O4839" i="1" s="1"/>
  <c r="O4840" i="1" s="1"/>
  <c r="O4841" i="1" s="1"/>
  <c r="O4842" i="1" s="1"/>
  <c r="O4843" i="1" s="1"/>
  <c r="O4844" i="1" s="1"/>
  <c r="O4845" i="1" s="1"/>
  <c r="O4846" i="1" s="1"/>
  <c r="O4847" i="1" s="1"/>
  <c r="O4848" i="1" s="1"/>
  <c r="O4849" i="1" s="1"/>
  <c r="O4850" i="1" s="1"/>
  <c r="O4851" i="1" s="1"/>
  <c r="O4852" i="1" s="1"/>
  <c r="O4853" i="1" s="1"/>
  <c r="O4854" i="1" s="1"/>
  <c r="O4855" i="1" s="1"/>
  <c r="O4856" i="1" s="1"/>
  <c r="O4857" i="1" s="1"/>
  <c r="O4858" i="1" s="1"/>
  <c r="O4859" i="1" s="1"/>
  <c r="O4860" i="1" s="1"/>
  <c r="O4861" i="1" s="1"/>
  <c r="O4862" i="1" s="1"/>
  <c r="O4863" i="1" s="1"/>
  <c r="O4864" i="1" s="1"/>
  <c r="O4865" i="1" s="1"/>
  <c r="O4866" i="1" s="1"/>
  <c r="O4867" i="1" s="1"/>
  <c r="O4868" i="1" s="1"/>
  <c r="O4869" i="1" s="1"/>
  <c r="O4870" i="1" s="1"/>
  <c r="O4871" i="1" s="1"/>
  <c r="O4872" i="1" s="1"/>
  <c r="O4873" i="1" s="1"/>
  <c r="O4874" i="1" s="1"/>
  <c r="O4875" i="1" s="1"/>
  <c r="O4876" i="1" s="1"/>
  <c r="O4877" i="1" s="1"/>
  <c r="O4878" i="1" s="1"/>
  <c r="O4879" i="1" s="1"/>
  <c r="O4880" i="1" s="1"/>
  <c r="O4881" i="1" s="1"/>
  <c r="O4882" i="1" s="1"/>
  <c r="O4883" i="1" s="1"/>
  <c r="O4884" i="1" s="1"/>
  <c r="O4885" i="1" s="1"/>
  <c r="O4886" i="1" s="1"/>
  <c r="O4887" i="1" s="1"/>
  <c r="O4888" i="1" s="1"/>
  <c r="O4889" i="1" s="1"/>
  <c r="O4890" i="1" s="1"/>
  <c r="O4891" i="1" s="1"/>
  <c r="O4892" i="1" s="1"/>
  <c r="O4893" i="1" s="1"/>
  <c r="O4894" i="1" s="1"/>
  <c r="O4895" i="1" s="1"/>
  <c r="O4896" i="1" s="1"/>
  <c r="O4897" i="1" s="1"/>
  <c r="O4898" i="1" s="1"/>
  <c r="O4899" i="1" s="1"/>
  <c r="O4900" i="1" s="1"/>
  <c r="O4901" i="1" s="1"/>
  <c r="O4902" i="1" s="1"/>
  <c r="O4903" i="1" s="1"/>
  <c r="O4904" i="1" s="1"/>
  <c r="O4905" i="1" s="1"/>
  <c r="O4906" i="1" s="1"/>
  <c r="O4907" i="1" s="1"/>
  <c r="O4908" i="1" s="1"/>
  <c r="O4909" i="1" s="1"/>
  <c r="O4910" i="1" s="1"/>
  <c r="O4911" i="1" s="1"/>
  <c r="O4912" i="1" s="1"/>
  <c r="O4913" i="1" s="1"/>
  <c r="O4914" i="1" s="1"/>
  <c r="O4915" i="1" s="1"/>
  <c r="O4916" i="1" s="1"/>
  <c r="O4917" i="1" s="1"/>
  <c r="O4918" i="1" s="1"/>
  <c r="O4919" i="1" s="1"/>
  <c r="O4920" i="1" s="1"/>
  <c r="O4921" i="1" s="1"/>
  <c r="O4922" i="1" s="1"/>
  <c r="O4923" i="1" s="1"/>
  <c r="O4924" i="1" s="1"/>
  <c r="O4925" i="1" s="1"/>
  <c r="O4926" i="1" s="1"/>
  <c r="O4927" i="1" s="1"/>
  <c r="O4928" i="1" s="1"/>
  <c r="O4929" i="1" s="1"/>
  <c r="O4930" i="1" s="1"/>
  <c r="O4931" i="1" s="1"/>
  <c r="O4932" i="1" s="1"/>
  <c r="O4933" i="1" s="1"/>
  <c r="O4934" i="1" s="1"/>
  <c r="O4935" i="1" s="1"/>
  <c r="O4936" i="1" s="1"/>
  <c r="O4937" i="1" s="1"/>
  <c r="O4938" i="1" s="1"/>
  <c r="O4939" i="1" s="1"/>
  <c r="O4940" i="1" s="1"/>
  <c r="O4941" i="1" s="1"/>
  <c r="O4942" i="1" s="1"/>
  <c r="O4943" i="1" s="1"/>
  <c r="O4944" i="1" s="1"/>
  <c r="O4945" i="1" s="1"/>
  <c r="O4946" i="1" s="1"/>
  <c r="O4947" i="1" s="1"/>
  <c r="O4948" i="1" s="1"/>
  <c r="O4949" i="1" s="1"/>
  <c r="O4950" i="1" s="1"/>
  <c r="O4951" i="1" s="1"/>
  <c r="O4952" i="1" s="1"/>
  <c r="O4953" i="1" s="1"/>
  <c r="O4954" i="1" s="1"/>
  <c r="O4955" i="1" s="1"/>
  <c r="O4956" i="1" s="1"/>
  <c r="O4957" i="1" s="1"/>
  <c r="O4958" i="1" s="1"/>
  <c r="O4959" i="1" s="1"/>
  <c r="O4960" i="1" s="1"/>
  <c r="O4961" i="1" s="1"/>
  <c r="O4962" i="1" s="1"/>
  <c r="O4963" i="1" s="1"/>
  <c r="O4964" i="1" s="1"/>
  <c r="O4965" i="1" s="1"/>
  <c r="O4966" i="1" s="1"/>
  <c r="O4967" i="1" s="1"/>
  <c r="O4968" i="1" s="1"/>
  <c r="O4969" i="1" s="1"/>
  <c r="O4970" i="1" s="1"/>
  <c r="O4971" i="1" s="1"/>
  <c r="O4972" i="1" s="1"/>
  <c r="O4973" i="1" s="1"/>
  <c r="O4974" i="1" s="1"/>
  <c r="O4975" i="1" s="1"/>
  <c r="O4976" i="1" s="1"/>
  <c r="O4977" i="1" s="1"/>
  <c r="O4978" i="1" s="1"/>
  <c r="O4979" i="1" s="1"/>
  <c r="O4980" i="1" s="1"/>
  <c r="O4981" i="1" s="1"/>
  <c r="O4982" i="1" s="1"/>
  <c r="O4983" i="1" s="1"/>
  <c r="O4984" i="1" s="1"/>
  <c r="O4985" i="1" s="1"/>
  <c r="O4986" i="1" s="1"/>
  <c r="O4987" i="1" s="1"/>
  <c r="O4988" i="1" s="1"/>
  <c r="O4989" i="1" s="1"/>
  <c r="O4990" i="1" s="1"/>
  <c r="O4991" i="1" s="1"/>
  <c r="O4992" i="1" s="1"/>
  <c r="O4993" i="1" s="1"/>
  <c r="O4994" i="1" s="1"/>
  <c r="O4995" i="1" s="1"/>
  <c r="O4996" i="1" s="1"/>
  <c r="O4997" i="1" s="1"/>
  <c r="O4998" i="1" s="1"/>
  <c r="O4999" i="1" s="1"/>
  <c r="O5000" i="1" s="1"/>
  <c r="O5001" i="1" s="1"/>
  <c r="O5002" i="1" s="1"/>
  <c r="O5003" i="1" s="1"/>
  <c r="O5004" i="1" s="1"/>
  <c r="O5005" i="1" s="1"/>
  <c r="O5006" i="1" s="1"/>
  <c r="O5007" i="1" s="1"/>
  <c r="O5008" i="1" s="1"/>
  <c r="O5009" i="1" s="1"/>
  <c r="O5010" i="1" s="1"/>
  <c r="O5011" i="1" s="1"/>
  <c r="O5012" i="1" s="1"/>
  <c r="O5013" i="1" s="1"/>
  <c r="O5014" i="1" s="1"/>
  <c r="O5015" i="1" s="1"/>
  <c r="O5016" i="1" s="1"/>
  <c r="O5017" i="1" s="1"/>
  <c r="O5018" i="1" s="1"/>
  <c r="O5019" i="1" s="1"/>
  <c r="O5020" i="1" s="1"/>
  <c r="O5021" i="1" s="1"/>
  <c r="O5022" i="1" s="1"/>
  <c r="O5023" i="1" s="1"/>
  <c r="O5024" i="1" s="1"/>
  <c r="O5025" i="1" s="1"/>
  <c r="O5026" i="1" s="1"/>
  <c r="O5027" i="1" s="1"/>
  <c r="O5028" i="1" s="1"/>
  <c r="O5029" i="1" s="1"/>
  <c r="O5030" i="1" s="1"/>
  <c r="O5031" i="1" s="1"/>
  <c r="O5032" i="1" s="1"/>
  <c r="O5033" i="1" s="1"/>
  <c r="O5034" i="1" s="1"/>
  <c r="O5035" i="1" s="1"/>
  <c r="O5036" i="1" s="1"/>
  <c r="O5037" i="1" s="1"/>
  <c r="O5038" i="1" s="1"/>
  <c r="O5039" i="1" s="1"/>
  <c r="O5040" i="1" s="1"/>
  <c r="O5041" i="1" s="1"/>
  <c r="O5042" i="1" s="1"/>
  <c r="O5043" i="1" s="1"/>
  <c r="O5044" i="1" s="1"/>
  <c r="O5045" i="1" s="1"/>
  <c r="O5046" i="1" s="1"/>
  <c r="O5047" i="1" s="1"/>
  <c r="O5048" i="1" s="1"/>
  <c r="O5049" i="1" s="1"/>
  <c r="O5050" i="1" s="1"/>
  <c r="O5051" i="1" s="1"/>
  <c r="O5052" i="1" s="1"/>
  <c r="O5053" i="1" s="1"/>
  <c r="O5054" i="1" s="1"/>
  <c r="O5055" i="1" s="1"/>
  <c r="O5056" i="1" s="1"/>
  <c r="O5057" i="1" s="1"/>
  <c r="O5058" i="1" s="1"/>
  <c r="O5059" i="1" s="1"/>
  <c r="O5060" i="1" s="1"/>
  <c r="O5061" i="1" s="1"/>
  <c r="O5062" i="1" s="1"/>
  <c r="O5063" i="1" s="1"/>
  <c r="O5064" i="1" s="1"/>
  <c r="O5065" i="1" s="1"/>
  <c r="O5066" i="1" s="1"/>
  <c r="O5067" i="1" s="1"/>
  <c r="O5068" i="1" s="1"/>
  <c r="O5069" i="1" s="1"/>
  <c r="O5070" i="1" s="1"/>
  <c r="O5071" i="1" s="1"/>
  <c r="O5072" i="1" s="1"/>
  <c r="O5073" i="1" s="1"/>
  <c r="O5074" i="1" s="1"/>
  <c r="O5075" i="1" s="1"/>
  <c r="O5076" i="1" s="1"/>
  <c r="O5077" i="1" s="1"/>
  <c r="O5078" i="1" s="1"/>
  <c r="O5079" i="1" s="1"/>
  <c r="O5080" i="1" s="1"/>
  <c r="O5081" i="1" s="1"/>
  <c r="O5082" i="1" s="1"/>
  <c r="O5083" i="1" s="1"/>
  <c r="O5084" i="1" s="1"/>
  <c r="O5085" i="1" s="1"/>
  <c r="O5086" i="1" s="1"/>
  <c r="O5087" i="1" s="1"/>
  <c r="O5088" i="1" s="1"/>
  <c r="O5089" i="1" s="1"/>
  <c r="O5090" i="1" s="1"/>
  <c r="O5091" i="1" s="1"/>
  <c r="O5092" i="1" s="1"/>
  <c r="O5093" i="1" s="1"/>
  <c r="O5094" i="1" s="1"/>
  <c r="O5095" i="1" s="1"/>
  <c r="O5096" i="1" s="1"/>
  <c r="O5097" i="1" s="1"/>
  <c r="O5098" i="1" s="1"/>
  <c r="O5099" i="1" s="1"/>
  <c r="O5100" i="1" s="1"/>
  <c r="O5101" i="1" s="1"/>
  <c r="O5102" i="1" s="1"/>
  <c r="O5103" i="1" s="1"/>
  <c r="O5104" i="1" s="1"/>
  <c r="O5105" i="1" s="1"/>
  <c r="O5106" i="1" s="1"/>
  <c r="O5107" i="1" s="1"/>
  <c r="O5108" i="1" s="1"/>
  <c r="O5109" i="1" s="1"/>
  <c r="O5110" i="1" s="1"/>
  <c r="O5111" i="1" s="1"/>
  <c r="O5112" i="1" s="1"/>
  <c r="O5113" i="1" s="1"/>
  <c r="O5114" i="1" s="1"/>
  <c r="O5115" i="1" s="1"/>
  <c r="O5116" i="1" s="1"/>
  <c r="O5117" i="1" s="1"/>
  <c r="O5118" i="1" s="1"/>
  <c r="O5119" i="1" s="1"/>
  <c r="O5120" i="1" s="1"/>
  <c r="O5121" i="1" s="1"/>
  <c r="O5122" i="1" s="1"/>
  <c r="O5123" i="1" s="1"/>
  <c r="O5124" i="1" s="1"/>
  <c r="O5125" i="1" s="1"/>
  <c r="O5126" i="1" s="1"/>
  <c r="O5127" i="1" s="1"/>
  <c r="O5128" i="1" s="1"/>
  <c r="O5129" i="1" s="1"/>
  <c r="O5130" i="1" s="1"/>
  <c r="O5131" i="1" s="1"/>
  <c r="O5132" i="1" s="1"/>
  <c r="O5133" i="1" s="1"/>
  <c r="O5134" i="1" s="1"/>
  <c r="O5135" i="1" s="1"/>
  <c r="O5136" i="1" s="1"/>
  <c r="O5137" i="1" s="1"/>
  <c r="O5138" i="1" s="1"/>
  <c r="O5139" i="1" s="1"/>
  <c r="O5140" i="1" s="1"/>
  <c r="O5141" i="1" s="1"/>
  <c r="O5142" i="1" s="1"/>
  <c r="O5143" i="1" s="1"/>
  <c r="O5144" i="1" s="1"/>
  <c r="O5145" i="1" s="1"/>
  <c r="O5146" i="1" s="1"/>
  <c r="O5147" i="1" s="1"/>
  <c r="O5148" i="1" s="1"/>
  <c r="O5149" i="1" s="1"/>
  <c r="O5150" i="1" s="1"/>
  <c r="O5151" i="1" s="1"/>
  <c r="O5152" i="1" s="1"/>
  <c r="O5153" i="1" s="1"/>
  <c r="O5154" i="1" s="1"/>
  <c r="O5155" i="1" s="1"/>
  <c r="O5156" i="1" s="1"/>
  <c r="O5157" i="1" s="1"/>
  <c r="O5158" i="1" s="1"/>
  <c r="O5159" i="1" s="1"/>
  <c r="O5160" i="1" s="1"/>
  <c r="O5161" i="1" s="1"/>
  <c r="O5162" i="1" s="1"/>
  <c r="O5163" i="1" s="1"/>
  <c r="O5164" i="1" s="1"/>
  <c r="O5165" i="1" s="1"/>
  <c r="O5166" i="1" s="1"/>
  <c r="O5167" i="1" s="1"/>
  <c r="O5168" i="1" s="1"/>
  <c r="O5169" i="1" s="1"/>
  <c r="O5170" i="1" s="1"/>
  <c r="O5171" i="1" s="1"/>
  <c r="O5172" i="1" s="1"/>
  <c r="O5173" i="1" s="1"/>
  <c r="O5174" i="1" s="1"/>
  <c r="O5175" i="1" s="1"/>
  <c r="O5176" i="1" s="1"/>
  <c r="O5177" i="1" s="1"/>
  <c r="O5178" i="1" s="1"/>
  <c r="O5179" i="1" s="1"/>
  <c r="O5180" i="1" s="1"/>
  <c r="O5181" i="1" s="1"/>
  <c r="O5182" i="1" s="1"/>
  <c r="O5183" i="1" s="1"/>
  <c r="O5184" i="1" s="1"/>
  <c r="O5185" i="1" s="1"/>
  <c r="O5186" i="1" s="1"/>
  <c r="O5187" i="1" s="1"/>
  <c r="O5188" i="1" s="1"/>
  <c r="O5189" i="1" s="1"/>
  <c r="O5190" i="1" s="1"/>
  <c r="O5191" i="1" s="1"/>
  <c r="O5192" i="1" s="1"/>
  <c r="O5193" i="1" s="1"/>
  <c r="O5194" i="1" s="1"/>
  <c r="O5195" i="1" s="1"/>
  <c r="O5196" i="1" s="1"/>
  <c r="O5197" i="1" s="1"/>
  <c r="O5198" i="1" s="1"/>
  <c r="O5199" i="1" s="1"/>
  <c r="O5200" i="1" s="1"/>
  <c r="O5201" i="1" s="1"/>
  <c r="O5202" i="1" s="1"/>
  <c r="O5203" i="1" s="1"/>
  <c r="O5204" i="1" s="1"/>
  <c r="O5205" i="1" s="1"/>
  <c r="O5206" i="1" s="1"/>
  <c r="O5207" i="1" s="1"/>
  <c r="O5208" i="1" s="1"/>
  <c r="O5209" i="1" s="1"/>
  <c r="O5210" i="1" s="1"/>
  <c r="O5211" i="1" s="1"/>
  <c r="O5212" i="1" s="1"/>
  <c r="O5213" i="1" s="1"/>
  <c r="O5214" i="1" s="1"/>
  <c r="O5215" i="1" s="1"/>
  <c r="O5216" i="1" s="1"/>
  <c r="O5217" i="1" s="1"/>
  <c r="O5218" i="1" s="1"/>
  <c r="O5219" i="1" s="1"/>
  <c r="O5220" i="1" s="1"/>
  <c r="O5221" i="1" s="1"/>
  <c r="O5222" i="1" s="1"/>
  <c r="O5223" i="1" s="1"/>
  <c r="O5224" i="1" s="1"/>
  <c r="O5225" i="1" s="1"/>
  <c r="O5226" i="1" s="1"/>
  <c r="O5227" i="1" s="1"/>
  <c r="O5228" i="1" s="1"/>
  <c r="O5229" i="1" s="1"/>
  <c r="O5230" i="1" s="1"/>
  <c r="O5231" i="1" s="1"/>
  <c r="O5232" i="1" s="1"/>
  <c r="O5233" i="1" s="1"/>
  <c r="O5234" i="1" s="1"/>
  <c r="O5235" i="1" s="1"/>
  <c r="O5236" i="1" s="1"/>
  <c r="O5237" i="1" s="1"/>
  <c r="O5238" i="1" s="1"/>
  <c r="O5239" i="1" s="1"/>
  <c r="O5240" i="1" s="1"/>
  <c r="O5241" i="1" s="1"/>
  <c r="O5242" i="1" s="1"/>
  <c r="O5243" i="1" s="1"/>
  <c r="O5244" i="1" s="1"/>
  <c r="O5245" i="1" s="1"/>
  <c r="O5246" i="1" s="1"/>
  <c r="O5247" i="1" s="1"/>
  <c r="O5248" i="1" s="1"/>
  <c r="O5249" i="1" s="1"/>
  <c r="O5250" i="1" s="1"/>
  <c r="O5251" i="1" s="1"/>
  <c r="O5252" i="1" s="1"/>
  <c r="O5253" i="1" s="1"/>
  <c r="O5254" i="1" s="1"/>
  <c r="O5255" i="1" s="1"/>
  <c r="O5256" i="1" s="1"/>
  <c r="O5257" i="1" s="1"/>
  <c r="O5258" i="1" s="1"/>
  <c r="O5259" i="1" s="1"/>
  <c r="O5260" i="1" s="1"/>
  <c r="O5261" i="1" s="1"/>
  <c r="O5262" i="1" s="1"/>
  <c r="O5263" i="1" s="1"/>
  <c r="O5264" i="1" s="1"/>
  <c r="O5265" i="1" s="1"/>
  <c r="O5266" i="1" s="1"/>
  <c r="O5267" i="1" s="1"/>
  <c r="O5268" i="1" s="1"/>
  <c r="O5269" i="1" s="1"/>
  <c r="O5270" i="1" s="1"/>
  <c r="O5271" i="1" s="1"/>
  <c r="O5272" i="1" s="1"/>
  <c r="O5273" i="1" s="1"/>
  <c r="O5274" i="1" s="1"/>
  <c r="O5275" i="1" s="1"/>
  <c r="O5276" i="1" s="1"/>
  <c r="O5277" i="1" s="1"/>
  <c r="O5278" i="1" s="1"/>
  <c r="O5279" i="1" s="1"/>
  <c r="O5280" i="1" s="1"/>
  <c r="O5281" i="1" s="1"/>
  <c r="O5282" i="1" s="1"/>
  <c r="O5283" i="1" s="1"/>
  <c r="O5284" i="1" s="1"/>
  <c r="O5285" i="1" s="1"/>
  <c r="O5286" i="1" s="1"/>
  <c r="O5287" i="1" s="1"/>
  <c r="O5288" i="1" s="1"/>
  <c r="O5289" i="1" s="1"/>
  <c r="O5290" i="1" s="1"/>
  <c r="O5291" i="1" s="1"/>
  <c r="O5292" i="1" s="1"/>
  <c r="O5293" i="1" s="1"/>
  <c r="O5294" i="1" s="1"/>
  <c r="O5295" i="1" s="1"/>
  <c r="O5296" i="1" s="1"/>
  <c r="O5297" i="1" s="1"/>
  <c r="O5298" i="1" s="1"/>
  <c r="O5299" i="1" s="1"/>
  <c r="O5300" i="1" s="1"/>
  <c r="O5301" i="1" s="1"/>
  <c r="O5302" i="1" s="1"/>
  <c r="O5303" i="1" s="1"/>
  <c r="O5304" i="1" s="1"/>
  <c r="O5305" i="1" s="1"/>
  <c r="O5306" i="1" s="1"/>
  <c r="O5307" i="1" s="1"/>
  <c r="O5308" i="1" s="1"/>
  <c r="O5309" i="1" s="1"/>
  <c r="O5310" i="1" s="1"/>
  <c r="O5311" i="1" s="1"/>
  <c r="O5312" i="1" s="1"/>
  <c r="O5313" i="1" s="1"/>
  <c r="O5314" i="1" s="1"/>
  <c r="O5315" i="1" s="1"/>
  <c r="O5316" i="1" s="1"/>
  <c r="O5317" i="1" s="1"/>
  <c r="O5318" i="1" s="1"/>
  <c r="O5319" i="1" s="1"/>
  <c r="O5320" i="1" s="1"/>
  <c r="O5321" i="1" s="1"/>
  <c r="O5322" i="1" s="1"/>
  <c r="O5323" i="1" s="1"/>
  <c r="O5324" i="1" s="1"/>
  <c r="O5325" i="1" s="1"/>
  <c r="O5326" i="1" s="1"/>
  <c r="O5327" i="1" s="1"/>
  <c r="O5328" i="1" s="1"/>
  <c r="O5329" i="1" s="1"/>
  <c r="O5330" i="1" s="1"/>
  <c r="O5331" i="1" s="1"/>
  <c r="O5332" i="1" s="1"/>
  <c r="O5333" i="1" s="1"/>
  <c r="O5334" i="1" s="1"/>
  <c r="O5335" i="1" s="1"/>
  <c r="O5336" i="1" s="1"/>
  <c r="O5337" i="1" s="1"/>
  <c r="O5338" i="1" s="1"/>
  <c r="O5339" i="1" s="1"/>
  <c r="O5340" i="1" s="1"/>
  <c r="O5341" i="1" s="1"/>
  <c r="O5342" i="1" s="1"/>
  <c r="O5343" i="1" s="1"/>
  <c r="O5344" i="1" s="1"/>
  <c r="O5345" i="1" s="1"/>
  <c r="O5346" i="1" s="1"/>
  <c r="O5347" i="1" s="1"/>
  <c r="O5348" i="1" s="1"/>
  <c r="O5349" i="1" s="1"/>
  <c r="O5350" i="1" s="1"/>
  <c r="O5351" i="1" s="1"/>
  <c r="O5352" i="1" s="1"/>
  <c r="O5353" i="1" s="1"/>
  <c r="O5354" i="1" s="1"/>
  <c r="O5355" i="1" s="1"/>
  <c r="O5356" i="1" s="1"/>
  <c r="O5357" i="1" s="1"/>
  <c r="O5358" i="1" s="1"/>
  <c r="O5359" i="1" s="1"/>
  <c r="O5360" i="1" s="1"/>
  <c r="O5361" i="1" s="1"/>
  <c r="O5362" i="1" s="1"/>
  <c r="O5363" i="1" s="1"/>
  <c r="O5364" i="1" s="1"/>
  <c r="O5365" i="1" s="1"/>
  <c r="O5366" i="1" s="1"/>
  <c r="O5367" i="1" s="1"/>
  <c r="O5368" i="1" s="1"/>
  <c r="O5369" i="1" s="1"/>
  <c r="O5370" i="1" s="1"/>
  <c r="O5371" i="1" s="1"/>
  <c r="O5372" i="1" s="1"/>
  <c r="O5373" i="1" s="1"/>
  <c r="O5374" i="1" s="1"/>
  <c r="O5375" i="1" s="1"/>
  <c r="O5376" i="1" s="1"/>
  <c r="O5377" i="1" s="1"/>
  <c r="O5378" i="1" s="1"/>
  <c r="O5379" i="1" s="1"/>
  <c r="O5380" i="1" s="1"/>
  <c r="O5381" i="1" s="1"/>
  <c r="O5382" i="1" s="1"/>
  <c r="O5383" i="1" s="1"/>
  <c r="O5384" i="1" s="1"/>
  <c r="O5385" i="1" s="1"/>
  <c r="O5386" i="1" s="1"/>
  <c r="O5387" i="1" s="1"/>
  <c r="O5388" i="1" s="1"/>
  <c r="O5389" i="1" s="1"/>
  <c r="O5390" i="1" s="1"/>
  <c r="O5391" i="1" s="1"/>
  <c r="O5392" i="1" s="1"/>
  <c r="O5393" i="1" s="1"/>
  <c r="O5394" i="1" s="1"/>
  <c r="O5395" i="1" s="1"/>
  <c r="O5396" i="1" s="1"/>
  <c r="O5397" i="1" s="1"/>
  <c r="O5398" i="1" s="1"/>
  <c r="O5399" i="1" s="1"/>
  <c r="O5400" i="1" s="1"/>
  <c r="O5401" i="1" s="1"/>
  <c r="O5402" i="1" s="1"/>
  <c r="O5403" i="1" s="1"/>
  <c r="O5404" i="1" s="1"/>
  <c r="O5405" i="1" s="1"/>
  <c r="O5406" i="1" s="1"/>
  <c r="O5407" i="1" s="1"/>
  <c r="O5408" i="1" s="1"/>
  <c r="O5409" i="1" s="1"/>
  <c r="O5410" i="1" s="1"/>
  <c r="O5411" i="1" s="1"/>
  <c r="O5412" i="1" s="1"/>
  <c r="O5413" i="1" s="1"/>
  <c r="O5414" i="1" s="1"/>
  <c r="O5415" i="1" s="1"/>
  <c r="O5416" i="1" s="1"/>
  <c r="O5417" i="1" s="1"/>
  <c r="O5418" i="1" s="1"/>
  <c r="O5419" i="1" s="1"/>
  <c r="O5420" i="1" s="1"/>
  <c r="O5421" i="1" s="1"/>
  <c r="O5422" i="1" s="1"/>
  <c r="O5423" i="1" s="1"/>
  <c r="O5424" i="1" s="1"/>
  <c r="O5425" i="1" s="1"/>
  <c r="O5426" i="1" s="1"/>
  <c r="O5427" i="1" s="1"/>
  <c r="O5428" i="1" s="1"/>
  <c r="O5429" i="1" s="1"/>
  <c r="O5430" i="1" s="1"/>
  <c r="O5431" i="1" s="1"/>
  <c r="O5432" i="1" s="1"/>
  <c r="O5433" i="1" s="1"/>
  <c r="O5434" i="1" s="1"/>
  <c r="O5435" i="1" s="1"/>
  <c r="O5436" i="1" s="1"/>
  <c r="O5437" i="1" s="1"/>
  <c r="O5438" i="1" s="1"/>
  <c r="O5439" i="1" s="1"/>
  <c r="O5440" i="1" s="1"/>
  <c r="O5441" i="1" s="1"/>
  <c r="O5442" i="1" s="1"/>
  <c r="O5443" i="1" s="1"/>
  <c r="O5444" i="1" s="1"/>
  <c r="O5445" i="1" s="1"/>
  <c r="O5446" i="1" s="1"/>
  <c r="O5447" i="1" s="1"/>
  <c r="O5448" i="1" s="1"/>
  <c r="O5449" i="1" s="1"/>
  <c r="O5450" i="1" s="1"/>
  <c r="O5451" i="1" s="1"/>
  <c r="O5452" i="1" s="1"/>
  <c r="O5453" i="1" s="1"/>
  <c r="O5454" i="1" s="1"/>
  <c r="O5455" i="1" s="1"/>
  <c r="O5456" i="1" s="1"/>
  <c r="O5457" i="1" s="1"/>
  <c r="O5458" i="1" s="1"/>
  <c r="O5459" i="1" s="1"/>
  <c r="O5460" i="1" s="1"/>
  <c r="O5461" i="1" s="1"/>
  <c r="O5462" i="1" s="1"/>
  <c r="O5463" i="1" s="1"/>
  <c r="O5464" i="1" s="1"/>
  <c r="O5465" i="1" s="1"/>
  <c r="O5466" i="1" s="1"/>
  <c r="O5467" i="1" s="1"/>
  <c r="O5468" i="1" s="1"/>
  <c r="O5469" i="1" s="1"/>
  <c r="O5470" i="1" s="1"/>
  <c r="O5471" i="1" s="1"/>
  <c r="O5472" i="1" s="1"/>
  <c r="O5473" i="1" s="1"/>
  <c r="O5474" i="1" s="1"/>
  <c r="O5475" i="1" s="1"/>
  <c r="O5476" i="1" s="1"/>
  <c r="O5477" i="1" s="1"/>
  <c r="O5478" i="1" s="1"/>
  <c r="O5479" i="1" s="1"/>
  <c r="O5480" i="1" s="1"/>
  <c r="O5481" i="1" s="1"/>
  <c r="O5482" i="1" s="1"/>
  <c r="O5483" i="1" s="1"/>
  <c r="O5484" i="1" s="1"/>
  <c r="O5485" i="1" s="1"/>
  <c r="O5486" i="1" s="1"/>
  <c r="O5487" i="1" s="1"/>
  <c r="O5488" i="1" s="1"/>
  <c r="O5489" i="1" s="1"/>
  <c r="O5490" i="1" s="1"/>
  <c r="O5491" i="1" s="1"/>
  <c r="O5492" i="1" s="1"/>
  <c r="O5493" i="1" s="1"/>
  <c r="O5494" i="1" s="1"/>
  <c r="O5495" i="1" s="1"/>
  <c r="O5496" i="1" s="1"/>
  <c r="O5497" i="1" s="1"/>
  <c r="O5498" i="1" s="1"/>
  <c r="O5499" i="1" s="1"/>
  <c r="O5500" i="1" s="1"/>
  <c r="O5501" i="1" s="1"/>
  <c r="O5502" i="1" s="1"/>
  <c r="O5503" i="1" s="1"/>
  <c r="O5504" i="1" s="1"/>
  <c r="O5505" i="1" s="1"/>
  <c r="O5506" i="1" s="1"/>
  <c r="O5507" i="1" s="1"/>
  <c r="O5508" i="1" s="1"/>
  <c r="O5509" i="1" s="1"/>
  <c r="O5510" i="1" s="1"/>
  <c r="O5511" i="1" s="1"/>
  <c r="O5512" i="1" s="1"/>
  <c r="O5513" i="1" s="1"/>
  <c r="O5514" i="1" s="1"/>
  <c r="O5515" i="1" s="1"/>
  <c r="O5516" i="1" s="1"/>
  <c r="O5517" i="1" s="1"/>
  <c r="O5518" i="1" s="1"/>
  <c r="O5519" i="1" s="1"/>
  <c r="O5520" i="1" s="1"/>
  <c r="O5521" i="1" s="1"/>
  <c r="O5522" i="1" s="1"/>
  <c r="O5523" i="1" s="1"/>
  <c r="O5524" i="1" s="1"/>
  <c r="O5525" i="1" s="1"/>
  <c r="O5526" i="1" s="1"/>
  <c r="O5527" i="1" s="1"/>
  <c r="O5528" i="1" s="1"/>
  <c r="O5529" i="1" s="1"/>
  <c r="O5530" i="1" s="1"/>
  <c r="O5531" i="1" s="1"/>
  <c r="O5532" i="1" s="1"/>
  <c r="O5533" i="1" s="1"/>
  <c r="O5534" i="1" s="1"/>
  <c r="O5535" i="1" s="1"/>
  <c r="O5536" i="1" s="1"/>
  <c r="O5537" i="1" s="1"/>
  <c r="O5538" i="1" s="1"/>
  <c r="O5539" i="1" s="1"/>
  <c r="O5540" i="1" s="1"/>
  <c r="O5541" i="1" s="1"/>
  <c r="O5542" i="1" s="1"/>
  <c r="O5543" i="1" s="1"/>
  <c r="O5544" i="1" s="1"/>
  <c r="O5545" i="1" s="1"/>
  <c r="O5546" i="1" s="1"/>
  <c r="O5547" i="1" s="1"/>
  <c r="O5548" i="1" s="1"/>
  <c r="O5549" i="1" s="1"/>
  <c r="O5550" i="1" s="1"/>
  <c r="O5551" i="1" s="1"/>
  <c r="O5552" i="1" s="1"/>
  <c r="O5553" i="1" s="1"/>
  <c r="O5554" i="1" s="1"/>
  <c r="O5555" i="1" s="1"/>
  <c r="O5556" i="1" s="1"/>
  <c r="O5557" i="1" s="1"/>
  <c r="O5558" i="1" s="1"/>
  <c r="O5559" i="1" s="1"/>
  <c r="O5560" i="1" s="1"/>
  <c r="O5561" i="1" s="1"/>
  <c r="O5562" i="1" s="1"/>
  <c r="O5563" i="1" s="1"/>
  <c r="O5564" i="1" s="1"/>
  <c r="O5565" i="1" s="1"/>
  <c r="O5566" i="1" s="1"/>
  <c r="O5567" i="1" s="1"/>
  <c r="O5568" i="1" s="1"/>
  <c r="O5569" i="1" s="1"/>
  <c r="O5570" i="1" s="1"/>
  <c r="O5571" i="1" s="1"/>
  <c r="O5572" i="1" s="1"/>
  <c r="O5573" i="1" s="1"/>
  <c r="O5574" i="1" s="1"/>
  <c r="O5575" i="1" s="1"/>
  <c r="O5576" i="1" s="1"/>
  <c r="O5577" i="1" s="1"/>
  <c r="O5578" i="1" s="1"/>
  <c r="O5579" i="1" s="1"/>
  <c r="O5580" i="1" s="1"/>
  <c r="O5581" i="1" s="1"/>
  <c r="O5582" i="1" s="1"/>
  <c r="O5583" i="1" s="1"/>
  <c r="O5584" i="1" s="1"/>
  <c r="O5585" i="1" s="1"/>
  <c r="O5586" i="1" s="1"/>
  <c r="O5587" i="1" s="1"/>
  <c r="O5588" i="1" s="1"/>
  <c r="O5589" i="1" s="1"/>
  <c r="O5590" i="1" s="1"/>
  <c r="O5591" i="1" s="1"/>
  <c r="O5592" i="1" s="1"/>
  <c r="O5593" i="1" s="1"/>
  <c r="O5594" i="1" s="1"/>
  <c r="O5595" i="1" s="1"/>
  <c r="O5596" i="1" s="1"/>
  <c r="O5597" i="1" s="1"/>
  <c r="O5598" i="1" s="1"/>
  <c r="O5599" i="1" s="1"/>
  <c r="O5600" i="1" s="1"/>
  <c r="O5601" i="1" s="1"/>
  <c r="O5602" i="1" s="1"/>
  <c r="O5603" i="1" s="1"/>
  <c r="O5604" i="1" s="1"/>
  <c r="O5605" i="1" s="1"/>
  <c r="O5606" i="1" s="1"/>
  <c r="O5607" i="1" s="1"/>
  <c r="O5608" i="1" s="1"/>
  <c r="O5609" i="1" s="1"/>
  <c r="O5610" i="1" s="1"/>
  <c r="O5611" i="1" s="1"/>
  <c r="O5612" i="1" s="1"/>
  <c r="O5613" i="1" s="1"/>
  <c r="O5614" i="1" s="1"/>
  <c r="O5615" i="1" s="1"/>
  <c r="O5616" i="1" s="1"/>
  <c r="O5617" i="1" s="1"/>
  <c r="O5618" i="1" s="1"/>
  <c r="O5619" i="1" s="1"/>
  <c r="O5620" i="1" s="1"/>
  <c r="O5621" i="1" s="1"/>
  <c r="O5622" i="1" s="1"/>
  <c r="O5623" i="1" s="1"/>
  <c r="O5624" i="1" s="1"/>
  <c r="O5625" i="1" s="1"/>
  <c r="O5626" i="1" s="1"/>
  <c r="O5627" i="1" s="1"/>
  <c r="O5628" i="1" s="1"/>
  <c r="O5629" i="1" s="1"/>
  <c r="O5630" i="1" s="1"/>
  <c r="O5631" i="1" s="1"/>
  <c r="O5632" i="1" s="1"/>
  <c r="O5633" i="1" s="1"/>
  <c r="O5634" i="1" s="1"/>
  <c r="O5635" i="1" s="1"/>
  <c r="O5636" i="1" s="1"/>
  <c r="O5637" i="1" s="1"/>
  <c r="O5638" i="1" s="1"/>
  <c r="O5639" i="1" s="1"/>
  <c r="O5640" i="1" s="1"/>
  <c r="O5641" i="1" s="1"/>
  <c r="O5642" i="1" s="1"/>
  <c r="O5643" i="1" s="1"/>
  <c r="O5644" i="1" s="1"/>
  <c r="O5645" i="1" s="1"/>
  <c r="O5646" i="1" s="1"/>
  <c r="O5647" i="1" s="1"/>
  <c r="O5648" i="1" s="1"/>
  <c r="O5649" i="1" s="1"/>
  <c r="O5650" i="1" s="1"/>
  <c r="O5651" i="1" s="1"/>
  <c r="O5652" i="1" s="1"/>
  <c r="O5653" i="1" s="1"/>
  <c r="O5654" i="1" s="1"/>
  <c r="O5655" i="1" s="1"/>
  <c r="O5656" i="1" s="1"/>
  <c r="O5657" i="1" s="1"/>
  <c r="O5658" i="1" s="1"/>
  <c r="O5659" i="1" s="1"/>
  <c r="O5660" i="1" s="1"/>
  <c r="O5661" i="1" s="1"/>
  <c r="O5662" i="1" s="1"/>
  <c r="O5663" i="1" s="1"/>
  <c r="O5664" i="1" s="1"/>
  <c r="O5665" i="1" s="1"/>
  <c r="O5666" i="1" s="1"/>
  <c r="O5667" i="1" s="1"/>
  <c r="O5668" i="1" s="1"/>
  <c r="O5669" i="1" s="1"/>
  <c r="O5670" i="1" s="1"/>
  <c r="O5671" i="1" s="1"/>
  <c r="O5672" i="1" s="1"/>
  <c r="O5673" i="1" s="1"/>
  <c r="O5674" i="1" s="1"/>
  <c r="O5675" i="1" s="1"/>
  <c r="O5676" i="1" s="1"/>
  <c r="O5677" i="1" s="1"/>
  <c r="O5678" i="1" s="1"/>
  <c r="O5679" i="1" s="1"/>
  <c r="O5680" i="1" s="1"/>
  <c r="O5681" i="1" s="1"/>
  <c r="O5682" i="1" s="1"/>
  <c r="O5683" i="1" s="1"/>
  <c r="O5684" i="1" s="1"/>
  <c r="O5685" i="1" s="1"/>
  <c r="O5686" i="1" s="1"/>
  <c r="O5687" i="1" s="1"/>
  <c r="O5688" i="1" s="1"/>
  <c r="O5689" i="1" s="1"/>
  <c r="O5690" i="1" s="1"/>
  <c r="O5691" i="1" s="1"/>
  <c r="O5692" i="1" s="1"/>
  <c r="O5693" i="1" s="1"/>
  <c r="O5694" i="1" s="1"/>
  <c r="O5695" i="1" s="1"/>
  <c r="O5696" i="1" s="1"/>
  <c r="O5697" i="1" s="1"/>
  <c r="O5698" i="1" s="1"/>
  <c r="O5699" i="1" s="1"/>
  <c r="O5700" i="1" s="1"/>
  <c r="O5701" i="1" s="1"/>
  <c r="O5702" i="1" s="1"/>
  <c r="O5703" i="1" s="1"/>
  <c r="O5704" i="1" s="1"/>
  <c r="O5705" i="1" s="1"/>
  <c r="O5706" i="1" s="1"/>
  <c r="O5707" i="1" s="1"/>
  <c r="O5708" i="1" s="1"/>
  <c r="O5709" i="1" s="1"/>
  <c r="O5710" i="1" s="1"/>
  <c r="O5711" i="1" s="1"/>
  <c r="O5712" i="1" s="1"/>
  <c r="O5713" i="1" s="1"/>
  <c r="O5714" i="1" s="1"/>
  <c r="O5715" i="1" s="1"/>
  <c r="O5716" i="1" s="1"/>
  <c r="O5717" i="1" s="1"/>
  <c r="O5718" i="1" s="1"/>
  <c r="O5719" i="1" s="1"/>
  <c r="O5720" i="1" s="1"/>
  <c r="O5721" i="1" s="1"/>
  <c r="O5722" i="1" s="1"/>
  <c r="O5723" i="1" s="1"/>
  <c r="O5724" i="1" s="1"/>
  <c r="O5725" i="1" s="1"/>
  <c r="O5726" i="1" s="1"/>
  <c r="O5727" i="1" s="1"/>
  <c r="O5728" i="1" s="1"/>
  <c r="O5729" i="1" s="1"/>
  <c r="O5730" i="1" s="1"/>
  <c r="O5731" i="1" s="1"/>
  <c r="O5732" i="1" s="1"/>
  <c r="O5733" i="1" s="1"/>
  <c r="O5734" i="1" s="1"/>
  <c r="O5735" i="1" s="1"/>
  <c r="O5736" i="1" s="1"/>
  <c r="O5737" i="1" s="1"/>
  <c r="O5738" i="1" s="1"/>
  <c r="O5739" i="1" s="1"/>
  <c r="O5740" i="1" s="1"/>
  <c r="O5741" i="1" s="1"/>
  <c r="O5742" i="1" s="1"/>
  <c r="O5743" i="1" s="1"/>
  <c r="O5744" i="1" s="1"/>
  <c r="O5745" i="1" s="1"/>
  <c r="O5746" i="1" s="1"/>
  <c r="O5747" i="1" s="1"/>
  <c r="O5748" i="1" s="1"/>
  <c r="O5749" i="1" s="1"/>
  <c r="O5750" i="1" s="1"/>
  <c r="O5751" i="1" s="1"/>
  <c r="O5752" i="1" s="1"/>
  <c r="O5753" i="1" s="1"/>
  <c r="O5754" i="1" s="1"/>
  <c r="O5755" i="1" s="1"/>
  <c r="O5756" i="1" s="1"/>
  <c r="O5757" i="1" s="1"/>
  <c r="O5758" i="1" s="1"/>
  <c r="O5759" i="1" s="1"/>
  <c r="O5760" i="1" s="1"/>
  <c r="O5761" i="1" s="1"/>
  <c r="O5762" i="1" s="1"/>
  <c r="O5763" i="1" s="1"/>
  <c r="O5764" i="1" s="1"/>
  <c r="O5765" i="1" s="1"/>
  <c r="O5766" i="1" s="1"/>
  <c r="O5767" i="1" s="1"/>
  <c r="O5768" i="1" s="1"/>
  <c r="O5769" i="1" s="1"/>
  <c r="O5770" i="1" s="1"/>
  <c r="O5771" i="1" s="1"/>
  <c r="O5772" i="1" s="1"/>
  <c r="O5773" i="1" s="1"/>
  <c r="O5774" i="1" s="1"/>
  <c r="O5775" i="1" s="1"/>
  <c r="O5776" i="1" s="1"/>
  <c r="O5777" i="1" s="1"/>
  <c r="O5778" i="1" s="1"/>
  <c r="O5779" i="1" s="1"/>
  <c r="O5780" i="1" s="1"/>
  <c r="O5781" i="1" s="1"/>
  <c r="O5782" i="1" s="1"/>
  <c r="O5783" i="1" s="1"/>
  <c r="O5784" i="1" s="1"/>
  <c r="O5785" i="1" s="1"/>
  <c r="O5786" i="1" s="1"/>
  <c r="O5787" i="1" s="1"/>
  <c r="O5788" i="1" s="1"/>
  <c r="O5789" i="1" s="1"/>
  <c r="O5790" i="1" s="1"/>
  <c r="O5791" i="1" s="1"/>
  <c r="O5792" i="1" s="1"/>
  <c r="O5793" i="1" s="1"/>
  <c r="O5794" i="1" s="1"/>
  <c r="O5795" i="1" s="1"/>
  <c r="O5796" i="1" s="1"/>
  <c r="O5797" i="1" s="1"/>
  <c r="O5798" i="1" s="1"/>
  <c r="O5799" i="1" s="1"/>
  <c r="O5800" i="1" s="1"/>
  <c r="O5801" i="1" s="1"/>
  <c r="O5802" i="1" s="1"/>
  <c r="O5803" i="1" s="1"/>
  <c r="O5804" i="1" s="1"/>
  <c r="O5805" i="1" s="1"/>
  <c r="O5806" i="1" s="1"/>
  <c r="O5807" i="1" s="1"/>
  <c r="O5808" i="1" s="1"/>
  <c r="O5809" i="1" s="1"/>
  <c r="O5810" i="1" s="1"/>
  <c r="O5811" i="1" s="1"/>
  <c r="O5812" i="1" s="1"/>
  <c r="O5813" i="1" s="1"/>
  <c r="O5814" i="1" s="1"/>
  <c r="O5815" i="1" s="1"/>
  <c r="O5816" i="1" s="1"/>
  <c r="O5817" i="1" s="1"/>
  <c r="O5818" i="1" s="1"/>
  <c r="O5819" i="1" s="1"/>
  <c r="O5820" i="1" s="1"/>
  <c r="O5821" i="1" s="1"/>
  <c r="O5822" i="1" s="1"/>
  <c r="O5823" i="1" s="1"/>
  <c r="O5824" i="1" s="1"/>
  <c r="O5825" i="1" s="1"/>
  <c r="O5826" i="1" s="1"/>
  <c r="O5827" i="1" s="1"/>
  <c r="O5828" i="1" s="1"/>
  <c r="O5829" i="1" s="1"/>
  <c r="O5830" i="1" s="1"/>
  <c r="O5831" i="1" s="1"/>
  <c r="O5832" i="1" s="1"/>
  <c r="O5833" i="1" s="1"/>
  <c r="O5834" i="1" s="1"/>
  <c r="O5835" i="1" s="1"/>
  <c r="O5836" i="1" s="1"/>
  <c r="O5837" i="1" s="1"/>
  <c r="O5838" i="1" s="1"/>
  <c r="O5839" i="1" s="1"/>
  <c r="O5840" i="1" s="1"/>
  <c r="O5841" i="1" s="1"/>
  <c r="O5842" i="1" s="1"/>
  <c r="O5843" i="1" s="1"/>
  <c r="O5844" i="1" s="1"/>
  <c r="O5845" i="1" s="1"/>
  <c r="O5846" i="1" s="1"/>
  <c r="O5847" i="1" s="1"/>
  <c r="O5848" i="1" s="1"/>
  <c r="O5849" i="1" s="1"/>
  <c r="O5850" i="1" s="1"/>
  <c r="O5851" i="1" s="1"/>
  <c r="O5852" i="1" s="1"/>
  <c r="O5853" i="1" s="1"/>
  <c r="O5854" i="1" s="1"/>
  <c r="O5855" i="1" s="1"/>
  <c r="O5856" i="1" s="1"/>
  <c r="O5857" i="1" s="1"/>
  <c r="O5858" i="1" s="1"/>
  <c r="O5859" i="1" s="1"/>
  <c r="O5860" i="1" s="1"/>
  <c r="O5861" i="1" s="1"/>
  <c r="O5862" i="1" s="1"/>
  <c r="O5863" i="1" s="1"/>
  <c r="O5864" i="1" s="1"/>
  <c r="O5865" i="1" s="1"/>
  <c r="O5866" i="1" s="1"/>
  <c r="O5867" i="1" s="1"/>
  <c r="O5868" i="1" s="1"/>
  <c r="O5869" i="1" s="1"/>
  <c r="O5870" i="1" s="1"/>
  <c r="O5871" i="1" s="1"/>
  <c r="O5872" i="1" s="1"/>
  <c r="O5873" i="1" s="1"/>
  <c r="O5874" i="1" s="1"/>
  <c r="O5875" i="1" s="1"/>
  <c r="O5876" i="1" s="1"/>
  <c r="O5877" i="1" s="1"/>
  <c r="O5878" i="1" s="1"/>
  <c r="O5879" i="1" s="1"/>
  <c r="O5880" i="1" s="1"/>
  <c r="O5881" i="1" s="1"/>
  <c r="O5882" i="1" s="1"/>
  <c r="O5883" i="1" s="1"/>
  <c r="O5884" i="1" s="1"/>
  <c r="O5885" i="1" s="1"/>
  <c r="O5886" i="1" s="1"/>
  <c r="O5887" i="1" s="1"/>
  <c r="O5888" i="1" s="1"/>
  <c r="O5889" i="1" s="1"/>
  <c r="O5890" i="1" s="1"/>
  <c r="O5891" i="1" s="1"/>
  <c r="O5892" i="1" s="1"/>
  <c r="O5893" i="1" s="1"/>
  <c r="O5894" i="1" s="1"/>
  <c r="O5895" i="1" s="1"/>
  <c r="O5896" i="1" s="1"/>
  <c r="O5897" i="1" s="1"/>
  <c r="O5898" i="1" s="1"/>
  <c r="O5899" i="1" s="1"/>
  <c r="O5900" i="1" s="1"/>
  <c r="O5901" i="1" s="1"/>
  <c r="O5902" i="1" s="1"/>
  <c r="O5903" i="1" s="1"/>
  <c r="O5904" i="1" s="1"/>
  <c r="O5905" i="1" s="1"/>
  <c r="O5906" i="1" s="1"/>
  <c r="O5907" i="1" s="1"/>
  <c r="O5908" i="1" s="1"/>
  <c r="O5909" i="1" s="1"/>
  <c r="O5910" i="1" s="1"/>
  <c r="O5911" i="1" s="1"/>
  <c r="O5912" i="1" s="1"/>
  <c r="O5913" i="1" s="1"/>
  <c r="O5914" i="1" s="1"/>
  <c r="O5915" i="1" s="1"/>
  <c r="O5916" i="1" s="1"/>
  <c r="O5917" i="1" s="1"/>
  <c r="O5918" i="1" s="1"/>
  <c r="O5919" i="1" s="1"/>
  <c r="O5920" i="1" s="1"/>
  <c r="O5921" i="1" s="1"/>
  <c r="O5922" i="1" s="1"/>
  <c r="O5923" i="1" s="1"/>
  <c r="O5924" i="1" s="1"/>
  <c r="O5925" i="1" s="1"/>
  <c r="O5926" i="1" s="1"/>
  <c r="O5927" i="1" s="1"/>
  <c r="O5928" i="1" s="1"/>
  <c r="O5929" i="1" s="1"/>
  <c r="O5930" i="1" s="1"/>
  <c r="O5931" i="1" s="1"/>
  <c r="O5932" i="1" s="1"/>
  <c r="O5933" i="1" s="1"/>
  <c r="O5934" i="1" s="1"/>
  <c r="O5935" i="1" s="1"/>
  <c r="O5936" i="1" s="1"/>
  <c r="O5937" i="1" s="1"/>
  <c r="O5938" i="1" s="1"/>
  <c r="O5939" i="1" s="1"/>
  <c r="O5940" i="1" s="1"/>
  <c r="O5941" i="1" s="1"/>
  <c r="O5942" i="1" s="1"/>
  <c r="O5943" i="1" s="1"/>
  <c r="O5944" i="1" s="1"/>
  <c r="O5945" i="1" s="1"/>
  <c r="O5946" i="1" s="1"/>
  <c r="O5947" i="1" s="1"/>
  <c r="O5948" i="1" s="1"/>
  <c r="O5949" i="1" s="1"/>
  <c r="O5950" i="1" s="1"/>
  <c r="O5951" i="1" s="1"/>
  <c r="O5952" i="1" s="1"/>
  <c r="O5953" i="1" s="1"/>
  <c r="O5954" i="1" s="1"/>
  <c r="O5955" i="1" s="1"/>
  <c r="O5956" i="1" s="1"/>
  <c r="O5957" i="1" s="1"/>
  <c r="O5958" i="1" s="1"/>
  <c r="O5959" i="1" s="1"/>
  <c r="O5960" i="1" s="1"/>
  <c r="O5961" i="1" s="1"/>
  <c r="O5962" i="1" s="1"/>
  <c r="O5963" i="1" s="1"/>
  <c r="O5964" i="1" s="1"/>
  <c r="O5965" i="1" s="1"/>
  <c r="O5966" i="1" s="1"/>
  <c r="O5967" i="1" s="1"/>
  <c r="O5968" i="1" s="1"/>
  <c r="O5969" i="1" s="1"/>
  <c r="O5970" i="1" s="1"/>
  <c r="O5971" i="1" s="1"/>
  <c r="O5972" i="1" s="1"/>
  <c r="O5973" i="1" s="1"/>
  <c r="O5974" i="1" s="1"/>
  <c r="O5975" i="1" s="1"/>
  <c r="O5976" i="1" s="1"/>
  <c r="O5977" i="1" s="1"/>
  <c r="O5978" i="1" s="1"/>
  <c r="O5979" i="1" s="1"/>
  <c r="O5980" i="1" s="1"/>
  <c r="O5981" i="1" s="1"/>
  <c r="O5982" i="1" s="1"/>
  <c r="O5983" i="1" s="1"/>
  <c r="O5984" i="1" s="1"/>
  <c r="O5985" i="1" s="1"/>
  <c r="O5986" i="1" s="1"/>
  <c r="O5987" i="1" s="1"/>
  <c r="O5988" i="1" s="1"/>
  <c r="O5989" i="1" s="1"/>
  <c r="O5990" i="1" s="1"/>
  <c r="O5991" i="1" s="1"/>
  <c r="O5992" i="1" s="1"/>
  <c r="O5993" i="1" s="1"/>
  <c r="O5994" i="1" s="1"/>
  <c r="O5995" i="1" s="1"/>
  <c r="O5996" i="1" s="1"/>
  <c r="O5997" i="1" s="1"/>
  <c r="O5998" i="1" s="1"/>
  <c r="O5999" i="1" s="1"/>
  <c r="O6000" i="1" s="1"/>
  <c r="O6001" i="1" s="1"/>
  <c r="O6002" i="1" s="1"/>
  <c r="O6003" i="1" s="1"/>
  <c r="O6004" i="1" s="1"/>
  <c r="O6005" i="1" s="1"/>
  <c r="O6006" i="1" s="1"/>
  <c r="O6007" i="1" s="1"/>
  <c r="O6008" i="1" s="1"/>
  <c r="O6009" i="1" s="1"/>
  <c r="O6010" i="1" s="1"/>
  <c r="O6011" i="1" s="1"/>
  <c r="AM113" i="1"/>
  <c r="CV49" i="1"/>
  <c r="CV58" i="1"/>
  <c r="CV99" i="1" s="1"/>
  <c r="CV45" i="1"/>
  <c r="CV85" i="1" s="1"/>
  <c r="CV32" i="1"/>
  <c r="CV72" i="1" s="1"/>
  <c r="CV65" i="1"/>
  <c r="CV106" i="1" s="1"/>
  <c r="CV66" i="1"/>
  <c r="CV107" i="1" s="1"/>
  <c r="CV31" i="1"/>
  <c r="CV71" i="1" s="1"/>
  <c r="CV36" i="1"/>
  <c r="CV76" i="1" s="1"/>
  <c r="CV46" i="1"/>
  <c r="CV86" i="1" s="1"/>
  <c r="CV38" i="1"/>
  <c r="CV78" i="1" s="1"/>
  <c r="CV51" i="1"/>
  <c r="CV92" i="1" s="1"/>
  <c r="CV35" i="1"/>
  <c r="CV75" i="1" s="1"/>
  <c r="CV39" i="1"/>
  <c r="CV79" i="1" s="1"/>
  <c r="CV37" i="1"/>
  <c r="CV77" i="1" s="1"/>
  <c r="CV50" i="1"/>
  <c r="CV91" i="1" s="1"/>
  <c r="CV57" i="1"/>
  <c r="CV98" i="1" s="1"/>
  <c r="CV48" i="1"/>
  <c r="CV88" i="1" s="1"/>
  <c r="CV41" i="1"/>
  <c r="CV81" i="1" s="1"/>
  <c r="CV61" i="1"/>
  <c r="CV102" i="1" s="1"/>
  <c r="S1137" i="1"/>
  <c r="S1138" i="1" s="1"/>
  <c r="S1139" i="1" s="1"/>
  <c r="S1140" i="1" s="1"/>
  <c r="S1141" i="1" s="1"/>
  <c r="S1142" i="1" s="1"/>
  <c r="S1143" i="1" s="1"/>
  <c r="S1144" i="1" s="1"/>
  <c r="S1145" i="1" s="1"/>
  <c r="S1146" i="1" s="1"/>
  <c r="S1147" i="1" s="1"/>
  <c r="S1148" i="1" s="1"/>
  <c r="S1149" i="1" s="1"/>
  <c r="S1150" i="1" s="1"/>
  <c r="S1151" i="1" s="1"/>
  <c r="S1152" i="1" s="1"/>
  <c r="S1153" i="1" s="1"/>
  <c r="S1154" i="1" s="1"/>
  <c r="S1155" i="1" s="1"/>
  <c r="S1156" i="1" s="1"/>
  <c r="S1157" i="1" s="1"/>
  <c r="S1158" i="1" s="1"/>
  <c r="S1159" i="1" s="1"/>
  <c r="S1160" i="1" s="1"/>
  <c r="S1161" i="1" s="1"/>
  <c r="S1162" i="1" s="1"/>
  <c r="S1163" i="1" s="1"/>
  <c r="S1164" i="1" s="1"/>
  <c r="S1165" i="1" s="1"/>
  <c r="S1166" i="1" s="1"/>
  <c r="S1167" i="1" s="1"/>
  <c r="S1168" i="1" s="1"/>
  <c r="S1169" i="1" s="1"/>
  <c r="S1170" i="1" s="1"/>
  <c r="S1171" i="1" s="1"/>
  <c r="S1172" i="1" s="1"/>
  <c r="S1173" i="1" s="1"/>
  <c r="S1174" i="1" s="1"/>
  <c r="S1175" i="1" s="1"/>
  <c r="S1176" i="1" s="1"/>
  <c r="S1177" i="1" s="1"/>
  <c r="S1178" i="1" s="1"/>
  <c r="S1179" i="1" s="1"/>
  <c r="S1180" i="1" s="1"/>
  <c r="S1181" i="1" s="1"/>
  <c r="S1182" i="1" s="1"/>
  <c r="S1183" i="1" s="1"/>
  <c r="S1184" i="1" s="1"/>
  <c r="S1185" i="1" s="1"/>
  <c r="S1186" i="1" s="1"/>
  <c r="S1187" i="1" s="1"/>
  <c r="S1188" i="1" s="1"/>
  <c r="S1189" i="1" s="1"/>
  <c r="S1190" i="1" s="1"/>
  <c r="S1191" i="1" s="1"/>
  <c r="S1192" i="1" s="1"/>
  <c r="S1193" i="1" s="1"/>
  <c r="S1194" i="1" s="1"/>
  <c r="S1195" i="1" s="1"/>
  <c r="S1196" i="1" s="1"/>
  <c r="S1197" i="1" s="1"/>
  <c r="S1198" i="1" s="1"/>
  <c r="S1199" i="1" s="1"/>
  <c r="S1200" i="1" s="1"/>
  <c r="S1201" i="1" s="1"/>
  <c r="S1202" i="1" s="1"/>
  <c r="S1203" i="1" s="1"/>
  <c r="S1204" i="1" s="1"/>
  <c r="S1205" i="1" s="1"/>
  <c r="S1206" i="1" s="1"/>
  <c r="S1207" i="1" s="1"/>
  <c r="S1208" i="1" s="1"/>
  <c r="S1209" i="1" s="1"/>
  <c r="S1210" i="1" s="1"/>
  <c r="S1211" i="1" s="1"/>
  <c r="S1212" i="1" s="1"/>
  <c r="S1213" i="1" s="1"/>
  <c r="S1214" i="1" s="1"/>
  <c r="S1215" i="1" s="1"/>
  <c r="S1216" i="1" s="1"/>
  <c r="S1217" i="1" s="1"/>
  <c r="S1218" i="1" s="1"/>
  <c r="S1219" i="1" s="1"/>
  <c r="S1220" i="1" s="1"/>
  <c r="S1221" i="1" s="1"/>
  <c r="S1222" i="1" s="1"/>
  <c r="S1223" i="1" s="1"/>
  <c r="S1224" i="1" s="1"/>
  <c r="S1225" i="1" s="1"/>
  <c r="S1226" i="1" s="1"/>
  <c r="S1227" i="1" s="1"/>
  <c r="S1228" i="1" s="1"/>
  <c r="S1229" i="1" s="1"/>
  <c r="S1230" i="1" s="1"/>
  <c r="S1231" i="1" s="1"/>
  <c r="S1232" i="1" s="1"/>
  <c r="S1233" i="1" s="1"/>
  <c r="S1234" i="1" s="1"/>
  <c r="S1235" i="1" s="1"/>
  <c r="S1236" i="1" s="1"/>
  <c r="S1237" i="1" s="1"/>
  <c r="S1238" i="1" s="1"/>
  <c r="S1239" i="1" s="1"/>
  <c r="S1240" i="1" s="1"/>
  <c r="S1241" i="1" s="1"/>
  <c r="S1242" i="1" s="1"/>
  <c r="S1243" i="1" s="1"/>
  <c r="S1244" i="1" s="1"/>
  <c r="S1245" i="1" s="1"/>
  <c r="S1246" i="1" s="1"/>
  <c r="S1247" i="1" s="1"/>
  <c r="S1248" i="1" s="1"/>
  <c r="S1249" i="1" s="1"/>
  <c r="S1250" i="1" s="1"/>
  <c r="S1251" i="1" s="1"/>
  <c r="S1252" i="1" s="1"/>
  <c r="S1253" i="1" s="1"/>
  <c r="S1254" i="1" s="1"/>
  <c r="S1255" i="1" s="1"/>
  <c r="S1256" i="1" s="1"/>
  <c r="S1257" i="1" s="1"/>
  <c r="S1258" i="1" s="1"/>
  <c r="S1259" i="1" s="1"/>
  <c r="S1260" i="1" s="1"/>
  <c r="S1261" i="1" s="1"/>
  <c r="S1262" i="1" s="1"/>
  <c r="S1263" i="1" s="1"/>
  <c r="S1264" i="1" s="1"/>
  <c r="S1265" i="1" s="1"/>
  <c r="S1266" i="1" s="1"/>
  <c r="S1267" i="1" s="1"/>
  <c r="S1268" i="1" s="1"/>
  <c r="S1269" i="1" s="1"/>
  <c r="S1270" i="1" s="1"/>
  <c r="S1271" i="1" s="1"/>
  <c r="S1272" i="1" s="1"/>
  <c r="S1273" i="1" s="1"/>
  <c r="S1274" i="1" s="1"/>
  <c r="S1275" i="1" s="1"/>
  <c r="S1276" i="1" s="1"/>
  <c r="S1277" i="1" s="1"/>
  <c r="S1278" i="1" s="1"/>
  <c r="S1279" i="1" s="1"/>
  <c r="S1280" i="1" s="1"/>
  <c r="S1281" i="1" s="1"/>
  <c r="S1282" i="1" s="1"/>
  <c r="S1283" i="1" s="1"/>
  <c r="S1284" i="1" s="1"/>
  <c r="S1285" i="1" s="1"/>
  <c r="S1286" i="1" s="1"/>
  <c r="S1287" i="1" s="1"/>
  <c r="S1288" i="1" s="1"/>
  <c r="S1289" i="1" s="1"/>
  <c r="S1290" i="1" s="1"/>
  <c r="S1291" i="1" s="1"/>
  <c r="S1292" i="1" s="1"/>
  <c r="S1293" i="1" s="1"/>
  <c r="S1294" i="1" s="1"/>
  <c r="S1295" i="1" s="1"/>
  <c r="S1296" i="1" s="1"/>
  <c r="S1297" i="1" s="1"/>
  <c r="S1298" i="1" s="1"/>
  <c r="S1299" i="1" s="1"/>
  <c r="S1300" i="1" s="1"/>
  <c r="S1301" i="1" s="1"/>
  <c r="S1302" i="1" s="1"/>
  <c r="S1303" i="1" s="1"/>
  <c r="S1304" i="1" s="1"/>
  <c r="S1305" i="1" s="1"/>
  <c r="S1306" i="1" s="1"/>
  <c r="S1307" i="1" s="1"/>
  <c r="S1308" i="1" s="1"/>
  <c r="S1309" i="1" s="1"/>
  <c r="S1310" i="1" s="1"/>
  <c r="S1311" i="1" s="1"/>
  <c r="S1312" i="1" s="1"/>
  <c r="S1313" i="1" s="1"/>
  <c r="S1314" i="1" s="1"/>
  <c r="S1315" i="1" s="1"/>
  <c r="S1316" i="1" s="1"/>
  <c r="S1317" i="1" s="1"/>
  <c r="S1318" i="1" s="1"/>
  <c r="S1319" i="1" s="1"/>
  <c r="S1320" i="1" s="1"/>
  <c r="S1321" i="1" s="1"/>
  <c r="S1322" i="1" s="1"/>
  <c r="S1323" i="1" s="1"/>
  <c r="S1324" i="1" s="1"/>
  <c r="S1325" i="1" s="1"/>
  <c r="S1326" i="1" s="1"/>
  <c r="S1327" i="1" s="1"/>
  <c r="S1328" i="1" s="1"/>
  <c r="S1329" i="1" s="1"/>
  <c r="S1330" i="1" s="1"/>
  <c r="S1331" i="1" s="1"/>
  <c r="S1332" i="1" s="1"/>
  <c r="S1333" i="1" s="1"/>
  <c r="S1334" i="1" s="1"/>
  <c r="S1335" i="1" s="1"/>
  <c r="S1336" i="1" s="1"/>
  <c r="S1337" i="1" s="1"/>
  <c r="S1338" i="1" s="1"/>
  <c r="S1339" i="1" s="1"/>
  <c r="S1340" i="1" s="1"/>
  <c r="S1341" i="1" s="1"/>
  <c r="S1342" i="1" s="1"/>
  <c r="S1343" i="1" s="1"/>
  <c r="S1344" i="1" s="1"/>
  <c r="S1345" i="1" s="1"/>
  <c r="S1346" i="1" s="1"/>
  <c r="S1347" i="1" s="1"/>
  <c r="S1348" i="1" s="1"/>
  <c r="S1349" i="1" s="1"/>
  <c r="S1350" i="1" s="1"/>
  <c r="S1351" i="1" s="1"/>
  <c r="S1352" i="1" s="1"/>
  <c r="S1353" i="1" s="1"/>
  <c r="S1354" i="1" s="1"/>
  <c r="S1355" i="1" s="1"/>
  <c r="S1356" i="1" s="1"/>
  <c r="S1357" i="1" s="1"/>
  <c r="S1358" i="1" s="1"/>
  <c r="S1359" i="1" s="1"/>
  <c r="S1360" i="1" s="1"/>
  <c r="S1361" i="1" s="1"/>
  <c r="S1362" i="1" s="1"/>
  <c r="S1363" i="1" s="1"/>
  <c r="S1364" i="1" s="1"/>
  <c r="S1365" i="1" s="1"/>
  <c r="S1366" i="1" s="1"/>
  <c r="S1367" i="1" s="1"/>
  <c r="S1368" i="1" s="1"/>
  <c r="S1369" i="1" s="1"/>
  <c r="S1370" i="1" s="1"/>
  <c r="S1371" i="1" s="1"/>
  <c r="S1372" i="1" s="1"/>
  <c r="S1373" i="1" s="1"/>
  <c r="S1374" i="1" s="1"/>
  <c r="S1375" i="1" s="1"/>
  <c r="S1376" i="1" s="1"/>
  <c r="S1377" i="1" s="1"/>
  <c r="S1378" i="1" s="1"/>
  <c r="S1379" i="1" s="1"/>
  <c r="S1380" i="1" s="1"/>
  <c r="S1381" i="1" s="1"/>
  <c r="S1382" i="1" s="1"/>
  <c r="S1383" i="1" s="1"/>
  <c r="S1384" i="1" s="1"/>
  <c r="S1385" i="1" s="1"/>
  <c r="S1386" i="1" s="1"/>
  <c r="S1387" i="1" s="1"/>
  <c r="S1388" i="1" s="1"/>
  <c r="S1389" i="1" s="1"/>
  <c r="S1390" i="1" s="1"/>
  <c r="S1391" i="1" s="1"/>
  <c r="S1392" i="1" s="1"/>
  <c r="S1393" i="1" s="1"/>
  <c r="S1394" i="1" s="1"/>
  <c r="S1395" i="1" s="1"/>
  <c r="S1396" i="1" s="1"/>
  <c r="S1397" i="1" s="1"/>
  <c r="S1398" i="1" s="1"/>
  <c r="S1399" i="1" s="1"/>
  <c r="S1400" i="1" s="1"/>
  <c r="S1401" i="1" s="1"/>
  <c r="S1402" i="1" s="1"/>
  <c r="S1403" i="1" s="1"/>
  <c r="S1404" i="1" s="1"/>
  <c r="S1405" i="1" s="1"/>
  <c r="S1406" i="1" s="1"/>
  <c r="S1407" i="1" s="1"/>
  <c r="S1408" i="1" s="1"/>
  <c r="S1409" i="1" s="1"/>
  <c r="S1410" i="1" s="1"/>
  <c r="S1411" i="1" s="1"/>
  <c r="S1412" i="1" s="1"/>
  <c r="S1413" i="1" s="1"/>
  <c r="S1414" i="1" s="1"/>
  <c r="S1415" i="1" s="1"/>
  <c r="S1416" i="1" s="1"/>
  <c r="S1417" i="1" s="1"/>
  <c r="S1418" i="1" s="1"/>
  <c r="S1419" i="1" s="1"/>
  <c r="S1420" i="1" s="1"/>
  <c r="S1421" i="1" s="1"/>
  <c r="S1422" i="1" s="1"/>
  <c r="S1423" i="1" s="1"/>
  <c r="S1424" i="1" s="1"/>
  <c r="S1425" i="1" s="1"/>
  <c r="S1426" i="1" s="1"/>
  <c r="S1427" i="1" s="1"/>
  <c r="S1428" i="1" s="1"/>
  <c r="S1429" i="1" s="1"/>
  <c r="S1430" i="1" s="1"/>
  <c r="S1431" i="1" s="1"/>
  <c r="S1432" i="1" s="1"/>
  <c r="S1433" i="1" s="1"/>
  <c r="S1434" i="1" s="1"/>
  <c r="S1435" i="1" s="1"/>
  <c r="S1436" i="1" s="1"/>
  <c r="S1437" i="1" s="1"/>
  <c r="S1438" i="1" s="1"/>
  <c r="S1439" i="1" s="1"/>
  <c r="S1440" i="1" s="1"/>
  <c r="S1441" i="1" s="1"/>
  <c r="S1442" i="1" s="1"/>
  <c r="S1443" i="1" s="1"/>
  <c r="S1444" i="1" s="1"/>
  <c r="S1445" i="1" s="1"/>
  <c r="S1446" i="1" s="1"/>
  <c r="S1447" i="1" s="1"/>
  <c r="S1448" i="1" s="1"/>
  <c r="S1449" i="1" s="1"/>
  <c r="S1450" i="1" s="1"/>
  <c r="S1451" i="1" s="1"/>
  <c r="S1452" i="1" s="1"/>
  <c r="S1453" i="1" s="1"/>
  <c r="S1454" i="1" s="1"/>
  <c r="S1455" i="1" s="1"/>
  <c r="S1456" i="1" s="1"/>
  <c r="S1457" i="1" s="1"/>
  <c r="S1458" i="1" s="1"/>
  <c r="S1459" i="1" s="1"/>
  <c r="S1460" i="1" s="1"/>
  <c r="S1461" i="1" s="1"/>
  <c r="S1462" i="1" s="1"/>
  <c r="S1463" i="1" s="1"/>
  <c r="S1464" i="1" s="1"/>
  <c r="S1465" i="1" s="1"/>
  <c r="S1466" i="1" s="1"/>
  <c r="S1467" i="1" s="1"/>
  <c r="S1468" i="1" s="1"/>
  <c r="S1469" i="1" s="1"/>
  <c r="S1470" i="1" s="1"/>
  <c r="S1471" i="1" s="1"/>
  <c r="S1472" i="1" s="1"/>
  <c r="S1473" i="1" s="1"/>
  <c r="S1474" i="1" s="1"/>
  <c r="S1475" i="1" s="1"/>
  <c r="S1476" i="1" s="1"/>
  <c r="S1477" i="1" s="1"/>
  <c r="S1478" i="1" s="1"/>
  <c r="S1479" i="1" s="1"/>
  <c r="S1480" i="1" s="1"/>
  <c r="S1481" i="1" s="1"/>
  <c r="S1482" i="1" s="1"/>
  <c r="S1483" i="1" s="1"/>
  <c r="S1484" i="1" s="1"/>
  <c r="S1485" i="1" s="1"/>
  <c r="S1486" i="1" s="1"/>
  <c r="S1487" i="1" s="1"/>
  <c r="S1488" i="1" s="1"/>
  <c r="S1489" i="1" s="1"/>
  <c r="S1490" i="1" s="1"/>
  <c r="S1491" i="1" s="1"/>
  <c r="S1492" i="1" s="1"/>
  <c r="S1493" i="1" s="1"/>
  <c r="S1494" i="1" s="1"/>
  <c r="S1495" i="1" s="1"/>
  <c r="S1496" i="1" s="1"/>
  <c r="S1497" i="1" s="1"/>
  <c r="S1498" i="1" s="1"/>
  <c r="S1499" i="1" s="1"/>
  <c r="S1500" i="1" s="1"/>
  <c r="S1501" i="1" s="1"/>
  <c r="S1502" i="1" s="1"/>
  <c r="S1503" i="1" s="1"/>
  <c r="S1504" i="1" s="1"/>
  <c r="S1505" i="1" s="1"/>
  <c r="S1506" i="1" s="1"/>
  <c r="S1507" i="1" s="1"/>
  <c r="S1508" i="1" s="1"/>
  <c r="S1509" i="1" s="1"/>
  <c r="S1510" i="1" s="1"/>
  <c r="S1511" i="1" s="1"/>
  <c r="S1512" i="1" s="1"/>
  <c r="S1513" i="1" s="1"/>
  <c r="S1514" i="1" s="1"/>
  <c r="S1515" i="1" s="1"/>
  <c r="S1516" i="1" s="1"/>
  <c r="S1517" i="1" s="1"/>
  <c r="S1518" i="1" s="1"/>
  <c r="S1519" i="1" s="1"/>
  <c r="S1520" i="1" s="1"/>
  <c r="S1521" i="1" s="1"/>
  <c r="S1522" i="1" s="1"/>
  <c r="S1523" i="1" s="1"/>
  <c r="S1524" i="1" s="1"/>
  <c r="S1525" i="1" s="1"/>
  <c r="S1526" i="1" s="1"/>
  <c r="S1527" i="1" s="1"/>
  <c r="S1528" i="1" s="1"/>
  <c r="S1529" i="1" s="1"/>
  <c r="S1530" i="1" s="1"/>
  <c r="S1531" i="1" s="1"/>
  <c r="S1532" i="1" s="1"/>
  <c r="S1533" i="1" s="1"/>
  <c r="S1534" i="1" s="1"/>
  <c r="S1535" i="1" s="1"/>
  <c r="S1536" i="1" s="1"/>
  <c r="S1537" i="1" s="1"/>
  <c r="S1538" i="1" s="1"/>
  <c r="S1539" i="1" s="1"/>
  <c r="S1540" i="1" s="1"/>
  <c r="S1541" i="1" s="1"/>
  <c r="S1542" i="1" s="1"/>
  <c r="S1543" i="1" s="1"/>
  <c r="S1544" i="1" s="1"/>
  <c r="S1545" i="1" s="1"/>
  <c r="S1546" i="1" s="1"/>
  <c r="S1547" i="1" s="1"/>
  <c r="S1548" i="1" s="1"/>
  <c r="S1549" i="1" s="1"/>
  <c r="S1550" i="1" s="1"/>
  <c r="S1551" i="1" s="1"/>
  <c r="S1552" i="1" s="1"/>
  <c r="S1553" i="1" s="1"/>
  <c r="S1554" i="1" s="1"/>
  <c r="S1555" i="1" s="1"/>
  <c r="S1556" i="1" s="1"/>
  <c r="S1557" i="1" s="1"/>
  <c r="S1558" i="1" s="1"/>
  <c r="S1559" i="1" s="1"/>
  <c r="S1560" i="1" s="1"/>
  <c r="S1561" i="1" s="1"/>
  <c r="S1562" i="1" s="1"/>
  <c r="S1563" i="1" s="1"/>
  <c r="S1564" i="1" s="1"/>
  <c r="S1565" i="1" s="1"/>
  <c r="S1566" i="1" s="1"/>
  <c r="S1567" i="1" s="1"/>
  <c r="S1568" i="1" s="1"/>
  <c r="S1569" i="1" s="1"/>
  <c r="S1570" i="1" s="1"/>
  <c r="S1571" i="1" s="1"/>
  <c r="S1572" i="1" s="1"/>
  <c r="S1573" i="1" s="1"/>
  <c r="S1574" i="1" s="1"/>
  <c r="S1575" i="1" s="1"/>
  <c r="S1576" i="1" s="1"/>
  <c r="S1577" i="1" s="1"/>
  <c r="S1578" i="1" s="1"/>
  <c r="S1579" i="1" s="1"/>
  <c r="S1580" i="1" s="1"/>
  <c r="S1581" i="1" s="1"/>
  <c r="S1582" i="1" s="1"/>
  <c r="S1583" i="1" s="1"/>
  <c r="S1584" i="1" s="1"/>
  <c r="S1585" i="1" s="1"/>
  <c r="S1586" i="1" s="1"/>
  <c r="S1587" i="1" s="1"/>
  <c r="S1588" i="1" s="1"/>
  <c r="S1589" i="1" s="1"/>
  <c r="S1590" i="1" s="1"/>
  <c r="S1591" i="1" s="1"/>
  <c r="S1592" i="1" s="1"/>
  <c r="S1593" i="1" s="1"/>
  <c r="S1594" i="1" s="1"/>
  <c r="S1595" i="1" s="1"/>
  <c r="S1596" i="1" s="1"/>
  <c r="S1597" i="1" s="1"/>
  <c r="S1598" i="1" s="1"/>
  <c r="S1599" i="1" s="1"/>
  <c r="S1600" i="1" s="1"/>
  <c r="S1601" i="1" s="1"/>
  <c r="S1602" i="1" s="1"/>
  <c r="S1603" i="1" s="1"/>
  <c r="S1604" i="1" s="1"/>
  <c r="S1605" i="1" s="1"/>
  <c r="S1606" i="1" s="1"/>
  <c r="S1607" i="1" s="1"/>
  <c r="S1608" i="1" s="1"/>
  <c r="S1609" i="1" s="1"/>
  <c r="S1610" i="1" s="1"/>
  <c r="S1611" i="1" s="1"/>
  <c r="S1612" i="1" s="1"/>
  <c r="S1613" i="1" s="1"/>
  <c r="S1614" i="1" s="1"/>
  <c r="S1615" i="1" s="1"/>
  <c r="S1616" i="1" s="1"/>
  <c r="S1617" i="1" s="1"/>
  <c r="S1618" i="1" s="1"/>
  <c r="S1619" i="1" s="1"/>
  <c r="S1620" i="1" s="1"/>
  <c r="S1621" i="1" s="1"/>
  <c r="S1622" i="1" s="1"/>
  <c r="S1623" i="1" s="1"/>
  <c r="S1624" i="1" s="1"/>
  <c r="S1625" i="1" s="1"/>
  <c r="S1626" i="1" s="1"/>
  <c r="S1627" i="1" s="1"/>
  <c r="S1628" i="1" s="1"/>
  <c r="S1629" i="1" s="1"/>
  <c r="S1630" i="1" s="1"/>
  <c r="S1631" i="1" s="1"/>
  <c r="S1632" i="1" s="1"/>
  <c r="S1633" i="1" s="1"/>
  <c r="S1634" i="1" s="1"/>
  <c r="S1635" i="1" s="1"/>
  <c r="S1636" i="1" s="1"/>
  <c r="S1637" i="1" s="1"/>
  <c r="S1638" i="1" s="1"/>
  <c r="S1639" i="1" s="1"/>
  <c r="S1640" i="1" s="1"/>
  <c r="S1641" i="1" s="1"/>
  <c r="S1642" i="1" s="1"/>
  <c r="S1643" i="1" s="1"/>
  <c r="S1644" i="1" s="1"/>
  <c r="S1645" i="1" s="1"/>
  <c r="S1646" i="1" s="1"/>
  <c r="S1647" i="1" s="1"/>
  <c r="S1648" i="1" s="1"/>
  <c r="S1649" i="1" s="1"/>
  <c r="S1650" i="1" s="1"/>
  <c r="S1651" i="1" s="1"/>
  <c r="S1652" i="1" s="1"/>
  <c r="S1653" i="1" s="1"/>
  <c r="S1654" i="1" s="1"/>
  <c r="S1655" i="1" s="1"/>
  <c r="S1656" i="1" s="1"/>
  <c r="S1657" i="1" s="1"/>
  <c r="S1658" i="1" s="1"/>
  <c r="S1659" i="1" s="1"/>
  <c r="S1660" i="1" s="1"/>
  <c r="S1661" i="1" s="1"/>
  <c r="S1662" i="1" s="1"/>
  <c r="S1663" i="1" s="1"/>
  <c r="S1664" i="1" s="1"/>
  <c r="S1665" i="1" s="1"/>
  <c r="S1666" i="1" s="1"/>
  <c r="S1667" i="1" s="1"/>
  <c r="S1668" i="1" s="1"/>
  <c r="S1669" i="1" s="1"/>
  <c r="S1670" i="1" s="1"/>
  <c r="S1671" i="1" s="1"/>
  <c r="S1672" i="1" s="1"/>
  <c r="S1673" i="1" s="1"/>
  <c r="S1674" i="1" s="1"/>
  <c r="S1675" i="1" s="1"/>
  <c r="S1676" i="1" s="1"/>
  <c r="S1677" i="1" s="1"/>
  <c r="S1678" i="1" s="1"/>
  <c r="S1679" i="1" s="1"/>
  <c r="S1680" i="1" s="1"/>
  <c r="S1681" i="1" s="1"/>
  <c r="S1682" i="1" s="1"/>
  <c r="S1683" i="1" s="1"/>
  <c r="S1684" i="1" s="1"/>
  <c r="S1685" i="1" s="1"/>
  <c r="S1686" i="1" s="1"/>
  <c r="S1687" i="1" s="1"/>
  <c r="S1688" i="1" s="1"/>
  <c r="S1689" i="1" s="1"/>
  <c r="S1690" i="1" s="1"/>
  <c r="S1691" i="1" s="1"/>
  <c r="S1692" i="1" s="1"/>
  <c r="S1693" i="1" s="1"/>
  <c r="S1694" i="1" s="1"/>
  <c r="S1695" i="1" s="1"/>
  <c r="S1696" i="1" s="1"/>
  <c r="S1697" i="1" s="1"/>
  <c r="S1698" i="1" s="1"/>
  <c r="S1699" i="1" s="1"/>
  <c r="S1700" i="1" s="1"/>
  <c r="S1701" i="1" s="1"/>
  <c r="S1702" i="1" s="1"/>
  <c r="S1703" i="1" s="1"/>
  <c r="S1704" i="1" s="1"/>
  <c r="S1705" i="1" s="1"/>
  <c r="S1706" i="1" s="1"/>
  <c r="S1707" i="1" s="1"/>
  <c r="S1708" i="1" s="1"/>
  <c r="S1709" i="1" s="1"/>
  <c r="S1710" i="1" s="1"/>
  <c r="S1711" i="1" s="1"/>
  <c r="S1712" i="1" s="1"/>
  <c r="S1713" i="1" s="1"/>
  <c r="S1714" i="1" s="1"/>
  <c r="S1715" i="1" s="1"/>
  <c r="S1716" i="1" s="1"/>
  <c r="S1717" i="1" s="1"/>
  <c r="S1718" i="1" s="1"/>
  <c r="S1719" i="1" s="1"/>
  <c r="S1720" i="1" s="1"/>
  <c r="S1721" i="1" s="1"/>
  <c r="S1722" i="1" s="1"/>
  <c r="S1723" i="1" s="1"/>
  <c r="S1724" i="1" s="1"/>
  <c r="S1725" i="1" s="1"/>
  <c r="S1726" i="1" s="1"/>
  <c r="S1727" i="1" s="1"/>
  <c r="S1728" i="1" s="1"/>
  <c r="S1729" i="1" s="1"/>
  <c r="S1730" i="1" s="1"/>
  <c r="S1731" i="1" s="1"/>
  <c r="S1732" i="1" s="1"/>
  <c r="S1733" i="1" s="1"/>
  <c r="S1734" i="1" s="1"/>
  <c r="S1735" i="1" s="1"/>
  <c r="S1736" i="1" s="1"/>
  <c r="S1737" i="1" s="1"/>
  <c r="S1738" i="1" s="1"/>
  <c r="S1739" i="1" s="1"/>
  <c r="S1740" i="1" s="1"/>
  <c r="S1741" i="1" s="1"/>
  <c r="S1742" i="1" s="1"/>
  <c r="S1743" i="1" s="1"/>
  <c r="S1744" i="1" s="1"/>
  <c r="S1745" i="1" s="1"/>
  <c r="S1746" i="1" s="1"/>
  <c r="S1747" i="1" s="1"/>
  <c r="S1748" i="1" s="1"/>
  <c r="S1749" i="1" s="1"/>
  <c r="S1750" i="1" s="1"/>
  <c r="S1751" i="1" s="1"/>
  <c r="S1752" i="1" s="1"/>
  <c r="S1753" i="1" s="1"/>
  <c r="S1754" i="1" s="1"/>
  <c r="S1755" i="1" s="1"/>
  <c r="S1756" i="1" s="1"/>
  <c r="S1757" i="1" s="1"/>
  <c r="S1758" i="1" s="1"/>
  <c r="S1759" i="1" s="1"/>
  <c r="S1760" i="1" s="1"/>
  <c r="S1761" i="1" s="1"/>
  <c r="S1762" i="1" s="1"/>
  <c r="S1763" i="1" s="1"/>
  <c r="S1764" i="1" s="1"/>
  <c r="S1765" i="1" s="1"/>
  <c r="S1766" i="1" s="1"/>
  <c r="S1767" i="1" s="1"/>
  <c r="S1768" i="1" s="1"/>
  <c r="S1769" i="1" s="1"/>
  <c r="S1770" i="1" s="1"/>
  <c r="S1771" i="1" s="1"/>
  <c r="S1772" i="1" s="1"/>
  <c r="S1773" i="1" s="1"/>
  <c r="S1774" i="1" s="1"/>
  <c r="S1775" i="1" s="1"/>
  <c r="S1776" i="1" s="1"/>
  <c r="S1777" i="1" s="1"/>
  <c r="S1778" i="1" s="1"/>
  <c r="S1779" i="1" s="1"/>
  <c r="S1780" i="1" s="1"/>
  <c r="S1781" i="1" s="1"/>
  <c r="S1782" i="1" s="1"/>
  <c r="S1783" i="1" s="1"/>
  <c r="S1784" i="1" s="1"/>
  <c r="S1785" i="1" s="1"/>
  <c r="S1786" i="1" s="1"/>
  <c r="S1787" i="1" s="1"/>
  <c r="S1788" i="1" s="1"/>
  <c r="S1789" i="1" s="1"/>
  <c r="S1790" i="1" s="1"/>
  <c r="S1791" i="1" s="1"/>
  <c r="S1792" i="1" s="1"/>
  <c r="S1793" i="1" s="1"/>
  <c r="S1794" i="1" s="1"/>
  <c r="S1795" i="1" s="1"/>
  <c r="S1796" i="1" s="1"/>
  <c r="S1797" i="1" s="1"/>
  <c r="S1798" i="1" s="1"/>
  <c r="S1799" i="1" s="1"/>
  <c r="S1800" i="1" s="1"/>
  <c r="S1801" i="1" s="1"/>
  <c r="S1802" i="1" s="1"/>
  <c r="S1803" i="1" s="1"/>
  <c r="S1804" i="1" s="1"/>
  <c r="S1805" i="1" s="1"/>
  <c r="S1806" i="1" s="1"/>
  <c r="S1807" i="1" s="1"/>
  <c r="S1808" i="1" s="1"/>
  <c r="S1809" i="1" s="1"/>
  <c r="S1810" i="1" s="1"/>
  <c r="S1811" i="1" s="1"/>
  <c r="S1812" i="1" s="1"/>
  <c r="S1813" i="1" s="1"/>
  <c r="S1814" i="1" s="1"/>
  <c r="S1815" i="1" s="1"/>
  <c r="S1816" i="1" s="1"/>
  <c r="S1817" i="1" s="1"/>
  <c r="S1818" i="1" s="1"/>
  <c r="S1819" i="1" s="1"/>
  <c r="S1820" i="1" s="1"/>
  <c r="S1821" i="1" s="1"/>
  <c r="S1822" i="1" s="1"/>
  <c r="S1823" i="1" s="1"/>
  <c r="S1824" i="1" s="1"/>
  <c r="S1825" i="1" s="1"/>
  <c r="S1826" i="1" s="1"/>
  <c r="S1827" i="1" s="1"/>
  <c r="S1828" i="1" s="1"/>
  <c r="S1829" i="1" s="1"/>
  <c r="S1830" i="1" s="1"/>
  <c r="S1831" i="1" s="1"/>
  <c r="S1832" i="1" s="1"/>
  <c r="S1833" i="1" s="1"/>
  <c r="S1834" i="1" s="1"/>
  <c r="S1835" i="1" s="1"/>
  <c r="S1836" i="1" s="1"/>
  <c r="S1837" i="1" s="1"/>
  <c r="S1838" i="1" s="1"/>
  <c r="S1839" i="1" s="1"/>
  <c r="S1840" i="1" s="1"/>
  <c r="S1841" i="1" s="1"/>
  <c r="S1842" i="1" s="1"/>
  <c r="S1843" i="1" s="1"/>
  <c r="S1844" i="1" s="1"/>
  <c r="S1845" i="1" s="1"/>
  <c r="S1846" i="1" s="1"/>
  <c r="S1847" i="1" s="1"/>
  <c r="S1848" i="1" s="1"/>
  <c r="S1849" i="1" s="1"/>
  <c r="S1850" i="1" s="1"/>
  <c r="S1851" i="1" s="1"/>
  <c r="S1852" i="1" s="1"/>
  <c r="S1853" i="1" s="1"/>
  <c r="S1854" i="1" s="1"/>
  <c r="S1855" i="1" s="1"/>
  <c r="S1856" i="1" s="1"/>
  <c r="S1857" i="1" s="1"/>
  <c r="S1858" i="1" s="1"/>
  <c r="S1859" i="1" s="1"/>
  <c r="S1860" i="1" s="1"/>
  <c r="S1861" i="1" s="1"/>
  <c r="S1862" i="1" s="1"/>
  <c r="S1863" i="1" s="1"/>
  <c r="S1864" i="1" s="1"/>
  <c r="S1865" i="1" s="1"/>
  <c r="S1866" i="1" s="1"/>
  <c r="S1867" i="1" s="1"/>
  <c r="S1868" i="1" s="1"/>
  <c r="S1869" i="1" s="1"/>
  <c r="S1870" i="1" s="1"/>
  <c r="S1871" i="1" s="1"/>
  <c r="S1872" i="1" s="1"/>
  <c r="S1873" i="1" s="1"/>
  <c r="S1874" i="1" s="1"/>
  <c r="S1875" i="1" s="1"/>
  <c r="S1876" i="1" s="1"/>
  <c r="S1877" i="1" s="1"/>
  <c r="S1878" i="1" s="1"/>
  <c r="S1879" i="1" s="1"/>
  <c r="S1880" i="1" s="1"/>
  <c r="S1881" i="1" s="1"/>
  <c r="S1882" i="1" s="1"/>
  <c r="S1883" i="1" s="1"/>
  <c r="S1884" i="1" s="1"/>
  <c r="S1885" i="1" s="1"/>
  <c r="S1886" i="1" s="1"/>
  <c r="S1887" i="1" s="1"/>
  <c r="S1888" i="1" s="1"/>
  <c r="S1889" i="1" s="1"/>
  <c r="S1890" i="1" s="1"/>
  <c r="S1891" i="1" s="1"/>
  <c r="S1892" i="1" s="1"/>
  <c r="S1893" i="1" s="1"/>
  <c r="S1894" i="1" s="1"/>
  <c r="S1895" i="1" s="1"/>
  <c r="S1896" i="1" s="1"/>
  <c r="S1897" i="1" s="1"/>
  <c r="S1898" i="1" s="1"/>
  <c r="S1899" i="1" s="1"/>
  <c r="S1900" i="1" s="1"/>
  <c r="S1901" i="1" s="1"/>
  <c r="S1902" i="1" s="1"/>
  <c r="S1903" i="1" s="1"/>
  <c r="S1904" i="1" s="1"/>
  <c r="S1905" i="1" s="1"/>
  <c r="S1906" i="1" s="1"/>
  <c r="S1907" i="1" s="1"/>
  <c r="S1908" i="1" s="1"/>
  <c r="S1909" i="1" s="1"/>
  <c r="S1910" i="1" s="1"/>
  <c r="S1911" i="1" s="1"/>
  <c r="S1912" i="1" s="1"/>
  <c r="S1913" i="1" s="1"/>
  <c r="S1914" i="1" s="1"/>
  <c r="S1915" i="1" s="1"/>
  <c r="S1916" i="1" s="1"/>
  <c r="S1917" i="1" s="1"/>
  <c r="S1918" i="1" s="1"/>
  <c r="S1919" i="1" s="1"/>
  <c r="S1920" i="1" s="1"/>
  <c r="S1921" i="1" s="1"/>
  <c r="S1922" i="1" s="1"/>
  <c r="S1923" i="1" s="1"/>
  <c r="S1924" i="1" s="1"/>
  <c r="S1925" i="1" s="1"/>
  <c r="S1926" i="1" s="1"/>
  <c r="S1927" i="1" s="1"/>
  <c r="S1928" i="1" s="1"/>
  <c r="S1929" i="1" s="1"/>
  <c r="S1930" i="1" s="1"/>
  <c r="S1931" i="1" s="1"/>
  <c r="S1932" i="1" s="1"/>
  <c r="S1933" i="1" s="1"/>
  <c r="S1934" i="1" s="1"/>
  <c r="S1935" i="1" s="1"/>
  <c r="S1936" i="1" s="1"/>
  <c r="S1937" i="1" s="1"/>
  <c r="S1938" i="1" s="1"/>
  <c r="S1939" i="1" s="1"/>
  <c r="S1940" i="1" s="1"/>
  <c r="S1941" i="1" s="1"/>
  <c r="S1942" i="1" s="1"/>
  <c r="S1943" i="1" s="1"/>
  <c r="S1944" i="1" s="1"/>
  <c r="S1945" i="1" s="1"/>
  <c r="S1946" i="1" s="1"/>
  <c r="S1947" i="1" s="1"/>
  <c r="S1948" i="1" s="1"/>
  <c r="S1949" i="1" s="1"/>
  <c r="S1950" i="1" s="1"/>
  <c r="S1951" i="1" s="1"/>
  <c r="S1952" i="1" s="1"/>
  <c r="S1953" i="1" s="1"/>
  <c r="S1954" i="1" s="1"/>
  <c r="S1955" i="1" s="1"/>
  <c r="S1956" i="1" s="1"/>
  <c r="S1957" i="1" s="1"/>
  <c r="S1958" i="1" s="1"/>
  <c r="S1959" i="1" s="1"/>
  <c r="S1960" i="1" s="1"/>
  <c r="S1961" i="1" s="1"/>
  <c r="S1962" i="1" s="1"/>
  <c r="S1963" i="1" s="1"/>
  <c r="S1964" i="1" s="1"/>
  <c r="S1965" i="1" s="1"/>
  <c r="S1966" i="1" s="1"/>
  <c r="S1967" i="1" s="1"/>
  <c r="S1968" i="1" s="1"/>
  <c r="S1969" i="1" s="1"/>
  <c r="S1970" i="1" s="1"/>
  <c r="S1971" i="1" s="1"/>
  <c r="S1972" i="1" s="1"/>
  <c r="S1973" i="1" s="1"/>
  <c r="S1974" i="1" s="1"/>
  <c r="S1975" i="1" s="1"/>
  <c r="S1976" i="1" s="1"/>
  <c r="S1977" i="1" s="1"/>
  <c r="S1978" i="1" s="1"/>
  <c r="S1979" i="1" s="1"/>
  <c r="S1980" i="1" s="1"/>
  <c r="S1981" i="1" s="1"/>
  <c r="S1982" i="1" s="1"/>
  <c r="S1983" i="1" s="1"/>
  <c r="S1984" i="1" s="1"/>
  <c r="S1985" i="1" s="1"/>
  <c r="S1986" i="1" s="1"/>
  <c r="S1987" i="1" s="1"/>
  <c r="S1988" i="1" s="1"/>
  <c r="S1989" i="1" s="1"/>
  <c r="S1990" i="1" s="1"/>
  <c r="S1991" i="1" s="1"/>
  <c r="S1992" i="1" s="1"/>
  <c r="S1993" i="1" s="1"/>
  <c r="S1994" i="1" s="1"/>
  <c r="S1995" i="1" s="1"/>
  <c r="S1996" i="1" s="1"/>
  <c r="S1997" i="1" s="1"/>
  <c r="S1998" i="1" s="1"/>
  <c r="S1999" i="1" s="1"/>
  <c r="S2000" i="1" s="1"/>
  <c r="S2001" i="1" s="1"/>
  <c r="S2002" i="1" s="1"/>
  <c r="S2003" i="1" s="1"/>
  <c r="S2004" i="1" s="1"/>
  <c r="S2005" i="1" s="1"/>
  <c r="S2006" i="1" s="1"/>
  <c r="S2007" i="1" s="1"/>
  <c r="S2008" i="1" s="1"/>
  <c r="S2009" i="1" s="1"/>
  <c r="S2010" i="1" s="1"/>
  <c r="S2011" i="1" s="1"/>
  <c r="S2012" i="1" s="1"/>
  <c r="S2013" i="1" s="1"/>
  <c r="S2014" i="1" s="1"/>
  <c r="S2015" i="1" s="1"/>
  <c r="S2016" i="1" s="1"/>
  <c r="S2017" i="1" s="1"/>
  <c r="S2018" i="1" s="1"/>
  <c r="S2019" i="1" s="1"/>
  <c r="S2020" i="1" s="1"/>
  <c r="S2021" i="1" s="1"/>
  <c r="S2022" i="1" s="1"/>
  <c r="S2023" i="1" s="1"/>
  <c r="S2024" i="1" s="1"/>
  <c r="S2025" i="1" s="1"/>
  <c r="S2026" i="1" s="1"/>
  <c r="S2027" i="1" s="1"/>
  <c r="S2028" i="1" s="1"/>
  <c r="S2029" i="1" s="1"/>
  <c r="S2030" i="1" s="1"/>
  <c r="S2031" i="1" s="1"/>
  <c r="S2032" i="1" s="1"/>
  <c r="S2033" i="1" s="1"/>
  <c r="S2034" i="1" s="1"/>
  <c r="S2035" i="1" s="1"/>
  <c r="S2036" i="1" s="1"/>
  <c r="S2037" i="1" s="1"/>
  <c r="S2038" i="1" s="1"/>
  <c r="S2039" i="1" s="1"/>
  <c r="S2040" i="1" s="1"/>
  <c r="S2041" i="1" s="1"/>
  <c r="S2042" i="1" s="1"/>
  <c r="S2043" i="1" s="1"/>
  <c r="S2044" i="1" s="1"/>
  <c r="S2045" i="1" s="1"/>
  <c r="S2046" i="1" s="1"/>
  <c r="S2047" i="1" s="1"/>
  <c r="S2048" i="1" s="1"/>
  <c r="S2049" i="1" s="1"/>
  <c r="S2050" i="1" s="1"/>
  <c r="S2051" i="1" s="1"/>
  <c r="S2052" i="1" s="1"/>
  <c r="S2053" i="1" s="1"/>
  <c r="S2054" i="1" s="1"/>
  <c r="S2055" i="1" s="1"/>
  <c r="S2056" i="1" s="1"/>
  <c r="S2057" i="1" s="1"/>
  <c r="S2058" i="1" s="1"/>
  <c r="S2059" i="1" s="1"/>
  <c r="S2060" i="1" s="1"/>
  <c r="S2061" i="1" s="1"/>
  <c r="S2062" i="1" s="1"/>
  <c r="S2063" i="1" s="1"/>
  <c r="S2064" i="1" s="1"/>
  <c r="S2065" i="1" s="1"/>
  <c r="S2066" i="1" s="1"/>
  <c r="S2067" i="1" s="1"/>
  <c r="S2068" i="1" s="1"/>
  <c r="S2069" i="1" s="1"/>
  <c r="S2070" i="1" s="1"/>
  <c r="S2071" i="1" s="1"/>
  <c r="S2072" i="1" s="1"/>
  <c r="S2073" i="1" s="1"/>
  <c r="S2074" i="1" s="1"/>
  <c r="S2075" i="1" s="1"/>
  <c r="S2076" i="1" s="1"/>
  <c r="S2077" i="1" s="1"/>
  <c r="S2078" i="1" s="1"/>
  <c r="S2079" i="1" s="1"/>
  <c r="S2080" i="1" s="1"/>
  <c r="S2081" i="1" s="1"/>
  <c r="S2082" i="1" s="1"/>
  <c r="S2083" i="1" s="1"/>
  <c r="S2084" i="1" s="1"/>
  <c r="S2085" i="1" s="1"/>
  <c r="S2086" i="1" s="1"/>
  <c r="S2087" i="1" s="1"/>
  <c r="S2088" i="1" s="1"/>
  <c r="S2089" i="1" s="1"/>
  <c r="S2090" i="1" s="1"/>
  <c r="S2091" i="1" s="1"/>
  <c r="S2092" i="1" s="1"/>
  <c r="S2093" i="1" s="1"/>
  <c r="S2094" i="1" s="1"/>
  <c r="S2095" i="1" s="1"/>
  <c r="S2096" i="1" s="1"/>
  <c r="S2097" i="1" s="1"/>
  <c r="S2098" i="1" s="1"/>
  <c r="S2099" i="1" s="1"/>
  <c r="S2100" i="1" s="1"/>
  <c r="S2101" i="1" s="1"/>
  <c r="S2102" i="1" s="1"/>
  <c r="S2103" i="1" s="1"/>
  <c r="S2104" i="1" s="1"/>
  <c r="S2105" i="1" s="1"/>
  <c r="S2106" i="1" s="1"/>
  <c r="S2107" i="1" s="1"/>
  <c r="S2108" i="1" s="1"/>
  <c r="S2109" i="1" s="1"/>
  <c r="S2110" i="1" s="1"/>
  <c r="S2111" i="1" s="1"/>
  <c r="S2112" i="1" s="1"/>
  <c r="S2113" i="1" s="1"/>
  <c r="S2114" i="1" s="1"/>
  <c r="S2115" i="1" s="1"/>
  <c r="S2116" i="1" s="1"/>
  <c r="S2117" i="1" s="1"/>
  <c r="S2118" i="1" s="1"/>
  <c r="S2119" i="1" s="1"/>
  <c r="S2120" i="1" s="1"/>
  <c r="S2121" i="1" s="1"/>
  <c r="S2122" i="1" s="1"/>
  <c r="S2123" i="1" s="1"/>
  <c r="S2124" i="1" s="1"/>
  <c r="S2125" i="1" s="1"/>
  <c r="S2126" i="1" s="1"/>
  <c r="S2127" i="1" s="1"/>
  <c r="S2128" i="1" s="1"/>
  <c r="S2129" i="1" s="1"/>
  <c r="S2130" i="1" s="1"/>
  <c r="S2131" i="1" s="1"/>
  <c r="S2132" i="1" s="1"/>
  <c r="S2133" i="1" s="1"/>
  <c r="S2134" i="1" s="1"/>
  <c r="S2135" i="1" s="1"/>
  <c r="S2136" i="1" s="1"/>
  <c r="S2137" i="1" s="1"/>
  <c r="S2138" i="1" s="1"/>
  <c r="S2139" i="1" s="1"/>
  <c r="S2140" i="1" s="1"/>
  <c r="S2141" i="1" s="1"/>
  <c r="S2142" i="1" s="1"/>
  <c r="S2143" i="1" s="1"/>
  <c r="S2144" i="1" s="1"/>
  <c r="S2145" i="1" s="1"/>
  <c r="S2146" i="1" s="1"/>
  <c r="S2147" i="1" s="1"/>
  <c r="S2148" i="1" s="1"/>
  <c r="S2149" i="1" s="1"/>
  <c r="S2150" i="1" s="1"/>
  <c r="S2151" i="1" s="1"/>
  <c r="S2152" i="1" s="1"/>
  <c r="S2153" i="1" s="1"/>
  <c r="S2154" i="1" s="1"/>
  <c r="S2155" i="1" s="1"/>
  <c r="S2156" i="1" s="1"/>
  <c r="S2157" i="1" s="1"/>
  <c r="S2158" i="1" s="1"/>
  <c r="S2159" i="1" s="1"/>
  <c r="S2160" i="1" s="1"/>
  <c r="S2161" i="1" s="1"/>
  <c r="S2162" i="1" s="1"/>
  <c r="S2163" i="1" s="1"/>
  <c r="S2164" i="1" s="1"/>
  <c r="S2165" i="1" s="1"/>
  <c r="S2166" i="1" s="1"/>
  <c r="S2167" i="1" s="1"/>
  <c r="S2168" i="1" s="1"/>
  <c r="S2169" i="1" s="1"/>
  <c r="S2170" i="1" s="1"/>
  <c r="S2171" i="1" s="1"/>
  <c r="S2172" i="1" s="1"/>
  <c r="S2173" i="1" s="1"/>
  <c r="S2174" i="1" s="1"/>
  <c r="S2175" i="1" s="1"/>
  <c r="S2176" i="1" s="1"/>
  <c r="S2177" i="1" s="1"/>
  <c r="S2178" i="1" s="1"/>
  <c r="S2179" i="1" s="1"/>
  <c r="S2180" i="1" s="1"/>
  <c r="S2181" i="1" s="1"/>
  <c r="S2182" i="1" s="1"/>
  <c r="S2183" i="1" s="1"/>
  <c r="S2184" i="1" s="1"/>
  <c r="S2185" i="1" s="1"/>
  <c r="S2186" i="1" s="1"/>
  <c r="S2187" i="1" s="1"/>
  <c r="S2188" i="1" s="1"/>
  <c r="S2189" i="1" s="1"/>
  <c r="S2190" i="1" s="1"/>
  <c r="S2191" i="1" s="1"/>
  <c r="S2192" i="1" s="1"/>
  <c r="S2193" i="1" s="1"/>
  <c r="S2194" i="1" s="1"/>
  <c r="S2195" i="1" s="1"/>
  <c r="S2196" i="1" s="1"/>
  <c r="S2197" i="1" s="1"/>
  <c r="S2198" i="1" s="1"/>
  <c r="S2199" i="1" s="1"/>
  <c r="S2200" i="1" s="1"/>
  <c r="S2201" i="1" s="1"/>
  <c r="S2202" i="1" s="1"/>
  <c r="S2203" i="1" s="1"/>
  <c r="S2204" i="1" s="1"/>
  <c r="S2205" i="1" s="1"/>
  <c r="S2206" i="1" s="1"/>
  <c r="S2207" i="1" s="1"/>
  <c r="S2208" i="1" s="1"/>
  <c r="S2209" i="1" s="1"/>
  <c r="S2210" i="1" s="1"/>
  <c r="S2211" i="1" s="1"/>
  <c r="S2212" i="1" s="1"/>
  <c r="S2213" i="1" s="1"/>
  <c r="S2214" i="1" s="1"/>
  <c r="S2215" i="1" s="1"/>
  <c r="S2216" i="1" s="1"/>
  <c r="S2217" i="1" s="1"/>
  <c r="S2218" i="1" s="1"/>
  <c r="S2219" i="1" s="1"/>
  <c r="S2220" i="1" s="1"/>
  <c r="S2221" i="1" s="1"/>
  <c r="S2222" i="1" s="1"/>
  <c r="S2223" i="1" s="1"/>
  <c r="S2224" i="1" s="1"/>
  <c r="S2225" i="1" s="1"/>
  <c r="S2226" i="1" s="1"/>
  <c r="S2227" i="1" s="1"/>
  <c r="S2228" i="1" s="1"/>
  <c r="S2229" i="1" s="1"/>
  <c r="S2230" i="1" s="1"/>
  <c r="S2231" i="1" s="1"/>
  <c r="S2232" i="1" s="1"/>
  <c r="S2233" i="1" s="1"/>
  <c r="S2234" i="1" s="1"/>
  <c r="S2235" i="1" s="1"/>
  <c r="S2236" i="1" s="1"/>
  <c r="S2237" i="1" s="1"/>
  <c r="S2238" i="1" s="1"/>
  <c r="S2239" i="1" s="1"/>
  <c r="S2240" i="1" s="1"/>
  <c r="S2241" i="1" s="1"/>
  <c r="S2242" i="1" s="1"/>
  <c r="S2243" i="1" s="1"/>
  <c r="S2244" i="1" s="1"/>
  <c r="S2245" i="1" s="1"/>
  <c r="S2246" i="1" s="1"/>
  <c r="S2247" i="1" s="1"/>
  <c r="S2248" i="1" s="1"/>
  <c r="S2249" i="1" s="1"/>
  <c r="S2250" i="1" s="1"/>
  <c r="S2251" i="1" s="1"/>
  <c r="S2252" i="1" s="1"/>
  <c r="S2253" i="1" s="1"/>
  <c r="S2254" i="1" s="1"/>
  <c r="S2255" i="1" s="1"/>
  <c r="S2256" i="1" s="1"/>
  <c r="S2257" i="1" s="1"/>
  <c r="S2258" i="1" s="1"/>
  <c r="S2259" i="1" s="1"/>
  <c r="S2260" i="1" s="1"/>
  <c r="S2261" i="1" s="1"/>
  <c r="S2262" i="1" s="1"/>
  <c r="S2263" i="1" s="1"/>
  <c r="S2264" i="1" s="1"/>
  <c r="S2265" i="1" s="1"/>
  <c r="S2266" i="1" s="1"/>
  <c r="S2267" i="1" s="1"/>
  <c r="S2268" i="1" s="1"/>
  <c r="S2269" i="1" s="1"/>
  <c r="S2270" i="1" s="1"/>
  <c r="S2271" i="1" s="1"/>
  <c r="S2272" i="1" s="1"/>
  <c r="S2273" i="1" s="1"/>
  <c r="S2274" i="1" s="1"/>
  <c r="S2275" i="1" s="1"/>
  <c r="S2276" i="1" s="1"/>
  <c r="S2277" i="1" s="1"/>
  <c r="S2278" i="1" s="1"/>
  <c r="S2279" i="1" s="1"/>
  <c r="S2280" i="1" s="1"/>
  <c r="S2281" i="1" s="1"/>
  <c r="S2282" i="1" s="1"/>
  <c r="S2283" i="1" s="1"/>
  <c r="S2284" i="1" s="1"/>
  <c r="S2285" i="1" s="1"/>
  <c r="S2286" i="1" s="1"/>
  <c r="S2287" i="1" s="1"/>
  <c r="S2288" i="1" s="1"/>
  <c r="S2289" i="1" s="1"/>
  <c r="S2290" i="1" s="1"/>
  <c r="S2291" i="1" s="1"/>
  <c r="S2292" i="1" s="1"/>
  <c r="S2293" i="1" s="1"/>
  <c r="S2294" i="1" s="1"/>
  <c r="S2295" i="1" s="1"/>
  <c r="S2296" i="1" s="1"/>
  <c r="S2297" i="1" s="1"/>
  <c r="S2298" i="1" s="1"/>
  <c r="S2299" i="1" s="1"/>
  <c r="S2300" i="1" s="1"/>
  <c r="S2301" i="1" s="1"/>
  <c r="S2302" i="1" s="1"/>
  <c r="S2303" i="1" s="1"/>
  <c r="S2304" i="1" s="1"/>
  <c r="S2305" i="1" s="1"/>
  <c r="S2306" i="1" s="1"/>
  <c r="S2307" i="1" s="1"/>
  <c r="S2308" i="1" s="1"/>
  <c r="S2309" i="1" s="1"/>
  <c r="S2310" i="1" s="1"/>
  <c r="S2311" i="1" s="1"/>
  <c r="S2312" i="1" s="1"/>
  <c r="S2313" i="1" s="1"/>
  <c r="S2314" i="1" s="1"/>
  <c r="S2315" i="1" s="1"/>
  <c r="S2316" i="1" s="1"/>
  <c r="S2317" i="1" s="1"/>
  <c r="S2318" i="1" s="1"/>
  <c r="S2319" i="1" s="1"/>
  <c r="S2320" i="1" s="1"/>
  <c r="S2321" i="1" s="1"/>
  <c r="S2322" i="1" s="1"/>
  <c r="S2323" i="1" s="1"/>
  <c r="S2324" i="1" s="1"/>
  <c r="S2325" i="1" s="1"/>
  <c r="S2326" i="1" s="1"/>
  <c r="S2327" i="1" s="1"/>
  <c r="S2328" i="1" s="1"/>
  <c r="S2329" i="1" s="1"/>
  <c r="S2330" i="1" s="1"/>
  <c r="S2331" i="1" s="1"/>
  <c r="S2332" i="1" s="1"/>
  <c r="S2333" i="1" s="1"/>
  <c r="S2334" i="1" s="1"/>
  <c r="S2335" i="1" s="1"/>
  <c r="S2336" i="1" s="1"/>
  <c r="S2337" i="1" s="1"/>
  <c r="S2338" i="1" s="1"/>
  <c r="S2339" i="1" s="1"/>
  <c r="S2340" i="1" s="1"/>
  <c r="S2341" i="1" s="1"/>
  <c r="S2342" i="1" s="1"/>
  <c r="S2343" i="1" s="1"/>
  <c r="S2344" i="1" s="1"/>
  <c r="S2345" i="1" s="1"/>
  <c r="S2346" i="1" s="1"/>
  <c r="S2347" i="1" s="1"/>
  <c r="S2348" i="1" s="1"/>
  <c r="S2349" i="1" s="1"/>
  <c r="S2350" i="1" s="1"/>
  <c r="S2351" i="1" s="1"/>
  <c r="S2352" i="1" s="1"/>
  <c r="S2353" i="1" s="1"/>
  <c r="S2354" i="1" s="1"/>
  <c r="S2355" i="1" s="1"/>
  <c r="S2356" i="1" s="1"/>
  <c r="S2357" i="1" s="1"/>
  <c r="S2358" i="1" s="1"/>
  <c r="S2359" i="1" s="1"/>
  <c r="S2360" i="1" s="1"/>
  <c r="S2361" i="1" s="1"/>
  <c r="S2362" i="1" s="1"/>
  <c r="S2363" i="1" s="1"/>
  <c r="S2364" i="1" s="1"/>
  <c r="S2365" i="1" s="1"/>
  <c r="S2366" i="1" s="1"/>
  <c r="S2367" i="1" s="1"/>
  <c r="S2368" i="1" s="1"/>
  <c r="S2369" i="1" s="1"/>
  <c r="S2370" i="1" s="1"/>
  <c r="S2371" i="1" s="1"/>
  <c r="S2372" i="1" s="1"/>
  <c r="S2373" i="1" s="1"/>
  <c r="S2374" i="1" s="1"/>
  <c r="S2375" i="1" s="1"/>
  <c r="S2376" i="1" s="1"/>
  <c r="S2377" i="1" s="1"/>
  <c r="S2378" i="1" s="1"/>
  <c r="S2379" i="1" s="1"/>
  <c r="S2380" i="1" s="1"/>
  <c r="S2381" i="1" s="1"/>
  <c r="S2382" i="1" s="1"/>
  <c r="S2383" i="1" s="1"/>
  <c r="S2384" i="1" s="1"/>
  <c r="S2385" i="1" s="1"/>
  <c r="S2386" i="1" s="1"/>
  <c r="S2387" i="1" s="1"/>
  <c r="S2388" i="1" s="1"/>
  <c r="S2389" i="1" s="1"/>
  <c r="S2390" i="1" s="1"/>
  <c r="S2391" i="1" s="1"/>
  <c r="S2392" i="1" s="1"/>
  <c r="S2393" i="1" s="1"/>
  <c r="S2394" i="1" s="1"/>
  <c r="S2395" i="1" s="1"/>
  <c r="S2396" i="1" s="1"/>
  <c r="S2397" i="1" s="1"/>
  <c r="S2398" i="1" s="1"/>
  <c r="S2399" i="1" s="1"/>
  <c r="S2400" i="1" s="1"/>
  <c r="S2401" i="1" s="1"/>
  <c r="S2402" i="1" s="1"/>
  <c r="S2403" i="1" s="1"/>
  <c r="S2404" i="1" s="1"/>
  <c r="S2405" i="1" s="1"/>
  <c r="S2406" i="1" s="1"/>
  <c r="S2407" i="1" s="1"/>
  <c r="S2408" i="1" s="1"/>
  <c r="S2409" i="1" s="1"/>
  <c r="S2410" i="1" s="1"/>
  <c r="S2411" i="1" s="1"/>
  <c r="S2412" i="1" s="1"/>
  <c r="S2413" i="1" s="1"/>
  <c r="S2414" i="1" s="1"/>
  <c r="S2415" i="1" s="1"/>
  <c r="S2416" i="1" s="1"/>
  <c r="S2417" i="1" s="1"/>
  <c r="S2418" i="1" s="1"/>
  <c r="S2419" i="1" s="1"/>
  <c r="S2420" i="1" s="1"/>
  <c r="S2421" i="1" s="1"/>
  <c r="S2422" i="1" s="1"/>
  <c r="S2423" i="1" s="1"/>
  <c r="S2424" i="1" s="1"/>
  <c r="S2425" i="1" s="1"/>
  <c r="S2426" i="1" s="1"/>
  <c r="S2427" i="1" s="1"/>
  <c r="S2428" i="1" s="1"/>
  <c r="S2429" i="1" s="1"/>
  <c r="S2430" i="1" s="1"/>
  <c r="S2431" i="1" s="1"/>
  <c r="S2432" i="1" s="1"/>
  <c r="S2433" i="1" s="1"/>
  <c r="S2434" i="1" s="1"/>
  <c r="S2435" i="1" s="1"/>
  <c r="S2436" i="1" s="1"/>
  <c r="S2437" i="1" s="1"/>
  <c r="S2438" i="1" s="1"/>
  <c r="S2439" i="1" s="1"/>
  <c r="S2440" i="1" s="1"/>
  <c r="S2441" i="1" s="1"/>
  <c r="S2442" i="1" s="1"/>
  <c r="S2443" i="1" s="1"/>
  <c r="S2444" i="1" s="1"/>
  <c r="S2445" i="1" s="1"/>
  <c r="S2446" i="1" s="1"/>
  <c r="S2447" i="1" s="1"/>
  <c r="S2448" i="1" s="1"/>
  <c r="S2449" i="1" s="1"/>
  <c r="S2450" i="1" s="1"/>
  <c r="S2451" i="1" s="1"/>
  <c r="S2452" i="1" s="1"/>
  <c r="S2453" i="1" s="1"/>
  <c r="S2454" i="1" s="1"/>
  <c r="S2455" i="1" s="1"/>
  <c r="S2456" i="1" s="1"/>
  <c r="S2457" i="1" s="1"/>
  <c r="S2458" i="1" s="1"/>
  <c r="S2459" i="1" s="1"/>
  <c r="S2460" i="1" s="1"/>
  <c r="S2461" i="1" s="1"/>
  <c r="S2462" i="1" s="1"/>
  <c r="S2463" i="1" s="1"/>
  <c r="S2464" i="1" s="1"/>
  <c r="S2465" i="1" s="1"/>
  <c r="S2466" i="1" s="1"/>
  <c r="S2467" i="1" s="1"/>
  <c r="S2468" i="1" s="1"/>
  <c r="S2469" i="1" s="1"/>
  <c r="S2470" i="1" s="1"/>
  <c r="S2471" i="1" s="1"/>
  <c r="S2472" i="1" s="1"/>
  <c r="S2473" i="1" s="1"/>
  <c r="S2474" i="1" s="1"/>
  <c r="S2475" i="1" s="1"/>
  <c r="S2476" i="1" s="1"/>
  <c r="S2477" i="1" s="1"/>
  <c r="S2478" i="1" s="1"/>
  <c r="S2479" i="1" s="1"/>
  <c r="S2480" i="1" s="1"/>
  <c r="S2481" i="1" s="1"/>
  <c r="S2482" i="1" s="1"/>
  <c r="S2483" i="1" s="1"/>
  <c r="S2484" i="1" s="1"/>
  <c r="S2485" i="1" s="1"/>
  <c r="S2486" i="1" s="1"/>
  <c r="S2487" i="1" s="1"/>
  <c r="S2488" i="1" s="1"/>
  <c r="S2489" i="1" s="1"/>
  <c r="S2490" i="1" s="1"/>
  <c r="S2491" i="1" s="1"/>
  <c r="S2492" i="1" s="1"/>
  <c r="S2493" i="1" s="1"/>
  <c r="S2494" i="1" s="1"/>
  <c r="S2495" i="1" s="1"/>
  <c r="S2496" i="1" s="1"/>
  <c r="S2497" i="1" s="1"/>
  <c r="S2498" i="1" s="1"/>
  <c r="S2499" i="1" s="1"/>
  <c r="S2500" i="1" s="1"/>
  <c r="S2501" i="1" s="1"/>
  <c r="S2502" i="1" s="1"/>
  <c r="S2503" i="1" s="1"/>
  <c r="S2504" i="1" s="1"/>
  <c r="S2505" i="1" s="1"/>
  <c r="S2506" i="1" s="1"/>
  <c r="S2507" i="1" s="1"/>
  <c r="S2508" i="1" s="1"/>
  <c r="S2509" i="1" s="1"/>
  <c r="S2510" i="1" s="1"/>
  <c r="S2511" i="1" s="1"/>
  <c r="S2512" i="1" s="1"/>
  <c r="S2513" i="1" s="1"/>
  <c r="S2514" i="1" s="1"/>
  <c r="S2515" i="1" s="1"/>
  <c r="S2516" i="1" s="1"/>
  <c r="S2517" i="1" s="1"/>
  <c r="S2518" i="1" s="1"/>
  <c r="S2519" i="1" s="1"/>
  <c r="S2520" i="1" s="1"/>
  <c r="S2521" i="1" s="1"/>
  <c r="S2522" i="1" s="1"/>
  <c r="S2523" i="1" s="1"/>
  <c r="S2524" i="1" s="1"/>
  <c r="S2525" i="1" s="1"/>
  <c r="S2526" i="1" s="1"/>
  <c r="S2527" i="1" s="1"/>
  <c r="S2528" i="1" s="1"/>
  <c r="S2529" i="1" s="1"/>
  <c r="S2530" i="1" s="1"/>
  <c r="S2531" i="1" s="1"/>
  <c r="S2532" i="1" s="1"/>
  <c r="S2533" i="1" s="1"/>
  <c r="S2534" i="1" s="1"/>
  <c r="S2535" i="1" s="1"/>
  <c r="S2536" i="1" s="1"/>
  <c r="S2537" i="1" s="1"/>
  <c r="S2538" i="1" s="1"/>
  <c r="S2539" i="1" s="1"/>
  <c r="S2540" i="1" s="1"/>
  <c r="S2541" i="1" s="1"/>
  <c r="S2542" i="1" s="1"/>
  <c r="S2543" i="1" s="1"/>
  <c r="S2544" i="1" s="1"/>
  <c r="S2545" i="1" s="1"/>
  <c r="S2546" i="1" s="1"/>
  <c r="S2547" i="1" s="1"/>
  <c r="S2548" i="1" s="1"/>
  <c r="S2549" i="1" s="1"/>
  <c r="S2550" i="1" s="1"/>
  <c r="S2551" i="1" s="1"/>
  <c r="S2552" i="1" s="1"/>
  <c r="S2553" i="1" s="1"/>
  <c r="S2554" i="1" s="1"/>
  <c r="S2555" i="1" s="1"/>
  <c r="S2556" i="1" s="1"/>
  <c r="S2557" i="1" s="1"/>
  <c r="S2558" i="1" s="1"/>
  <c r="S2559" i="1" s="1"/>
  <c r="S2560" i="1" s="1"/>
  <c r="S2561" i="1" s="1"/>
  <c r="S2562" i="1" s="1"/>
  <c r="S2563" i="1" s="1"/>
  <c r="S2564" i="1" s="1"/>
  <c r="S2565" i="1" s="1"/>
  <c r="S2566" i="1" s="1"/>
  <c r="S2567" i="1" s="1"/>
  <c r="S2568" i="1" s="1"/>
  <c r="S2569" i="1" s="1"/>
  <c r="S2570" i="1" s="1"/>
  <c r="S2571" i="1" s="1"/>
  <c r="S2572" i="1" s="1"/>
  <c r="S2573" i="1" s="1"/>
  <c r="S2574" i="1" s="1"/>
  <c r="S2575" i="1" s="1"/>
  <c r="S2576" i="1" s="1"/>
  <c r="S2577" i="1" s="1"/>
  <c r="S2578" i="1" s="1"/>
  <c r="S2579" i="1" s="1"/>
  <c r="S2580" i="1" s="1"/>
  <c r="S2581" i="1" s="1"/>
  <c r="S2582" i="1" s="1"/>
  <c r="S2583" i="1" s="1"/>
  <c r="S2584" i="1" s="1"/>
  <c r="S2585" i="1" s="1"/>
  <c r="S2586" i="1" s="1"/>
  <c r="S2587" i="1" s="1"/>
  <c r="S2588" i="1" s="1"/>
  <c r="S2589" i="1" s="1"/>
  <c r="S2590" i="1" s="1"/>
  <c r="S2591" i="1" s="1"/>
  <c r="S2592" i="1" s="1"/>
  <c r="S2593" i="1" s="1"/>
  <c r="S2594" i="1" s="1"/>
  <c r="S2595" i="1" s="1"/>
  <c r="S2596" i="1" s="1"/>
  <c r="S2597" i="1" s="1"/>
  <c r="S2598" i="1" s="1"/>
  <c r="S2599" i="1" s="1"/>
  <c r="S2600" i="1" s="1"/>
  <c r="S2601" i="1" s="1"/>
  <c r="S2602" i="1" s="1"/>
  <c r="S2603" i="1" s="1"/>
  <c r="S2604" i="1" s="1"/>
  <c r="S2605" i="1" s="1"/>
  <c r="S2606" i="1" s="1"/>
  <c r="S2607" i="1" s="1"/>
  <c r="S2608" i="1" s="1"/>
  <c r="S2609" i="1" s="1"/>
  <c r="S2610" i="1" s="1"/>
  <c r="S2611" i="1" s="1"/>
  <c r="S2612" i="1" s="1"/>
  <c r="S2613" i="1" s="1"/>
  <c r="S2614" i="1" s="1"/>
  <c r="S2615" i="1" s="1"/>
  <c r="S2616" i="1" s="1"/>
  <c r="S2617" i="1" s="1"/>
  <c r="S2618" i="1" s="1"/>
  <c r="S2619" i="1" s="1"/>
  <c r="S2620" i="1" s="1"/>
  <c r="S2621" i="1" s="1"/>
  <c r="S2622" i="1" s="1"/>
  <c r="S2623" i="1" s="1"/>
  <c r="S2624" i="1" s="1"/>
  <c r="S2625" i="1" s="1"/>
  <c r="S2626" i="1" s="1"/>
  <c r="S2627" i="1" s="1"/>
  <c r="S2628" i="1" s="1"/>
  <c r="S2629" i="1" s="1"/>
  <c r="S2630" i="1" s="1"/>
  <c r="S2631" i="1" s="1"/>
  <c r="S2632" i="1" s="1"/>
  <c r="S2633" i="1" s="1"/>
  <c r="S2634" i="1" s="1"/>
  <c r="S2635" i="1" s="1"/>
  <c r="S2636" i="1" s="1"/>
  <c r="S2637" i="1" s="1"/>
  <c r="S2638" i="1" s="1"/>
  <c r="S2639" i="1" s="1"/>
  <c r="S2640" i="1" s="1"/>
  <c r="S2641" i="1" s="1"/>
  <c r="S2642" i="1" s="1"/>
  <c r="S2643" i="1" s="1"/>
  <c r="S2644" i="1" s="1"/>
  <c r="S2645" i="1" s="1"/>
  <c r="S2646" i="1" s="1"/>
  <c r="S2647" i="1" s="1"/>
  <c r="S2648" i="1" s="1"/>
  <c r="S2649" i="1" s="1"/>
  <c r="S2650" i="1" s="1"/>
  <c r="S2651" i="1" s="1"/>
  <c r="S2652" i="1" s="1"/>
  <c r="S2653" i="1" s="1"/>
  <c r="S2654" i="1" s="1"/>
  <c r="S2655" i="1" s="1"/>
  <c r="S2656" i="1" s="1"/>
  <c r="S2657" i="1" s="1"/>
  <c r="S2658" i="1" s="1"/>
  <c r="S2659" i="1" s="1"/>
  <c r="S2660" i="1" s="1"/>
  <c r="S2661" i="1" s="1"/>
  <c r="S2662" i="1" s="1"/>
  <c r="S2663" i="1" s="1"/>
  <c r="S2664" i="1" s="1"/>
  <c r="S2665" i="1" s="1"/>
  <c r="S2666" i="1" s="1"/>
  <c r="S2667" i="1" s="1"/>
  <c r="S2668" i="1" s="1"/>
  <c r="S2669" i="1" s="1"/>
  <c r="S2670" i="1" s="1"/>
  <c r="S2671" i="1" s="1"/>
  <c r="S2672" i="1" s="1"/>
  <c r="S2673" i="1" s="1"/>
  <c r="S2674" i="1" s="1"/>
  <c r="S2675" i="1" s="1"/>
  <c r="S2676" i="1" s="1"/>
  <c r="S2677" i="1" s="1"/>
  <c r="S2678" i="1" s="1"/>
  <c r="S2679" i="1" s="1"/>
  <c r="S2680" i="1" s="1"/>
  <c r="S2681" i="1" s="1"/>
  <c r="S2682" i="1" s="1"/>
  <c r="S2683" i="1" s="1"/>
  <c r="S2684" i="1" s="1"/>
  <c r="S2685" i="1" s="1"/>
  <c r="S2686" i="1" s="1"/>
  <c r="S2687" i="1" s="1"/>
  <c r="S2688" i="1" s="1"/>
  <c r="S2689" i="1" s="1"/>
  <c r="S2690" i="1" s="1"/>
  <c r="S2691" i="1" s="1"/>
  <c r="S2692" i="1" s="1"/>
  <c r="S2693" i="1" s="1"/>
  <c r="S2694" i="1" s="1"/>
  <c r="S2695" i="1" s="1"/>
  <c r="S2696" i="1" s="1"/>
  <c r="S2697" i="1" s="1"/>
  <c r="S2698" i="1" s="1"/>
  <c r="S2699" i="1" s="1"/>
  <c r="S2700" i="1" s="1"/>
  <c r="S2701" i="1" s="1"/>
  <c r="S2702" i="1" s="1"/>
  <c r="S2703" i="1" s="1"/>
  <c r="S2704" i="1" s="1"/>
  <c r="S2705" i="1" s="1"/>
  <c r="S2706" i="1" s="1"/>
  <c r="S2707" i="1" s="1"/>
  <c r="S2708" i="1" s="1"/>
  <c r="S2709" i="1" s="1"/>
  <c r="S2710" i="1" s="1"/>
  <c r="S2711" i="1" s="1"/>
  <c r="S2712" i="1" s="1"/>
  <c r="S2713" i="1" s="1"/>
  <c r="S2714" i="1" s="1"/>
  <c r="S2715" i="1" s="1"/>
  <c r="S2716" i="1" s="1"/>
  <c r="S2717" i="1" s="1"/>
  <c r="S2718" i="1" s="1"/>
  <c r="S2719" i="1" s="1"/>
  <c r="S2720" i="1" s="1"/>
  <c r="S2721" i="1" s="1"/>
  <c r="S2722" i="1" s="1"/>
  <c r="S2723" i="1" s="1"/>
  <c r="S2724" i="1" s="1"/>
  <c r="S2725" i="1" s="1"/>
  <c r="S2726" i="1" s="1"/>
  <c r="S2727" i="1" s="1"/>
  <c r="S2728" i="1" s="1"/>
  <c r="S2729" i="1" s="1"/>
  <c r="S2730" i="1" s="1"/>
  <c r="S2731" i="1" s="1"/>
  <c r="S2732" i="1" s="1"/>
  <c r="S2733" i="1" s="1"/>
  <c r="S2734" i="1" s="1"/>
  <c r="S2735" i="1" s="1"/>
  <c r="S2736" i="1" s="1"/>
  <c r="S2737" i="1" s="1"/>
  <c r="S2738" i="1" s="1"/>
  <c r="S2739" i="1" s="1"/>
  <c r="S2740" i="1" s="1"/>
  <c r="S2741" i="1" s="1"/>
  <c r="S2742" i="1" s="1"/>
  <c r="S2743" i="1" s="1"/>
  <c r="S2744" i="1" s="1"/>
  <c r="S2745" i="1" s="1"/>
  <c r="S2746" i="1" s="1"/>
  <c r="S2747" i="1" s="1"/>
  <c r="S2748" i="1" s="1"/>
  <c r="S2749" i="1" s="1"/>
  <c r="S2750" i="1" s="1"/>
  <c r="S2751" i="1" s="1"/>
  <c r="S2752" i="1" s="1"/>
  <c r="S2753" i="1" s="1"/>
  <c r="S2754" i="1" s="1"/>
  <c r="S2755" i="1" s="1"/>
  <c r="S2756" i="1" s="1"/>
  <c r="S2757" i="1" s="1"/>
  <c r="S2758" i="1" s="1"/>
  <c r="S2759" i="1" s="1"/>
  <c r="S2760" i="1" s="1"/>
  <c r="S2761" i="1" s="1"/>
  <c r="S2762" i="1" s="1"/>
  <c r="S2763" i="1" s="1"/>
  <c r="S2764" i="1" s="1"/>
  <c r="S2765" i="1" s="1"/>
  <c r="S2766" i="1" s="1"/>
  <c r="S2767" i="1" s="1"/>
  <c r="S2768" i="1" s="1"/>
  <c r="S2769" i="1" s="1"/>
  <c r="S2770" i="1" s="1"/>
  <c r="S2771" i="1" s="1"/>
  <c r="S2772" i="1" s="1"/>
  <c r="S2773" i="1" s="1"/>
  <c r="S2774" i="1" s="1"/>
  <c r="S2775" i="1" s="1"/>
  <c r="S2776" i="1" s="1"/>
  <c r="S2777" i="1" s="1"/>
  <c r="S2778" i="1" s="1"/>
  <c r="S2779" i="1" s="1"/>
  <c r="S2780" i="1" s="1"/>
  <c r="S2781" i="1" s="1"/>
  <c r="S2782" i="1" s="1"/>
  <c r="S2783" i="1" s="1"/>
  <c r="S2784" i="1" s="1"/>
  <c r="S2785" i="1" s="1"/>
  <c r="S2786" i="1" s="1"/>
  <c r="S2787" i="1" s="1"/>
  <c r="S2788" i="1" s="1"/>
  <c r="S2789" i="1" s="1"/>
  <c r="S2790" i="1" s="1"/>
  <c r="S2791" i="1" s="1"/>
  <c r="S2792" i="1" s="1"/>
  <c r="S2793" i="1" s="1"/>
  <c r="S2794" i="1" s="1"/>
  <c r="S2795" i="1" s="1"/>
  <c r="S2796" i="1" s="1"/>
  <c r="S2797" i="1" s="1"/>
  <c r="S2798" i="1" s="1"/>
  <c r="S2799" i="1" s="1"/>
  <c r="S2800" i="1" s="1"/>
  <c r="S2801" i="1" s="1"/>
  <c r="S2802" i="1" s="1"/>
  <c r="S2803" i="1" s="1"/>
  <c r="S2804" i="1" s="1"/>
  <c r="S2805" i="1" s="1"/>
  <c r="S2806" i="1" s="1"/>
  <c r="S2807" i="1" s="1"/>
  <c r="S2808" i="1" s="1"/>
  <c r="S2809" i="1" s="1"/>
  <c r="S2810" i="1" s="1"/>
  <c r="S2811" i="1" s="1"/>
  <c r="S2812" i="1" s="1"/>
  <c r="S2813" i="1" s="1"/>
  <c r="S2814" i="1" s="1"/>
  <c r="S2815" i="1" s="1"/>
  <c r="S2816" i="1" s="1"/>
  <c r="S2817" i="1" s="1"/>
  <c r="S2818" i="1" s="1"/>
  <c r="S2819" i="1" s="1"/>
  <c r="S2820" i="1" s="1"/>
  <c r="S2821" i="1" s="1"/>
  <c r="S2822" i="1" s="1"/>
  <c r="S2823" i="1" s="1"/>
  <c r="S2824" i="1" s="1"/>
  <c r="S2825" i="1" s="1"/>
  <c r="S2826" i="1" s="1"/>
  <c r="S2827" i="1" s="1"/>
  <c r="S2828" i="1" s="1"/>
  <c r="S2829" i="1" s="1"/>
  <c r="S2830" i="1" s="1"/>
  <c r="S2831" i="1" s="1"/>
  <c r="S2832" i="1" s="1"/>
  <c r="S2833" i="1" s="1"/>
  <c r="S2834" i="1" s="1"/>
  <c r="S2835" i="1" s="1"/>
  <c r="S2836" i="1" s="1"/>
  <c r="S2837" i="1" s="1"/>
  <c r="S2838" i="1" s="1"/>
  <c r="S2839" i="1" s="1"/>
  <c r="S2840" i="1" s="1"/>
  <c r="S2841" i="1" s="1"/>
  <c r="S2842" i="1" s="1"/>
  <c r="S2843" i="1" s="1"/>
  <c r="S2844" i="1" s="1"/>
  <c r="S2845" i="1" s="1"/>
  <c r="S2846" i="1" s="1"/>
  <c r="S2847" i="1" s="1"/>
  <c r="S2848" i="1" s="1"/>
  <c r="S2849" i="1" s="1"/>
  <c r="S2850" i="1" s="1"/>
  <c r="S2851" i="1" s="1"/>
  <c r="S2852" i="1" s="1"/>
  <c r="S2853" i="1" s="1"/>
  <c r="S2854" i="1" s="1"/>
  <c r="S2855" i="1" s="1"/>
  <c r="S2856" i="1" s="1"/>
  <c r="S2857" i="1" s="1"/>
  <c r="S2858" i="1" s="1"/>
  <c r="S2859" i="1" s="1"/>
  <c r="S2860" i="1" s="1"/>
  <c r="S2861" i="1" s="1"/>
  <c r="S2862" i="1" s="1"/>
  <c r="S2863" i="1" s="1"/>
  <c r="S2864" i="1" s="1"/>
  <c r="S2865" i="1" s="1"/>
  <c r="S2866" i="1" s="1"/>
  <c r="S2867" i="1" s="1"/>
  <c r="S2868" i="1" s="1"/>
  <c r="S2869" i="1" s="1"/>
  <c r="S2870" i="1" s="1"/>
  <c r="S2871" i="1" s="1"/>
  <c r="S2872" i="1" s="1"/>
  <c r="S2873" i="1" s="1"/>
  <c r="S2874" i="1" s="1"/>
  <c r="S2875" i="1" s="1"/>
  <c r="S2876" i="1" s="1"/>
  <c r="S2877" i="1" s="1"/>
  <c r="S2878" i="1" s="1"/>
  <c r="S2879" i="1" s="1"/>
  <c r="S2880" i="1" s="1"/>
  <c r="S2881" i="1" s="1"/>
  <c r="S2882" i="1" s="1"/>
  <c r="S2883" i="1" s="1"/>
  <c r="S2884" i="1" s="1"/>
  <c r="S2885" i="1" s="1"/>
  <c r="S2886" i="1" s="1"/>
  <c r="S2887" i="1" s="1"/>
  <c r="S2888" i="1" s="1"/>
  <c r="S2889" i="1" s="1"/>
  <c r="S2890" i="1" s="1"/>
  <c r="S2891" i="1" s="1"/>
  <c r="S2892" i="1" s="1"/>
  <c r="S2893" i="1" s="1"/>
  <c r="S2894" i="1" s="1"/>
  <c r="S2895" i="1" s="1"/>
  <c r="S2896" i="1" s="1"/>
  <c r="S2897" i="1" s="1"/>
  <c r="S2898" i="1" s="1"/>
  <c r="S2899" i="1" s="1"/>
  <c r="S2900" i="1" s="1"/>
  <c r="S2901" i="1" s="1"/>
  <c r="S2902" i="1" s="1"/>
  <c r="S2903" i="1" s="1"/>
  <c r="S2904" i="1" s="1"/>
  <c r="S2905" i="1" s="1"/>
  <c r="S2906" i="1" s="1"/>
  <c r="S2907" i="1" s="1"/>
  <c r="S2908" i="1" s="1"/>
  <c r="S2909" i="1" s="1"/>
  <c r="S2910" i="1" s="1"/>
  <c r="S2911" i="1" s="1"/>
  <c r="S2912" i="1" s="1"/>
  <c r="S2913" i="1" s="1"/>
  <c r="S2914" i="1" s="1"/>
  <c r="S2915" i="1" s="1"/>
  <c r="S2916" i="1" s="1"/>
  <c r="S2917" i="1" s="1"/>
  <c r="S2918" i="1" s="1"/>
  <c r="S2919" i="1" s="1"/>
  <c r="S2920" i="1" s="1"/>
  <c r="S2921" i="1" s="1"/>
  <c r="S2922" i="1" s="1"/>
  <c r="S2923" i="1" s="1"/>
  <c r="S2924" i="1" s="1"/>
  <c r="S2925" i="1" s="1"/>
  <c r="S2926" i="1" s="1"/>
  <c r="S2927" i="1" s="1"/>
  <c r="S2928" i="1" s="1"/>
  <c r="S2929" i="1" s="1"/>
  <c r="S2930" i="1" s="1"/>
  <c r="S2931" i="1" s="1"/>
  <c r="S2932" i="1" s="1"/>
  <c r="S2933" i="1" s="1"/>
  <c r="S2934" i="1" s="1"/>
  <c r="S2935" i="1" s="1"/>
  <c r="S2936" i="1" s="1"/>
  <c r="S2937" i="1" s="1"/>
  <c r="S2938" i="1" s="1"/>
  <c r="S2939" i="1" s="1"/>
  <c r="S2940" i="1" s="1"/>
  <c r="S2941" i="1" s="1"/>
  <c r="S2942" i="1" s="1"/>
  <c r="S2943" i="1" s="1"/>
  <c r="S2944" i="1" s="1"/>
  <c r="S2945" i="1" s="1"/>
  <c r="S2946" i="1" s="1"/>
  <c r="S2947" i="1" s="1"/>
  <c r="S2948" i="1" s="1"/>
  <c r="S2949" i="1" s="1"/>
  <c r="S2950" i="1" s="1"/>
  <c r="S2951" i="1" s="1"/>
  <c r="S2952" i="1" s="1"/>
  <c r="S2953" i="1" s="1"/>
  <c r="S2954" i="1" s="1"/>
  <c r="S2955" i="1" s="1"/>
  <c r="S2956" i="1" s="1"/>
  <c r="S2957" i="1" s="1"/>
  <c r="S2958" i="1" s="1"/>
  <c r="S2959" i="1" s="1"/>
  <c r="S2960" i="1" s="1"/>
  <c r="S2961" i="1" s="1"/>
  <c r="S2962" i="1" s="1"/>
  <c r="S2963" i="1" s="1"/>
  <c r="S2964" i="1" s="1"/>
  <c r="S2965" i="1" s="1"/>
  <c r="S2966" i="1" s="1"/>
  <c r="S2967" i="1" s="1"/>
  <c r="S2968" i="1" s="1"/>
  <c r="S2969" i="1" s="1"/>
  <c r="S2970" i="1" s="1"/>
  <c r="S2971" i="1" s="1"/>
  <c r="S2972" i="1" s="1"/>
  <c r="S2973" i="1" s="1"/>
  <c r="S2974" i="1" s="1"/>
  <c r="S2975" i="1" s="1"/>
  <c r="S2976" i="1" s="1"/>
  <c r="S2977" i="1" s="1"/>
  <c r="S2978" i="1" s="1"/>
  <c r="S2979" i="1" s="1"/>
  <c r="S2980" i="1" s="1"/>
  <c r="S2981" i="1" s="1"/>
  <c r="S2982" i="1" s="1"/>
  <c r="S2983" i="1" s="1"/>
  <c r="S2984" i="1" s="1"/>
  <c r="S2985" i="1" s="1"/>
  <c r="S2986" i="1" s="1"/>
  <c r="S2987" i="1" s="1"/>
  <c r="S2988" i="1" s="1"/>
  <c r="S2989" i="1" s="1"/>
  <c r="S2990" i="1" s="1"/>
  <c r="S2991" i="1" s="1"/>
  <c r="S2992" i="1" s="1"/>
  <c r="S2993" i="1" s="1"/>
  <c r="S2994" i="1" s="1"/>
  <c r="S2995" i="1" s="1"/>
  <c r="S2996" i="1" s="1"/>
  <c r="S2997" i="1" s="1"/>
  <c r="S2998" i="1" s="1"/>
  <c r="S2999" i="1" s="1"/>
  <c r="S3000" i="1" s="1"/>
  <c r="S3001" i="1" s="1"/>
  <c r="S3002" i="1" s="1"/>
  <c r="S3003" i="1" s="1"/>
  <c r="S3004" i="1" s="1"/>
  <c r="S3005" i="1" s="1"/>
  <c r="S3006" i="1" s="1"/>
  <c r="S3007" i="1" s="1"/>
  <c r="S3008" i="1" s="1"/>
  <c r="S3009" i="1" s="1"/>
  <c r="S3010" i="1" s="1"/>
  <c r="S3011" i="1" s="1"/>
  <c r="S3012" i="1" s="1"/>
  <c r="S3013" i="1" s="1"/>
  <c r="S3014" i="1" s="1"/>
  <c r="S3015" i="1" s="1"/>
  <c r="S3016" i="1" s="1"/>
  <c r="S3017" i="1" s="1"/>
  <c r="S3018" i="1" s="1"/>
  <c r="S3019" i="1" s="1"/>
  <c r="S3020" i="1" s="1"/>
  <c r="S3021" i="1" s="1"/>
  <c r="S3022" i="1" s="1"/>
  <c r="S3023" i="1" s="1"/>
  <c r="S3024" i="1" s="1"/>
  <c r="S3025" i="1" s="1"/>
  <c r="S3026" i="1" s="1"/>
  <c r="S3027" i="1" s="1"/>
  <c r="S3028" i="1" s="1"/>
  <c r="S3029" i="1" s="1"/>
  <c r="S3030" i="1" s="1"/>
  <c r="S3031" i="1" s="1"/>
  <c r="S3032" i="1" s="1"/>
  <c r="S3033" i="1" s="1"/>
  <c r="S3034" i="1" s="1"/>
  <c r="S3035" i="1" s="1"/>
  <c r="S3036" i="1" s="1"/>
  <c r="S3037" i="1" s="1"/>
  <c r="S3038" i="1" s="1"/>
  <c r="S3039" i="1" s="1"/>
  <c r="S3040" i="1" s="1"/>
  <c r="S3041" i="1" s="1"/>
  <c r="S3042" i="1" s="1"/>
  <c r="S3043" i="1" s="1"/>
  <c r="S3044" i="1" s="1"/>
  <c r="S3045" i="1" s="1"/>
  <c r="S3046" i="1" s="1"/>
  <c r="S3047" i="1" s="1"/>
  <c r="S3048" i="1" s="1"/>
  <c r="S3049" i="1" s="1"/>
  <c r="S3050" i="1" s="1"/>
  <c r="S3051" i="1" s="1"/>
  <c r="S3052" i="1" s="1"/>
  <c r="S3053" i="1" s="1"/>
  <c r="S3054" i="1" s="1"/>
  <c r="S3055" i="1" s="1"/>
  <c r="S3056" i="1" s="1"/>
  <c r="S3057" i="1" s="1"/>
  <c r="S3058" i="1" s="1"/>
  <c r="S3059" i="1" s="1"/>
  <c r="S3060" i="1" s="1"/>
  <c r="S3061" i="1" s="1"/>
  <c r="S3062" i="1" s="1"/>
  <c r="S3063" i="1" s="1"/>
  <c r="S3064" i="1" s="1"/>
  <c r="S3065" i="1" s="1"/>
  <c r="S3066" i="1" s="1"/>
  <c r="S3067" i="1" s="1"/>
  <c r="S3068" i="1" s="1"/>
  <c r="S3069" i="1" s="1"/>
  <c r="S3070" i="1" s="1"/>
  <c r="S3071" i="1" s="1"/>
  <c r="S3072" i="1" s="1"/>
  <c r="S3073" i="1" s="1"/>
  <c r="S3074" i="1" s="1"/>
  <c r="S3075" i="1" s="1"/>
  <c r="S3076" i="1" s="1"/>
  <c r="S3077" i="1" s="1"/>
  <c r="S3078" i="1" s="1"/>
  <c r="S3079" i="1" s="1"/>
  <c r="S3080" i="1" s="1"/>
  <c r="S3081" i="1" s="1"/>
  <c r="S3082" i="1" s="1"/>
  <c r="S3083" i="1" s="1"/>
  <c r="S3084" i="1" s="1"/>
  <c r="S3085" i="1" s="1"/>
  <c r="S3086" i="1" s="1"/>
  <c r="S3087" i="1" s="1"/>
  <c r="S3088" i="1" s="1"/>
  <c r="S3089" i="1" s="1"/>
  <c r="S3090" i="1" s="1"/>
  <c r="S3091" i="1" s="1"/>
  <c r="S3092" i="1" s="1"/>
  <c r="S3093" i="1" s="1"/>
  <c r="S3094" i="1" s="1"/>
  <c r="S3095" i="1" s="1"/>
  <c r="S3096" i="1" s="1"/>
  <c r="S3097" i="1" s="1"/>
  <c r="S3098" i="1" s="1"/>
  <c r="S3099" i="1" s="1"/>
  <c r="S3100" i="1" s="1"/>
  <c r="S3101" i="1" s="1"/>
  <c r="S3102" i="1" s="1"/>
  <c r="S3103" i="1" s="1"/>
  <c r="S3104" i="1" s="1"/>
  <c r="S3105" i="1" s="1"/>
  <c r="S3106" i="1" s="1"/>
  <c r="S3107" i="1" s="1"/>
  <c r="S3108" i="1" s="1"/>
  <c r="S3109" i="1" s="1"/>
  <c r="S3110" i="1" s="1"/>
  <c r="S3111" i="1" s="1"/>
  <c r="S3112" i="1" s="1"/>
  <c r="S3113" i="1" s="1"/>
  <c r="S3114" i="1" s="1"/>
  <c r="S3115" i="1" s="1"/>
  <c r="S3116" i="1" s="1"/>
  <c r="S3117" i="1" s="1"/>
  <c r="S3118" i="1" s="1"/>
  <c r="S3119" i="1" s="1"/>
  <c r="S3120" i="1" s="1"/>
  <c r="S3121" i="1" s="1"/>
  <c r="S3122" i="1" s="1"/>
  <c r="S3123" i="1" s="1"/>
  <c r="S3124" i="1" s="1"/>
  <c r="S3125" i="1" s="1"/>
  <c r="S3126" i="1" s="1"/>
  <c r="S3127" i="1" s="1"/>
  <c r="S3128" i="1" s="1"/>
  <c r="S3129" i="1" s="1"/>
  <c r="S3130" i="1" s="1"/>
  <c r="S3131" i="1" s="1"/>
  <c r="S3132" i="1" s="1"/>
  <c r="S3133" i="1" s="1"/>
  <c r="S3134" i="1" s="1"/>
  <c r="S3135" i="1" s="1"/>
  <c r="S3136" i="1" s="1"/>
  <c r="S3137" i="1" s="1"/>
  <c r="S3138" i="1" s="1"/>
  <c r="S3139" i="1" s="1"/>
  <c r="S3140" i="1" s="1"/>
  <c r="S3141" i="1" s="1"/>
  <c r="S3142" i="1" s="1"/>
  <c r="S3143" i="1" s="1"/>
  <c r="S3144" i="1" s="1"/>
  <c r="S3145" i="1" s="1"/>
  <c r="S3146" i="1" s="1"/>
  <c r="S3147" i="1" s="1"/>
  <c r="S3148" i="1" s="1"/>
  <c r="S3149" i="1" s="1"/>
  <c r="S3150" i="1" s="1"/>
  <c r="S3151" i="1" s="1"/>
  <c r="S3152" i="1" s="1"/>
  <c r="S3153" i="1" s="1"/>
  <c r="S3154" i="1" s="1"/>
  <c r="S3155" i="1" s="1"/>
  <c r="S3156" i="1" s="1"/>
  <c r="S3157" i="1" s="1"/>
  <c r="S3158" i="1" s="1"/>
  <c r="S3159" i="1" s="1"/>
  <c r="S3160" i="1" s="1"/>
  <c r="S3161" i="1" s="1"/>
  <c r="S3162" i="1" s="1"/>
  <c r="S3163" i="1" s="1"/>
  <c r="S3164" i="1" s="1"/>
  <c r="S3165" i="1" s="1"/>
  <c r="S3166" i="1" s="1"/>
  <c r="S3167" i="1" s="1"/>
  <c r="S3168" i="1" s="1"/>
  <c r="S3169" i="1" s="1"/>
  <c r="S3170" i="1" s="1"/>
  <c r="S3171" i="1" s="1"/>
  <c r="S3172" i="1" s="1"/>
  <c r="S3173" i="1" s="1"/>
  <c r="S3174" i="1" s="1"/>
  <c r="S3175" i="1" s="1"/>
  <c r="S3176" i="1" s="1"/>
  <c r="S3177" i="1" s="1"/>
  <c r="S3178" i="1" s="1"/>
  <c r="S3179" i="1" s="1"/>
  <c r="S3180" i="1" s="1"/>
  <c r="S3181" i="1" s="1"/>
  <c r="S3182" i="1" s="1"/>
  <c r="S3183" i="1" s="1"/>
  <c r="S3184" i="1" s="1"/>
  <c r="S3185" i="1" s="1"/>
  <c r="S3186" i="1" s="1"/>
  <c r="S3187" i="1" s="1"/>
  <c r="S3188" i="1" s="1"/>
  <c r="S3189" i="1" s="1"/>
  <c r="S3190" i="1" s="1"/>
  <c r="S3191" i="1" s="1"/>
  <c r="S3192" i="1" s="1"/>
  <c r="S3193" i="1" s="1"/>
  <c r="S3194" i="1" s="1"/>
  <c r="S3195" i="1" s="1"/>
  <c r="S3196" i="1" s="1"/>
  <c r="S3197" i="1" s="1"/>
  <c r="S3198" i="1" s="1"/>
  <c r="S3199" i="1" s="1"/>
  <c r="S3200" i="1" s="1"/>
  <c r="S3201" i="1" s="1"/>
  <c r="S3202" i="1" s="1"/>
  <c r="S3203" i="1" s="1"/>
  <c r="S3204" i="1" s="1"/>
  <c r="S3205" i="1" s="1"/>
  <c r="S3206" i="1" s="1"/>
  <c r="S3207" i="1" s="1"/>
  <c r="S3208" i="1" s="1"/>
  <c r="S3209" i="1" s="1"/>
  <c r="S3210" i="1" s="1"/>
  <c r="S3211" i="1" s="1"/>
  <c r="S3212" i="1" s="1"/>
  <c r="S3213" i="1" s="1"/>
  <c r="S3214" i="1" s="1"/>
  <c r="S3215" i="1" s="1"/>
  <c r="S3216" i="1" s="1"/>
  <c r="S3217" i="1" s="1"/>
  <c r="S3218" i="1" s="1"/>
  <c r="S3219" i="1" s="1"/>
  <c r="S3220" i="1" s="1"/>
  <c r="S3221" i="1" s="1"/>
  <c r="S3222" i="1" s="1"/>
  <c r="S3223" i="1" s="1"/>
  <c r="S3224" i="1" s="1"/>
  <c r="S3225" i="1" s="1"/>
  <c r="S3226" i="1" s="1"/>
  <c r="S3227" i="1" s="1"/>
  <c r="S3228" i="1" s="1"/>
  <c r="S3229" i="1" s="1"/>
  <c r="S3230" i="1" s="1"/>
  <c r="S3231" i="1" s="1"/>
  <c r="S3232" i="1" s="1"/>
  <c r="S3233" i="1" s="1"/>
  <c r="S3234" i="1" s="1"/>
  <c r="S3235" i="1" s="1"/>
  <c r="S3236" i="1" s="1"/>
  <c r="S3237" i="1" s="1"/>
  <c r="S3238" i="1" s="1"/>
  <c r="S3239" i="1" s="1"/>
  <c r="S3240" i="1" s="1"/>
  <c r="S3241" i="1" s="1"/>
  <c r="S3242" i="1" s="1"/>
  <c r="S3243" i="1" s="1"/>
  <c r="S3244" i="1" s="1"/>
  <c r="S3245" i="1" s="1"/>
  <c r="S3246" i="1" s="1"/>
  <c r="S3247" i="1" s="1"/>
  <c r="S3248" i="1" s="1"/>
  <c r="S3249" i="1" s="1"/>
  <c r="S3250" i="1" s="1"/>
  <c r="S3251" i="1" s="1"/>
  <c r="S3252" i="1" s="1"/>
  <c r="S3253" i="1" s="1"/>
  <c r="S3254" i="1" s="1"/>
  <c r="S3255" i="1" s="1"/>
  <c r="S3256" i="1" s="1"/>
  <c r="S3257" i="1" s="1"/>
  <c r="S3258" i="1" s="1"/>
  <c r="S3259" i="1" s="1"/>
  <c r="S3260" i="1" s="1"/>
  <c r="S3261" i="1" s="1"/>
  <c r="S3262" i="1" s="1"/>
  <c r="S3263" i="1" s="1"/>
  <c r="S3264" i="1" s="1"/>
  <c r="S3265" i="1" s="1"/>
  <c r="S3266" i="1" s="1"/>
  <c r="S3267" i="1" s="1"/>
  <c r="S3268" i="1" s="1"/>
  <c r="S3269" i="1" s="1"/>
  <c r="S3270" i="1" s="1"/>
  <c r="S3271" i="1" s="1"/>
  <c r="S3272" i="1" s="1"/>
  <c r="S3273" i="1" s="1"/>
  <c r="S3274" i="1" s="1"/>
  <c r="S3275" i="1" s="1"/>
  <c r="S3276" i="1" s="1"/>
  <c r="S3277" i="1" s="1"/>
  <c r="S3278" i="1" s="1"/>
  <c r="S3279" i="1" s="1"/>
  <c r="S3280" i="1" s="1"/>
  <c r="S3281" i="1" s="1"/>
  <c r="S3282" i="1" s="1"/>
  <c r="S3283" i="1" s="1"/>
  <c r="S3284" i="1" s="1"/>
  <c r="S3285" i="1" s="1"/>
  <c r="S3286" i="1" s="1"/>
  <c r="S3287" i="1" s="1"/>
  <c r="S3288" i="1" s="1"/>
  <c r="S3289" i="1" s="1"/>
  <c r="S3290" i="1" s="1"/>
  <c r="S3291" i="1" s="1"/>
  <c r="S3292" i="1" s="1"/>
  <c r="S3293" i="1" s="1"/>
  <c r="S3294" i="1" s="1"/>
  <c r="S3295" i="1" s="1"/>
  <c r="S3296" i="1" s="1"/>
  <c r="S3297" i="1" s="1"/>
  <c r="S3298" i="1" s="1"/>
  <c r="S3299" i="1" s="1"/>
  <c r="S3300" i="1" s="1"/>
  <c r="S3301" i="1" s="1"/>
  <c r="S3302" i="1" s="1"/>
  <c r="S3303" i="1" s="1"/>
  <c r="S3304" i="1" s="1"/>
  <c r="S3305" i="1" s="1"/>
  <c r="S3306" i="1" s="1"/>
  <c r="S3307" i="1" s="1"/>
  <c r="S3308" i="1" s="1"/>
  <c r="S3309" i="1" s="1"/>
  <c r="S3310" i="1" s="1"/>
  <c r="S3311" i="1" s="1"/>
  <c r="S3312" i="1" s="1"/>
  <c r="S3313" i="1" s="1"/>
  <c r="S3314" i="1" s="1"/>
  <c r="S3315" i="1" s="1"/>
  <c r="S3316" i="1" s="1"/>
  <c r="S3317" i="1" s="1"/>
  <c r="S3318" i="1" s="1"/>
  <c r="S3319" i="1" s="1"/>
  <c r="S3320" i="1" s="1"/>
  <c r="S3321" i="1" s="1"/>
  <c r="S3322" i="1" s="1"/>
  <c r="S3323" i="1" s="1"/>
  <c r="S3324" i="1" s="1"/>
  <c r="S3325" i="1" s="1"/>
  <c r="S3326" i="1" s="1"/>
  <c r="S3327" i="1" s="1"/>
  <c r="S3328" i="1" s="1"/>
  <c r="S3329" i="1" s="1"/>
  <c r="S3330" i="1" s="1"/>
  <c r="S3331" i="1" s="1"/>
  <c r="S3332" i="1" s="1"/>
  <c r="S3333" i="1" s="1"/>
  <c r="S3334" i="1" s="1"/>
  <c r="S3335" i="1" s="1"/>
  <c r="S3336" i="1" s="1"/>
  <c r="S3337" i="1" s="1"/>
  <c r="S3338" i="1" s="1"/>
  <c r="S3339" i="1" s="1"/>
  <c r="S3340" i="1" s="1"/>
  <c r="S3341" i="1" s="1"/>
  <c r="S3342" i="1" s="1"/>
  <c r="S3343" i="1" s="1"/>
  <c r="S3344" i="1" s="1"/>
  <c r="S3345" i="1" s="1"/>
  <c r="S3346" i="1" s="1"/>
  <c r="S3347" i="1" s="1"/>
  <c r="S3348" i="1" s="1"/>
  <c r="S3349" i="1" s="1"/>
  <c r="S3350" i="1" s="1"/>
  <c r="S3351" i="1" s="1"/>
  <c r="S3352" i="1" s="1"/>
  <c r="S3353" i="1" s="1"/>
  <c r="S3354" i="1" s="1"/>
  <c r="S3355" i="1" s="1"/>
  <c r="S3356" i="1" s="1"/>
  <c r="S3357" i="1" s="1"/>
  <c r="S3358" i="1" s="1"/>
  <c r="S3359" i="1" s="1"/>
  <c r="S3360" i="1" s="1"/>
  <c r="S3361" i="1" s="1"/>
  <c r="S3362" i="1" s="1"/>
  <c r="S3363" i="1" s="1"/>
  <c r="S3364" i="1" s="1"/>
  <c r="S3365" i="1" s="1"/>
  <c r="S3366" i="1" s="1"/>
  <c r="S3367" i="1" s="1"/>
  <c r="S3368" i="1" s="1"/>
  <c r="S3369" i="1" s="1"/>
  <c r="S3370" i="1" s="1"/>
  <c r="S3371" i="1" s="1"/>
  <c r="S3372" i="1" s="1"/>
  <c r="S3373" i="1" s="1"/>
  <c r="S3374" i="1" s="1"/>
  <c r="S3375" i="1" s="1"/>
  <c r="S3376" i="1" s="1"/>
  <c r="S3377" i="1" s="1"/>
  <c r="S3378" i="1" s="1"/>
  <c r="S3379" i="1" s="1"/>
  <c r="S3380" i="1" s="1"/>
  <c r="S3381" i="1" s="1"/>
  <c r="S3382" i="1" s="1"/>
  <c r="S3383" i="1" s="1"/>
  <c r="S3384" i="1" s="1"/>
  <c r="S3385" i="1" s="1"/>
  <c r="S3386" i="1" s="1"/>
  <c r="S3387" i="1" s="1"/>
  <c r="S3388" i="1" s="1"/>
  <c r="S3389" i="1" s="1"/>
  <c r="S3390" i="1" s="1"/>
  <c r="S3391" i="1" s="1"/>
  <c r="S3392" i="1" s="1"/>
  <c r="S3393" i="1" s="1"/>
  <c r="S3394" i="1" s="1"/>
  <c r="S3395" i="1" s="1"/>
  <c r="S3396" i="1" s="1"/>
  <c r="S3397" i="1" s="1"/>
  <c r="S3398" i="1" s="1"/>
  <c r="S3399" i="1" s="1"/>
  <c r="S3400" i="1" s="1"/>
  <c r="S3401" i="1" s="1"/>
  <c r="S3402" i="1" s="1"/>
  <c r="S3403" i="1" s="1"/>
  <c r="S3404" i="1" s="1"/>
  <c r="S3405" i="1" s="1"/>
  <c r="S3406" i="1" s="1"/>
  <c r="S3407" i="1" s="1"/>
  <c r="S3408" i="1" s="1"/>
  <c r="S3409" i="1" s="1"/>
  <c r="S3410" i="1" s="1"/>
  <c r="S3411" i="1" s="1"/>
  <c r="S3412" i="1" s="1"/>
  <c r="S3413" i="1" s="1"/>
  <c r="S3414" i="1" s="1"/>
  <c r="S3415" i="1" s="1"/>
  <c r="S3416" i="1" s="1"/>
  <c r="S3417" i="1" s="1"/>
  <c r="S3418" i="1" s="1"/>
  <c r="S3419" i="1" s="1"/>
  <c r="S3420" i="1" s="1"/>
  <c r="S3421" i="1" s="1"/>
  <c r="S3422" i="1" s="1"/>
  <c r="S3423" i="1" s="1"/>
  <c r="S3424" i="1" s="1"/>
  <c r="S3425" i="1" s="1"/>
  <c r="S3426" i="1" s="1"/>
  <c r="S3427" i="1" s="1"/>
  <c r="S3428" i="1" s="1"/>
  <c r="S3429" i="1" s="1"/>
  <c r="S3430" i="1" s="1"/>
  <c r="S3431" i="1" s="1"/>
  <c r="S3432" i="1" s="1"/>
  <c r="S3433" i="1" s="1"/>
  <c r="S3434" i="1" s="1"/>
  <c r="S3435" i="1" s="1"/>
  <c r="S3436" i="1" s="1"/>
  <c r="S3437" i="1" s="1"/>
  <c r="S3438" i="1" s="1"/>
  <c r="S3439" i="1" s="1"/>
  <c r="S3440" i="1" s="1"/>
  <c r="S3441" i="1" s="1"/>
  <c r="S3442" i="1" s="1"/>
  <c r="S3443" i="1" s="1"/>
  <c r="S3444" i="1" s="1"/>
  <c r="S3445" i="1" s="1"/>
  <c r="S3446" i="1" s="1"/>
  <c r="S3447" i="1" s="1"/>
  <c r="S3448" i="1" s="1"/>
  <c r="S3449" i="1" s="1"/>
  <c r="S3450" i="1" s="1"/>
  <c r="S3451" i="1" s="1"/>
  <c r="S3452" i="1" s="1"/>
  <c r="S3453" i="1" s="1"/>
  <c r="S3454" i="1" s="1"/>
  <c r="S3455" i="1" s="1"/>
  <c r="S3456" i="1" s="1"/>
  <c r="S3457" i="1" s="1"/>
  <c r="S3458" i="1" s="1"/>
  <c r="S3459" i="1" s="1"/>
  <c r="S3460" i="1" s="1"/>
  <c r="S3461" i="1" s="1"/>
  <c r="S3462" i="1" s="1"/>
  <c r="S3463" i="1" s="1"/>
  <c r="S3464" i="1" s="1"/>
  <c r="S3465" i="1" s="1"/>
  <c r="S3466" i="1" s="1"/>
  <c r="S3467" i="1" s="1"/>
  <c r="S3468" i="1" s="1"/>
  <c r="S3469" i="1" s="1"/>
  <c r="S3470" i="1" s="1"/>
  <c r="S3471" i="1" s="1"/>
  <c r="S3472" i="1" s="1"/>
  <c r="S3473" i="1" s="1"/>
  <c r="S3474" i="1" s="1"/>
  <c r="S3475" i="1" s="1"/>
  <c r="S3476" i="1" s="1"/>
  <c r="S3477" i="1" s="1"/>
  <c r="S3478" i="1" s="1"/>
  <c r="S3479" i="1" s="1"/>
  <c r="S3480" i="1" s="1"/>
  <c r="S3481" i="1" s="1"/>
  <c r="S3482" i="1" s="1"/>
  <c r="S3483" i="1" s="1"/>
  <c r="S3484" i="1" s="1"/>
  <c r="S3485" i="1" s="1"/>
  <c r="S3486" i="1" s="1"/>
  <c r="S3487" i="1" s="1"/>
  <c r="S3488" i="1" s="1"/>
  <c r="S3489" i="1" s="1"/>
  <c r="S3490" i="1" s="1"/>
  <c r="S3491" i="1" s="1"/>
  <c r="S3492" i="1" s="1"/>
  <c r="S3493" i="1" s="1"/>
  <c r="S3494" i="1" s="1"/>
  <c r="S3495" i="1" s="1"/>
  <c r="S3496" i="1" s="1"/>
  <c r="S3497" i="1" s="1"/>
  <c r="S3498" i="1" s="1"/>
  <c r="S3499" i="1" s="1"/>
  <c r="S3500" i="1" s="1"/>
  <c r="S3501" i="1" s="1"/>
  <c r="S3502" i="1" s="1"/>
  <c r="S3503" i="1" s="1"/>
  <c r="S3504" i="1" s="1"/>
  <c r="S3505" i="1" s="1"/>
  <c r="S3506" i="1" s="1"/>
  <c r="S3507" i="1" s="1"/>
  <c r="S3508" i="1" s="1"/>
  <c r="S3509" i="1" s="1"/>
  <c r="S3510" i="1" s="1"/>
  <c r="S3511" i="1" s="1"/>
  <c r="S3512" i="1" s="1"/>
  <c r="S3513" i="1" s="1"/>
  <c r="S3514" i="1" s="1"/>
  <c r="S3515" i="1" s="1"/>
  <c r="S3516" i="1" s="1"/>
  <c r="S3517" i="1" s="1"/>
  <c r="S3518" i="1" s="1"/>
  <c r="S3519" i="1" s="1"/>
  <c r="S3520" i="1" s="1"/>
  <c r="S3521" i="1" s="1"/>
  <c r="S3522" i="1" s="1"/>
  <c r="S3523" i="1" s="1"/>
  <c r="S3524" i="1" s="1"/>
  <c r="S3525" i="1" s="1"/>
  <c r="S3526" i="1" s="1"/>
  <c r="S3527" i="1" s="1"/>
  <c r="S3528" i="1" s="1"/>
  <c r="S3529" i="1" s="1"/>
  <c r="S3530" i="1" s="1"/>
  <c r="S3531" i="1" s="1"/>
  <c r="S3532" i="1" s="1"/>
  <c r="S3533" i="1" s="1"/>
  <c r="S3534" i="1" s="1"/>
  <c r="S3535" i="1" s="1"/>
  <c r="S3536" i="1" s="1"/>
  <c r="S3537" i="1" s="1"/>
  <c r="S3538" i="1" s="1"/>
  <c r="S3539" i="1" s="1"/>
  <c r="S3540" i="1" s="1"/>
  <c r="S3541" i="1" s="1"/>
  <c r="S3542" i="1" s="1"/>
  <c r="S3543" i="1" s="1"/>
  <c r="S3544" i="1" s="1"/>
  <c r="S3545" i="1" s="1"/>
  <c r="S3546" i="1" s="1"/>
  <c r="S3547" i="1" s="1"/>
  <c r="S3548" i="1" s="1"/>
  <c r="S3549" i="1" s="1"/>
  <c r="S3550" i="1" s="1"/>
  <c r="S3551" i="1" s="1"/>
  <c r="S3552" i="1" s="1"/>
  <c r="S3553" i="1" s="1"/>
  <c r="S3554" i="1" s="1"/>
  <c r="S3555" i="1" s="1"/>
  <c r="S3556" i="1" s="1"/>
  <c r="S3557" i="1" s="1"/>
  <c r="S3558" i="1" s="1"/>
  <c r="S3559" i="1" s="1"/>
  <c r="S3560" i="1" s="1"/>
  <c r="S3561" i="1" s="1"/>
  <c r="S3562" i="1" s="1"/>
  <c r="S3563" i="1" s="1"/>
  <c r="S3564" i="1" s="1"/>
  <c r="S3565" i="1" s="1"/>
  <c r="S3566" i="1" s="1"/>
  <c r="S3567" i="1" s="1"/>
  <c r="S3568" i="1" s="1"/>
  <c r="S3569" i="1" s="1"/>
  <c r="S3570" i="1" s="1"/>
  <c r="S3571" i="1" s="1"/>
  <c r="S3572" i="1" s="1"/>
  <c r="S3573" i="1" s="1"/>
  <c r="S3574" i="1" s="1"/>
  <c r="S3575" i="1" s="1"/>
  <c r="S3576" i="1" s="1"/>
  <c r="S3577" i="1" s="1"/>
  <c r="S3578" i="1" s="1"/>
  <c r="S3579" i="1" s="1"/>
  <c r="S3580" i="1" s="1"/>
  <c r="S3581" i="1" s="1"/>
  <c r="S3582" i="1" s="1"/>
  <c r="S3583" i="1" s="1"/>
  <c r="S3584" i="1" s="1"/>
  <c r="S3585" i="1" s="1"/>
  <c r="S3586" i="1" s="1"/>
  <c r="S3587" i="1" s="1"/>
  <c r="S3588" i="1" s="1"/>
  <c r="S3589" i="1" s="1"/>
  <c r="S3590" i="1" s="1"/>
  <c r="S3591" i="1" s="1"/>
  <c r="S3592" i="1" s="1"/>
  <c r="S3593" i="1" s="1"/>
  <c r="S3594" i="1" s="1"/>
  <c r="S3595" i="1" s="1"/>
  <c r="S3596" i="1" s="1"/>
  <c r="S3597" i="1" s="1"/>
  <c r="S3598" i="1" s="1"/>
  <c r="S3599" i="1" s="1"/>
  <c r="S3600" i="1" s="1"/>
  <c r="S3601" i="1" s="1"/>
  <c r="S3602" i="1" s="1"/>
  <c r="S3603" i="1" s="1"/>
  <c r="S3604" i="1" s="1"/>
  <c r="S3605" i="1" s="1"/>
  <c r="S3606" i="1" s="1"/>
  <c r="S3607" i="1" s="1"/>
  <c r="S3608" i="1" s="1"/>
  <c r="S3609" i="1" s="1"/>
  <c r="S3610" i="1" s="1"/>
  <c r="S3611" i="1" s="1"/>
  <c r="S3612" i="1" s="1"/>
  <c r="S3613" i="1" s="1"/>
  <c r="S3614" i="1" s="1"/>
  <c r="S3615" i="1" s="1"/>
  <c r="S3616" i="1" s="1"/>
  <c r="S3617" i="1" s="1"/>
  <c r="S3618" i="1" s="1"/>
  <c r="S3619" i="1" s="1"/>
  <c r="S3620" i="1" s="1"/>
  <c r="S3621" i="1" s="1"/>
  <c r="S3622" i="1" s="1"/>
  <c r="S3623" i="1" s="1"/>
  <c r="S3624" i="1" s="1"/>
  <c r="S3625" i="1" s="1"/>
  <c r="S3626" i="1" s="1"/>
  <c r="S3627" i="1" s="1"/>
  <c r="S3628" i="1" s="1"/>
  <c r="S3629" i="1" s="1"/>
  <c r="S3630" i="1" s="1"/>
  <c r="S3631" i="1" s="1"/>
  <c r="S3632" i="1" s="1"/>
  <c r="S3633" i="1" s="1"/>
  <c r="S3634" i="1" s="1"/>
  <c r="S3635" i="1" s="1"/>
  <c r="S3636" i="1" s="1"/>
  <c r="S3637" i="1" s="1"/>
  <c r="S3638" i="1" s="1"/>
  <c r="S3639" i="1" s="1"/>
  <c r="S3640" i="1" s="1"/>
  <c r="S3641" i="1" s="1"/>
  <c r="S3642" i="1" s="1"/>
  <c r="S3643" i="1" s="1"/>
  <c r="S3644" i="1" s="1"/>
  <c r="S3645" i="1" s="1"/>
  <c r="S3646" i="1" s="1"/>
  <c r="S3647" i="1" s="1"/>
  <c r="S3648" i="1" s="1"/>
  <c r="S3649" i="1" s="1"/>
  <c r="S3650" i="1" s="1"/>
  <c r="S3651" i="1" s="1"/>
  <c r="S3652" i="1" s="1"/>
  <c r="S3653" i="1" s="1"/>
  <c r="S3654" i="1" s="1"/>
  <c r="S3655" i="1" s="1"/>
  <c r="S3656" i="1" s="1"/>
  <c r="S3657" i="1" s="1"/>
  <c r="S3658" i="1" s="1"/>
  <c r="S3659" i="1" s="1"/>
  <c r="S3660" i="1" s="1"/>
  <c r="S3661" i="1" s="1"/>
  <c r="S3662" i="1" s="1"/>
  <c r="S3663" i="1" s="1"/>
  <c r="S3664" i="1" s="1"/>
  <c r="S3665" i="1" s="1"/>
  <c r="S3666" i="1" s="1"/>
  <c r="S3667" i="1" s="1"/>
  <c r="S3668" i="1" s="1"/>
  <c r="S3669" i="1" s="1"/>
  <c r="S3670" i="1" s="1"/>
  <c r="S3671" i="1" s="1"/>
  <c r="S3672" i="1" s="1"/>
  <c r="S3673" i="1" s="1"/>
  <c r="S3674" i="1" s="1"/>
  <c r="S3675" i="1" s="1"/>
  <c r="S3676" i="1" s="1"/>
  <c r="S3677" i="1" s="1"/>
  <c r="S3678" i="1" s="1"/>
  <c r="S3679" i="1" s="1"/>
  <c r="S3680" i="1" s="1"/>
  <c r="S3681" i="1" s="1"/>
  <c r="S3682" i="1" s="1"/>
  <c r="S3683" i="1" s="1"/>
  <c r="S3684" i="1" s="1"/>
  <c r="S3685" i="1" s="1"/>
  <c r="S3686" i="1" s="1"/>
  <c r="S3687" i="1" s="1"/>
  <c r="S3688" i="1" s="1"/>
  <c r="S3689" i="1" s="1"/>
  <c r="S3690" i="1" s="1"/>
  <c r="S3691" i="1" s="1"/>
  <c r="S3692" i="1" s="1"/>
  <c r="S3693" i="1" s="1"/>
  <c r="S3694" i="1" s="1"/>
  <c r="S3695" i="1" s="1"/>
  <c r="S3696" i="1" s="1"/>
  <c r="S3697" i="1" s="1"/>
  <c r="S3698" i="1" s="1"/>
  <c r="S3699" i="1" s="1"/>
  <c r="S3700" i="1" s="1"/>
  <c r="S3701" i="1" s="1"/>
  <c r="S3702" i="1" s="1"/>
  <c r="S3703" i="1" s="1"/>
  <c r="S3704" i="1" s="1"/>
  <c r="S3705" i="1" s="1"/>
  <c r="S3706" i="1" s="1"/>
  <c r="S3707" i="1" s="1"/>
  <c r="S3708" i="1" s="1"/>
  <c r="S3709" i="1" s="1"/>
  <c r="S3710" i="1" s="1"/>
  <c r="S3711" i="1" s="1"/>
  <c r="S3712" i="1" s="1"/>
  <c r="S3713" i="1" s="1"/>
  <c r="S3714" i="1" s="1"/>
  <c r="S3715" i="1" s="1"/>
  <c r="S3716" i="1" s="1"/>
  <c r="S3717" i="1" s="1"/>
  <c r="S3718" i="1" s="1"/>
  <c r="S3719" i="1" s="1"/>
  <c r="S3720" i="1" s="1"/>
  <c r="S3721" i="1" s="1"/>
  <c r="S3722" i="1" s="1"/>
  <c r="S3723" i="1" s="1"/>
  <c r="S3724" i="1" s="1"/>
  <c r="S3725" i="1" s="1"/>
  <c r="S3726" i="1" s="1"/>
  <c r="S3727" i="1" s="1"/>
  <c r="S3728" i="1" s="1"/>
  <c r="S3729" i="1" s="1"/>
  <c r="S3730" i="1" s="1"/>
  <c r="S3731" i="1" s="1"/>
  <c r="S3732" i="1" s="1"/>
  <c r="S3733" i="1" s="1"/>
  <c r="S3734" i="1" s="1"/>
  <c r="S3735" i="1" s="1"/>
  <c r="S3736" i="1" s="1"/>
  <c r="S3737" i="1" s="1"/>
  <c r="S3738" i="1" s="1"/>
  <c r="S3739" i="1" s="1"/>
  <c r="S3740" i="1" s="1"/>
  <c r="S3741" i="1" s="1"/>
  <c r="S3742" i="1" s="1"/>
  <c r="S3743" i="1" s="1"/>
  <c r="S3744" i="1" s="1"/>
  <c r="S3745" i="1" s="1"/>
  <c r="S3746" i="1" s="1"/>
  <c r="S3747" i="1" s="1"/>
  <c r="S3748" i="1" s="1"/>
  <c r="S3749" i="1" s="1"/>
  <c r="S3750" i="1" s="1"/>
  <c r="S3751" i="1" s="1"/>
  <c r="S3752" i="1" s="1"/>
  <c r="S3753" i="1" s="1"/>
  <c r="S3754" i="1" s="1"/>
  <c r="S3755" i="1" s="1"/>
  <c r="S3756" i="1" s="1"/>
  <c r="S3757" i="1" s="1"/>
  <c r="S3758" i="1" s="1"/>
  <c r="S3759" i="1" s="1"/>
  <c r="S3760" i="1" s="1"/>
  <c r="S3761" i="1" s="1"/>
  <c r="S3762" i="1" s="1"/>
  <c r="S3763" i="1" s="1"/>
  <c r="S3764" i="1" s="1"/>
  <c r="S3765" i="1" s="1"/>
  <c r="S3766" i="1" s="1"/>
  <c r="S3767" i="1" s="1"/>
  <c r="S3768" i="1" s="1"/>
  <c r="S3769" i="1" s="1"/>
  <c r="S3770" i="1" s="1"/>
  <c r="S3771" i="1" s="1"/>
  <c r="S3772" i="1" s="1"/>
  <c r="S3773" i="1" s="1"/>
  <c r="S3774" i="1" s="1"/>
  <c r="S3775" i="1" s="1"/>
  <c r="S3776" i="1" s="1"/>
  <c r="S3777" i="1" s="1"/>
  <c r="S3778" i="1" s="1"/>
  <c r="S3779" i="1" s="1"/>
  <c r="S3780" i="1" s="1"/>
  <c r="S3781" i="1" s="1"/>
  <c r="S3782" i="1" s="1"/>
  <c r="S3783" i="1" s="1"/>
  <c r="S3784" i="1" s="1"/>
  <c r="S3785" i="1" s="1"/>
  <c r="S3786" i="1" s="1"/>
  <c r="S3787" i="1" s="1"/>
  <c r="S3788" i="1" s="1"/>
  <c r="S3789" i="1" s="1"/>
  <c r="S3790" i="1" s="1"/>
  <c r="S3791" i="1" s="1"/>
  <c r="S3792" i="1" s="1"/>
  <c r="S3793" i="1" s="1"/>
  <c r="S3794" i="1" s="1"/>
  <c r="S3795" i="1" s="1"/>
  <c r="S3796" i="1" s="1"/>
  <c r="S3797" i="1" s="1"/>
  <c r="S3798" i="1" s="1"/>
  <c r="S3799" i="1" s="1"/>
  <c r="S3800" i="1" s="1"/>
  <c r="S3801" i="1" s="1"/>
  <c r="S3802" i="1" s="1"/>
  <c r="S3803" i="1" s="1"/>
  <c r="S3804" i="1" s="1"/>
  <c r="S3805" i="1" s="1"/>
  <c r="S3806" i="1" s="1"/>
  <c r="S3807" i="1" s="1"/>
  <c r="S3808" i="1" s="1"/>
  <c r="S3809" i="1" s="1"/>
  <c r="S3810" i="1" s="1"/>
  <c r="S3811" i="1" s="1"/>
  <c r="S3812" i="1" s="1"/>
  <c r="S3813" i="1" s="1"/>
  <c r="S3814" i="1" s="1"/>
  <c r="S3815" i="1" s="1"/>
  <c r="S3816" i="1" s="1"/>
  <c r="S3817" i="1" s="1"/>
  <c r="S3818" i="1" s="1"/>
  <c r="S3819" i="1" s="1"/>
  <c r="S3820" i="1" s="1"/>
  <c r="S3821" i="1" s="1"/>
  <c r="S3822" i="1" s="1"/>
  <c r="S3823" i="1" s="1"/>
  <c r="S3824" i="1" s="1"/>
  <c r="S3825" i="1" s="1"/>
  <c r="S3826" i="1" s="1"/>
  <c r="S3827" i="1" s="1"/>
  <c r="S3828" i="1" s="1"/>
  <c r="S3829" i="1" s="1"/>
  <c r="S3830" i="1" s="1"/>
  <c r="S3831" i="1" s="1"/>
  <c r="S3832" i="1" s="1"/>
  <c r="S3833" i="1" s="1"/>
  <c r="S3834" i="1" s="1"/>
  <c r="S3835" i="1" s="1"/>
  <c r="S3836" i="1" s="1"/>
  <c r="S3837" i="1" s="1"/>
  <c r="S3838" i="1" s="1"/>
  <c r="S3839" i="1" s="1"/>
  <c r="S3840" i="1" s="1"/>
  <c r="S3841" i="1" s="1"/>
  <c r="S3842" i="1" s="1"/>
  <c r="S3843" i="1" s="1"/>
  <c r="S3844" i="1" s="1"/>
  <c r="S3845" i="1" s="1"/>
  <c r="S3846" i="1" s="1"/>
  <c r="S3847" i="1" s="1"/>
  <c r="S3848" i="1" s="1"/>
  <c r="S3849" i="1" s="1"/>
  <c r="S3850" i="1" s="1"/>
  <c r="S3851" i="1" s="1"/>
  <c r="S3852" i="1" s="1"/>
  <c r="S3853" i="1" s="1"/>
  <c r="S3854" i="1" s="1"/>
  <c r="S3855" i="1" s="1"/>
  <c r="S3856" i="1" s="1"/>
  <c r="S3857" i="1" s="1"/>
  <c r="S3858" i="1" s="1"/>
  <c r="S3859" i="1" s="1"/>
  <c r="S3860" i="1" s="1"/>
  <c r="S3861" i="1" s="1"/>
  <c r="S3862" i="1" s="1"/>
  <c r="S3863" i="1" s="1"/>
  <c r="S3864" i="1" s="1"/>
  <c r="S3865" i="1" s="1"/>
  <c r="S3866" i="1" s="1"/>
  <c r="S3867" i="1" s="1"/>
  <c r="S3868" i="1" s="1"/>
  <c r="S3869" i="1" s="1"/>
  <c r="S3870" i="1" s="1"/>
  <c r="S3871" i="1" s="1"/>
  <c r="S3872" i="1" s="1"/>
  <c r="S3873" i="1" s="1"/>
  <c r="S3874" i="1" s="1"/>
  <c r="S3875" i="1" s="1"/>
  <c r="S3876" i="1" s="1"/>
  <c r="S3877" i="1" s="1"/>
  <c r="S3878" i="1" s="1"/>
  <c r="S3879" i="1" s="1"/>
  <c r="S3880" i="1" s="1"/>
  <c r="S3881" i="1" s="1"/>
  <c r="S3882" i="1" s="1"/>
  <c r="S3883" i="1" s="1"/>
  <c r="S3884" i="1" s="1"/>
  <c r="S3885" i="1" s="1"/>
  <c r="S3886" i="1" s="1"/>
  <c r="S3887" i="1" s="1"/>
  <c r="S3888" i="1" s="1"/>
  <c r="S3889" i="1" s="1"/>
  <c r="S3890" i="1" s="1"/>
  <c r="S3891" i="1" s="1"/>
  <c r="S3892" i="1" s="1"/>
  <c r="S3893" i="1" s="1"/>
  <c r="S3894" i="1" s="1"/>
  <c r="S3895" i="1" s="1"/>
  <c r="S3896" i="1" s="1"/>
  <c r="S3897" i="1" s="1"/>
  <c r="S3898" i="1" s="1"/>
  <c r="S3899" i="1" s="1"/>
  <c r="S3900" i="1" s="1"/>
  <c r="S3901" i="1" s="1"/>
  <c r="S3902" i="1" s="1"/>
  <c r="S3903" i="1" s="1"/>
  <c r="S3904" i="1" s="1"/>
  <c r="S3905" i="1" s="1"/>
  <c r="S3906" i="1" s="1"/>
  <c r="S3907" i="1" s="1"/>
  <c r="S3908" i="1" s="1"/>
  <c r="S3909" i="1" s="1"/>
  <c r="S3910" i="1" s="1"/>
  <c r="S3911" i="1" s="1"/>
  <c r="S3912" i="1" s="1"/>
  <c r="S3913" i="1" s="1"/>
  <c r="S3914" i="1" s="1"/>
  <c r="S3915" i="1" s="1"/>
  <c r="S3916" i="1" s="1"/>
  <c r="S3917" i="1" s="1"/>
  <c r="S3918" i="1" s="1"/>
  <c r="S3919" i="1" s="1"/>
  <c r="S3920" i="1" s="1"/>
  <c r="S3921" i="1" s="1"/>
  <c r="S3922" i="1" s="1"/>
  <c r="S3923" i="1" s="1"/>
  <c r="S3924" i="1" s="1"/>
  <c r="S3925" i="1" s="1"/>
  <c r="S3926" i="1" s="1"/>
  <c r="S3927" i="1" s="1"/>
  <c r="S3928" i="1" s="1"/>
  <c r="S3929" i="1" s="1"/>
  <c r="S3930" i="1" s="1"/>
  <c r="S3931" i="1" s="1"/>
  <c r="S3932" i="1" s="1"/>
  <c r="S3933" i="1" s="1"/>
  <c r="S3934" i="1" s="1"/>
  <c r="S3935" i="1" s="1"/>
  <c r="S3936" i="1" s="1"/>
  <c r="S3937" i="1" s="1"/>
  <c r="S3938" i="1" s="1"/>
  <c r="S3939" i="1" s="1"/>
  <c r="S3940" i="1" s="1"/>
  <c r="S3941" i="1" s="1"/>
  <c r="S3942" i="1" s="1"/>
  <c r="S3943" i="1" s="1"/>
  <c r="S3944" i="1" s="1"/>
  <c r="S3945" i="1" s="1"/>
  <c r="S3946" i="1" s="1"/>
  <c r="S3947" i="1" s="1"/>
  <c r="S3948" i="1" s="1"/>
  <c r="S3949" i="1" s="1"/>
  <c r="S3950" i="1" s="1"/>
  <c r="S3951" i="1" s="1"/>
  <c r="S3952" i="1" s="1"/>
  <c r="S3953" i="1" s="1"/>
  <c r="S3954" i="1" s="1"/>
  <c r="S3955" i="1" s="1"/>
  <c r="S3956" i="1" s="1"/>
  <c r="S3957" i="1" s="1"/>
  <c r="S3958" i="1" s="1"/>
  <c r="S3959" i="1" s="1"/>
  <c r="S3960" i="1" s="1"/>
  <c r="S3961" i="1" s="1"/>
  <c r="S3962" i="1" s="1"/>
  <c r="S3963" i="1" s="1"/>
  <c r="S3964" i="1" s="1"/>
  <c r="S3965" i="1" s="1"/>
  <c r="S3966" i="1" s="1"/>
  <c r="S3967" i="1" s="1"/>
  <c r="S3968" i="1" s="1"/>
  <c r="S3969" i="1" s="1"/>
  <c r="S3970" i="1" s="1"/>
  <c r="S3971" i="1" s="1"/>
  <c r="S3972" i="1" s="1"/>
  <c r="S3973" i="1" s="1"/>
  <c r="S3974" i="1" s="1"/>
  <c r="S3975" i="1" s="1"/>
  <c r="S3976" i="1" s="1"/>
  <c r="S3977" i="1" s="1"/>
  <c r="S3978" i="1" s="1"/>
  <c r="S3979" i="1" s="1"/>
  <c r="S3980" i="1" s="1"/>
  <c r="S3981" i="1" s="1"/>
  <c r="S3982" i="1" s="1"/>
  <c r="S3983" i="1" s="1"/>
  <c r="S3984" i="1" s="1"/>
  <c r="S3985" i="1" s="1"/>
  <c r="S3986" i="1" s="1"/>
  <c r="S3987" i="1" s="1"/>
  <c r="S3988" i="1" s="1"/>
  <c r="S3989" i="1" s="1"/>
  <c r="S3990" i="1" s="1"/>
  <c r="S3991" i="1" s="1"/>
  <c r="S3992" i="1" s="1"/>
  <c r="S3993" i="1" s="1"/>
  <c r="S3994" i="1" s="1"/>
  <c r="S3995" i="1" s="1"/>
  <c r="S3996" i="1" s="1"/>
  <c r="S3997" i="1" s="1"/>
  <c r="S3998" i="1" s="1"/>
  <c r="S3999" i="1" s="1"/>
  <c r="S4000" i="1" s="1"/>
  <c r="S4001" i="1" s="1"/>
  <c r="S4002" i="1" s="1"/>
  <c r="S4003" i="1" s="1"/>
  <c r="S4004" i="1" s="1"/>
  <c r="S4005" i="1" s="1"/>
  <c r="S4006" i="1" s="1"/>
  <c r="S4007" i="1" s="1"/>
  <c r="S4008" i="1" s="1"/>
  <c r="S4009" i="1" s="1"/>
  <c r="S4010" i="1" s="1"/>
  <c r="S4011" i="1" s="1"/>
  <c r="S4012" i="1" s="1"/>
  <c r="S4013" i="1" s="1"/>
  <c r="S4014" i="1" s="1"/>
  <c r="S4015" i="1" s="1"/>
  <c r="S4016" i="1" s="1"/>
  <c r="S4017" i="1" s="1"/>
  <c r="S4018" i="1" s="1"/>
  <c r="S4019" i="1" s="1"/>
  <c r="S4020" i="1" s="1"/>
  <c r="S4021" i="1" s="1"/>
  <c r="S4022" i="1" s="1"/>
  <c r="S4023" i="1" s="1"/>
  <c r="S4024" i="1" s="1"/>
  <c r="S4025" i="1" s="1"/>
  <c r="S4026" i="1" s="1"/>
  <c r="S4027" i="1" s="1"/>
  <c r="S4028" i="1" s="1"/>
  <c r="S4029" i="1" s="1"/>
  <c r="S4030" i="1" s="1"/>
  <c r="S4031" i="1" s="1"/>
  <c r="S4032" i="1" s="1"/>
  <c r="S4033" i="1" s="1"/>
  <c r="S4034" i="1" s="1"/>
  <c r="S4035" i="1" s="1"/>
  <c r="S4036" i="1" s="1"/>
  <c r="S4037" i="1" s="1"/>
  <c r="S4038" i="1" s="1"/>
  <c r="S4039" i="1" s="1"/>
  <c r="S4040" i="1" s="1"/>
  <c r="S4041" i="1" s="1"/>
  <c r="S4042" i="1" s="1"/>
  <c r="S4043" i="1" s="1"/>
  <c r="S4044" i="1" s="1"/>
  <c r="S4045" i="1" s="1"/>
  <c r="S4046" i="1" s="1"/>
  <c r="S4047" i="1" s="1"/>
  <c r="S4048" i="1" s="1"/>
  <c r="S4049" i="1" s="1"/>
  <c r="S4050" i="1" s="1"/>
  <c r="S4051" i="1" s="1"/>
  <c r="S4052" i="1" s="1"/>
  <c r="S4053" i="1" s="1"/>
  <c r="S4054" i="1" s="1"/>
  <c r="S4055" i="1" s="1"/>
  <c r="S4056" i="1" s="1"/>
  <c r="S4057" i="1" s="1"/>
  <c r="S4058" i="1" s="1"/>
  <c r="S4059" i="1" s="1"/>
  <c r="S4060" i="1" s="1"/>
  <c r="S4061" i="1" s="1"/>
  <c r="S4062" i="1" s="1"/>
  <c r="S4063" i="1" s="1"/>
  <c r="S4064" i="1" s="1"/>
  <c r="S4065" i="1" s="1"/>
  <c r="S4066" i="1" s="1"/>
  <c r="S4067" i="1" s="1"/>
  <c r="S4068" i="1" s="1"/>
  <c r="S4069" i="1" s="1"/>
  <c r="S4070" i="1" s="1"/>
  <c r="S4071" i="1" s="1"/>
  <c r="S4072" i="1" s="1"/>
  <c r="S4073" i="1" s="1"/>
  <c r="S4074" i="1" s="1"/>
  <c r="S4075" i="1" s="1"/>
  <c r="S4076" i="1" s="1"/>
  <c r="S4077" i="1" s="1"/>
  <c r="S4078" i="1" s="1"/>
  <c r="S4079" i="1" s="1"/>
  <c r="S4080" i="1" s="1"/>
  <c r="S4081" i="1" s="1"/>
  <c r="S4082" i="1" s="1"/>
  <c r="S4083" i="1" s="1"/>
  <c r="S4084" i="1" s="1"/>
  <c r="S4085" i="1" s="1"/>
  <c r="S4086" i="1" s="1"/>
  <c r="S4087" i="1" s="1"/>
  <c r="S4088" i="1" s="1"/>
  <c r="S4089" i="1" s="1"/>
  <c r="S4090" i="1" s="1"/>
  <c r="S4091" i="1" s="1"/>
  <c r="S4092" i="1" s="1"/>
  <c r="S4093" i="1" s="1"/>
  <c r="S4094" i="1" s="1"/>
  <c r="S4095" i="1" s="1"/>
  <c r="S4096" i="1" s="1"/>
  <c r="S4097" i="1" s="1"/>
  <c r="S4098" i="1" s="1"/>
  <c r="S4099" i="1" s="1"/>
  <c r="S4100" i="1" s="1"/>
  <c r="S4101" i="1" s="1"/>
  <c r="S4102" i="1" s="1"/>
  <c r="S4103" i="1" s="1"/>
  <c r="S4104" i="1" s="1"/>
  <c r="S4105" i="1" s="1"/>
  <c r="S4106" i="1" s="1"/>
  <c r="S4107" i="1" s="1"/>
  <c r="S4108" i="1" s="1"/>
  <c r="S4109" i="1" s="1"/>
  <c r="S4110" i="1" s="1"/>
  <c r="S4111" i="1" s="1"/>
  <c r="S4112" i="1" s="1"/>
  <c r="S4113" i="1" s="1"/>
  <c r="S4114" i="1" s="1"/>
  <c r="S4115" i="1" s="1"/>
  <c r="S4116" i="1" s="1"/>
  <c r="S4117" i="1" s="1"/>
  <c r="S4118" i="1" s="1"/>
  <c r="S4119" i="1" s="1"/>
  <c r="S4120" i="1" s="1"/>
  <c r="S4121" i="1" s="1"/>
  <c r="S4122" i="1" s="1"/>
  <c r="S4123" i="1" s="1"/>
  <c r="S4124" i="1" s="1"/>
  <c r="S4125" i="1" s="1"/>
  <c r="S4126" i="1" s="1"/>
  <c r="S4127" i="1" s="1"/>
  <c r="S4128" i="1" s="1"/>
  <c r="S4129" i="1" s="1"/>
  <c r="S4130" i="1" s="1"/>
  <c r="S4131" i="1" s="1"/>
  <c r="S4132" i="1" s="1"/>
  <c r="S4133" i="1" s="1"/>
  <c r="S4134" i="1" s="1"/>
  <c r="S4135" i="1" s="1"/>
  <c r="S4136" i="1" s="1"/>
  <c r="S4137" i="1" s="1"/>
  <c r="S4138" i="1" s="1"/>
  <c r="S4139" i="1" s="1"/>
  <c r="S4140" i="1" s="1"/>
  <c r="S4141" i="1" s="1"/>
  <c r="S4142" i="1" s="1"/>
  <c r="S4143" i="1" s="1"/>
  <c r="S4144" i="1" s="1"/>
  <c r="S4145" i="1" s="1"/>
  <c r="S4146" i="1" s="1"/>
  <c r="S4147" i="1" s="1"/>
  <c r="S4148" i="1" s="1"/>
  <c r="S4149" i="1" s="1"/>
  <c r="S4150" i="1" s="1"/>
  <c r="S4151" i="1" s="1"/>
  <c r="S4152" i="1" s="1"/>
  <c r="S4153" i="1" s="1"/>
  <c r="S4154" i="1" s="1"/>
  <c r="S4155" i="1" s="1"/>
  <c r="S4156" i="1" s="1"/>
  <c r="S4157" i="1" s="1"/>
  <c r="S4158" i="1" s="1"/>
  <c r="S4159" i="1" s="1"/>
  <c r="S4160" i="1" s="1"/>
  <c r="S4161" i="1" s="1"/>
  <c r="S4162" i="1" s="1"/>
  <c r="S4163" i="1" s="1"/>
  <c r="S4164" i="1" s="1"/>
  <c r="S4165" i="1" s="1"/>
  <c r="S4166" i="1" s="1"/>
  <c r="S4167" i="1" s="1"/>
  <c r="S4168" i="1" s="1"/>
  <c r="S4169" i="1" s="1"/>
  <c r="S4170" i="1" s="1"/>
  <c r="S4171" i="1" s="1"/>
  <c r="S4172" i="1" s="1"/>
  <c r="S4173" i="1" s="1"/>
  <c r="S4174" i="1" s="1"/>
  <c r="S4175" i="1" s="1"/>
  <c r="S4176" i="1" s="1"/>
  <c r="S4177" i="1" s="1"/>
  <c r="S4178" i="1" s="1"/>
  <c r="S4179" i="1" s="1"/>
  <c r="S4180" i="1" s="1"/>
  <c r="S4181" i="1" s="1"/>
  <c r="S4182" i="1" s="1"/>
  <c r="S4183" i="1" s="1"/>
  <c r="S4184" i="1" s="1"/>
  <c r="S4185" i="1" s="1"/>
  <c r="S4186" i="1" s="1"/>
  <c r="S4187" i="1" s="1"/>
  <c r="S4188" i="1" s="1"/>
  <c r="S4189" i="1" s="1"/>
  <c r="S4190" i="1" s="1"/>
  <c r="S4191" i="1" s="1"/>
  <c r="S4192" i="1" s="1"/>
  <c r="S4193" i="1" s="1"/>
  <c r="S4194" i="1" s="1"/>
  <c r="S4195" i="1" s="1"/>
  <c r="S4196" i="1" s="1"/>
  <c r="S4197" i="1" s="1"/>
  <c r="S4198" i="1" s="1"/>
  <c r="S4199" i="1" s="1"/>
  <c r="S4200" i="1" s="1"/>
  <c r="S4201" i="1" s="1"/>
  <c r="S4202" i="1" s="1"/>
  <c r="S4203" i="1" s="1"/>
  <c r="S4204" i="1" s="1"/>
  <c r="S4205" i="1" s="1"/>
  <c r="S4206" i="1" s="1"/>
  <c r="S4207" i="1" s="1"/>
  <c r="S4208" i="1" s="1"/>
  <c r="S4209" i="1" s="1"/>
  <c r="S4210" i="1" s="1"/>
  <c r="S4211" i="1" s="1"/>
  <c r="S4212" i="1" s="1"/>
  <c r="S4213" i="1" s="1"/>
  <c r="S4214" i="1" s="1"/>
  <c r="S4215" i="1" s="1"/>
  <c r="S4216" i="1" s="1"/>
  <c r="S4217" i="1" s="1"/>
  <c r="S4218" i="1" s="1"/>
  <c r="S4219" i="1" s="1"/>
  <c r="S4220" i="1" s="1"/>
  <c r="S4221" i="1" s="1"/>
  <c r="S4222" i="1" s="1"/>
  <c r="S4223" i="1" s="1"/>
  <c r="S4224" i="1" s="1"/>
  <c r="S4225" i="1" s="1"/>
  <c r="S4226" i="1" s="1"/>
  <c r="S4227" i="1" s="1"/>
  <c r="S4228" i="1" s="1"/>
  <c r="S4229" i="1" s="1"/>
  <c r="S4230" i="1" s="1"/>
  <c r="S4231" i="1" s="1"/>
  <c r="S4232" i="1" s="1"/>
  <c r="S4233" i="1" s="1"/>
  <c r="S4234" i="1" s="1"/>
  <c r="S4235" i="1" s="1"/>
  <c r="S4236" i="1" s="1"/>
  <c r="S4237" i="1" s="1"/>
  <c r="S4238" i="1" s="1"/>
  <c r="S4239" i="1" s="1"/>
  <c r="S4240" i="1" s="1"/>
  <c r="S4241" i="1" s="1"/>
  <c r="S4242" i="1" s="1"/>
  <c r="S4243" i="1" s="1"/>
  <c r="S4244" i="1" s="1"/>
  <c r="S4245" i="1" s="1"/>
  <c r="S4246" i="1" s="1"/>
  <c r="S4247" i="1" s="1"/>
  <c r="S4248" i="1" s="1"/>
  <c r="S4249" i="1" s="1"/>
  <c r="S4250" i="1" s="1"/>
  <c r="S4251" i="1" s="1"/>
  <c r="S4252" i="1" s="1"/>
  <c r="S4253" i="1" s="1"/>
  <c r="S4254" i="1" s="1"/>
  <c r="S4255" i="1" s="1"/>
  <c r="S4256" i="1" s="1"/>
  <c r="S4257" i="1" s="1"/>
  <c r="S4258" i="1" s="1"/>
  <c r="S4259" i="1" s="1"/>
  <c r="S4260" i="1" s="1"/>
  <c r="S4261" i="1" s="1"/>
  <c r="S4262" i="1" s="1"/>
  <c r="S4263" i="1" s="1"/>
  <c r="S4264" i="1" s="1"/>
  <c r="S4265" i="1" s="1"/>
  <c r="S4266" i="1" s="1"/>
  <c r="S4267" i="1" s="1"/>
  <c r="S4268" i="1" s="1"/>
  <c r="S4269" i="1" s="1"/>
  <c r="S4270" i="1" s="1"/>
  <c r="S4271" i="1" s="1"/>
  <c r="S4272" i="1" s="1"/>
  <c r="S4273" i="1" s="1"/>
  <c r="S4274" i="1" s="1"/>
  <c r="S4275" i="1" s="1"/>
  <c r="S4276" i="1" s="1"/>
  <c r="S4277" i="1" s="1"/>
  <c r="S4278" i="1" s="1"/>
  <c r="S4279" i="1" s="1"/>
  <c r="S4280" i="1" s="1"/>
  <c r="S4281" i="1" s="1"/>
  <c r="S4282" i="1" s="1"/>
  <c r="S4283" i="1" s="1"/>
  <c r="S4284" i="1" s="1"/>
  <c r="S4285" i="1" s="1"/>
  <c r="S4286" i="1" s="1"/>
  <c r="S4287" i="1" s="1"/>
  <c r="S4288" i="1" s="1"/>
  <c r="S4289" i="1" s="1"/>
  <c r="S4290" i="1" s="1"/>
  <c r="S4291" i="1" s="1"/>
  <c r="S4292" i="1" s="1"/>
  <c r="S4293" i="1" s="1"/>
  <c r="S4294" i="1" s="1"/>
  <c r="S4295" i="1" s="1"/>
  <c r="S4296" i="1" s="1"/>
  <c r="S4297" i="1" s="1"/>
  <c r="S4298" i="1" s="1"/>
  <c r="S4299" i="1" s="1"/>
  <c r="S4300" i="1" s="1"/>
  <c r="S4301" i="1" s="1"/>
  <c r="S4302" i="1" s="1"/>
  <c r="S4303" i="1" s="1"/>
  <c r="S4304" i="1" s="1"/>
  <c r="S4305" i="1" s="1"/>
  <c r="S4306" i="1" s="1"/>
  <c r="S4307" i="1" s="1"/>
  <c r="S4308" i="1" s="1"/>
  <c r="S4309" i="1" s="1"/>
  <c r="S4310" i="1" s="1"/>
  <c r="S4311" i="1" s="1"/>
  <c r="S4312" i="1" s="1"/>
  <c r="S4313" i="1" s="1"/>
  <c r="S4314" i="1" s="1"/>
  <c r="S4315" i="1" s="1"/>
  <c r="S4316" i="1" s="1"/>
  <c r="S4317" i="1" s="1"/>
  <c r="S4318" i="1" s="1"/>
  <c r="S4319" i="1" s="1"/>
  <c r="S4320" i="1" s="1"/>
  <c r="S4321" i="1" s="1"/>
  <c r="S4322" i="1" s="1"/>
  <c r="S4323" i="1" s="1"/>
  <c r="S4324" i="1" s="1"/>
  <c r="S4325" i="1" s="1"/>
  <c r="S4326" i="1" s="1"/>
  <c r="S4327" i="1" s="1"/>
  <c r="S4328" i="1" s="1"/>
  <c r="S4329" i="1" s="1"/>
  <c r="S4330" i="1" s="1"/>
  <c r="S4331" i="1" s="1"/>
  <c r="S4332" i="1" s="1"/>
  <c r="S4333" i="1" s="1"/>
  <c r="S4334" i="1" s="1"/>
  <c r="S4335" i="1" s="1"/>
  <c r="S4336" i="1" s="1"/>
  <c r="S4337" i="1" s="1"/>
  <c r="S4338" i="1" s="1"/>
  <c r="S4339" i="1" s="1"/>
  <c r="S4340" i="1" s="1"/>
  <c r="S4341" i="1" s="1"/>
  <c r="S4342" i="1" s="1"/>
  <c r="S4343" i="1" s="1"/>
  <c r="S4344" i="1" s="1"/>
  <c r="S4345" i="1" s="1"/>
  <c r="S4346" i="1" s="1"/>
  <c r="S4347" i="1" s="1"/>
  <c r="S4348" i="1" s="1"/>
  <c r="S4349" i="1" s="1"/>
  <c r="S4350" i="1" s="1"/>
  <c r="S4351" i="1" s="1"/>
  <c r="S4352" i="1" s="1"/>
  <c r="S4353" i="1" s="1"/>
  <c r="S4354" i="1" s="1"/>
  <c r="S4355" i="1" s="1"/>
  <c r="S4356" i="1" s="1"/>
  <c r="S4357" i="1" s="1"/>
  <c r="S4358" i="1" s="1"/>
  <c r="S4359" i="1" s="1"/>
  <c r="S4360" i="1" s="1"/>
  <c r="S4361" i="1" s="1"/>
  <c r="S4362" i="1" s="1"/>
  <c r="S4363" i="1" s="1"/>
  <c r="S4364" i="1" s="1"/>
  <c r="S4365" i="1" s="1"/>
  <c r="S4366" i="1" s="1"/>
  <c r="S4367" i="1" s="1"/>
  <c r="S4368" i="1" s="1"/>
  <c r="S4369" i="1" s="1"/>
  <c r="S4370" i="1" s="1"/>
  <c r="S4371" i="1" s="1"/>
  <c r="S4372" i="1" s="1"/>
  <c r="S4373" i="1" s="1"/>
  <c r="S4374" i="1" s="1"/>
  <c r="S4375" i="1" s="1"/>
  <c r="S4376" i="1" s="1"/>
  <c r="S4377" i="1" s="1"/>
  <c r="S4378" i="1" s="1"/>
  <c r="S4379" i="1" s="1"/>
  <c r="S4380" i="1" s="1"/>
  <c r="S4381" i="1" s="1"/>
  <c r="S4382" i="1" s="1"/>
  <c r="S4383" i="1" s="1"/>
  <c r="S4384" i="1" s="1"/>
  <c r="S4385" i="1" s="1"/>
  <c r="S4386" i="1" s="1"/>
  <c r="S4387" i="1" s="1"/>
  <c r="S4388" i="1" s="1"/>
  <c r="S4389" i="1" s="1"/>
  <c r="S4390" i="1" s="1"/>
  <c r="S4391" i="1" s="1"/>
  <c r="S4392" i="1" s="1"/>
  <c r="S4393" i="1" s="1"/>
  <c r="S4394" i="1" s="1"/>
  <c r="S4395" i="1" s="1"/>
  <c r="S4396" i="1" s="1"/>
  <c r="S4397" i="1" s="1"/>
  <c r="S4398" i="1" s="1"/>
  <c r="S4399" i="1" s="1"/>
  <c r="S4400" i="1" s="1"/>
  <c r="S4401" i="1" s="1"/>
  <c r="S4402" i="1" s="1"/>
  <c r="S4403" i="1" s="1"/>
  <c r="S4404" i="1" s="1"/>
  <c r="S4405" i="1" s="1"/>
  <c r="S4406" i="1" s="1"/>
  <c r="S4407" i="1" s="1"/>
  <c r="S4408" i="1" s="1"/>
  <c r="S4409" i="1" s="1"/>
  <c r="S4410" i="1" s="1"/>
  <c r="S4411" i="1" s="1"/>
  <c r="S4412" i="1" s="1"/>
  <c r="S4413" i="1" s="1"/>
  <c r="S4414" i="1" s="1"/>
  <c r="S4415" i="1" s="1"/>
  <c r="S4416" i="1" s="1"/>
  <c r="S4417" i="1" s="1"/>
  <c r="S4418" i="1" s="1"/>
  <c r="S4419" i="1" s="1"/>
  <c r="S4420" i="1" s="1"/>
  <c r="S4421" i="1" s="1"/>
  <c r="S4422" i="1" s="1"/>
  <c r="S4423" i="1" s="1"/>
  <c r="S4424" i="1" s="1"/>
  <c r="S4425" i="1" s="1"/>
  <c r="S4426" i="1" s="1"/>
  <c r="S4427" i="1" s="1"/>
  <c r="S4428" i="1" s="1"/>
  <c r="S4429" i="1" s="1"/>
  <c r="S4430" i="1" s="1"/>
  <c r="S4431" i="1" s="1"/>
  <c r="S4432" i="1" s="1"/>
  <c r="S4433" i="1" s="1"/>
  <c r="S4434" i="1" s="1"/>
  <c r="S4435" i="1" s="1"/>
  <c r="S4436" i="1" s="1"/>
  <c r="S4437" i="1" s="1"/>
  <c r="S4438" i="1" s="1"/>
  <c r="S4439" i="1" s="1"/>
  <c r="S4440" i="1" s="1"/>
  <c r="S4441" i="1" s="1"/>
  <c r="S4442" i="1" s="1"/>
  <c r="S4443" i="1" s="1"/>
  <c r="S4444" i="1" s="1"/>
  <c r="S4445" i="1" s="1"/>
  <c r="S4446" i="1" s="1"/>
  <c r="S4447" i="1" s="1"/>
  <c r="S4448" i="1" s="1"/>
  <c r="S4449" i="1" s="1"/>
  <c r="S4450" i="1" s="1"/>
  <c r="S4451" i="1" s="1"/>
  <c r="S4452" i="1" s="1"/>
  <c r="S4453" i="1" s="1"/>
  <c r="S4454" i="1" s="1"/>
  <c r="S4455" i="1" s="1"/>
  <c r="S4456" i="1" s="1"/>
  <c r="S4457" i="1" s="1"/>
  <c r="S4458" i="1" s="1"/>
  <c r="S4459" i="1" s="1"/>
  <c r="S4460" i="1" s="1"/>
  <c r="S4461" i="1" s="1"/>
  <c r="S4462" i="1" s="1"/>
  <c r="S4463" i="1" s="1"/>
  <c r="S4464" i="1" s="1"/>
  <c r="S4465" i="1" s="1"/>
  <c r="S4466" i="1" s="1"/>
  <c r="S4467" i="1" s="1"/>
  <c r="S4468" i="1" s="1"/>
  <c r="S4469" i="1" s="1"/>
  <c r="S4470" i="1" s="1"/>
  <c r="S4471" i="1" s="1"/>
  <c r="S4472" i="1" s="1"/>
  <c r="S4473" i="1" s="1"/>
  <c r="S4474" i="1" s="1"/>
  <c r="S4475" i="1" s="1"/>
  <c r="S4476" i="1" s="1"/>
  <c r="S4477" i="1" s="1"/>
  <c r="S4478" i="1" s="1"/>
  <c r="S4479" i="1" s="1"/>
  <c r="S4480" i="1" s="1"/>
  <c r="S4481" i="1" s="1"/>
  <c r="S4482" i="1" s="1"/>
  <c r="S4483" i="1" s="1"/>
  <c r="S4484" i="1" s="1"/>
  <c r="S4485" i="1" s="1"/>
  <c r="S4486" i="1" s="1"/>
  <c r="S4487" i="1" s="1"/>
  <c r="S4488" i="1" s="1"/>
  <c r="S4489" i="1" s="1"/>
  <c r="S4490" i="1" s="1"/>
  <c r="S4491" i="1" s="1"/>
  <c r="S4492" i="1" s="1"/>
  <c r="S4493" i="1" s="1"/>
  <c r="S4494" i="1" s="1"/>
  <c r="S4495" i="1" s="1"/>
  <c r="S4496" i="1" s="1"/>
  <c r="S4497" i="1" s="1"/>
  <c r="S4498" i="1" s="1"/>
  <c r="S4499" i="1" s="1"/>
  <c r="S4500" i="1" s="1"/>
  <c r="S4501" i="1" s="1"/>
  <c r="S4502" i="1" s="1"/>
  <c r="S4503" i="1" s="1"/>
  <c r="S4504" i="1" s="1"/>
  <c r="S4505" i="1" s="1"/>
  <c r="S4506" i="1" s="1"/>
  <c r="S4507" i="1" s="1"/>
  <c r="S4508" i="1" s="1"/>
  <c r="S4509" i="1" s="1"/>
  <c r="S4510" i="1" s="1"/>
  <c r="S4511" i="1" s="1"/>
  <c r="S4512" i="1" s="1"/>
  <c r="S4513" i="1" s="1"/>
  <c r="S4514" i="1" s="1"/>
  <c r="S4515" i="1" s="1"/>
  <c r="S4516" i="1" s="1"/>
  <c r="S4517" i="1" s="1"/>
  <c r="S4518" i="1" s="1"/>
  <c r="S4519" i="1" s="1"/>
  <c r="S4520" i="1" s="1"/>
  <c r="S4521" i="1" s="1"/>
  <c r="S4522" i="1" s="1"/>
  <c r="S4523" i="1" s="1"/>
  <c r="S4524" i="1" s="1"/>
  <c r="S4525" i="1" s="1"/>
  <c r="S4526" i="1" s="1"/>
  <c r="S4527" i="1" s="1"/>
  <c r="S4528" i="1" s="1"/>
  <c r="S4529" i="1" s="1"/>
  <c r="S4530" i="1" s="1"/>
  <c r="S4531" i="1" s="1"/>
  <c r="S4532" i="1" s="1"/>
  <c r="S4533" i="1" s="1"/>
  <c r="S4534" i="1" s="1"/>
  <c r="S4535" i="1" s="1"/>
  <c r="S4536" i="1" s="1"/>
  <c r="S4537" i="1" s="1"/>
  <c r="S4538" i="1" s="1"/>
  <c r="S4539" i="1" s="1"/>
  <c r="S4540" i="1" s="1"/>
  <c r="S4541" i="1" s="1"/>
  <c r="S4542" i="1" s="1"/>
  <c r="S4543" i="1" s="1"/>
  <c r="S4544" i="1" s="1"/>
  <c r="S4545" i="1" s="1"/>
  <c r="S4546" i="1" s="1"/>
  <c r="S4547" i="1" s="1"/>
  <c r="S4548" i="1" s="1"/>
  <c r="S4549" i="1" s="1"/>
  <c r="S4550" i="1" s="1"/>
  <c r="S4551" i="1" s="1"/>
  <c r="S4552" i="1" s="1"/>
  <c r="S4553" i="1" s="1"/>
  <c r="S4554" i="1" s="1"/>
  <c r="S4555" i="1" s="1"/>
  <c r="S4556" i="1" s="1"/>
  <c r="S4557" i="1" s="1"/>
  <c r="S4558" i="1" s="1"/>
  <c r="S4559" i="1" s="1"/>
  <c r="S4560" i="1" s="1"/>
  <c r="S4561" i="1" s="1"/>
  <c r="S4562" i="1" s="1"/>
  <c r="S4563" i="1" s="1"/>
  <c r="S4564" i="1" s="1"/>
  <c r="S4565" i="1" s="1"/>
  <c r="S4566" i="1" s="1"/>
  <c r="S4567" i="1" s="1"/>
  <c r="S4568" i="1" s="1"/>
  <c r="S4569" i="1" s="1"/>
  <c r="S4570" i="1" s="1"/>
  <c r="S4571" i="1" s="1"/>
  <c r="S4572" i="1" s="1"/>
  <c r="S4573" i="1" s="1"/>
  <c r="S4574" i="1" s="1"/>
  <c r="S4575" i="1" s="1"/>
  <c r="S4576" i="1" s="1"/>
  <c r="S4577" i="1" s="1"/>
  <c r="S4578" i="1" s="1"/>
  <c r="S4579" i="1" s="1"/>
  <c r="S4580" i="1" s="1"/>
  <c r="S4581" i="1" s="1"/>
  <c r="S4582" i="1" s="1"/>
  <c r="S4583" i="1" s="1"/>
  <c r="S4584" i="1" s="1"/>
  <c r="S4585" i="1" s="1"/>
  <c r="S4586" i="1" s="1"/>
  <c r="S4587" i="1" s="1"/>
  <c r="S4588" i="1" s="1"/>
  <c r="S4589" i="1" s="1"/>
  <c r="S4590" i="1" s="1"/>
  <c r="S4591" i="1" s="1"/>
  <c r="S4592" i="1" s="1"/>
  <c r="S4593" i="1" s="1"/>
  <c r="S4594" i="1" s="1"/>
  <c r="S4595" i="1" s="1"/>
  <c r="S4596" i="1" s="1"/>
  <c r="S4597" i="1" s="1"/>
  <c r="S4598" i="1" s="1"/>
  <c r="S4599" i="1" s="1"/>
  <c r="S4600" i="1" s="1"/>
  <c r="S4601" i="1" s="1"/>
  <c r="S4602" i="1" s="1"/>
  <c r="S4603" i="1" s="1"/>
  <c r="S4604" i="1" s="1"/>
  <c r="S4605" i="1" s="1"/>
  <c r="S4606" i="1" s="1"/>
  <c r="S4607" i="1" s="1"/>
  <c r="S4608" i="1" s="1"/>
  <c r="S4609" i="1" s="1"/>
  <c r="S4610" i="1" s="1"/>
  <c r="S4611" i="1" s="1"/>
  <c r="S4612" i="1" s="1"/>
  <c r="S4613" i="1" s="1"/>
  <c r="S4614" i="1" s="1"/>
  <c r="S4615" i="1" s="1"/>
  <c r="S4616" i="1" s="1"/>
  <c r="S4617" i="1" s="1"/>
  <c r="S4618" i="1" s="1"/>
  <c r="S4619" i="1" s="1"/>
  <c r="S4620" i="1" s="1"/>
  <c r="S4621" i="1" s="1"/>
  <c r="S4622" i="1" s="1"/>
  <c r="S4623" i="1" s="1"/>
  <c r="S4624" i="1" s="1"/>
  <c r="S4625" i="1" s="1"/>
  <c r="S4626" i="1" s="1"/>
  <c r="S4627" i="1" s="1"/>
  <c r="S4628" i="1" s="1"/>
  <c r="S4629" i="1" s="1"/>
  <c r="S4630" i="1" s="1"/>
  <c r="S4631" i="1" s="1"/>
  <c r="S4632" i="1" s="1"/>
  <c r="S4633" i="1" s="1"/>
  <c r="S4634" i="1" s="1"/>
  <c r="S4635" i="1" s="1"/>
  <c r="S4636" i="1" s="1"/>
  <c r="S4637" i="1" s="1"/>
  <c r="S4638" i="1" s="1"/>
  <c r="S4639" i="1" s="1"/>
  <c r="S4640" i="1" s="1"/>
  <c r="S4641" i="1" s="1"/>
  <c r="S4642" i="1" s="1"/>
  <c r="S4643" i="1" s="1"/>
  <c r="S4644" i="1" s="1"/>
  <c r="S4645" i="1" s="1"/>
  <c r="S4646" i="1" s="1"/>
  <c r="S4647" i="1" s="1"/>
  <c r="S4648" i="1" s="1"/>
  <c r="S4649" i="1" s="1"/>
  <c r="S4650" i="1" s="1"/>
  <c r="S4651" i="1" s="1"/>
  <c r="S4652" i="1" s="1"/>
  <c r="S4653" i="1" s="1"/>
  <c r="S4654" i="1" s="1"/>
  <c r="S4655" i="1" s="1"/>
  <c r="S4656" i="1" s="1"/>
  <c r="S4657" i="1" s="1"/>
  <c r="S4658" i="1" s="1"/>
  <c r="S4659" i="1" s="1"/>
  <c r="S4660" i="1" s="1"/>
  <c r="S4661" i="1" s="1"/>
  <c r="S4662" i="1" s="1"/>
  <c r="S4663" i="1" s="1"/>
  <c r="S4664" i="1" s="1"/>
  <c r="S4665" i="1" s="1"/>
  <c r="S4666" i="1" s="1"/>
  <c r="S4667" i="1" s="1"/>
  <c r="S4668" i="1" s="1"/>
  <c r="S4669" i="1" s="1"/>
  <c r="S4670" i="1" s="1"/>
  <c r="S4671" i="1" s="1"/>
  <c r="S4672" i="1" s="1"/>
  <c r="S4673" i="1" s="1"/>
  <c r="S4674" i="1" s="1"/>
  <c r="S4675" i="1" s="1"/>
  <c r="S4676" i="1" s="1"/>
  <c r="S4677" i="1" s="1"/>
  <c r="S4678" i="1" s="1"/>
  <c r="S4679" i="1" s="1"/>
  <c r="S4680" i="1" s="1"/>
  <c r="S4681" i="1" s="1"/>
  <c r="S4682" i="1" s="1"/>
  <c r="S4683" i="1" s="1"/>
  <c r="S4684" i="1" s="1"/>
  <c r="S4685" i="1" s="1"/>
  <c r="S4686" i="1" s="1"/>
  <c r="S4687" i="1" s="1"/>
  <c r="S4688" i="1" s="1"/>
  <c r="S4689" i="1" s="1"/>
  <c r="S4690" i="1" s="1"/>
  <c r="S4691" i="1" s="1"/>
  <c r="S4692" i="1" s="1"/>
  <c r="S4693" i="1" s="1"/>
  <c r="S4694" i="1" s="1"/>
  <c r="S4695" i="1" s="1"/>
  <c r="S4696" i="1" s="1"/>
  <c r="S4697" i="1" s="1"/>
  <c r="S4698" i="1" s="1"/>
  <c r="S4699" i="1" s="1"/>
  <c r="S4700" i="1" s="1"/>
  <c r="S4701" i="1" s="1"/>
  <c r="S4702" i="1" s="1"/>
  <c r="S4703" i="1" s="1"/>
  <c r="S4704" i="1" s="1"/>
  <c r="S4705" i="1" s="1"/>
  <c r="S4706" i="1" s="1"/>
  <c r="S4707" i="1" s="1"/>
  <c r="S4708" i="1" s="1"/>
  <c r="S4709" i="1" s="1"/>
  <c r="S4710" i="1" s="1"/>
  <c r="S4711" i="1" s="1"/>
  <c r="S4712" i="1" s="1"/>
  <c r="S4713" i="1" s="1"/>
  <c r="S4714" i="1" s="1"/>
  <c r="S4715" i="1" s="1"/>
  <c r="S4716" i="1" s="1"/>
  <c r="S4717" i="1" s="1"/>
  <c r="S4718" i="1" s="1"/>
  <c r="S4719" i="1" s="1"/>
  <c r="S4720" i="1" s="1"/>
  <c r="S4721" i="1" s="1"/>
  <c r="S4722" i="1" s="1"/>
  <c r="S4723" i="1" s="1"/>
  <c r="S4724" i="1" s="1"/>
  <c r="S4725" i="1" s="1"/>
  <c r="S4726" i="1" s="1"/>
  <c r="S4727" i="1" s="1"/>
  <c r="S4728" i="1" s="1"/>
  <c r="S4729" i="1" s="1"/>
  <c r="S4730" i="1" s="1"/>
  <c r="S4731" i="1" s="1"/>
  <c r="S4732" i="1" s="1"/>
  <c r="S4733" i="1" s="1"/>
  <c r="S4734" i="1" s="1"/>
  <c r="S4735" i="1" s="1"/>
  <c r="S4736" i="1" s="1"/>
  <c r="S4737" i="1" s="1"/>
  <c r="S4738" i="1" s="1"/>
  <c r="S4739" i="1" s="1"/>
  <c r="S4740" i="1" s="1"/>
  <c r="S4741" i="1" s="1"/>
  <c r="S4742" i="1" s="1"/>
  <c r="S4743" i="1" s="1"/>
  <c r="S4744" i="1" s="1"/>
  <c r="S4745" i="1" s="1"/>
  <c r="S4746" i="1" s="1"/>
  <c r="S4747" i="1" s="1"/>
  <c r="S4748" i="1" s="1"/>
  <c r="S4749" i="1" s="1"/>
  <c r="S4750" i="1" s="1"/>
  <c r="S4751" i="1" s="1"/>
  <c r="S4752" i="1" s="1"/>
  <c r="S4753" i="1" s="1"/>
  <c r="S4754" i="1" s="1"/>
  <c r="S4755" i="1" s="1"/>
  <c r="S4756" i="1" s="1"/>
  <c r="S4757" i="1" s="1"/>
  <c r="S4758" i="1" s="1"/>
  <c r="S4759" i="1" s="1"/>
  <c r="S4760" i="1" s="1"/>
  <c r="S4761" i="1" s="1"/>
  <c r="S4762" i="1" s="1"/>
  <c r="S4763" i="1" s="1"/>
  <c r="S4764" i="1" s="1"/>
  <c r="S4765" i="1" s="1"/>
  <c r="S4766" i="1" s="1"/>
  <c r="S4767" i="1" s="1"/>
  <c r="S4768" i="1" s="1"/>
  <c r="S4769" i="1" s="1"/>
  <c r="S4770" i="1" s="1"/>
  <c r="S4771" i="1" s="1"/>
  <c r="S4772" i="1" s="1"/>
  <c r="S4773" i="1" s="1"/>
  <c r="S4774" i="1" s="1"/>
  <c r="S4775" i="1" s="1"/>
  <c r="S4776" i="1" s="1"/>
  <c r="S4777" i="1" s="1"/>
  <c r="S4778" i="1" s="1"/>
  <c r="S4779" i="1" s="1"/>
  <c r="S4780" i="1" s="1"/>
  <c r="S4781" i="1" s="1"/>
  <c r="S4782" i="1" s="1"/>
  <c r="S4783" i="1" s="1"/>
  <c r="S4784" i="1" s="1"/>
  <c r="S4785" i="1" s="1"/>
  <c r="S4786" i="1" s="1"/>
  <c r="S4787" i="1" s="1"/>
  <c r="S4788" i="1" s="1"/>
  <c r="S4789" i="1" s="1"/>
  <c r="S4790" i="1" s="1"/>
  <c r="S4791" i="1" s="1"/>
  <c r="S4792" i="1" s="1"/>
  <c r="S4793" i="1" s="1"/>
  <c r="S4794" i="1" s="1"/>
  <c r="S4795" i="1" s="1"/>
  <c r="S4796" i="1" s="1"/>
  <c r="S4797" i="1" s="1"/>
  <c r="S4798" i="1" s="1"/>
  <c r="S4799" i="1" s="1"/>
  <c r="S4800" i="1" s="1"/>
  <c r="S4801" i="1" s="1"/>
  <c r="S4802" i="1" s="1"/>
  <c r="S4803" i="1" s="1"/>
  <c r="S4804" i="1" s="1"/>
  <c r="S4805" i="1" s="1"/>
  <c r="S4806" i="1" s="1"/>
  <c r="S4807" i="1" s="1"/>
  <c r="S4808" i="1" s="1"/>
  <c r="S4809" i="1" s="1"/>
  <c r="S4810" i="1" s="1"/>
  <c r="S4811" i="1" s="1"/>
  <c r="S4812" i="1" s="1"/>
  <c r="S4813" i="1" s="1"/>
  <c r="S4814" i="1" s="1"/>
  <c r="S4815" i="1" s="1"/>
  <c r="S4816" i="1" s="1"/>
  <c r="S4817" i="1" s="1"/>
  <c r="S4818" i="1" s="1"/>
  <c r="S4819" i="1" s="1"/>
  <c r="S4820" i="1" s="1"/>
  <c r="S4821" i="1" s="1"/>
  <c r="S4822" i="1" s="1"/>
  <c r="S4823" i="1" s="1"/>
  <c r="S4824" i="1" s="1"/>
  <c r="S4825" i="1" s="1"/>
  <c r="S4826" i="1" s="1"/>
  <c r="S4827" i="1" s="1"/>
  <c r="S4828" i="1" s="1"/>
  <c r="S4829" i="1" s="1"/>
  <c r="S4830" i="1" s="1"/>
  <c r="S4831" i="1" s="1"/>
  <c r="S4832" i="1" s="1"/>
  <c r="S4833" i="1" s="1"/>
  <c r="S4834" i="1" s="1"/>
  <c r="S4835" i="1" s="1"/>
  <c r="S4836" i="1" s="1"/>
  <c r="S4837" i="1" s="1"/>
  <c r="S4838" i="1" s="1"/>
  <c r="S4839" i="1" s="1"/>
  <c r="S4840" i="1" s="1"/>
  <c r="S4841" i="1" s="1"/>
  <c r="S4842" i="1" s="1"/>
  <c r="S4843" i="1" s="1"/>
  <c r="S4844" i="1" s="1"/>
  <c r="S4845" i="1" s="1"/>
  <c r="S4846" i="1" s="1"/>
  <c r="S4847" i="1" s="1"/>
  <c r="S4848" i="1" s="1"/>
  <c r="S4849" i="1" s="1"/>
  <c r="S4850" i="1" s="1"/>
  <c r="S4851" i="1" s="1"/>
  <c r="S4852" i="1" s="1"/>
  <c r="S4853" i="1" s="1"/>
  <c r="S4854" i="1" s="1"/>
  <c r="S4855" i="1" s="1"/>
  <c r="S4856" i="1" s="1"/>
  <c r="S4857" i="1" s="1"/>
  <c r="S4858" i="1" s="1"/>
  <c r="S4859" i="1" s="1"/>
  <c r="S4860" i="1" s="1"/>
  <c r="S4861" i="1" s="1"/>
  <c r="S4862" i="1" s="1"/>
  <c r="S4863" i="1" s="1"/>
  <c r="S4864" i="1" s="1"/>
  <c r="S4865" i="1" s="1"/>
  <c r="S4866" i="1" s="1"/>
  <c r="S4867" i="1" s="1"/>
  <c r="S4868" i="1" s="1"/>
  <c r="S4869" i="1" s="1"/>
  <c r="S4870" i="1" s="1"/>
  <c r="S4871" i="1" s="1"/>
  <c r="S4872" i="1" s="1"/>
  <c r="S4873" i="1" s="1"/>
  <c r="S4874" i="1" s="1"/>
  <c r="S4875" i="1" s="1"/>
  <c r="S4876" i="1" s="1"/>
  <c r="S4877" i="1" s="1"/>
  <c r="S4878" i="1" s="1"/>
  <c r="S4879" i="1" s="1"/>
  <c r="S4880" i="1" s="1"/>
  <c r="S4881" i="1" s="1"/>
  <c r="S4882" i="1" s="1"/>
  <c r="S4883" i="1" s="1"/>
  <c r="S4884" i="1" s="1"/>
  <c r="S4885" i="1" s="1"/>
  <c r="S4886" i="1" s="1"/>
  <c r="S4887" i="1" s="1"/>
  <c r="S4888" i="1" s="1"/>
  <c r="S4889" i="1" s="1"/>
  <c r="S4890" i="1" s="1"/>
  <c r="S4891" i="1" s="1"/>
  <c r="S4892" i="1" s="1"/>
  <c r="S4893" i="1" s="1"/>
  <c r="S4894" i="1" s="1"/>
  <c r="S4895" i="1" s="1"/>
  <c r="S4896" i="1" s="1"/>
  <c r="S4897" i="1" s="1"/>
  <c r="S4898" i="1" s="1"/>
  <c r="S4899" i="1" s="1"/>
  <c r="S4900" i="1" s="1"/>
  <c r="S4901" i="1" s="1"/>
  <c r="S4902" i="1" s="1"/>
  <c r="S4903" i="1" s="1"/>
  <c r="S4904" i="1" s="1"/>
  <c r="S4905" i="1" s="1"/>
  <c r="S4906" i="1" s="1"/>
  <c r="S4907" i="1" s="1"/>
  <c r="S4908" i="1" s="1"/>
  <c r="S4909" i="1" s="1"/>
  <c r="S4910" i="1" s="1"/>
  <c r="S4911" i="1" s="1"/>
  <c r="S4912" i="1" s="1"/>
  <c r="S4913" i="1" s="1"/>
  <c r="S4914" i="1" s="1"/>
  <c r="S4915" i="1" s="1"/>
  <c r="S4916" i="1" s="1"/>
  <c r="S4917" i="1" s="1"/>
  <c r="S4918" i="1" s="1"/>
  <c r="S4919" i="1" s="1"/>
  <c r="S4920" i="1" s="1"/>
  <c r="S4921" i="1" s="1"/>
  <c r="S4922" i="1" s="1"/>
  <c r="S4923" i="1" s="1"/>
  <c r="S4924" i="1" s="1"/>
  <c r="S4925" i="1" s="1"/>
  <c r="S4926" i="1" s="1"/>
  <c r="S4927" i="1" s="1"/>
  <c r="S4928" i="1" s="1"/>
  <c r="S4929" i="1" s="1"/>
  <c r="S4930" i="1" s="1"/>
  <c r="S4931" i="1" s="1"/>
  <c r="S4932" i="1" s="1"/>
  <c r="S4933" i="1" s="1"/>
  <c r="S4934" i="1" s="1"/>
  <c r="S4935" i="1" s="1"/>
  <c r="S4936" i="1" s="1"/>
  <c r="S4937" i="1" s="1"/>
  <c r="S4938" i="1" s="1"/>
  <c r="S4939" i="1" s="1"/>
  <c r="S4940" i="1" s="1"/>
  <c r="S4941" i="1" s="1"/>
  <c r="S4942" i="1" s="1"/>
  <c r="S4943" i="1" s="1"/>
  <c r="S4944" i="1" s="1"/>
  <c r="S4945" i="1" s="1"/>
  <c r="S4946" i="1" s="1"/>
  <c r="S4947" i="1" s="1"/>
  <c r="S4948" i="1" s="1"/>
  <c r="S4949" i="1" s="1"/>
  <c r="S4950" i="1" s="1"/>
  <c r="S4951" i="1" s="1"/>
  <c r="S4952" i="1" s="1"/>
  <c r="S4953" i="1" s="1"/>
  <c r="S4954" i="1" s="1"/>
  <c r="S4955" i="1" s="1"/>
  <c r="S4956" i="1" s="1"/>
  <c r="S4957" i="1" s="1"/>
  <c r="S4958" i="1" s="1"/>
  <c r="S4959" i="1" s="1"/>
  <c r="S4960" i="1" s="1"/>
  <c r="S4961" i="1" s="1"/>
  <c r="S4962" i="1" s="1"/>
  <c r="S4963" i="1" s="1"/>
  <c r="S4964" i="1" s="1"/>
  <c r="S4965" i="1" s="1"/>
  <c r="S4966" i="1" s="1"/>
  <c r="S4967" i="1" s="1"/>
  <c r="S4968" i="1" s="1"/>
  <c r="S4969" i="1" s="1"/>
  <c r="S4970" i="1" s="1"/>
  <c r="S4971" i="1" s="1"/>
  <c r="S4972" i="1" s="1"/>
  <c r="S4973" i="1" s="1"/>
  <c r="S4974" i="1" s="1"/>
  <c r="S4975" i="1" s="1"/>
  <c r="S4976" i="1" s="1"/>
  <c r="S4977" i="1" s="1"/>
  <c r="S4978" i="1" s="1"/>
  <c r="S4979" i="1" s="1"/>
  <c r="S4980" i="1" s="1"/>
  <c r="S4981" i="1" s="1"/>
  <c r="S4982" i="1" s="1"/>
  <c r="S4983" i="1" s="1"/>
  <c r="S4984" i="1" s="1"/>
  <c r="S4985" i="1" s="1"/>
  <c r="S4986" i="1" s="1"/>
  <c r="S4987" i="1" s="1"/>
  <c r="S4988" i="1" s="1"/>
  <c r="S4989" i="1" s="1"/>
  <c r="S4990" i="1" s="1"/>
  <c r="S4991" i="1" s="1"/>
  <c r="S4992" i="1" s="1"/>
  <c r="S4993" i="1" s="1"/>
  <c r="S4994" i="1" s="1"/>
  <c r="S4995" i="1" s="1"/>
  <c r="S4996" i="1" s="1"/>
  <c r="S4997" i="1" s="1"/>
  <c r="S4998" i="1" s="1"/>
  <c r="S4999" i="1" s="1"/>
  <c r="S5000" i="1" s="1"/>
  <c r="S5001" i="1" s="1"/>
  <c r="S5002" i="1" s="1"/>
  <c r="S5003" i="1" s="1"/>
  <c r="S5004" i="1" s="1"/>
  <c r="S5005" i="1" s="1"/>
  <c r="S5006" i="1" s="1"/>
  <c r="S5007" i="1" s="1"/>
  <c r="S5008" i="1" s="1"/>
  <c r="S5009" i="1" s="1"/>
  <c r="S5010" i="1" s="1"/>
  <c r="S5011" i="1" s="1"/>
  <c r="S5012" i="1" s="1"/>
  <c r="S5013" i="1" s="1"/>
  <c r="S5014" i="1" s="1"/>
  <c r="S5015" i="1" s="1"/>
  <c r="S5016" i="1" s="1"/>
  <c r="S5017" i="1" s="1"/>
  <c r="S5018" i="1" s="1"/>
  <c r="S5019" i="1" s="1"/>
  <c r="S5020" i="1" s="1"/>
  <c r="S5021" i="1" s="1"/>
  <c r="S5022" i="1" s="1"/>
  <c r="S5023" i="1" s="1"/>
  <c r="S5024" i="1" s="1"/>
  <c r="S5025" i="1" s="1"/>
  <c r="S5026" i="1" s="1"/>
  <c r="S5027" i="1" s="1"/>
  <c r="S5028" i="1" s="1"/>
  <c r="S5029" i="1" s="1"/>
  <c r="S5030" i="1" s="1"/>
  <c r="S5031" i="1" s="1"/>
  <c r="S5032" i="1" s="1"/>
  <c r="S5033" i="1" s="1"/>
  <c r="S5034" i="1" s="1"/>
  <c r="S5035" i="1" s="1"/>
  <c r="S5036" i="1" s="1"/>
  <c r="S5037" i="1" s="1"/>
  <c r="S5038" i="1" s="1"/>
  <c r="S5039" i="1" s="1"/>
  <c r="S5040" i="1" s="1"/>
  <c r="S5041" i="1" s="1"/>
  <c r="S5042" i="1" s="1"/>
  <c r="S5043" i="1" s="1"/>
  <c r="S5044" i="1" s="1"/>
  <c r="S5045" i="1" s="1"/>
  <c r="S5046" i="1" s="1"/>
  <c r="S5047" i="1" s="1"/>
  <c r="S5048" i="1" s="1"/>
  <c r="S5049" i="1" s="1"/>
  <c r="S5050" i="1" s="1"/>
  <c r="S5051" i="1" s="1"/>
  <c r="S5052" i="1" s="1"/>
  <c r="S5053" i="1" s="1"/>
  <c r="S5054" i="1" s="1"/>
  <c r="S5055" i="1" s="1"/>
  <c r="S5056" i="1" s="1"/>
  <c r="S5057" i="1" s="1"/>
  <c r="S5058" i="1" s="1"/>
  <c r="S5059" i="1" s="1"/>
  <c r="S5060" i="1" s="1"/>
  <c r="S5061" i="1" s="1"/>
  <c r="S5062" i="1" s="1"/>
  <c r="S5063" i="1" s="1"/>
  <c r="S5064" i="1" s="1"/>
  <c r="S5065" i="1" s="1"/>
  <c r="S5066" i="1" s="1"/>
  <c r="S5067" i="1" s="1"/>
  <c r="S5068" i="1" s="1"/>
  <c r="S5069" i="1" s="1"/>
  <c r="S5070" i="1" s="1"/>
  <c r="S5071" i="1" s="1"/>
  <c r="S5072" i="1" s="1"/>
  <c r="S5073" i="1" s="1"/>
  <c r="S5074" i="1" s="1"/>
  <c r="S5075" i="1" s="1"/>
  <c r="S5076" i="1" s="1"/>
  <c r="S5077" i="1" s="1"/>
  <c r="S5078" i="1" s="1"/>
  <c r="S5079" i="1" s="1"/>
  <c r="S5080" i="1" s="1"/>
  <c r="S5081" i="1" s="1"/>
  <c r="S5082" i="1" s="1"/>
  <c r="S5083" i="1" s="1"/>
  <c r="S5084" i="1" s="1"/>
  <c r="S5085" i="1" s="1"/>
  <c r="S5086" i="1" s="1"/>
  <c r="S5087" i="1" s="1"/>
  <c r="S5088" i="1" s="1"/>
  <c r="S5089" i="1" s="1"/>
  <c r="S5090" i="1" s="1"/>
  <c r="S5091" i="1" s="1"/>
  <c r="S5092" i="1" s="1"/>
  <c r="S5093" i="1" s="1"/>
  <c r="S5094" i="1" s="1"/>
  <c r="S5095" i="1" s="1"/>
  <c r="S5096" i="1" s="1"/>
  <c r="S5097" i="1" s="1"/>
  <c r="S5098" i="1" s="1"/>
  <c r="S5099" i="1" s="1"/>
  <c r="S5100" i="1" s="1"/>
  <c r="S5101" i="1" s="1"/>
  <c r="S5102" i="1" s="1"/>
  <c r="S5103" i="1" s="1"/>
  <c r="S5104" i="1" s="1"/>
  <c r="S5105" i="1" s="1"/>
  <c r="S5106" i="1" s="1"/>
  <c r="S5107" i="1" s="1"/>
  <c r="S5108" i="1" s="1"/>
  <c r="S5109" i="1" s="1"/>
  <c r="S5110" i="1" s="1"/>
  <c r="S5111" i="1" s="1"/>
  <c r="S5112" i="1" s="1"/>
  <c r="S5113" i="1" s="1"/>
  <c r="S5114" i="1" s="1"/>
  <c r="S5115" i="1" s="1"/>
  <c r="S5116" i="1" s="1"/>
  <c r="S5117" i="1" s="1"/>
  <c r="S5118" i="1" s="1"/>
  <c r="S5119" i="1" s="1"/>
  <c r="S5120" i="1" s="1"/>
  <c r="S5121" i="1" s="1"/>
  <c r="S5122" i="1" s="1"/>
  <c r="S5123" i="1" s="1"/>
  <c r="S5124" i="1" s="1"/>
  <c r="S5125" i="1" s="1"/>
  <c r="S5126" i="1" s="1"/>
  <c r="S5127" i="1" s="1"/>
  <c r="S5128" i="1" s="1"/>
  <c r="S5129" i="1" s="1"/>
  <c r="S5130" i="1" s="1"/>
  <c r="S5131" i="1" s="1"/>
  <c r="S5132" i="1" s="1"/>
  <c r="S5133" i="1" s="1"/>
  <c r="S5134" i="1" s="1"/>
  <c r="S5135" i="1" s="1"/>
  <c r="S5136" i="1" s="1"/>
  <c r="S5137" i="1" s="1"/>
  <c r="S5138" i="1" s="1"/>
  <c r="S5139" i="1" s="1"/>
  <c r="S5140" i="1" s="1"/>
  <c r="S5141" i="1" s="1"/>
  <c r="S5142" i="1" s="1"/>
  <c r="S5143" i="1" s="1"/>
  <c r="S5144" i="1" s="1"/>
  <c r="S5145" i="1" s="1"/>
  <c r="S5146" i="1" s="1"/>
  <c r="S5147" i="1" s="1"/>
  <c r="S5148" i="1" s="1"/>
  <c r="S5149" i="1" s="1"/>
  <c r="S5150" i="1" s="1"/>
  <c r="S5151" i="1" s="1"/>
  <c r="S5152" i="1" s="1"/>
  <c r="S5153" i="1" s="1"/>
  <c r="S5154" i="1" s="1"/>
  <c r="S5155" i="1" s="1"/>
  <c r="S5156" i="1" s="1"/>
  <c r="S5157" i="1" s="1"/>
  <c r="S5158" i="1" s="1"/>
  <c r="S5159" i="1" s="1"/>
  <c r="S5160" i="1" s="1"/>
  <c r="S5161" i="1" s="1"/>
  <c r="S5162" i="1" s="1"/>
  <c r="S5163" i="1" s="1"/>
  <c r="S5164" i="1" s="1"/>
  <c r="S5165" i="1" s="1"/>
  <c r="S5166" i="1" s="1"/>
  <c r="S5167" i="1" s="1"/>
  <c r="S5168" i="1" s="1"/>
  <c r="S5169" i="1" s="1"/>
  <c r="S5170" i="1" s="1"/>
  <c r="S5171" i="1" s="1"/>
  <c r="S5172" i="1" s="1"/>
  <c r="S5173" i="1" s="1"/>
  <c r="S5174" i="1" s="1"/>
  <c r="S5175" i="1" s="1"/>
  <c r="S5176" i="1" s="1"/>
  <c r="S5177" i="1" s="1"/>
  <c r="S5178" i="1" s="1"/>
  <c r="S5179" i="1" s="1"/>
  <c r="S5180" i="1" s="1"/>
  <c r="S5181" i="1" s="1"/>
  <c r="S5182" i="1" s="1"/>
  <c r="S5183" i="1" s="1"/>
  <c r="S5184" i="1" s="1"/>
  <c r="S5185" i="1" s="1"/>
  <c r="S5186" i="1" s="1"/>
  <c r="S5187" i="1" s="1"/>
  <c r="S5188" i="1" s="1"/>
  <c r="S5189" i="1" s="1"/>
  <c r="S5190" i="1" s="1"/>
  <c r="S5191" i="1" s="1"/>
  <c r="S5192" i="1" s="1"/>
  <c r="S5193" i="1" s="1"/>
  <c r="S5194" i="1" s="1"/>
  <c r="S5195" i="1" s="1"/>
  <c r="S5196" i="1" s="1"/>
  <c r="S5197" i="1" s="1"/>
  <c r="S5198" i="1" s="1"/>
  <c r="S5199" i="1" s="1"/>
  <c r="S5200" i="1" s="1"/>
  <c r="S5201" i="1" s="1"/>
  <c r="S5202" i="1" s="1"/>
  <c r="S5203" i="1" s="1"/>
  <c r="S5204" i="1" s="1"/>
  <c r="S5205" i="1" s="1"/>
  <c r="S5206" i="1" s="1"/>
  <c r="S5207" i="1" s="1"/>
  <c r="S5208" i="1" s="1"/>
  <c r="S5209" i="1" s="1"/>
  <c r="S5210" i="1" s="1"/>
  <c r="S5211" i="1" s="1"/>
  <c r="S5212" i="1" s="1"/>
  <c r="S5213" i="1" s="1"/>
  <c r="S5214" i="1" s="1"/>
  <c r="S5215" i="1" s="1"/>
  <c r="S5216" i="1" s="1"/>
  <c r="S5217" i="1" s="1"/>
  <c r="S5218" i="1" s="1"/>
  <c r="S5219" i="1" s="1"/>
  <c r="S5220" i="1" s="1"/>
  <c r="S5221" i="1" s="1"/>
  <c r="S5222" i="1" s="1"/>
  <c r="S5223" i="1" s="1"/>
  <c r="S5224" i="1" s="1"/>
  <c r="S5225" i="1" s="1"/>
  <c r="S5226" i="1" s="1"/>
  <c r="S5227" i="1" s="1"/>
  <c r="S5228" i="1" s="1"/>
  <c r="S5229" i="1" s="1"/>
  <c r="S5230" i="1" s="1"/>
  <c r="S5231" i="1" s="1"/>
  <c r="S5232" i="1" s="1"/>
  <c r="S5233" i="1" s="1"/>
  <c r="S5234" i="1" s="1"/>
  <c r="S5235" i="1" s="1"/>
  <c r="S5236" i="1" s="1"/>
  <c r="S5237" i="1" s="1"/>
  <c r="S5238" i="1" s="1"/>
  <c r="S5239" i="1" s="1"/>
  <c r="S5240" i="1" s="1"/>
  <c r="S5241" i="1" s="1"/>
  <c r="S5242" i="1" s="1"/>
  <c r="S5243" i="1" s="1"/>
  <c r="S5244" i="1" s="1"/>
  <c r="S5245" i="1" s="1"/>
  <c r="S5246" i="1" s="1"/>
  <c r="S5247" i="1" s="1"/>
  <c r="S5248" i="1" s="1"/>
  <c r="S5249" i="1" s="1"/>
  <c r="S5250" i="1" s="1"/>
  <c r="S5251" i="1" s="1"/>
  <c r="S5252" i="1" s="1"/>
  <c r="S5253" i="1" s="1"/>
  <c r="S5254" i="1" s="1"/>
  <c r="S5255" i="1" s="1"/>
  <c r="S5256" i="1" s="1"/>
  <c r="S5257" i="1" s="1"/>
  <c r="S5258" i="1" s="1"/>
  <c r="S5259" i="1" s="1"/>
  <c r="S5260" i="1" s="1"/>
  <c r="S5261" i="1" s="1"/>
  <c r="S5262" i="1" s="1"/>
  <c r="S5263" i="1" s="1"/>
  <c r="S5264" i="1" s="1"/>
  <c r="S5265" i="1" s="1"/>
  <c r="S5266" i="1" s="1"/>
  <c r="S5267" i="1" s="1"/>
  <c r="S5268" i="1" s="1"/>
  <c r="S5269" i="1" s="1"/>
  <c r="S5270" i="1" s="1"/>
  <c r="S5271" i="1" s="1"/>
  <c r="S5272" i="1" s="1"/>
  <c r="S5273" i="1" s="1"/>
  <c r="S5274" i="1" s="1"/>
  <c r="S5275" i="1" s="1"/>
  <c r="S5276" i="1" s="1"/>
  <c r="S5277" i="1" s="1"/>
  <c r="S5278" i="1" s="1"/>
  <c r="S5279" i="1" s="1"/>
  <c r="S5280" i="1" s="1"/>
  <c r="S5281" i="1" s="1"/>
  <c r="S5282" i="1" s="1"/>
  <c r="S5283" i="1" s="1"/>
  <c r="S5284" i="1" s="1"/>
  <c r="S5285" i="1" s="1"/>
  <c r="S5286" i="1" s="1"/>
  <c r="S5287" i="1" s="1"/>
  <c r="S5288" i="1" s="1"/>
  <c r="S5289" i="1" s="1"/>
  <c r="S5290" i="1" s="1"/>
  <c r="S5291" i="1" s="1"/>
  <c r="S5292" i="1" s="1"/>
  <c r="S5293" i="1" s="1"/>
  <c r="S5294" i="1" s="1"/>
  <c r="S5295" i="1" s="1"/>
  <c r="S5296" i="1" s="1"/>
  <c r="S5297" i="1" s="1"/>
  <c r="S5298" i="1" s="1"/>
  <c r="S5299" i="1" s="1"/>
  <c r="S5300" i="1" s="1"/>
  <c r="S5301" i="1" s="1"/>
  <c r="S5302" i="1" s="1"/>
  <c r="S5303" i="1" s="1"/>
  <c r="S5304" i="1" s="1"/>
  <c r="S5305" i="1" s="1"/>
  <c r="S5306" i="1" s="1"/>
  <c r="S5307" i="1" s="1"/>
  <c r="S5308" i="1" s="1"/>
  <c r="S5309" i="1" s="1"/>
  <c r="S5310" i="1" s="1"/>
  <c r="S5311" i="1" s="1"/>
  <c r="S5312" i="1" s="1"/>
  <c r="S5313" i="1" s="1"/>
  <c r="S5314" i="1" s="1"/>
  <c r="S5315" i="1" s="1"/>
  <c r="S5316" i="1" s="1"/>
  <c r="S5317" i="1" s="1"/>
  <c r="S5318" i="1" s="1"/>
  <c r="S5319" i="1" s="1"/>
  <c r="S5320" i="1" s="1"/>
  <c r="S5321" i="1" s="1"/>
  <c r="S5322" i="1" s="1"/>
  <c r="S5323" i="1" s="1"/>
  <c r="S5324" i="1" s="1"/>
  <c r="S5325" i="1" s="1"/>
  <c r="S5326" i="1" s="1"/>
  <c r="S5327" i="1" s="1"/>
  <c r="S5328" i="1" s="1"/>
  <c r="S5329" i="1" s="1"/>
  <c r="S5330" i="1" s="1"/>
  <c r="S5331" i="1" s="1"/>
  <c r="S5332" i="1" s="1"/>
  <c r="S5333" i="1" s="1"/>
  <c r="S5334" i="1" s="1"/>
  <c r="S5335" i="1" s="1"/>
  <c r="S5336" i="1" s="1"/>
  <c r="S5337" i="1" s="1"/>
  <c r="S5338" i="1" s="1"/>
  <c r="S5339" i="1" s="1"/>
  <c r="S5340" i="1" s="1"/>
  <c r="S5341" i="1" s="1"/>
  <c r="S5342" i="1" s="1"/>
  <c r="S5343" i="1" s="1"/>
  <c r="S5344" i="1" s="1"/>
  <c r="S5345" i="1" s="1"/>
  <c r="S5346" i="1" s="1"/>
  <c r="S5347" i="1" s="1"/>
  <c r="S5348" i="1" s="1"/>
  <c r="S5349" i="1" s="1"/>
  <c r="S5350" i="1" s="1"/>
  <c r="S5351" i="1" s="1"/>
  <c r="S5352" i="1" s="1"/>
  <c r="S5353" i="1" s="1"/>
  <c r="S5354" i="1" s="1"/>
  <c r="S5355" i="1" s="1"/>
  <c r="S5356" i="1" s="1"/>
  <c r="S5357" i="1" s="1"/>
  <c r="S5358" i="1" s="1"/>
  <c r="S5359" i="1" s="1"/>
  <c r="S5360" i="1" s="1"/>
  <c r="S5361" i="1" s="1"/>
  <c r="S5362" i="1" s="1"/>
  <c r="S5363" i="1" s="1"/>
  <c r="S5364" i="1" s="1"/>
  <c r="S5365" i="1" s="1"/>
  <c r="S5366" i="1" s="1"/>
  <c r="S5367" i="1" s="1"/>
  <c r="S5368" i="1" s="1"/>
  <c r="S5369" i="1" s="1"/>
  <c r="S5370" i="1" s="1"/>
  <c r="S5371" i="1" s="1"/>
  <c r="S5372" i="1" s="1"/>
  <c r="S5373" i="1" s="1"/>
  <c r="S5374" i="1" s="1"/>
  <c r="S5375" i="1" s="1"/>
  <c r="S5376" i="1" s="1"/>
  <c r="S5377" i="1" s="1"/>
  <c r="S5378" i="1" s="1"/>
  <c r="S5379" i="1" s="1"/>
  <c r="S5380" i="1" s="1"/>
  <c r="S5381" i="1" s="1"/>
  <c r="S5382" i="1" s="1"/>
  <c r="S5383" i="1" s="1"/>
  <c r="S5384" i="1" s="1"/>
  <c r="S5385" i="1" s="1"/>
  <c r="S5386" i="1" s="1"/>
  <c r="S5387" i="1" s="1"/>
  <c r="S5388" i="1" s="1"/>
  <c r="S5389" i="1" s="1"/>
  <c r="S5390" i="1" s="1"/>
  <c r="S5391" i="1" s="1"/>
  <c r="S5392" i="1" s="1"/>
  <c r="S5393" i="1" s="1"/>
  <c r="S5394" i="1" s="1"/>
  <c r="S5395" i="1" s="1"/>
  <c r="S5396" i="1" s="1"/>
  <c r="S5397" i="1" s="1"/>
  <c r="S5398" i="1" s="1"/>
  <c r="S5399" i="1" s="1"/>
  <c r="S5400" i="1" s="1"/>
  <c r="S5401" i="1" s="1"/>
  <c r="S5402" i="1" s="1"/>
  <c r="S5403" i="1" s="1"/>
  <c r="S5404" i="1" s="1"/>
  <c r="S5405" i="1" s="1"/>
  <c r="S5406" i="1" s="1"/>
  <c r="S5407" i="1" s="1"/>
  <c r="S5408" i="1" s="1"/>
  <c r="S5409" i="1" s="1"/>
  <c r="S5410" i="1" s="1"/>
  <c r="S5411" i="1" s="1"/>
  <c r="S5412" i="1" s="1"/>
  <c r="S5413" i="1" s="1"/>
  <c r="S5414" i="1" s="1"/>
  <c r="S5415" i="1" s="1"/>
  <c r="S5416" i="1" s="1"/>
  <c r="S5417" i="1" s="1"/>
  <c r="S5418" i="1" s="1"/>
  <c r="S5419" i="1" s="1"/>
  <c r="S5420" i="1" s="1"/>
  <c r="S5421" i="1" s="1"/>
  <c r="S5422" i="1" s="1"/>
  <c r="S5423" i="1" s="1"/>
  <c r="S5424" i="1" s="1"/>
  <c r="S5425" i="1" s="1"/>
  <c r="S5426" i="1" s="1"/>
  <c r="S5427" i="1" s="1"/>
  <c r="S5428" i="1" s="1"/>
  <c r="S5429" i="1" s="1"/>
  <c r="S5430" i="1" s="1"/>
  <c r="S5431" i="1" s="1"/>
  <c r="S5432" i="1" s="1"/>
  <c r="S5433" i="1" s="1"/>
  <c r="S5434" i="1" s="1"/>
  <c r="S5435" i="1" s="1"/>
  <c r="S5436" i="1" s="1"/>
  <c r="S5437" i="1" s="1"/>
  <c r="S5438" i="1" s="1"/>
  <c r="S5439" i="1" s="1"/>
  <c r="S5440" i="1" s="1"/>
  <c r="S5441" i="1" s="1"/>
  <c r="S5442" i="1" s="1"/>
  <c r="S5443" i="1" s="1"/>
  <c r="S5444" i="1" s="1"/>
  <c r="S5445" i="1" s="1"/>
  <c r="S5446" i="1" s="1"/>
  <c r="S5447" i="1" s="1"/>
  <c r="S5448" i="1" s="1"/>
  <c r="S5449" i="1" s="1"/>
  <c r="S5450" i="1" s="1"/>
  <c r="S5451" i="1" s="1"/>
  <c r="S5452" i="1" s="1"/>
  <c r="S5453" i="1" s="1"/>
  <c r="S5454" i="1" s="1"/>
  <c r="S5455" i="1" s="1"/>
  <c r="S5456" i="1" s="1"/>
  <c r="S5457" i="1" s="1"/>
  <c r="S5458" i="1" s="1"/>
  <c r="S5459" i="1" s="1"/>
  <c r="S5460" i="1" s="1"/>
  <c r="S5461" i="1" s="1"/>
  <c r="S5462" i="1" s="1"/>
  <c r="S5463" i="1" s="1"/>
  <c r="S5464" i="1" s="1"/>
  <c r="S5465" i="1" s="1"/>
  <c r="S5466" i="1" s="1"/>
  <c r="S5467" i="1" s="1"/>
  <c r="S5468" i="1" s="1"/>
  <c r="S5469" i="1" s="1"/>
  <c r="S5470" i="1" s="1"/>
  <c r="S5471" i="1" s="1"/>
  <c r="S5472" i="1" s="1"/>
  <c r="S5473" i="1" s="1"/>
  <c r="S5474" i="1" s="1"/>
  <c r="S5475" i="1" s="1"/>
  <c r="S5476" i="1" s="1"/>
  <c r="S5477" i="1" s="1"/>
  <c r="S5478" i="1" s="1"/>
  <c r="S5479" i="1" s="1"/>
  <c r="S5480" i="1" s="1"/>
  <c r="S5481" i="1" s="1"/>
  <c r="S5482" i="1" s="1"/>
  <c r="S5483" i="1" s="1"/>
  <c r="S5484" i="1" s="1"/>
  <c r="S5485" i="1" s="1"/>
  <c r="S5486" i="1" s="1"/>
  <c r="S5487" i="1" s="1"/>
  <c r="S5488" i="1" s="1"/>
  <c r="S5489" i="1" s="1"/>
  <c r="S5490" i="1" s="1"/>
  <c r="S5491" i="1" s="1"/>
  <c r="S5492" i="1" s="1"/>
  <c r="S5493" i="1" s="1"/>
  <c r="S5494" i="1" s="1"/>
  <c r="S5495" i="1" s="1"/>
  <c r="S5496" i="1" s="1"/>
  <c r="S5497" i="1" s="1"/>
  <c r="S5498" i="1" s="1"/>
  <c r="S5499" i="1" s="1"/>
  <c r="S5500" i="1" s="1"/>
  <c r="S5501" i="1" s="1"/>
  <c r="S5502" i="1" s="1"/>
  <c r="S5503" i="1" s="1"/>
  <c r="S5504" i="1" s="1"/>
  <c r="S5505" i="1" s="1"/>
  <c r="S5506" i="1" s="1"/>
  <c r="S5507" i="1" s="1"/>
  <c r="S5508" i="1" s="1"/>
  <c r="S5509" i="1" s="1"/>
  <c r="S5510" i="1" s="1"/>
  <c r="S5511" i="1" s="1"/>
  <c r="S5512" i="1" s="1"/>
  <c r="S5513" i="1" s="1"/>
  <c r="S5514" i="1" s="1"/>
  <c r="S5515" i="1" s="1"/>
  <c r="S5516" i="1" s="1"/>
  <c r="S5517" i="1" s="1"/>
  <c r="S5518" i="1" s="1"/>
  <c r="S5519" i="1" s="1"/>
  <c r="S5520" i="1" s="1"/>
  <c r="S5521" i="1" s="1"/>
  <c r="S5522" i="1" s="1"/>
  <c r="S5523" i="1" s="1"/>
  <c r="S5524" i="1" s="1"/>
  <c r="S5525" i="1" s="1"/>
  <c r="S5526" i="1" s="1"/>
  <c r="S5527" i="1" s="1"/>
  <c r="S5528" i="1" s="1"/>
  <c r="S5529" i="1" s="1"/>
  <c r="S5530" i="1" s="1"/>
  <c r="S5531" i="1" s="1"/>
  <c r="S5532" i="1" s="1"/>
  <c r="S5533" i="1" s="1"/>
  <c r="S5534" i="1" s="1"/>
  <c r="S5535" i="1" s="1"/>
  <c r="S5536" i="1" s="1"/>
  <c r="S5537" i="1" s="1"/>
  <c r="S5538" i="1" s="1"/>
  <c r="S5539" i="1" s="1"/>
  <c r="S5540" i="1" s="1"/>
  <c r="S5541" i="1" s="1"/>
  <c r="S5542" i="1" s="1"/>
  <c r="S5543" i="1" s="1"/>
  <c r="S5544" i="1" s="1"/>
  <c r="S5545" i="1" s="1"/>
  <c r="S5546" i="1" s="1"/>
  <c r="S5547" i="1" s="1"/>
  <c r="S5548" i="1" s="1"/>
  <c r="S5549" i="1" s="1"/>
  <c r="S5550" i="1" s="1"/>
  <c r="S5551" i="1" s="1"/>
  <c r="S5552" i="1" s="1"/>
  <c r="S5553" i="1" s="1"/>
  <c r="S5554" i="1" s="1"/>
  <c r="S5555" i="1" s="1"/>
  <c r="S5556" i="1" s="1"/>
  <c r="S5557" i="1" s="1"/>
  <c r="S5558" i="1" s="1"/>
  <c r="S5559" i="1" s="1"/>
  <c r="S5560" i="1" s="1"/>
  <c r="S5561" i="1" s="1"/>
  <c r="S5562" i="1" s="1"/>
  <c r="S5563" i="1" s="1"/>
  <c r="S5564" i="1" s="1"/>
  <c r="S5565" i="1" s="1"/>
  <c r="S5566" i="1" s="1"/>
  <c r="S5567" i="1" s="1"/>
  <c r="S5568" i="1" s="1"/>
  <c r="S5569" i="1" s="1"/>
  <c r="S5570" i="1" s="1"/>
  <c r="S5571" i="1" s="1"/>
  <c r="S5572" i="1" s="1"/>
  <c r="S5573" i="1" s="1"/>
  <c r="S5574" i="1" s="1"/>
  <c r="S5575" i="1" s="1"/>
  <c r="S5576" i="1" s="1"/>
  <c r="S5577" i="1" s="1"/>
  <c r="S5578" i="1" s="1"/>
  <c r="S5579" i="1" s="1"/>
  <c r="S5580" i="1" s="1"/>
  <c r="S5581" i="1" s="1"/>
  <c r="S5582" i="1" s="1"/>
  <c r="S5583" i="1" s="1"/>
  <c r="S5584" i="1" s="1"/>
  <c r="S5585" i="1" s="1"/>
  <c r="S5586" i="1" s="1"/>
  <c r="S5587" i="1" s="1"/>
  <c r="S5588" i="1" s="1"/>
  <c r="S5589" i="1" s="1"/>
  <c r="S5590" i="1" s="1"/>
  <c r="S5591" i="1" s="1"/>
  <c r="S5592" i="1" s="1"/>
  <c r="S5593" i="1" s="1"/>
  <c r="S5594" i="1" s="1"/>
  <c r="S5595" i="1" s="1"/>
  <c r="S5596" i="1" s="1"/>
  <c r="S5597" i="1" s="1"/>
  <c r="S5598" i="1" s="1"/>
  <c r="S5599" i="1" s="1"/>
  <c r="S5600" i="1" s="1"/>
  <c r="S5601" i="1" s="1"/>
  <c r="S5602" i="1" s="1"/>
  <c r="S5603" i="1" s="1"/>
  <c r="S5604" i="1" s="1"/>
  <c r="S5605" i="1" s="1"/>
  <c r="S5606" i="1" s="1"/>
  <c r="S5607" i="1" s="1"/>
  <c r="S5608" i="1" s="1"/>
  <c r="S5609" i="1" s="1"/>
  <c r="S5610" i="1" s="1"/>
  <c r="S5611" i="1" s="1"/>
  <c r="S5612" i="1" s="1"/>
  <c r="S5613" i="1" s="1"/>
  <c r="S5614" i="1" s="1"/>
  <c r="S5615" i="1" s="1"/>
  <c r="S5616" i="1" s="1"/>
  <c r="S5617" i="1" s="1"/>
  <c r="S5618" i="1" s="1"/>
  <c r="S5619" i="1" s="1"/>
  <c r="S5620" i="1" s="1"/>
  <c r="S5621" i="1" s="1"/>
  <c r="S5622" i="1" s="1"/>
  <c r="S5623" i="1" s="1"/>
  <c r="S5624" i="1" s="1"/>
  <c r="S5625" i="1" s="1"/>
  <c r="S5626" i="1" s="1"/>
  <c r="S5627" i="1" s="1"/>
  <c r="S5628" i="1" s="1"/>
  <c r="S5629" i="1" s="1"/>
  <c r="S5630" i="1" s="1"/>
  <c r="S5631" i="1" s="1"/>
  <c r="S5632" i="1" s="1"/>
  <c r="S5633" i="1" s="1"/>
  <c r="S5634" i="1" s="1"/>
  <c r="S5635" i="1" s="1"/>
  <c r="S5636" i="1" s="1"/>
  <c r="S5637" i="1" s="1"/>
  <c r="S5638" i="1" s="1"/>
  <c r="S5639" i="1" s="1"/>
  <c r="S5640" i="1" s="1"/>
  <c r="S5641" i="1" s="1"/>
  <c r="S5642" i="1" s="1"/>
  <c r="S5643" i="1" s="1"/>
  <c r="S5644" i="1" s="1"/>
  <c r="S5645" i="1" s="1"/>
  <c r="S5646" i="1" s="1"/>
  <c r="S5647" i="1" s="1"/>
  <c r="S5648" i="1" s="1"/>
  <c r="S5649" i="1" s="1"/>
  <c r="S5650" i="1" s="1"/>
  <c r="S5651" i="1" s="1"/>
  <c r="S5652" i="1" s="1"/>
  <c r="S5653" i="1" s="1"/>
  <c r="S5654" i="1" s="1"/>
  <c r="S5655" i="1" s="1"/>
  <c r="S5656" i="1" s="1"/>
  <c r="S5657" i="1" s="1"/>
  <c r="S5658" i="1" s="1"/>
  <c r="S5659" i="1" s="1"/>
  <c r="S5660" i="1" s="1"/>
  <c r="S5661" i="1" s="1"/>
  <c r="S5662" i="1" s="1"/>
  <c r="S5663" i="1" s="1"/>
  <c r="S5664" i="1" s="1"/>
  <c r="S5665" i="1" s="1"/>
  <c r="S5666" i="1" s="1"/>
  <c r="S5667" i="1" s="1"/>
  <c r="S5668" i="1" s="1"/>
  <c r="S5669" i="1" s="1"/>
  <c r="S5670" i="1" s="1"/>
  <c r="S5671" i="1" s="1"/>
  <c r="S5672" i="1" s="1"/>
  <c r="S5673" i="1" s="1"/>
  <c r="S5674" i="1" s="1"/>
  <c r="S5675" i="1" s="1"/>
  <c r="S5676" i="1" s="1"/>
  <c r="S5677" i="1" s="1"/>
  <c r="S5678" i="1" s="1"/>
  <c r="S5679" i="1" s="1"/>
  <c r="S5680" i="1" s="1"/>
  <c r="S5681" i="1" s="1"/>
  <c r="S5682" i="1" s="1"/>
  <c r="S5683" i="1" s="1"/>
  <c r="S5684" i="1" s="1"/>
  <c r="S5685" i="1" s="1"/>
  <c r="S5686" i="1" s="1"/>
  <c r="S5687" i="1" s="1"/>
  <c r="S5688" i="1" s="1"/>
  <c r="S5689" i="1" s="1"/>
  <c r="S5690" i="1" s="1"/>
  <c r="S5691" i="1" s="1"/>
  <c r="S5692" i="1" s="1"/>
  <c r="S5693" i="1" s="1"/>
  <c r="S5694" i="1" s="1"/>
  <c r="S5695" i="1" s="1"/>
  <c r="S5696" i="1" s="1"/>
  <c r="S5697" i="1" s="1"/>
  <c r="S5698" i="1" s="1"/>
  <c r="S5699" i="1" s="1"/>
  <c r="S5700" i="1" s="1"/>
  <c r="S5701" i="1" s="1"/>
  <c r="S5702" i="1" s="1"/>
  <c r="S5703" i="1" s="1"/>
  <c r="S5704" i="1" s="1"/>
  <c r="S5705" i="1" s="1"/>
  <c r="S5706" i="1" s="1"/>
  <c r="S5707" i="1" s="1"/>
  <c r="S5708" i="1" s="1"/>
  <c r="S5709" i="1" s="1"/>
  <c r="S5710" i="1" s="1"/>
  <c r="S5711" i="1" s="1"/>
  <c r="S5712" i="1" s="1"/>
  <c r="S5713" i="1" s="1"/>
  <c r="S5714" i="1" s="1"/>
  <c r="S5715" i="1" s="1"/>
  <c r="S5716" i="1" s="1"/>
  <c r="S5717" i="1" s="1"/>
  <c r="S5718" i="1" s="1"/>
  <c r="S5719" i="1" s="1"/>
  <c r="S5720" i="1" s="1"/>
  <c r="S5721" i="1" s="1"/>
  <c r="S5722" i="1" s="1"/>
  <c r="S5723" i="1" s="1"/>
  <c r="S5724" i="1" s="1"/>
  <c r="S5725" i="1" s="1"/>
  <c r="S5726" i="1" s="1"/>
  <c r="S5727" i="1" s="1"/>
  <c r="S5728" i="1" s="1"/>
  <c r="S5729" i="1" s="1"/>
  <c r="S5730" i="1" s="1"/>
  <c r="S5731" i="1" s="1"/>
  <c r="S5732" i="1" s="1"/>
  <c r="S5733" i="1" s="1"/>
  <c r="S5734" i="1" s="1"/>
  <c r="S5735" i="1" s="1"/>
  <c r="S5736" i="1" s="1"/>
  <c r="S5737" i="1" s="1"/>
  <c r="S5738" i="1" s="1"/>
  <c r="S5739" i="1" s="1"/>
  <c r="S5740" i="1" s="1"/>
  <c r="S5741" i="1" s="1"/>
  <c r="S5742" i="1" s="1"/>
  <c r="S5743" i="1" s="1"/>
  <c r="S5744" i="1" s="1"/>
  <c r="S5745" i="1" s="1"/>
  <c r="S5746" i="1" s="1"/>
  <c r="S5747" i="1" s="1"/>
  <c r="S5748" i="1" s="1"/>
  <c r="S5749" i="1" s="1"/>
  <c r="S5750" i="1" s="1"/>
  <c r="S5751" i="1" s="1"/>
  <c r="S5752" i="1" s="1"/>
  <c r="S5753" i="1" s="1"/>
  <c r="S5754" i="1" s="1"/>
  <c r="S5755" i="1" s="1"/>
  <c r="S5756" i="1" s="1"/>
  <c r="S5757" i="1" s="1"/>
  <c r="S5758" i="1" s="1"/>
  <c r="S5759" i="1" s="1"/>
  <c r="S5760" i="1" s="1"/>
  <c r="S5761" i="1" s="1"/>
  <c r="S5762" i="1" s="1"/>
  <c r="S5763" i="1" s="1"/>
  <c r="S5764" i="1" s="1"/>
  <c r="S5765" i="1" s="1"/>
  <c r="S5766" i="1" s="1"/>
  <c r="S5767" i="1" s="1"/>
  <c r="S5768" i="1" s="1"/>
  <c r="S5769" i="1" s="1"/>
  <c r="S5770" i="1" s="1"/>
  <c r="S5771" i="1" s="1"/>
  <c r="S5772" i="1" s="1"/>
  <c r="S5773" i="1" s="1"/>
  <c r="S5774" i="1" s="1"/>
  <c r="S5775" i="1" s="1"/>
  <c r="S5776" i="1" s="1"/>
  <c r="S5777" i="1" s="1"/>
  <c r="S5778" i="1" s="1"/>
  <c r="S5779" i="1" s="1"/>
  <c r="S5780" i="1" s="1"/>
  <c r="S5781" i="1" s="1"/>
  <c r="S5782" i="1" s="1"/>
  <c r="S5783" i="1" s="1"/>
  <c r="S5784" i="1" s="1"/>
  <c r="S5785" i="1" s="1"/>
  <c r="S5786" i="1" s="1"/>
  <c r="S5787" i="1" s="1"/>
  <c r="S5788" i="1" s="1"/>
  <c r="S5789" i="1" s="1"/>
  <c r="S5790" i="1" s="1"/>
  <c r="S5791" i="1" s="1"/>
  <c r="S5792" i="1" s="1"/>
  <c r="S5793" i="1" s="1"/>
  <c r="S5794" i="1" s="1"/>
  <c r="S5795" i="1" s="1"/>
  <c r="S5796" i="1" s="1"/>
  <c r="S5797" i="1" s="1"/>
  <c r="S5798" i="1" s="1"/>
  <c r="S5799" i="1" s="1"/>
  <c r="S5800" i="1" s="1"/>
  <c r="S5801" i="1" s="1"/>
  <c r="S5802" i="1" s="1"/>
  <c r="S5803" i="1" s="1"/>
  <c r="S5804" i="1" s="1"/>
  <c r="S5805" i="1" s="1"/>
  <c r="S5806" i="1" s="1"/>
  <c r="S5807" i="1" s="1"/>
  <c r="S5808" i="1" s="1"/>
  <c r="S5809" i="1" s="1"/>
  <c r="S5810" i="1" s="1"/>
  <c r="S5811" i="1" s="1"/>
  <c r="S5812" i="1" s="1"/>
  <c r="S5813" i="1" s="1"/>
  <c r="S5814" i="1" s="1"/>
  <c r="S5815" i="1" s="1"/>
  <c r="S5816" i="1" s="1"/>
  <c r="S5817" i="1" s="1"/>
  <c r="S5818" i="1" s="1"/>
  <c r="S5819" i="1" s="1"/>
  <c r="S5820" i="1" s="1"/>
  <c r="S5821" i="1" s="1"/>
  <c r="S5822" i="1" s="1"/>
  <c r="S5823" i="1" s="1"/>
  <c r="S5824" i="1" s="1"/>
  <c r="S5825" i="1" s="1"/>
  <c r="S5826" i="1" s="1"/>
  <c r="S5827" i="1" s="1"/>
  <c r="S5828" i="1" s="1"/>
  <c r="S5829" i="1" s="1"/>
  <c r="S5830" i="1" s="1"/>
  <c r="S5831" i="1" s="1"/>
  <c r="S5832" i="1" s="1"/>
  <c r="S5833" i="1" s="1"/>
  <c r="S5834" i="1" s="1"/>
  <c r="S5835" i="1" s="1"/>
  <c r="S5836" i="1" s="1"/>
  <c r="S5837" i="1" s="1"/>
  <c r="S5838" i="1" s="1"/>
  <c r="S5839" i="1" s="1"/>
  <c r="S5840" i="1" s="1"/>
  <c r="S5841" i="1" s="1"/>
  <c r="S5842" i="1" s="1"/>
  <c r="S5843" i="1" s="1"/>
  <c r="S5844" i="1" s="1"/>
  <c r="S5845" i="1" s="1"/>
  <c r="S5846" i="1" s="1"/>
  <c r="S5847" i="1" s="1"/>
  <c r="S5848" i="1" s="1"/>
  <c r="S5849" i="1" s="1"/>
  <c r="S5850" i="1" s="1"/>
  <c r="S5851" i="1" s="1"/>
  <c r="S5852" i="1" s="1"/>
  <c r="S5853" i="1" s="1"/>
  <c r="S5854" i="1" s="1"/>
  <c r="S5855" i="1" s="1"/>
  <c r="S5856" i="1" s="1"/>
  <c r="S5857" i="1" s="1"/>
  <c r="S5858" i="1" s="1"/>
  <c r="S5859" i="1" s="1"/>
  <c r="S5860" i="1" s="1"/>
  <c r="S5861" i="1" s="1"/>
  <c r="S5862" i="1" s="1"/>
  <c r="S5863" i="1" s="1"/>
  <c r="S5864" i="1" s="1"/>
  <c r="S5865" i="1" s="1"/>
  <c r="S5866" i="1" s="1"/>
  <c r="S5867" i="1" s="1"/>
  <c r="S5868" i="1" s="1"/>
  <c r="S5869" i="1" s="1"/>
  <c r="S5870" i="1" s="1"/>
  <c r="S5871" i="1" s="1"/>
  <c r="S5872" i="1" s="1"/>
  <c r="S5873" i="1" s="1"/>
  <c r="S5874" i="1" s="1"/>
  <c r="S5875" i="1" s="1"/>
  <c r="S5876" i="1" s="1"/>
  <c r="S5877" i="1" s="1"/>
  <c r="S5878" i="1" s="1"/>
  <c r="S5879" i="1" s="1"/>
  <c r="S5880" i="1" s="1"/>
  <c r="S5881" i="1" s="1"/>
  <c r="S5882" i="1" s="1"/>
  <c r="S5883" i="1" s="1"/>
  <c r="S5884" i="1" s="1"/>
  <c r="S5885" i="1" s="1"/>
  <c r="S5886" i="1" s="1"/>
  <c r="S5887" i="1" s="1"/>
  <c r="S5888" i="1" s="1"/>
  <c r="S5889" i="1" s="1"/>
  <c r="S5890" i="1" s="1"/>
  <c r="S5891" i="1" s="1"/>
  <c r="S5892" i="1" s="1"/>
  <c r="S5893" i="1" s="1"/>
  <c r="S5894" i="1" s="1"/>
  <c r="S5895" i="1" s="1"/>
  <c r="S5896" i="1" s="1"/>
  <c r="S5897" i="1" s="1"/>
  <c r="S5898" i="1" s="1"/>
  <c r="S5899" i="1" s="1"/>
  <c r="S5900" i="1" s="1"/>
  <c r="S5901" i="1" s="1"/>
  <c r="S5902" i="1" s="1"/>
  <c r="S5903" i="1" s="1"/>
  <c r="S5904" i="1" s="1"/>
  <c r="S5905" i="1" s="1"/>
  <c r="S5906" i="1" s="1"/>
  <c r="S5907" i="1" s="1"/>
  <c r="S5908" i="1" s="1"/>
  <c r="S5909" i="1" s="1"/>
  <c r="S5910" i="1" s="1"/>
  <c r="S5911" i="1" s="1"/>
  <c r="S5912" i="1" s="1"/>
  <c r="S5913" i="1" s="1"/>
  <c r="S5914" i="1" s="1"/>
  <c r="S5915" i="1" s="1"/>
  <c r="S5916" i="1" s="1"/>
  <c r="S5917" i="1" s="1"/>
  <c r="S5918" i="1" s="1"/>
  <c r="S5919" i="1" s="1"/>
  <c r="S5920" i="1" s="1"/>
  <c r="S5921" i="1" s="1"/>
  <c r="S5922" i="1" s="1"/>
  <c r="S5923" i="1" s="1"/>
  <c r="S5924" i="1" s="1"/>
  <c r="S5925" i="1" s="1"/>
  <c r="S5926" i="1" s="1"/>
  <c r="S5927" i="1" s="1"/>
  <c r="S5928" i="1" s="1"/>
  <c r="S5929" i="1" s="1"/>
  <c r="S5930" i="1" s="1"/>
  <c r="S5931" i="1" s="1"/>
  <c r="S5932" i="1" s="1"/>
  <c r="S5933" i="1" s="1"/>
  <c r="S5934" i="1" s="1"/>
  <c r="S5935" i="1" s="1"/>
  <c r="S5936" i="1" s="1"/>
  <c r="S5937" i="1" s="1"/>
  <c r="S5938" i="1" s="1"/>
  <c r="S5939" i="1" s="1"/>
  <c r="S5940" i="1" s="1"/>
  <c r="S5941" i="1" s="1"/>
  <c r="S5942" i="1" s="1"/>
  <c r="S5943" i="1" s="1"/>
  <c r="S5944" i="1" s="1"/>
  <c r="S5945" i="1" s="1"/>
  <c r="S5946" i="1" s="1"/>
  <c r="S5947" i="1" s="1"/>
  <c r="S5948" i="1" s="1"/>
  <c r="S5949" i="1" s="1"/>
  <c r="S5950" i="1" s="1"/>
  <c r="S5951" i="1" s="1"/>
  <c r="S5952" i="1" s="1"/>
  <c r="S5953" i="1" s="1"/>
  <c r="S5954" i="1" s="1"/>
  <c r="S5955" i="1" s="1"/>
  <c r="S5956" i="1" s="1"/>
  <c r="S5957" i="1" s="1"/>
  <c r="S5958" i="1" s="1"/>
  <c r="S5959" i="1" s="1"/>
  <c r="S5960" i="1" s="1"/>
  <c r="S5961" i="1" s="1"/>
  <c r="S5962" i="1" s="1"/>
  <c r="S5963" i="1" s="1"/>
  <c r="S5964" i="1" s="1"/>
  <c r="S5965" i="1" s="1"/>
  <c r="S5966" i="1" s="1"/>
  <c r="S5967" i="1" s="1"/>
  <c r="S5968" i="1" s="1"/>
  <c r="S5969" i="1" s="1"/>
  <c r="S5970" i="1" s="1"/>
  <c r="S5971" i="1" s="1"/>
  <c r="S5972" i="1" s="1"/>
  <c r="S5973" i="1" s="1"/>
  <c r="S5974" i="1" s="1"/>
  <c r="S5975" i="1" s="1"/>
  <c r="S5976" i="1" s="1"/>
  <c r="S5977" i="1" s="1"/>
  <c r="S5978" i="1" s="1"/>
  <c r="S5979" i="1" s="1"/>
  <c r="S5980" i="1" s="1"/>
  <c r="S5981" i="1" s="1"/>
  <c r="S5982" i="1" s="1"/>
  <c r="S5983" i="1" s="1"/>
  <c r="S5984" i="1" s="1"/>
  <c r="S5985" i="1" s="1"/>
  <c r="S5986" i="1" s="1"/>
  <c r="S5987" i="1" s="1"/>
  <c r="S5988" i="1" s="1"/>
  <c r="S5989" i="1" s="1"/>
  <c r="S5990" i="1" s="1"/>
  <c r="S5991" i="1" s="1"/>
  <c r="S5992" i="1" s="1"/>
  <c r="S5993" i="1" s="1"/>
  <c r="S5994" i="1" s="1"/>
  <c r="S5995" i="1" s="1"/>
  <c r="S5996" i="1" s="1"/>
  <c r="S5997" i="1" s="1"/>
  <c r="S5998" i="1" s="1"/>
  <c r="S5999" i="1" s="1"/>
  <c r="S6000" i="1" s="1"/>
  <c r="S6001" i="1" s="1"/>
  <c r="S6002" i="1" s="1"/>
  <c r="S6003" i="1" s="1"/>
  <c r="S6004" i="1" s="1"/>
  <c r="S6005" i="1" s="1"/>
  <c r="S6006" i="1" s="1"/>
  <c r="S6007" i="1" s="1"/>
  <c r="S6008" i="1" s="1"/>
  <c r="S6009" i="1" s="1"/>
  <c r="S6010" i="1" s="1"/>
  <c r="S6011" i="1" s="1"/>
  <c r="AH10" i="1"/>
  <c r="CV40" i="1"/>
  <c r="CV80" i="1" s="1"/>
  <c r="CV59" i="1"/>
  <c r="CV100" i="1" s="1"/>
  <c r="CV44" i="1"/>
  <c r="CV84" i="1" s="1"/>
  <c r="CV47" i="1"/>
  <c r="CV87" i="1" s="1"/>
  <c r="CV42" i="1"/>
  <c r="CV82" i="1" s="1"/>
  <c r="CV52" i="1"/>
  <c r="CV93" i="1" s="1"/>
  <c r="CV43" i="1"/>
  <c r="CV83" i="1" s="1"/>
  <c r="CV55" i="1"/>
  <c r="CV96" i="1" s="1"/>
  <c r="CV60" i="1"/>
  <c r="CV101" i="1" s="1"/>
  <c r="CV53" i="1"/>
  <c r="CV94" i="1" s="1"/>
  <c r="CV34" i="1"/>
  <c r="CV74" i="1" s="1"/>
  <c r="CV33" i="1"/>
  <c r="CV73" i="1" s="1"/>
  <c r="CV64" i="1"/>
  <c r="CV105" i="1" s="1"/>
  <c r="CV54" i="1"/>
  <c r="CV95" i="1" s="1"/>
  <c r="CV62" i="1"/>
  <c r="CV103" i="1" s="1"/>
  <c r="CV63" i="1"/>
  <c r="CV104" i="1" s="1"/>
  <c r="CV56" i="1"/>
  <c r="CV97" i="1" s="1"/>
  <c r="AI4" i="1" l="1"/>
  <c r="AX43" i="1" s="1"/>
  <c r="AX83" i="1" s="1"/>
  <c r="AH113" i="1"/>
  <c r="AG112" i="1"/>
  <c r="AI3" i="1"/>
  <c r="AI10" i="1"/>
  <c r="DF45" i="1" s="1"/>
  <c r="DF85" i="1" s="1"/>
  <c r="BR66" i="1"/>
  <c r="BR107" i="1" s="1"/>
  <c r="BR52" i="1"/>
  <c r="BR93" i="1" s="1"/>
  <c r="BR51" i="1"/>
  <c r="BR92" i="1" s="1"/>
  <c r="BR37" i="1"/>
  <c r="BR77" i="1" s="1"/>
  <c r="BR41" i="1"/>
  <c r="BR81" i="1" s="1"/>
  <c r="BR38" i="1"/>
  <c r="BR78" i="1" s="1"/>
  <c r="BR36" i="1"/>
  <c r="BR76" i="1" s="1"/>
  <c r="BR46" i="1"/>
  <c r="BR86" i="1" s="1"/>
  <c r="BR48" i="1"/>
  <c r="BR88" i="1" s="1"/>
  <c r="BR34" i="1"/>
  <c r="BR74" i="1" s="1"/>
  <c r="BR62" i="1"/>
  <c r="BR103" i="1" s="1"/>
  <c r="BR31" i="1"/>
  <c r="BR71" i="1" s="1"/>
  <c r="BR65" i="1"/>
  <c r="BR106" i="1" s="1"/>
  <c r="BR45" i="1"/>
  <c r="BR85" i="1" s="1"/>
  <c r="BR60" i="1"/>
  <c r="BR101" i="1" s="1"/>
  <c r="BR39" i="1"/>
  <c r="BR79" i="1" s="1"/>
  <c r="BR43" i="1"/>
  <c r="BR83" i="1" s="1"/>
  <c r="BR58" i="1"/>
  <c r="BR99" i="1" s="1"/>
  <c r="BR53" i="1"/>
  <c r="BR94" i="1" s="1"/>
  <c r="BR49" i="1"/>
  <c r="BR40" i="1"/>
  <c r="BR80" i="1" s="1"/>
  <c r="BR57" i="1"/>
  <c r="BR98" i="1" s="1"/>
  <c r="BR64" i="1"/>
  <c r="BR105" i="1" s="1"/>
  <c r="BR56" i="1"/>
  <c r="BR97" i="1" s="1"/>
  <c r="BR63" i="1"/>
  <c r="BR104" i="1" s="1"/>
  <c r="BR44" i="1"/>
  <c r="BR84" i="1" s="1"/>
  <c r="BR59" i="1"/>
  <c r="BR100" i="1" s="1"/>
  <c r="BR42" i="1"/>
  <c r="BR82" i="1" s="1"/>
  <c r="BR61" i="1"/>
  <c r="BR102" i="1" s="1"/>
  <c r="BR35" i="1"/>
  <c r="BR75" i="1" s="1"/>
  <c r="BR50" i="1"/>
  <c r="BR91" i="1" s="1"/>
  <c r="BR33" i="1"/>
  <c r="BR73" i="1" s="1"/>
  <c r="BR32" i="1"/>
  <c r="BR72" i="1" s="1"/>
  <c r="BR30" i="1"/>
  <c r="BR55" i="1"/>
  <c r="BR54" i="1"/>
  <c r="BR95" i="1" s="1"/>
  <c r="BR47" i="1"/>
  <c r="BR87" i="1" s="1"/>
  <c r="AF13" i="1"/>
  <c r="AI5" i="1"/>
  <c r="AI112" i="1"/>
  <c r="AI113" i="1"/>
  <c r="AF14" i="1"/>
  <c r="AN113" i="1"/>
  <c r="CV68" i="1"/>
  <c r="CZ82" i="1"/>
  <c r="CZ96" i="1"/>
  <c r="AX52" i="1" l="1"/>
  <c r="AX93" i="1" s="1"/>
  <c r="AX31" i="1"/>
  <c r="AX71" i="1" s="1"/>
  <c r="AX36" i="1"/>
  <c r="AX76" i="1" s="1"/>
  <c r="AX62" i="1"/>
  <c r="AX103" i="1" s="1"/>
  <c r="AX37" i="1"/>
  <c r="AX77" i="1" s="1"/>
  <c r="AX61" i="1"/>
  <c r="AX102" i="1" s="1"/>
  <c r="AX47" i="1"/>
  <c r="AX87" i="1" s="1"/>
  <c r="AG121" i="1" s="1"/>
  <c r="AX53" i="1"/>
  <c r="AX94" i="1" s="1"/>
  <c r="AG136" i="1" s="1"/>
  <c r="AX45" i="1"/>
  <c r="AX85" i="1" s="1"/>
  <c r="AG123" i="1" s="1"/>
  <c r="AX34" i="1"/>
  <c r="AX74" i="1" s="1"/>
  <c r="AX49" i="1"/>
  <c r="CL89" i="1"/>
  <c r="CL90" i="1" s="1"/>
  <c r="AX38" i="1"/>
  <c r="AX78" i="1" s="1"/>
  <c r="CV89" i="1"/>
  <c r="CV90" i="1" s="1"/>
  <c r="AX57" i="1"/>
  <c r="AX98" i="1" s="1"/>
  <c r="AX41" i="1"/>
  <c r="AX81" i="1" s="1"/>
  <c r="AX35" i="1"/>
  <c r="AX75" i="1" s="1"/>
  <c r="AX60" i="1"/>
  <c r="AX101" i="1" s="1"/>
  <c r="AX58" i="1"/>
  <c r="AX99" i="1" s="1"/>
  <c r="AX51" i="1"/>
  <c r="AX92" i="1" s="1"/>
  <c r="AG134" i="1" s="1"/>
  <c r="AX64" i="1"/>
  <c r="AX105" i="1" s="1"/>
  <c r="AX54" i="1"/>
  <c r="AX95" i="1" s="1"/>
  <c r="AG137" i="1" s="1"/>
  <c r="AX56" i="1"/>
  <c r="AX97" i="1" s="1"/>
  <c r="AX50" i="1"/>
  <c r="AX91" i="1" s="1"/>
  <c r="AG133" i="1" s="1"/>
  <c r="AX46" i="1"/>
  <c r="AX86" i="1" s="1"/>
  <c r="AG122" i="1" s="1"/>
  <c r="AX66" i="1"/>
  <c r="AX107" i="1" s="1"/>
  <c r="AX44" i="1"/>
  <c r="AX84" i="1" s="1"/>
  <c r="AG124" i="1" s="1"/>
  <c r="AX39" i="1"/>
  <c r="AX79" i="1" s="1"/>
  <c r="AX59" i="1"/>
  <c r="AX100" i="1" s="1"/>
  <c r="AX89" i="1"/>
  <c r="DF89" i="1"/>
  <c r="AX32" i="1"/>
  <c r="AX72" i="1" s="1"/>
  <c r="AX33" i="1"/>
  <c r="AX73" i="1" s="1"/>
  <c r="BR89" i="1"/>
  <c r="BR90" i="1" s="1"/>
  <c r="AX42" i="1"/>
  <c r="AX82" i="1" s="1"/>
  <c r="AX55" i="1"/>
  <c r="AX65" i="1"/>
  <c r="AX106" i="1" s="1"/>
  <c r="AX63" i="1"/>
  <c r="AX104" i="1" s="1"/>
  <c r="AX30" i="1"/>
  <c r="CB89" i="1"/>
  <c r="CB90" i="1" s="1"/>
  <c r="CB109" i="1" s="1"/>
  <c r="AX40" i="1"/>
  <c r="AX80" i="1" s="1"/>
  <c r="BH89" i="1"/>
  <c r="AX48" i="1"/>
  <c r="AX88" i="1" s="1"/>
  <c r="AN89" i="1"/>
  <c r="AN30" i="1"/>
  <c r="AN31" i="1"/>
  <c r="AN71" i="1" s="1"/>
  <c r="AN65" i="1"/>
  <c r="AN106" i="1" s="1"/>
  <c r="AN47" i="1"/>
  <c r="AN87" i="1" s="1"/>
  <c r="AF121" i="1" s="1"/>
  <c r="AN42" i="1"/>
  <c r="AN82" i="1" s="1"/>
  <c r="AN43" i="1"/>
  <c r="AN83" i="1" s="1"/>
  <c r="AF125" i="1" s="1"/>
  <c r="AN32" i="1"/>
  <c r="AN72" i="1" s="1"/>
  <c r="AN55" i="1"/>
  <c r="AN50" i="1"/>
  <c r="AN91" i="1" s="1"/>
  <c r="AF133" i="1" s="1"/>
  <c r="AN66" i="1"/>
  <c r="AN107" i="1" s="1"/>
  <c r="AN41" i="1"/>
  <c r="AN81" i="1" s="1"/>
  <c r="AN62" i="1"/>
  <c r="AN103" i="1" s="1"/>
  <c r="AN36" i="1"/>
  <c r="AN76" i="1" s="1"/>
  <c r="AN38" i="1"/>
  <c r="AN78" i="1" s="1"/>
  <c r="AN34" i="1"/>
  <c r="AN74" i="1" s="1"/>
  <c r="AN44" i="1"/>
  <c r="AN84" i="1" s="1"/>
  <c r="AF124" i="1" s="1"/>
  <c r="AN48" i="1"/>
  <c r="AN88" i="1" s="1"/>
  <c r="AN56" i="1"/>
  <c r="AN97" i="1" s="1"/>
  <c r="AN33" i="1"/>
  <c r="AN73" i="1" s="1"/>
  <c r="AN45" i="1"/>
  <c r="AN85" i="1" s="1"/>
  <c r="AF123" i="1" s="1"/>
  <c r="AN37" i="1"/>
  <c r="AN77" i="1" s="1"/>
  <c r="AN40" i="1"/>
  <c r="AN80" i="1" s="1"/>
  <c r="AN61" i="1"/>
  <c r="AN102" i="1" s="1"/>
  <c r="AN39" i="1"/>
  <c r="AN79" i="1" s="1"/>
  <c r="AN46" i="1"/>
  <c r="AN86" i="1" s="1"/>
  <c r="AF122" i="1" s="1"/>
  <c r="AN49" i="1"/>
  <c r="AN54" i="1"/>
  <c r="AN95" i="1" s="1"/>
  <c r="AF137" i="1" s="1"/>
  <c r="AN52" i="1"/>
  <c r="AN93" i="1" s="1"/>
  <c r="AF135" i="1" s="1"/>
  <c r="AN57" i="1"/>
  <c r="AN98" i="1" s="1"/>
  <c r="AN60" i="1"/>
  <c r="AN101" i="1" s="1"/>
  <c r="AN35" i="1"/>
  <c r="AN75" i="1" s="1"/>
  <c r="AN58" i="1"/>
  <c r="AN99" i="1" s="1"/>
  <c r="AN53" i="1"/>
  <c r="AN94" i="1" s="1"/>
  <c r="AF136" i="1" s="1"/>
  <c r="AN59" i="1"/>
  <c r="AN100" i="1" s="1"/>
  <c r="AN64" i="1"/>
  <c r="AN105" i="1" s="1"/>
  <c r="AN51" i="1"/>
  <c r="AN92" i="1" s="1"/>
  <c r="AF134" i="1" s="1"/>
  <c r="AN63" i="1"/>
  <c r="AN104" i="1" s="1"/>
  <c r="DF31" i="1"/>
  <c r="DF71" i="1" s="1"/>
  <c r="DF32" i="1"/>
  <c r="DF72" i="1" s="1"/>
  <c r="DF59" i="1"/>
  <c r="DF100" i="1" s="1"/>
  <c r="DF57" i="1"/>
  <c r="DF98" i="1" s="1"/>
  <c r="DF46" i="1"/>
  <c r="DF86" i="1" s="1"/>
  <c r="AM122" i="1" s="1"/>
  <c r="DF44" i="1"/>
  <c r="DF84" i="1" s="1"/>
  <c r="AM124" i="1" s="1"/>
  <c r="DF51" i="1"/>
  <c r="DF92" i="1" s="1"/>
  <c r="AM134" i="1" s="1"/>
  <c r="DF41" i="1"/>
  <c r="DF81" i="1" s="1"/>
  <c r="DF42" i="1"/>
  <c r="DF82" i="1" s="1"/>
  <c r="DF66" i="1"/>
  <c r="DF107" i="1" s="1"/>
  <c r="DF36" i="1"/>
  <c r="DF76" i="1" s="1"/>
  <c r="DF35" i="1"/>
  <c r="DF75" i="1" s="1"/>
  <c r="DF56" i="1"/>
  <c r="DF97" i="1" s="1"/>
  <c r="DF49" i="1"/>
  <c r="DF54" i="1"/>
  <c r="DF95" i="1" s="1"/>
  <c r="AM137" i="1" s="1"/>
  <c r="DF30" i="1"/>
  <c r="DF64" i="1"/>
  <c r="DF105" i="1" s="1"/>
  <c r="DF47" i="1"/>
  <c r="DF87" i="1" s="1"/>
  <c r="AM121" i="1" s="1"/>
  <c r="DF39" i="1"/>
  <c r="DF79" i="1" s="1"/>
  <c r="DF65" i="1"/>
  <c r="DF106" i="1" s="1"/>
  <c r="DF61" i="1"/>
  <c r="DF102" i="1" s="1"/>
  <c r="DF62" i="1"/>
  <c r="DF103" i="1" s="1"/>
  <c r="DF43" i="1"/>
  <c r="DF83" i="1" s="1"/>
  <c r="AM125" i="1" s="1"/>
  <c r="AI12" i="1"/>
  <c r="DF48" i="1"/>
  <c r="DF88" i="1" s="1"/>
  <c r="DF55" i="1"/>
  <c r="DF96" i="1" s="1"/>
  <c r="DF53" i="1"/>
  <c r="DF94" i="1" s="1"/>
  <c r="AM136" i="1" s="1"/>
  <c r="DF33" i="1"/>
  <c r="DF73" i="1" s="1"/>
  <c r="DF63" i="1"/>
  <c r="DF104" i="1" s="1"/>
  <c r="DF38" i="1"/>
  <c r="DF78" i="1" s="1"/>
  <c r="DF34" i="1"/>
  <c r="DF74" i="1" s="1"/>
  <c r="DF52" i="1"/>
  <c r="DF93" i="1" s="1"/>
  <c r="AM135" i="1" s="1"/>
  <c r="DF58" i="1"/>
  <c r="DF99" i="1" s="1"/>
  <c r="DF40" i="1"/>
  <c r="DF80" i="1" s="1"/>
  <c r="DF50" i="1"/>
  <c r="DF91" i="1" s="1"/>
  <c r="AM133" i="1" s="1"/>
  <c r="DF60" i="1"/>
  <c r="DF101" i="1" s="1"/>
  <c r="DF37" i="1"/>
  <c r="DF77" i="1" s="1"/>
  <c r="AI137" i="1"/>
  <c r="AI125" i="1"/>
  <c r="AM119" i="1"/>
  <c r="AJ138" i="1"/>
  <c r="AJ115" i="1"/>
  <c r="AK135" i="1"/>
  <c r="AM131" i="1"/>
  <c r="AI135" i="1"/>
  <c r="AI115" i="1"/>
  <c r="AJ119" i="1"/>
  <c r="AK134" i="1"/>
  <c r="AL119" i="1"/>
  <c r="AM127" i="1"/>
  <c r="AJ124" i="1"/>
  <c r="AL115" i="1"/>
  <c r="AL131" i="1"/>
  <c r="AM116" i="1"/>
  <c r="AI118" i="1"/>
  <c r="AL136" i="1"/>
  <c r="AK120" i="1"/>
  <c r="AM120" i="1"/>
  <c r="AJ128" i="1"/>
  <c r="AK133" i="1"/>
  <c r="AL126" i="1"/>
  <c r="AI130" i="1"/>
  <c r="AJ127" i="1"/>
  <c r="AL137" i="1"/>
  <c r="AI134" i="1"/>
  <c r="AI127" i="1"/>
  <c r="AL125" i="1"/>
  <c r="AK126" i="1"/>
  <c r="AJ116" i="1"/>
  <c r="AL132" i="1"/>
  <c r="AJ118" i="1"/>
  <c r="AK128" i="1"/>
  <c r="AL129" i="1"/>
  <c r="AM123" i="1"/>
  <c r="AJ134" i="1"/>
  <c r="AJ129" i="1"/>
  <c r="AL122" i="1"/>
  <c r="AL138" i="1"/>
  <c r="AK123" i="1"/>
  <c r="AL128" i="1"/>
  <c r="AK116" i="1"/>
  <c r="AI133" i="1"/>
  <c r="AK122" i="1"/>
  <c r="AJ121" i="1"/>
  <c r="AK132" i="1"/>
  <c r="AM115" i="1"/>
  <c r="AI129" i="1"/>
  <c r="AK131" i="1"/>
  <c r="AK136" i="1"/>
  <c r="AK138" i="1"/>
  <c r="AJ120" i="1"/>
  <c r="AJ137" i="1"/>
  <c r="AK137" i="1"/>
  <c r="AI131" i="1"/>
  <c r="AJ130" i="1"/>
  <c r="AI128" i="1"/>
  <c r="AK118" i="1"/>
  <c r="AL133" i="1"/>
  <c r="AI122" i="1"/>
  <c r="AJ122" i="1"/>
  <c r="AI120" i="1"/>
  <c r="AK130" i="1"/>
  <c r="AL127" i="1"/>
  <c r="AL117" i="1"/>
  <c r="AI132" i="1"/>
  <c r="AI123" i="1"/>
  <c r="AL118" i="1"/>
  <c r="AM128" i="1"/>
  <c r="AK121" i="1"/>
  <c r="AI136" i="1"/>
  <c r="AJ123" i="1"/>
  <c r="AK125" i="1"/>
  <c r="AL120" i="1"/>
  <c r="AJ135" i="1"/>
  <c r="AJ133" i="1"/>
  <c r="AJ132" i="1"/>
  <c r="AM117" i="1"/>
  <c r="AK117" i="1"/>
  <c r="AJ117" i="1"/>
  <c r="AI117" i="1"/>
  <c r="AJ126" i="1"/>
  <c r="AL121" i="1"/>
  <c r="AI121" i="1"/>
  <c r="AK129" i="1"/>
  <c r="AL124" i="1"/>
  <c r="AM129" i="1"/>
  <c r="AM130" i="1"/>
  <c r="AL123" i="1"/>
  <c r="AI124" i="1"/>
  <c r="AK119" i="1"/>
  <c r="AJ131" i="1"/>
  <c r="BR96" i="1"/>
  <c r="BV96" i="1"/>
  <c r="AI138" i="1" s="1"/>
  <c r="AM132" i="1"/>
  <c r="AL116" i="1"/>
  <c r="AJ125" i="1"/>
  <c r="AM118" i="1"/>
  <c r="AK124" i="1"/>
  <c r="AL135" i="1"/>
  <c r="AI119" i="1"/>
  <c r="AL130" i="1"/>
  <c r="AI116" i="1"/>
  <c r="AL134" i="1"/>
  <c r="AK127" i="1"/>
  <c r="AJ136" i="1"/>
  <c r="AK115" i="1"/>
  <c r="BR68" i="1"/>
  <c r="BV82" i="1"/>
  <c r="AI126" i="1" s="1"/>
  <c r="AH118" i="1"/>
  <c r="AH116" i="1"/>
  <c r="AF132" i="1"/>
  <c r="AG120" i="1"/>
  <c r="AG127" i="1"/>
  <c r="AF116" i="1"/>
  <c r="AG132" i="1"/>
  <c r="AG116" i="1"/>
  <c r="AF115" i="1"/>
  <c r="AF118" i="1"/>
  <c r="AH117" i="1"/>
  <c r="AH131" i="1"/>
  <c r="AH120" i="1"/>
  <c r="AF127" i="1"/>
  <c r="AH115" i="1"/>
  <c r="AH130" i="1"/>
  <c r="AF117" i="1"/>
  <c r="AH128" i="1"/>
  <c r="AF128" i="1"/>
  <c r="AF119" i="1"/>
  <c r="AH119" i="1"/>
  <c r="AH132" i="1"/>
  <c r="AG129" i="1"/>
  <c r="AG131" i="1"/>
  <c r="AH129" i="1"/>
  <c r="AG118" i="1"/>
  <c r="AF129" i="1"/>
  <c r="AG135" i="1"/>
  <c r="AG128" i="1"/>
  <c r="AF120" i="1"/>
  <c r="AG115" i="1"/>
  <c r="AF130" i="1"/>
  <c r="AG119" i="1"/>
  <c r="AG125" i="1"/>
  <c r="AG117" i="1"/>
  <c r="AH127" i="1"/>
  <c r="AF131" i="1"/>
  <c r="AG130" i="1"/>
  <c r="BH35" i="1"/>
  <c r="BH75" i="1" s="1"/>
  <c r="BH43" i="1"/>
  <c r="BH83" i="1" s="1"/>
  <c r="AH125" i="1" s="1"/>
  <c r="BH64" i="1"/>
  <c r="BH105" i="1" s="1"/>
  <c r="BH41" i="1"/>
  <c r="BH81" i="1" s="1"/>
  <c r="BH62" i="1"/>
  <c r="BH103" i="1" s="1"/>
  <c r="BH57" i="1"/>
  <c r="BH98" i="1" s="1"/>
  <c r="BH36" i="1"/>
  <c r="BH76" i="1" s="1"/>
  <c r="BH54" i="1"/>
  <c r="BH95" i="1" s="1"/>
  <c r="AH137" i="1" s="1"/>
  <c r="BH46" i="1"/>
  <c r="BH86" i="1" s="1"/>
  <c r="AH122" i="1" s="1"/>
  <c r="BH42" i="1"/>
  <c r="BH82" i="1" s="1"/>
  <c r="BH63" i="1"/>
  <c r="BH104" i="1" s="1"/>
  <c r="BH45" i="1"/>
  <c r="BH85" i="1" s="1"/>
  <c r="AH123" i="1" s="1"/>
  <c r="BH39" i="1"/>
  <c r="BH79" i="1" s="1"/>
  <c r="BH66" i="1"/>
  <c r="BH107" i="1" s="1"/>
  <c r="BH58" i="1"/>
  <c r="BH99" i="1" s="1"/>
  <c r="BH32" i="1"/>
  <c r="BH72" i="1" s="1"/>
  <c r="BH56" i="1"/>
  <c r="BH97" i="1" s="1"/>
  <c r="BH47" i="1"/>
  <c r="BH87" i="1" s="1"/>
  <c r="AH121" i="1" s="1"/>
  <c r="BH61" i="1"/>
  <c r="BH102" i="1" s="1"/>
  <c r="BH31" i="1"/>
  <c r="BH71" i="1" s="1"/>
  <c r="BH48" i="1"/>
  <c r="BH88" i="1" s="1"/>
  <c r="BH30" i="1"/>
  <c r="BH38" i="1"/>
  <c r="BH78" i="1" s="1"/>
  <c r="BH40" i="1"/>
  <c r="BH80" i="1" s="1"/>
  <c r="BH34" i="1"/>
  <c r="BH74" i="1" s="1"/>
  <c r="BH60" i="1"/>
  <c r="BH101" i="1" s="1"/>
  <c r="BH59" i="1"/>
  <c r="BH100" i="1" s="1"/>
  <c r="BH53" i="1"/>
  <c r="BH94" i="1" s="1"/>
  <c r="AH136" i="1" s="1"/>
  <c r="BH50" i="1"/>
  <c r="BH91" i="1" s="1"/>
  <c r="AH133" i="1" s="1"/>
  <c r="BH37" i="1"/>
  <c r="BH77" i="1" s="1"/>
  <c r="BH33" i="1"/>
  <c r="BH73" i="1" s="1"/>
  <c r="BH51" i="1"/>
  <c r="BH92" i="1" s="1"/>
  <c r="AH134" i="1" s="1"/>
  <c r="BH49" i="1"/>
  <c r="BH44" i="1"/>
  <c r="BH84" i="1" s="1"/>
  <c r="AH124" i="1" s="1"/>
  <c r="BH65" i="1"/>
  <c r="BH106" i="1" s="1"/>
  <c r="BH52" i="1"/>
  <c r="BH93" i="1" s="1"/>
  <c r="AH135" i="1" s="1"/>
  <c r="BH55" i="1"/>
  <c r="AX90" i="1" l="1"/>
  <c r="BB96" i="1"/>
  <c r="AG138" i="1" s="1"/>
  <c r="BB82" i="1"/>
  <c r="AG126" i="1" s="1"/>
  <c r="BR109" i="1"/>
  <c r="CV109" i="1"/>
  <c r="AX68" i="1"/>
  <c r="BH90" i="1"/>
  <c r="CL109" i="1"/>
  <c r="AX96" i="1"/>
  <c r="AX109" i="1" s="1"/>
  <c r="DF90" i="1"/>
  <c r="DF109" i="1" s="1"/>
  <c r="AN90" i="1"/>
  <c r="AN68" i="1"/>
  <c r="AR82" i="1"/>
  <c r="AF126" i="1" s="1"/>
  <c r="AN96" i="1"/>
  <c r="AR96" i="1"/>
  <c r="AF138" i="1" s="1"/>
  <c r="DJ82" i="1"/>
  <c r="AM126" i="1" s="1"/>
  <c r="DJ96" i="1"/>
  <c r="AM138" i="1" s="1"/>
  <c r="DF68" i="1"/>
  <c r="AL140" i="1"/>
  <c r="AJ140" i="1"/>
  <c r="AI140" i="1"/>
  <c r="AK140" i="1"/>
  <c r="BL96" i="1"/>
  <c r="AH138" i="1" s="1"/>
  <c r="BH96" i="1"/>
  <c r="BH68" i="1"/>
  <c r="BL82" i="1"/>
  <c r="AH126" i="1" s="1"/>
  <c r="AG140" i="1" l="1"/>
  <c r="BH109" i="1"/>
  <c r="AN109" i="1"/>
  <c r="AF140" i="1"/>
  <c r="AM140" i="1"/>
  <c r="AH140" i="1"/>
</calcChain>
</file>

<file path=xl/comments1.xml><?xml version="1.0" encoding="utf-8"?>
<comments xmlns="http://schemas.openxmlformats.org/spreadsheetml/2006/main">
  <authors>
    <author>TranSys</author>
  </authors>
  <commentList>
    <comment ref="B3" authorId="0">
      <text>
        <r>
          <rPr>
            <b/>
            <sz val="9"/>
            <color indexed="81"/>
            <rFont val="Tahoma"/>
            <family val="2"/>
          </rPr>
          <t xml:space="preserve">Multi-Modal Passenger Simulator (MMPASSIM)
</t>
        </r>
        <r>
          <rPr>
            <sz val="9"/>
            <color indexed="81"/>
            <rFont val="Tahoma"/>
            <family val="2"/>
          </rPr>
          <t xml:space="preserve">
Under NCRRP Project 02-01, a TranSys Research Ltd. team developed this Multi-Modal Passenger Simulation Model (MMPASSIM) for comparing passenger rail energy consumption and greenhouse gas emissions with Competing Modes.
The MMPASSIM model, track data preprocessor, a Technical Document and User’s Guide, and an applications report ‘NCRRP Report 3’, (which includes a general literature review, case study applications of the model, and a discussion of the barriers to energy efficiency improvements in the U.S. passenger rail industry) are all available online from the Transportation Research Board (TRB).
To access the webpage, go to www.trb.org and search for “NCRRP Report 3”.</t>
        </r>
      </text>
    </comment>
  </commentList>
</comments>
</file>

<file path=xl/sharedStrings.xml><?xml version="1.0" encoding="utf-8"?>
<sst xmlns="http://schemas.openxmlformats.org/spreadsheetml/2006/main" count="378" uniqueCount="131">
  <si>
    <t>LS</t>
  </si>
  <si>
    <t>MPBEG</t>
  </si>
  <si>
    <t>MPEND</t>
  </si>
  <si>
    <t>CRVDEG</t>
  </si>
  <si>
    <t>FRT</t>
  </si>
  <si>
    <t>BEGSTA</t>
  </si>
  <si>
    <t>ENDSTA</t>
  </si>
  <si>
    <t>CUMLEN</t>
  </si>
  <si>
    <t>IDX</t>
  </si>
  <si>
    <t>CA crv</t>
  </si>
  <si>
    <t>Elev (ft)</t>
  </si>
  <si>
    <t>MP</t>
  </si>
  <si>
    <t>line #</t>
  </si>
  <si>
    <t>elev</t>
  </si>
  <si>
    <t>dist</t>
  </si>
  <si>
    <t>start</t>
  </si>
  <si>
    <t>seg 1</t>
  </si>
  <si>
    <t>seg 2</t>
  </si>
  <si>
    <t>Length (ft)</t>
  </si>
  <si>
    <t>count</t>
  </si>
  <si>
    <t>grdXft product</t>
  </si>
  <si>
    <t>avg length</t>
  </si>
  <si>
    <t>avg grade</t>
  </si>
  <si>
    <t xml:space="preserve"> #-segments</t>
  </si>
  <si>
    <t>Grade</t>
  </si>
  <si>
    <t>Length</t>
  </si>
  <si>
    <t>Product</t>
  </si>
  <si>
    <t>seg 3</t>
  </si>
  <si>
    <t>seg 4</t>
  </si>
  <si>
    <t>grade-class</t>
  </si>
  <si>
    <t>Descending grade forward</t>
  </si>
  <si>
    <t xml:space="preserve"> % - route</t>
  </si>
  <si>
    <t>total dist</t>
  </si>
  <si>
    <t>level</t>
  </si>
  <si>
    <t>totals</t>
  </si>
  <si>
    <t>Final Output</t>
  </si>
  <si>
    <t>set initial elev and calc later ones</t>
  </si>
  <si>
    <t>Seg-1 Up grades Positive in Forward Direction</t>
  </si>
  <si>
    <t xml:space="preserve">Forward Direction </t>
  </si>
  <si>
    <t>Average %-Grade in Severity Range</t>
  </si>
  <si>
    <t>%-Distance of Severity Range</t>
  </si>
  <si>
    <t xml:space="preserve">Reverse Direction </t>
  </si>
  <si>
    <t>Offset Pointers</t>
  </si>
  <si>
    <t>Segment</t>
  </si>
  <si>
    <t>CA crve</t>
  </si>
  <si>
    <t xml:space="preserve"> all &lt; -1.2</t>
  </si>
  <si>
    <t xml:space="preserve"> all &gt; 1.2</t>
  </si>
  <si>
    <t xml:space="preserve"> &lt; -3.6</t>
  </si>
  <si>
    <t>GRADE (%)</t>
  </si>
  <si>
    <t>LEN (mi)</t>
  </si>
  <si>
    <t>Speed Limit (mph)</t>
  </si>
  <si>
    <t>Mile Post (mi)</t>
  </si>
  <si>
    <t>Curvature</t>
  </si>
  <si>
    <t>(mi)</t>
  </si>
  <si>
    <t>Deg/100-ft</t>
  </si>
  <si>
    <t xml:space="preserve"> (%)</t>
  </si>
  <si>
    <t>Copy contiguous route track data into columns A - L, Column E, F, G and H are mandatory, others are optional.</t>
  </si>
  <si>
    <t>X</t>
  </si>
  <si>
    <t>Steps in processing track data in the "Track Data" worksheet:</t>
  </si>
  <si>
    <t>Station Mile Posts</t>
  </si>
  <si>
    <t>Cumulative</t>
  </si>
  <si>
    <t>Optional Segment Index</t>
  </si>
  <si>
    <t>manually mark profile segment boundaries</t>
  </si>
  <si>
    <t>&lt;&lt; average CA per mile</t>
  </si>
  <si>
    <t>Sgement Mark</t>
  </si>
  <si>
    <t>CA curve</t>
  </si>
  <si>
    <t>Formatted O/P</t>
  </si>
  <si>
    <t>calculates cumulative miles</t>
  </si>
  <si>
    <t>resets MP to zero start + increment</t>
  </si>
  <si>
    <t>converts degrees to central angle</t>
  </si>
  <si>
    <t>sets "UNK" grades to zero</t>
  </si>
  <si>
    <t>converts to ft.</t>
  </si>
  <si>
    <t>calculates product (Grade X Length)</t>
  </si>
  <si>
    <t>Column layout of data in the "Track Data" worksheet</t>
  </si>
  <si>
    <t>Conv PASS</t>
  </si>
  <si>
    <t>Tilt-body Pass</t>
  </si>
  <si>
    <t>Tilt-body</t>
  </si>
  <si>
    <t>These 5 columns are necessary, if there are no tilt-body trains involved set the speeds in column I to those for conventional equipment in column H</t>
  </si>
  <si>
    <t>C-Spd Chg</t>
  </si>
  <si>
    <t>T-Spd Chg</t>
  </si>
  <si>
    <t xml:space="preserve">Remove any data from previous track charts in columns A through L that extended beyond the new data file </t>
  </si>
  <si>
    <t xml:space="preserve">Copy additional rows of calculation columns M through T (as defined at right) to ensure all of the new track data file is being processed </t>
  </si>
  <si>
    <t>If necesssary do an F9 (forced recalculation) to update the data tables.</t>
  </si>
  <si>
    <t>seg 5</t>
  </si>
  <si>
    <t>seg 6</t>
  </si>
  <si>
    <t>seg 7</t>
  </si>
  <si>
    <t>seg 8</t>
  </si>
  <si>
    <t>Seg-2 Up grades Positive in Forward Direction</t>
  </si>
  <si>
    <t>Seg-4 Up grades Positive in Forward Direction</t>
  </si>
  <si>
    <t>Seg-3 Up grades Positive in Forward Direction</t>
  </si>
  <si>
    <t>No. Segments</t>
  </si>
  <si>
    <t>set the ColT row numbers to segment-1 line# (cell AG3) + 1 &gt;&gt;</t>
  </si>
  <si>
    <t>set the ColT row numbers to segment-2 line# (cell AG4) + 1 &gt;&gt;</t>
  </si>
  <si>
    <t>set the ColT row numbers to segment-3 line# (cell AG5) + 1 &gt;&gt;</t>
  </si>
  <si>
    <t>Remove old markers in col N</t>
  </si>
  <si>
    <t>notes conventional speed change locations</t>
  </si>
  <si>
    <t>notes tilt-body speed change locations</t>
  </si>
  <si>
    <t>Enter the starting location's elevation (ft.) in cell S2</t>
  </si>
  <si>
    <t>% not effectively flat</t>
  </si>
  <si>
    <t>original</t>
  </si>
  <si>
    <t>test with 8 segments</t>
  </si>
  <si>
    <t>Seg-5 Up grades Positive in Forward Direction</t>
  </si>
  <si>
    <t>Seg-6 Up grades Positive in Forward Direction</t>
  </si>
  <si>
    <t>Seg-7 Up grades Positive in Forward Direction</t>
  </si>
  <si>
    <t>Seg-8 Up grades Positive in Forward Direction</t>
  </si>
  <si>
    <t>&lt;&lt; copy AJ15:AM25 and then paste VALUES to AA15</t>
  </si>
  <si>
    <t>Put row numer of segment</t>
  </si>
  <si>
    <t>boundaries in AG2:AG10</t>
  </si>
  <si>
    <t>Then click blue button below</t>
  </si>
  <si>
    <t>to build the grade table</t>
  </si>
  <si>
    <t>To build the grade table</t>
  </si>
  <si>
    <t>1)</t>
  </si>
  <si>
    <t>2)</t>
  </si>
  <si>
    <t>Click the blue "Click to Update Grade Table" button to setup segment formulae and update the grade table</t>
  </si>
  <si>
    <t>Plot the elevation profile and pick any major inflection points near a speed change as segment boundaries and manually mark into column N</t>
  </si>
  <si>
    <t>This is the text of the required cell formulae at AA15:AD25</t>
  </si>
  <si>
    <t>Copy the formalae in cell range AJ15:AM25 and 'paste values' at AA15 (or type the formulae shown at AJ15 into cell AA15 and so one for each cell in the range AA15:AH25).  After copying, the cells will not be operative until the next step so do not be concerned if a logic result is not shown in the cells after copying.</t>
  </si>
  <si>
    <t>Multi-Modal Passenger Simulator (MMPASSIM) - Track Data Preprocessor</t>
  </si>
  <si>
    <t>Under NCRRP Project 02-01, a TranSys Research Ltd. team developed this Multi-Modal Passenger Simulation Model (MMPASSIM)</t>
  </si>
  <si>
    <t>for comparing passenger rail energy consumption and greenhouse gas emissions with competing modes of travel.</t>
  </si>
  <si>
    <t xml:space="preserve">The MMPASSIM model, track data preprocessor, a Technical Document and User’s Guide, and an applications report "NCRRP Report 3", </t>
  </si>
  <si>
    <t xml:space="preserve">(which includes a general literature review, case study applications of the model, and a discussion of the barriers to energy efficiency </t>
  </si>
  <si>
    <t>improvements in the U.S. passenger rail industry) are all available online from the Transportation Research Board (TRB).  </t>
  </si>
  <si>
    <t>To access the webpage, go to www.trb.org and search for “NCRRP Report 3”.</t>
  </si>
  <si>
    <t>MMPASSIM Track Data Preprocessor</t>
  </si>
  <si>
    <t>Version</t>
  </si>
  <si>
    <t>Release Date</t>
  </si>
  <si>
    <t>1.3.10</t>
  </si>
  <si>
    <r>
      <t xml:space="preserve">Copy the number of segments and Central Angle of curvature per mile of track from AF13:AF14 and value-paste to the </t>
    </r>
    <r>
      <rPr>
        <b/>
        <i/>
        <sz val="11"/>
        <color theme="1"/>
        <rFont val="Calibri"/>
        <family val="2"/>
        <scheme val="minor"/>
      </rPr>
      <t>'Rail-Route'</t>
    </r>
    <r>
      <rPr>
        <sz val="11"/>
        <color theme="1"/>
        <rFont val="Calibri"/>
        <family val="2"/>
        <scheme val="minor"/>
      </rPr>
      <t xml:space="preserve"> sheet in MMPASSIM</t>
    </r>
  </si>
  <si>
    <r>
      <t xml:space="preserve">Copy the formatted Output Gradient Tables from AF112:AN138 and value-paste to </t>
    </r>
    <r>
      <rPr>
        <b/>
        <i/>
        <sz val="11"/>
        <color theme="1"/>
        <rFont val="Calibri"/>
        <family val="2"/>
        <scheme val="minor"/>
      </rPr>
      <t>'Rail-Route'</t>
    </r>
    <r>
      <rPr>
        <sz val="11"/>
        <color theme="1"/>
        <rFont val="Calibri"/>
        <family val="2"/>
        <scheme val="minor"/>
      </rPr>
      <t xml:space="preserve"> sheet in MMPASSIM</t>
    </r>
  </si>
  <si>
    <r>
      <t xml:space="preserve">Filter Column Q for all non-blank and non-zero speed changes and separately copy the MP column-O and two Speed columns-P&amp;Q to the </t>
    </r>
    <r>
      <rPr>
        <b/>
        <i/>
        <sz val="11"/>
        <color theme="1"/>
        <rFont val="Calibri"/>
        <family val="2"/>
        <scheme val="minor"/>
      </rPr>
      <t>'Rail-Route'</t>
    </r>
    <r>
      <rPr>
        <sz val="11"/>
        <color theme="1"/>
        <rFont val="Calibri"/>
        <family val="2"/>
        <scheme val="minor"/>
      </rPr>
      <t xml:space="preserve"> sheet speed table in MMPASSIM - Note that the first row of the MMPASSIM speed table is set to automatically repeat the start milepost and speeds; also, the calculated speedlimit in the preprocessor automatically repeats the last MP and speed limits.  These are required by the model logic to locate the start/end of the speed table.</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</si>
</sst>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 #,##0.00_-;_-* &quot;-&quot;??_-;_-@_-"/>
    <numFmt numFmtId="164" formatCode="_(* #,##0_);_(* \(#,##0\);_(* &quot;-&quot;??_);_(@_)"/>
    <numFmt numFmtId="165" formatCode="#.00"/>
    <numFmt numFmtId="166" formatCode="0.0"/>
    <numFmt numFmtId="167" formatCode="0.0%"/>
    <numFmt numFmtId="168" formatCode="_-* #,##0_-;\-* #,##0_-;_-* &quot;-&quot;??_-;_-@_-"/>
    <numFmt numFmtId="169" formatCode="[$-1009]mmmm\ d\,\ yyyy;@"/>
  </numFmts>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1"/>
      <color rgb="FFFF0000"/>
      <name val="Calibri"/>
      <family val="2"/>
      <scheme val="minor"/>
    </font>
    <font>
      <b/>
      <sz val="10"/>
      <name val="Arial"/>
      <family val="2"/>
    </font>
    <font>
      <u/>
      <sz val="10"/>
      <color indexed="12"/>
      <name val="Arial"/>
      <family val="2"/>
    </font>
    <font>
      <b/>
      <sz val="9"/>
      <color indexed="81"/>
      <name val="Tahoma"/>
      <family val="2"/>
    </font>
    <font>
      <sz val="9"/>
      <color indexed="81"/>
      <name val="Tahoma"/>
      <family val="2"/>
    </font>
    <font>
      <b/>
      <i/>
      <sz val="11"/>
      <color theme="1"/>
      <name val="Calibri"/>
      <family val="2"/>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DCE6F1"/>
        <bgColor indexed="64"/>
      </patternFill>
    </fill>
    <fill>
      <patternFill patternType="solid">
        <fgColor rgb="FFFDE9D9"/>
        <bgColor indexed="64"/>
      </patternFill>
    </fill>
    <fill>
      <patternFill patternType="solid">
        <fgColor rgb="FFE4DFEC"/>
        <bgColor indexed="64"/>
      </patternFill>
    </fill>
    <fill>
      <patternFill patternType="solid">
        <fgColor rgb="FFDDD9C4"/>
        <bgColor indexed="64"/>
      </patternFill>
    </fill>
    <fill>
      <patternFill patternType="solid">
        <fgColor theme="3" tint="0.79998168889431442"/>
        <bgColor indexed="64"/>
      </patternFill>
    </fill>
    <fill>
      <patternFill patternType="solid">
        <fgColor theme="6" tint="0.59996337778862885"/>
        <bgColor indexed="64"/>
      </patternFill>
    </fill>
    <fill>
      <patternFill patternType="solid">
        <fgColor theme="7" tint="0.59996337778862885"/>
        <bgColor indexed="64"/>
      </patternFill>
    </fill>
    <fill>
      <patternFill patternType="solid">
        <fgColor theme="2" tint="-9.9948118533890809E-2"/>
        <bgColor indexed="64"/>
      </patternFill>
    </fill>
  </fills>
  <borders count="3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22" fillId="0" borderId="0" applyNumberFormat="0" applyFill="0" applyBorder="0" applyAlignment="0" applyProtection="0">
      <alignment vertical="top"/>
      <protection locked="0"/>
    </xf>
  </cellStyleXfs>
  <cellXfs count="132">
    <xf numFmtId="0" fontId="0" fillId="0" borderId="0" xfId="0"/>
    <xf numFmtId="0" fontId="0" fillId="0" borderId="0" xfId="0" applyFont="1"/>
    <xf numFmtId="0" fontId="0" fillId="0" borderId="0" xfId="0"/>
    <xf numFmtId="0" fontId="0" fillId="0" borderId="0" xfId="0"/>
    <xf numFmtId="0" fontId="0" fillId="0" borderId="0" xfId="0"/>
    <xf numFmtId="0" fontId="18" fillId="0" borderId="0" xfId="0" applyFont="1"/>
    <xf numFmtId="0" fontId="0" fillId="33" borderId="0" xfId="0" applyFill="1"/>
    <xf numFmtId="0" fontId="0" fillId="34" borderId="0" xfId="0" applyFill="1"/>
    <xf numFmtId="164" fontId="0" fillId="0" borderId="0" xfId="44" applyNumberFormat="1" applyFont="1"/>
    <xf numFmtId="43" fontId="0" fillId="0" borderId="0" xfId="0" applyNumberFormat="1"/>
    <xf numFmtId="165" fontId="0" fillId="0" borderId="0" xfId="0" applyNumberFormat="1"/>
    <xf numFmtId="166" fontId="0" fillId="0" borderId="0" xfId="0" applyNumberFormat="1"/>
    <xf numFmtId="2" fontId="0" fillId="0" borderId="0" xfId="0" applyNumberFormat="1"/>
    <xf numFmtId="167" fontId="0" fillId="0" borderId="0" xfId="45" applyNumberFormat="1" applyFont="1"/>
    <xf numFmtId="167" fontId="0" fillId="0" borderId="0" xfId="0" applyNumberFormat="1"/>
    <xf numFmtId="164" fontId="0" fillId="34" borderId="0" xfId="44" applyNumberFormat="1" applyFont="1" applyFill="1"/>
    <xf numFmtId="164" fontId="0" fillId="33" borderId="0" xfId="44" applyNumberFormat="1" applyFont="1" applyFill="1"/>
    <xf numFmtId="167" fontId="0" fillId="0" borderId="0" xfId="0" applyNumberFormat="1" applyFont="1"/>
    <xf numFmtId="43" fontId="0" fillId="0" borderId="0" xfId="44" applyFont="1"/>
    <xf numFmtId="168" fontId="0" fillId="0" borderId="0" xfId="44" applyNumberFormat="1" applyFont="1"/>
    <xf numFmtId="0" fontId="0" fillId="34" borderId="0" xfId="0" applyFont="1" applyFill="1"/>
    <xf numFmtId="167" fontId="0" fillId="34" borderId="0" xfId="0" applyNumberFormat="1" applyFont="1" applyFill="1"/>
    <xf numFmtId="43" fontId="0" fillId="34" borderId="0" xfId="0" applyNumberFormat="1" applyFont="1" applyFill="1"/>
    <xf numFmtId="168" fontId="0" fillId="34" borderId="0" xfId="0" applyNumberFormat="1" applyFill="1"/>
    <xf numFmtId="168" fontId="0" fillId="33" borderId="0" xfId="0" applyNumberFormat="1" applyFill="1"/>
    <xf numFmtId="0" fontId="0" fillId="33" borderId="0" xfId="0" applyFont="1" applyFill="1"/>
    <xf numFmtId="166" fontId="0" fillId="0" borderId="0" xfId="0" applyNumberFormat="1" applyFont="1"/>
    <xf numFmtId="167" fontId="0" fillId="33" borderId="0" xfId="0" applyNumberFormat="1" applyFont="1" applyFill="1"/>
    <xf numFmtId="0" fontId="0" fillId="0" borderId="0" xfId="0" applyAlignment="1">
      <alignment wrapText="1"/>
    </xf>
    <xf numFmtId="0" fontId="0" fillId="37" borderId="0" xfId="0" applyFont="1" applyFill="1"/>
    <xf numFmtId="0" fontId="0" fillId="38" borderId="0" xfId="0" applyFont="1" applyFill="1"/>
    <xf numFmtId="0" fontId="0" fillId="37" borderId="0" xfId="0" applyFill="1"/>
    <xf numFmtId="0" fontId="0" fillId="38" borderId="0" xfId="0" applyFill="1"/>
    <xf numFmtId="0" fontId="1" fillId="34" borderId="10" xfId="46" applyFill="1" applyBorder="1"/>
    <xf numFmtId="2" fontId="1" fillId="35" borderId="0" xfId="46" applyNumberFormat="1" applyFill="1"/>
    <xf numFmtId="0" fontId="19" fillId="34" borderId="10" xfId="43" applyFill="1" applyBorder="1"/>
    <xf numFmtId="0" fontId="19" fillId="35" borderId="0" xfId="43" applyFill="1"/>
    <xf numFmtId="0" fontId="1" fillId="35" borderId="0" xfId="46" applyFill="1"/>
    <xf numFmtId="0" fontId="19" fillId="34" borderId="0" xfId="43" applyFill="1"/>
    <xf numFmtId="9" fontId="1" fillId="35" borderId="0" xfId="45" applyFill="1"/>
    <xf numFmtId="0" fontId="0" fillId="0" borderId="0" xfId="0" applyNumberFormat="1" applyFont="1"/>
    <xf numFmtId="0" fontId="0" fillId="0" borderId="0" xfId="0" applyFont="1" applyAlignment="1">
      <alignment horizontal="right"/>
    </xf>
    <xf numFmtId="2" fontId="1" fillId="36" borderId="0" xfId="46" applyNumberFormat="1" applyFill="1"/>
    <xf numFmtId="167" fontId="1" fillId="36" borderId="0" xfId="45" applyNumberFormat="1" applyFill="1"/>
    <xf numFmtId="0" fontId="0" fillId="35" borderId="0" xfId="0" applyFill="1"/>
    <xf numFmtId="0" fontId="0" fillId="0" borderId="0" xfId="0" applyAlignment="1"/>
    <xf numFmtId="0" fontId="0" fillId="0" borderId="10" xfId="0" applyBorder="1" applyAlignment="1"/>
    <xf numFmtId="0" fontId="0" fillId="0" borderId="10" xfId="0" applyFill="1" applyBorder="1" applyAlignment="1"/>
    <xf numFmtId="0" fontId="0" fillId="0" borderId="10" xfId="0" applyBorder="1"/>
    <xf numFmtId="0" fontId="0" fillId="39" borderId="10" xfId="0" applyFill="1" applyBorder="1"/>
    <xf numFmtId="0" fontId="0" fillId="35" borderId="10" xfId="0" applyFill="1" applyBorder="1"/>
    <xf numFmtId="0" fontId="0" fillId="0" borderId="14" xfId="0" applyBorder="1" applyAlignment="1"/>
    <xf numFmtId="2" fontId="0" fillId="41" borderId="0" xfId="0" applyNumberFormat="1" applyFill="1"/>
    <xf numFmtId="0" fontId="0" fillId="42" borderId="0" xfId="0" applyFont="1" applyFill="1"/>
    <xf numFmtId="0" fontId="0" fillId="40" borderId="0" xfId="0" applyFont="1" applyFill="1"/>
    <xf numFmtId="2" fontId="0" fillId="43" borderId="0" xfId="0" applyNumberFormat="1" applyFill="1"/>
    <xf numFmtId="0" fontId="0" fillId="0" borderId="0" xfId="0" applyAlignment="1">
      <alignment vertical="center"/>
    </xf>
    <xf numFmtId="9" fontId="1" fillId="35" borderId="0" xfId="46" applyNumberFormat="1" applyFill="1"/>
    <xf numFmtId="9" fontId="0" fillId="44" borderId="0" xfId="0" applyNumberFormat="1" applyFont="1" applyFill="1"/>
    <xf numFmtId="0" fontId="0" fillId="44" borderId="0" xfId="0" applyFont="1" applyFill="1"/>
    <xf numFmtId="10" fontId="0" fillId="44" borderId="0" xfId="0" applyNumberFormat="1" applyFont="1" applyFill="1" applyAlignment="1">
      <alignment horizontal="right"/>
    </xf>
    <xf numFmtId="0" fontId="16" fillId="0" borderId="0" xfId="0" applyFont="1" applyAlignment="1">
      <alignment wrapText="1"/>
    </xf>
    <xf numFmtId="164" fontId="16" fillId="33" borderId="0" xfId="44" applyNumberFormat="1" applyFont="1" applyFill="1"/>
    <xf numFmtId="0" fontId="16" fillId="33" borderId="0" xfId="0" applyFont="1" applyFill="1"/>
    <xf numFmtId="0" fontId="16" fillId="34" borderId="0" xfId="0" applyFont="1" applyFill="1"/>
    <xf numFmtId="0" fontId="16" fillId="0" borderId="0" xfId="0" applyFont="1" applyAlignment="1">
      <alignment horizontal="right"/>
    </xf>
    <xf numFmtId="0" fontId="16" fillId="0" borderId="0" xfId="0" applyFont="1"/>
    <xf numFmtId="2" fontId="0" fillId="34" borderId="0" xfId="0" applyNumberFormat="1" applyFill="1"/>
    <xf numFmtId="2" fontId="0" fillId="37" borderId="0" xfId="0" applyNumberFormat="1" applyFill="1"/>
    <xf numFmtId="2" fontId="0" fillId="38" borderId="0" xfId="0" applyNumberFormat="1" applyFill="1"/>
    <xf numFmtId="2" fontId="0" fillId="42" borderId="0" xfId="0" applyNumberFormat="1" applyFont="1" applyFill="1"/>
    <xf numFmtId="2" fontId="0" fillId="40" borderId="0" xfId="0" applyNumberFormat="1" applyFont="1" applyFill="1"/>
    <xf numFmtId="0" fontId="0" fillId="41" borderId="0" xfId="0" applyNumberFormat="1" applyFill="1"/>
    <xf numFmtId="0" fontId="0" fillId="43" borderId="0" xfId="0" applyNumberFormat="1" applyFill="1"/>
    <xf numFmtId="0" fontId="0" fillId="45" borderId="0" xfId="0" applyFont="1" applyFill="1"/>
    <xf numFmtId="0" fontId="0" fillId="46" borderId="0" xfId="0" applyFont="1" applyFill="1"/>
    <xf numFmtId="0" fontId="0" fillId="47" borderId="0" xfId="0" applyFont="1" applyFill="1"/>
    <xf numFmtId="0" fontId="0" fillId="48" borderId="0" xfId="0" applyFont="1" applyFill="1"/>
    <xf numFmtId="0" fontId="16" fillId="0" borderId="0" xfId="0" applyFont="1" applyBorder="1" applyAlignment="1">
      <alignment horizontal="right"/>
    </xf>
    <xf numFmtId="0" fontId="0" fillId="34" borderId="0" xfId="0" applyFont="1" applyFill="1" applyBorder="1"/>
    <xf numFmtId="0" fontId="0" fillId="0" borderId="0" xfId="0" applyBorder="1"/>
    <xf numFmtId="0" fontId="0" fillId="0" borderId="0" xfId="0" applyFont="1" applyBorder="1"/>
    <xf numFmtId="0" fontId="0" fillId="50" borderId="0" xfId="0" applyFont="1" applyFill="1" applyBorder="1"/>
    <xf numFmtId="0" fontId="0" fillId="51" borderId="0" xfId="0" applyFont="1" applyFill="1" applyBorder="1"/>
    <xf numFmtId="0" fontId="0" fillId="49" borderId="0" xfId="0" applyFont="1" applyFill="1" applyBorder="1"/>
    <xf numFmtId="0" fontId="0" fillId="42" borderId="0" xfId="0" applyFont="1" applyFill="1" applyBorder="1"/>
    <xf numFmtId="0" fontId="0" fillId="43" borderId="0" xfId="0" applyFont="1" applyFill="1" applyBorder="1"/>
    <xf numFmtId="0" fontId="0" fillId="33" borderId="16" xfId="0" applyFill="1" applyBorder="1"/>
    <xf numFmtId="0" fontId="0" fillId="33" borderId="15" xfId="0" applyFill="1" applyBorder="1"/>
    <xf numFmtId="0" fontId="0" fillId="0" borderId="14" xfId="0" applyBorder="1"/>
    <xf numFmtId="0" fontId="0" fillId="50" borderId="14" xfId="0" applyFont="1" applyFill="1" applyBorder="1"/>
    <xf numFmtId="0" fontId="0" fillId="0" borderId="18" xfId="0" applyFont="1" applyBorder="1"/>
    <xf numFmtId="0" fontId="0" fillId="0" borderId="14" xfId="0" applyFont="1" applyBorder="1"/>
    <xf numFmtId="0" fontId="0" fillId="42" borderId="18" xfId="0" applyFont="1" applyFill="1" applyBorder="1"/>
    <xf numFmtId="0" fontId="0" fillId="0" borderId="15" xfId="0" applyBorder="1"/>
    <xf numFmtId="0" fontId="0" fillId="0" borderId="17" xfId="0" applyBorder="1"/>
    <xf numFmtId="0" fontId="0" fillId="34" borderId="18" xfId="0" applyFont="1" applyFill="1" applyBorder="1"/>
    <xf numFmtId="0" fontId="0" fillId="51" borderId="18" xfId="0" applyFont="1" applyFill="1" applyBorder="1"/>
    <xf numFmtId="0" fontId="0" fillId="49" borderId="14" xfId="0" applyFont="1" applyFill="1" applyBorder="1"/>
    <xf numFmtId="0" fontId="0" fillId="43" borderId="14" xfId="0" applyFont="1" applyFill="1" applyBorder="1"/>
    <xf numFmtId="0" fontId="0" fillId="0" borderId="19" xfId="0" applyFont="1" applyBorder="1"/>
    <xf numFmtId="0" fontId="0" fillId="0" borderId="20" xfId="0" applyFont="1" applyBorder="1"/>
    <xf numFmtId="0" fontId="0" fillId="52" borderId="20" xfId="0" applyFont="1" applyFill="1" applyBorder="1"/>
    <xf numFmtId="0" fontId="0" fillId="52" borderId="21" xfId="0" applyFont="1" applyFill="1" applyBorder="1"/>
    <xf numFmtId="0" fontId="0" fillId="35" borderId="12" xfId="0" applyFont="1" applyFill="1" applyBorder="1"/>
    <xf numFmtId="0" fontId="0" fillId="35" borderId="13" xfId="0" applyFont="1" applyFill="1" applyBorder="1"/>
    <xf numFmtId="0" fontId="0" fillId="34" borderId="11" xfId="0" applyFont="1" applyFill="1" applyBorder="1"/>
    <xf numFmtId="43" fontId="0" fillId="34" borderId="0" xfId="44" applyNumberFormat="1" applyFont="1" applyFill="1"/>
    <xf numFmtId="168" fontId="0" fillId="34" borderId="0" xfId="44" applyNumberFormat="1" applyFont="1" applyFill="1"/>
    <xf numFmtId="0" fontId="20" fillId="0" borderId="0" xfId="0" applyFont="1"/>
    <xf numFmtId="0" fontId="0" fillId="0" borderId="0" xfId="0" applyAlignment="1">
      <alignment horizontal="right"/>
    </xf>
    <xf numFmtId="0" fontId="21" fillId="0" borderId="25" xfId="0" applyFont="1" applyBorder="1" applyAlignment="1" applyProtection="1"/>
    <xf numFmtId="0" fontId="0" fillId="0" borderId="26" xfId="0" applyBorder="1"/>
    <xf numFmtId="0" fontId="0" fillId="0" borderId="25" xfId="0" applyBorder="1"/>
    <xf numFmtId="0" fontId="18" fillId="0" borderId="25" xfId="0" applyFont="1" applyBorder="1"/>
    <xf numFmtId="0" fontId="0" fillId="0" borderId="28" xfId="0" applyBorder="1"/>
    <xf numFmtId="0" fontId="0" fillId="0" borderId="29" xfId="0" applyBorder="1"/>
    <xf numFmtId="169" fontId="0" fillId="0" borderId="0" xfId="0" applyNumberFormat="1" applyAlignment="1">
      <alignment horizontal="left"/>
    </xf>
    <xf numFmtId="0" fontId="16" fillId="0" borderId="15" xfId="0" applyFont="1" applyBorder="1" applyAlignment="1">
      <alignment horizontal="center" wrapText="1"/>
    </xf>
    <xf numFmtId="0" fontId="0" fillId="0" borderId="0" xfId="0" applyAlignment="1">
      <alignment horizontal="left"/>
    </xf>
    <xf numFmtId="0" fontId="0" fillId="0" borderId="0" xfId="0" applyAlignment="1">
      <alignment horizontal="left" wrapText="1"/>
    </xf>
    <xf numFmtId="0" fontId="21" fillId="0" borderId="22" xfId="0" applyFont="1" applyBorder="1" applyAlignment="1" applyProtection="1">
      <alignment horizontal="center"/>
    </xf>
    <xf numFmtId="0" fontId="21" fillId="0" borderId="23" xfId="0" applyFont="1" applyBorder="1" applyAlignment="1" applyProtection="1">
      <alignment horizontal="center"/>
    </xf>
    <xf numFmtId="0" fontId="21" fillId="0" borderId="24" xfId="0" applyFont="1" applyBorder="1" applyAlignment="1" applyProtection="1">
      <alignment horizontal="center"/>
    </xf>
    <xf numFmtId="0" fontId="18" fillId="0" borderId="27" xfId="48" applyFont="1" applyBorder="1" applyAlignment="1" applyProtection="1"/>
    <xf numFmtId="0" fontId="18" fillId="0" borderId="28" xfId="48" applyFont="1" applyBorder="1" applyAlignment="1" applyProtection="1"/>
    <xf numFmtId="0" fontId="0" fillId="0" borderId="30" xfId="0" applyBorder="1" applyAlignment="1">
      <alignment horizontal="center"/>
    </xf>
    <xf numFmtId="0" fontId="0" fillId="0" borderId="32" xfId="0" applyBorder="1" applyAlignment="1">
      <alignment horizontal="center"/>
    </xf>
    <xf numFmtId="0" fontId="0" fillId="0" borderId="31" xfId="0" applyBorder="1" applyAlignment="1">
      <alignment horizontal="center"/>
    </xf>
    <xf numFmtId="0" fontId="19" fillId="34" borderId="11" xfId="43" applyFill="1" applyBorder="1" applyAlignment="1">
      <alignment horizontal="center" vertical="center" wrapText="1"/>
    </xf>
    <xf numFmtId="0" fontId="19" fillId="34" borderId="12" xfId="43" applyFill="1" applyBorder="1" applyAlignment="1">
      <alignment horizontal="center" vertical="center" wrapText="1"/>
    </xf>
    <xf numFmtId="0" fontId="19" fillId="34" borderId="13" xfId="43" applyFill="1" applyBorder="1" applyAlignment="1">
      <alignment horizontal="center" vertical="center" wrapText="1"/>
    </xf>
  </cellXfs>
  <cellStyles count="49">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8" builtinId="8"/>
    <cellStyle name="Input" xfId="9" builtinId="20" customBuiltin="1"/>
    <cellStyle name="Linked Cell" xfId="12" builtinId="24" customBuiltin="1"/>
    <cellStyle name="Neutral" xfId="8" builtinId="28" customBuiltin="1"/>
    <cellStyle name="Normal" xfId="0" builtinId="0"/>
    <cellStyle name="Normal 2" xfId="42"/>
    <cellStyle name="Normal 2 2" xfId="43"/>
    <cellStyle name="Normal 2 2 2" xfId="46"/>
    <cellStyle name="Note" xfId="15" builtinId="10" customBuiltin="1"/>
    <cellStyle name="Output" xfId="10" builtinId="21" customBuiltin="1"/>
    <cellStyle name="Percent" xfId="45" builtinId="5"/>
    <cellStyle name="Percent 2 2" xfId="47"/>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Elevation Profile</a:t>
            </a:r>
          </a:p>
        </c:rich>
      </c:tx>
      <c:layout/>
      <c:overlay val="0"/>
    </c:title>
    <c:autoTitleDeleted val="0"/>
    <c:plotArea>
      <c:layout/>
      <c:scatterChart>
        <c:scatterStyle val="lineMarker"/>
        <c:varyColors val="0"/>
        <c:ser>
          <c:idx val="0"/>
          <c:order val="0"/>
          <c:tx>
            <c:strRef>
              <c:f>'Track Data'!$S$1</c:f>
              <c:strCache>
                <c:ptCount val="1"/>
                <c:pt idx="0">
                  <c:v>Elev (ft)</c:v>
                </c:pt>
              </c:strCache>
            </c:strRef>
          </c:tx>
          <c:marker>
            <c:symbol val="none"/>
          </c:marker>
          <c:xVal>
            <c:numRef>
              <c:f>'Track Data'!$O$2:$O$1146</c:f>
              <c:numCache>
                <c:formatCode>General</c:formatCode>
                <c:ptCount val="1145"/>
                <c:pt idx="0">
                  <c:v>0</c:v>
                </c:pt>
                <c:pt idx="1">
                  <c:v>0.30000000000000004</c:v>
                </c:pt>
                <c:pt idx="2">
                  <c:v>0.5</c:v>
                </c:pt>
                <c:pt idx="3">
                  <c:v>0.7</c:v>
                </c:pt>
                <c:pt idx="4">
                  <c:v>1</c:v>
                </c:pt>
                <c:pt idx="5">
                  <c:v>1.1000000000000001</c:v>
                </c:pt>
                <c:pt idx="6">
                  <c:v>1.2000000000000002</c:v>
                </c:pt>
                <c:pt idx="7">
                  <c:v>1.4000000000000001</c:v>
                </c:pt>
                <c:pt idx="8">
                  <c:v>1.6</c:v>
                </c:pt>
                <c:pt idx="9">
                  <c:v>1.7000000000000002</c:v>
                </c:pt>
                <c:pt idx="10">
                  <c:v>1.8</c:v>
                </c:pt>
                <c:pt idx="11">
                  <c:v>1.9000000000000001</c:v>
                </c:pt>
                <c:pt idx="12">
                  <c:v>2</c:v>
                </c:pt>
                <c:pt idx="13">
                  <c:v>2.1</c:v>
                </c:pt>
                <c:pt idx="14">
                  <c:v>2.6</c:v>
                </c:pt>
                <c:pt idx="15">
                  <c:v>2.9</c:v>
                </c:pt>
                <c:pt idx="16">
                  <c:v>3</c:v>
                </c:pt>
                <c:pt idx="17">
                  <c:v>3.2</c:v>
                </c:pt>
                <c:pt idx="18">
                  <c:v>3.9</c:v>
                </c:pt>
                <c:pt idx="19">
                  <c:v>4.1999999999999993</c:v>
                </c:pt>
                <c:pt idx="20">
                  <c:v>4.3</c:v>
                </c:pt>
                <c:pt idx="21">
                  <c:v>4.5</c:v>
                </c:pt>
                <c:pt idx="22">
                  <c:v>4.6999999999999993</c:v>
                </c:pt>
                <c:pt idx="23">
                  <c:v>4.8</c:v>
                </c:pt>
                <c:pt idx="24">
                  <c:v>5</c:v>
                </c:pt>
                <c:pt idx="25">
                  <c:v>5.3</c:v>
                </c:pt>
                <c:pt idx="26">
                  <c:v>5.6</c:v>
                </c:pt>
                <c:pt idx="27">
                  <c:v>5.6999999999999993</c:v>
                </c:pt>
                <c:pt idx="28">
                  <c:v>5.8999999999999995</c:v>
                </c:pt>
                <c:pt idx="29">
                  <c:v>6.1</c:v>
                </c:pt>
                <c:pt idx="30">
                  <c:v>6.1999999999999993</c:v>
                </c:pt>
                <c:pt idx="31">
                  <c:v>6.3999999999999995</c:v>
                </c:pt>
                <c:pt idx="32">
                  <c:v>6.5</c:v>
                </c:pt>
                <c:pt idx="33">
                  <c:v>6.6</c:v>
                </c:pt>
                <c:pt idx="34">
                  <c:v>6.6999999999999993</c:v>
                </c:pt>
                <c:pt idx="35">
                  <c:v>6.8999999999999995</c:v>
                </c:pt>
                <c:pt idx="36">
                  <c:v>7</c:v>
                </c:pt>
                <c:pt idx="37">
                  <c:v>7.1</c:v>
                </c:pt>
                <c:pt idx="38">
                  <c:v>7.3</c:v>
                </c:pt>
                <c:pt idx="39">
                  <c:v>7.5</c:v>
                </c:pt>
                <c:pt idx="40">
                  <c:v>7.6</c:v>
                </c:pt>
                <c:pt idx="41">
                  <c:v>7.8</c:v>
                </c:pt>
                <c:pt idx="42">
                  <c:v>7.8999999999999995</c:v>
                </c:pt>
                <c:pt idx="43">
                  <c:v>8.1</c:v>
                </c:pt>
                <c:pt idx="44">
                  <c:v>8.1999999999999993</c:v>
                </c:pt>
                <c:pt idx="45">
                  <c:v>8.4</c:v>
                </c:pt>
                <c:pt idx="46">
                  <c:v>8.6999999999999993</c:v>
                </c:pt>
                <c:pt idx="47">
                  <c:v>8.9</c:v>
                </c:pt>
                <c:pt idx="48">
                  <c:v>9.1</c:v>
                </c:pt>
                <c:pt idx="49">
                  <c:v>9.6</c:v>
                </c:pt>
                <c:pt idx="50">
                  <c:v>9.7999999999999989</c:v>
                </c:pt>
                <c:pt idx="51">
                  <c:v>10.1</c:v>
                </c:pt>
                <c:pt idx="52">
                  <c:v>10.199999999999999</c:v>
                </c:pt>
                <c:pt idx="53">
                  <c:v>10.4</c:v>
                </c:pt>
                <c:pt idx="54">
                  <c:v>10.5</c:v>
                </c:pt>
                <c:pt idx="55">
                  <c:v>10.6</c:v>
                </c:pt>
                <c:pt idx="56">
                  <c:v>10.7</c:v>
                </c:pt>
                <c:pt idx="57">
                  <c:v>11.1</c:v>
                </c:pt>
                <c:pt idx="58">
                  <c:v>11.299999999999999</c:v>
                </c:pt>
                <c:pt idx="59">
                  <c:v>11.4</c:v>
                </c:pt>
                <c:pt idx="60">
                  <c:v>11.5</c:v>
                </c:pt>
                <c:pt idx="61">
                  <c:v>11.7</c:v>
                </c:pt>
                <c:pt idx="62">
                  <c:v>11.799999999999999</c:v>
                </c:pt>
                <c:pt idx="63">
                  <c:v>11.9</c:v>
                </c:pt>
                <c:pt idx="64">
                  <c:v>12</c:v>
                </c:pt>
                <c:pt idx="65">
                  <c:v>12.1</c:v>
                </c:pt>
                <c:pt idx="66">
                  <c:v>12.2</c:v>
                </c:pt>
                <c:pt idx="67">
                  <c:v>12.299999999999999</c:v>
                </c:pt>
                <c:pt idx="68">
                  <c:v>12.4</c:v>
                </c:pt>
                <c:pt idx="69">
                  <c:v>12.5</c:v>
                </c:pt>
                <c:pt idx="70">
                  <c:v>12.6</c:v>
                </c:pt>
                <c:pt idx="71">
                  <c:v>12.7</c:v>
                </c:pt>
                <c:pt idx="72">
                  <c:v>12.799999999999999</c:v>
                </c:pt>
                <c:pt idx="73">
                  <c:v>12.9</c:v>
                </c:pt>
                <c:pt idx="74">
                  <c:v>13</c:v>
                </c:pt>
                <c:pt idx="75">
                  <c:v>13.2</c:v>
                </c:pt>
                <c:pt idx="76">
                  <c:v>13.4</c:v>
                </c:pt>
                <c:pt idx="77">
                  <c:v>13.6</c:v>
                </c:pt>
                <c:pt idx="78">
                  <c:v>13.7</c:v>
                </c:pt>
                <c:pt idx="79">
                  <c:v>13.799999999999999</c:v>
                </c:pt>
                <c:pt idx="80">
                  <c:v>14</c:v>
                </c:pt>
                <c:pt idx="81">
                  <c:v>14.1</c:v>
                </c:pt>
                <c:pt idx="82">
                  <c:v>14.2</c:v>
                </c:pt>
                <c:pt idx="83">
                  <c:v>14.299999999999999</c:v>
                </c:pt>
                <c:pt idx="84">
                  <c:v>14.4</c:v>
                </c:pt>
                <c:pt idx="85">
                  <c:v>14.6</c:v>
                </c:pt>
                <c:pt idx="86">
                  <c:v>14.7</c:v>
                </c:pt>
                <c:pt idx="87">
                  <c:v>14.9</c:v>
                </c:pt>
                <c:pt idx="88">
                  <c:v>15.299999999999999</c:v>
                </c:pt>
                <c:pt idx="89">
                  <c:v>15.5</c:v>
                </c:pt>
                <c:pt idx="90">
                  <c:v>15.6</c:v>
                </c:pt>
                <c:pt idx="91">
                  <c:v>15.7</c:v>
                </c:pt>
                <c:pt idx="92">
                  <c:v>15.9</c:v>
                </c:pt>
                <c:pt idx="93">
                  <c:v>16.100000000000001</c:v>
                </c:pt>
                <c:pt idx="94">
                  <c:v>16.3</c:v>
                </c:pt>
                <c:pt idx="95">
                  <c:v>16.400000000000002</c:v>
                </c:pt>
                <c:pt idx="96">
                  <c:v>16.5</c:v>
                </c:pt>
                <c:pt idx="97">
                  <c:v>16.600000000000001</c:v>
                </c:pt>
                <c:pt idx="98">
                  <c:v>16.700000000000003</c:v>
                </c:pt>
                <c:pt idx="99">
                  <c:v>16.8</c:v>
                </c:pt>
                <c:pt idx="100">
                  <c:v>16.900000000000002</c:v>
                </c:pt>
                <c:pt idx="101">
                  <c:v>17.100000000000001</c:v>
                </c:pt>
                <c:pt idx="102">
                  <c:v>17.3</c:v>
                </c:pt>
                <c:pt idx="103">
                  <c:v>17.5</c:v>
                </c:pt>
                <c:pt idx="104">
                  <c:v>17.700000000000003</c:v>
                </c:pt>
                <c:pt idx="105">
                  <c:v>17.900000000000002</c:v>
                </c:pt>
                <c:pt idx="106">
                  <c:v>18</c:v>
                </c:pt>
                <c:pt idx="107">
                  <c:v>18.200000000000003</c:v>
                </c:pt>
                <c:pt idx="108">
                  <c:v>18.3</c:v>
                </c:pt>
                <c:pt idx="109">
                  <c:v>18.600000000000001</c:v>
                </c:pt>
                <c:pt idx="110">
                  <c:v>18.8</c:v>
                </c:pt>
                <c:pt idx="111">
                  <c:v>19</c:v>
                </c:pt>
                <c:pt idx="112">
                  <c:v>19.100000000000001</c:v>
                </c:pt>
                <c:pt idx="113">
                  <c:v>19.5</c:v>
                </c:pt>
                <c:pt idx="114">
                  <c:v>19.700000000000003</c:v>
                </c:pt>
                <c:pt idx="115">
                  <c:v>19.900000000000002</c:v>
                </c:pt>
                <c:pt idx="116">
                  <c:v>20.100000000000001</c:v>
                </c:pt>
                <c:pt idx="117">
                  <c:v>20.3</c:v>
                </c:pt>
                <c:pt idx="118">
                  <c:v>20.400000000000002</c:v>
                </c:pt>
                <c:pt idx="119">
                  <c:v>20.6</c:v>
                </c:pt>
                <c:pt idx="120">
                  <c:v>20.700000000000003</c:v>
                </c:pt>
                <c:pt idx="121">
                  <c:v>20.8</c:v>
                </c:pt>
                <c:pt idx="122">
                  <c:v>21</c:v>
                </c:pt>
                <c:pt idx="123">
                  <c:v>21.1</c:v>
                </c:pt>
                <c:pt idx="124">
                  <c:v>21.200000000000003</c:v>
                </c:pt>
                <c:pt idx="125">
                  <c:v>21.3</c:v>
                </c:pt>
                <c:pt idx="126">
                  <c:v>21.400000000000002</c:v>
                </c:pt>
                <c:pt idx="127">
                  <c:v>21.6</c:v>
                </c:pt>
                <c:pt idx="128">
                  <c:v>21.700000000000003</c:v>
                </c:pt>
                <c:pt idx="129">
                  <c:v>21.8</c:v>
                </c:pt>
                <c:pt idx="130">
                  <c:v>21.900000000000002</c:v>
                </c:pt>
                <c:pt idx="131">
                  <c:v>22</c:v>
                </c:pt>
                <c:pt idx="132">
                  <c:v>22.1</c:v>
                </c:pt>
                <c:pt idx="133">
                  <c:v>22.3</c:v>
                </c:pt>
                <c:pt idx="134">
                  <c:v>22.400000000000002</c:v>
                </c:pt>
                <c:pt idx="135">
                  <c:v>22.5</c:v>
                </c:pt>
                <c:pt idx="136">
                  <c:v>22.6</c:v>
                </c:pt>
                <c:pt idx="137">
                  <c:v>22.700000000000003</c:v>
                </c:pt>
                <c:pt idx="138">
                  <c:v>22.8</c:v>
                </c:pt>
                <c:pt idx="139">
                  <c:v>23</c:v>
                </c:pt>
                <c:pt idx="140">
                  <c:v>23.200000000000003</c:v>
                </c:pt>
                <c:pt idx="141">
                  <c:v>23.400000000000002</c:v>
                </c:pt>
                <c:pt idx="142">
                  <c:v>23.6</c:v>
                </c:pt>
                <c:pt idx="143">
                  <c:v>23.8</c:v>
                </c:pt>
                <c:pt idx="144">
                  <c:v>23.900000000000002</c:v>
                </c:pt>
                <c:pt idx="145">
                  <c:v>24</c:v>
                </c:pt>
                <c:pt idx="146">
                  <c:v>24.400000000000002</c:v>
                </c:pt>
                <c:pt idx="147">
                  <c:v>24.6</c:v>
                </c:pt>
                <c:pt idx="148">
                  <c:v>24.8</c:v>
                </c:pt>
                <c:pt idx="149">
                  <c:v>24.900000000000002</c:v>
                </c:pt>
                <c:pt idx="150">
                  <c:v>25</c:v>
                </c:pt>
                <c:pt idx="151">
                  <c:v>25.1</c:v>
                </c:pt>
                <c:pt idx="152">
                  <c:v>25.400000000000002</c:v>
                </c:pt>
                <c:pt idx="153">
                  <c:v>25.6</c:v>
                </c:pt>
                <c:pt idx="154">
                  <c:v>26</c:v>
                </c:pt>
                <c:pt idx="155">
                  <c:v>26.1</c:v>
                </c:pt>
                <c:pt idx="156">
                  <c:v>26.200000000000003</c:v>
                </c:pt>
                <c:pt idx="157">
                  <c:v>26.3</c:v>
                </c:pt>
                <c:pt idx="158">
                  <c:v>26.400000000000002</c:v>
                </c:pt>
                <c:pt idx="159">
                  <c:v>26.5</c:v>
                </c:pt>
                <c:pt idx="160">
                  <c:v>26.6</c:v>
                </c:pt>
                <c:pt idx="161">
                  <c:v>26.700000000000003</c:v>
                </c:pt>
                <c:pt idx="162">
                  <c:v>26.8</c:v>
                </c:pt>
                <c:pt idx="163">
                  <c:v>27</c:v>
                </c:pt>
                <c:pt idx="164">
                  <c:v>27.1</c:v>
                </c:pt>
                <c:pt idx="165">
                  <c:v>27.200000000000003</c:v>
                </c:pt>
                <c:pt idx="166">
                  <c:v>27.400000000000002</c:v>
                </c:pt>
                <c:pt idx="167">
                  <c:v>27.6</c:v>
                </c:pt>
                <c:pt idx="168">
                  <c:v>27.700000000000003</c:v>
                </c:pt>
                <c:pt idx="169">
                  <c:v>27.8</c:v>
                </c:pt>
                <c:pt idx="170">
                  <c:v>28</c:v>
                </c:pt>
                <c:pt idx="171">
                  <c:v>28.1</c:v>
                </c:pt>
                <c:pt idx="172">
                  <c:v>28.200000000000003</c:v>
                </c:pt>
                <c:pt idx="173">
                  <c:v>28.3</c:v>
                </c:pt>
                <c:pt idx="174">
                  <c:v>28.5</c:v>
                </c:pt>
                <c:pt idx="175">
                  <c:v>28.700000000000003</c:v>
                </c:pt>
                <c:pt idx="176">
                  <c:v>29</c:v>
                </c:pt>
                <c:pt idx="177">
                  <c:v>29.2</c:v>
                </c:pt>
                <c:pt idx="178">
                  <c:v>29.400000000000002</c:v>
                </c:pt>
                <c:pt idx="179">
                  <c:v>29.5</c:v>
                </c:pt>
                <c:pt idx="180">
                  <c:v>29.6</c:v>
                </c:pt>
                <c:pt idx="181">
                  <c:v>29.900000000000002</c:v>
                </c:pt>
                <c:pt idx="182">
                  <c:v>30</c:v>
                </c:pt>
                <c:pt idx="183">
                  <c:v>30.1</c:v>
                </c:pt>
                <c:pt idx="184">
                  <c:v>30.5</c:v>
                </c:pt>
                <c:pt idx="185">
                  <c:v>30.700000000000003</c:v>
                </c:pt>
                <c:pt idx="186">
                  <c:v>31</c:v>
                </c:pt>
                <c:pt idx="187">
                  <c:v>31.3</c:v>
                </c:pt>
                <c:pt idx="188">
                  <c:v>31.5</c:v>
                </c:pt>
                <c:pt idx="189">
                  <c:v>31.6</c:v>
                </c:pt>
                <c:pt idx="190">
                  <c:v>31.700000000000003</c:v>
                </c:pt>
                <c:pt idx="191">
                  <c:v>31.900000000000002</c:v>
                </c:pt>
                <c:pt idx="192">
                  <c:v>32.1</c:v>
                </c:pt>
                <c:pt idx="193">
                  <c:v>32.200000000000003</c:v>
                </c:pt>
                <c:pt idx="194">
                  <c:v>32.300000000000004</c:v>
                </c:pt>
                <c:pt idx="195">
                  <c:v>32.4</c:v>
                </c:pt>
                <c:pt idx="196">
                  <c:v>32.800000000000004</c:v>
                </c:pt>
                <c:pt idx="197">
                  <c:v>33</c:v>
                </c:pt>
                <c:pt idx="198">
                  <c:v>33.200000000000003</c:v>
                </c:pt>
                <c:pt idx="199">
                  <c:v>33.300000000000004</c:v>
                </c:pt>
                <c:pt idx="200">
                  <c:v>33.5</c:v>
                </c:pt>
                <c:pt idx="201">
                  <c:v>33.6</c:v>
                </c:pt>
                <c:pt idx="202">
                  <c:v>33.700000000000003</c:v>
                </c:pt>
                <c:pt idx="203">
                  <c:v>33.800000000000004</c:v>
                </c:pt>
                <c:pt idx="204">
                  <c:v>34</c:v>
                </c:pt>
                <c:pt idx="205">
                  <c:v>34.4</c:v>
                </c:pt>
                <c:pt idx="206">
                  <c:v>34.6</c:v>
                </c:pt>
                <c:pt idx="207">
                  <c:v>34.700000000000003</c:v>
                </c:pt>
                <c:pt idx="208">
                  <c:v>34.800000000000004</c:v>
                </c:pt>
                <c:pt idx="209">
                  <c:v>34.9</c:v>
                </c:pt>
                <c:pt idx="210">
                  <c:v>35.1</c:v>
                </c:pt>
                <c:pt idx="211">
                  <c:v>35.200000000000003</c:v>
                </c:pt>
                <c:pt idx="212">
                  <c:v>35.300000000000004</c:v>
                </c:pt>
                <c:pt idx="213">
                  <c:v>35.5</c:v>
                </c:pt>
                <c:pt idx="214">
                  <c:v>35.6</c:v>
                </c:pt>
                <c:pt idx="215">
                  <c:v>35.700000000000003</c:v>
                </c:pt>
                <c:pt idx="216">
                  <c:v>36</c:v>
                </c:pt>
                <c:pt idx="217">
                  <c:v>36.200000000000003</c:v>
                </c:pt>
                <c:pt idx="218">
                  <c:v>36.300000000000004</c:v>
                </c:pt>
                <c:pt idx="219">
                  <c:v>36.4</c:v>
                </c:pt>
                <c:pt idx="220">
                  <c:v>36.5</c:v>
                </c:pt>
                <c:pt idx="221">
                  <c:v>36.700000000000003</c:v>
                </c:pt>
                <c:pt idx="222">
                  <c:v>37</c:v>
                </c:pt>
                <c:pt idx="223">
                  <c:v>37.1</c:v>
                </c:pt>
                <c:pt idx="224">
                  <c:v>37.4</c:v>
                </c:pt>
                <c:pt idx="225">
                  <c:v>37.700000000000003</c:v>
                </c:pt>
                <c:pt idx="226">
                  <c:v>37.800000000000004</c:v>
                </c:pt>
                <c:pt idx="227">
                  <c:v>37.9</c:v>
                </c:pt>
                <c:pt idx="228">
                  <c:v>38.200000000000003</c:v>
                </c:pt>
                <c:pt idx="229">
                  <c:v>38.300000000000004</c:v>
                </c:pt>
                <c:pt idx="230">
                  <c:v>38.5</c:v>
                </c:pt>
                <c:pt idx="231">
                  <c:v>38.700000000000003</c:v>
                </c:pt>
                <c:pt idx="232">
                  <c:v>38.9</c:v>
                </c:pt>
                <c:pt idx="233">
                  <c:v>39</c:v>
                </c:pt>
                <c:pt idx="234">
                  <c:v>39.200000000000003</c:v>
                </c:pt>
                <c:pt idx="235">
                  <c:v>39.4</c:v>
                </c:pt>
                <c:pt idx="236">
                  <c:v>39.5</c:v>
                </c:pt>
                <c:pt idx="237">
                  <c:v>39.6</c:v>
                </c:pt>
                <c:pt idx="238">
                  <c:v>39.800000000000004</c:v>
                </c:pt>
                <c:pt idx="239">
                  <c:v>40.1</c:v>
                </c:pt>
                <c:pt idx="240">
                  <c:v>40.4</c:v>
                </c:pt>
                <c:pt idx="241">
                  <c:v>40.5</c:v>
                </c:pt>
                <c:pt idx="242">
                  <c:v>40.6</c:v>
                </c:pt>
                <c:pt idx="243">
                  <c:v>40.700000000000003</c:v>
                </c:pt>
                <c:pt idx="244">
                  <c:v>40.9</c:v>
                </c:pt>
                <c:pt idx="245">
                  <c:v>41</c:v>
                </c:pt>
                <c:pt idx="246">
                  <c:v>41.1</c:v>
                </c:pt>
                <c:pt idx="247">
                  <c:v>41.2</c:v>
                </c:pt>
                <c:pt idx="248">
                  <c:v>41.300000000000004</c:v>
                </c:pt>
                <c:pt idx="249">
                  <c:v>41.4</c:v>
                </c:pt>
                <c:pt idx="250">
                  <c:v>41.5</c:v>
                </c:pt>
                <c:pt idx="251">
                  <c:v>41.6</c:v>
                </c:pt>
                <c:pt idx="252">
                  <c:v>41.7</c:v>
                </c:pt>
                <c:pt idx="253">
                  <c:v>41.9</c:v>
                </c:pt>
                <c:pt idx="254">
                  <c:v>42</c:v>
                </c:pt>
                <c:pt idx="255">
                  <c:v>42.2</c:v>
                </c:pt>
                <c:pt idx="256">
                  <c:v>42.5</c:v>
                </c:pt>
                <c:pt idx="257">
                  <c:v>43</c:v>
                </c:pt>
                <c:pt idx="258">
                  <c:v>43.2</c:v>
                </c:pt>
                <c:pt idx="259">
                  <c:v>43.300000000000004</c:v>
                </c:pt>
                <c:pt idx="260">
                  <c:v>43.4</c:v>
                </c:pt>
                <c:pt idx="261">
                  <c:v>43.6</c:v>
                </c:pt>
                <c:pt idx="262">
                  <c:v>43.7</c:v>
                </c:pt>
                <c:pt idx="263">
                  <c:v>43.9</c:v>
                </c:pt>
                <c:pt idx="264">
                  <c:v>44</c:v>
                </c:pt>
                <c:pt idx="265">
                  <c:v>44.1</c:v>
                </c:pt>
                <c:pt idx="266">
                  <c:v>44.300000000000004</c:v>
                </c:pt>
                <c:pt idx="267">
                  <c:v>44.4</c:v>
                </c:pt>
                <c:pt idx="268">
                  <c:v>44.6</c:v>
                </c:pt>
                <c:pt idx="269">
                  <c:v>44.9</c:v>
                </c:pt>
                <c:pt idx="270">
                  <c:v>45.1</c:v>
                </c:pt>
                <c:pt idx="271">
                  <c:v>45.300000000000004</c:v>
                </c:pt>
                <c:pt idx="272">
                  <c:v>45.4</c:v>
                </c:pt>
                <c:pt idx="273">
                  <c:v>45.5</c:v>
                </c:pt>
                <c:pt idx="274">
                  <c:v>45.6</c:v>
                </c:pt>
                <c:pt idx="275">
                  <c:v>45.7</c:v>
                </c:pt>
                <c:pt idx="276">
                  <c:v>45.9</c:v>
                </c:pt>
                <c:pt idx="277">
                  <c:v>46.1</c:v>
                </c:pt>
                <c:pt idx="278">
                  <c:v>46.4</c:v>
                </c:pt>
                <c:pt idx="279">
                  <c:v>46.6</c:v>
                </c:pt>
                <c:pt idx="280">
                  <c:v>47.1</c:v>
                </c:pt>
                <c:pt idx="281">
                  <c:v>47.2</c:v>
                </c:pt>
                <c:pt idx="282">
                  <c:v>47.300000000000004</c:v>
                </c:pt>
                <c:pt idx="283">
                  <c:v>47.4</c:v>
                </c:pt>
                <c:pt idx="284">
                  <c:v>47.6</c:v>
                </c:pt>
                <c:pt idx="285">
                  <c:v>47.800000000000004</c:v>
                </c:pt>
                <c:pt idx="286">
                  <c:v>48</c:v>
                </c:pt>
                <c:pt idx="287">
                  <c:v>48.2</c:v>
                </c:pt>
                <c:pt idx="288">
                  <c:v>48.300000000000004</c:v>
                </c:pt>
                <c:pt idx="289">
                  <c:v>48.6</c:v>
                </c:pt>
                <c:pt idx="290">
                  <c:v>48.800000000000004</c:v>
                </c:pt>
                <c:pt idx="291">
                  <c:v>49</c:v>
                </c:pt>
                <c:pt idx="292">
                  <c:v>49.2</c:v>
                </c:pt>
                <c:pt idx="293">
                  <c:v>49.300000000000004</c:v>
                </c:pt>
                <c:pt idx="294">
                  <c:v>49.5</c:v>
                </c:pt>
                <c:pt idx="295">
                  <c:v>49.6</c:v>
                </c:pt>
                <c:pt idx="296">
                  <c:v>49.800000000000004</c:v>
                </c:pt>
                <c:pt idx="297">
                  <c:v>49.9</c:v>
                </c:pt>
                <c:pt idx="298">
                  <c:v>50</c:v>
                </c:pt>
                <c:pt idx="299">
                  <c:v>50.1</c:v>
                </c:pt>
                <c:pt idx="300">
                  <c:v>50.2</c:v>
                </c:pt>
                <c:pt idx="301">
                  <c:v>50.300000000000004</c:v>
                </c:pt>
                <c:pt idx="302">
                  <c:v>50.4</c:v>
                </c:pt>
                <c:pt idx="303">
                  <c:v>50.5</c:v>
                </c:pt>
                <c:pt idx="304">
                  <c:v>50.6</c:v>
                </c:pt>
                <c:pt idx="305">
                  <c:v>50.9</c:v>
                </c:pt>
                <c:pt idx="306">
                  <c:v>51.1</c:v>
                </c:pt>
                <c:pt idx="307">
                  <c:v>51.800000000000004</c:v>
                </c:pt>
                <c:pt idx="308">
                  <c:v>52</c:v>
                </c:pt>
                <c:pt idx="309">
                  <c:v>52.1</c:v>
                </c:pt>
                <c:pt idx="310">
                  <c:v>52.4</c:v>
                </c:pt>
                <c:pt idx="311">
                  <c:v>52.5</c:v>
                </c:pt>
                <c:pt idx="312">
                  <c:v>52.7</c:v>
                </c:pt>
                <c:pt idx="313">
                  <c:v>52.800000000000004</c:v>
                </c:pt>
                <c:pt idx="314">
                  <c:v>53.1</c:v>
                </c:pt>
                <c:pt idx="315">
                  <c:v>53.2</c:v>
                </c:pt>
                <c:pt idx="316">
                  <c:v>53.300000000000004</c:v>
                </c:pt>
                <c:pt idx="317">
                  <c:v>53.4</c:v>
                </c:pt>
                <c:pt idx="318">
                  <c:v>53.5</c:v>
                </c:pt>
                <c:pt idx="319">
                  <c:v>53.6</c:v>
                </c:pt>
                <c:pt idx="320">
                  <c:v>53.7</c:v>
                </c:pt>
                <c:pt idx="321">
                  <c:v>53.800000000000004</c:v>
                </c:pt>
                <c:pt idx="322">
                  <c:v>53.9</c:v>
                </c:pt>
                <c:pt idx="323">
                  <c:v>54</c:v>
                </c:pt>
                <c:pt idx="324">
                  <c:v>54.1</c:v>
                </c:pt>
                <c:pt idx="325">
                  <c:v>54.2</c:v>
                </c:pt>
                <c:pt idx="326">
                  <c:v>54.300000000000004</c:v>
                </c:pt>
                <c:pt idx="327">
                  <c:v>54.4</c:v>
                </c:pt>
                <c:pt idx="328">
                  <c:v>54.5</c:v>
                </c:pt>
                <c:pt idx="329">
                  <c:v>54.7</c:v>
                </c:pt>
                <c:pt idx="330">
                  <c:v>54.9</c:v>
                </c:pt>
                <c:pt idx="331">
                  <c:v>55.1</c:v>
                </c:pt>
                <c:pt idx="332">
                  <c:v>55.2</c:v>
                </c:pt>
                <c:pt idx="333">
                  <c:v>55.300000000000004</c:v>
                </c:pt>
                <c:pt idx="334">
                  <c:v>55.4</c:v>
                </c:pt>
                <c:pt idx="335">
                  <c:v>55.5</c:v>
                </c:pt>
                <c:pt idx="336">
                  <c:v>55.6</c:v>
                </c:pt>
                <c:pt idx="337">
                  <c:v>55.7</c:v>
                </c:pt>
                <c:pt idx="338">
                  <c:v>55.800000000000004</c:v>
                </c:pt>
                <c:pt idx="339">
                  <c:v>55.9</c:v>
                </c:pt>
                <c:pt idx="340">
                  <c:v>56</c:v>
                </c:pt>
                <c:pt idx="341">
                  <c:v>56.1</c:v>
                </c:pt>
                <c:pt idx="342">
                  <c:v>56.300000000000004</c:v>
                </c:pt>
                <c:pt idx="343">
                  <c:v>56.4</c:v>
                </c:pt>
                <c:pt idx="344">
                  <c:v>56.5</c:v>
                </c:pt>
                <c:pt idx="345">
                  <c:v>56.7</c:v>
                </c:pt>
                <c:pt idx="346">
                  <c:v>57</c:v>
                </c:pt>
                <c:pt idx="347">
                  <c:v>57.300000000000004</c:v>
                </c:pt>
                <c:pt idx="348">
                  <c:v>57.800000000000004</c:v>
                </c:pt>
                <c:pt idx="349">
                  <c:v>58</c:v>
                </c:pt>
                <c:pt idx="350">
                  <c:v>58.2</c:v>
                </c:pt>
                <c:pt idx="351">
                  <c:v>58.5</c:v>
                </c:pt>
                <c:pt idx="352">
                  <c:v>58.800000000000004</c:v>
                </c:pt>
                <c:pt idx="353">
                  <c:v>58.9</c:v>
                </c:pt>
                <c:pt idx="354">
                  <c:v>59</c:v>
                </c:pt>
                <c:pt idx="355">
                  <c:v>59.1</c:v>
                </c:pt>
                <c:pt idx="356">
                  <c:v>59.2</c:v>
                </c:pt>
                <c:pt idx="357">
                  <c:v>59.300000000000004</c:v>
                </c:pt>
                <c:pt idx="358">
                  <c:v>59.4</c:v>
                </c:pt>
                <c:pt idx="359">
                  <c:v>59.5</c:v>
                </c:pt>
                <c:pt idx="360">
                  <c:v>59.7</c:v>
                </c:pt>
                <c:pt idx="361">
                  <c:v>59.800000000000004</c:v>
                </c:pt>
                <c:pt idx="362">
                  <c:v>60</c:v>
                </c:pt>
                <c:pt idx="363">
                  <c:v>60.2</c:v>
                </c:pt>
                <c:pt idx="364">
                  <c:v>60.300000000000004</c:v>
                </c:pt>
                <c:pt idx="365">
                  <c:v>60.6</c:v>
                </c:pt>
                <c:pt idx="366">
                  <c:v>60.7</c:v>
                </c:pt>
                <c:pt idx="367">
                  <c:v>60.800000000000004</c:v>
                </c:pt>
                <c:pt idx="368">
                  <c:v>60.9</c:v>
                </c:pt>
                <c:pt idx="369">
                  <c:v>61.4</c:v>
                </c:pt>
                <c:pt idx="370">
                  <c:v>61.5</c:v>
                </c:pt>
                <c:pt idx="371">
                  <c:v>61.7</c:v>
                </c:pt>
                <c:pt idx="372">
                  <c:v>61.800000000000004</c:v>
                </c:pt>
                <c:pt idx="373">
                  <c:v>61.9</c:v>
                </c:pt>
                <c:pt idx="374">
                  <c:v>62</c:v>
                </c:pt>
                <c:pt idx="375">
                  <c:v>62.2</c:v>
                </c:pt>
                <c:pt idx="376">
                  <c:v>62.5</c:v>
                </c:pt>
                <c:pt idx="377">
                  <c:v>62.6</c:v>
                </c:pt>
                <c:pt idx="378">
                  <c:v>62.7</c:v>
                </c:pt>
                <c:pt idx="379">
                  <c:v>62.800000000000004</c:v>
                </c:pt>
                <c:pt idx="380">
                  <c:v>62.9</c:v>
                </c:pt>
                <c:pt idx="381">
                  <c:v>63</c:v>
                </c:pt>
                <c:pt idx="382">
                  <c:v>63.1</c:v>
                </c:pt>
                <c:pt idx="383">
                  <c:v>63.4</c:v>
                </c:pt>
                <c:pt idx="384">
                  <c:v>63.5</c:v>
                </c:pt>
                <c:pt idx="385">
                  <c:v>63.6</c:v>
                </c:pt>
                <c:pt idx="386">
                  <c:v>63.7</c:v>
                </c:pt>
                <c:pt idx="387">
                  <c:v>63.800000000000004</c:v>
                </c:pt>
                <c:pt idx="388">
                  <c:v>63.9</c:v>
                </c:pt>
                <c:pt idx="389">
                  <c:v>64.099999999999994</c:v>
                </c:pt>
                <c:pt idx="390">
                  <c:v>64.199999999999989</c:v>
                </c:pt>
                <c:pt idx="391">
                  <c:v>64.5</c:v>
                </c:pt>
                <c:pt idx="392">
                  <c:v>64.8</c:v>
                </c:pt>
                <c:pt idx="393">
                  <c:v>64.899999999999991</c:v>
                </c:pt>
                <c:pt idx="394">
                  <c:v>65</c:v>
                </c:pt>
                <c:pt idx="395">
                  <c:v>65.099999999999994</c:v>
                </c:pt>
                <c:pt idx="396">
                  <c:v>65.199999999999989</c:v>
                </c:pt>
                <c:pt idx="397">
                  <c:v>65.3</c:v>
                </c:pt>
                <c:pt idx="398">
                  <c:v>65.399999999999991</c:v>
                </c:pt>
                <c:pt idx="399">
                  <c:v>65.599999999999994</c:v>
                </c:pt>
                <c:pt idx="400">
                  <c:v>65.699999999999989</c:v>
                </c:pt>
                <c:pt idx="401">
                  <c:v>65.899999999999991</c:v>
                </c:pt>
                <c:pt idx="402">
                  <c:v>66.099999999999994</c:v>
                </c:pt>
                <c:pt idx="403">
                  <c:v>66.199999999999989</c:v>
                </c:pt>
                <c:pt idx="404">
                  <c:v>66.3</c:v>
                </c:pt>
                <c:pt idx="405">
                  <c:v>66.399999999999991</c:v>
                </c:pt>
                <c:pt idx="406">
                  <c:v>66.5</c:v>
                </c:pt>
                <c:pt idx="407">
                  <c:v>66.599999999999994</c:v>
                </c:pt>
                <c:pt idx="408">
                  <c:v>66.699999999999989</c:v>
                </c:pt>
                <c:pt idx="409">
                  <c:v>66.8</c:v>
                </c:pt>
                <c:pt idx="410">
                  <c:v>66.899999999999991</c:v>
                </c:pt>
                <c:pt idx="411">
                  <c:v>67</c:v>
                </c:pt>
                <c:pt idx="412">
                  <c:v>67.099999999999994</c:v>
                </c:pt>
                <c:pt idx="413">
                  <c:v>67.199999999999989</c:v>
                </c:pt>
                <c:pt idx="414">
                  <c:v>67.3</c:v>
                </c:pt>
                <c:pt idx="415">
                  <c:v>67.399999999999991</c:v>
                </c:pt>
                <c:pt idx="416">
                  <c:v>67.5</c:v>
                </c:pt>
                <c:pt idx="417">
                  <c:v>67.8</c:v>
                </c:pt>
                <c:pt idx="418">
                  <c:v>67.899999999999991</c:v>
                </c:pt>
                <c:pt idx="419">
                  <c:v>68</c:v>
                </c:pt>
                <c:pt idx="420">
                  <c:v>68.099999999999994</c:v>
                </c:pt>
                <c:pt idx="421">
                  <c:v>68.199999999999989</c:v>
                </c:pt>
                <c:pt idx="422">
                  <c:v>68.399999999999991</c:v>
                </c:pt>
                <c:pt idx="423">
                  <c:v>68.5</c:v>
                </c:pt>
                <c:pt idx="424">
                  <c:v>68.599999999999994</c:v>
                </c:pt>
                <c:pt idx="425">
                  <c:v>68.699999999999989</c:v>
                </c:pt>
                <c:pt idx="426">
                  <c:v>69.199999999999989</c:v>
                </c:pt>
                <c:pt idx="427">
                  <c:v>69.399999999999991</c:v>
                </c:pt>
                <c:pt idx="428">
                  <c:v>69.5</c:v>
                </c:pt>
                <c:pt idx="429">
                  <c:v>69.699999999999989</c:v>
                </c:pt>
                <c:pt idx="430">
                  <c:v>70.099999999999994</c:v>
                </c:pt>
                <c:pt idx="431">
                  <c:v>70.199999999999989</c:v>
                </c:pt>
                <c:pt idx="432">
                  <c:v>70.399999999999991</c:v>
                </c:pt>
                <c:pt idx="433">
                  <c:v>70.5</c:v>
                </c:pt>
                <c:pt idx="434">
                  <c:v>70.599999999999994</c:v>
                </c:pt>
                <c:pt idx="435">
                  <c:v>70.899999999999991</c:v>
                </c:pt>
                <c:pt idx="436">
                  <c:v>71.199999999999989</c:v>
                </c:pt>
                <c:pt idx="437">
                  <c:v>71.3</c:v>
                </c:pt>
                <c:pt idx="438">
                  <c:v>71.699999999999989</c:v>
                </c:pt>
                <c:pt idx="439">
                  <c:v>71.8</c:v>
                </c:pt>
                <c:pt idx="440">
                  <c:v>71.899999999999991</c:v>
                </c:pt>
                <c:pt idx="441">
                  <c:v>72</c:v>
                </c:pt>
                <c:pt idx="442">
                  <c:v>72.099999999999994</c:v>
                </c:pt>
                <c:pt idx="443">
                  <c:v>72.199999999999989</c:v>
                </c:pt>
                <c:pt idx="444">
                  <c:v>72.399999999999991</c:v>
                </c:pt>
                <c:pt idx="445">
                  <c:v>72.5</c:v>
                </c:pt>
                <c:pt idx="446">
                  <c:v>72.599999999999994</c:v>
                </c:pt>
                <c:pt idx="447">
                  <c:v>72.8</c:v>
                </c:pt>
                <c:pt idx="448">
                  <c:v>72.899999999999991</c:v>
                </c:pt>
                <c:pt idx="449">
                  <c:v>73.099999999999994</c:v>
                </c:pt>
                <c:pt idx="450">
                  <c:v>73.199999999999989</c:v>
                </c:pt>
                <c:pt idx="451">
                  <c:v>73.5</c:v>
                </c:pt>
                <c:pt idx="452">
                  <c:v>73.8</c:v>
                </c:pt>
                <c:pt idx="453">
                  <c:v>73.899999999999991</c:v>
                </c:pt>
                <c:pt idx="454">
                  <c:v>74</c:v>
                </c:pt>
                <c:pt idx="455">
                  <c:v>74.099999999999994</c:v>
                </c:pt>
                <c:pt idx="456">
                  <c:v>74.199999999999989</c:v>
                </c:pt>
                <c:pt idx="457">
                  <c:v>74.3</c:v>
                </c:pt>
                <c:pt idx="458">
                  <c:v>74.399999999999991</c:v>
                </c:pt>
                <c:pt idx="459">
                  <c:v>74.699999999999989</c:v>
                </c:pt>
                <c:pt idx="460">
                  <c:v>74.8</c:v>
                </c:pt>
                <c:pt idx="461">
                  <c:v>75</c:v>
                </c:pt>
                <c:pt idx="462">
                  <c:v>75.3</c:v>
                </c:pt>
                <c:pt idx="463">
                  <c:v>75.5</c:v>
                </c:pt>
                <c:pt idx="464">
                  <c:v>75.599999999999994</c:v>
                </c:pt>
                <c:pt idx="465">
                  <c:v>75.699999999999989</c:v>
                </c:pt>
                <c:pt idx="466">
                  <c:v>75.8</c:v>
                </c:pt>
                <c:pt idx="467">
                  <c:v>75.899999999999991</c:v>
                </c:pt>
                <c:pt idx="468">
                  <c:v>76</c:v>
                </c:pt>
                <c:pt idx="469">
                  <c:v>76.099999999999994</c:v>
                </c:pt>
                <c:pt idx="470">
                  <c:v>76.199999999999989</c:v>
                </c:pt>
                <c:pt idx="471">
                  <c:v>76.3</c:v>
                </c:pt>
                <c:pt idx="472">
                  <c:v>76.5</c:v>
                </c:pt>
                <c:pt idx="473">
                  <c:v>76.699999999999989</c:v>
                </c:pt>
                <c:pt idx="474">
                  <c:v>76.899999999999991</c:v>
                </c:pt>
                <c:pt idx="475">
                  <c:v>77</c:v>
                </c:pt>
                <c:pt idx="476">
                  <c:v>77.3</c:v>
                </c:pt>
                <c:pt idx="477">
                  <c:v>77.399999999999991</c:v>
                </c:pt>
                <c:pt idx="478">
                  <c:v>77.5</c:v>
                </c:pt>
                <c:pt idx="479">
                  <c:v>77.599999999999994</c:v>
                </c:pt>
                <c:pt idx="480">
                  <c:v>77.8</c:v>
                </c:pt>
                <c:pt idx="481">
                  <c:v>78</c:v>
                </c:pt>
                <c:pt idx="482">
                  <c:v>78.199999999999989</c:v>
                </c:pt>
                <c:pt idx="483">
                  <c:v>78.3</c:v>
                </c:pt>
                <c:pt idx="484">
                  <c:v>78.599999999999994</c:v>
                </c:pt>
                <c:pt idx="485">
                  <c:v>78.8</c:v>
                </c:pt>
                <c:pt idx="486">
                  <c:v>78.899999999999991</c:v>
                </c:pt>
                <c:pt idx="487">
                  <c:v>79</c:v>
                </c:pt>
                <c:pt idx="488">
                  <c:v>79.3</c:v>
                </c:pt>
                <c:pt idx="489">
                  <c:v>79.399999999999991</c:v>
                </c:pt>
                <c:pt idx="490">
                  <c:v>79.899999999999991</c:v>
                </c:pt>
                <c:pt idx="491">
                  <c:v>80.099999999999994</c:v>
                </c:pt>
                <c:pt idx="492">
                  <c:v>80.3</c:v>
                </c:pt>
                <c:pt idx="493">
                  <c:v>80.899999999999991</c:v>
                </c:pt>
                <c:pt idx="494">
                  <c:v>81.599999999999994</c:v>
                </c:pt>
                <c:pt idx="495">
                  <c:v>81.699999999999989</c:v>
                </c:pt>
                <c:pt idx="496">
                  <c:v>81.8</c:v>
                </c:pt>
                <c:pt idx="497">
                  <c:v>81.899999999999991</c:v>
                </c:pt>
                <c:pt idx="498">
                  <c:v>82</c:v>
                </c:pt>
                <c:pt idx="499">
                  <c:v>82.199999999999989</c:v>
                </c:pt>
                <c:pt idx="500">
                  <c:v>82.3</c:v>
                </c:pt>
                <c:pt idx="501">
                  <c:v>82.399999999999991</c:v>
                </c:pt>
                <c:pt idx="502">
                  <c:v>82.5</c:v>
                </c:pt>
                <c:pt idx="503">
                  <c:v>82.6</c:v>
                </c:pt>
                <c:pt idx="504">
                  <c:v>82.699999999999989</c:v>
                </c:pt>
                <c:pt idx="505">
                  <c:v>82.899999999999991</c:v>
                </c:pt>
                <c:pt idx="506">
                  <c:v>83</c:v>
                </c:pt>
                <c:pt idx="507">
                  <c:v>83.1</c:v>
                </c:pt>
                <c:pt idx="508">
                  <c:v>83.199999999999989</c:v>
                </c:pt>
                <c:pt idx="509">
                  <c:v>83.3</c:v>
                </c:pt>
                <c:pt idx="510">
                  <c:v>83.399999999999991</c:v>
                </c:pt>
                <c:pt idx="511">
                  <c:v>83.5</c:v>
                </c:pt>
                <c:pt idx="512">
                  <c:v>83.6</c:v>
                </c:pt>
                <c:pt idx="513">
                  <c:v>83.699999999999989</c:v>
                </c:pt>
                <c:pt idx="514">
                  <c:v>83.8</c:v>
                </c:pt>
                <c:pt idx="515">
                  <c:v>84</c:v>
                </c:pt>
                <c:pt idx="516">
                  <c:v>84.1</c:v>
                </c:pt>
                <c:pt idx="517">
                  <c:v>84.199999999999989</c:v>
                </c:pt>
                <c:pt idx="518">
                  <c:v>84.3</c:v>
                </c:pt>
                <c:pt idx="519">
                  <c:v>84.399999999999991</c:v>
                </c:pt>
                <c:pt idx="520">
                  <c:v>84.6</c:v>
                </c:pt>
                <c:pt idx="521">
                  <c:v>84.8</c:v>
                </c:pt>
                <c:pt idx="522">
                  <c:v>85</c:v>
                </c:pt>
                <c:pt idx="523">
                  <c:v>85.1</c:v>
                </c:pt>
                <c:pt idx="524">
                  <c:v>85.199999999999989</c:v>
                </c:pt>
                <c:pt idx="525">
                  <c:v>85.399999999999991</c:v>
                </c:pt>
                <c:pt idx="526">
                  <c:v>85.8</c:v>
                </c:pt>
                <c:pt idx="527">
                  <c:v>86</c:v>
                </c:pt>
                <c:pt idx="528">
                  <c:v>86.1</c:v>
                </c:pt>
                <c:pt idx="529">
                  <c:v>86.199999999999989</c:v>
                </c:pt>
                <c:pt idx="530">
                  <c:v>86.399999999999991</c:v>
                </c:pt>
                <c:pt idx="531">
                  <c:v>86.699999999999989</c:v>
                </c:pt>
                <c:pt idx="532">
                  <c:v>86.8</c:v>
                </c:pt>
                <c:pt idx="533">
                  <c:v>86.899999999999991</c:v>
                </c:pt>
                <c:pt idx="534">
                  <c:v>87</c:v>
                </c:pt>
                <c:pt idx="535">
                  <c:v>87.199999999999989</c:v>
                </c:pt>
                <c:pt idx="536">
                  <c:v>87.3</c:v>
                </c:pt>
                <c:pt idx="537">
                  <c:v>87.399999999999991</c:v>
                </c:pt>
                <c:pt idx="538">
                  <c:v>87.5</c:v>
                </c:pt>
                <c:pt idx="539">
                  <c:v>87.6</c:v>
                </c:pt>
                <c:pt idx="540">
                  <c:v>87.699999999999989</c:v>
                </c:pt>
                <c:pt idx="541">
                  <c:v>87.8</c:v>
                </c:pt>
                <c:pt idx="542">
                  <c:v>87.899999999999991</c:v>
                </c:pt>
                <c:pt idx="543">
                  <c:v>88</c:v>
                </c:pt>
                <c:pt idx="544">
                  <c:v>88.1</c:v>
                </c:pt>
                <c:pt idx="545">
                  <c:v>88.199999999999989</c:v>
                </c:pt>
                <c:pt idx="546">
                  <c:v>88.3</c:v>
                </c:pt>
                <c:pt idx="547">
                  <c:v>88.399999999999991</c:v>
                </c:pt>
                <c:pt idx="548">
                  <c:v>88.5</c:v>
                </c:pt>
                <c:pt idx="549">
                  <c:v>88.6</c:v>
                </c:pt>
                <c:pt idx="550">
                  <c:v>88.699999999999989</c:v>
                </c:pt>
                <c:pt idx="551">
                  <c:v>88.8</c:v>
                </c:pt>
                <c:pt idx="552">
                  <c:v>89</c:v>
                </c:pt>
                <c:pt idx="553">
                  <c:v>89.199999999999989</c:v>
                </c:pt>
                <c:pt idx="554">
                  <c:v>89.399999999999991</c:v>
                </c:pt>
                <c:pt idx="555">
                  <c:v>89.5</c:v>
                </c:pt>
                <c:pt idx="556">
                  <c:v>89.6</c:v>
                </c:pt>
                <c:pt idx="557">
                  <c:v>89.699999999999989</c:v>
                </c:pt>
                <c:pt idx="558">
                  <c:v>89.8</c:v>
                </c:pt>
                <c:pt idx="559">
                  <c:v>89.899999999999991</c:v>
                </c:pt>
                <c:pt idx="560">
                  <c:v>90</c:v>
                </c:pt>
                <c:pt idx="561">
                  <c:v>90.1</c:v>
                </c:pt>
                <c:pt idx="562">
                  <c:v>90.199999999999989</c:v>
                </c:pt>
                <c:pt idx="563">
                  <c:v>90.5</c:v>
                </c:pt>
                <c:pt idx="564">
                  <c:v>90.699999999999989</c:v>
                </c:pt>
                <c:pt idx="565">
                  <c:v>91</c:v>
                </c:pt>
                <c:pt idx="566">
                  <c:v>91.1</c:v>
                </c:pt>
                <c:pt idx="567">
                  <c:v>91.199999999999989</c:v>
                </c:pt>
                <c:pt idx="568">
                  <c:v>91.3</c:v>
                </c:pt>
                <c:pt idx="569">
                  <c:v>91.8</c:v>
                </c:pt>
                <c:pt idx="570">
                  <c:v>92</c:v>
                </c:pt>
                <c:pt idx="571">
                  <c:v>92.1</c:v>
                </c:pt>
                <c:pt idx="572">
                  <c:v>92.199999999999989</c:v>
                </c:pt>
                <c:pt idx="573">
                  <c:v>92.3</c:v>
                </c:pt>
                <c:pt idx="574">
                  <c:v>92.399999999999991</c:v>
                </c:pt>
                <c:pt idx="575">
                  <c:v>92.5</c:v>
                </c:pt>
                <c:pt idx="576">
                  <c:v>92.6</c:v>
                </c:pt>
                <c:pt idx="577">
                  <c:v>92.699999999999989</c:v>
                </c:pt>
                <c:pt idx="578">
                  <c:v>92.8</c:v>
                </c:pt>
                <c:pt idx="579">
                  <c:v>92.899999999999991</c:v>
                </c:pt>
                <c:pt idx="580">
                  <c:v>93</c:v>
                </c:pt>
                <c:pt idx="581">
                  <c:v>93.1</c:v>
                </c:pt>
                <c:pt idx="582">
                  <c:v>93.199999999999989</c:v>
                </c:pt>
                <c:pt idx="583">
                  <c:v>93.3</c:v>
                </c:pt>
                <c:pt idx="584">
                  <c:v>93.399999999999991</c:v>
                </c:pt>
                <c:pt idx="585">
                  <c:v>93.5</c:v>
                </c:pt>
                <c:pt idx="586">
                  <c:v>93.699999999999989</c:v>
                </c:pt>
                <c:pt idx="587">
                  <c:v>94</c:v>
                </c:pt>
                <c:pt idx="588">
                  <c:v>94.1</c:v>
                </c:pt>
                <c:pt idx="589">
                  <c:v>94.199999999999989</c:v>
                </c:pt>
                <c:pt idx="590">
                  <c:v>94.399999999999991</c:v>
                </c:pt>
                <c:pt idx="591">
                  <c:v>94.899999999999991</c:v>
                </c:pt>
                <c:pt idx="592">
                  <c:v>95</c:v>
                </c:pt>
                <c:pt idx="593">
                  <c:v>95.1</c:v>
                </c:pt>
                <c:pt idx="594">
                  <c:v>95.199999999999989</c:v>
                </c:pt>
                <c:pt idx="595">
                  <c:v>95.3</c:v>
                </c:pt>
                <c:pt idx="596">
                  <c:v>95.399999999999991</c:v>
                </c:pt>
                <c:pt idx="597">
                  <c:v>95.5</c:v>
                </c:pt>
                <c:pt idx="598">
                  <c:v>95.6</c:v>
                </c:pt>
                <c:pt idx="599">
                  <c:v>95.699999999999989</c:v>
                </c:pt>
                <c:pt idx="600">
                  <c:v>95.8</c:v>
                </c:pt>
                <c:pt idx="601">
                  <c:v>95.899999999999991</c:v>
                </c:pt>
                <c:pt idx="602">
                  <c:v>96</c:v>
                </c:pt>
                <c:pt idx="603">
                  <c:v>96.1</c:v>
                </c:pt>
                <c:pt idx="604">
                  <c:v>96.199999999999989</c:v>
                </c:pt>
                <c:pt idx="605">
                  <c:v>96.3</c:v>
                </c:pt>
                <c:pt idx="606">
                  <c:v>96.5</c:v>
                </c:pt>
                <c:pt idx="607">
                  <c:v>96.6</c:v>
                </c:pt>
                <c:pt idx="608">
                  <c:v>96.8</c:v>
                </c:pt>
                <c:pt idx="609">
                  <c:v>97.199999999999989</c:v>
                </c:pt>
                <c:pt idx="610">
                  <c:v>97.3</c:v>
                </c:pt>
                <c:pt idx="611">
                  <c:v>97.399999999999991</c:v>
                </c:pt>
                <c:pt idx="612">
                  <c:v>97.5</c:v>
                </c:pt>
                <c:pt idx="613">
                  <c:v>97.6</c:v>
                </c:pt>
                <c:pt idx="614">
                  <c:v>97.699999999999989</c:v>
                </c:pt>
                <c:pt idx="615">
                  <c:v>97.8</c:v>
                </c:pt>
                <c:pt idx="616">
                  <c:v>97.899999999999991</c:v>
                </c:pt>
                <c:pt idx="617">
                  <c:v>98</c:v>
                </c:pt>
                <c:pt idx="618">
                  <c:v>98.1</c:v>
                </c:pt>
                <c:pt idx="619">
                  <c:v>98.199999999999989</c:v>
                </c:pt>
                <c:pt idx="620">
                  <c:v>98.3</c:v>
                </c:pt>
                <c:pt idx="621">
                  <c:v>98.399999999999991</c:v>
                </c:pt>
                <c:pt idx="622">
                  <c:v>98.699999999999989</c:v>
                </c:pt>
                <c:pt idx="623">
                  <c:v>98.899999999999991</c:v>
                </c:pt>
                <c:pt idx="624">
                  <c:v>99</c:v>
                </c:pt>
                <c:pt idx="625">
                  <c:v>99.199999999999989</c:v>
                </c:pt>
                <c:pt idx="626">
                  <c:v>99.399999999999991</c:v>
                </c:pt>
                <c:pt idx="627">
                  <c:v>99.699999999999989</c:v>
                </c:pt>
                <c:pt idx="628">
                  <c:v>99.899999999999991</c:v>
                </c:pt>
                <c:pt idx="629">
                  <c:v>100</c:v>
                </c:pt>
                <c:pt idx="630">
                  <c:v>100.3</c:v>
                </c:pt>
                <c:pt idx="631">
                  <c:v>100.39999999999999</c:v>
                </c:pt>
                <c:pt idx="632">
                  <c:v>100.6</c:v>
                </c:pt>
                <c:pt idx="633">
                  <c:v>100.69999999999999</c:v>
                </c:pt>
                <c:pt idx="634">
                  <c:v>100.8</c:v>
                </c:pt>
                <c:pt idx="635">
                  <c:v>100.89999999999999</c:v>
                </c:pt>
                <c:pt idx="636">
                  <c:v>101</c:v>
                </c:pt>
                <c:pt idx="637">
                  <c:v>101.1</c:v>
                </c:pt>
                <c:pt idx="638">
                  <c:v>101.19999999999999</c:v>
                </c:pt>
                <c:pt idx="639">
                  <c:v>101.3</c:v>
                </c:pt>
                <c:pt idx="640">
                  <c:v>101.39999999999999</c:v>
                </c:pt>
                <c:pt idx="641">
                  <c:v>101.5</c:v>
                </c:pt>
                <c:pt idx="642">
                  <c:v>101.6</c:v>
                </c:pt>
                <c:pt idx="643">
                  <c:v>101.69999999999999</c:v>
                </c:pt>
                <c:pt idx="644">
                  <c:v>101.8</c:v>
                </c:pt>
                <c:pt idx="645">
                  <c:v>101.89999999999999</c:v>
                </c:pt>
                <c:pt idx="646">
                  <c:v>102</c:v>
                </c:pt>
                <c:pt idx="647">
                  <c:v>102.1</c:v>
                </c:pt>
                <c:pt idx="648">
                  <c:v>102.19999999999999</c:v>
                </c:pt>
                <c:pt idx="649">
                  <c:v>102.3</c:v>
                </c:pt>
                <c:pt idx="650">
                  <c:v>102.6</c:v>
                </c:pt>
                <c:pt idx="651">
                  <c:v>102.69999999999999</c:v>
                </c:pt>
                <c:pt idx="652">
                  <c:v>102.8</c:v>
                </c:pt>
                <c:pt idx="653">
                  <c:v>103</c:v>
                </c:pt>
                <c:pt idx="654">
                  <c:v>103.1</c:v>
                </c:pt>
                <c:pt idx="655">
                  <c:v>103.19999999999999</c:v>
                </c:pt>
                <c:pt idx="656">
                  <c:v>103.3</c:v>
                </c:pt>
                <c:pt idx="657">
                  <c:v>103.39999999999999</c:v>
                </c:pt>
                <c:pt idx="658">
                  <c:v>103.5</c:v>
                </c:pt>
                <c:pt idx="659">
                  <c:v>103.69999999999999</c:v>
                </c:pt>
                <c:pt idx="660">
                  <c:v>104.1</c:v>
                </c:pt>
                <c:pt idx="661">
                  <c:v>104.19999999999999</c:v>
                </c:pt>
                <c:pt idx="662">
                  <c:v>104.3</c:v>
                </c:pt>
                <c:pt idx="663">
                  <c:v>104.39999999999999</c:v>
                </c:pt>
                <c:pt idx="664">
                  <c:v>104.5</c:v>
                </c:pt>
                <c:pt idx="665">
                  <c:v>104.6</c:v>
                </c:pt>
                <c:pt idx="666">
                  <c:v>104.89999999999999</c:v>
                </c:pt>
                <c:pt idx="667">
                  <c:v>105</c:v>
                </c:pt>
                <c:pt idx="668">
                  <c:v>105.19999999999999</c:v>
                </c:pt>
                <c:pt idx="669">
                  <c:v>105.3</c:v>
                </c:pt>
                <c:pt idx="670">
                  <c:v>105.5</c:v>
                </c:pt>
                <c:pt idx="671">
                  <c:v>105.69999999999999</c:v>
                </c:pt>
                <c:pt idx="672">
                  <c:v>105.89999999999999</c:v>
                </c:pt>
                <c:pt idx="673">
                  <c:v>106</c:v>
                </c:pt>
                <c:pt idx="674">
                  <c:v>106.19999999999999</c:v>
                </c:pt>
                <c:pt idx="675">
                  <c:v>106.3</c:v>
                </c:pt>
                <c:pt idx="676">
                  <c:v>106.5</c:v>
                </c:pt>
                <c:pt idx="677">
                  <c:v>107.19999999999999</c:v>
                </c:pt>
                <c:pt idx="678">
                  <c:v>107.3</c:v>
                </c:pt>
                <c:pt idx="679">
                  <c:v>107.69999999999999</c:v>
                </c:pt>
                <c:pt idx="680">
                  <c:v>107.89999999999999</c:v>
                </c:pt>
                <c:pt idx="681">
                  <c:v>108.3</c:v>
                </c:pt>
                <c:pt idx="682">
                  <c:v>108.6</c:v>
                </c:pt>
                <c:pt idx="683">
                  <c:v>109.3</c:v>
                </c:pt>
                <c:pt idx="684">
                  <c:v>109.5</c:v>
                </c:pt>
                <c:pt idx="685">
                  <c:v>109.6</c:v>
                </c:pt>
                <c:pt idx="686">
                  <c:v>109.8</c:v>
                </c:pt>
                <c:pt idx="687">
                  <c:v>110</c:v>
                </c:pt>
                <c:pt idx="688">
                  <c:v>110.1</c:v>
                </c:pt>
                <c:pt idx="689">
                  <c:v>110.19999999999999</c:v>
                </c:pt>
                <c:pt idx="690">
                  <c:v>110.3</c:v>
                </c:pt>
                <c:pt idx="691">
                  <c:v>110.39999999999999</c:v>
                </c:pt>
                <c:pt idx="692">
                  <c:v>110.69999999999999</c:v>
                </c:pt>
                <c:pt idx="693">
                  <c:v>110.89999999999999</c:v>
                </c:pt>
                <c:pt idx="694">
                  <c:v>111</c:v>
                </c:pt>
                <c:pt idx="695">
                  <c:v>111.3</c:v>
                </c:pt>
                <c:pt idx="696">
                  <c:v>111.39999999999999</c:v>
                </c:pt>
                <c:pt idx="697">
                  <c:v>111.5</c:v>
                </c:pt>
                <c:pt idx="698">
                  <c:v>111.6</c:v>
                </c:pt>
                <c:pt idx="699">
                  <c:v>111.69999999999999</c:v>
                </c:pt>
                <c:pt idx="700">
                  <c:v>111.8</c:v>
                </c:pt>
                <c:pt idx="701">
                  <c:v>111.89999999999999</c:v>
                </c:pt>
                <c:pt idx="702">
                  <c:v>112</c:v>
                </c:pt>
                <c:pt idx="703">
                  <c:v>112.1</c:v>
                </c:pt>
                <c:pt idx="704">
                  <c:v>112.3</c:v>
                </c:pt>
                <c:pt idx="705">
                  <c:v>112.5</c:v>
                </c:pt>
                <c:pt idx="706">
                  <c:v>112.6</c:v>
                </c:pt>
                <c:pt idx="707">
                  <c:v>112.69999999999999</c:v>
                </c:pt>
                <c:pt idx="708">
                  <c:v>112.8</c:v>
                </c:pt>
                <c:pt idx="709">
                  <c:v>112.89999999999999</c:v>
                </c:pt>
                <c:pt idx="710">
                  <c:v>113</c:v>
                </c:pt>
                <c:pt idx="711">
                  <c:v>113.1</c:v>
                </c:pt>
                <c:pt idx="712">
                  <c:v>113.19999999999999</c:v>
                </c:pt>
                <c:pt idx="713">
                  <c:v>113.3</c:v>
                </c:pt>
                <c:pt idx="714">
                  <c:v>114.19999999999999</c:v>
                </c:pt>
                <c:pt idx="715">
                  <c:v>114.3</c:v>
                </c:pt>
                <c:pt idx="716">
                  <c:v>114.5</c:v>
                </c:pt>
                <c:pt idx="717">
                  <c:v>114.6</c:v>
                </c:pt>
                <c:pt idx="718">
                  <c:v>114.69999999999999</c:v>
                </c:pt>
                <c:pt idx="719">
                  <c:v>114.8</c:v>
                </c:pt>
                <c:pt idx="720">
                  <c:v>114.89999999999999</c:v>
                </c:pt>
                <c:pt idx="721">
                  <c:v>115</c:v>
                </c:pt>
                <c:pt idx="722">
                  <c:v>115.1</c:v>
                </c:pt>
                <c:pt idx="723">
                  <c:v>115.19999999999999</c:v>
                </c:pt>
                <c:pt idx="724">
                  <c:v>115.3</c:v>
                </c:pt>
                <c:pt idx="725">
                  <c:v>115.6</c:v>
                </c:pt>
                <c:pt idx="726">
                  <c:v>115.8</c:v>
                </c:pt>
                <c:pt idx="727">
                  <c:v>115.89999999999999</c:v>
                </c:pt>
                <c:pt idx="728">
                  <c:v>116</c:v>
                </c:pt>
                <c:pt idx="729">
                  <c:v>116.1</c:v>
                </c:pt>
                <c:pt idx="730">
                  <c:v>116.19999999999999</c:v>
                </c:pt>
                <c:pt idx="731">
                  <c:v>116.3</c:v>
                </c:pt>
                <c:pt idx="732">
                  <c:v>116.39999999999999</c:v>
                </c:pt>
                <c:pt idx="733">
                  <c:v>116.5</c:v>
                </c:pt>
                <c:pt idx="734">
                  <c:v>116.69999999999999</c:v>
                </c:pt>
                <c:pt idx="735">
                  <c:v>116.89999999999999</c:v>
                </c:pt>
                <c:pt idx="736">
                  <c:v>117</c:v>
                </c:pt>
                <c:pt idx="737">
                  <c:v>117.1</c:v>
                </c:pt>
                <c:pt idx="738">
                  <c:v>117.19999999999999</c:v>
                </c:pt>
                <c:pt idx="739">
                  <c:v>117.3</c:v>
                </c:pt>
                <c:pt idx="740">
                  <c:v>117.39999999999999</c:v>
                </c:pt>
                <c:pt idx="741">
                  <c:v>117.8</c:v>
                </c:pt>
                <c:pt idx="742">
                  <c:v>118</c:v>
                </c:pt>
                <c:pt idx="743">
                  <c:v>118.19999999999999</c:v>
                </c:pt>
                <c:pt idx="744">
                  <c:v>118.3</c:v>
                </c:pt>
                <c:pt idx="745">
                  <c:v>118.39999999999999</c:v>
                </c:pt>
                <c:pt idx="746">
                  <c:v>118.6</c:v>
                </c:pt>
                <c:pt idx="747">
                  <c:v>118.69999999999999</c:v>
                </c:pt>
                <c:pt idx="748">
                  <c:v>118.8</c:v>
                </c:pt>
                <c:pt idx="749">
                  <c:v>119.1</c:v>
                </c:pt>
                <c:pt idx="750">
                  <c:v>119.3</c:v>
                </c:pt>
                <c:pt idx="751">
                  <c:v>119.39999999999999</c:v>
                </c:pt>
                <c:pt idx="752">
                  <c:v>119.5</c:v>
                </c:pt>
                <c:pt idx="753">
                  <c:v>119.8</c:v>
                </c:pt>
                <c:pt idx="754">
                  <c:v>120.1</c:v>
                </c:pt>
                <c:pt idx="755">
                  <c:v>120.19999999999999</c:v>
                </c:pt>
                <c:pt idx="756">
                  <c:v>120.3</c:v>
                </c:pt>
                <c:pt idx="757">
                  <c:v>120.39999999999999</c:v>
                </c:pt>
                <c:pt idx="758">
                  <c:v>120.6</c:v>
                </c:pt>
                <c:pt idx="759">
                  <c:v>120.89999999999999</c:v>
                </c:pt>
                <c:pt idx="760">
                  <c:v>121</c:v>
                </c:pt>
                <c:pt idx="761">
                  <c:v>121.1</c:v>
                </c:pt>
                <c:pt idx="762">
                  <c:v>121.3</c:v>
                </c:pt>
                <c:pt idx="763">
                  <c:v>121.39999999999999</c:v>
                </c:pt>
                <c:pt idx="764">
                  <c:v>121.6</c:v>
                </c:pt>
                <c:pt idx="765">
                  <c:v>121.89999999999999</c:v>
                </c:pt>
                <c:pt idx="766">
                  <c:v>122</c:v>
                </c:pt>
                <c:pt idx="767">
                  <c:v>122.3</c:v>
                </c:pt>
                <c:pt idx="768">
                  <c:v>122.39999999999999</c:v>
                </c:pt>
                <c:pt idx="769">
                  <c:v>122.5</c:v>
                </c:pt>
                <c:pt idx="770">
                  <c:v>122.69999999999999</c:v>
                </c:pt>
                <c:pt idx="771">
                  <c:v>122.8</c:v>
                </c:pt>
                <c:pt idx="772">
                  <c:v>122.89999999999999</c:v>
                </c:pt>
                <c:pt idx="773">
                  <c:v>123.1</c:v>
                </c:pt>
                <c:pt idx="774">
                  <c:v>123.3</c:v>
                </c:pt>
                <c:pt idx="775">
                  <c:v>123.39999999999999</c:v>
                </c:pt>
                <c:pt idx="776">
                  <c:v>123.6</c:v>
                </c:pt>
                <c:pt idx="777">
                  <c:v>123.69999999999999</c:v>
                </c:pt>
                <c:pt idx="778">
                  <c:v>123.8</c:v>
                </c:pt>
                <c:pt idx="779">
                  <c:v>123.89999999999999</c:v>
                </c:pt>
                <c:pt idx="780">
                  <c:v>124</c:v>
                </c:pt>
                <c:pt idx="781">
                  <c:v>124.1</c:v>
                </c:pt>
                <c:pt idx="782">
                  <c:v>124.19999999999999</c:v>
                </c:pt>
                <c:pt idx="783">
                  <c:v>124.39999999999999</c:v>
                </c:pt>
                <c:pt idx="784">
                  <c:v>124.5</c:v>
                </c:pt>
                <c:pt idx="785">
                  <c:v>124.69999999999999</c:v>
                </c:pt>
                <c:pt idx="786">
                  <c:v>124.89999999999999</c:v>
                </c:pt>
                <c:pt idx="787">
                  <c:v>125</c:v>
                </c:pt>
                <c:pt idx="788">
                  <c:v>125.1</c:v>
                </c:pt>
                <c:pt idx="789">
                  <c:v>125.3</c:v>
                </c:pt>
                <c:pt idx="790">
                  <c:v>125.39999999999999</c:v>
                </c:pt>
                <c:pt idx="791">
                  <c:v>125.5</c:v>
                </c:pt>
                <c:pt idx="792">
                  <c:v>125.69999999999999</c:v>
                </c:pt>
                <c:pt idx="793">
                  <c:v>125.8</c:v>
                </c:pt>
                <c:pt idx="794">
                  <c:v>125.89999999999999</c:v>
                </c:pt>
                <c:pt idx="795">
                  <c:v>126</c:v>
                </c:pt>
                <c:pt idx="796">
                  <c:v>126.19999999999999</c:v>
                </c:pt>
                <c:pt idx="797">
                  <c:v>126.3</c:v>
                </c:pt>
                <c:pt idx="798">
                  <c:v>126.39999999999999</c:v>
                </c:pt>
                <c:pt idx="799">
                  <c:v>126.5</c:v>
                </c:pt>
                <c:pt idx="800">
                  <c:v>126.6</c:v>
                </c:pt>
                <c:pt idx="801">
                  <c:v>126.8</c:v>
                </c:pt>
                <c:pt idx="802">
                  <c:v>127.19999999999999</c:v>
                </c:pt>
                <c:pt idx="803">
                  <c:v>127.39999999999999</c:v>
                </c:pt>
                <c:pt idx="804">
                  <c:v>127.6</c:v>
                </c:pt>
                <c:pt idx="805">
                  <c:v>127.69999999999999</c:v>
                </c:pt>
                <c:pt idx="806">
                  <c:v>127.89999999999999</c:v>
                </c:pt>
                <c:pt idx="807">
                  <c:v>128</c:v>
                </c:pt>
                <c:pt idx="808">
                  <c:v>128.1</c:v>
                </c:pt>
                <c:pt idx="809">
                  <c:v>128.19999999999999</c:v>
                </c:pt>
                <c:pt idx="810">
                  <c:v>128.29999999999998</c:v>
                </c:pt>
                <c:pt idx="811">
                  <c:v>128.4</c:v>
                </c:pt>
                <c:pt idx="812">
                  <c:v>128.5</c:v>
                </c:pt>
                <c:pt idx="813">
                  <c:v>128.6</c:v>
                </c:pt>
                <c:pt idx="814">
                  <c:v>128.69999999999999</c:v>
                </c:pt>
                <c:pt idx="815">
                  <c:v>128.9</c:v>
                </c:pt>
                <c:pt idx="816">
                  <c:v>129</c:v>
                </c:pt>
                <c:pt idx="817">
                  <c:v>129.1</c:v>
                </c:pt>
                <c:pt idx="818">
                  <c:v>129.29999999999998</c:v>
                </c:pt>
                <c:pt idx="819">
                  <c:v>129.4</c:v>
                </c:pt>
                <c:pt idx="820">
                  <c:v>129.5</c:v>
                </c:pt>
                <c:pt idx="821">
                  <c:v>129.6</c:v>
                </c:pt>
                <c:pt idx="822">
                  <c:v>129.69999999999999</c:v>
                </c:pt>
                <c:pt idx="823">
                  <c:v>129.9</c:v>
                </c:pt>
                <c:pt idx="824">
                  <c:v>130</c:v>
                </c:pt>
                <c:pt idx="825">
                  <c:v>130.19999999999999</c:v>
                </c:pt>
                <c:pt idx="826">
                  <c:v>130.29999999999998</c:v>
                </c:pt>
                <c:pt idx="827">
                  <c:v>130.4</c:v>
                </c:pt>
                <c:pt idx="828">
                  <c:v>130.5</c:v>
                </c:pt>
                <c:pt idx="829">
                  <c:v>130.6</c:v>
                </c:pt>
                <c:pt idx="830">
                  <c:v>130.69999999999999</c:v>
                </c:pt>
                <c:pt idx="831">
                  <c:v>130.79999999999998</c:v>
                </c:pt>
                <c:pt idx="832">
                  <c:v>130.9</c:v>
                </c:pt>
                <c:pt idx="833">
                  <c:v>131</c:v>
                </c:pt>
                <c:pt idx="834">
                  <c:v>131.1</c:v>
                </c:pt>
                <c:pt idx="835">
                  <c:v>131.19999999999999</c:v>
                </c:pt>
                <c:pt idx="836">
                  <c:v>131.29999999999998</c:v>
                </c:pt>
                <c:pt idx="837">
                  <c:v>131.4</c:v>
                </c:pt>
                <c:pt idx="838">
                  <c:v>131.5</c:v>
                </c:pt>
                <c:pt idx="839">
                  <c:v>131.6</c:v>
                </c:pt>
                <c:pt idx="840">
                  <c:v>131.69999999999999</c:v>
                </c:pt>
                <c:pt idx="841">
                  <c:v>131.9</c:v>
                </c:pt>
                <c:pt idx="842">
                  <c:v>132</c:v>
                </c:pt>
                <c:pt idx="843">
                  <c:v>132.1</c:v>
                </c:pt>
                <c:pt idx="844">
                  <c:v>132.19999999999999</c:v>
                </c:pt>
                <c:pt idx="845">
                  <c:v>132.29999999999998</c:v>
                </c:pt>
                <c:pt idx="846">
                  <c:v>132.4</c:v>
                </c:pt>
                <c:pt idx="847">
                  <c:v>132.5</c:v>
                </c:pt>
                <c:pt idx="848">
                  <c:v>132.6</c:v>
                </c:pt>
                <c:pt idx="849">
                  <c:v>132.69999999999999</c:v>
                </c:pt>
                <c:pt idx="850">
                  <c:v>132.9</c:v>
                </c:pt>
                <c:pt idx="851">
                  <c:v>133</c:v>
                </c:pt>
                <c:pt idx="852">
                  <c:v>133.1</c:v>
                </c:pt>
                <c:pt idx="853">
                  <c:v>133.19999999999999</c:v>
                </c:pt>
                <c:pt idx="854">
                  <c:v>133.4</c:v>
                </c:pt>
                <c:pt idx="855">
                  <c:v>133.69999999999999</c:v>
                </c:pt>
                <c:pt idx="856">
                  <c:v>133.79999999999998</c:v>
                </c:pt>
                <c:pt idx="857">
                  <c:v>133.9</c:v>
                </c:pt>
                <c:pt idx="858">
                  <c:v>134</c:v>
                </c:pt>
                <c:pt idx="859">
                  <c:v>134.1</c:v>
                </c:pt>
                <c:pt idx="860">
                  <c:v>134.29999999999998</c:v>
                </c:pt>
                <c:pt idx="861">
                  <c:v>134.4</c:v>
                </c:pt>
                <c:pt idx="862">
                  <c:v>134.5</c:v>
                </c:pt>
                <c:pt idx="863">
                  <c:v>134.69999999999999</c:v>
                </c:pt>
                <c:pt idx="864">
                  <c:v>135.1</c:v>
                </c:pt>
                <c:pt idx="865">
                  <c:v>135.19999999999999</c:v>
                </c:pt>
                <c:pt idx="866">
                  <c:v>135.4</c:v>
                </c:pt>
                <c:pt idx="867">
                  <c:v>135.5</c:v>
                </c:pt>
                <c:pt idx="868">
                  <c:v>135.69999999999999</c:v>
                </c:pt>
                <c:pt idx="869">
                  <c:v>135.79999999999998</c:v>
                </c:pt>
                <c:pt idx="870">
                  <c:v>136</c:v>
                </c:pt>
                <c:pt idx="871">
                  <c:v>136.1</c:v>
                </c:pt>
                <c:pt idx="872">
                  <c:v>136.29999999999998</c:v>
                </c:pt>
                <c:pt idx="873">
                  <c:v>136.4</c:v>
                </c:pt>
                <c:pt idx="874">
                  <c:v>136.69999999999999</c:v>
                </c:pt>
                <c:pt idx="875">
                  <c:v>137</c:v>
                </c:pt>
                <c:pt idx="876">
                  <c:v>137.19999999999999</c:v>
                </c:pt>
                <c:pt idx="877">
                  <c:v>137.4</c:v>
                </c:pt>
                <c:pt idx="878">
                  <c:v>137.5</c:v>
                </c:pt>
                <c:pt idx="879">
                  <c:v>137.6</c:v>
                </c:pt>
                <c:pt idx="880">
                  <c:v>137.69999999999999</c:v>
                </c:pt>
                <c:pt idx="881">
                  <c:v>137.9</c:v>
                </c:pt>
                <c:pt idx="882">
                  <c:v>138</c:v>
                </c:pt>
                <c:pt idx="883">
                  <c:v>138.1</c:v>
                </c:pt>
                <c:pt idx="884">
                  <c:v>138.19999999999999</c:v>
                </c:pt>
                <c:pt idx="885">
                  <c:v>138.29999999999998</c:v>
                </c:pt>
                <c:pt idx="886">
                  <c:v>138.4</c:v>
                </c:pt>
                <c:pt idx="887">
                  <c:v>138.6</c:v>
                </c:pt>
                <c:pt idx="888">
                  <c:v>138.69999999999999</c:v>
                </c:pt>
                <c:pt idx="889">
                  <c:v>138.79999999999998</c:v>
                </c:pt>
                <c:pt idx="890">
                  <c:v>138.9</c:v>
                </c:pt>
                <c:pt idx="891">
                  <c:v>139.29999999999998</c:v>
                </c:pt>
                <c:pt idx="892">
                  <c:v>139.4</c:v>
                </c:pt>
                <c:pt idx="893">
                  <c:v>139.5</c:v>
                </c:pt>
                <c:pt idx="894">
                  <c:v>139.6</c:v>
                </c:pt>
                <c:pt idx="895">
                  <c:v>139.69999999999999</c:v>
                </c:pt>
                <c:pt idx="896">
                  <c:v>139.79999999999998</c:v>
                </c:pt>
                <c:pt idx="897">
                  <c:v>140</c:v>
                </c:pt>
                <c:pt idx="898">
                  <c:v>140.1</c:v>
                </c:pt>
                <c:pt idx="899">
                  <c:v>140.19999999999999</c:v>
                </c:pt>
                <c:pt idx="900">
                  <c:v>140.29999999999998</c:v>
                </c:pt>
                <c:pt idx="901">
                  <c:v>140.4</c:v>
                </c:pt>
                <c:pt idx="902">
                  <c:v>140.5</c:v>
                </c:pt>
                <c:pt idx="903">
                  <c:v>140.69999999999999</c:v>
                </c:pt>
                <c:pt idx="904">
                  <c:v>140.9</c:v>
                </c:pt>
                <c:pt idx="905">
                  <c:v>141</c:v>
                </c:pt>
                <c:pt idx="906">
                  <c:v>141.19999999999999</c:v>
                </c:pt>
                <c:pt idx="907">
                  <c:v>141.29999999999998</c:v>
                </c:pt>
                <c:pt idx="908">
                  <c:v>141.4</c:v>
                </c:pt>
                <c:pt idx="909">
                  <c:v>141.6</c:v>
                </c:pt>
                <c:pt idx="910">
                  <c:v>141.9</c:v>
                </c:pt>
                <c:pt idx="911">
                  <c:v>142</c:v>
                </c:pt>
                <c:pt idx="912">
                  <c:v>142.19999999999999</c:v>
                </c:pt>
                <c:pt idx="913">
                  <c:v>142.29999999999998</c:v>
                </c:pt>
                <c:pt idx="914">
                  <c:v>142.4</c:v>
                </c:pt>
                <c:pt idx="915">
                  <c:v>142.5</c:v>
                </c:pt>
                <c:pt idx="916">
                  <c:v>142.6</c:v>
                </c:pt>
                <c:pt idx="917">
                  <c:v>142.69999999999999</c:v>
                </c:pt>
                <c:pt idx="918">
                  <c:v>142.79999999999998</c:v>
                </c:pt>
                <c:pt idx="919">
                  <c:v>143</c:v>
                </c:pt>
                <c:pt idx="920">
                  <c:v>143.1</c:v>
                </c:pt>
                <c:pt idx="921">
                  <c:v>143.29999999999998</c:v>
                </c:pt>
                <c:pt idx="922">
                  <c:v>143.4</c:v>
                </c:pt>
                <c:pt idx="923">
                  <c:v>143.5</c:v>
                </c:pt>
                <c:pt idx="924">
                  <c:v>143.6</c:v>
                </c:pt>
                <c:pt idx="925">
                  <c:v>143.79999999999998</c:v>
                </c:pt>
                <c:pt idx="926">
                  <c:v>144</c:v>
                </c:pt>
                <c:pt idx="927">
                  <c:v>144.1</c:v>
                </c:pt>
                <c:pt idx="928">
                  <c:v>144.29999999999998</c:v>
                </c:pt>
                <c:pt idx="929">
                  <c:v>144.4</c:v>
                </c:pt>
                <c:pt idx="930">
                  <c:v>144.5</c:v>
                </c:pt>
                <c:pt idx="931">
                  <c:v>144.69999999999999</c:v>
                </c:pt>
                <c:pt idx="932">
                  <c:v>144.79999999999998</c:v>
                </c:pt>
                <c:pt idx="933">
                  <c:v>145</c:v>
                </c:pt>
                <c:pt idx="934">
                  <c:v>145.1</c:v>
                </c:pt>
                <c:pt idx="935">
                  <c:v>145.19999999999999</c:v>
                </c:pt>
                <c:pt idx="936">
                  <c:v>145.29999999999998</c:v>
                </c:pt>
                <c:pt idx="937">
                  <c:v>145.4</c:v>
                </c:pt>
                <c:pt idx="938">
                  <c:v>145.5</c:v>
                </c:pt>
                <c:pt idx="939">
                  <c:v>145.6</c:v>
                </c:pt>
                <c:pt idx="940">
                  <c:v>145.69999999999999</c:v>
                </c:pt>
                <c:pt idx="941">
                  <c:v>145.9</c:v>
                </c:pt>
                <c:pt idx="942">
                  <c:v>146</c:v>
                </c:pt>
                <c:pt idx="943">
                  <c:v>146.29999999999998</c:v>
                </c:pt>
                <c:pt idx="944">
                  <c:v>146.5</c:v>
                </c:pt>
                <c:pt idx="945">
                  <c:v>146.6</c:v>
                </c:pt>
                <c:pt idx="946">
                  <c:v>146.79999999999998</c:v>
                </c:pt>
                <c:pt idx="947">
                  <c:v>147</c:v>
                </c:pt>
                <c:pt idx="948">
                  <c:v>147.1</c:v>
                </c:pt>
                <c:pt idx="949">
                  <c:v>147.19999999999999</c:v>
                </c:pt>
                <c:pt idx="950">
                  <c:v>147.4</c:v>
                </c:pt>
                <c:pt idx="951">
                  <c:v>147.5</c:v>
                </c:pt>
                <c:pt idx="952">
                  <c:v>147.6</c:v>
                </c:pt>
                <c:pt idx="953">
                  <c:v>147.69999999999999</c:v>
                </c:pt>
                <c:pt idx="954">
                  <c:v>147.79999999999998</c:v>
                </c:pt>
                <c:pt idx="955">
                  <c:v>147.9</c:v>
                </c:pt>
                <c:pt idx="956">
                  <c:v>148.29999999999998</c:v>
                </c:pt>
                <c:pt idx="957">
                  <c:v>148.5</c:v>
                </c:pt>
                <c:pt idx="958">
                  <c:v>148.6</c:v>
                </c:pt>
                <c:pt idx="959">
                  <c:v>148.69999999999999</c:v>
                </c:pt>
                <c:pt idx="960">
                  <c:v>149</c:v>
                </c:pt>
                <c:pt idx="961">
                  <c:v>149.5</c:v>
                </c:pt>
                <c:pt idx="962">
                  <c:v>149.6</c:v>
                </c:pt>
                <c:pt idx="963">
                  <c:v>149.69999999999999</c:v>
                </c:pt>
                <c:pt idx="964">
                  <c:v>150</c:v>
                </c:pt>
                <c:pt idx="965">
                  <c:v>150.1</c:v>
                </c:pt>
                <c:pt idx="966">
                  <c:v>150.29999999999998</c:v>
                </c:pt>
                <c:pt idx="967">
                  <c:v>150.4</c:v>
                </c:pt>
                <c:pt idx="968">
                  <c:v>150.5</c:v>
                </c:pt>
                <c:pt idx="969">
                  <c:v>150.6</c:v>
                </c:pt>
                <c:pt idx="970">
                  <c:v>150.69999999999999</c:v>
                </c:pt>
                <c:pt idx="971">
                  <c:v>150.79999999999998</c:v>
                </c:pt>
                <c:pt idx="972">
                  <c:v>151</c:v>
                </c:pt>
                <c:pt idx="973">
                  <c:v>151.1</c:v>
                </c:pt>
                <c:pt idx="974">
                  <c:v>151.19999999999999</c:v>
                </c:pt>
                <c:pt idx="975">
                  <c:v>151.29999999999998</c:v>
                </c:pt>
                <c:pt idx="976">
                  <c:v>151.4</c:v>
                </c:pt>
                <c:pt idx="977">
                  <c:v>151.5</c:v>
                </c:pt>
                <c:pt idx="978">
                  <c:v>151.6</c:v>
                </c:pt>
                <c:pt idx="979">
                  <c:v>152.29999999999998</c:v>
                </c:pt>
                <c:pt idx="980">
                  <c:v>152.5</c:v>
                </c:pt>
                <c:pt idx="981">
                  <c:v>152.79999999999998</c:v>
                </c:pt>
                <c:pt idx="982">
                  <c:v>152.9</c:v>
                </c:pt>
                <c:pt idx="983">
                  <c:v>153</c:v>
                </c:pt>
                <c:pt idx="984">
                  <c:v>153.1</c:v>
                </c:pt>
                <c:pt idx="985">
                  <c:v>153.4</c:v>
                </c:pt>
                <c:pt idx="986">
                  <c:v>153.5</c:v>
                </c:pt>
                <c:pt idx="987">
                  <c:v>153.6</c:v>
                </c:pt>
                <c:pt idx="988">
                  <c:v>153.69999999999999</c:v>
                </c:pt>
                <c:pt idx="989">
                  <c:v>153.79999999999998</c:v>
                </c:pt>
                <c:pt idx="990">
                  <c:v>153.9</c:v>
                </c:pt>
                <c:pt idx="991">
                  <c:v>154</c:v>
                </c:pt>
                <c:pt idx="992">
                  <c:v>154.1</c:v>
                </c:pt>
                <c:pt idx="993">
                  <c:v>154.4</c:v>
                </c:pt>
                <c:pt idx="994">
                  <c:v>154.5</c:v>
                </c:pt>
                <c:pt idx="995">
                  <c:v>154.6</c:v>
                </c:pt>
                <c:pt idx="996">
                  <c:v>154.69999999999999</c:v>
                </c:pt>
                <c:pt idx="997">
                  <c:v>154.9</c:v>
                </c:pt>
                <c:pt idx="998">
                  <c:v>155</c:v>
                </c:pt>
                <c:pt idx="999">
                  <c:v>155.1</c:v>
                </c:pt>
                <c:pt idx="1000">
                  <c:v>155.19999999999999</c:v>
                </c:pt>
                <c:pt idx="1001">
                  <c:v>155.29999999999998</c:v>
                </c:pt>
                <c:pt idx="1002">
                  <c:v>155.4</c:v>
                </c:pt>
                <c:pt idx="1003">
                  <c:v>155.5</c:v>
                </c:pt>
                <c:pt idx="1004">
                  <c:v>155.6</c:v>
                </c:pt>
                <c:pt idx="1005">
                  <c:v>155.69999999999999</c:v>
                </c:pt>
                <c:pt idx="1006">
                  <c:v>155.79999999999998</c:v>
                </c:pt>
                <c:pt idx="1007">
                  <c:v>155.9</c:v>
                </c:pt>
                <c:pt idx="1008">
                  <c:v>156</c:v>
                </c:pt>
                <c:pt idx="1009">
                  <c:v>156.1</c:v>
                </c:pt>
                <c:pt idx="1010">
                  <c:v>156.19999999999999</c:v>
                </c:pt>
                <c:pt idx="1011">
                  <c:v>156.29999999999998</c:v>
                </c:pt>
                <c:pt idx="1012">
                  <c:v>156.4</c:v>
                </c:pt>
                <c:pt idx="1013">
                  <c:v>156.5</c:v>
                </c:pt>
                <c:pt idx="1014">
                  <c:v>156.6</c:v>
                </c:pt>
                <c:pt idx="1015">
                  <c:v>156.79999999999998</c:v>
                </c:pt>
                <c:pt idx="1016">
                  <c:v>157</c:v>
                </c:pt>
                <c:pt idx="1017">
                  <c:v>157.1</c:v>
                </c:pt>
                <c:pt idx="1018">
                  <c:v>157.29999999999998</c:v>
                </c:pt>
                <c:pt idx="1019">
                  <c:v>157.4</c:v>
                </c:pt>
                <c:pt idx="1020">
                  <c:v>157.5</c:v>
                </c:pt>
                <c:pt idx="1021">
                  <c:v>157.6</c:v>
                </c:pt>
                <c:pt idx="1022">
                  <c:v>157.69999999999999</c:v>
                </c:pt>
                <c:pt idx="1023">
                  <c:v>157.79999999999998</c:v>
                </c:pt>
                <c:pt idx="1024">
                  <c:v>157.9</c:v>
                </c:pt>
                <c:pt idx="1025">
                  <c:v>158.1</c:v>
                </c:pt>
                <c:pt idx="1026">
                  <c:v>158.29999999999998</c:v>
                </c:pt>
                <c:pt idx="1027">
                  <c:v>158.5</c:v>
                </c:pt>
                <c:pt idx="1028">
                  <c:v>158.6</c:v>
                </c:pt>
                <c:pt idx="1029">
                  <c:v>158.69999999999999</c:v>
                </c:pt>
                <c:pt idx="1030">
                  <c:v>158.79999999999998</c:v>
                </c:pt>
                <c:pt idx="1031">
                  <c:v>158.9</c:v>
                </c:pt>
                <c:pt idx="1032">
                  <c:v>159</c:v>
                </c:pt>
                <c:pt idx="1033">
                  <c:v>159.1</c:v>
                </c:pt>
                <c:pt idx="1034">
                  <c:v>159.29999999999998</c:v>
                </c:pt>
                <c:pt idx="1035">
                  <c:v>159.4</c:v>
                </c:pt>
                <c:pt idx="1036">
                  <c:v>159.5</c:v>
                </c:pt>
                <c:pt idx="1037">
                  <c:v>159.6</c:v>
                </c:pt>
                <c:pt idx="1038">
                  <c:v>159.79999999999998</c:v>
                </c:pt>
                <c:pt idx="1039">
                  <c:v>159.9</c:v>
                </c:pt>
                <c:pt idx="1040">
                  <c:v>160</c:v>
                </c:pt>
                <c:pt idx="1041">
                  <c:v>160.1</c:v>
                </c:pt>
                <c:pt idx="1042">
                  <c:v>160.19999999999999</c:v>
                </c:pt>
                <c:pt idx="1043">
                  <c:v>160.29999999999998</c:v>
                </c:pt>
                <c:pt idx="1044">
                  <c:v>160.4</c:v>
                </c:pt>
                <c:pt idx="1045">
                  <c:v>160.5</c:v>
                </c:pt>
                <c:pt idx="1046">
                  <c:v>160.69999999999999</c:v>
                </c:pt>
                <c:pt idx="1047">
                  <c:v>160.79999999999998</c:v>
                </c:pt>
                <c:pt idx="1048">
                  <c:v>160.9</c:v>
                </c:pt>
                <c:pt idx="1049">
                  <c:v>161</c:v>
                </c:pt>
                <c:pt idx="1050">
                  <c:v>161.1</c:v>
                </c:pt>
                <c:pt idx="1051">
                  <c:v>161.19999999999999</c:v>
                </c:pt>
                <c:pt idx="1052">
                  <c:v>161.4</c:v>
                </c:pt>
                <c:pt idx="1053">
                  <c:v>161.5</c:v>
                </c:pt>
                <c:pt idx="1054">
                  <c:v>161.69999999999999</c:v>
                </c:pt>
                <c:pt idx="1055">
                  <c:v>161.9</c:v>
                </c:pt>
                <c:pt idx="1056">
                  <c:v>162</c:v>
                </c:pt>
                <c:pt idx="1057">
                  <c:v>162.1</c:v>
                </c:pt>
                <c:pt idx="1058">
                  <c:v>162.19999999999999</c:v>
                </c:pt>
                <c:pt idx="1059">
                  <c:v>162.29999999999998</c:v>
                </c:pt>
                <c:pt idx="1060">
                  <c:v>162.4</c:v>
                </c:pt>
                <c:pt idx="1061">
                  <c:v>162.5</c:v>
                </c:pt>
                <c:pt idx="1062">
                  <c:v>162.6</c:v>
                </c:pt>
                <c:pt idx="1063">
                  <c:v>162.9</c:v>
                </c:pt>
                <c:pt idx="1064">
                  <c:v>163.1</c:v>
                </c:pt>
                <c:pt idx="1065">
                  <c:v>163.29999999999998</c:v>
                </c:pt>
                <c:pt idx="1066">
                  <c:v>163.5</c:v>
                </c:pt>
                <c:pt idx="1067">
                  <c:v>163.79999999999998</c:v>
                </c:pt>
                <c:pt idx="1068">
                  <c:v>163.9</c:v>
                </c:pt>
                <c:pt idx="1069">
                  <c:v>164</c:v>
                </c:pt>
                <c:pt idx="1070">
                  <c:v>164.1</c:v>
                </c:pt>
                <c:pt idx="1071">
                  <c:v>164.2</c:v>
                </c:pt>
                <c:pt idx="1072">
                  <c:v>164.29999999999998</c:v>
                </c:pt>
                <c:pt idx="1073">
                  <c:v>164.5</c:v>
                </c:pt>
                <c:pt idx="1074">
                  <c:v>164.6</c:v>
                </c:pt>
                <c:pt idx="1075">
                  <c:v>164.79999999999998</c:v>
                </c:pt>
                <c:pt idx="1076">
                  <c:v>164.9</c:v>
                </c:pt>
                <c:pt idx="1077">
                  <c:v>165.1</c:v>
                </c:pt>
                <c:pt idx="1078">
                  <c:v>165.2</c:v>
                </c:pt>
                <c:pt idx="1079">
                  <c:v>165.4</c:v>
                </c:pt>
                <c:pt idx="1080">
                  <c:v>165.5</c:v>
                </c:pt>
                <c:pt idx="1081">
                  <c:v>165.79999999999998</c:v>
                </c:pt>
                <c:pt idx="1082">
                  <c:v>165.9</c:v>
                </c:pt>
                <c:pt idx="1083">
                  <c:v>166</c:v>
                </c:pt>
                <c:pt idx="1084">
                  <c:v>166.1</c:v>
                </c:pt>
                <c:pt idx="1085">
                  <c:v>166.4</c:v>
                </c:pt>
                <c:pt idx="1086">
                  <c:v>166.5</c:v>
                </c:pt>
                <c:pt idx="1087">
                  <c:v>166.6</c:v>
                </c:pt>
                <c:pt idx="1088">
                  <c:v>166.7</c:v>
                </c:pt>
                <c:pt idx="1089">
                  <c:v>166.79999999999998</c:v>
                </c:pt>
                <c:pt idx="1090">
                  <c:v>166.9</c:v>
                </c:pt>
                <c:pt idx="1091">
                  <c:v>167</c:v>
                </c:pt>
                <c:pt idx="1092">
                  <c:v>167.1</c:v>
                </c:pt>
                <c:pt idx="1093">
                  <c:v>167.2</c:v>
                </c:pt>
                <c:pt idx="1094">
                  <c:v>167.29999999999998</c:v>
                </c:pt>
                <c:pt idx="1095">
                  <c:v>167.4</c:v>
                </c:pt>
                <c:pt idx="1096">
                  <c:v>167.5</c:v>
                </c:pt>
                <c:pt idx="1097">
                  <c:v>167.6</c:v>
                </c:pt>
                <c:pt idx="1098">
                  <c:v>167.7</c:v>
                </c:pt>
                <c:pt idx="1099">
                  <c:v>167.79999999999998</c:v>
                </c:pt>
                <c:pt idx="1100">
                  <c:v>167.9</c:v>
                </c:pt>
                <c:pt idx="1101">
                  <c:v>168</c:v>
                </c:pt>
                <c:pt idx="1102">
                  <c:v>168.1</c:v>
                </c:pt>
                <c:pt idx="1103">
                  <c:v>168.29999999999998</c:v>
                </c:pt>
                <c:pt idx="1104">
                  <c:v>168.5</c:v>
                </c:pt>
                <c:pt idx="1105">
                  <c:v>168.6</c:v>
                </c:pt>
                <c:pt idx="1106">
                  <c:v>168.79999999999998</c:v>
                </c:pt>
                <c:pt idx="1107">
                  <c:v>169.1</c:v>
                </c:pt>
                <c:pt idx="1108">
                  <c:v>169.29999999999998</c:v>
                </c:pt>
                <c:pt idx="1109">
                  <c:v>169.4</c:v>
                </c:pt>
                <c:pt idx="1110">
                  <c:v>169.5</c:v>
                </c:pt>
                <c:pt idx="1111">
                  <c:v>169.79999999999998</c:v>
                </c:pt>
                <c:pt idx="1112">
                  <c:v>169.9</c:v>
                </c:pt>
                <c:pt idx="1113">
                  <c:v>170</c:v>
                </c:pt>
                <c:pt idx="1114">
                  <c:v>170.1</c:v>
                </c:pt>
                <c:pt idx="1115">
                  <c:v>170.2</c:v>
                </c:pt>
                <c:pt idx="1116">
                  <c:v>170.29999999999998</c:v>
                </c:pt>
                <c:pt idx="1117">
                  <c:v>170.4</c:v>
                </c:pt>
                <c:pt idx="1118">
                  <c:v>170.5</c:v>
                </c:pt>
                <c:pt idx="1119">
                  <c:v>170.6</c:v>
                </c:pt>
                <c:pt idx="1120">
                  <c:v>170.7</c:v>
                </c:pt>
                <c:pt idx="1121">
                  <c:v>170.9</c:v>
                </c:pt>
                <c:pt idx="1122">
                  <c:v>171</c:v>
                </c:pt>
                <c:pt idx="1123">
                  <c:v>171.4</c:v>
                </c:pt>
                <c:pt idx="1124">
                  <c:v>171.5</c:v>
                </c:pt>
                <c:pt idx="1125">
                  <c:v>172</c:v>
                </c:pt>
                <c:pt idx="1126">
                  <c:v>172.2</c:v>
                </c:pt>
                <c:pt idx="1127">
                  <c:v>172.29999999999998</c:v>
                </c:pt>
                <c:pt idx="1128">
                  <c:v>172.4</c:v>
                </c:pt>
                <c:pt idx="1129">
                  <c:v>172.5</c:v>
                </c:pt>
                <c:pt idx="1130">
                  <c:v>172.7</c:v>
                </c:pt>
                <c:pt idx="1131">
                  <c:v>172.79999999999998</c:v>
                </c:pt>
                <c:pt idx="1132">
                  <c:v>172.9</c:v>
                </c:pt>
                <c:pt idx="1133">
                  <c:v>173</c:v>
                </c:pt>
                <c:pt idx="1134">
                  <c:v>173.1</c:v>
                </c:pt>
                <c:pt idx="1135">
                  <c:v>173.1</c:v>
                </c:pt>
                <c:pt idx="1136">
                  <c:v>173.1</c:v>
                </c:pt>
                <c:pt idx="1137">
                  <c:v>173.1</c:v>
                </c:pt>
                <c:pt idx="1138">
                  <c:v>173.1</c:v>
                </c:pt>
                <c:pt idx="1139">
                  <c:v>173.1</c:v>
                </c:pt>
                <c:pt idx="1140">
                  <c:v>173.1</c:v>
                </c:pt>
                <c:pt idx="1141">
                  <c:v>173.1</c:v>
                </c:pt>
                <c:pt idx="1142">
                  <c:v>173.1</c:v>
                </c:pt>
                <c:pt idx="1143">
                  <c:v>173.1</c:v>
                </c:pt>
                <c:pt idx="1144">
                  <c:v>173.1</c:v>
                </c:pt>
              </c:numCache>
            </c:numRef>
          </c:xVal>
          <c:yVal>
            <c:numRef>
              <c:f>'Track Data'!$S$2:$S$1146</c:f>
              <c:numCache>
                <c:formatCode>General</c:formatCode>
                <c:ptCount val="1145"/>
                <c:pt idx="0">
                  <c:v>315</c:v>
                </c:pt>
                <c:pt idx="1">
                  <c:v>315</c:v>
                </c:pt>
                <c:pt idx="2">
                  <c:v>326.40480000000002</c:v>
                </c:pt>
                <c:pt idx="3">
                  <c:v>337.80960000000005</c:v>
                </c:pt>
                <c:pt idx="4">
                  <c:v>353.01600000000002</c:v>
                </c:pt>
                <c:pt idx="5">
                  <c:v>357.39840000000004</c:v>
                </c:pt>
                <c:pt idx="6">
                  <c:v>360.88320000000004</c:v>
                </c:pt>
                <c:pt idx="7">
                  <c:v>367.85280000000006</c:v>
                </c:pt>
                <c:pt idx="8">
                  <c:v>375.35040000000004</c:v>
                </c:pt>
                <c:pt idx="9">
                  <c:v>379.57440000000003</c:v>
                </c:pt>
                <c:pt idx="10">
                  <c:v>383.79840000000002</c:v>
                </c:pt>
                <c:pt idx="11">
                  <c:v>388.0224</c:v>
                </c:pt>
                <c:pt idx="12">
                  <c:v>392.24639999999999</c:v>
                </c:pt>
                <c:pt idx="13">
                  <c:v>396.73439999999999</c:v>
                </c:pt>
                <c:pt idx="14">
                  <c:v>419.17439999999999</c:v>
                </c:pt>
                <c:pt idx="15">
                  <c:v>428.36160000000001</c:v>
                </c:pt>
                <c:pt idx="16">
                  <c:v>431.42400000000004</c:v>
                </c:pt>
                <c:pt idx="17">
                  <c:v>437.54880000000003</c:v>
                </c:pt>
                <c:pt idx="18">
                  <c:v>468.59520000000003</c:v>
                </c:pt>
                <c:pt idx="19">
                  <c:v>474.77280000000002</c:v>
                </c:pt>
                <c:pt idx="20">
                  <c:v>472.08</c:v>
                </c:pt>
                <c:pt idx="21">
                  <c:v>461.94239999999996</c:v>
                </c:pt>
                <c:pt idx="22">
                  <c:v>449.37600000000003</c:v>
                </c:pt>
                <c:pt idx="23">
                  <c:v>449.69280000000003</c:v>
                </c:pt>
                <c:pt idx="24">
                  <c:v>449.27040000000005</c:v>
                </c:pt>
                <c:pt idx="25">
                  <c:v>450.06240000000003</c:v>
                </c:pt>
                <c:pt idx="26">
                  <c:v>450.5376</c:v>
                </c:pt>
                <c:pt idx="27">
                  <c:v>448.79520000000002</c:v>
                </c:pt>
                <c:pt idx="28">
                  <c:v>458.1936</c:v>
                </c:pt>
                <c:pt idx="29">
                  <c:v>466.00800000000004</c:v>
                </c:pt>
                <c:pt idx="30">
                  <c:v>463.73760000000004</c:v>
                </c:pt>
                <c:pt idx="31">
                  <c:v>462.36480000000006</c:v>
                </c:pt>
                <c:pt idx="32">
                  <c:v>467.85600000000011</c:v>
                </c:pt>
                <c:pt idx="33">
                  <c:v>472.02720000000011</c:v>
                </c:pt>
                <c:pt idx="34">
                  <c:v>476.19840000000011</c:v>
                </c:pt>
                <c:pt idx="35">
                  <c:v>472.29120000000012</c:v>
                </c:pt>
                <c:pt idx="36">
                  <c:v>468.64800000000008</c:v>
                </c:pt>
                <c:pt idx="37">
                  <c:v>465.0048000000001</c:v>
                </c:pt>
                <c:pt idx="38">
                  <c:v>467.22240000000011</c:v>
                </c:pt>
                <c:pt idx="39">
                  <c:v>468.27840000000009</c:v>
                </c:pt>
                <c:pt idx="40">
                  <c:v>465.90240000000011</c:v>
                </c:pt>
                <c:pt idx="41">
                  <c:v>467.69760000000014</c:v>
                </c:pt>
                <c:pt idx="42">
                  <c:v>468.17280000000011</c:v>
                </c:pt>
                <c:pt idx="43">
                  <c:v>470.91840000000013</c:v>
                </c:pt>
                <c:pt idx="44">
                  <c:v>471.12960000000015</c:v>
                </c:pt>
                <c:pt idx="45">
                  <c:v>462.89280000000008</c:v>
                </c:pt>
                <c:pt idx="46">
                  <c:v>447.05280000000016</c:v>
                </c:pt>
                <c:pt idx="47">
                  <c:v>439.13280000000015</c:v>
                </c:pt>
                <c:pt idx="48">
                  <c:v>427.83360000000016</c:v>
                </c:pt>
                <c:pt idx="49">
                  <c:v>403.28160000000014</c:v>
                </c:pt>
                <c:pt idx="50">
                  <c:v>393.46080000000018</c:v>
                </c:pt>
                <c:pt idx="51">
                  <c:v>378.72960000000012</c:v>
                </c:pt>
                <c:pt idx="52">
                  <c:v>373.81920000000014</c:v>
                </c:pt>
                <c:pt idx="53">
                  <c:v>360.83040000000005</c:v>
                </c:pt>
                <c:pt idx="54">
                  <c:v>356.60640000000006</c:v>
                </c:pt>
                <c:pt idx="55">
                  <c:v>351.06240000000008</c:v>
                </c:pt>
                <c:pt idx="56">
                  <c:v>345.5184000000001</c:v>
                </c:pt>
                <c:pt idx="57">
                  <c:v>324.39840000000009</c:v>
                </c:pt>
                <c:pt idx="58">
                  <c:v>313.83840000000015</c:v>
                </c:pt>
                <c:pt idx="59">
                  <c:v>310.40640000000008</c:v>
                </c:pt>
                <c:pt idx="60">
                  <c:v>305.28480000000008</c:v>
                </c:pt>
                <c:pt idx="61">
                  <c:v>290.50080000000014</c:v>
                </c:pt>
                <c:pt idx="62">
                  <c:v>285.27360000000016</c:v>
                </c:pt>
                <c:pt idx="63">
                  <c:v>280.04640000000006</c:v>
                </c:pt>
                <c:pt idx="64">
                  <c:v>274.97760000000005</c:v>
                </c:pt>
                <c:pt idx="65">
                  <c:v>270.17280000000005</c:v>
                </c:pt>
                <c:pt idx="66">
                  <c:v>265.52640000000008</c:v>
                </c:pt>
                <c:pt idx="67">
                  <c:v>262.09440000000006</c:v>
                </c:pt>
                <c:pt idx="68">
                  <c:v>261.14400000000006</c:v>
                </c:pt>
                <c:pt idx="69">
                  <c:v>261.40800000000007</c:v>
                </c:pt>
                <c:pt idx="70">
                  <c:v>262.83360000000005</c:v>
                </c:pt>
                <c:pt idx="71">
                  <c:v>266.74080000000004</c:v>
                </c:pt>
                <c:pt idx="72">
                  <c:v>271.80960000000005</c:v>
                </c:pt>
                <c:pt idx="73">
                  <c:v>276.87840000000011</c:v>
                </c:pt>
                <c:pt idx="74">
                  <c:v>285.43200000000007</c:v>
                </c:pt>
                <c:pt idx="75">
                  <c:v>295.04160000000002</c:v>
                </c:pt>
                <c:pt idx="76">
                  <c:v>307.92480000000006</c:v>
                </c:pt>
                <c:pt idx="77">
                  <c:v>312.78240000000005</c:v>
                </c:pt>
                <c:pt idx="78">
                  <c:v>317.69280000000003</c:v>
                </c:pt>
                <c:pt idx="79">
                  <c:v>322.60320000000002</c:v>
                </c:pt>
                <c:pt idx="80">
                  <c:v>331.05120000000005</c:v>
                </c:pt>
                <c:pt idx="81">
                  <c:v>334.43040000000002</c:v>
                </c:pt>
                <c:pt idx="82">
                  <c:v>335.1696</c:v>
                </c:pt>
                <c:pt idx="83">
                  <c:v>337.7568</c:v>
                </c:pt>
                <c:pt idx="84">
                  <c:v>338.97120000000001</c:v>
                </c:pt>
                <c:pt idx="85">
                  <c:v>336.01440000000002</c:v>
                </c:pt>
                <c:pt idx="86">
                  <c:v>333.16320000000002</c:v>
                </c:pt>
                <c:pt idx="87">
                  <c:v>333.37440000000004</c:v>
                </c:pt>
                <c:pt idx="88">
                  <c:v>350.69279999999998</c:v>
                </c:pt>
                <c:pt idx="89">
                  <c:v>346.67999999999995</c:v>
                </c:pt>
                <c:pt idx="90">
                  <c:v>351.06239999999991</c:v>
                </c:pt>
                <c:pt idx="91">
                  <c:v>351.69599999999991</c:v>
                </c:pt>
                <c:pt idx="92">
                  <c:v>355.91999999999996</c:v>
                </c:pt>
                <c:pt idx="93">
                  <c:v>350.63999999999993</c:v>
                </c:pt>
                <c:pt idx="94">
                  <c:v>348.52799999999996</c:v>
                </c:pt>
                <c:pt idx="95">
                  <c:v>349.47839999999997</c:v>
                </c:pt>
                <c:pt idx="96">
                  <c:v>351.22079999999994</c:v>
                </c:pt>
                <c:pt idx="97">
                  <c:v>354.65280000000001</c:v>
                </c:pt>
                <c:pt idx="98">
                  <c:v>358.87680000000006</c:v>
                </c:pt>
                <c:pt idx="99">
                  <c:v>361.88639999999998</c:v>
                </c:pt>
                <c:pt idx="100">
                  <c:v>362.52</c:v>
                </c:pt>
                <c:pt idx="101">
                  <c:v>361.35839999999996</c:v>
                </c:pt>
                <c:pt idx="102">
                  <c:v>353.86079999999998</c:v>
                </c:pt>
                <c:pt idx="103">
                  <c:v>346.36320000000001</c:v>
                </c:pt>
                <c:pt idx="104">
                  <c:v>336.75359999999989</c:v>
                </c:pt>
                <c:pt idx="105">
                  <c:v>327.14399999999995</c:v>
                </c:pt>
                <c:pt idx="106">
                  <c:v>324.08160000000004</c:v>
                </c:pt>
                <c:pt idx="107">
                  <c:v>317.95679999999993</c:v>
                </c:pt>
                <c:pt idx="108">
                  <c:v>314.89440000000002</c:v>
                </c:pt>
                <c:pt idx="109">
                  <c:v>316.63680000000005</c:v>
                </c:pt>
                <c:pt idx="110">
                  <c:v>317.79840000000007</c:v>
                </c:pt>
                <c:pt idx="111">
                  <c:v>320.54400000000004</c:v>
                </c:pt>
                <c:pt idx="112">
                  <c:v>321.91680000000008</c:v>
                </c:pt>
                <c:pt idx="113">
                  <c:v>335.64480000000003</c:v>
                </c:pt>
                <c:pt idx="114">
                  <c:v>326.24639999999988</c:v>
                </c:pt>
                <c:pt idx="115">
                  <c:v>321.28319999999991</c:v>
                </c:pt>
                <c:pt idx="116">
                  <c:v>326.56319999999988</c:v>
                </c:pt>
                <c:pt idx="117">
                  <c:v>328.46399999999988</c:v>
                </c:pt>
                <c:pt idx="118">
                  <c:v>330.89279999999991</c:v>
                </c:pt>
                <c:pt idx="119">
                  <c:v>334.1663999999999</c:v>
                </c:pt>
                <c:pt idx="120">
                  <c:v>335.48639999999989</c:v>
                </c:pt>
                <c:pt idx="121">
                  <c:v>335.90879999999987</c:v>
                </c:pt>
                <c:pt idx="122">
                  <c:v>340.34399999999988</c:v>
                </c:pt>
                <c:pt idx="123">
                  <c:v>335.3279999999998</c:v>
                </c:pt>
                <c:pt idx="124">
                  <c:v>332.79359999999974</c:v>
                </c:pt>
                <c:pt idx="125">
                  <c:v>335.16959999999972</c:v>
                </c:pt>
                <c:pt idx="126">
                  <c:v>340.02719999999977</c:v>
                </c:pt>
                <c:pt idx="127">
                  <c:v>349.74239999999975</c:v>
                </c:pt>
                <c:pt idx="128">
                  <c:v>354.5999999999998</c:v>
                </c:pt>
                <c:pt idx="129">
                  <c:v>352.48799999999983</c:v>
                </c:pt>
                <c:pt idx="130">
                  <c:v>350.37599999999981</c:v>
                </c:pt>
                <c:pt idx="131">
                  <c:v>352.75199999999978</c:v>
                </c:pt>
                <c:pt idx="132">
                  <c:v>356.07839999999982</c:v>
                </c:pt>
                <c:pt idx="133">
                  <c:v>359.45759999999979</c:v>
                </c:pt>
                <c:pt idx="134">
                  <c:v>359.98559999999981</c:v>
                </c:pt>
                <c:pt idx="135">
                  <c:v>360.51359999999977</c:v>
                </c:pt>
                <c:pt idx="136">
                  <c:v>363.04799999999983</c:v>
                </c:pt>
                <c:pt idx="137">
                  <c:v>360.77759999999978</c:v>
                </c:pt>
                <c:pt idx="138">
                  <c:v>358.50719999999984</c:v>
                </c:pt>
                <c:pt idx="139">
                  <c:v>358.50719999999984</c:v>
                </c:pt>
                <c:pt idx="140">
                  <c:v>351.74879999999973</c:v>
                </c:pt>
                <c:pt idx="141">
                  <c:v>351.74879999999973</c:v>
                </c:pt>
                <c:pt idx="142">
                  <c:v>357.66239999999971</c:v>
                </c:pt>
                <c:pt idx="143">
                  <c:v>352.80479999999972</c:v>
                </c:pt>
                <c:pt idx="144">
                  <c:v>353.2271999999997</c:v>
                </c:pt>
                <c:pt idx="145">
                  <c:v>353.64959999999968</c:v>
                </c:pt>
                <c:pt idx="146">
                  <c:v>372.44639999999976</c:v>
                </c:pt>
                <c:pt idx="147">
                  <c:v>367.58879999999976</c:v>
                </c:pt>
                <c:pt idx="148">
                  <c:v>365.37119999999976</c:v>
                </c:pt>
                <c:pt idx="149">
                  <c:v>366.37439999999975</c:v>
                </c:pt>
                <c:pt idx="150">
                  <c:v>369.80639999999966</c:v>
                </c:pt>
                <c:pt idx="151">
                  <c:v>373.23839999999973</c:v>
                </c:pt>
                <c:pt idx="152">
                  <c:v>361.83359999999971</c:v>
                </c:pt>
                <c:pt idx="153">
                  <c:v>356.55359999999973</c:v>
                </c:pt>
                <c:pt idx="154">
                  <c:v>340.29119999999978</c:v>
                </c:pt>
                <c:pt idx="155">
                  <c:v>340.29119999999978</c:v>
                </c:pt>
                <c:pt idx="156">
                  <c:v>340.29119999999978</c:v>
                </c:pt>
                <c:pt idx="157">
                  <c:v>338.60159999999979</c:v>
                </c:pt>
                <c:pt idx="158">
                  <c:v>336.91199999999975</c:v>
                </c:pt>
                <c:pt idx="159">
                  <c:v>341.66399999999965</c:v>
                </c:pt>
                <c:pt idx="160">
                  <c:v>344.46239999999966</c:v>
                </c:pt>
                <c:pt idx="161">
                  <c:v>347.26079999999968</c:v>
                </c:pt>
                <c:pt idx="162">
                  <c:v>351.32639999999958</c:v>
                </c:pt>
                <c:pt idx="163">
                  <c:v>357.55679999999955</c:v>
                </c:pt>
                <c:pt idx="164">
                  <c:v>358.9295999999996</c:v>
                </c:pt>
                <c:pt idx="165">
                  <c:v>358.66559999999959</c:v>
                </c:pt>
                <c:pt idx="166">
                  <c:v>361.51679999999959</c:v>
                </c:pt>
                <c:pt idx="167">
                  <c:v>364.3679999999996</c:v>
                </c:pt>
                <c:pt idx="168">
                  <c:v>367.43039999999962</c:v>
                </c:pt>
                <c:pt idx="169">
                  <c:v>370.49279999999953</c:v>
                </c:pt>
                <c:pt idx="170">
                  <c:v>366.37439999999953</c:v>
                </c:pt>
                <c:pt idx="171">
                  <c:v>369.38399999999956</c:v>
                </c:pt>
                <c:pt idx="172">
                  <c:v>375.19199999999967</c:v>
                </c:pt>
                <c:pt idx="173">
                  <c:v>377.99039999999962</c:v>
                </c:pt>
                <c:pt idx="174">
                  <c:v>379.78559999999959</c:v>
                </c:pt>
                <c:pt idx="175">
                  <c:v>375.03359999999952</c:v>
                </c:pt>
                <c:pt idx="176">
                  <c:v>375.35039999999952</c:v>
                </c:pt>
                <c:pt idx="177">
                  <c:v>369.85919999999953</c:v>
                </c:pt>
                <c:pt idx="178">
                  <c:v>364.36799999999943</c:v>
                </c:pt>
                <c:pt idx="179">
                  <c:v>367.53599999999938</c:v>
                </c:pt>
                <c:pt idx="180">
                  <c:v>370.70399999999944</c:v>
                </c:pt>
                <c:pt idx="181">
                  <c:v>381.63359999999949</c:v>
                </c:pt>
                <c:pt idx="182">
                  <c:v>386.22719999999941</c:v>
                </c:pt>
                <c:pt idx="183">
                  <c:v>390.82079999999945</c:v>
                </c:pt>
                <c:pt idx="184">
                  <c:v>411.09599999999938</c:v>
                </c:pt>
                <c:pt idx="185">
                  <c:v>414.4751999999994</c:v>
                </c:pt>
                <c:pt idx="186">
                  <c:v>428.41439999999926</c:v>
                </c:pt>
                <c:pt idx="187">
                  <c:v>438.55199999999928</c:v>
                </c:pt>
                <c:pt idx="188">
                  <c:v>447.63359999999926</c:v>
                </c:pt>
                <c:pt idx="189">
                  <c:v>452.17439999999931</c:v>
                </c:pt>
                <c:pt idx="190">
                  <c:v>456.71519999999936</c:v>
                </c:pt>
                <c:pt idx="191">
                  <c:v>451.22399999999936</c:v>
                </c:pt>
                <c:pt idx="192">
                  <c:v>445.20479999999941</c:v>
                </c:pt>
                <c:pt idx="193">
                  <c:v>442.19519999999937</c:v>
                </c:pt>
                <c:pt idx="194">
                  <c:v>438.97439999999932</c:v>
                </c:pt>
                <c:pt idx="195">
                  <c:v>435.22559999999953</c:v>
                </c:pt>
                <c:pt idx="196">
                  <c:v>419.38559999999933</c:v>
                </c:pt>
                <c:pt idx="197">
                  <c:v>411.6767999999995</c:v>
                </c:pt>
                <c:pt idx="198">
                  <c:v>403.96799999999939</c:v>
                </c:pt>
                <c:pt idx="199">
                  <c:v>402.22559999999936</c:v>
                </c:pt>
                <c:pt idx="200">
                  <c:v>398.74079999999941</c:v>
                </c:pt>
                <c:pt idx="201">
                  <c:v>401.27519999999947</c:v>
                </c:pt>
                <c:pt idx="202">
                  <c:v>397.05119999999943</c:v>
                </c:pt>
                <c:pt idx="203">
                  <c:v>395.09759999999937</c:v>
                </c:pt>
                <c:pt idx="204">
                  <c:v>400.48319999999927</c:v>
                </c:pt>
                <c:pt idx="205">
                  <c:v>420.33599999999922</c:v>
                </c:pt>
                <c:pt idx="206">
                  <c:v>412.52159999999913</c:v>
                </c:pt>
                <c:pt idx="207">
                  <c:v>407.39999999999907</c:v>
                </c:pt>
                <c:pt idx="208">
                  <c:v>410.46239999999909</c:v>
                </c:pt>
                <c:pt idx="209">
                  <c:v>413.52479999999889</c:v>
                </c:pt>
                <c:pt idx="210">
                  <c:v>422.817599999999</c:v>
                </c:pt>
                <c:pt idx="211">
                  <c:v>426.61919999999907</c:v>
                </c:pt>
                <c:pt idx="212">
                  <c:v>432.69119999999913</c:v>
                </c:pt>
                <c:pt idx="213">
                  <c:v>440.92799999999897</c:v>
                </c:pt>
                <c:pt idx="214">
                  <c:v>446.63039999999904</c:v>
                </c:pt>
                <c:pt idx="215">
                  <c:v>452.33279999999911</c:v>
                </c:pt>
                <c:pt idx="216">
                  <c:v>469.75679999999898</c:v>
                </c:pt>
                <c:pt idx="217">
                  <c:v>479.89439999999911</c:v>
                </c:pt>
                <c:pt idx="218">
                  <c:v>484.32959999999917</c:v>
                </c:pt>
                <c:pt idx="219">
                  <c:v>488.7647999999989</c:v>
                </c:pt>
                <c:pt idx="220">
                  <c:v>486.96959999999888</c:v>
                </c:pt>
                <c:pt idx="221">
                  <c:v>496.47359999999901</c:v>
                </c:pt>
                <c:pt idx="222">
                  <c:v>511.2047999999989</c:v>
                </c:pt>
                <c:pt idx="223">
                  <c:v>516.11519999999894</c:v>
                </c:pt>
                <c:pt idx="224">
                  <c:v>525.3023999999989</c:v>
                </c:pt>
                <c:pt idx="225">
                  <c:v>541.30079999999907</c:v>
                </c:pt>
                <c:pt idx="226">
                  <c:v>546.63359999999909</c:v>
                </c:pt>
                <c:pt idx="227">
                  <c:v>549.37919999999895</c:v>
                </c:pt>
                <c:pt idx="228">
                  <c:v>542.25119999999879</c:v>
                </c:pt>
                <c:pt idx="229">
                  <c:v>537.28799999999876</c:v>
                </c:pt>
                <c:pt idx="230">
                  <c:v>527.36159999999893</c:v>
                </c:pt>
                <c:pt idx="231">
                  <c:v>519.86399999999878</c:v>
                </c:pt>
                <c:pt idx="232">
                  <c:v>518.17439999999885</c:v>
                </c:pt>
                <c:pt idx="233">
                  <c:v>518.64959999999883</c:v>
                </c:pt>
                <c:pt idx="234">
                  <c:v>519.59999999999889</c:v>
                </c:pt>
                <c:pt idx="235">
                  <c:v>507.98399999999913</c:v>
                </c:pt>
                <c:pt idx="236">
                  <c:v>502.49279999999902</c:v>
                </c:pt>
                <c:pt idx="237">
                  <c:v>497.52959999999894</c:v>
                </c:pt>
                <c:pt idx="238">
                  <c:v>488.23679999999882</c:v>
                </c:pt>
                <c:pt idx="239">
                  <c:v>474.77279999999894</c:v>
                </c:pt>
                <c:pt idx="240">
                  <c:v>473.03039999999896</c:v>
                </c:pt>
                <c:pt idx="241">
                  <c:v>474.29759999999897</c:v>
                </c:pt>
                <c:pt idx="242">
                  <c:v>477.51839999999902</c:v>
                </c:pt>
                <c:pt idx="243">
                  <c:v>480.73919999999907</c:v>
                </c:pt>
                <c:pt idx="244">
                  <c:v>490.55999999999887</c:v>
                </c:pt>
                <c:pt idx="245">
                  <c:v>495.47039999999896</c:v>
                </c:pt>
                <c:pt idx="246">
                  <c:v>500.38079999999906</c:v>
                </c:pt>
                <c:pt idx="247">
                  <c:v>503.3375999999991</c:v>
                </c:pt>
                <c:pt idx="248">
                  <c:v>502.43999999999909</c:v>
                </c:pt>
                <c:pt idx="249">
                  <c:v>499.64159999999924</c:v>
                </c:pt>
                <c:pt idx="250">
                  <c:v>498.79679999999922</c:v>
                </c:pt>
                <c:pt idx="251">
                  <c:v>501.80639999999926</c:v>
                </c:pt>
                <c:pt idx="252">
                  <c:v>506.76959999999934</c:v>
                </c:pt>
                <c:pt idx="253">
                  <c:v>514.05599999999913</c:v>
                </c:pt>
                <c:pt idx="254">
                  <c:v>518.64959999999917</c:v>
                </c:pt>
                <c:pt idx="255">
                  <c:v>527.83679999999924</c:v>
                </c:pt>
                <c:pt idx="256">
                  <c:v>544.31039999999905</c:v>
                </c:pt>
                <c:pt idx="257">
                  <c:v>571.76639999999907</c:v>
                </c:pt>
                <c:pt idx="258">
                  <c:v>582.74879999999928</c:v>
                </c:pt>
                <c:pt idx="259">
                  <c:v>585.70559999999932</c:v>
                </c:pt>
                <c:pt idx="260">
                  <c:v>588.66239999999914</c:v>
                </c:pt>
                <c:pt idx="261">
                  <c:v>594.57599999999923</c:v>
                </c:pt>
                <c:pt idx="262">
                  <c:v>600.70079999999928</c:v>
                </c:pt>
                <c:pt idx="263">
                  <c:v>592.56959999999947</c:v>
                </c:pt>
                <c:pt idx="264">
                  <c:v>592.62239999999952</c:v>
                </c:pt>
                <c:pt idx="265">
                  <c:v>592.67519999999956</c:v>
                </c:pt>
                <c:pt idx="266">
                  <c:v>596.58239999999967</c:v>
                </c:pt>
                <c:pt idx="267">
                  <c:v>598.21919999999955</c:v>
                </c:pt>
                <c:pt idx="268">
                  <c:v>600.22559999999953</c:v>
                </c:pt>
                <c:pt idx="269">
                  <c:v>602.28479999999956</c:v>
                </c:pt>
                <c:pt idx="270">
                  <c:v>607.03679999999963</c:v>
                </c:pt>
                <c:pt idx="271">
                  <c:v>616.54079999999976</c:v>
                </c:pt>
                <c:pt idx="272">
                  <c:v>621.39839999999947</c:v>
                </c:pt>
                <c:pt idx="273">
                  <c:v>626.41439999999955</c:v>
                </c:pt>
                <c:pt idx="274">
                  <c:v>631.5359999999996</c:v>
                </c:pt>
                <c:pt idx="275">
                  <c:v>636.65759999999966</c:v>
                </c:pt>
                <c:pt idx="276">
                  <c:v>639.19199999999955</c:v>
                </c:pt>
                <c:pt idx="277">
                  <c:v>634.86239999999952</c:v>
                </c:pt>
                <c:pt idx="278">
                  <c:v>640.56479999999942</c:v>
                </c:pt>
                <c:pt idx="279">
                  <c:v>645.63359999999955</c:v>
                </c:pt>
                <c:pt idx="280">
                  <c:v>654.87359999999956</c:v>
                </c:pt>
                <c:pt idx="281">
                  <c:v>652.44479999999953</c:v>
                </c:pt>
                <c:pt idx="282">
                  <c:v>651.12479999999948</c:v>
                </c:pt>
                <c:pt idx="283">
                  <c:v>652.02239999999938</c:v>
                </c:pt>
                <c:pt idx="284">
                  <c:v>656.03519999999946</c:v>
                </c:pt>
                <c:pt idx="285">
                  <c:v>651.2831999999994</c:v>
                </c:pt>
                <c:pt idx="286">
                  <c:v>648.53759999999943</c:v>
                </c:pt>
                <c:pt idx="287">
                  <c:v>639.98399999999936</c:v>
                </c:pt>
                <c:pt idx="288">
                  <c:v>635.70719999999926</c:v>
                </c:pt>
                <c:pt idx="289">
                  <c:v>626.83679999999936</c:v>
                </c:pt>
                <c:pt idx="290">
                  <c:v>621.66239999999925</c:v>
                </c:pt>
                <c:pt idx="291">
                  <c:v>622.08479999999929</c:v>
                </c:pt>
                <c:pt idx="292">
                  <c:v>617.12159999999926</c:v>
                </c:pt>
                <c:pt idx="293">
                  <c:v>614.63999999999919</c:v>
                </c:pt>
                <c:pt idx="294">
                  <c:v>613.47839999999917</c:v>
                </c:pt>
                <c:pt idx="295">
                  <c:v>612.89759999999922</c:v>
                </c:pt>
                <c:pt idx="296">
                  <c:v>613.84799999999927</c:v>
                </c:pt>
                <c:pt idx="297">
                  <c:v>611.63039999999944</c:v>
                </c:pt>
                <c:pt idx="298">
                  <c:v>610.04639999999938</c:v>
                </c:pt>
                <c:pt idx="299">
                  <c:v>609.83519999999942</c:v>
                </c:pt>
                <c:pt idx="300">
                  <c:v>610.25759999999946</c:v>
                </c:pt>
                <c:pt idx="301">
                  <c:v>611.04959999999949</c:v>
                </c:pt>
                <c:pt idx="302">
                  <c:v>612.95039999999938</c:v>
                </c:pt>
                <c:pt idx="303">
                  <c:v>613.26719999999943</c:v>
                </c:pt>
                <c:pt idx="304">
                  <c:v>610.41599999999937</c:v>
                </c:pt>
                <c:pt idx="305">
                  <c:v>597.11039999999946</c:v>
                </c:pt>
                <c:pt idx="306">
                  <c:v>586.4447999999993</c:v>
                </c:pt>
                <c:pt idx="307">
                  <c:v>554.65919999999915</c:v>
                </c:pt>
                <c:pt idx="308">
                  <c:v>545.15519999999935</c:v>
                </c:pt>
                <c:pt idx="309">
                  <c:v>539.76959999999929</c:v>
                </c:pt>
                <c:pt idx="310">
                  <c:v>524.24639999999943</c:v>
                </c:pt>
                <c:pt idx="311">
                  <c:v>519.01919999999939</c:v>
                </c:pt>
                <c:pt idx="312">
                  <c:v>509.09279999999927</c:v>
                </c:pt>
                <c:pt idx="313">
                  <c:v>504.12959999999919</c:v>
                </c:pt>
                <c:pt idx="314">
                  <c:v>489.7151999999993</c:v>
                </c:pt>
                <c:pt idx="315">
                  <c:v>484.91039999999924</c:v>
                </c:pt>
                <c:pt idx="316">
                  <c:v>480.10559999999919</c:v>
                </c:pt>
                <c:pt idx="317">
                  <c:v>475.30079999999947</c:v>
                </c:pt>
                <c:pt idx="318">
                  <c:v>473.13599999999946</c:v>
                </c:pt>
                <c:pt idx="319">
                  <c:v>470.97119999999944</c:v>
                </c:pt>
                <c:pt idx="320">
                  <c:v>474.1919999999995</c:v>
                </c:pt>
                <c:pt idx="321">
                  <c:v>478.36319999999955</c:v>
                </c:pt>
                <c:pt idx="322">
                  <c:v>482.53439999999932</c:v>
                </c:pt>
                <c:pt idx="323">
                  <c:v>487.76159999999942</c:v>
                </c:pt>
                <c:pt idx="324">
                  <c:v>492.98879999999951</c:v>
                </c:pt>
                <c:pt idx="325">
                  <c:v>498.21599999999961</c:v>
                </c:pt>
                <c:pt idx="326">
                  <c:v>503.44319999999971</c:v>
                </c:pt>
                <c:pt idx="327">
                  <c:v>508.6703999999994</c:v>
                </c:pt>
                <c:pt idx="328">
                  <c:v>509.14559999999943</c:v>
                </c:pt>
                <c:pt idx="329">
                  <c:v>500.80319999999932</c:v>
                </c:pt>
                <c:pt idx="330">
                  <c:v>490.13759999999957</c:v>
                </c:pt>
                <c:pt idx="331">
                  <c:v>480.10559999999941</c:v>
                </c:pt>
                <c:pt idx="332">
                  <c:v>475.08959999999934</c:v>
                </c:pt>
                <c:pt idx="333">
                  <c:v>470.07359999999926</c:v>
                </c:pt>
                <c:pt idx="334">
                  <c:v>466.27199999999948</c:v>
                </c:pt>
                <c:pt idx="335">
                  <c:v>464.89919999999944</c:v>
                </c:pt>
                <c:pt idx="336">
                  <c:v>464.74079999999941</c:v>
                </c:pt>
                <c:pt idx="337">
                  <c:v>464.58239999999938</c:v>
                </c:pt>
                <c:pt idx="338">
                  <c:v>470.86559999999946</c:v>
                </c:pt>
                <c:pt idx="339">
                  <c:v>474.40319999999929</c:v>
                </c:pt>
                <c:pt idx="340">
                  <c:v>477.94079999999934</c:v>
                </c:pt>
                <c:pt idx="341">
                  <c:v>483.0623999999994</c:v>
                </c:pt>
                <c:pt idx="342">
                  <c:v>493.30559999999957</c:v>
                </c:pt>
                <c:pt idx="343">
                  <c:v>498.42719999999929</c:v>
                </c:pt>
                <c:pt idx="344">
                  <c:v>503.54879999999935</c:v>
                </c:pt>
                <c:pt idx="345">
                  <c:v>513.79199999999946</c:v>
                </c:pt>
                <c:pt idx="346">
                  <c:v>529.15679999999929</c:v>
                </c:pt>
                <c:pt idx="347">
                  <c:v>544.52159999999947</c:v>
                </c:pt>
                <c:pt idx="348">
                  <c:v>570.12959999999941</c:v>
                </c:pt>
                <c:pt idx="349">
                  <c:v>577.52159999999924</c:v>
                </c:pt>
                <c:pt idx="350">
                  <c:v>584.91359999999929</c:v>
                </c:pt>
                <c:pt idx="351">
                  <c:v>587.60639999999921</c:v>
                </c:pt>
                <c:pt idx="352">
                  <c:v>579.52799999999911</c:v>
                </c:pt>
                <c:pt idx="353">
                  <c:v>579.47519999999906</c:v>
                </c:pt>
                <c:pt idx="354">
                  <c:v>576.78239999999903</c:v>
                </c:pt>
                <c:pt idx="355">
                  <c:v>572.71679999999901</c:v>
                </c:pt>
                <c:pt idx="356">
                  <c:v>574.35359999999901</c:v>
                </c:pt>
                <c:pt idx="357">
                  <c:v>577.891199999999</c:v>
                </c:pt>
                <c:pt idx="358">
                  <c:v>581.42879999999877</c:v>
                </c:pt>
                <c:pt idx="359">
                  <c:v>584.43839999999886</c:v>
                </c:pt>
                <c:pt idx="360">
                  <c:v>588.45119999999895</c:v>
                </c:pt>
                <c:pt idx="361">
                  <c:v>590.45759999999893</c:v>
                </c:pt>
                <c:pt idx="362">
                  <c:v>593.41439999999886</c:v>
                </c:pt>
                <c:pt idx="363">
                  <c:v>596.37119999999891</c:v>
                </c:pt>
                <c:pt idx="364">
                  <c:v>597.84959999999887</c:v>
                </c:pt>
                <c:pt idx="365">
                  <c:v>595.31519999999887</c:v>
                </c:pt>
                <c:pt idx="366">
                  <c:v>593.4671999999988</c:v>
                </c:pt>
                <c:pt idx="367">
                  <c:v>591.61919999999873</c:v>
                </c:pt>
                <c:pt idx="368">
                  <c:v>594.73439999999857</c:v>
                </c:pt>
                <c:pt idx="369">
                  <c:v>610.31039999999859</c:v>
                </c:pt>
                <c:pt idx="370">
                  <c:v>613.42559999999867</c:v>
                </c:pt>
                <c:pt idx="371">
                  <c:v>612.89759999999865</c:v>
                </c:pt>
                <c:pt idx="372">
                  <c:v>612.63359999999864</c:v>
                </c:pt>
                <c:pt idx="373">
                  <c:v>612.8447999999986</c:v>
                </c:pt>
                <c:pt idx="374">
                  <c:v>614.58719999999857</c:v>
                </c:pt>
                <c:pt idx="375">
                  <c:v>613.84799999999859</c:v>
                </c:pt>
                <c:pt idx="376">
                  <c:v>609.25439999999867</c:v>
                </c:pt>
                <c:pt idx="377">
                  <c:v>609.20159999999862</c:v>
                </c:pt>
                <c:pt idx="378">
                  <c:v>609.14879999999857</c:v>
                </c:pt>
                <c:pt idx="379">
                  <c:v>608.46239999999852</c:v>
                </c:pt>
                <c:pt idx="380">
                  <c:v>605.18879999999876</c:v>
                </c:pt>
                <c:pt idx="381">
                  <c:v>603.92159999999876</c:v>
                </c:pt>
                <c:pt idx="382">
                  <c:v>603.86879999999871</c:v>
                </c:pt>
                <c:pt idx="383">
                  <c:v>608.14559999999869</c:v>
                </c:pt>
                <c:pt idx="384">
                  <c:v>609.25439999999867</c:v>
                </c:pt>
                <c:pt idx="385">
                  <c:v>609.62399999999866</c:v>
                </c:pt>
                <c:pt idx="386">
                  <c:v>609.67679999999871</c:v>
                </c:pt>
                <c:pt idx="387">
                  <c:v>611.63039999999876</c:v>
                </c:pt>
                <c:pt idx="388">
                  <c:v>614.21759999999858</c:v>
                </c:pt>
                <c:pt idx="389">
                  <c:v>620.34239999999841</c:v>
                </c:pt>
                <c:pt idx="390">
                  <c:v>623.56319999999823</c:v>
                </c:pt>
                <c:pt idx="391">
                  <c:v>633.22559999999862</c:v>
                </c:pt>
                <c:pt idx="392">
                  <c:v>625.93919999999866</c:v>
                </c:pt>
                <c:pt idx="393">
                  <c:v>625.04159999999877</c:v>
                </c:pt>
                <c:pt idx="394">
                  <c:v>627.15359999999896</c:v>
                </c:pt>
                <c:pt idx="395">
                  <c:v>630.79679999999871</c:v>
                </c:pt>
                <c:pt idx="396">
                  <c:v>626.88959999999895</c:v>
                </c:pt>
                <c:pt idx="397">
                  <c:v>626.67839999999899</c:v>
                </c:pt>
                <c:pt idx="398">
                  <c:v>624.30239999999912</c:v>
                </c:pt>
                <c:pt idx="399">
                  <c:v>615.85439999999903</c:v>
                </c:pt>
                <c:pt idx="400">
                  <c:v>611.63039999999933</c:v>
                </c:pt>
                <c:pt idx="401">
                  <c:v>618.59999999999945</c:v>
                </c:pt>
                <c:pt idx="402">
                  <c:v>613.95359999999937</c:v>
                </c:pt>
                <c:pt idx="403">
                  <c:v>617.06879999999921</c:v>
                </c:pt>
                <c:pt idx="404">
                  <c:v>620.18399999999951</c:v>
                </c:pt>
                <c:pt idx="405">
                  <c:v>624.67199999999923</c:v>
                </c:pt>
                <c:pt idx="406">
                  <c:v>628.42079999999953</c:v>
                </c:pt>
                <c:pt idx="407">
                  <c:v>632.16959999999926</c:v>
                </c:pt>
                <c:pt idx="408">
                  <c:v>633.75359999999921</c:v>
                </c:pt>
                <c:pt idx="409">
                  <c:v>636.86879999999951</c:v>
                </c:pt>
                <c:pt idx="410">
                  <c:v>640.51199999999926</c:v>
                </c:pt>
                <c:pt idx="411">
                  <c:v>641.99039999999934</c:v>
                </c:pt>
                <c:pt idx="412">
                  <c:v>639.19199999999955</c:v>
                </c:pt>
                <c:pt idx="413">
                  <c:v>634.22879999999986</c:v>
                </c:pt>
                <c:pt idx="414">
                  <c:v>636.55200000000002</c:v>
                </c:pt>
                <c:pt idx="415">
                  <c:v>632.90880000000027</c:v>
                </c:pt>
                <c:pt idx="416">
                  <c:v>635.49600000000044</c:v>
                </c:pt>
                <c:pt idx="417">
                  <c:v>649.43520000000035</c:v>
                </c:pt>
                <c:pt idx="418">
                  <c:v>652.44480000000021</c:v>
                </c:pt>
                <c:pt idx="419">
                  <c:v>652.07520000000022</c:v>
                </c:pt>
                <c:pt idx="420">
                  <c:v>650.06880000000035</c:v>
                </c:pt>
                <c:pt idx="421">
                  <c:v>648.06240000000048</c:v>
                </c:pt>
                <c:pt idx="422">
                  <c:v>651.01920000000052</c:v>
                </c:pt>
                <c:pt idx="423">
                  <c:v>647.69280000000026</c:v>
                </c:pt>
                <c:pt idx="424">
                  <c:v>644.36640000000045</c:v>
                </c:pt>
                <c:pt idx="425">
                  <c:v>641.04000000000065</c:v>
                </c:pt>
                <c:pt idx="426">
                  <c:v>616.48800000000062</c:v>
                </c:pt>
                <c:pt idx="427">
                  <c:v>606.66720000000043</c:v>
                </c:pt>
                <c:pt idx="428">
                  <c:v>601.7568</c:v>
                </c:pt>
                <c:pt idx="429">
                  <c:v>596.89920000000029</c:v>
                </c:pt>
                <c:pt idx="430">
                  <c:v>587.1840000000002</c:v>
                </c:pt>
                <c:pt idx="431">
                  <c:v>589.71840000000009</c:v>
                </c:pt>
                <c:pt idx="432">
                  <c:v>594.78720000000021</c:v>
                </c:pt>
                <c:pt idx="433">
                  <c:v>597.32160000000044</c:v>
                </c:pt>
                <c:pt idx="434">
                  <c:v>599.85600000000034</c:v>
                </c:pt>
                <c:pt idx="435">
                  <c:v>614.90400000000022</c:v>
                </c:pt>
                <c:pt idx="436">
                  <c:v>629.95200000000011</c:v>
                </c:pt>
                <c:pt idx="437">
                  <c:v>634.96800000000053</c:v>
                </c:pt>
                <c:pt idx="438">
                  <c:v>655.03200000000015</c:v>
                </c:pt>
                <c:pt idx="439">
                  <c:v>660.2064000000006</c:v>
                </c:pt>
                <c:pt idx="440">
                  <c:v>665.90880000000027</c:v>
                </c:pt>
                <c:pt idx="441">
                  <c:v>669.39360000000056</c:v>
                </c:pt>
                <c:pt idx="442">
                  <c:v>668.49600000000066</c:v>
                </c:pt>
                <c:pt idx="443">
                  <c:v>665.38080000000082</c:v>
                </c:pt>
                <c:pt idx="444">
                  <c:v>659.25600000000077</c:v>
                </c:pt>
                <c:pt idx="445">
                  <c:v>658.83360000000073</c:v>
                </c:pt>
                <c:pt idx="446">
                  <c:v>658.4112000000008</c:v>
                </c:pt>
                <c:pt idx="447">
                  <c:v>662.10720000000083</c:v>
                </c:pt>
                <c:pt idx="448">
                  <c:v>662.74080000000083</c:v>
                </c:pt>
                <c:pt idx="449">
                  <c:v>668.7600000000009</c:v>
                </c:pt>
                <c:pt idx="450">
                  <c:v>667.80960000000096</c:v>
                </c:pt>
                <c:pt idx="451">
                  <c:v>664.95840000000089</c:v>
                </c:pt>
                <c:pt idx="452">
                  <c:v>653.71200000000101</c:v>
                </c:pt>
                <c:pt idx="453">
                  <c:v>654.24000000000103</c:v>
                </c:pt>
                <c:pt idx="454">
                  <c:v>654.29280000000108</c:v>
                </c:pt>
                <c:pt idx="455">
                  <c:v>653.39520000000118</c:v>
                </c:pt>
                <c:pt idx="456">
                  <c:v>652.49760000000128</c:v>
                </c:pt>
                <c:pt idx="457">
                  <c:v>651.12480000000119</c:v>
                </c:pt>
                <c:pt idx="458">
                  <c:v>649.75200000000132</c:v>
                </c:pt>
                <c:pt idx="459">
                  <c:v>635.65440000000149</c:v>
                </c:pt>
                <c:pt idx="460">
                  <c:v>630.95520000000113</c:v>
                </c:pt>
                <c:pt idx="461">
                  <c:v>631.16640000000109</c:v>
                </c:pt>
                <c:pt idx="462">
                  <c:v>647.00640000000089</c:v>
                </c:pt>
                <c:pt idx="463">
                  <c:v>657.03840000000105</c:v>
                </c:pt>
                <c:pt idx="464">
                  <c:v>661.20960000000082</c:v>
                </c:pt>
                <c:pt idx="465">
                  <c:v>664.16640000000064</c:v>
                </c:pt>
                <c:pt idx="466">
                  <c:v>667.12320000000091</c:v>
                </c:pt>
                <c:pt idx="467">
                  <c:v>670.50240000000076</c:v>
                </c:pt>
                <c:pt idx="468">
                  <c:v>673.88160000000107</c:v>
                </c:pt>
                <c:pt idx="469">
                  <c:v>678.79200000000083</c:v>
                </c:pt>
                <c:pt idx="470">
                  <c:v>683.70240000000058</c:v>
                </c:pt>
                <c:pt idx="471">
                  <c:v>687.87360000000092</c:v>
                </c:pt>
                <c:pt idx="472">
                  <c:v>693.25920000000099</c:v>
                </c:pt>
                <c:pt idx="473">
                  <c:v>701.28480000000059</c:v>
                </c:pt>
                <c:pt idx="474">
                  <c:v>710.68320000000074</c:v>
                </c:pt>
                <c:pt idx="475">
                  <c:v>715.3824000000011</c:v>
                </c:pt>
                <c:pt idx="476">
                  <c:v>717.9168000000011</c:v>
                </c:pt>
                <c:pt idx="477">
                  <c:v>719.87040000000104</c:v>
                </c:pt>
                <c:pt idx="478">
                  <c:v>721.82400000000121</c:v>
                </c:pt>
                <c:pt idx="479">
                  <c:v>726.94560000000092</c:v>
                </c:pt>
                <c:pt idx="480">
                  <c:v>722.93280000000084</c:v>
                </c:pt>
                <c:pt idx="481">
                  <c:v>722.40480000000082</c:v>
                </c:pt>
                <c:pt idx="482">
                  <c:v>728.52960000000041</c:v>
                </c:pt>
                <c:pt idx="483">
                  <c:v>727.68480000000034</c:v>
                </c:pt>
                <c:pt idx="484">
                  <c:v>731.16960000000029</c:v>
                </c:pt>
                <c:pt idx="485">
                  <c:v>728.63520000000028</c:v>
                </c:pt>
                <c:pt idx="486">
                  <c:v>727.36800000000039</c:v>
                </c:pt>
                <c:pt idx="487">
                  <c:v>723.72480000000007</c:v>
                </c:pt>
                <c:pt idx="488">
                  <c:v>727.05119999999999</c:v>
                </c:pt>
                <c:pt idx="489">
                  <c:v>726.78719999999998</c:v>
                </c:pt>
                <c:pt idx="490">
                  <c:v>725.46719999999993</c:v>
                </c:pt>
                <c:pt idx="491">
                  <c:v>724.93919999999991</c:v>
                </c:pt>
                <c:pt idx="492">
                  <c:v>724.41119999999989</c:v>
                </c:pt>
                <c:pt idx="493">
                  <c:v>722.82719999999995</c:v>
                </c:pt>
                <c:pt idx="494">
                  <c:v>720.97919999999999</c:v>
                </c:pt>
                <c:pt idx="495">
                  <c:v>720.71519999999998</c:v>
                </c:pt>
                <c:pt idx="496">
                  <c:v>720.45119999999997</c:v>
                </c:pt>
                <c:pt idx="497">
                  <c:v>720.18719999999996</c:v>
                </c:pt>
                <c:pt idx="498">
                  <c:v>719.92319999999995</c:v>
                </c:pt>
                <c:pt idx="499">
                  <c:v>729.32159999999942</c:v>
                </c:pt>
                <c:pt idx="500">
                  <c:v>730.69439999999952</c:v>
                </c:pt>
                <c:pt idx="501">
                  <c:v>730.37759999999957</c:v>
                </c:pt>
                <c:pt idx="502">
                  <c:v>729.16319999999951</c:v>
                </c:pt>
                <c:pt idx="503">
                  <c:v>727.47359999999958</c:v>
                </c:pt>
                <c:pt idx="504">
                  <c:v>727.57919999999956</c:v>
                </c:pt>
                <c:pt idx="505">
                  <c:v>733.91519999999969</c:v>
                </c:pt>
                <c:pt idx="506">
                  <c:v>739.03680000000008</c:v>
                </c:pt>
                <c:pt idx="507">
                  <c:v>741.67679999999996</c:v>
                </c:pt>
                <c:pt idx="508">
                  <c:v>740.4624</c:v>
                </c:pt>
                <c:pt idx="509">
                  <c:v>740.99040000000002</c:v>
                </c:pt>
                <c:pt idx="510">
                  <c:v>742.57439999999997</c:v>
                </c:pt>
                <c:pt idx="511">
                  <c:v>747.43200000000036</c:v>
                </c:pt>
                <c:pt idx="512">
                  <c:v>752.02560000000005</c:v>
                </c:pt>
                <c:pt idx="513">
                  <c:v>756.14399999999978</c:v>
                </c:pt>
                <c:pt idx="514">
                  <c:v>759.99840000000006</c:v>
                </c:pt>
                <c:pt idx="515">
                  <c:v>760.10400000000004</c:v>
                </c:pt>
                <c:pt idx="516">
                  <c:v>763.00799999999992</c:v>
                </c:pt>
                <c:pt idx="517">
                  <c:v>766.86239999999975</c:v>
                </c:pt>
                <c:pt idx="518">
                  <c:v>771.19200000000012</c:v>
                </c:pt>
                <c:pt idx="519">
                  <c:v>774.46559999999988</c:v>
                </c:pt>
                <c:pt idx="520">
                  <c:v>774.57119999999986</c:v>
                </c:pt>
                <c:pt idx="521">
                  <c:v>773.51519999999982</c:v>
                </c:pt>
                <c:pt idx="522">
                  <c:v>775.6271999999999</c:v>
                </c:pt>
                <c:pt idx="523">
                  <c:v>774.20159999999998</c:v>
                </c:pt>
                <c:pt idx="524">
                  <c:v>771.77280000000007</c:v>
                </c:pt>
                <c:pt idx="525">
                  <c:v>766.28160000000003</c:v>
                </c:pt>
                <c:pt idx="526">
                  <c:v>755.08799999999985</c:v>
                </c:pt>
                <c:pt idx="527">
                  <c:v>749.5967999999998</c:v>
                </c:pt>
                <c:pt idx="528">
                  <c:v>746.85119999999995</c:v>
                </c:pt>
                <c:pt idx="529">
                  <c:v>743.57760000000019</c:v>
                </c:pt>
                <c:pt idx="530">
                  <c:v>734.81280000000004</c:v>
                </c:pt>
                <c:pt idx="531">
                  <c:v>719.92320000000018</c:v>
                </c:pt>
                <c:pt idx="532">
                  <c:v>717.33600000000001</c:v>
                </c:pt>
                <c:pt idx="533">
                  <c:v>714.74880000000019</c:v>
                </c:pt>
                <c:pt idx="534">
                  <c:v>716.96640000000036</c:v>
                </c:pt>
                <c:pt idx="535">
                  <c:v>726.25919999999985</c:v>
                </c:pt>
                <c:pt idx="536">
                  <c:v>731.11680000000024</c:v>
                </c:pt>
                <c:pt idx="537">
                  <c:v>736.39679999999998</c:v>
                </c:pt>
                <c:pt idx="538">
                  <c:v>741.88800000000049</c:v>
                </c:pt>
                <c:pt idx="539">
                  <c:v>747.11520000000019</c:v>
                </c:pt>
                <c:pt idx="540">
                  <c:v>751.6031999999999</c:v>
                </c:pt>
                <c:pt idx="541">
                  <c:v>755.66880000000026</c:v>
                </c:pt>
                <c:pt idx="542">
                  <c:v>758.46720000000005</c:v>
                </c:pt>
                <c:pt idx="543">
                  <c:v>761.42400000000032</c:v>
                </c:pt>
                <c:pt idx="544">
                  <c:v>764.75040000000013</c:v>
                </c:pt>
                <c:pt idx="545">
                  <c:v>768.2879999999999</c:v>
                </c:pt>
                <c:pt idx="546">
                  <c:v>771.82560000000024</c:v>
                </c:pt>
                <c:pt idx="547">
                  <c:v>775.36320000000001</c:v>
                </c:pt>
                <c:pt idx="548">
                  <c:v>778.53120000000024</c:v>
                </c:pt>
                <c:pt idx="549">
                  <c:v>781.01280000000008</c:v>
                </c:pt>
                <c:pt idx="550">
                  <c:v>783.17759999999998</c:v>
                </c:pt>
                <c:pt idx="551">
                  <c:v>784.02240000000006</c:v>
                </c:pt>
                <c:pt idx="552">
                  <c:v>780.22080000000005</c:v>
                </c:pt>
                <c:pt idx="553">
                  <c:v>773.7792000000004</c:v>
                </c:pt>
                <c:pt idx="554">
                  <c:v>767.33760000000029</c:v>
                </c:pt>
                <c:pt idx="555">
                  <c:v>765.9648000000002</c:v>
                </c:pt>
                <c:pt idx="556">
                  <c:v>764.59200000000033</c:v>
                </c:pt>
                <c:pt idx="557">
                  <c:v>763.21920000000046</c:v>
                </c:pt>
                <c:pt idx="558">
                  <c:v>764.11680000000058</c:v>
                </c:pt>
                <c:pt idx="559">
                  <c:v>764.32800000000054</c:v>
                </c:pt>
                <c:pt idx="560">
                  <c:v>764.22240000000056</c:v>
                </c:pt>
                <c:pt idx="561">
                  <c:v>761.16000000000076</c:v>
                </c:pt>
                <c:pt idx="562">
                  <c:v>758.09760000000097</c:v>
                </c:pt>
                <c:pt idx="563">
                  <c:v>748.91040000000066</c:v>
                </c:pt>
                <c:pt idx="564">
                  <c:v>740.77920000000108</c:v>
                </c:pt>
                <c:pt idx="565">
                  <c:v>728.58240000000058</c:v>
                </c:pt>
                <c:pt idx="566">
                  <c:v>724.51680000000079</c:v>
                </c:pt>
                <c:pt idx="567">
                  <c:v>725.99520000000075</c:v>
                </c:pt>
                <c:pt idx="568">
                  <c:v>727.47360000000083</c:v>
                </c:pt>
                <c:pt idx="569">
                  <c:v>707.14560000000085</c:v>
                </c:pt>
                <c:pt idx="570">
                  <c:v>699.01440000000071</c:v>
                </c:pt>
                <c:pt idx="571">
                  <c:v>694.94880000000092</c:v>
                </c:pt>
                <c:pt idx="572">
                  <c:v>696.00480000000084</c:v>
                </c:pt>
                <c:pt idx="573">
                  <c:v>696.3216000000009</c:v>
                </c:pt>
                <c:pt idx="574">
                  <c:v>696.21600000000092</c:v>
                </c:pt>
                <c:pt idx="575">
                  <c:v>694.79040000000077</c:v>
                </c:pt>
                <c:pt idx="576">
                  <c:v>690.77760000000103</c:v>
                </c:pt>
                <c:pt idx="577">
                  <c:v>685.44480000000135</c:v>
                </c:pt>
                <c:pt idx="578">
                  <c:v>680.32320000000095</c:v>
                </c:pt>
                <c:pt idx="579">
                  <c:v>675.57120000000123</c:v>
                </c:pt>
                <c:pt idx="580">
                  <c:v>670.97760000000085</c:v>
                </c:pt>
                <c:pt idx="581">
                  <c:v>668.70720000000097</c:v>
                </c:pt>
                <c:pt idx="582">
                  <c:v>671.13600000000088</c:v>
                </c:pt>
                <c:pt idx="583">
                  <c:v>675.94080000000133</c:v>
                </c:pt>
                <c:pt idx="584">
                  <c:v>680.7456000000011</c:v>
                </c:pt>
                <c:pt idx="585">
                  <c:v>685.55040000000156</c:v>
                </c:pt>
                <c:pt idx="586">
                  <c:v>695.16000000000099</c:v>
                </c:pt>
                <c:pt idx="587">
                  <c:v>709.57440000000156</c:v>
                </c:pt>
                <c:pt idx="588">
                  <c:v>714.48480000000131</c:v>
                </c:pt>
                <c:pt idx="589">
                  <c:v>719.65920000000096</c:v>
                </c:pt>
                <c:pt idx="590">
                  <c:v>730.21920000000114</c:v>
                </c:pt>
                <c:pt idx="591">
                  <c:v>753.71520000000112</c:v>
                </c:pt>
                <c:pt idx="592">
                  <c:v>758.36160000000154</c:v>
                </c:pt>
                <c:pt idx="593">
                  <c:v>763.85280000000125</c:v>
                </c:pt>
                <c:pt idx="594">
                  <c:v>768.71040000000096</c:v>
                </c:pt>
                <c:pt idx="595">
                  <c:v>773.56800000000135</c:v>
                </c:pt>
                <c:pt idx="596">
                  <c:v>777.58080000000109</c:v>
                </c:pt>
                <c:pt idx="597">
                  <c:v>781.5936000000014</c:v>
                </c:pt>
                <c:pt idx="598">
                  <c:v>786.02880000000118</c:v>
                </c:pt>
                <c:pt idx="599">
                  <c:v>790.67520000000093</c:v>
                </c:pt>
                <c:pt idx="600">
                  <c:v>795.95520000000135</c:v>
                </c:pt>
                <c:pt idx="601">
                  <c:v>800.86560000000111</c:v>
                </c:pt>
                <c:pt idx="602">
                  <c:v>805.0896000000015</c:v>
                </c:pt>
                <c:pt idx="603">
                  <c:v>808.94400000000132</c:v>
                </c:pt>
                <c:pt idx="604">
                  <c:v>812.1120000000011</c:v>
                </c:pt>
                <c:pt idx="605">
                  <c:v>814.06560000000127</c:v>
                </c:pt>
                <c:pt idx="606">
                  <c:v>812.37600000000123</c:v>
                </c:pt>
                <c:pt idx="607">
                  <c:v>813.00960000000123</c:v>
                </c:pt>
                <c:pt idx="608">
                  <c:v>814.80480000000125</c:v>
                </c:pt>
                <c:pt idx="609">
                  <c:v>819.02880000000118</c:v>
                </c:pt>
                <c:pt idx="610">
                  <c:v>821.6688000000014</c:v>
                </c:pt>
                <c:pt idx="611">
                  <c:v>823.04160000000127</c:v>
                </c:pt>
                <c:pt idx="612">
                  <c:v>824.09760000000131</c:v>
                </c:pt>
                <c:pt idx="613">
                  <c:v>825.15360000000123</c:v>
                </c:pt>
                <c:pt idx="614">
                  <c:v>826.20960000000116</c:v>
                </c:pt>
                <c:pt idx="615">
                  <c:v>827.10720000000128</c:v>
                </c:pt>
                <c:pt idx="616">
                  <c:v>829.85280000000114</c:v>
                </c:pt>
                <c:pt idx="617">
                  <c:v>832.80960000000141</c:v>
                </c:pt>
                <c:pt idx="618">
                  <c:v>835.76640000000123</c:v>
                </c:pt>
                <c:pt idx="619">
                  <c:v>832.49280000000147</c:v>
                </c:pt>
                <c:pt idx="620">
                  <c:v>834.18240000000162</c:v>
                </c:pt>
                <c:pt idx="621">
                  <c:v>832.96800000000167</c:v>
                </c:pt>
                <c:pt idx="622">
                  <c:v>825.84000000000174</c:v>
                </c:pt>
                <c:pt idx="623">
                  <c:v>822.98880000000167</c:v>
                </c:pt>
                <c:pt idx="624">
                  <c:v>822.98880000000167</c:v>
                </c:pt>
                <c:pt idx="625">
                  <c:v>825.94560000000149</c:v>
                </c:pt>
                <c:pt idx="626">
                  <c:v>819.82080000000144</c:v>
                </c:pt>
                <c:pt idx="627">
                  <c:v>808.73280000000159</c:v>
                </c:pt>
                <c:pt idx="628">
                  <c:v>801.34080000000154</c:v>
                </c:pt>
                <c:pt idx="629">
                  <c:v>797.64480000000117</c:v>
                </c:pt>
                <c:pt idx="630">
                  <c:v>790.35840000000121</c:v>
                </c:pt>
                <c:pt idx="631">
                  <c:v>793.36800000000108</c:v>
                </c:pt>
                <c:pt idx="632">
                  <c:v>802.97760000000119</c:v>
                </c:pt>
                <c:pt idx="633">
                  <c:v>806.40960000000098</c:v>
                </c:pt>
                <c:pt idx="634">
                  <c:v>807.14880000000107</c:v>
                </c:pt>
                <c:pt idx="635">
                  <c:v>806.51520000000107</c:v>
                </c:pt>
                <c:pt idx="636">
                  <c:v>805.88160000000107</c:v>
                </c:pt>
                <c:pt idx="637">
                  <c:v>804.08640000000116</c:v>
                </c:pt>
                <c:pt idx="638">
                  <c:v>803.2416000000012</c:v>
                </c:pt>
                <c:pt idx="639">
                  <c:v>804.50880000000132</c:v>
                </c:pt>
                <c:pt idx="640">
                  <c:v>805.08960000000127</c:v>
                </c:pt>
                <c:pt idx="641">
                  <c:v>802.39680000000101</c:v>
                </c:pt>
                <c:pt idx="642">
                  <c:v>798.33120000000122</c:v>
                </c:pt>
                <c:pt idx="643">
                  <c:v>794.7408000000014</c:v>
                </c:pt>
                <c:pt idx="644">
                  <c:v>791.41440000000114</c:v>
                </c:pt>
                <c:pt idx="645">
                  <c:v>788.35200000000134</c:v>
                </c:pt>
                <c:pt idx="646">
                  <c:v>785.81760000000111</c:v>
                </c:pt>
                <c:pt idx="647">
                  <c:v>783.54720000000123</c:v>
                </c:pt>
                <c:pt idx="648">
                  <c:v>782.86080000000129</c:v>
                </c:pt>
                <c:pt idx="649">
                  <c:v>785.28960000000154</c:v>
                </c:pt>
                <c:pt idx="650">
                  <c:v>797.32800000000145</c:v>
                </c:pt>
                <c:pt idx="651">
                  <c:v>799.70400000000132</c:v>
                </c:pt>
                <c:pt idx="652">
                  <c:v>798.75360000000126</c:v>
                </c:pt>
                <c:pt idx="653">
                  <c:v>796.85280000000125</c:v>
                </c:pt>
                <c:pt idx="654">
                  <c:v>794.26560000000143</c:v>
                </c:pt>
                <c:pt idx="655">
                  <c:v>791.6784000000016</c:v>
                </c:pt>
                <c:pt idx="656">
                  <c:v>793.52640000000179</c:v>
                </c:pt>
                <c:pt idx="657">
                  <c:v>795.37440000000163</c:v>
                </c:pt>
                <c:pt idx="658">
                  <c:v>794.89920000000154</c:v>
                </c:pt>
                <c:pt idx="659">
                  <c:v>791.09760000000176</c:v>
                </c:pt>
                <c:pt idx="660">
                  <c:v>780.53760000000159</c:v>
                </c:pt>
                <c:pt idx="661">
                  <c:v>777.89760000000172</c:v>
                </c:pt>
                <c:pt idx="662">
                  <c:v>778.95360000000176</c:v>
                </c:pt>
                <c:pt idx="663">
                  <c:v>777.95040000000176</c:v>
                </c:pt>
                <c:pt idx="664">
                  <c:v>777.26400000000172</c:v>
                </c:pt>
                <c:pt idx="665">
                  <c:v>777.15840000000173</c:v>
                </c:pt>
                <c:pt idx="666">
                  <c:v>777.79200000000174</c:v>
                </c:pt>
                <c:pt idx="667">
                  <c:v>777.00000000000171</c:v>
                </c:pt>
                <c:pt idx="668">
                  <c:v>771.40320000000202</c:v>
                </c:pt>
                <c:pt idx="669">
                  <c:v>767.60160000000167</c:v>
                </c:pt>
                <c:pt idx="670">
                  <c:v>759.99840000000154</c:v>
                </c:pt>
                <c:pt idx="671">
                  <c:v>753.13440000000196</c:v>
                </c:pt>
                <c:pt idx="672">
                  <c:v>746.79840000000183</c:v>
                </c:pt>
                <c:pt idx="673">
                  <c:v>743.94720000000154</c:v>
                </c:pt>
                <c:pt idx="674">
                  <c:v>738.24480000000187</c:v>
                </c:pt>
                <c:pt idx="675">
                  <c:v>735.07680000000164</c:v>
                </c:pt>
                <c:pt idx="676">
                  <c:v>727.36800000000153</c:v>
                </c:pt>
                <c:pt idx="677">
                  <c:v>698.16960000000199</c:v>
                </c:pt>
                <c:pt idx="678">
                  <c:v>693.99840000000165</c:v>
                </c:pt>
                <c:pt idx="679">
                  <c:v>677.313600000002</c:v>
                </c:pt>
                <c:pt idx="680">
                  <c:v>668.97120000000189</c:v>
                </c:pt>
                <c:pt idx="681">
                  <c:v>652.28640000000166</c:v>
                </c:pt>
                <c:pt idx="682">
                  <c:v>639.77280000000178</c:v>
                </c:pt>
                <c:pt idx="683">
                  <c:v>610.57440000000167</c:v>
                </c:pt>
                <c:pt idx="684">
                  <c:v>602.76000000000158</c:v>
                </c:pt>
                <c:pt idx="685">
                  <c:v>599.48640000000182</c:v>
                </c:pt>
                <c:pt idx="686">
                  <c:v>595.47360000000174</c:v>
                </c:pt>
                <c:pt idx="687">
                  <c:v>592.72800000000166</c:v>
                </c:pt>
                <c:pt idx="688">
                  <c:v>591.98880000000167</c:v>
                </c:pt>
                <c:pt idx="689">
                  <c:v>592.46400000000165</c:v>
                </c:pt>
                <c:pt idx="690">
                  <c:v>592.93920000000173</c:v>
                </c:pt>
                <c:pt idx="691">
                  <c:v>593.41440000000171</c:v>
                </c:pt>
                <c:pt idx="692">
                  <c:v>596.74080000000163</c:v>
                </c:pt>
                <c:pt idx="693">
                  <c:v>598.00800000000163</c:v>
                </c:pt>
                <c:pt idx="694">
                  <c:v>597.74400000000162</c:v>
                </c:pt>
                <c:pt idx="695">
                  <c:v>595.52640000000167</c:v>
                </c:pt>
                <c:pt idx="696">
                  <c:v>594.78720000000169</c:v>
                </c:pt>
                <c:pt idx="697">
                  <c:v>593.78400000000158</c:v>
                </c:pt>
                <c:pt idx="698">
                  <c:v>592.78080000000159</c:v>
                </c:pt>
                <c:pt idx="699">
                  <c:v>591.98880000000167</c:v>
                </c:pt>
                <c:pt idx="700">
                  <c:v>591.72480000000166</c:v>
                </c:pt>
                <c:pt idx="701">
                  <c:v>591.67200000000162</c:v>
                </c:pt>
                <c:pt idx="702">
                  <c:v>591.61920000000157</c:v>
                </c:pt>
                <c:pt idx="703">
                  <c:v>591.67200000000162</c:v>
                </c:pt>
                <c:pt idx="704">
                  <c:v>592.20000000000164</c:v>
                </c:pt>
                <c:pt idx="705">
                  <c:v>592.93920000000162</c:v>
                </c:pt>
                <c:pt idx="706">
                  <c:v>592.1472000000017</c:v>
                </c:pt>
                <c:pt idx="707">
                  <c:v>591.35520000000179</c:v>
                </c:pt>
                <c:pt idx="708">
                  <c:v>590.72160000000179</c:v>
                </c:pt>
                <c:pt idx="709">
                  <c:v>590.35200000000179</c:v>
                </c:pt>
                <c:pt idx="710">
                  <c:v>590.14080000000183</c:v>
                </c:pt>
                <c:pt idx="711">
                  <c:v>589.92960000000187</c:v>
                </c:pt>
                <c:pt idx="712">
                  <c:v>591.03840000000184</c:v>
                </c:pt>
                <c:pt idx="713">
                  <c:v>594.78720000000214</c:v>
                </c:pt>
                <c:pt idx="714">
                  <c:v>640.40640000000167</c:v>
                </c:pt>
                <c:pt idx="715">
                  <c:v>645.47520000000213</c:v>
                </c:pt>
                <c:pt idx="716">
                  <c:v>652.55040000000224</c:v>
                </c:pt>
                <c:pt idx="717">
                  <c:v>657.30240000000197</c:v>
                </c:pt>
                <c:pt idx="718">
                  <c:v>662.37120000000164</c:v>
                </c:pt>
                <c:pt idx="719">
                  <c:v>665.27520000000186</c:v>
                </c:pt>
                <c:pt idx="720">
                  <c:v>670.39680000000158</c:v>
                </c:pt>
                <c:pt idx="721">
                  <c:v>674.09280000000194</c:v>
                </c:pt>
                <c:pt idx="722">
                  <c:v>674.83200000000193</c:v>
                </c:pt>
                <c:pt idx="723">
                  <c:v>674.14560000000199</c:v>
                </c:pt>
                <c:pt idx="724">
                  <c:v>676.52160000000219</c:v>
                </c:pt>
                <c:pt idx="725">
                  <c:v>686.6592000000021</c:v>
                </c:pt>
                <c:pt idx="726">
                  <c:v>692.15040000000215</c:v>
                </c:pt>
                <c:pt idx="727">
                  <c:v>693.68160000000205</c:v>
                </c:pt>
                <c:pt idx="728">
                  <c:v>695.21280000000218</c:v>
                </c:pt>
                <c:pt idx="729">
                  <c:v>693.04800000000228</c:v>
                </c:pt>
                <c:pt idx="730">
                  <c:v>690.67200000000241</c:v>
                </c:pt>
                <c:pt idx="731">
                  <c:v>687.97920000000215</c:v>
                </c:pt>
                <c:pt idx="732">
                  <c:v>685.07520000000227</c:v>
                </c:pt>
                <c:pt idx="733">
                  <c:v>681.90720000000204</c:v>
                </c:pt>
                <c:pt idx="734">
                  <c:v>674.62080000000242</c:v>
                </c:pt>
                <c:pt idx="735">
                  <c:v>666.80640000000233</c:v>
                </c:pt>
                <c:pt idx="736">
                  <c:v>662.899200000002</c:v>
                </c:pt>
                <c:pt idx="737">
                  <c:v>658.99200000000224</c:v>
                </c:pt>
                <c:pt idx="738">
                  <c:v>655.08480000000247</c:v>
                </c:pt>
                <c:pt idx="739">
                  <c:v>650.28000000000202</c:v>
                </c:pt>
                <c:pt idx="740">
                  <c:v>645.47520000000225</c:v>
                </c:pt>
                <c:pt idx="741">
                  <c:v>632.38080000000207</c:v>
                </c:pt>
                <c:pt idx="742">
                  <c:v>624.67200000000196</c:v>
                </c:pt>
                <c:pt idx="743">
                  <c:v>616.96320000000242</c:v>
                </c:pt>
                <c:pt idx="744">
                  <c:v>620.39520000000266</c:v>
                </c:pt>
                <c:pt idx="745">
                  <c:v>623.82720000000245</c:v>
                </c:pt>
                <c:pt idx="746">
                  <c:v>619.70880000000238</c:v>
                </c:pt>
                <c:pt idx="747">
                  <c:v>617.54400000000248</c:v>
                </c:pt>
                <c:pt idx="748">
                  <c:v>616.01280000000236</c:v>
                </c:pt>
                <c:pt idx="749">
                  <c:v>612.36960000000238</c:v>
                </c:pt>
                <c:pt idx="750">
                  <c:v>608.67360000000235</c:v>
                </c:pt>
                <c:pt idx="751">
                  <c:v>605.61120000000255</c:v>
                </c:pt>
                <c:pt idx="752">
                  <c:v>601.96800000000223</c:v>
                </c:pt>
                <c:pt idx="753">
                  <c:v>591.0384000000023</c:v>
                </c:pt>
                <c:pt idx="754">
                  <c:v>582.16800000000239</c:v>
                </c:pt>
                <c:pt idx="755">
                  <c:v>582.53760000000239</c:v>
                </c:pt>
                <c:pt idx="756">
                  <c:v>584.64960000000258</c:v>
                </c:pt>
                <c:pt idx="757">
                  <c:v>587.13120000000242</c:v>
                </c:pt>
                <c:pt idx="758">
                  <c:v>592.51680000000249</c:v>
                </c:pt>
                <c:pt idx="759">
                  <c:v>601.07040000000245</c:v>
                </c:pt>
                <c:pt idx="760">
                  <c:v>602.44320000000255</c:v>
                </c:pt>
                <c:pt idx="761">
                  <c:v>600.8592000000026</c:v>
                </c:pt>
                <c:pt idx="762">
                  <c:v>594.73440000000255</c:v>
                </c:pt>
                <c:pt idx="763">
                  <c:v>591.03840000000275</c:v>
                </c:pt>
                <c:pt idx="764">
                  <c:v>583.6464000000027</c:v>
                </c:pt>
                <c:pt idx="765">
                  <c:v>571.29120000000285</c:v>
                </c:pt>
                <c:pt idx="766">
                  <c:v>569.44320000000266</c:v>
                </c:pt>
                <c:pt idx="767">
                  <c:v>577.68000000000256</c:v>
                </c:pt>
                <c:pt idx="768">
                  <c:v>582.6960000000023</c:v>
                </c:pt>
                <c:pt idx="769">
                  <c:v>587.71200000000272</c:v>
                </c:pt>
                <c:pt idx="770">
                  <c:v>596.26560000000222</c:v>
                </c:pt>
                <c:pt idx="771">
                  <c:v>598.43040000000246</c:v>
                </c:pt>
                <c:pt idx="772">
                  <c:v>595.26240000000269</c:v>
                </c:pt>
                <c:pt idx="773">
                  <c:v>585.33600000000251</c:v>
                </c:pt>
                <c:pt idx="774">
                  <c:v>578.78880000000242</c:v>
                </c:pt>
                <c:pt idx="775">
                  <c:v>577.99680000000251</c:v>
                </c:pt>
                <c:pt idx="776">
                  <c:v>578.10240000000249</c:v>
                </c:pt>
                <c:pt idx="777">
                  <c:v>576.99360000000252</c:v>
                </c:pt>
                <c:pt idx="778">
                  <c:v>572.40000000000214</c:v>
                </c:pt>
                <c:pt idx="779">
                  <c:v>568.17600000000243</c:v>
                </c:pt>
                <c:pt idx="780">
                  <c:v>564.74400000000219</c:v>
                </c:pt>
                <c:pt idx="781">
                  <c:v>561.68160000000239</c:v>
                </c:pt>
                <c:pt idx="782">
                  <c:v>561.20640000000242</c:v>
                </c:pt>
                <c:pt idx="783">
                  <c:v>561.3120000000024</c:v>
                </c:pt>
                <c:pt idx="784">
                  <c:v>561.36480000000245</c:v>
                </c:pt>
                <c:pt idx="785">
                  <c:v>561.89280000000247</c:v>
                </c:pt>
                <c:pt idx="786">
                  <c:v>562.42080000000249</c:v>
                </c:pt>
                <c:pt idx="787">
                  <c:v>563.05440000000249</c:v>
                </c:pt>
                <c:pt idx="788">
                  <c:v>563.68800000000249</c:v>
                </c:pt>
                <c:pt idx="789">
                  <c:v>566.43360000000257</c:v>
                </c:pt>
                <c:pt idx="790">
                  <c:v>568.17600000000243</c:v>
                </c:pt>
                <c:pt idx="791">
                  <c:v>569.91840000000263</c:v>
                </c:pt>
                <c:pt idx="792">
                  <c:v>573.40320000000247</c:v>
                </c:pt>
                <c:pt idx="793">
                  <c:v>577.25760000000275</c:v>
                </c:pt>
                <c:pt idx="794">
                  <c:v>581.11200000000258</c:v>
                </c:pt>
                <c:pt idx="795">
                  <c:v>584.22720000000288</c:v>
                </c:pt>
                <c:pt idx="796">
                  <c:v>591.19680000000244</c:v>
                </c:pt>
                <c:pt idx="797">
                  <c:v>594.68160000000273</c:v>
                </c:pt>
                <c:pt idx="798">
                  <c:v>594.73440000000278</c:v>
                </c:pt>
                <c:pt idx="799">
                  <c:v>594.78720000000283</c:v>
                </c:pt>
                <c:pt idx="800">
                  <c:v>593.78400000000283</c:v>
                </c:pt>
                <c:pt idx="801">
                  <c:v>605.18880000000297</c:v>
                </c:pt>
                <c:pt idx="802">
                  <c:v>626.09760000000256</c:v>
                </c:pt>
                <c:pt idx="803">
                  <c:v>636.02400000000273</c:v>
                </c:pt>
                <c:pt idx="804">
                  <c:v>645.9504000000029</c:v>
                </c:pt>
                <c:pt idx="805">
                  <c:v>651.23040000000265</c:v>
                </c:pt>
                <c:pt idx="806">
                  <c:v>660.73440000000278</c:v>
                </c:pt>
                <c:pt idx="807">
                  <c:v>665.22240000000318</c:v>
                </c:pt>
                <c:pt idx="808">
                  <c:v>669.28800000000297</c:v>
                </c:pt>
                <c:pt idx="809">
                  <c:v>672.56160000000273</c:v>
                </c:pt>
                <c:pt idx="810">
                  <c:v>675.41280000000256</c:v>
                </c:pt>
                <c:pt idx="811">
                  <c:v>679.16160000000343</c:v>
                </c:pt>
                <c:pt idx="812">
                  <c:v>682.91040000000316</c:v>
                </c:pt>
                <c:pt idx="813">
                  <c:v>685.97280000000296</c:v>
                </c:pt>
                <c:pt idx="814">
                  <c:v>688.66560000000277</c:v>
                </c:pt>
                <c:pt idx="815">
                  <c:v>686.23680000000252</c:v>
                </c:pt>
                <c:pt idx="816">
                  <c:v>683.75520000000267</c:v>
                </c:pt>
                <c:pt idx="817">
                  <c:v>684.44160000000261</c:v>
                </c:pt>
                <c:pt idx="818">
                  <c:v>685.92000000000257</c:v>
                </c:pt>
                <c:pt idx="819">
                  <c:v>683.86080000000209</c:v>
                </c:pt>
                <c:pt idx="820">
                  <c:v>681.80160000000217</c:v>
                </c:pt>
                <c:pt idx="821">
                  <c:v>681.48480000000222</c:v>
                </c:pt>
                <c:pt idx="822">
                  <c:v>680.16480000000229</c:v>
                </c:pt>
                <c:pt idx="823">
                  <c:v>679.32000000000221</c:v>
                </c:pt>
                <c:pt idx="824">
                  <c:v>680.53440000000217</c:v>
                </c:pt>
                <c:pt idx="825">
                  <c:v>681.69600000000207</c:v>
                </c:pt>
                <c:pt idx="826">
                  <c:v>682.59360000000197</c:v>
                </c:pt>
                <c:pt idx="827">
                  <c:v>684.49440000000243</c:v>
                </c:pt>
                <c:pt idx="828">
                  <c:v>686.55360000000235</c:v>
                </c:pt>
                <c:pt idx="829">
                  <c:v>688.87680000000216</c:v>
                </c:pt>
                <c:pt idx="830">
                  <c:v>691.35840000000201</c:v>
                </c:pt>
                <c:pt idx="831">
                  <c:v>692.67840000000194</c:v>
                </c:pt>
                <c:pt idx="832">
                  <c:v>691.72800000000177</c:v>
                </c:pt>
                <c:pt idx="833">
                  <c:v>689.66880000000185</c:v>
                </c:pt>
                <c:pt idx="834">
                  <c:v>688.08480000000191</c:v>
                </c:pt>
                <c:pt idx="835">
                  <c:v>687.50400000000195</c:v>
                </c:pt>
                <c:pt idx="836">
                  <c:v>687.39840000000197</c:v>
                </c:pt>
                <c:pt idx="837">
                  <c:v>687.29280000000199</c:v>
                </c:pt>
                <c:pt idx="838">
                  <c:v>686.60640000000205</c:v>
                </c:pt>
                <c:pt idx="839">
                  <c:v>685.92000000000212</c:v>
                </c:pt>
                <c:pt idx="840">
                  <c:v>685.02240000000222</c:v>
                </c:pt>
                <c:pt idx="841">
                  <c:v>683.22720000000209</c:v>
                </c:pt>
                <c:pt idx="842">
                  <c:v>683.1216000000021</c:v>
                </c:pt>
                <c:pt idx="843">
                  <c:v>683.43840000000205</c:v>
                </c:pt>
                <c:pt idx="844">
                  <c:v>683.70240000000206</c:v>
                </c:pt>
                <c:pt idx="845">
                  <c:v>683.38560000000211</c:v>
                </c:pt>
                <c:pt idx="846">
                  <c:v>682.752000000002</c:v>
                </c:pt>
                <c:pt idx="847">
                  <c:v>682.118400000002</c:v>
                </c:pt>
                <c:pt idx="848">
                  <c:v>681.484800000002</c:v>
                </c:pt>
                <c:pt idx="849">
                  <c:v>681.37920000000202</c:v>
                </c:pt>
                <c:pt idx="850">
                  <c:v>684.23040000000231</c:v>
                </c:pt>
                <c:pt idx="851">
                  <c:v>685.2336000000023</c:v>
                </c:pt>
                <c:pt idx="852">
                  <c:v>686.55360000000223</c:v>
                </c:pt>
                <c:pt idx="853">
                  <c:v>688.50720000000217</c:v>
                </c:pt>
                <c:pt idx="854">
                  <c:v>693.0480000000025</c:v>
                </c:pt>
                <c:pt idx="855">
                  <c:v>699.85920000000215</c:v>
                </c:pt>
                <c:pt idx="856">
                  <c:v>702.12960000000203</c:v>
                </c:pt>
                <c:pt idx="857">
                  <c:v>704.40000000000259</c:v>
                </c:pt>
                <c:pt idx="858">
                  <c:v>706.24800000000243</c:v>
                </c:pt>
                <c:pt idx="859">
                  <c:v>707.30400000000236</c:v>
                </c:pt>
                <c:pt idx="860">
                  <c:v>709.41600000000221</c:v>
                </c:pt>
                <c:pt idx="861">
                  <c:v>710.04960000000233</c:v>
                </c:pt>
                <c:pt idx="862">
                  <c:v>710.68320000000233</c:v>
                </c:pt>
                <c:pt idx="863">
                  <c:v>711.95040000000222</c:v>
                </c:pt>
                <c:pt idx="864">
                  <c:v>710.89440000000218</c:v>
                </c:pt>
                <c:pt idx="865">
                  <c:v>709.15200000000232</c:v>
                </c:pt>
                <c:pt idx="866">
                  <c:v>712.10880000000259</c:v>
                </c:pt>
                <c:pt idx="867">
                  <c:v>714.69600000000241</c:v>
                </c:pt>
                <c:pt idx="868">
                  <c:v>714.27360000000249</c:v>
                </c:pt>
                <c:pt idx="869">
                  <c:v>713.42880000000252</c:v>
                </c:pt>
                <c:pt idx="870">
                  <c:v>711.10560000000237</c:v>
                </c:pt>
                <c:pt idx="871">
                  <c:v>710.73600000000238</c:v>
                </c:pt>
                <c:pt idx="872">
                  <c:v>713.27040000000227</c:v>
                </c:pt>
                <c:pt idx="873">
                  <c:v>714.53760000000261</c:v>
                </c:pt>
                <c:pt idx="874">
                  <c:v>720.87360000000228</c:v>
                </c:pt>
                <c:pt idx="875">
                  <c:v>727.20960000000252</c:v>
                </c:pt>
                <c:pt idx="876">
                  <c:v>731.43360000000223</c:v>
                </c:pt>
                <c:pt idx="877">
                  <c:v>734.49600000000248</c:v>
                </c:pt>
                <c:pt idx="878">
                  <c:v>734.81280000000243</c:v>
                </c:pt>
                <c:pt idx="879">
                  <c:v>735.07680000000244</c:v>
                </c:pt>
                <c:pt idx="880">
                  <c:v>735.18240000000242</c:v>
                </c:pt>
                <c:pt idx="881">
                  <c:v>736.02720000000249</c:v>
                </c:pt>
                <c:pt idx="882">
                  <c:v>736.76640000000248</c:v>
                </c:pt>
                <c:pt idx="883">
                  <c:v>737.61120000000244</c:v>
                </c:pt>
                <c:pt idx="884">
                  <c:v>737.87520000000245</c:v>
                </c:pt>
                <c:pt idx="885">
                  <c:v>736.97760000000255</c:v>
                </c:pt>
                <c:pt idx="886">
                  <c:v>735.49920000000225</c:v>
                </c:pt>
                <c:pt idx="887">
                  <c:v>732.43680000000245</c:v>
                </c:pt>
                <c:pt idx="888">
                  <c:v>732.64800000000241</c:v>
                </c:pt>
                <c:pt idx="889">
                  <c:v>732.85920000000237</c:v>
                </c:pt>
                <c:pt idx="890">
                  <c:v>736.60800000000324</c:v>
                </c:pt>
                <c:pt idx="891">
                  <c:v>758.57280000000196</c:v>
                </c:pt>
                <c:pt idx="892">
                  <c:v>763.272000000003</c:v>
                </c:pt>
                <c:pt idx="893">
                  <c:v>766.54560000000276</c:v>
                </c:pt>
                <c:pt idx="894">
                  <c:v>769.02720000000261</c:v>
                </c:pt>
                <c:pt idx="895">
                  <c:v>771.77280000000246</c:v>
                </c:pt>
                <c:pt idx="896">
                  <c:v>774.99360000000229</c:v>
                </c:pt>
                <c:pt idx="897">
                  <c:v>781.96320000000287</c:v>
                </c:pt>
                <c:pt idx="898">
                  <c:v>784.28640000000269</c:v>
                </c:pt>
                <c:pt idx="899">
                  <c:v>788.35200000000248</c:v>
                </c:pt>
                <c:pt idx="900">
                  <c:v>791.04480000000228</c:v>
                </c:pt>
                <c:pt idx="901">
                  <c:v>790.99200000000224</c:v>
                </c:pt>
                <c:pt idx="902">
                  <c:v>790.93920000000219</c:v>
                </c:pt>
                <c:pt idx="903">
                  <c:v>788.08800000000235</c:v>
                </c:pt>
                <c:pt idx="904">
                  <c:v>785.23680000000206</c:v>
                </c:pt>
                <c:pt idx="905">
                  <c:v>783.81120000000215</c:v>
                </c:pt>
                <c:pt idx="906">
                  <c:v>780.96000000000231</c:v>
                </c:pt>
                <c:pt idx="907">
                  <c:v>779.95680000000232</c:v>
                </c:pt>
                <c:pt idx="908">
                  <c:v>779.85120000000234</c:v>
                </c:pt>
                <c:pt idx="909">
                  <c:v>780.48480000000234</c:v>
                </c:pt>
                <c:pt idx="910">
                  <c:v>782.38560000000246</c:v>
                </c:pt>
                <c:pt idx="911">
                  <c:v>783.17760000000237</c:v>
                </c:pt>
                <c:pt idx="912">
                  <c:v>784.76160000000232</c:v>
                </c:pt>
                <c:pt idx="913">
                  <c:v>785.55360000000223</c:v>
                </c:pt>
                <c:pt idx="914">
                  <c:v>784.23360000000196</c:v>
                </c:pt>
                <c:pt idx="915">
                  <c:v>782.91360000000202</c:v>
                </c:pt>
                <c:pt idx="916">
                  <c:v>782.43840000000205</c:v>
                </c:pt>
                <c:pt idx="917">
                  <c:v>781.38240000000212</c:v>
                </c:pt>
                <c:pt idx="918">
                  <c:v>779.16480000000229</c:v>
                </c:pt>
                <c:pt idx="919">
                  <c:v>773.5680000000018</c:v>
                </c:pt>
                <c:pt idx="920">
                  <c:v>776.31360000000166</c:v>
                </c:pt>
                <c:pt idx="921">
                  <c:v>785.50080000000116</c:v>
                </c:pt>
                <c:pt idx="922">
                  <c:v>791.46720000000255</c:v>
                </c:pt>
                <c:pt idx="923">
                  <c:v>797.43360000000223</c:v>
                </c:pt>
                <c:pt idx="924">
                  <c:v>802.81920000000196</c:v>
                </c:pt>
                <c:pt idx="925">
                  <c:v>813.27360000000135</c:v>
                </c:pt>
                <c:pt idx="926">
                  <c:v>821.82720000000211</c:v>
                </c:pt>
                <c:pt idx="927">
                  <c:v>819.34560000000226</c:v>
                </c:pt>
                <c:pt idx="928">
                  <c:v>814.38240000000258</c:v>
                </c:pt>
                <c:pt idx="929">
                  <c:v>809.63040000000149</c:v>
                </c:pt>
                <c:pt idx="930">
                  <c:v>804.87840000000176</c:v>
                </c:pt>
                <c:pt idx="931">
                  <c:v>795.37440000000231</c:v>
                </c:pt>
                <c:pt idx="932">
                  <c:v>795.48000000000229</c:v>
                </c:pt>
                <c:pt idx="933">
                  <c:v>799.17600000000266</c:v>
                </c:pt>
                <c:pt idx="934">
                  <c:v>802.23840000000246</c:v>
                </c:pt>
                <c:pt idx="935">
                  <c:v>804.61440000000232</c:v>
                </c:pt>
                <c:pt idx="936">
                  <c:v>806.67360000000224</c:v>
                </c:pt>
                <c:pt idx="937">
                  <c:v>806.9904000000023</c:v>
                </c:pt>
                <c:pt idx="938">
                  <c:v>806.9904000000023</c:v>
                </c:pt>
                <c:pt idx="939">
                  <c:v>806.9904000000023</c:v>
                </c:pt>
                <c:pt idx="940">
                  <c:v>807.51840000000232</c:v>
                </c:pt>
                <c:pt idx="941">
                  <c:v>805.08960000000206</c:v>
                </c:pt>
                <c:pt idx="942">
                  <c:v>803.03040000000215</c:v>
                </c:pt>
                <c:pt idx="943">
                  <c:v>796.06080000000259</c:v>
                </c:pt>
                <c:pt idx="944">
                  <c:v>795.21600000000251</c:v>
                </c:pt>
                <c:pt idx="945">
                  <c:v>793.84320000000264</c:v>
                </c:pt>
                <c:pt idx="946">
                  <c:v>790.46400000000278</c:v>
                </c:pt>
                <c:pt idx="947">
                  <c:v>785.71200000000238</c:v>
                </c:pt>
                <c:pt idx="948">
                  <c:v>784.28640000000246</c:v>
                </c:pt>
                <c:pt idx="949">
                  <c:v>784.76160000000243</c:v>
                </c:pt>
                <c:pt idx="950">
                  <c:v>787.61280000000272</c:v>
                </c:pt>
                <c:pt idx="951">
                  <c:v>787.77120000000275</c:v>
                </c:pt>
                <c:pt idx="952">
                  <c:v>785.39520000000289</c:v>
                </c:pt>
                <c:pt idx="953">
                  <c:v>781.75200000000314</c:v>
                </c:pt>
                <c:pt idx="954">
                  <c:v>777.26400000000342</c:v>
                </c:pt>
                <c:pt idx="955">
                  <c:v>772.77600000000245</c:v>
                </c:pt>
                <c:pt idx="956">
                  <c:v>753.55680000000359</c:v>
                </c:pt>
                <c:pt idx="957">
                  <c:v>752.28960000000347</c:v>
                </c:pt>
                <c:pt idx="958">
                  <c:v>751.65600000000347</c:v>
                </c:pt>
                <c:pt idx="959">
                  <c:v>749.43840000000364</c:v>
                </c:pt>
                <c:pt idx="960">
                  <c:v>741.36000000000331</c:v>
                </c:pt>
                <c:pt idx="961">
                  <c:v>726.57600000000332</c:v>
                </c:pt>
                <c:pt idx="962">
                  <c:v>724.5168000000034</c:v>
                </c:pt>
                <c:pt idx="963">
                  <c:v>724.25280000000339</c:v>
                </c:pt>
                <c:pt idx="964">
                  <c:v>726.15360000000351</c:v>
                </c:pt>
                <c:pt idx="965">
                  <c:v>725.62560000000349</c:v>
                </c:pt>
                <c:pt idx="966">
                  <c:v>717.70560000000398</c:v>
                </c:pt>
                <c:pt idx="967">
                  <c:v>713.05920000000287</c:v>
                </c:pt>
                <c:pt idx="968">
                  <c:v>708.62400000000309</c:v>
                </c:pt>
                <c:pt idx="969">
                  <c:v>704.82240000000331</c:v>
                </c:pt>
                <c:pt idx="970">
                  <c:v>701.54880000000355</c:v>
                </c:pt>
                <c:pt idx="971">
                  <c:v>699.33120000000372</c:v>
                </c:pt>
                <c:pt idx="972">
                  <c:v>695.95200000000341</c:v>
                </c:pt>
                <c:pt idx="973">
                  <c:v>693.89280000000349</c:v>
                </c:pt>
                <c:pt idx="974">
                  <c:v>691.0944000000037</c:v>
                </c:pt>
                <c:pt idx="975">
                  <c:v>687.71520000000385</c:v>
                </c:pt>
                <c:pt idx="976">
                  <c:v>683.860800000003</c:v>
                </c:pt>
                <c:pt idx="977">
                  <c:v>680.00640000000317</c:v>
                </c:pt>
                <c:pt idx="978">
                  <c:v>676.15200000000334</c:v>
                </c:pt>
                <c:pt idx="979">
                  <c:v>647.32320000000379</c:v>
                </c:pt>
                <c:pt idx="980">
                  <c:v>640.67040000000327</c:v>
                </c:pt>
                <c:pt idx="981">
                  <c:v>630.69120000000385</c:v>
                </c:pt>
                <c:pt idx="982">
                  <c:v>631.37760000000401</c:v>
                </c:pt>
                <c:pt idx="983">
                  <c:v>631.37760000000401</c:v>
                </c:pt>
                <c:pt idx="984">
                  <c:v>631.37760000000401</c:v>
                </c:pt>
                <c:pt idx="985">
                  <c:v>620.44800000000362</c:v>
                </c:pt>
                <c:pt idx="986">
                  <c:v>616.96320000000378</c:v>
                </c:pt>
                <c:pt idx="987">
                  <c:v>613.10880000000395</c:v>
                </c:pt>
                <c:pt idx="988">
                  <c:v>609.25440000000413</c:v>
                </c:pt>
                <c:pt idx="989">
                  <c:v>605.1360000000044</c:v>
                </c:pt>
                <c:pt idx="990">
                  <c:v>600.54240000000334</c:v>
                </c:pt>
                <c:pt idx="991">
                  <c:v>595.68480000000363</c:v>
                </c:pt>
                <c:pt idx="992">
                  <c:v>591.35520000000383</c:v>
                </c:pt>
                <c:pt idx="993">
                  <c:v>578.84160000000338</c:v>
                </c:pt>
                <c:pt idx="994">
                  <c:v>575.88480000000357</c:v>
                </c:pt>
                <c:pt idx="995">
                  <c:v>572.92800000000375</c:v>
                </c:pt>
                <c:pt idx="996">
                  <c:v>571.76640000000384</c:v>
                </c:pt>
                <c:pt idx="997">
                  <c:v>571.76640000000384</c:v>
                </c:pt>
                <c:pt idx="998">
                  <c:v>573.87840000000369</c:v>
                </c:pt>
                <c:pt idx="999">
                  <c:v>576.04320000000359</c:v>
                </c:pt>
                <c:pt idx="1000">
                  <c:v>578.7360000000034</c:v>
                </c:pt>
                <c:pt idx="1001">
                  <c:v>582.48480000000313</c:v>
                </c:pt>
                <c:pt idx="1002">
                  <c:v>586.76160000000414</c:v>
                </c:pt>
                <c:pt idx="1003">
                  <c:v>590.98560000000384</c:v>
                </c:pt>
                <c:pt idx="1004">
                  <c:v>595.20960000000355</c:v>
                </c:pt>
                <c:pt idx="1005">
                  <c:v>600.48960000000329</c:v>
                </c:pt>
                <c:pt idx="1006">
                  <c:v>603.44640000000311</c:v>
                </c:pt>
                <c:pt idx="1007">
                  <c:v>606.40320000000384</c:v>
                </c:pt>
                <c:pt idx="1008">
                  <c:v>611.89440000000354</c:v>
                </c:pt>
                <c:pt idx="1009">
                  <c:v>616.22400000000334</c:v>
                </c:pt>
                <c:pt idx="1010">
                  <c:v>616.96320000000333</c:v>
                </c:pt>
                <c:pt idx="1011">
                  <c:v>618.0720000000033</c:v>
                </c:pt>
                <c:pt idx="1012">
                  <c:v>619.92000000000371</c:v>
                </c:pt>
                <c:pt idx="1013">
                  <c:v>621.76800000000355</c:v>
                </c:pt>
                <c:pt idx="1014">
                  <c:v>623.98560000000339</c:v>
                </c:pt>
                <c:pt idx="1015">
                  <c:v>628.42080000000317</c:v>
                </c:pt>
                <c:pt idx="1016">
                  <c:v>630.74400000000333</c:v>
                </c:pt>
                <c:pt idx="1017">
                  <c:v>629.84640000000343</c:v>
                </c:pt>
                <c:pt idx="1018">
                  <c:v>625.93920000000367</c:v>
                </c:pt>
                <c:pt idx="1019">
                  <c:v>624.35520000000326</c:v>
                </c:pt>
                <c:pt idx="1020">
                  <c:v>623.45760000000337</c:v>
                </c:pt>
                <c:pt idx="1021">
                  <c:v>622.92960000000335</c:v>
                </c:pt>
                <c:pt idx="1022">
                  <c:v>620.23680000000354</c:v>
                </c:pt>
                <c:pt idx="1023">
                  <c:v>616.96320000000378</c:v>
                </c:pt>
                <c:pt idx="1024">
                  <c:v>612.47520000000281</c:v>
                </c:pt>
                <c:pt idx="1025">
                  <c:v>602.33760000000336</c:v>
                </c:pt>
                <c:pt idx="1026">
                  <c:v>595.26240000000371</c:v>
                </c:pt>
                <c:pt idx="1027">
                  <c:v>585.54720000000293</c:v>
                </c:pt>
                <c:pt idx="1028">
                  <c:v>580.00320000000329</c:v>
                </c:pt>
                <c:pt idx="1029">
                  <c:v>576.41280000000347</c:v>
                </c:pt>
                <c:pt idx="1030">
                  <c:v>572.82240000000365</c:v>
                </c:pt>
                <c:pt idx="1031">
                  <c:v>567.3840000000024</c:v>
                </c:pt>
                <c:pt idx="1032">
                  <c:v>562.57920000000263</c:v>
                </c:pt>
                <c:pt idx="1033">
                  <c:v>557.77440000000286</c:v>
                </c:pt>
                <c:pt idx="1034">
                  <c:v>550.27680000000328</c:v>
                </c:pt>
                <c:pt idx="1035">
                  <c:v>546.21120000000235</c:v>
                </c:pt>
                <c:pt idx="1036">
                  <c:v>545.84160000000236</c:v>
                </c:pt>
                <c:pt idx="1037">
                  <c:v>545.47200000000237</c:v>
                </c:pt>
                <c:pt idx="1038">
                  <c:v>545.78880000000231</c:v>
                </c:pt>
                <c:pt idx="1039">
                  <c:v>545.36640000000216</c:v>
                </c:pt>
                <c:pt idx="1040">
                  <c:v>546.42240000000209</c:v>
                </c:pt>
                <c:pt idx="1041">
                  <c:v>547.95360000000198</c:v>
                </c:pt>
                <c:pt idx="1042">
                  <c:v>550.48800000000188</c:v>
                </c:pt>
                <c:pt idx="1043">
                  <c:v>553.55040000000167</c:v>
                </c:pt>
                <c:pt idx="1044">
                  <c:v>552.17760000000135</c:v>
                </c:pt>
                <c:pt idx="1045">
                  <c:v>549.32640000000151</c:v>
                </c:pt>
                <c:pt idx="1046">
                  <c:v>544.15200000000186</c:v>
                </c:pt>
                <c:pt idx="1047">
                  <c:v>541.776000000002</c:v>
                </c:pt>
                <c:pt idx="1048">
                  <c:v>540.50880000000166</c:v>
                </c:pt>
                <c:pt idx="1049">
                  <c:v>542.56800000000158</c:v>
                </c:pt>
                <c:pt idx="1050">
                  <c:v>544.62720000000149</c:v>
                </c:pt>
                <c:pt idx="1051">
                  <c:v>547.00320000000136</c:v>
                </c:pt>
                <c:pt idx="1052">
                  <c:v>553.12800000000186</c:v>
                </c:pt>
                <c:pt idx="1053">
                  <c:v>556.50720000000172</c:v>
                </c:pt>
                <c:pt idx="1054">
                  <c:v>563.26560000000131</c:v>
                </c:pt>
                <c:pt idx="1055">
                  <c:v>569.4960000000018</c:v>
                </c:pt>
                <c:pt idx="1056">
                  <c:v>572.08320000000163</c:v>
                </c:pt>
                <c:pt idx="1057">
                  <c:v>574.40640000000144</c:v>
                </c:pt>
                <c:pt idx="1058">
                  <c:v>576.25440000000128</c:v>
                </c:pt>
                <c:pt idx="1059">
                  <c:v>576.72960000000126</c:v>
                </c:pt>
                <c:pt idx="1060">
                  <c:v>577.20480000000134</c:v>
                </c:pt>
                <c:pt idx="1061">
                  <c:v>577.04640000000131</c:v>
                </c:pt>
                <c:pt idx="1062">
                  <c:v>577.25760000000128</c:v>
                </c:pt>
                <c:pt idx="1063">
                  <c:v>578.36640000000136</c:v>
                </c:pt>
                <c:pt idx="1064">
                  <c:v>581.2176000000012</c:v>
                </c:pt>
                <c:pt idx="1065">
                  <c:v>588.29280000000085</c:v>
                </c:pt>
                <c:pt idx="1066">
                  <c:v>597.48000000000161</c:v>
                </c:pt>
                <c:pt idx="1067">
                  <c:v>611.26080000000081</c:v>
                </c:pt>
                <c:pt idx="1068">
                  <c:v>614.48160000000155</c:v>
                </c:pt>
                <c:pt idx="1069">
                  <c:v>614.90400000000147</c:v>
                </c:pt>
                <c:pt idx="1070">
                  <c:v>613.95360000000153</c:v>
                </c:pt>
                <c:pt idx="1071">
                  <c:v>614.48160000000155</c:v>
                </c:pt>
                <c:pt idx="1072">
                  <c:v>617.91360000000134</c:v>
                </c:pt>
                <c:pt idx="1073">
                  <c:v>627.73440000000221</c:v>
                </c:pt>
                <c:pt idx="1074">
                  <c:v>632.64480000000196</c:v>
                </c:pt>
                <c:pt idx="1075">
                  <c:v>641.51520000000141</c:v>
                </c:pt>
                <c:pt idx="1076">
                  <c:v>644.89440000000218</c:v>
                </c:pt>
                <c:pt idx="1077">
                  <c:v>645.10560000000214</c:v>
                </c:pt>
                <c:pt idx="1078">
                  <c:v>645.47520000000213</c:v>
                </c:pt>
                <c:pt idx="1079">
                  <c:v>649.1712000000025</c:v>
                </c:pt>
                <c:pt idx="1080">
                  <c:v>651.49440000000232</c:v>
                </c:pt>
                <c:pt idx="1081">
                  <c:v>658.46400000000187</c:v>
                </c:pt>
                <c:pt idx="1082">
                  <c:v>660.78720000000237</c:v>
                </c:pt>
                <c:pt idx="1083">
                  <c:v>663.11040000000219</c:v>
                </c:pt>
                <c:pt idx="1084">
                  <c:v>665.433600000002</c:v>
                </c:pt>
                <c:pt idx="1085">
                  <c:v>672.40320000000224</c:v>
                </c:pt>
                <c:pt idx="1086">
                  <c:v>674.72640000000206</c:v>
                </c:pt>
                <c:pt idx="1087">
                  <c:v>677.04960000000187</c:v>
                </c:pt>
                <c:pt idx="1088">
                  <c:v>678.7392000000018</c:v>
                </c:pt>
                <c:pt idx="1089">
                  <c:v>679.10880000000179</c:v>
                </c:pt>
                <c:pt idx="1090">
                  <c:v>678.79200000000174</c:v>
                </c:pt>
                <c:pt idx="1091">
                  <c:v>677.4720000000018</c:v>
                </c:pt>
                <c:pt idx="1092">
                  <c:v>676.8384000000018</c:v>
                </c:pt>
                <c:pt idx="1093">
                  <c:v>677.57760000000178</c:v>
                </c:pt>
                <c:pt idx="1094">
                  <c:v>679.0032000000017</c:v>
                </c:pt>
                <c:pt idx="1095">
                  <c:v>679.63680000000181</c:v>
                </c:pt>
                <c:pt idx="1096">
                  <c:v>680.27040000000181</c:v>
                </c:pt>
                <c:pt idx="1097">
                  <c:v>681.37920000000179</c:v>
                </c:pt>
                <c:pt idx="1098">
                  <c:v>684.28320000000167</c:v>
                </c:pt>
                <c:pt idx="1099">
                  <c:v>686.18400000000156</c:v>
                </c:pt>
                <c:pt idx="1100">
                  <c:v>690.03840000000241</c:v>
                </c:pt>
                <c:pt idx="1101">
                  <c:v>692.15040000000226</c:v>
                </c:pt>
                <c:pt idx="1102">
                  <c:v>694.73760000000209</c:v>
                </c:pt>
                <c:pt idx="1103">
                  <c:v>700.33440000000178</c:v>
                </c:pt>
                <c:pt idx="1104">
                  <c:v>708.14880000000244</c:v>
                </c:pt>
                <c:pt idx="1105">
                  <c:v>710.31360000000234</c:v>
                </c:pt>
                <c:pt idx="1106">
                  <c:v>707.56800000000248</c:v>
                </c:pt>
                <c:pt idx="1107">
                  <c:v>698.22240000000215</c:v>
                </c:pt>
                <c:pt idx="1108">
                  <c:v>692.73120000000245</c:v>
                </c:pt>
                <c:pt idx="1109">
                  <c:v>690.98880000000202</c:v>
                </c:pt>
                <c:pt idx="1110">
                  <c:v>690.03840000000207</c:v>
                </c:pt>
                <c:pt idx="1111">
                  <c:v>694.15680000000179</c:v>
                </c:pt>
                <c:pt idx="1112">
                  <c:v>694.31520000000182</c:v>
                </c:pt>
                <c:pt idx="1113">
                  <c:v>691.93920000000196</c:v>
                </c:pt>
                <c:pt idx="1114">
                  <c:v>688.34880000000214</c:v>
                </c:pt>
                <c:pt idx="1115">
                  <c:v>686.92320000000223</c:v>
                </c:pt>
                <c:pt idx="1116">
                  <c:v>686.23680000000229</c:v>
                </c:pt>
                <c:pt idx="1117">
                  <c:v>686.76480000000242</c:v>
                </c:pt>
                <c:pt idx="1118">
                  <c:v>689.66880000000231</c:v>
                </c:pt>
                <c:pt idx="1119">
                  <c:v>693.78720000000203</c:v>
                </c:pt>
                <c:pt idx="1120">
                  <c:v>696.00480000000186</c:v>
                </c:pt>
                <c:pt idx="1121">
                  <c:v>692.73120000000154</c:v>
                </c:pt>
                <c:pt idx="1122">
                  <c:v>691.09440000000166</c:v>
                </c:pt>
                <c:pt idx="1123">
                  <c:v>676.94400000000144</c:v>
                </c:pt>
                <c:pt idx="1124">
                  <c:v>673.40640000000167</c:v>
                </c:pt>
                <c:pt idx="1125">
                  <c:v>650.43840000000171</c:v>
                </c:pt>
                <c:pt idx="1126">
                  <c:v>640.19520000000227</c:v>
                </c:pt>
                <c:pt idx="1127">
                  <c:v>635.65440000000251</c:v>
                </c:pt>
                <c:pt idx="1128">
                  <c:v>632.27520000000175</c:v>
                </c:pt>
                <c:pt idx="1129">
                  <c:v>629.47680000000196</c:v>
                </c:pt>
                <c:pt idx="1130">
                  <c:v>623.88000000000227</c:v>
                </c:pt>
                <c:pt idx="1131">
                  <c:v>622.61280000000238</c:v>
                </c:pt>
                <c:pt idx="1132">
                  <c:v>624.46080000000279</c:v>
                </c:pt>
                <c:pt idx="1133">
                  <c:v>627.84000000000265</c:v>
                </c:pt>
                <c:pt idx="1134">
                  <c:v>630.90240000000244</c:v>
                </c:pt>
                <c:pt idx="1135">
                  <c:v>630.90240000000244</c:v>
                </c:pt>
                <c:pt idx="1136">
                  <c:v>630.90240000000244</c:v>
                </c:pt>
                <c:pt idx="1137">
                  <c:v>630.90240000000244</c:v>
                </c:pt>
                <c:pt idx="1138">
                  <c:v>630.90240000000244</c:v>
                </c:pt>
                <c:pt idx="1139">
                  <c:v>630.90240000000244</c:v>
                </c:pt>
                <c:pt idx="1140">
                  <c:v>630.90240000000244</c:v>
                </c:pt>
                <c:pt idx="1141">
                  <c:v>630.90240000000244</c:v>
                </c:pt>
                <c:pt idx="1142">
                  <c:v>630.90240000000244</c:v>
                </c:pt>
                <c:pt idx="1143">
                  <c:v>630.90240000000244</c:v>
                </c:pt>
                <c:pt idx="1144">
                  <c:v>630.90240000000244</c:v>
                </c:pt>
              </c:numCache>
            </c:numRef>
          </c:yVal>
          <c:smooth val="0"/>
        </c:ser>
        <c:dLbls>
          <c:showLegendKey val="0"/>
          <c:showVal val="0"/>
          <c:showCatName val="0"/>
          <c:showSerName val="0"/>
          <c:showPercent val="0"/>
          <c:showBubbleSize val="0"/>
        </c:dLbls>
        <c:axId val="303102592"/>
        <c:axId val="326791936"/>
      </c:scatterChart>
      <c:valAx>
        <c:axId val="303102592"/>
        <c:scaling>
          <c:orientation val="minMax"/>
        </c:scaling>
        <c:delete val="0"/>
        <c:axPos val="b"/>
        <c:title>
          <c:tx>
            <c:rich>
              <a:bodyPr/>
              <a:lstStyle/>
              <a:p>
                <a:pPr>
                  <a:defRPr/>
                </a:pPr>
                <a:r>
                  <a:rPr lang="en-US"/>
                  <a:t>Mile Post (mi.)</a:t>
                </a:r>
              </a:p>
            </c:rich>
          </c:tx>
          <c:layout/>
          <c:overlay val="0"/>
        </c:title>
        <c:numFmt formatCode="General" sourceLinked="1"/>
        <c:majorTickMark val="out"/>
        <c:minorTickMark val="none"/>
        <c:tickLblPos val="nextTo"/>
        <c:crossAx val="326791936"/>
        <c:crosses val="autoZero"/>
        <c:crossBetween val="midCat"/>
      </c:valAx>
      <c:valAx>
        <c:axId val="326791936"/>
        <c:scaling>
          <c:orientation val="minMax"/>
        </c:scaling>
        <c:delete val="0"/>
        <c:axPos val="l"/>
        <c:majorGridlines/>
        <c:title>
          <c:tx>
            <c:rich>
              <a:bodyPr rot="-5400000" vert="horz"/>
              <a:lstStyle/>
              <a:p>
                <a:pPr>
                  <a:defRPr/>
                </a:pPr>
                <a:r>
                  <a:rPr lang="en-CA"/>
                  <a:t>Elevation</a:t>
                </a:r>
                <a:r>
                  <a:rPr lang="en-CA" baseline="0"/>
                  <a:t> (ft)</a:t>
                </a:r>
                <a:endParaRPr lang="en-CA"/>
              </a:p>
            </c:rich>
          </c:tx>
          <c:layout/>
          <c:overlay val="0"/>
        </c:title>
        <c:numFmt formatCode="General" sourceLinked="1"/>
        <c:majorTickMark val="out"/>
        <c:minorTickMark val="none"/>
        <c:tickLblPos val="nextTo"/>
        <c:crossAx val="303102592"/>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190500</xdr:colOff>
      <xdr:row>11</xdr:row>
      <xdr:rowOff>104775</xdr:rowOff>
    </xdr:from>
    <xdr:to>
      <xdr:col>10</xdr:col>
      <xdr:colOff>819150</xdr:colOff>
      <xdr:row>25</xdr:row>
      <xdr:rowOff>180975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257176</xdr:colOff>
      <xdr:row>13</xdr:row>
      <xdr:rowOff>57149</xdr:rowOff>
    </xdr:from>
    <xdr:to>
      <xdr:col>10</xdr:col>
      <xdr:colOff>657226</xdr:colOff>
      <xdr:row>14</xdr:row>
      <xdr:rowOff>85724</xdr:rowOff>
    </xdr:to>
    <xdr:sp macro="" textlink="">
      <xdr:nvSpPr>
        <xdr:cNvPr id="6" name="Line Callout 1 5"/>
        <xdr:cNvSpPr/>
      </xdr:nvSpPr>
      <xdr:spPr>
        <a:xfrm>
          <a:off x="5295901" y="2533649"/>
          <a:ext cx="1771650" cy="219075"/>
        </a:xfrm>
        <a:prstGeom prst="borderCallout1">
          <a:avLst>
            <a:gd name="adj1" fmla="val 50893"/>
            <a:gd name="adj2" fmla="val -714"/>
            <a:gd name="adj3" fmla="val 148220"/>
            <a:gd name="adj4" fmla="val -9009"/>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solidFill>
                <a:sysClr val="windowText" lastClr="000000"/>
              </a:solidFill>
            </a:rPr>
            <a:t>selected segment boundary</a:t>
          </a:r>
        </a:p>
      </xdr:txBody>
    </xdr:sp>
    <xdr:clientData/>
  </xdr:twoCellAnchor>
  <xdr:twoCellAnchor>
    <xdr:from>
      <xdr:col>28</xdr:col>
      <xdr:colOff>161924</xdr:colOff>
      <xdr:row>7</xdr:row>
      <xdr:rowOff>104775</xdr:rowOff>
    </xdr:from>
    <xdr:to>
      <xdr:col>29</xdr:col>
      <xdr:colOff>600075</xdr:colOff>
      <xdr:row>9</xdr:row>
      <xdr:rowOff>161924</xdr:rowOff>
    </xdr:to>
    <xdr:sp macro="[0]!BuildGradeTables" textlink="">
      <xdr:nvSpPr>
        <xdr:cNvPr id="4" name="Rounded Rectangle 3"/>
        <xdr:cNvSpPr/>
      </xdr:nvSpPr>
      <xdr:spPr>
        <a:xfrm>
          <a:off x="18249899" y="1438275"/>
          <a:ext cx="1047751" cy="4381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CA" sz="1100"/>
            <a:t>Click to Update</a:t>
          </a:r>
          <a:r>
            <a:rPr lang="en-CA" sz="1100" baseline="0"/>
            <a:t> Grade Table</a:t>
          </a:r>
          <a:endParaRPr lang="en-CA"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www.trb.org/"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40"/>
  <sheetViews>
    <sheetView tabSelected="1" workbookViewId="0"/>
  </sheetViews>
  <sheetFormatPr defaultRowHeight="15" x14ac:dyDescent="0.25"/>
  <cols>
    <col min="1" max="1" width="11" customWidth="1"/>
    <col min="2" max="2" width="12.140625" customWidth="1"/>
    <col min="3" max="3" width="17" customWidth="1"/>
    <col min="9" max="9" width="9.140625" style="4"/>
    <col min="13" max="13" width="11.85546875" customWidth="1"/>
    <col min="14" max="14" width="14" customWidth="1"/>
    <col min="15" max="15" width="10.42578125" customWidth="1"/>
    <col min="17" max="17" width="14.7109375" customWidth="1"/>
    <col min="21" max="22" width="10" customWidth="1"/>
  </cols>
  <sheetData>
    <row r="1" spans="2:13" s="4" customFormat="1" x14ac:dyDescent="0.25"/>
    <row r="2" spans="2:13" s="4" customFormat="1" ht="15.75" thickBot="1" x14ac:dyDescent="0.3"/>
    <row r="3" spans="2:13" s="4" customFormat="1" x14ac:dyDescent="0.25">
      <c r="B3" s="121" t="s">
        <v>117</v>
      </c>
      <c r="C3" s="122"/>
      <c r="D3" s="122"/>
      <c r="E3" s="122"/>
      <c r="F3" s="122"/>
      <c r="G3" s="122"/>
      <c r="H3" s="122"/>
      <c r="I3" s="122"/>
      <c r="J3" s="122"/>
      <c r="K3" s="122"/>
      <c r="L3" s="122"/>
      <c r="M3" s="123"/>
    </row>
    <row r="4" spans="2:13" s="4" customFormat="1" x14ac:dyDescent="0.25">
      <c r="B4" s="111"/>
      <c r="C4" s="80"/>
      <c r="D4" s="80"/>
      <c r="E4" s="80"/>
      <c r="F4" s="80"/>
      <c r="G4" s="80"/>
      <c r="H4" s="80"/>
      <c r="I4" s="80"/>
      <c r="J4" s="80"/>
      <c r="K4" s="80"/>
      <c r="L4" s="80"/>
      <c r="M4" s="112"/>
    </row>
    <row r="5" spans="2:13" s="4" customFormat="1" x14ac:dyDescent="0.25">
      <c r="B5" s="113"/>
      <c r="C5" s="80"/>
      <c r="D5" s="80"/>
      <c r="E5" s="80"/>
      <c r="F5" s="80"/>
      <c r="G5" s="80"/>
      <c r="H5" s="80"/>
      <c r="I5" s="80"/>
      <c r="J5" s="80"/>
      <c r="K5" s="80"/>
      <c r="L5" s="80"/>
      <c r="M5" s="112"/>
    </row>
    <row r="6" spans="2:13" s="4" customFormat="1" x14ac:dyDescent="0.25">
      <c r="B6" s="114" t="s">
        <v>118</v>
      </c>
      <c r="C6" s="80"/>
      <c r="D6" s="80"/>
      <c r="E6" s="80"/>
      <c r="F6" s="80"/>
      <c r="G6" s="80"/>
      <c r="H6" s="80"/>
      <c r="I6" s="80"/>
      <c r="J6" s="80"/>
      <c r="K6" s="80"/>
      <c r="L6" s="80"/>
      <c r="M6" s="112"/>
    </row>
    <row r="7" spans="2:13" s="4" customFormat="1" x14ac:dyDescent="0.25">
      <c r="B7" s="114" t="s">
        <v>119</v>
      </c>
      <c r="C7" s="80"/>
      <c r="D7" s="80"/>
      <c r="E7" s="80"/>
      <c r="F7" s="80"/>
      <c r="G7" s="80"/>
      <c r="H7" s="80"/>
      <c r="I7" s="80"/>
      <c r="J7" s="80"/>
      <c r="K7" s="80"/>
      <c r="L7" s="80"/>
      <c r="M7" s="112"/>
    </row>
    <row r="8" spans="2:13" s="4" customFormat="1" x14ac:dyDescent="0.25">
      <c r="B8" s="114"/>
      <c r="C8" s="80"/>
      <c r="D8" s="80"/>
      <c r="E8" s="80"/>
      <c r="F8" s="80"/>
      <c r="G8" s="80"/>
      <c r="H8" s="80"/>
      <c r="I8" s="80"/>
      <c r="J8" s="80"/>
      <c r="K8" s="80"/>
      <c r="L8" s="80"/>
      <c r="M8" s="112"/>
    </row>
    <row r="9" spans="2:13" s="4" customFormat="1" x14ac:dyDescent="0.25">
      <c r="B9" s="114" t="s">
        <v>120</v>
      </c>
      <c r="C9" s="80"/>
      <c r="D9" s="80"/>
      <c r="E9" s="80"/>
      <c r="F9" s="80"/>
      <c r="G9" s="80"/>
      <c r="H9" s="80"/>
      <c r="I9" s="80"/>
      <c r="J9" s="80"/>
      <c r="K9" s="80"/>
      <c r="L9" s="80"/>
      <c r="M9" s="112"/>
    </row>
    <row r="10" spans="2:13" s="4" customFormat="1" x14ac:dyDescent="0.25">
      <c r="B10" s="114" t="s">
        <v>121</v>
      </c>
      <c r="C10" s="80"/>
      <c r="D10" s="80"/>
      <c r="E10" s="80"/>
      <c r="F10" s="80"/>
      <c r="G10" s="80"/>
      <c r="H10" s="80"/>
      <c r="I10" s="80"/>
      <c r="J10" s="80"/>
      <c r="K10" s="80"/>
      <c r="L10" s="80"/>
      <c r="M10" s="112"/>
    </row>
    <row r="11" spans="2:13" s="4" customFormat="1" x14ac:dyDescent="0.25">
      <c r="B11" s="114" t="s">
        <v>122</v>
      </c>
      <c r="C11" s="80"/>
      <c r="D11" s="80"/>
      <c r="E11" s="80"/>
      <c r="F11" s="80"/>
      <c r="G11" s="80"/>
      <c r="H11" s="80"/>
      <c r="I11" s="80"/>
      <c r="J11" s="80"/>
      <c r="K11" s="80"/>
      <c r="L11" s="80"/>
      <c r="M11" s="112"/>
    </row>
    <row r="12" spans="2:13" s="4" customFormat="1" x14ac:dyDescent="0.25">
      <c r="B12" s="114"/>
      <c r="C12" s="80"/>
      <c r="D12" s="80"/>
      <c r="E12" s="80"/>
      <c r="F12" s="80"/>
      <c r="G12" s="80"/>
      <c r="H12" s="80"/>
      <c r="I12" s="80"/>
      <c r="J12" s="80"/>
      <c r="K12" s="80"/>
      <c r="L12" s="80"/>
      <c r="M12" s="112"/>
    </row>
    <row r="13" spans="2:13" s="4" customFormat="1" ht="15.75" thickBot="1" x14ac:dyDescent="0.3">
      <c r="B13" s="124" t="s">
        <v>123</v>
      </c>
      <c r="C13" s="125"/>
      <c r="D13" s="125"/>
      <c r="E13" s="125"/>
      <c r="F13" s="125"/>
      <c r="G13" s="125"/>
      <c r="H13" s="125"/>
      <c r="I13" s="115"/>
      <c r="J13" s="115"/>
      <c r="K13" s="115"/>
      <c r="L13" s="115"/>
      <c r="M13" s="116"/>
    </row>
    <row r="14" spans="2:13" s="4" customFormat="1" x14ac:dyDescent="0.25"/>
    <row r="15" spans="2:13" s="4" customFormat="1" x14ac:dyDescent="0.25"/>
    <row r="16" spans="2:13" s="4" customFormat="1" x14ac:dyDescent="0.25">
      <c r="C16" s="4" t="s">
        <v>124</v>
      </c>
    </row>
    <row r="17" spans="1:22" s="4" customFormat="1" x14ac:dyDescent="0.25">
      <c r="B17" s="4" t="s">
        <v>125</v>
      </c>
      <c r="C17" s="4" t="s">
        <v>127</v>
      </c>
    </row>
    <row r="18" spans="1:22" s="4" customFormat="1" x14ac:dyDescent="0.25">
      <c r="B18" s="4" t="s">
        <v>126</v>
      </c>
      <c r="C18" s="117">
        <v>42307</v>
      </c>
    </row>
    <row r="19" spans="1:22" s="4" customFormat="1" x14ac:dyDescent="0.25"/>
    <row r="20" spans="1:22" s="4" customFormat="1" x14ac:dyDescent="0.25"/>
    <row r="21" spans="1:22" s="4" customFormat="1" x14ac:dyDescent="0.25">
      <c r="A21" s="4" t="s">
        <v>73</v>
      </c>
    </row>
    <row r="22" spans="1:22" s="4" customFormat="1" x14ac:dyDescent="0.25"/>
    <row r="23" spans="1:22" s="4" customFormat="1" x14ac:dyDescent="0.25">
      <c r="A23" s="126" t="s">
        <v>61</v>
      </c>
      <c r="B23" s="128"/>
      <c r="C23" s="126" t="s">
        <v>51</v>
      </c>
      <c r="D23" s="128"/>
      <c r="E23" s="46" t="s">
        <v>25</v>
      </c>
      <c r="F23" s="46" t="s">
        <v>52</v>
      </c>
      <c r="G23" s="46" t="s">
        <v>24</v>
      </c>
      <c r="H23" s="126" t="s">
        <v>50</v>
      </c>
      <c r="I23" s="127"/>
      <c r="J23" s="128"/>
      <c r="K23" s="47" t="s">
        <v>59</v>
      </c>
      <c r="L23" s="48"/>
      <c r="M23" s="51"/>
      <c r="N23" s="45"/>
    </row>
    <row r="24" spans="1:22" s="4" customFormat="1" x14ac:dyDescent="0.25">
      <c r="A24" s="49" t="s">
        <v>8</v>
      </c>
      <c r="B24" s="49" t="s">
        <v>0</v>
      </c>
      <c r="C24" s="49" t="s">
        <v>1</v>
      </c>
      <c r="D24" s="49" t="s">
        <v>2</v>
      </c>
      <c r="E24" s="50" t="s">
        <v>53</v>
      </c>
      <c r="F24" s="50" t="s">
        <v>54</v>
      </c>
      <c r="G24" s="50" t="s">
        <v>55</v>
      </c>
      <c r="H24" s="50" t="s">
        <v>74</v>
      </c>
      <c r="I24" s="50" t="s">
        <v>76</v>
      </c>
      <c r="J24" s="49" t="s">
        <v>4</v>
      </c>
      <c r="K24" s="49" t="s">
        <v>5</v>
      </c>
      <c r="L24" s="49" t="s">
        <v>6</v>
      </c>
      <c r="M24" s="25" t="s">
        <v>60</v>
      </c>
      <c r="N24" s="25" t="s">
        <v>64</v>
      </c>
      <c r="O24" s="25" t="s">
        <v>11</v>
      </c>
      <c r="P24" s="25" t="s">
        <v>65</v>
      </c>
      <c r="Q24" s="25" t="s">
        <v>78</v>
      </c>
      <c r="R24" s="25" t="s">
        <v>79</v>
      </c>
      <c r="S24" s="25" t="s">
        <v>10</v>
      </c>
      <c r="T24" s="25" t="s">
        <v>24</v>
      </c>
      <c r="U24" s="25" t="s">
        <v>25</v>
      </c>
      <c r="V24" s="25" t="s">
        <v>26</v>
      </c>
    </row>
    <row r="25" spans="1:22" s="4" customFormat="1" ht="75" x14ac:dyDescent="0.25">
      <c r="E25" s="118" t="s">
        <v>77</v>
      </c>
      <c r="F25" s="118"/>
      <c r="G25" s="118"/>
      <c r="H25" s="118"/>
      <c r="I25" s="118"/>
      <c r="M25" s="28" t="s">
        <v>67</v>
      </c>
      <c r="N25" s="61" t="s">
        <v>62</v>
      </c>
      <c r="O25" s="28" t="s">
        <v>68</v>
      </c>
      <c r="P25" s="28" t="s">
        <v>69</v>
      </c>
      <c r="Q25" s="28" t="s">
        <v>95</v>
      </c>
      <c r="R25" s="28" t="s">
        <v>96</v>
      </c>
      <c r="S25" s="61" t="s">
        <v>36</v>
      </c>
      <c r="T25" s="28" t="s">
        <v>70</v>
      </c>
      <c r="U25" s="28" t="s">
        <v>71</v>
      </c>
      <c r="V25" s="28" t="s">
        <v>72</v>
      </c>
    </row>
    <row r="27" spans="1:22" s="4" customFormat="1" x14ac:dyDescent="0.25">
      <c r="A27" s="4" t="s">
        <v>58</v>
      </c>
    </row>
    <row r="28" spans="1:22" s="4" customFormat="1" x14ac:dyDescent="0.25">
      <c r="A28" s="56">
        <v>1</v>
      </c>
      <c r="B28" s="119" t="s">
        <v>56</v>
      </c>
      <c r="C28" s="119"/>
      <c r="D28" s="119"/>
      <c r="E28" s="119"/>
      <c r="F28" s="119"/>
      <c r="G28" s="119"/>
      <c r="H28" s="119"/>
      <c r="I28" s="119"/>
      <c r="J28" s="119"/>
      <c r="K28" s="119"/>
      <c r="L28" s="119"/>
      <c r="M28" s="119"/>
      <c r="N28" s="119"/>
      <c r="O28" s="119"/>
    </row>
    <row r="29" spans="1:22" s="4" customFormat="1" x14ac:dyDescent="0.25">
      <c r="A29" s="56">
        <f>1+A28</f>
        <v>2</v>
      </c>
      <c r="B29" s="119" t="s">
        <v>80</v>
      </c>
      <c r="C29" s="119"/>
      <c r="D29" s="119"/>
      <c r="E29" s="119"/>
      <c r="F29" s="119"/>
      <c r="G29" s="119"/>
      <c r="H29" s="119"/>
      <c r="I29" s="119"/>
      <c r="J29" s="119"/>
      <c r="K29" s="119"/>
      <c r="L29" s="119"/>
      <c r="M29" s="119"/>
      <c r="N29" s="119"/>
      <c r="O29" s="119"/>
    </row>
    <row r="30" spans="1:22" s="4" customFormat="1" x14ac:dyDescent="0.25">
      <c r="A30" s="56">
        <f t="shared" ref="A30:A39" si="0">1+A29</f>
        <v>3</v>
      </c>
      <c r="B30" s="119" t="s">
        <v>81</v>
      </c>
      <c r="C30" s="119"/>
      <c r="D30" s="119"/>
      <c r="E30" s="119"/>
      <c r="F30" s="119"/>
      <c r="G30" s="119"/>
      <c r="H30" s="119"/>
      <c r="I30" s="119"/>
      <c r="J30" s="119"/>
      <c r="K30" s="119"/>
      <c r="L30" s="119"/>
      <c r="M30" s="119"/>
      <c r="N30" s="119"/>
      <c r="O30" s="119"/>
    </row>
    <row r="31" spans="1:22" s="4" customFormat="1" x14ac:dyDescent="0.25">
      <c r="A31" s="56">
        <f t="shared" si="0"/>
        <v>4</v>
      </c>
      <c r="B31" s="4" t="s">
        <v>97</v>
      </c>
    </row>
    <row r="32" spans="1:22" s="4" customFormat="1" x14ac:dyDescent="0.25">
      <c r="A32" s="56">
        <f t="shared" si="0"/>
        <v>5</v>
      </c>
      <c r="B32" s="4" t="s">
        <v>94</v>
      </c>
    </row>
    <row r="33" spans="1:22" s="4" customFormat="1" x14ac:dyDescent="0.25">
      <c r="A33" s="56">
        <f t="shared" si="0"/>
        <v>6</v>
      </c>
      <c r="B33" s="4" t="s">
        <v>114</v>
      </c>
    </row>
    <row r="34" spans="1:22" s="4" customFormat="1" ht="29.25" customHeight="1" x14ac:dyDescent="0.25">
      <c r="A34" s="56">
        <f t="shared" si="0"/>
        <v>7</v>
      </c>
      <c r="B34" s="120" t="s">
        <v>116</v>
      </c>
      <c r="C34" s="120"/>
      <c r="D34" s="120"/>
      <c r="E34" s="120"/>
      <c r="F34" s="120"/>
      <c r="G34" s="120"/>
      <c r="H34" s="120"/>
      <c r="I34" s="120"/>
      <c r="J34" s="120"/>
      <c r="K34" s="120"/>
      <c r="L34" s="120"/>
      <c r="M34" s="120"/>
      <c r="N34" s="120"/>
      <c r="O34" s="120"/>
    </row>
    <row r="35" spans="1:22" s="4" customFormat="1" x14ac:dyDescent="0.25">
      <c r="A35" s="56">
        <f t="shared" si="0"/>
        <v>8</v>
      </c>
      <c r="B35" s="120" t="s">
        <v>113</v>
      </c>
      <c r="C35" s="120"/>
      <c r="D35" s="120"/>
      <c r="E35" s="120"/>
      <c r="F35" s="120"/>
      <c r="G35" s="120"/>
      <c r="H35" s="120"/>
      <c r="I35" s="120"/>
      <c r="J35" s="120"/>
      <c r="K35" s="120"/>
      <c r="L35" s="120"/>
      <c r="M35" s="120"/>
      <c r="N35" s="120"/>
      <c r="O35" s="120"/>
    </row>
    <row r="36" spans="1:22" s="4" customFormat="1" x14ac:dyDescent="0.25">
      <c r="A36" s="56">
        <f t="shared" si="0"/>
        <v>9</v>
      </c>
      <c r="B36" s="4" t="s">
        <v>82</v>
      </c>
    </row>
    <row r="37" spans="1:22" s="4" customFormat="1" x14ac:dyDescent="0.25">
      <c r="A37" s="56">
        <f t="shared" si="0"/>
        <v>10</v>
      </c>
      <c r="B37" s="4" t="s">
        <v>129</v>
      </c>
      <c r="P37"/>
      <c r="Q37"/>
      <c r="R37"/>
      <c r="S37"/>
      <c r="T37"/>
      <c r="U37"/>
      <c r="V37"/>
    </row>
    <row r="38" spans="1:22" s="4" customFormat="1" x14ac:dyDescent="0.25">
      <c r="A38" s="56">
        <f t="shared" si="0"/>
        <v>11</v>
      </c>
      <c r="B38" s="4" t="s">
        <v>128</v>
      </c>
      <c r="P38"/>
      <c r="Q38"/>
      <c r="R38"/>
      <c r="S38"/>
      <c r="T38"/>
      <c r="U38"/>
      <c r="V38"/>
    </row>
    <row r="39" spans="1:22" s="4" customFormat="1" ht="46.5" customHeight="1" x14ac:dyDescent="0.25">
      <c r="A39" s="56">
        <f t="shared" si="0"/>
        <v>12</v>
      </c>
      <c r="B39" s="120" t="s">
        <v>130</v>
      </c>
      <c r="C39" s="120"/>
      <c r="D39" s="120"/>
      <c r="E39" s="120"/>
      <c r="F39" s="120"/>
      <c r="G39" s="120"/>
      <c r="H39" s="120"/>
      <c r="I39" s="120"/>
      <c r="J39" s="120"/>
      <c r="K39" s="120"/>
      <c r="L39" s="120"/>
      <c r="M39" s="120"/>
      <c r="N39" s="120"/>
      <c r="O39" s="120"/>
      <c r="P39"/>
      <c r="Q39"/>
      <c r="R39"/>
      <c r="S39"/>
      <c r="T39"/>
      <c r="U39"/>
      <c r="V39"/>
    </row>
    <row r="40" spans="1:22" s="4" customFormat="1" x14ac:dyDescent="0.25">
      <c r="A40" s="56"/>
      <c r="B40" s="119"/>
      <c r="C40" s="119"/>
      <c r="D40" s="119"/>
      <c r="E40" s="119"/>
      <c r="F40" s="119"/>
      <c r="G40" s="119"/>
      <c r="H40" s="119"/>
      <c r="I40" s="119"/>
      <c r="J40" s="119"/>
      <c r="K40" s="119"/>
      <c r="L40" s="119"/>
      <c r="M40" s="119"/>
      <c r="N40" s="119"/>
      <c r="O40" s="119"/>
      <c r="P40"/>
      <c r="Q40"/>
      <c r="R40"/>
      <c r="S40"/>
      <c r="T40"/>
      <c r="U40"/>
      <c r="V40"/>
    </row>
  </sheetData>
  <mergeCells count="13">
    <mergeCell ref="B3:M3"/>
    <mergeCell ref="B13:H13"/>
    <mergeCell ref="H23:J23"/>
    <mergeCell ref="C23:D23"/>
    <mergeCell ref="A23:B23"/>
    <mergeCell ref="E25:I25"/>
    <mergeCell ref="B40:O40"/>
    <mergeCell ref="B39:O39"/>
    <mergeCell ref="B35:O35"/>
    <mergeCell ref="B28:O28"/>
    <mergeCell ref="B29:O29"/>
    <mergeCell ref="B30:O30"/>
    <mergeCell ref="B34:O34"/>
  </mergeCells>
  <hyperlinks>
    <hyperlink ref="B13" r:id="rId1" display="http://www.trb.org/"/>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J6011"/>
  <sheetViews>
    <sheetView topLeftCell="E1" workbookViewId="0">
      <pane xSplit="4485" ySplit="3300" topLeftCell="AA110"/>
      <selection pane="topRight" activeCell="H1" sqref="H1"/>
      <selection pane="bottomLeft" activeCell="D11" sqref="D11"/>
      <selection pane="bottomRight" activeCell="AA110" sqref="AA110"/>
    </sheetView>
  </sheetViews>
  <sheetFormatPr defaultRowHeight="15" x14ac:dyDescent="0.25"/>
  <cols>
    <col min="1" max="7" width="9.140625" style="1"/>
    <col min="8" max="8" width="11.5703125" style="1" customWidth="1"/>
    <col min="9" max="9" width="11.42578125" style="1" customWidth="1"/>
    <col min="10" max="10" width="9.140625" style="1"/>
    <col min="11" max="11" width="13.28515625" style="1" customWidth="1"/>
    <col min="12" max="12" width="15.140625" style="1" customWidth="1"/>
    <col min="13" max="14" width="9.140625" style="1"/>
    <col min="15" max="15" width="9.5703125" style="1" bestFit="1" customWidth="1"/>
    <col min="16" max="31" width="9.140625" style="1"/>
    <col min="32" max="32" width="12.28515625" style="1" customWidth="1"/>
    <col min="33" max="33" width="9.140625" style="1"/>
    <col min="34" max="34" width="12.42578125" style="1" customWidth="1"/>
    <col min="35" max="35" width="9.140625" style="1"/>
    <col min="36" max="36" width="11" style="1" customWidth="1"/>
    <col min="37" max="40" width="9.140625" style="1"/>
    <col min="41" max="41" width="10.85546875" style="1" customWidth="1"/>
    <col min="42" max="43" width="9.140625" style="1"/>
    <col min="44" max="44" width="11.140625" style="1" customWidth="1"/>
    <col min="45" max="16384" width="9.140625" style="1"/>
  </cols>
  <sheetData>
    <row r="1" spans="1:41" x14ac:dyDescent="0.25">
      <c r="A1" s="1" t="s">
        <v>8</v>
      </c>
      <c r="B1" s="4" t="s">
        <v>0</v>
      </c>
      <c r="C1" s="4" t="s">
        <v>1</v>
      </c>
      <c r="D1" s="4" t="s">
        <v>2</v>
      </c>
      <c r="E1" s="44" t="s">
        <v>49</v>
      </c>
      <c r="F1" s="44" t="s">
        <v>3</v>
      </c>
      <c r="G1" s="44" t="s">
        <v>48</v>
      </c>
      <c r="H1" s="44" t="s">
        <v>74</v>
      </c>
      <c r="I1" s="44" t="s">
        <v>75</v>
      </c>
      <c r="J1" s="4" t="s">
        <v>4</v>
      </c>
      <c r="K1" s="4" t="s">
        <v>5</v>
      </c>
      <c r="L1" s="4" t="s">
        <v>6</v>
      </c>
      <c r="M1" s="25" t="s">
        <v>7</v>
      </c>
      <c r="N1" s="25" t="s">
        <v>43</v>
      </c>
      <c r="O1" s="25" t="s">
        <v>11</v>
      </c>
      <c r="P1" s="25" t="s">
        <v>9</v>
      </c>
      <c r="Q1" s="25" t="s">
        <v>78</v>
      </c>
      <c r="R1" s="25" t="s">
        <v>79</v>
      </c>
      <c r="S1" s="25" t="s">
        <v>10</v>
      </c>
      <c r="T1" s="25" t="s">
        <v>24</v>
      </c>
      <c r="U1" s="25" t="s">
        <v>25</v>
      </c>
      <c r="V1" s="25" t="s">
        <v>26</v>
      </c>
      <c r="AB1" s="66" t="s">
        <v>110</v>
      </c>
      <c r="AE1" s="4"/>
      <c r="AF1" s="5" t="s">
        <v>11</v>
      </c>
      <c r="AG1" s="5" t="s">
        <v>12</v>
      </c>
      <c r="AH1" s="5" t="s">
        <v>13</v>
      </c>
      <c r="AI1" s="5" t="s">
        <v>14</v>
      </c>
      <c r="AJ1" s="5" t="s">
        <v>44</v>
      </c>
      <c r="AM1" s="5" t="s">
        <v>99</v>
      </c>
      <c r="AN1" s="1" t="s">
        <v>100</v>
      </c>
    </row>
    <row r="2" spans="1:41" x14ac:dyDescent="0.25">
      <c r="A2" s="1">
        <v>1</v>
      </c>
      <c r="B2" s="3">
        <v>7400</v>
      </c>
      <c r="C2">
        <v>0</v>
      </c>
      <c r="D2">
        <v>0.30000000000000004</v>
      </c>
      <c r="E2">
        <f>D2-C2</f>
        <v>0.30000000000000004</v>
      </c>
      <c r="F2">
        <v>0</v>
      </c>
      <c r="G2" s="4">
        <v>0</v>
      </c>
      <c r="H2">
        <v>79</v>
      </c>
      <c r="I2" s="4"/>
      <c r="J2">
        <v>49</v>
      </c>
      <c r="K2"/>
      <c r="L2"/>
      <c r="M2">
        <f>E2</f>
        <v>0.30000000000000004</v>
      </c>
      <c r="N2"/>
      <c r="O2" s="1">
        <v>0</v>
      </c>
      <c r="P2" s="1">
        <f>F2*52.8*E2</f>
        <v>0</v>
      </c>
      <c r="Q2" s="1">
        <f>H2</f>
        <v>79</v>
      </c>
      <c r="R2" s="1">
        <f>IF(I2="",Q2,I2)</f>
        <v>79</v>
      </c>
      <c r="S2" s="1">
        <v>315</v>
      </c>
      <c r="T2" s="1">
        <f t="shared" ref="T2:T7" si="0">IF(G2="UNK",0,G2)</f>
        <v>0</v>
      </c>
      <c r="U2" s="1">
        <f>E2*5280</f>
        <v>1584.0000000000002</v>
      </c>
      <c r="V2" s="1">
        <f>ABS(T2*U2)</f>
        <v>0</v>
      </c>
      <c r="X2" s="4"/>
      <c r="AE2" s="5" t="s">
        <v>15</v>
      </c>
      <c r="AF2" s="7">
        <f t="shared" ref="AF2" ca="1" si="1">IF(ISNUMBER(AG2),OFFSET($O$1,AG2-1,0),"")</f>
        <v>0</v>
      </c>
      <c r="AG2" s="106">
        <v>2</v>
      </c>
      <c r="AH2" s="7">
        <f>S2</f>
        <v>315</v>
      </c>
      <c r="AI2" s="4"/>
      <c r="AJ2" s="9"/>
      <c r="AM2" s="4">
        <v>2</v>
      </c>
      <c r="AN2" s="1">
        <v>2</v>
      </c>
      <c r="AO2" s="4"/>
    </row>
    <row r="3" spans="1:41" x14ac:dyDescent="0.25">
      <c r="A3" s="1">
        <v>2</v>
      </c>
      <c r="B3" s="3">
        <v>7400</v>
      </c>
      <c r="C3">
        <v>0.3</v>
      </c>
      <c r="D3">
        <v>0.5</v>
      </c>
      <c r="E3" s="4">
        <f t="shared" ref="E3:E7" si="2">D3-C3</f>
        <v>0.2</v>
      </c>
      <c r="F3">
        <v>2</v>
      </c>
      <c r="G3" s="4">
        <v>1.08</v>
      </c>
      <c r="H3">
        <v>79</v>
      </c>
      <c r="I3" s="4"/>
      <c r="J3">
        <v>49</v>
      </c>
      <c r="K3"/>
      <c r="L3"/>
      <c r="M3">
        <f>E3+M2</f>
        <v>0.5</v>
      </c>
      <c r="N3"/>
      <c r="O3" s="1">
        <f>E2+O2</f>
        <v>0.30000000000000004</v>
      </c>
      <c r="P3" s="1">
        <f>F3*52.8*E3</f>
        <v>21.12</v>
      </c>
      <c r="Q3" s="1" t="str">
        <f t="shared" ref="Q3:Q66" si="3">IF(H3&lt;&gt;"",IF(H3=H2,"",H3),IF(H1="","",MAX(H2,Q2)))</f>
        <v/>
      </c>
      <c r="R3" s="1" t="str">
        <f>IF(I3="",Q3,IF(AND(H3=H2,I3=I2),"",I3))</f>
        <v/>
      </c>
      <c r="S3" s="1">
        <f>S2+E2*5280*(IF(G2=G$2,0,G2)/100)</f>
        <v>315</v>
      </c>
      <c r="T3" s="1">
        <f t="shared" si="0"/>
        <v>1.08</v>
      </c>
      <c r="U3" s="1">
        <f t="shared" ref="U3:U7" si="4">E3*5280</f>
        <v>1056</v>
      </c>
      <c r="V3" s="1">
        <f t="shared" ref="V3:V7" si="5">ABS(T3*U3)</f>
        <v>1140.48</v>
      </c>
      <c r="AA3" s="41" t="s">
        <v>111</v>
      </c>
      <c r="AB3" s="1" t="s">
        <v>106</v>
      </c>
      <c r="AE3" s="5" t="s">
        <v>16</v>
      </c>
      <c r="AF3" s="7">
        <f ca="1">IF(ISNUMBER(AG3),OFFSET($O$1,AG3,0),"")</f>
        <v>6.6999999999999993</v>
      </c>
      <c r="AG3" s="104">
        <v>35</v>
      </c>
      <c r="AH3" s="7">
        <f ca="1">IF(ISNUMBER(AG3),OFFSET($S$1,AG3,0),"")</f>
        <v>476.19840000000011</v>
      </c>
      <c r="AI3" s="6">
        <f ca="1">AF3-AF2</f>
        <v>6.6999999999999993</v>
      </c>
      <c r="AJ3" s="108">
        <f ca="1">IF(AG3="","",SUM(OFFSET(P$1,AG2-1,0):OFFSET(P$1,AG3-1,0)))</f>
        <v>221.75999999999985</v>
      </c>
      <c r="AK3" s="4">
        <v>34</v>
      </c>
      <c r="AM3" s="4">
        <v>638</v>
      </c>
      <c r="AN3" s="1">
        <v>35</v>
      </c>
    </row>
    <row r="4" spans="1:41" x14ac:dyDescent="0.25">
      <c r="A4" s="1">
        <v>3</v>
      </c>
      <c r="B4" s="3">
        <v>7400</v>
      </c>
      <c r="C4">
        <v>0.5</v>
      </c>
      <c r="D4">
        <v>0.7</v>
      </c>
      <c r="E4" s="4">
        <f t="shared" si="2"/>
        <v>0.19999999999999996</v>
      </c>
      <c r="F4">
        <v>0</v>
      </c>
      <c r="G4" s="4">
        <v>1.08</v>
      </c>
      <c r="H4">
        <v>79</v>
      </c>
      <c r="I4" s="4"/>
      <c r="J4">
        <v>49</v>
      </c>
      <c r="K4"/>
      <c r="L4"/>
      <c r="M4" s="4">
        <f t="shared" ref="M4:M7" si="6">E4+M3</f>
        <v>0.7</v>
      </c>
      <c r="N4"/>
      <c r="O4" s="1">
        <f t="shared" ref="O4:O7" si="7">E3+O3</f>
        <v>0.5</v>
      </c>
      <c r="P4" s="1">
        <f>F4*52.8*E4</f>
        <v>0</v>
      </c>
      <c r="Q4" s="1" t="str">
        <f t="shared" si="3"/>
        <v/>
      </c>
      <c r="R4" s="1" t="str">
        <f t="shared" ref="R4:R7" si="8">IF(I4="",Q4,IF(AND(H4=H3,I4=I3),"",I4))</f>
        <v/>
      </c>
      <c r="S4" s="1">
        <f>S3+E3*5280*(IF(G3=G$2,0,G3)/100)</f>
        <v>326.40480000000002</v>
      </c>
      <c r="T4" s="1">
        <f t="shared" si="0"/>
        <v>1.08</v>
      </c>
      <c r="U4" s="1">
        <f t="shared" si="4"/>
        <v>1055.9999999999998</v>
      </c>
      <c r="V4" s="1">
        <f t="shared" si="5"/>
        <v>1140.4799999999998</v>
      </c>
      <c r="X4" s="4"/>
      <c r="Y4" s="4"/>
      <c r="Z4" s="4"/>
      <c r="AA4" s="4"/>
      <c r="AB4" s="4" t="s">
        <v>107</v>
      </c>
      <c r="AC4" s="4"/>
      <c r="AD4" s="4"/>
      <c r="AE4" s="5" t="s">
        <v>17</v>
      </c>
      <c r="AF4" s="7">
        <f t="shared" ref="AF4:AF10" ca="1" si="9">IF(ISNUMBER(AG4),OFFSET($O$1,AG4,0),"")</f>
        <v>47.1</v>
      </c>
      <c r="AG4" s="104">
        <v>281</v>
      </c>
      <c r="AH4" s="7">
        <f t="shared" ref="AH4:AH10" ca="1" si="10">IF(ISNUMBER(AG4),OFFSET($S$1,AG4,0),"")</f>
        <v>654.87359999999956</v>
      </c>
      <c r="AI4" s="67">
        <f ca="1">IF(ISNUMBER(AG4),AF4-AF3,0)</f>
        <v>40.400000000000006</v>
      </c>
      <c r="AJ4" s="108">
        <f ca="1">IF(AG4="","",SUM(OFFSET(P$1,AG3-1,0):OFFSET(P$1,AG4-1,0)))</f>
        <v>2383.9199999999992</v>
      </c>
      <c r="AK4" s="4">
        <f t="shared" ref="AK4:AK10" si="11">AG4-AG3</f>
        <v>246</v>
      </c>
      <c r="AM4" s="4">
        <v>1135</v>
      </c>
      <c r="AN4" s="1">
        <v>281</v>
      </c>
    </row>
    <row r="5" spans="1:41" x14ac:dyDescent="0.25">
      <c r="A5" s="1">
        <v>4</v>
      </c>
      <c r="B5" s="3">
        <v>7400</v>
      </c>
      <c r="C5">
        <v>0.7</v>
      </c>
      <c r="D5">
        <v>1</v>
      </c>
      <c r="E5" s="4">
        <f t="shared" si="2"/>
        <v>0.30000000000000004</v>
      </c>
      <c r="F5">
        <v>0</v>
      </c>
      <c r="G5" s="4">
        <v>0.96</v>
      </c>
      <c r="H5">
        <v>79</v>
      </c>
      <c r="I5" s="4"/>
      <c r="J5">
        <v>49</v>
      </c>
      <c r="K5"/>
      <c r="L5"/>
      <c r="M5" s="4">
        <f t="shared" si="6"/>
        <v>1</v>
      </c>
      <c r="N5"/>
      <c r="O5" s="1">
        <f t="shared" si="7"/>
        <v>0.7</v>
      </c>
      <c r="P5" s="1">
        <f t="shared" ref="P5:P7" si="12">F5*52.8*E5</f>
        <v>0</v>
      </c>
      <c r="Q5" s="1" t="str">
        <f t="shared" si="3"/>
        <v/>
      </c>
      <c r="R5" s="1" t="str">
        <f t="shared" si="8"/>
        <v/>
      </c>
      <c r="S5" s="1">
        <f t="shared" ref="S5" si="13">S4+E4*5280*(IF(G4=G$2,0,G4)/100)</f>
        <v>337.80960000000005</v>
      </c>
      <c r="T5" s="1">
        <f t="shared" si="0"/>
        <v>0.96</v>
      </c>
      <c r="U5" s="1">
        <f t="shared" si="4"/>
        <v>1584.0000000000002</v>
      </c>
      <c r="V5" s="1">
        <f t="shared" si="5"/>
        <v>1520.64</v>
      </c>
      <c r="X5" s="4"/>
      <c r="Y5" s="4"/>
      <c r="Z5" s="4"/>
      <c r="AA5" s="4"/>
      <c r="AB5" s="4"/>
      <c r="AC5" s="4"/>
      <c r="AD5" s="4"/>
      <c r="AE5" s="1" t="s">
        <v>27</v>
      </c>
      <c r="AF5" s="7">
        <f t="shared" ca="1" si="9"/>
        <v>54.5</v>
      </c>
      <c r="AG5" s="104">
        <v>329</v>
      </c>
      <c r="AH5" s="7">
        <f t="shared" ca="1" si="10"/>
        <v>509.14559999999943</v>
      </c>
      <c r="AI5" s="68">
        <f t="shared" ref="AI5:AI10" ca="1" si="14">IF(ISNUMBER(AG5),AF5-AF4,0)</f>
        <v>7.3999999999999986</v>
      </c>
      <c r="AJ5" s="108">
        <f ca="1">IF(AG5="","",SUM(OFFSET(P$1,AG4-1,0):OFFSET(P$1,AG5-1,0)))</f>
        <v>282.47999999999882</v>
      </c>
      <c r="AK5" s="4">
        <f t="shared" si="11"/>
        <v>48</v>
      </c>
      <c r="AN5" s="1">
        <v>329</v>
      </c>
    </row>
    <row r="6" spans="1:41" x14ac:dyDescent="0.25">
      <c r="A6" s="1">
        <v>5</v>
      </c>
      <c r="B6" s="3">
        <v>7400</v>
      </c>
      <c r="C6">
        <v>1</v>
      </c>
      <c r="D6">
        <v>1.1000000000000001</v>
      </c>
      <c r="E6" s="4">
        <f t="shared" si="2"/>
        <v>0.10000000000000009</v>
      </c>
      <c r="F6">
        <v>0</v>
      </c>
      <c r="G6" s="4">
        <v>0.83</v>
      </c>
      <c r="H6">
        <v>79</v>
      </c>
      <c r="I6" s="4"/>
      <c r="J6">
        <v>49</v>
      </c>
      <c r="K6"/>
      <c r="L6"/>
      <c r="M6" s="4">
        <f t="shared" si="6"/>
        <v>1.1000000000000001</v>
      </c>
      <c r="N6"/>
      <c r="O6" s="1">
        <f t="shared" si="7"/>
        <v>1</v>
      </c>
      <c r="P6" s="1">
        <f t="shared" si="12"/>
        <v>0</v>
      </c>
      <c r="Q6" s="1" t="str">
        <f t="shared" si="3"/>
        <v/>
      </c>
      <c r="R6" s="1" t="str">
        <f t="shared" si="8"/>
        <v/>
      </c>
      <c r="S6" s="1">
        <f>S5+U5*T5/100</f>
        <v>353.01600000000002</v>
      </c>
      <c r="T6" s="1">
        <f t="shared" si="0"/>
        <v>0.83</v>
      </c>
      <c r="U6" s="1">
        <f t="shared" si="4"/>
        <v>528.00000000000045</v>
      </c>
      <c r="V6" s="1">
        <f t="shared" si="5"/>
        <v>438.24000000000035</v>
      </c>
      <c r="X6" s="5"/>
      <c r="Y6" s="4"/>
      <c r="Z6" s="4"/>
      <c r="AA6" s="110" t="s">
        <v>112</v>
      </c>
      <c r="AB6" s="4" t="s">
        <v>108</v>
      </c>
      <c r="AE6" s="1" t="s">
        <v>28</v>
      </c>
      <c r="AF6" s="7">
        <f t="shared" ca="1" si="9"/>
        <v>101</v>
      </c>
      <c r="AG6" s="104">
        <v>637</v>
      </c>
      <c r="AH6" s="7">
        <f t="shared" ca="1" si="10"/>
        <v>805.88160000000107</v>
      </c>
      <c r="AI6" s="69">
        <f t="shared" ca="1" si="14"/>
        <v>46.5</v>
      </c>
      <c r="AJ6" s="108">
        <f ca="1">IF(AG6="","",SUM(OFFSET(P$1,AG5-1,0):OFFSET(P$1,AG6-1,0)))</f>
        <v>1396.559999999999</v>
      </c>
      <c r="AK6" s="4">
        <f t="shared" si="11"/>
        <v>308</v>
      </c>
      <c r="AN6" s="1">
        <v>637</v>
      </c>
    </row>
    <row r="7" spans="1:41" x14ac:dyDescent="0.25">
      <c r="A7" s="1">
        <v>6</v>
      </c>
      <c r="B7" s="3">
        <v>7400</v>
      </c>
      <c r="C7">
        <v>1.1000000000000001</v>
      </c>
      <c r="D7">
        <v>1.2000000000000002</v>
      </c>
      <c r="E7" s="4">
        <f t="shared" si="2"/>
        <v>0.10000000000000009</v>
      </c>
      <c r="F7">
        <v>0</v>
      </c>
      <c r="G7" s="4">
        <v>0.66</v>
      </c>
      <c r="H7">
        <v>79</v>
      </c>
      <c r="I7" s="4"/>
      <c r="J7">
        <v>49</v>
      </c>
      <c r="K7"/>
      <c r="L7"/>
      <c r="M7" s="4">
        <f t="shared" si="6"/>
        <v>1.2000000000000002</v>
      </c>
      <c r="N7"/>
      <c r="O7" s="1">
        <f t="shared" si="7"/>
        <v>1.1000000000000001</v>
      </c>
      <c r="P7" s="1">
        <f t="shared" si="12"/>
        <v>0</v>
      </c>
      <c r="Q7" s="1" t="str">
        <f t="shared" si="3"/>
        <v/>
      </c>
      <c r="R7" s="1" t="str">
        <f t="shared" si="8"/>
        <v/>
      </c>
      <c r="S7" s="1">
        <f>S6+U6*T6/100</f>
        <v>357.39840000000004</v>
      </c>
      <c r="T7" s="1">
        <f t="shared" si="0"/>
        <v>0.66</v>
      </c>
      <c r="U7" s="1">
        <f t="shared" si="4"/>
        <v>528.00000000000045</v>
      </c>
      <c r="V7" s="1">
        <f t="shared" si="5"/>
        <v>348.4800000000003</v>
      </c>
      <c r="X7" s="4"/>
      <c r="Y7" s="4"/>
      <c r="Z7" s="4"/>
      <c r="AA7" s="4"/>
      <c r="AB7" s="4" t="s">
        <v>109</v>
      </c>
      <c r="AE7" s="5" t="s">
        <v>83</v>
      </c>
      <c r="AF7" s="7">
        <f t="shared" ca="1" si="9"/>
        <v>116</v>
      </c>
      <c r="AG7" s="104">
        <v>729</v>
      </c>
      <c r="AH7" s="7">
        <f t="shared" ca="1" si="10"/>
        <v>695.21280000000218</v>
      </c>
      <c r="AI7" s="52">
        <f t="shared" ca="1" si="14"/>
        <v>15</v>
      </c>
      <c r="AJ7" s="108">
        <f ca="1">IF(AG7="","",SUM(OFFSET(P$1,AG6-1,0):OFFSET(P$1,AG7-1,0)))</f>
        <v>315.74400000000065</v>
      </c>
      <c r="AK7" s="4">
        <f t="shared" si="11"/>
        <v>92</v>
      </c>
      <c r="AN7" s="1">
        <v>729</v>
      </c>
    </row>
    <row r="8" spans="1:41" x14ac:dyDescent="0.25">
      <c r="A8" s="1">
        <v>7</v>
      </c>
      <c r="B8" s="4">
        <v>7400</v>
      </c>
      <c r="C8" s="4">
        <v>1.2000000000000002</v>
      </c>
      <c r="D8" s="4">
        <v>1.4000000000000001</v>
      </c>
      <c r="E8" s="4">
        <f t="shared" ref="E8:E71" si="15">D8-C8</f>
        <v>0.19999999999999996</v>
      </c>
      <c r="F8" s="4">
        <v>1.5</v>
      </c>
      <c r="G8" s="4">
        <v>0.66</v>
      </c>
      <c r="H8" s="4">
        <v>79</v>
      </c>
      <c r="I8" s="4"/>
      <c r="J8" s="4">
        <v>49</v>
      </c>
      <c r="K8" s="4"/>
      <c r="L8" s="4"/>
      <c r="M8" s="4">
        <f t="shared" ref="M8:M71" si="16">E8+M7</f>
        <v>1.4000000000000001</v>
      </c>
      <c r="N8" s="4"/>
      <c r="O8" s="1">
        <f t="shared" ref="O8:O71" si="17">E7+O7</f>
        <v>1.2000000000000002</v>
      </c>
      <c r="P8" s="1">
        <f t="shared" ref="P8:P71" si="18">F8*52.8*E8</f>
        <v>15.839999999999995</v>
      </c>
      <c r="Q8" s="1" t="str">
        <f t="shared" si="3"/>
        <v/>
      </c>
      <c r="R8" s="1" t="str">
        <f t="shared" ref="R8:R71" si="19">IF(I8="",Q8,IF(AND(H8=H7,I8=I7),"",I8))</f>
        <v/>
      </c>
      <c r="S8" s="1">
        <f t="shared" ref="S8:S71" si="20">S7+U7*T7/100</f>
        <v>360.88320000000004</v>
      </c>
      <c r="T8" s="1">
        <f t="shared" ref="T8:T71" si="21">IF(G8="UNK",0,G8)</f>
        <v>0.66</v>
      </c>
      <c r="U8" s="1">
        <f t="shared" ref="U8:U71" si="22">E8*5280</f>
        <v>1055.9999999999998</v>
      </c>
      <c r="V8" s="1">
        <f t="shared" ref="V8:V71" si="23">ABS(T8*U8)</f>
        <v>696.95999999999992</v>
      </c>
      <c r="X8" s="4"/>
      <c r="Y8" s="4"/>
      <c r="Z8" s="4"/>
      <c r="AA8" s="4"/>
      <c r="AB8" s="4"/>
      <c r="AE8" s="5" t="s">
        <v>84</v>
      </c>
      <c r="AF8" s="7">
        <f t="shared" ca="1" si="9"/>
        <v>124.19999999999999</v>
      </c>
      <c r="AG8" s="104">
        <v>783</v>
      </c>
      <c r="AH8" s="7">
        <f t="shared" ca="1" si="10"/>
        <v>561.20640000000242</v>
      </c>
      <c r="AI8" s="70">
        <f t="shared" ca="1" si="14"/>
        <v>8.1999999999999886</v>
      </c>
      <c r="AJ8" s="108">
        <f ca="1">IF(AG8="","",SUM(OFFSET(P$1,AG7-1,0):OFFSET(P$1,AG8-1,0)))</f>
        <v>117.21600000000039</v>
      </c>
      <c r="AK8" s="4">
        <f t="shared" si="11"/>
        <v>54</v>
      </c>
      <c r="AN8" s="1">
        <v>783</v>
      </c>
    </row>
    <row r="9" spans="1:41" x14ac:dyDescent="0.25">
      <c r="A9" s="1">
        <v>8</v>
      </c>
      <c r="B9" s="4">
        <v>7400</v>
      </c>
      <c r="C9" s="4">
        <v>1.4000000000000001</v>
      </c>
      <c r="D9" s="4">
        <v>1.6</v>
      </c>
      <c r="E9" s="4">
        <f t="shared" si="15"/>
        <v>0.19999999999999996</v>
      </c>
      <c r="F9" s="4">
        <v>0</v>
      </c>
      <c r="G9" s="4">
        <v>0.71</v>
      </c>
      <c r="H9" s="4">
        <v>79</v>
      </c>
      <c r="I9" s="4"/>
      <c r="J9" s="4">
        <v>49</v>
      </c>
      <c r="K9" s="4"/>
      <c r="L9" s="4"/>
      <c r="M9" s="4">
        <f t="shared" si="16"/>
        <v>1.6</v>
      </c>
      <c r="N9" s="4"/>
      <c r="O9" s="1">
        <f t="shared" si="17"/>
        <v>1.4000000000000001</v>
      </c>
      <c r="P9" s="1">
        <f t="shared" si="18"/>
        <v>0</v>
      </c>
      <c r="Q9" s="1" t="str">
        <f t="shared" si="3"/>
        <v/>
      </c>
      <c r="R9" s="1" t="str">
        <f t="shared" si="19"/>
        <v/>
      </c>
      <c r="S9" s="1">
        <f t="shared" si="20"/>
        <v>367.85280000000006</v>
      </c>
      <c r="T9" s="1">
        <f t="shared" si="21"/>
        <v>0.71</v>
      </c>
      <c r="U9" s="1">
        <f t="shared" si="22"/>
        <v>1055.9999999999998</v>
      </c>
      <c r="V9" s="1">
        <f t="shared" si="23"/>
        <v>749.75999999999976</v>
      </c>
      <c r="X9" s="4"/>
      <c r="Y9" s="4"/>
      <c r="Z9" s="4"/>
      <c r="AA9" s="4"/>
      <c r="AB9" s="4"/>
      <c r="AE9" s="1" t="s">
        <v>85</v>
      </c>
      <c r="AF9" s="7">
        <f t="shared" ca="1" si="9"/>
        <v>144</v>
      </c>
      <c r="AG9" s="104">
        <v>927</v>
      </c>
      <c r="AH9" s="7">
        <f t="shared" ca="1" si="10"/>
        <v>821.82720000000211</v>
      </c>
      <c r="AI9" s="55">
        <f t="shared" ca="1" si="14"/>
        <v>19.800000000000011</v>
      </c>
      <c r="AJ9" s="108">
        <f ca="1">IF(AG9="","",SUM(OFFSET(P$1,AG8-1,0):OFFSET(P$1,AG9-1,0)))</f>
        <v>395.47200000000345</v>
      </c>
      <c r="AK9" s="4">
        <f t="shared" si="11"/>
        <v>144</v>
      </c>
      <c r="AN9" s="1">
        <v>927</v>
      </c>
    </row>
    <row r="10" spans="1:41" x14ac:dyDescent="0.25">
      <c r="A10" s="1">
        <v>9</v>
      </c>
      <c r="B10" s="4">
        <v>7400</v>
      </c>
      <c r="C10" s="4">
        <v>1.6</v>
      </c>
      <c r="D10" s="4">
        <v>1.7000000000000002</v>
      </c>
      <c r="E10" s="4">
        <f t="shared" si="15"/>
        <v>0.10000000000000009</v>
      </c>
      <c r="F10" s="4">
        <v>0</v>
      </c>
      <c r="G10" s="4">
        <v>0.8</v>
      </c>
      <c r="H10" s="4">
        <v>79</v>
      </c>
      <c r="I10" s="4"/>
      <c r="J10" s="4">
        <v>49</v>
      </c>
      <c r="K10" s="4"/>
      <c r="L10" s="4"/>
      <c r="M10" s="4">
        <f t="shared" si="16"/>
        <v>1.7000000000000002</v>
      </c>
      <c r="N10" s="4"/>
      <c r="O10" s="1">
        <f t="shared" si="17"/>
        <v>1.6</v>
      </c>
      <c r="P10" s="1">
        <f t="shared" si="18"/>
        <v>0</v>
      </c>
      <c r="Q10" s="1" t="str">
        <f t="shared" si="3"/>
        <v/>
      </c>
      <c r="R10" s="1" t="str">
        <f t="shared" si="19"/>
        <v/>
      </c>
      <c r="S10" s="1">
        <f t="shared" si="20"/>
        <v>375.35040000000004</v>
      </c>
      <c r="T10" s="1">
        <f t="shared" si="21"/>
        <v>0.8</v>
      </c>
      <c r="U10" s="1">
        <f t="shared" si="22"/>
        <v>528.00000000000045</v>
      </c>
      <c r="V10" s="1">
        <f t="shared" si="23"/>
        <v>422.40000000000038</v>
      </c>
      <c r="X10" s="4"/>
      <c r="Y10" s="4"/>
      <c r="Z10" s="4"/>
      <c r="AA10" s="4"/>
      <c r="AB10" s="4"/>
      <c r="AE10" s="1" t="s">
        <v>86</v>
      </c>
      <c r="AF10" s="7">
        <f t="shared" ca="1" si="9"/>
        <v>173.1</v>
      </c>
      <c r="AG10" s="105">
        <v>1135</v>
      </c>
      <c r="AH10" s="7">
        <f t="shared" ca="1" si="10"/>
        <v>630.90240000000244</v>
      </c>
      <c r="AI10" s="71">
        <f t="shared" ca="1" si="14"/>
        <v>29.099999999999994</v>
      </c>
      <c r="AJ10" s="108">
        <f ca="1">IF(AG10="","",SUM(OFFSET(P$1,AG9-1,0):OFFSET(P$1,AG10-1,0)))</f>
        <v>745.00800000000061</v>
      </c>
      <c r="AK10" s="4">
        <f t="shared" si="11"/>
        <v>208</v>
      </c>
      <c r="AN10" s="1">
        <v>1135</v>
      </c>
    </row>
    <row r="11" spans="1:41" x14ac:dyDescent="0.25">
      <c r="A11" s="1">
        <v>10</v>
      </c>
      <c r="B11" s="4">
        <v>7400</v>
      </c>
      <c r="C11" s="4">
        <v>1.7000000000000002</v>
      </c>
      <c r="D11" s="4">
        <v>1.8</v>
      </c>
      <c r="E11" s="4">
        <f t="shared" si="15"/>
        <v>9.9999999999999867E-2</v>
      </c>
      <c r="F11" s="4">
        <v>0.7</v>
      </c>
      <c r="G11" s="4">
        <v>0.8</v>
      </c>
      <c r="H11" s="4">
        <v>79</v>
      </c>
      <c r="I11" s="4"/>
      <c r="J11" s="4">
        <v>49</v>
      </c>
      <c r="K11" s="4"/>
      <c r="L11" s="4"/>
      <c r="M11" s="4">
        <f t="shared" si="16"/>
        <v>1.8</v>
      </c>
      <c r="N11" s="4"/>
      <c r="O11" s="1">
        <f t="shared" si="17"/>
        <v>1.7000000000000002</v>
      </c>
      <c r="P11" s="1">
        <f t="shared" si="18"/>
        <v>3.6959999999999944</v>
      </c>
      <c r="Q11" s="1" t="str">
        <f t="shared" si="3"/>
        <v/>
      </c>
      <c r="R11" s="1" t="str">
        <f t="shared" si="19"/>
        <v/>
      </c>
      <c r="S11" s="1">
        <f t="shared" si="20"/>
        <v>379.57440000000003</v>
      </c>
      <c r="T11" s="1">
        <f t="shared" si="21"/>
        <v>0.8</v>
      </c>
      <c r="U11" s="1">
        <f t="shared" si="22"/>
        <v>527.99999999999932</v>
      </c>
      <c r="V11" s="1">
        <f t="shared" si="23"/>
        <v>422.39999999999947</v>
      </c>
      <c r="X11" s="4"/>
      <c r="Y11" s="4"/>
      <c r="Z11" s="4"/>
      <c r="AA11" s="4"/>
      <c r="AB11" s="4"/>
      <c r="AK11" s="1">
        <f>SUM(AK3:AK10)</f>
        <v>1134</v>
      </c>
    </row>
    <row r="12" spans="1:41" x14ac:dyDescent="0.25">
      <c r="A12" s="1">
        <v>11</v>
      </c>
      <c r="B12" s="4">
        <v>7400</v>
      </c>
      <c r="C12" s="4">
        <v>1.8</v>
      </c>
      <c r="D12" s="4">
        <v>1.9000000000000001</v>
      </c>
      <c r="E12" s="4">
        <f t="shared" si="15"/>
        <v>0.10000000000000009</v>
      </c>
      <c r="F12" s="4">
        <v>3.2</v>
      </c>
      <c r="G12" s="4">
        <v>0.8</v>
      </c>
      <c r="H12" s="4">
        <v>79</v>
      </c>
      <c r="I12" s="4"/>
      <c r="J12" s="4">
        <v>49</v>
      </c>
      <c r="K12" s="4"/>
      <c r="L12" s="4"/>
      <c r="M12" s="4">
        <f t="shared" si="16"/>
        <v>1.9000000000000001</v>
      </c>
      <c r="N12" s="4"/>
      <c r="O12" s="1">
        <f t="shared" si="17"/>
        <v>1.8</v>
      </c>
      <c r="P12" s="1">
        <f t="shared" si="18"/>
        <v>16.896000000000015</v>
      </c>
      <c r="Q12" s="1" t="str">
        <f t="shared" si="3"/>
        <v/>
      </c>
      <c r="R12" s="1" t="str">
        <f t="shared" si="19"/>
        <v/>
      </c>
      <c r="S12" s="1">
        <f t="shared" si="20"/>
        <v>383.79840000000002</v>
      </c>
      <c r="T12" s="1">
        <f t="shared" si="21"/>
        <v>0.8</v>
      </c>
      <c r="U12" s="1">
        <f t="shared" si="22"/>
        <v>528.00000000000045</v>
      </c>
      <c r="V12" s="1">
        <f t="shared" si="23"/>
        <v>422.40000000000038</v>
      </c>
      <c r="X12" s="4"/>
      <c r="Y12" s="4"/>
      <c r="Z12" s="4"/>
      <c r="AA12" s="4"/>
      <c r="AB12" s="4"/>
      <c r="AE12" s="1" t="s">
        <v>32</v>
      </c>
      <c r="AF12" s="1">
        <f ca="1">OFFSET(M1,MAX(AG2:AG10)-1,0)</f>
        <v>173.1</v>
      </c>
      <c r="AI12" s="1">
        <f ca="1">SUM(AI3:AI10)</f>
        <v>173.1</v>
      </c>
    </row>
    <row r="13" spans="1:41" x14ac:dyDescent="0.25">
      <c r="A13" s="1">
        <v>12</v>
      </c>
      <c r="B13" s="4">
        <v>7400</v>
      </c>
      <c r="C13" s="4">
        <v>1.9000000000000001</v>
      </c>
      <c r="D13" s="4">
        <v>2</v>
      </c>
      <c r="E13" s="4">
        <f t="shared" si="15"/>
        <v>9.9999999999999867E-2</v>
      </c>
      <c r="F13" s="4">
        <v>0</v>
      </c>
      <c r="G13" s="4">
        <v>0.8</v>
      </c>
      <c r="H13" s="4">
        <v>79</v>
      </c>
      <c r="I13" s="4"/>
      <c r="J13" s="4">
        <v>49</v>
      </c>
      <c r="K13"/>
      <c r="L13"/>
      <c r="M13" s="4">
        <f t="shared" si="16"/>
        <v>2</v>
      </c>
      <c r="N13" s="4"/>
      <c r="O13" s="1">
        <f t="shared" si="17"/>
        <v>1.9000000000000001</v>
      </c>
      <c r="P13" s="1">
        <f t="shared" si="18"/>
        <v>0</v>
      </c>
      <c r="Q13" s="1" t="str">
        <f t="shared" si="3"/>
        <v/>
      </c>
      <c r="R13" s="1" t="str">
        <f t="shared" si="19"/>
        <v/>
      </c>
      <c r="S13" s="1">
        <f t="shared" si="20"/>
        <v>388.0224</v>
      </c>
      <c r="T13" s="1">
        <f t="shared" si="21"/>
        <v>0.8</v>
      </c>
      <c r="U13" s="1">
        <f t="shared" si="22"/>
        <v>527.99999999999932</v>
      </c>
      <c r="V13" s="1">
        <f t="shared" si="23"/>
        <v>422.39999999999947</v>
      </c>
      <c r="X13" s="4"/>
      <c r="Y13" s="4"/>
      <c r="Z13" s="4"/>
      <c r="AA13" s="4"/>
      <c r="AB13" s="4"/>
      <c r="AC13" s="4"/>
      <c r="AD13" s="4"/>
      <c r="AE13" s="1" t="s">
        <v>90</v>
      </c>
      <c r="AF13" s="20">
        <f ca="1">COUNTIF(AF3:AF10,"&gt;0")</f>
        <v>8</v>
      </c>
      <c r="AJ13" s="4"/>
      <c r="AK13" s="4"/>
    </row>
    <row r="14" spans="1:41" x14ac:dyDescent="0.25">
      <c r="A14" s="1">
        <v>13</v>
      </c>
      <c r="B14" s="4">
        <v>7400</v>
      </c>
      <c r="C14" s="4">
        <v>2</v>
      </c>
      <c r="D14" s="4">
        <v>2.1</v>
      </c>
      <c r="E14" s="4">
        <f t="shared" si="15"/>
        <v>0.10000000000000009</v>
      </c>
      <c r="F14" s="4">
        <v>2.5</v>
      </c>
      <c r="G14" s="4">
        <v>0.85</v>
      </c>
      <c r="H14" s="4">
        <v>79</v>
      </c>
      <c r="I14" s="4"/>
      <c r="J14" s="4">
        <v>49</v>
      </c>
      <c r="K14"/>
      <c r="L14"/>
      <c r="M14" s="4">
        <f t="shared" si="16"/>
        <v>2.1</v>
      </c>
      <c r="N14" s="4"/>
      <c r="O14" s="1">
        <f t="shared" si="17"/>
        <v>2</v>
      </c>
      <c r="P14" s="1">
        <f t="shared" si="18"/>
        <v>13.200000000000012</v>
      </c>
      <c r="Q14" s="1" t="str">
        <f t="shared" si="3"/>
        <v/>
      </c>
      <c r="R14" s="1" t="str">
        <f t="shared" si="19"/>
        <v/>
      </c>
      <c r="S14" s="1">
        <f t="shared" si="20"/>
        <v>392.24639999999999</v>
      </c>
      <c r="T14" s="1">
        <f t="shared" si="21"/>
        <v>0.85</v>
      </c>
      <c r="U14" s="1">
        <f t="shared" si="22"/>
        <v>528.00000000000045</v>
      </c>
      <c r="V14" s="1">
        <f t="shared" si="23"/>
        <v>448.80000000000035</v>
      </c>
      <c r="X14" s="4"/>
      <c r="Y14" s="4"/>
      <c r="AA14" s="4"/>
      <c r="AB14" s="5"/>
      <c r="AC14" s="4"/>
      <c r="AD14" s="4"/>
      <c r="AE14" s="1" t="s">
        <v>52</v>
      </c>
      <c r="AF14" s="107">
        <f ca="1">SUM(AJ3:AJ10)/MAX(AF3:AF10)</f>
        <v>33.842634315424618</v>
      </c>
      <c r="AG14" s="4" t="s">
        <v>63</v>
      </c>
      <c r="AJ14" s="109" t="s">
        <v>115</v>
      </c>
      <c r="AK14" s="4"/>
    </row>
    <row r="15" spans="1:41" x14ac:dyDescent="0.25">
      <c r="A15" s="1">
        <v>14</v>
      </c>
      <c r="B15" s="4">
        <v>7400</v>
      </c>
      <c r="C15" s="4">
        <v>2.1</v>
      </c>
      <c r="D15" s="4">
        <v>2.6</v>
      </c>
      <c r="E15" s="4">
        <f t="shared" si="15"/>
        <v>0.5</v>
      </c>
      <c r="F15" s="4">
        <v>0</v>
      </c>
      <c r="G15" s="4">
        <v>0.85</v>
      </c>
      <c r="H15" s="4">
        <v>79</v>
      </c>
      <c r="I15" s="4"/>
      <c r="J15" s="4">
        <v>49</v>
      </c>
      <c r="K15"/>
      <c r="L15"/>
      <c r="M15" s="4">
        <f t="shared" si="16"/>
        <v>2.6</v>
      </c>
      <c r="N15" s="4"/>
      <c r="O15" s="1">
        <f t="shared" si="17"/>
        <v>2.1</v>
      </c>
      <c r="P15" s="1">
        <f t="shared" si="18"/>
        <v>0</v>
      </c>
      <c r="Q15" s="1" t="str">
        <f t="shared" si="3"/>
        <v/>
      </c>
      <c r="R15" s="1" t="str">
        <f t="shared" si="19"/>
        <v/>
      </c>
      <c r="S15" s="1">
        <f t="shared" si="20"/>
        <v>396.73439999999999</v>
      </c>
      <c r="T15" s="1">
        <f t="shared" si="21"/>
        <v>0.85</v>
      </c>
      <c r="U15" s="1">
        <f t="shared" si="22"/>
        <v>2640</v>
      </c>
      <c r="V15" s="1">
        <f t="shared" si="23"/>
        <v>2244</v>
      </c>
      <c r="X15" s="4"/>
      <c r="Y15" s="4"/>
      <c r="Z15" s="41"/>
      <c r="AA15" s="87" t="b">
        <f>T2&lt;AC$28</f>
        <v>1</v>
      </c>
      <c r="AB15" s="88" t="b">
        <f>T2=AD$28</f>
        <v>1</v>
      </c>
      <c r="AC15" s="94"/>
      <c r="AD15" s="95"/>
      <c r="AE15" s="5" t="s">
        <v>16</v>
      </c>
      <c r="AI15" s="66"/>
      <c r="AJ15" s="87" t="str">
        <f>IF(ISBLANK(AG2),"","=T"&amp;TEXT(AG2,"0")&amp;"&lt;AC$28")</f>
        <v>=T2&lt;AC$28</v>
      </c>
      <c r="AK15" s="88" t="str">
        <f>IF(ISBLANK(AG2),"","=T"&amp;TEXT(AG2,"0")&amp;"=AD$28")</f>
        <v>=T2=AD$28</v>
      </c>
      <c r="AL15" s="94"/>
      <c r="AM15" s="95"/>
      <c r="AN15" s="4" t="s">
        <v>105</v>
      </c>
      <c r="AO15" s="5"/>
    </row>
    <row r="16" spans="1:41" x14ac:dyDescent="0.25">
      <c r="A16" s="1">
        <v>15</v>
      </c>
      <c r="B16" s="4">
        <v>7400</v>
      </c>
      <c r="C16" s="4">
        <v>2.6</v>
      </c>
      <c r="D16" s="4">
        <v>2.9</v>
      </c>
      <c r="E16" s="4">
        <f t="shared" si="15"/>
        <v>0.29999999999999982</v>
      </c>
      <c r="F16" s="4">
        <v>0</v>
      </c>
      <c r="G16" s="4">
        <v>0.57999999999999996</v>
      </c>
      <c r="H16" s="4">
        <v>79</v>
      </c>
      <c r="I16" s="4"/>
      <c r="J16" s="4">
        <v>49</v>
      </c>
      <c r="K16"/>
      <c r="L16"/>
      <c r="M16" s="4">
        <f t="shared" si="16"/>
        <v>2.9</v>
      </c>
      <c r="N16" s="4"/>
      <c r="O16" s="1">
        <f t="shared" si="17"/>
        <v>2.6</v>
      </c>
      <c r="P16" s="1">
        <f t="shared" si="18"/>
        <v>0</v>
      </c>
      <c r="Q16" s="1" t="str">
        <f t="shared" si="3"/>
        <v/>
      </c>
      <c r="R16" s="1" t="str">
        <f t="shared" si="19"/>
        <v/>
      </c>
      <c r="S16" s="1">
        <f t="shared" si="20"/>
        <v>419.17439999999999</v>
      </c>
      <c r="T16" s="1">
        <f t="shared" si="21"/>
        <v>0.57999999999999996</v>
      </c>
      <c r="U16" s="1">
        <f t="shared" si="22"/>
        <v>1583.9999999999991</v>
      </c>
      <c r="V16" s="1">
        <f t="shared" si="23"/>
        <v>918.71999999999946</v>
      </c>
      <c r="X16" s="4"/>
      <c r="Y16" s="4"/>
      <c r="Z16" s="4"/>
      <c r="AA16" s="89"/>
      <c r="AB16" s="78" t="s">
        <v>91</v>
      </c>
      <c r="AC16" s="79" t="b">
        <f>T36&lt;AC$28</f>
        <v>1</v>
      </c>
      <c r="AD16" s="96" t="b">
        <f>T36=AD$28</f>
        <v>0</v>
      </c>
      <c r="AE16" s="5" t="s">
        <v>17</v>
      </c>
      <c r="AJ16" s="89"/>
      <c r="AK16" s="78" t="s">
        <v>91</v>
      </c>
      <c r="AL16" s="79" t="str">
        <f>IF(ISBLANK(AG4),"","=T"&amp;TEXT(AG3+1,"0")&amp;"&lt;AC$28")</f>
        <v>=T36&lt;AC$28</v>
      </c>
      <c r="AM16" s="96" t="str">
        <f>IF(ISBLANK(AG4),"","=T"&amp;TEXT(AG3+1,"0")&amp;"=AD$28")</f>
        <v>=T36=AD$28</v>
      </c>
      <c r="AN16" s="4"/>
      <c r="AO16" s="5"/>
    </row>
    <row r="17" spans="1:110" x14ac:dyDescent="0.25">
      <c r="A17" s="1">
        <v>16</v>
      </c>
      <c r="B17" s="4">
        <v>7400</v>
      </c>
      <c r="C17" s="4">
        <v>2.9</v>
      </c>
      <c r="D17" s="4">
        <v>3</v>
      </c>
      <c r="E17" s="4">
        <f t="shared" si="15"/>
        <v>0.10000000000000009</v>
      </c>
      <c r="F17" s="4">
        <v>0</v>
      </c>
      <c r="G17" s="4">
        <v>0.57999999999999996</v>
      </c>
      <c r="H17" s="4">
        <v>79</v>
      </c>
      <c r="I17" s="4"/>
      <c r="J17" s="4">
        <v>49</v>
      </c>
      <c r="K17"/>
      <c r="L17"/>
      <c r="M17" s="4">
        <f t="shared" si="16"/>
        <v>3</v>
      </c>
      <c r="N17" s="4"/>
      <c r="O17" s="1">
        <f t="shared" si="17"/>
        <v>2.9</v>
      </c>
      <c r="P17" s="1">
        <f t="shared" si="18"/>
        <v>0</v>
      </c>
      <c r="Q17" s="1" t="str">
        <f t="shared" si="3"/>
        <v/>
      </c>
      <c r="R17" s="1" t="str">
        <f t="shared" si="19"/>
        <v/>
      </c>
      <c r="S17" s="1">
        <f t="shared" si="20"/>
        <v>428.36160000000001</v>
      </c>
      <c r="T17" s="1">
        <f t="shared" si="21"/>
        <v>0.57999999999999996</v>
      </c>
      <c r="U17" s="1">
        <f t="shared" si="22"/>
        <v>528.00000000000045</v>
      </c>
      <c r="V17" s="1">
        <f t="shared" si="23"/>
        <v>306.24000000000024</v>
      </c>
      <c r="X17" s="4"/>
      <c r="Y17" s="4"/>
      <c r="Z17" s="4"/>
      <c r="AA17" s="89"/>
      <c r="AB17" s="80"/>
      <c r="AC17" s="81"/>
      <c r="AD17" s="91"/>
      <c r="AJ17" s="89"/>
      <c r="AK17" s="80"/>
      <c r="AL17" s="81"/>
      <c r="AM17" s="91"/>
      <c r="AN17" s="4"/>
      <c r="AO17" s="4"/>
    </row>
    <row r="18" spans="1:110" x14ac:dyDescent="0.25">
      <c r="A18" s="1">
        <v>17</v>
      </c>
      <c r="B18" s="4">
        <v>7400</v>
      </c>
      <c r="C18" s="4">
        <v>3</v>
      </c>
      <c r="D18" s="4">
        <v>3.2</v>
      </c>
      <c r="E18" s="4">
        <f t="shared" si="15"/>
        <v>0.20000000000000018</v>
      </c>
      <c r="F18" s="4">
        <v>1.2</v>
      </c>
      <c r="G18" s="4">
        <v>0.57999999999999996</v>
      </c>
      <c r="H18" s="4">
        <v>79</v>
      </c>
      <c r="I18" s="4"/>
      <c r="J18" s="4">
        <v>49</v>
      </c>
      <c r="K18"/>
      <c r="L18"/>
      <c r="M18" s="4">
        <f t="shared" si="16"/>
        <v>3.2</v>
      </c>
      <c r="N18" s="4"/>
      <c r="O18" s="1">
        <f t="shared" si="17"/>
        <v>3</v>
      </c>
      <c r="P18" s="1">
        <f t="shared" si="18"/>
        <v>12.672000000000009</v>
      </c>
      <c r="Q18" s="1" t="str">
        <f t="shared" si="3"/>
        <v/>
      </c>
      <c r="R18" s="1" t="str">
        <f t="shared" si="19"/>
        <v/>
      </c>
      <c r="S18" s="1">
        <f t="shared" si="20"/>
        <v>431.42400000000004</v>
      </c>
      <c r="T18" s="1">
        <f t="shared" si="21"/>
        <v>0.57999999999999996</v>
      </c>
      <c r="U18" s="1">
        <f t="shared" si="22"/>
        <v>1056.0000000000009</v>
      </c>
      <c r="V18" s="1">
        <f t="shared" si="23"/>
        <v>612.48000000000047</v>
      </c>
      <c r="X18" s="10"/>
      <c r="Y18" s="4"/>
      <c r="Z18" s="65" t="s">
        <v>92</v>
      </c>
      <c r="AA18" s="90" t="b">
        <f>T282&lt;AC$28</f>
        <v>1</v>
      </c>
      <c r="AB18" s="82" t="b">
        <f>T282=AD$28</f>
        <v>0</v>
      </c>
      <c r="AC18" s="81"/>
      <c r="AD18" s="91"/>
      <c r="AE18" s="1" t="s">
        <v>27</v>
      </c>
      <c r="AI18" s="65" t="s">
        <v>92</v>
      </c>
      <c r="AJ18" s="90" t="str">
        <f>IF(ISBLANK(AG5),"","=T"&amp;TEXT(AG4+1,"0")&amp;"&lt;AC$28")</f>
        <v>=T282&lt;AC$28</v>
      </c>
      <c r="AK18" s="82" t="str">
        <f>IF(ISBLANK(AG5),"","=T"&amp;TEXT(AG4+1,"0")&amp;"=AD$28")</f>
        <v>=T282=AD$28</v>
      </c>
      <c r="AL18" s="81"/>
      <c r="AM18" s="91"/>
    </row>
    <row r="19" spans="1:110" x14ac:dyDescent="0.25">
      <c r="A19" s="1">
        <v>18</v>
      </c>
      <c r="B19" s="4">
        <v>7400</v>
      </c>
      <c r="C19" s="4">
        <v>3.2</v>
      </c>
      <c r="D19" s="4">
        <v>3.9</v>
      </c>
      <c r="E19" s="4">
        <f t="shared" si="15"/>
        <v>0.69999999999999973</v>
      </c>
      <c r="F19" s="4">
        <v>1.2</v>
      </c>
      <c r="G19" s="4">
        <v>0.84</v>
      </c>
      <c r="H19" s="4">
        <v>79</v>
      </c>
      <c r="I19" s="4"/>
      <c r="J19" s="4">
        <v>49</v>
      </c>
      <c r="K19"/>
      <c r="L19"/>
      <c r="M19" s="4">
        <f t="shared" si="16"/>
        <v>3.9</v>
      </c>
      <c r="N19" s="4"/>
      <c r="O19" s="1">
        <f t="shared" si="17"/>
        <v>3.2</v>
      </c>
      <c r="P19" s="1">
        <f t="shared" si="18"/>
        <v>44.351999999999975</v>
      </c>
      <c r="Q19" s="1" t="str">
        <f t="shared" si="3"/>
        <v/>
      </c>
      <c r="R19" s="1" t="str">
        <f t="shared" si="19"/>
        <v/>
      </c>
      <c r="S19" s="1">
        <f t="shared" si="20"/>
        <v>437.54880000000003</v>
      </c>
      <c r="T19" s="1">
        <f t="shared" si="21"/>
        <v>0.84</v>
      </c>
      <c r="U19" s="1">
        <f t="shared" si="22"/>
        <v>3695.9999999999986</v>
      </c>
      <c r="V19" s="1">
        <f t="shared" si="23"/>
        <v>3104.639999999999</v>
      </c>
      <c r="X19" s="10"/>
      <c r="Y19" s="4"/>
      <c r="Z19" s="4"/>
      <c r="AA19" s="92"/>
      <c r="AB19" s="78" t="s">
        <v>93</v>
      </c>
      <c r="AC19" s="83" t="b">
        <f>T330&lt;AC$28</f>
        <v>1</v>
      </c>
      <c r="AD19" s="97" t="b">
        <f>T330=AD$28</f>
        <v>0</v>
      </c>
      <c r="AE19" s="1" t="s">
        <v>28</v>
      </c>
      <c r="AJ19" s="92"/>
      <c r="AK19" s="78" t="s">
        <v>93</v>
      </c>
      <c r="AL19" s="83" t="str">
        <f>IF(ISBLANK(AG6),"","=T"&amp;TEXT(AG5+1,"0")&amp;"&lt;AC$28")</f>
        <v>=T330&lt;AC$28</v>
      </c>
      <c r="AM19" s="97" t="str">
        <f>IF(ISBLANK(AG6),"","=T"&amp;TEXT(AG5+1,"0")&amp;"=AD$28")</f>
        <v>=T330=AD$28</v>
      </c>
    </row>
    <row r="20" spans="1:110" x14ac:dyDescent="0.25">
      <c r="A20" s="1">
        <v>19</v>
      </c>
      <c r="B20" s="4">
        <v>7400</v>
      </c>
      <c r="C20" s="4">
        <v>3.9</v>
      </c>
      <c r="D20" s="4">
        <v>4.1999999999999993</v>
      </c>
      <c r="E20" s="4">
        <f t="shared" si="15"/>
        <v>0.29999999999999938</v>
      </c>
      <c r="F20" s="4">
        <v>1.2</v>
      </c>
      <c r="G20" s="4">
        <v>0.39</v>
      </c>
      <c r="H20" s="4">
        <v>79</v>
      </c>
      <c r="I20" s="4"/>
      <c r="J20" s="4">
        <v>49</v>
      </c>
      <c r="K20"/>
      <c r="L20"/>
      <c r="M20" s="4">
        <f t="shared" si="16"/>
        <v>4.1999999999999993</v>
      </c>
      <c r="N20" s="4"/>
      <c r="O20" s="1">
        <f t="shared" si="17"/>
        <v>3.9</v>
      </c>
      <c r="P20" s="1">
        <f t="shared" si="18"/>
        <v>19.00799999999996</v>
      </c>
      <c r="Q20" s="1" t="str">
        <f t="shared" si="3"/>
        <v/>
      </c>
      <c r="R20" s="1" t="str">
        <f t="shared" si="19"/>
        <v/>
      </c>
      <c r="S20" s="1">
        <f t="shared" si="20"/>
        <v>468.59520000000003</v>
      </c>
      <c r="T20" s="1">
        <f t="shared" si="21"/>
        <v>0.39</v>
      </c>
      <c r="U20" s="1">
        <f t="shared" si="22"/>
        <v>1583.9999999999968</v>
      </c>
      <c r="V20" s="1">
        <f t="shared" si="23"/>
        <v>617.75999999999874</v>
      </c>
      <c r="X20" s="10"/>
      <c r="Y20" s="4"/>
      <c r="Z20" s="4"/>
      <c r="AA20" s="92"/>
      <c r="AB20" s="81"/>
      <c r="AC20" s="81"/>
      <c r="AD20" s="91"/>
      <c r="AE20" s="5"/>
      <c r="AJ20" s="92"/>
      <c r="AK20" s="81"/>
      <c r="AL20" s="81"/>
      <c r="AM20" s="91"/>
      <c r="AX20" s="17"/>
    </row>
    <row r="21" spans="1:110" x14ac:dyDescent="0.25">
      <c r="A21" s="1">
        <v>20</v>
      </c>
      <c r="B21" s="4">
        <v>7400</v>
      </c>
      <c r="C21" s="4">
        <v>4.1999999999999993</v>
      </c>
      <c r="D21" s="4">
        <v>4.3</v>
      </c>
      <c r="E21" s="4">
        <f t="shared" si="15"/>
        <v>0.10000000000000053</v>
      </c>
      <c r="F21" s="4">
        <v>0</v>
      </c>
      <c r="G21" s="4">
        <v>-0.51</v>
      </c>
      <c r="H21" s="4">
        <v>79</v>
      </c>
      <c r="I21" s="4"/>
      <c r="J21" s="4">
        <v>49</v>
      </c>
      <c r="K21" s="4"/>
      <c r="L21" s="4"/>
      <c r="M21" s="4">
        <f t="shared" si="16"/>
        <v>4.3</v>
      </c>
      <c r="N21" s="4"/>
      <c r="O21" s="1">
        <f t="shared" si="17"/>
        <v>4.1999999999999993</v>
      </c>
      <c r="P21" s="1">
        <f t="shared" si="18"/>
        <v>0</v>
      </c>
      <c r="Q21" s="1" t="str">
        <f t="shared" si="3"/>
        <v/>
      </c>
      <c r="R21" s="1" t="str">
        <f t="shared" si="19"/>
        <v/>
      </c>
      <c r="S21" s="1">
        <f t="shared" si="20"/>
        <v>474.77280000000002</v>
      </c>
      <c r="T21" s="1">
        <f t="shared" si="21"/>
        <v>-0.51</v>
      </c>
      <c r="U21" s="1">
        <f t="shared" si="22"/>
        <v>528.00000000000284</v>
      </c>
      <c r="V21" s="1">
        <f t="shared" si="23"/>
        <v>269.28000000000145</v>
      </c>
      <c r="X21" s="10"/>
      <c r="Y21" s="4"/>
      <c r="Z21" s="4"/>
      <c r="AA21" s="98" t="b">
        <f>T638&lt;AC$28</f>
        <v>1</v>
      </c>
      <c r="AB21" s="84" t="b">
        <f>T638=AC$28</f>
        <v>0</v>
      </c>
      <c r="AC21" s="81"/>
      <c r="AD21" s="91"/>
      <c r="AE21" s="5" t="s">
        <v>83</v>
      </c>
      <c r="AJ21" s="98" t="str">
        <f>IF(ISBLANK(AG7),"","=T"&amp;TEXT(AG6+1,"0")&amp;"&lt;AC$28")</f>
        <v>=T638&lt;AC$28</v>
      </c>
      <c r="AK21" s="84" t="str">
        <f>IF(ISBLANK(AG7),"","=T"&amp;TEXT(AG6+1,"0")&amp;"=AD$28")</f>
        <v>=T638=AD$28</v>
      </c>
      <c r="AL21" s="81"/>
      <c r="AM21" s="91"/>
      <c r="AX21" s="17"/>
    </row>
    <row r="22" spans="1:110" x14ac:dyDescent="0.25">
      <c r="A22" s="1">
        <v>21</v>
      </c>
      <c r="B22" s="4">
        <v>7400</v>
      </c>
      <c r="C22" s="4">
        <v>4.3</v>
      </c>
      <c r="D22" s="4">
        <v>4.5</v>
      </c>
      <c r="E22" s="4">
        <f t="shared" si="15"/>
        <v>0.20000000000000018</v>
      </c>
      <c r="F22" s="4">
        <v>0</v>
      </c>
      <c r="G22" s="4">
        <v>-0.96</v>
      </c>
      <c r="H22" s="4">
        <v>79</v>
      </c>
      <c r="I22" s="4"/>
      <c r="J22" s="4">
        <v>49</v>
      </c>
      <c r="K22" s="4"/>
      <c r="L22" s="4"/>
      <c r="M22" s="4">
        <f t="shared" si="16"/>
        <v>4.5</v>
      </c>
      <c r="N22" s="4"/>
      <c r="O22" s="1">
        <f t="shared" si="17"/>
        <v>4.3</v>
      </c>
      <c r="P22" s="1">
        <f t="shared" si="18"/>
        <v>0</v>
      </c>
      <c r="Q22" s="1" t="str">
        <f t="shared" si="3"/>
        <v/>
      </c>
      <c r="R22" s="1" t="str">
        <f t="shared" si="19"/>
        <v/>
      </c>
      <c r="S22" s="1">
        <f t="shared" si="20"/>
        <v>472.08</v>
      </c>
      <c r="T22" s="1">
        <f t="shared" si="21"/>
        <v>-0.96</v>
      </c>
      <c r="U22" s="1">
        <f t="shared" si="22"/>
        <v>1056.0000000000009</v>
      </c>
      <c r="V22" s="1">
        <f t="shared" si="23"/>
        <v>1013.7600000000008</v>
      </c>
      <c r="X22" s="10"/>
      <c r="Y22" s="4"/>
      <c r="Z22" s="4"/>
      <c r="AA22" s="92"/>
      <c r="AB22" s="81"/>
      <c r="AC22" s="85" t="b">
        <f>T730&lt;AC$28</f>
        <v>1</v>
      </c>
      <c r="AD22" s="93" t="b">
        <f>T730=AC$28</f>
        <v>0</v>
      </c>
      <c r="AE22" s="1" t="s">
        <v>84</v>
      </c>
      <c r="AJ22" s="92"/>
      <c r="AK22" s="81"/>
      <c r="AL22" s="85" t="str">
        <f>IF(ISBLANK(AG8),"","=T"&amp;TEXT(AG7+1,"0")&amp;"&lt;AC$28")</f>
        <v>=T730&lt;AC$28</v>
      </c>
      <c r="AM22" s="93" t="str">
        <f>IF(ISBLANK(AG8),"","=T"&amp;TEXT(AG7+1,"0")&amp;"=AD$28")</f>
        <v>=T730=AD$28</v>
      </c>
      <c r="AX22" s="17"/>
    </row>
    <row r="23" spans="1:110" x14ac:dyDescent="0.25">
      <c r="A23" s="1">
        <v>22</v>
      </c>
      <c r="B23" s="4">
        <v>7400</v>
      </c>
      <c r="C23" s="4">
        <v>4.5</v>
      </c>
      <c r="D23" s="4">
        <v>4.6999999999999993</v>
      </c>
      <c r="E23" s="4">
        <f t="shared" si="15"/>
        <v>0.19999999999999929</v>
      </c>
      <c r="F23" s="4">
        <v>1</v>
      </c>
      <c r="G23" s="4">
        <v>-1.19</v>
      </c>
      <c r="H23" s="4">
        <v>79</v>
      </c>
      <c r="I23" s="4"/>
      <c r="J23" s="4">
        <v>49</v>
      </c>
      <c r="K23" s="4"/>
      <c r="L23" s="4"/>
      <c r="M23" s="4">
        <f t="shared" si="16"/>
        <v>4.6999999999999993</v>
      </c>
      <c r="N23" s="4"/>
      <c r="O23" s="1">
        <f t="shared" si="17"/>
        <v>4.5</v>
      </c>
      <c r="P23" s="1">
        <f t="shared" si="18"/>
        <v>10.559999999999961</v>
      </c>
      <c r="Q23" s="1" t="str">
        <f t="shared" si="3"/>
        <v/>
      </c>
      <c r="R23" s="1" t="str">
        <f t="shared" si="19"/>
        <v/>
      </c>
      <c r="S23" s="1">
        <f t="shared" si="20"/>
        <v>461.94239999999996</v>
      </c>
      <c r="T23" s="1">
        <f t="shared" si="21"/>
        <v>-1.19</v>
      </c>
      <c r="U23" s="1">
        <f t="shared" si="22"/>
        <v>1055.9999999999964</v>
      </c>
      <c r="V23" s="1">
        <f t="shared" si="23"/>
        <v>1256.6399999999956</v>
      </c>
      <c r="X23" s="10"/>
      <c r="Y23" s="4"/>
      <c r="Z23" s="4"/>
      <c r="AA23" s="92"/>
      <c r="AB23" s="81"/>
      <c r="AC23" s="81"/>
      <c r="AD23" s="91"/>
      <c r="AJ23" s="92"/>
      <c r="AK23" s="81"/>
      <c r="AL23" s="81"/>
      <c r="AM23" s="91"/>
      <c r="AX23" s="17"/>
    </row>
    <row r="24" spans="1:110" x14ac:dyDescent="0.25">
      <c r="A24" s="1">
        <v>23</v>
      </c>
      <c r="B24" s="4">
        <v>7400</v>
      </c>
      <c r="C24" s="4">
        <v>4.6999999999999993</v>
      </c>
      <c r="D24" s="4">
        <v>4.8</v>
      </c>
      <c r="E24" s="4">
        <f t="shared" si="15"/>
        <v>0.10000000000000053</v>
      </c>
      <c r="F24" s="4">
        <v>1</v>
      </c>
      <c r="G24" s="4">
        <v>0.06</v>
      </c>
      <c r="H24" s="4">
        <v>79</v>
      </c>
      <c r="I24" s="4"/>
      <c r="J24" s="4">
        <v>49</v>
      </c>
      <c r="K24" s="4"/>
      <c r="L24" s="4"/>
      <c r="M24" s="4">
        <f t="shared" si="16"/>
        <v>4.8</v>
      </c>
      <c r="N24" s="4"/>
      <c r="O24" s="1">
        <f t="shared" si="17"/>
        <v>4.6999999999999993</v>
      </c>
      <c r="P24" s="1">
        <f t="shared" si="18"/>
        <v>5.2800000000000278</v>
      </c>
      <c r="Q24" s="1" t="str">
        <f t="shared" si="3"/>
        <v/>
      </c>
      <c r="R24" s="1" t="str">
        <f t="shared" si="19"/>
        <v/>
      </c>
      <c r="S24" s="1">
        <f t="shared" si="20"/>
        <v>449.37600000000003</v>
      </c>
      <c r="T24" s="1">
        <f t="shared" si="21"/>
        <v>0.06</v>
      </c>
      <c r="U24" s="1">
        <f t="shared" si="22"/>
        <v>528.00000000000284</v>
      </c>
      <c r="V24" s="1">
        <f t="shared" si="23"/>
        <v>31.68000000000017</v>
      </c>
      <c r="X24" s="10"/>
      <c r="Y24" s="4"/>
      <c r="Z24" s="4"/>
      <c r="AA24" s="99" t="b">
        <f>T784&lt;AC$28</f>
        <v>1</v>
      </c>
      <c r="AB24" s="86" t="b">
        <f>T784=AC$28</f>
        <v>0</v>
      </c>
      <c r="AC24" s="81"/>
      <c r="AD24" s="91"/>
      <c r="AE24" s="1" t="s">
        <v>85</v>
      </c>
      <c r="AJ24" s="99" t="str">
        <f>IF(ISBLANK(AG9),"","=T"&amp;TEXT(AG8+1,"0")&amp;"&lt;AC$28")</f>
        <v>=T784&lt;AC$28</v>
      </c>
      <c r="AK24" s="86" t="str">
        <f>IF(ISBLANK(AG9),"","=T"&amp;TEXT(AG8+1,"0")&amp;"=AD$28")</f>
        <v>=T784=AD$28</v>
      </c>
      <c r="AL24" s="81"/>
      <c r="AM24" s="91"/>
      <c r="AX24" s="17"/>
    </row>
    <row r="25" spans="1:110" x14ac:dyDescent="0.25">
      <c r="A25" s="1">
        <v>24</v>
      </c>
      <c r="B25" s="4">
        <v>7400</v>
      </c>
      <c r="C25" s="4">
        <v>4.8</v>
      </c>
      <c r="D25" s="4">
        <v>5</v>
      </c>
      <c r="E25" s="4">
        <f t="shared" si="15"/>
        <v>0.20000000000000018</v>
      </c>
      <c r="F25" s="4">
        <v>1</v>
      </c>
      <c r="G25" s="4">
        <v>-0.04</v>
      </c>
      <c r="H25" s="4">
        <v>79</v>
      </c>
      <c r="I25" s="4"/>
      <c r="J25" s="4">
        <v>49</v>
      </c>
      <c r="K25" s="4"/>
      <c r="L25" s="4"/>
      <c r="M25" s="4">
        <f t="shared" si="16"/>
        <v>5</v>
      </c>
      <c r="N25" s="4"/>
      <c r="O25" s="1">
        <f t="shared" si="17"/>
        <v>4.8</v>
      </c>
      <c r="P25" s="1">
        <f t="shared" si="18"/>
        <v>10.560000000000009</v>
      </c>
      <c r="Q25" s="1" t="str">
        <f t="shared" si="3"/>
        <v/>
      </c>
      <c r="R25" s="1" t="str">
        <f t="shared" si="19"/>
        <v/>
      </c>
      <c r="S25" s="1">
        <f t="shared" si="20"/>
        <v>449.69280000000003</v>
      </c>
      <c r="T25" s="1">
        <f t="shared" si="21"/>
        <v>-0.04</v>
      </c>
      <c r="U25" s="1">
        <f t="shared" si="22"/>
        <v>1056.0000000000009</v>
      </c>
      <c r="V25" s="1">
        <f t="shared" si="23"/>
        <v>42.240000000000038</v>
      </c>
      <c r="X25" s="10"/>
      <c r="Y25" s="4"/>
      <c r="Z25" s="4"/>
      <c r="AA25" s="100"/>
      <c r="AB25" s="101"/>
      <c r="AC25" s="102" t="b">
        <f>T928&lt;AC$28</f>
        <v>1</v>
      </c>
      <c r="AD25" s="103" t="b">
        <f>T928=AC$28</f>
        <v>0</v>
      </c>
      <c r="AE25" s="5" t="s">
        <v>86</v>
      </c>
      <c r="AJ25" s="100"/>
      <c r="AK25" s="101"/>
      <c r="AL25" s="102" t="str">
        <f>IF(ISBLANK(AG10),"","=T"&amp;TEXT(AG9+1,"0")&amp;"&lt;AC$28")</f>
        <v>=T928&lt;AC$28</v>
      </c>
      <c r="AM25" s="103" t="str">
        <f>IF(ISBLANK(AG10),"","=T"&amp;TEXT(AG9+1,"0")&amp;"=AD$28")</f>
        <v>=T928=AD$28</v>
      </c>
      <c r="AX25" s="17"/>
    </row>
    <row r="26" spans="1:110" x14ac:dyDescent="0.25">
      <c r="A26" s="1">
        <v>25</v>
      </c>
      <c r="B26" s="4">
        <v>7400</v>
      </c>
      <c r="C26" s="4">
        <v>5</v>
      </c>
      <c r="D26" s="4">
        <v>5.3</v>
      </c>
      <c r="E26" s="4">
        <f t="shared" si="15"/>
        <v>0.29999999999999982</v>
      </c>
      <c r="F26" s="4">
        <v>1</v>
      </c>
      <c r="G26" s="4">
        <v>0.05</v>
      </c>
      <c r="H26" s="4">
        <v>79</v>
      </c>
      <c r="I26" s="4"/>
      <c r="J26" s="4">
        <v>49</v>
      </c>
      <c r="K26" s="4"/>
      <c r="L26" s="4"/>
      <c r="M26" s="4">
        <f t="shared" si="16"/>
        <v>5.3</v>
      </c>
      <c r="N26" s="4"/>
      <c r="O26" s="1">
        <f t="shared" si="17"/>
        <v>5</v>
      </c>
      <c r="P26" s="1">
        <f t="shared" si="18"/>
        <v>15.839999999999989</v>
      </c>
      <c r="Q26" s="1" t="str">
        <f t="shared" si="3"/>
        <v/>
      </c>
      <c r="R26" s="1" t="str">
        <f t="shared" si="19"/>
        <v/>
      </c>
      <c r="S26" s="1">
        <f t="shared" si="20"/>
        <v>449.27040000000005</v>
      </c>
      <c r="T26" s="1">
        <f t="shared" si="21"/>
        <v>0.05</v>
      </c>
      <c r="U26" s="1">
        <f t="shared" si="22"/>
        <v>1583.9999999999991</v>
      </c>
      <c r="V26" s="1">
        <f t="shared" si="23"/>
        <v>79.19999999999996</v>
      </c>
      <c r="X26" s="10"/>
      <c r="Y26" s="4"/>
      <c r="Z26" s="4"/>
      <c r="AA26" s="12"/>
      <c r="AB26" s="12"/>
      <c r="AX26" s="17"/>
    </row>
    <row r="27" spans="1:110" x14ac:dyDescent="0.25">
      <c r="A27" s="1">
        <v>26</v>
      </c>
      <c r="B27" s="4">
        <v>7400</v>
      </c>
      <c r="C27" s="4">
        <v>5.3</v>
      </c>
      <c r="D27" s="4">
        <v>5.6</v>
      </c>
      <c r="E27" s="4">
        <f t="shared" si="15"/>
        <v>0.29999999999999982</v>
      </c>
      <c r="F27" s="4">
        <v>1</v>
      </c>
      <c r="G27" s="4">
        <v>0.03</v>
      </c>
      <c r="H27" s="4">
        <v>79</v>
      </c>
      <c r="I27" s="4"/>
      <c r="J27" s="4">
        <v>49</v>
      </c>
      <c r="K27"/>
      <c r="L27"/>
      <c r="M27" s="4">
        <f t="shared" si="16"/>
        <v>5.6</v>
      </c>
      <c r="N27" s="4"/>
      <c r="O27" s="1">
        <f t="shared" si="17"/>
        <v>5.3</v>
      </c>
      <c r="P27" s="1">
        <f t="shared" si="18"/>
        <v>15.839999999999989</v>
      </c>
      <c r="Q27" s="1" t="str">
        <f t="shared" si="3"/>
        <v/>
      </c>
      <c r="R27" s="1" t="str">
        <f t="shared" si="19"/>
        <v/>
      </c>
      <c r="S27" s="1">
        <f t="shared" si="20"/>
        <v>450.06240000000003</v>
      </c>
      <c r="T27" s="1">
        <f t="shared" si="21"/>
        <v>0.03</v>
      </c>
      <c r="U27" s="1">
        <f t="shared" si="22"/>
        <v>1583.9999999999991</v>
      </c>
      <c r="V27" s="1">
        <f t="shared" si="23"/>
        <v>47.519999999999968</v>
      </c>
      <c r="X27" s="10"/>
      <c r="Y27" s="4"/>
      <c r="Z27" s="4"/>
      <c r="AA27" s="12"/>
      <c r="AB27" s="12"/>
      <c r="AF27" s="1" t="s">
        <v>37</v>
      </c>
      <c r="AP27" s="1" t="s">
        <v>87</v>
      </c>
      <c r="AZ27" s="1" t="s">
        <v>89</v>
      </c>
      <c r="BJ27" s="1" t="s">
        <v>88</v>
      </c>
      <c r="BT27" s="1" t="s">
        <v>101</v>
      </c>
      <c r="CD27" s="1" t="s">
        <v>102</v>
      </c>
      <c r="CN27" s="1" t="s">
        <v>103</v>
      </c>
      <c r="CX27" s="1" t="s">
        <v>104</v>
      </c>
    </row>
    <row r="28" spans="1:110" x14ac:dyDescent="0.25">
      <c r="A28" s="1">
        <v>27</v>
      </c>
      <c r="B28" s="4">
        <v>7400</v>
      </c>
      <c r="C28" s="4">
        <v>5.6</v>
      </c>
      <c r="D28" s="4">
        <v>5.6999999999999993</v>
      </c>
      <c r="E28" s="4">
        <f t="shared" si="15"/>
        <v>9.9999999999999645E-2</v>
      </c>
      <c r="F28" s="4">
        <v>1</v>
      </c>
      <c r="G28" s="4">
        <v>-0.33</v>
      </c>
      <c r="H28" s="4">
        <v>79</v>
      </c>
      <c r="I28" s="4"/>
      <c r="J28" s="4">
        <v>49</v>
      </c>
      <c r="K28"/>
      <c r="L28"/>
      <c r="M28" s="4">
        <f t="shared" si="16"/>
        <v>5.6999999999999993</v>
      </c>
      <c r="N28" s="4"/>
      <c r="O28" s="1">
        <f t="shared" si="17"/>
        <v>5.6</v>
      </c>
      <c r="P28" s="1">
        <f t="shared" si="18"/>
        <v>5.2799999999999807</v>
      </c>
      <c r="Q28" s="1" t="str">
        <f t="shared" si="3"/>
        <v/>
      </c>
      <c r="R28" s="1" t="str">
        <f t="shared" si="19"/>
        <v/>
      </c>
      <c r="S28" s="1">
        <f t="shared" si="20"/>
        <v>450.5376</v>
      </c>
      <c r="T28" s="1">
        <f t="shared" si="21"/>
        <v>-0.33</v>
      </c>
      <c r="U28" s="1">
        <f t="shared" si="22"/>
        <v>527.99999999999818</v>
      </c>
      <c r="V28" s="1">
        <f t="shared" si="23"/>
        <v>174.23999999999941</v>
      </c>
      <c r="X28" s="10"/>
      <c r="Y28" s="4"/>
      <c r="Z28" s="4"/>
      <c r="AA28" s="12"/>
      <c r="AB28" s="12"/>
      <c r="AC28" s="4">
        <v>1</v>
      </c>
      <c r="AD28" s="4">
        <v>0</v>
      </c>
      <c r="AE28" s="4"/>
      <c r="AF28" s="4" t="s">
        <v>18</v>
      </c>
      <c r="AG28" s="4" t="s">
        <v>19</v>
      </c>
      <c r="AH28" s="5" t="s">
        <v>20</v>
      </c>
      <c r="AJ28" s="4" t="s">
        <v>30</v>
      </c>
      <c r="AO28" s="4"/>
      <c r="AP28" s="4" t="s">
        <v>18</v>
      </c>
      <c r="AQ28" s="4" t="s">
        <v>19</v>
      </c>
      <c r="AR28" s="5" t="s">
        <v>20</v>
      </c>
      <c r="AT28" s="4" t="s">
        <v>30</v>
      </c>
      <c r="AZ28" s="4" t="s">
        <v>18</v>
      </c>
      <c r="BA28" s="4" t="s">
        <v>19</v>
      </c>
      <c r="BB28" s="5" t="s">
        <v>20</v>
      </c>
      <c r="BD28" s="4" t="s">
        <v>30</v>
      </c>
      <c r="BJ28" s="4" t="s">
        <v>18</v>
      </c>
      <c r="BK28" s="4" t="s">
        <v>19</v>
      </c>
      <c r="BL28" s="5" t="s">
        <v>20</v>
      </c>
      <c r="BN28" s="4" t="s">
        <v>30</v>
      </c>
      <c r="BT28" s="4" t="s">
        <v>18</v>
      </c>
      <c r="BU28" s="4" t="s">
        <v>19</v>
      </c>
      <c r="BV28" s="5" t="s">
        <v>20</v>
      </c>
      <c r="BX28" s="4" t="s">
        <v>30</v>
      </c>
      <c r="CD28" s="4" t="s">
        <v>18</v>
      </c>
      <c r="CE28" s="4" t="s">
        <v>19</v>
      </c>
      <c r="CF28" s="5" t="s">
        <v>20</v>
      </c>
      <c r="CH28" s="4" t="s">
        <v>30</v>
      </c>
      <c r="CN28" s="4" t="s">
        <v>18</v>
      </c>
      <c r="CO28" s="4" t="s">
        <v>19</v>
      </c>
      <c r="CP28" s="5" t="s">
        <v>20</v>
      </c>
      <c r="CR28" s="4" t="s">
        <v>30</v>
      </c>
      <c r="CX28" s="4" t="s">
        <v>18</v>
      </c>
      <c r="CY28" s="4" t="s">
        <v>19</v>
      </c>
      <c r="CZ28" s="5" t="s">
        <v>20</v>
      </c>
      <c r="DB28" s="4" t="s">
        <v>30</v>
      </c>
    </row>
    <row r="29" spans="1:110" x14ac:dyDescent="0.25">
      <c r="A29" s="1">
        <v>28</v>
      </c>
      <c r="B29" s="4">
        <v>7400</v>
      </c>
      <c r="C29" s="4">
        <v>5.6999999999999993</v>
      </c>
      <c r="D29" s="4">
        <v>5.8999999999999995</v>
      </c>
      <c r="E29" s="4">
        <f t="shared" si="15"/>
        <v>0.20000000000000018</v>
      </c>
      <c r="F29" s="4">
        <v>0</v>
      </c>
      <c r="G29" s="4">
        <v>0.89</v>
      </c>
      <c r="H29" s="4">
        <v>79</v>
      </c>
      <c r="I29" s="4"/>
      <c r="J29" s="4">
        <v>49</v>
      </c>
      <c r="K29"/>
      <c r="L29"/>
      <c r="M29" s="4">
        <f t="shared" si="16"/>
        <v>5.8999999999999995</v>
      </c>
      <c r="N29" s="4"/>
      <c r="O29" s="1">
        <f t="shared" si="17"/>
        <v>5.6999999999999993</v>
      </c>
      <c r="P29" s="1">
        <f t="shared" si="18"/>
        <v>0</v>
      </c>
      <c r="Q29" s="1" t="str">
        <f t="shared" si="3"/>
        <v/>
      </c>
      <c r="R29" s="1" t="str">
        <f t="shared" si="19"/>
        <v/>
      </c>
      <c r="S29" s="1">
        <f t="shared" si="20"/>
        <v>448.79520000000002</v>
      </c>
      <c r="T29" s="1">
        <f t="shared" si="21"/>
        <v>0.89</v>
      </c>
      <c r="U29" s="1">
        <f t="shared" si="22"/>
        <v>1056.0000000000009</v>
      </c>
      <c r="V29" s="1">
        <f t="shared" si="23"/>
        <v>939.84000000000083</v>
      </c>
      <c r="X29" s="10"/>
      <c r="Y29" s="4"/>
      <c r="Z29" s="4"/>
      <c r="AA29" s="12"/>
      <c r="AB29" s="12"/>
      <c r="AC29" s="4"/>
      <c r="AD29" s="4"/>
      <c r="AE29" s="4"/>
      <c r="AF29" s="16">
        <f ca="1">IF(ISNUMBER(AG3),DSUM(OFFSET(T1,0,0,AG3,3),2,$AA$14:$AA$15),"")</f>
        <v>32736</v>
      </c>
      <c r="AG29" s="6">
        <f ca="1">IF(ISNUMBER(AG3),DCOUNT(OFFSET(T1,0,0,AG3,3),1,$AA$14:$AA$15),"")</f>
        <v>31</v>
      </c>
      <c r="AH29" s="24">
        <f ca="1">IF(ISNUMBER(AG3),DSUM(OFFSET(T1,0,0,AG3,3),3,$AA$14:$AA$15),"")</f>
        <v>19530.719999999994</v>
      </c>
      <c r="AJ29" s="4" t="s">
        <v>29</v>
      </c>
      <c r="AK29" s="5" t="s">
        <v>21</v>
      </c>
      <c r="AL29" s="5" t="s">
        <v>22</v>
      </c>
      <c r="AM29" s="5" t="s">
        <v>23</v>
      </c>
      <c r="AN29" s="5" t="s">
        <v>31</v>
      </c>
      <c r="AO29" s="4"/>
      <c r="AP29" s="15">
        <f ca="1">IF(ISNUMBER(AG4),DSUM(OFFSET(T1,AG3-1,0,AG4-AG3+1,3),2,$AC$15:$AC$16),"")</f>
        <v>200112.00000000006</v>
      </c>
      <c r="AQ29" s="7">
        <f ca="1">IF(ISNUMBER(AG4),DCOUNT(OFFSET(T1,AG3-1,0,AG4-AG3+1,3),1,$AC$15:$AC$16),"")</f>
        <v>233</v>
      </c>
      <c r="AR29" s="23">
        <f ca="1">IF(ISNUMBER(AG4),DSUM(OFFSET(T1,AG3-1,0,AG4-AG3+1,3),3,$AC$15:$AC$16),"")</f>
        <v>116988.95999999989</v>
      </c>
      <c r="AT29" s="4" t="s">
        <v>29</v>
      </c>
      <c r="AU29" s="5" t="s">
        <v>21</v>
      </c>
      <c r="AV29" s="5" t="s">
        <v>22</v>
      </c>
      <c r="AW29" s="5" t="s">
        <v>23</v>
      </c>
      <c r="AX29" s="5" t="s">
        <v>31</v>
      </c>
      <c r="AY29" s="4"/>
      <c r="AZ29" s="31">
        <f ca="1">IF(ISNUMBER(AG5),DSUM(OFFSET(T1,AG4-1,0,AG5-AG4+1,3),2,$AA$17:$AA$18),"")</f>
        <v>39071.999999999993</v>
      </c>
      <c r="BA29" s="31">
        <f ca="1">IF(ISNUMBER(AG5),DCOUNT(OFFSET(T1,AG4-1,0,AG5-AG4+1,3),1,$AA$17:$AA$18),"")</f>
        <v>48</v>
      </c>
      <c r="BB29" s="31">
        <f ca="1">IF(ISNUMBER(AG5),DSUM(OFFSET(T1,AG4-1,0,AG5-AG4+1,3),3,$AA$17:$AA$18),"")</f>
        <v>24150.720000000012</v>
      </c>
      <c r="BD29" s="4" t="s">
        <v>29</v>
      </c>
      <c r="BE29" s="5" t="s">
        <v>21</v>
      </c>
      <c r="BF29" s="5" t="s">
        <v>22</v>
      </c>
      <c r="BG29" s="5" t="s">
        <v>23</v>
      </c>
      <c r="BH29" s="5" t="s">
        <v>31</v>
      </c>
      <c r="BJ29" s="32">
        <f ca="1">IF(ISNUMBER(AG6),DSUM(OFFSET(T1,AG5-1,0,AG6-AG5+1,3),2,$AC$18:$AC$19),"")</f>
        <v>239712.00000000081</v>
      </c>
      <c r="BK29" s="32">
        <f ca="1">IF(ISNUMBER(AG6),DCOUNT(OFFSET(T1,AG5-1,0,AG6-AG5+1,3),1,$AC$18:$AC$19),"")</f>
        <v>300</v>
      </c>
      <c r="BL29" s="32">
        <f ca="1">IF(ISNUMBER(AG6),DSUM(OFFSET(T1,AG5-1,0,AG6-AG5+1,3),3,$AC$18:$AC$19),"")</f>
        <v>123335.5199999999</v>
      </c>
      <c r="BN29" s="4" t="s">
        <v>29</v>
      </c>
      <c r="BO29" s="5" t="s">
        <v>21</v>
      </c>
      <c r="BP29" s="5" t="s">
        <v>22</v>
      </c>
      <c r="BQ29" s="5" t="s">
        <v>23</v>
      </c>
      <c r="BR29" s="5" t="s">
        <v>31</v>
      </c>
      <c r="BT29" s="52">
        <f ca="1">IF(ISNUMBER(AG7),DSUM(OFFSET(T1,AG6-1,0,AG7-AG6+1,3),2,$AA$20:$AA$21),"")</f>
        <v>79200</v>
      </c>
      <c r="BU29" s="72">
        <f ca="1">IF(ISNUMBER(AG7),DCOUNT(OFFSET(T1,AG6-1,0,AG7-AG6+1,3),1,$AA$20:$AA$21),"")</f>
        <v>92</v>
      </c>
      <c r="BV29" s="52">
        <f ca="1">IF(ISNUMBER(AG7),DSUM(OFFSET(T1,AG6-1,0,AG7-AG6+1,3),3,$AA$20:$AA$21),"")</f>
        <v>38543.999999999978</v>
      </c>
      <c r="BX29" s="4" t="s">
        <v>29</v>
      </c>
      <c r="BY29" s="5" t="s">
        <v>21</v>
      </c>
      <c r="BZ29" s="5" t="s">
        <v>22</v>
      </c>
      <c r="CA29" s="5" t="s">
        <v>23</v>
      </c>
      <c r="CB29" s="5" t="s">
        <v>31</v>
      </c>
      <c r="CD29" s="53">
        <f ca="1">IF(ISNUMBER(AG8),DSUM(OFFSET(T1,AG7-1,0,AG8-AG7+1,3),2,$AC$21:$AC$22),"")</f>
        <v>43295.999999999942</v>
      </c>
      <c r="CE29" s="53">
        <f ca="1">IF(ISNUMBER(AG8),DCOUNT(OFFSET(T1,AG7-1,0,AG8-AG7+1,3),1,$AC$21:$AC$22),"")</f>
        <v>54</v>
      </c>
      <c r="CF29" s="53">
        <f ca="1">IF(ISNUMBER(AG8),DSUM(OFFSET(T1,AG7-1,0,AG8-AG7+1,3),3,$AC$21:$AC$22),"")</f>
        <v>24647.03999999999</v>
      </c>
      <c r="CH29" s="4" t="s">
        <v>29</v>
      </c>
      <c r="CI29" s="5" t="s">
        <v>21</v>
      </c>
      <c r="CJ29" s="5" t="s">
        <v>22</v>
      </c>
      <c r="CK29" s="5" t="s">
        <v>23</v>
      </c>
      <c r="CL29" s="5" t="s">
        <v>31</v>
      </c>
      <c r="CN29" s="55">
        <f ca="1">IF(ISNUMBER(AG9),DSUM(OFFSET(T1,AG8-1,0,AG9-AG8+1,3),2,$AA$23:$AA$24),"")</f>
        <v>99264.000000000146</v>
      </c>
      <c r="CO29" s="73">
        <f ca="1">IF(ISNUMBER(AG9),DCOUNT(OFFSET(T1,AG8-1,0,AG9-AG8+1,3),1,$AA$23:$AA$24),"")</f>
        <v>138</v>
      </c>
      <c r="CP29" s="55">
        <f ca="1">IF(ISNUMBER(AG9),DSUM(OFFSET(T1,AG8-1,0,AG9-AG8+1,3),3,$AA$23:$AA$24),"")</f>
        <v>32419.200000000161</v>
      </c>
      <c r="CR29" s="4" t="s">
        <v>29</v>
      </c>
      <c r="CS29" s="5" t="s">
        <v>21</v>
      </c>
      <c r="CT29" s="5" t="s">
        <v>22</v>
      </c>
      <c r="CU29" s="5" t="s">
        <v>23</v>
      </c>
      <c r="CV29" s="5" t="s">
        <v>31</v>
      </c>
      <c r="CX29" s="54">
        <f ca="1">IF(ISNUMBER(AG10),DSUM(OFFSET(T1,AG9-1,0,AG10-AG9+1,3),2,$AC$24:$AC$25),"")</f>
        <v>152592.00000000006</v>
      </c>
      <c r="CY29" s="54">
        <f ca="1">IF(ISNUMBER(AG10),DCOUNT(OFFSET(T1,AG9-1,0,AG10-AG9+1,3),1,$AC$24:$AC$25),"")</f>
        <v>206</v>
      </c>
      <c r="CZ29" s="54">
        <f ca="1">IF(ISNUMBER(AG10),DSUM(OFFSET(T1,AG9-1,0,AG10-AG9+1,3),3,$AC$24:$AC$25),"")</f>
        <v>74257.91999999994</v>
      </c>
      <c r="DB29" s="4" t="s">
        <v>29</v>
      </c>
      <c r="DC29" s="5" t="s">
        <v>21</v>
      </c>
      <c r="DD29" s="5" t="s">
        <v>22</v>
      </c>
      <c r="DE29" s="5" t="s">
        <v>23</v>
      </c>
      <c r="DF29" s="5" t="s">
        <v>31</v>
      </c>
    </row>
    <row r="30" spans="1:110" x14ac:dyDescent="0.25">
      <c r="A30" s="1">
        <v>29</v>
      </c>
      <c r="B30" s="4">
        <v>7400</v>
      </c>
      <c r="C30" s="4">
        <v>5.8999999999999995</v>
      </c>
      <c r="D30" s="4">
        <v>6.1</v>
      </c>
      <c r="E30" s="4">
        <f t="shared" si="15"/>
        <v>0.20000000000000018</v>
      </c>
      <c r="F30" s="4">
        <v>0</v>
      </c>
      <c r="G30" s="4">
        <v>0.74</v>
      </c>
      <c r="H30" s="4">
        <v>79</v>
      </c>
      <c r="I30" s="4"/>
      <c r="J30" s="4">
        <v>49</v>
      </c>
      <c r="K30"/>
      <c r="L30"/>
      <c r="M30" s="4">
        <f t="shared" si="16"/>
        <v>6.1</v>
      </c>
      <c r="N30" s="4"/>
      <c r="O30" s="1">
        <f t="shared" si="17"/>
        <v>5.8999999999999995</v>
      </c>
      <c r="P30" s="1">
        <f t="shared" si="18"/>
        <v>0</v>
      </c>
      <c r="Q30" s="1" t="str">
        <f t="shared" si="3"/>
        <v/>
      </c>
      <c r="R30" s="1" t="str">
        <f t="shared" si="19"/>
        <v/>
      </c>
      <c r="S30" s="1">
        <f t="shared" si="20"/>
        <v>458.1936</v>
      </c>
      <c r="T30" s="1">
        <f t="shared" si="21"/>
        <v>0.74</v>
      </c>
      <c r="U30" s="1">
        <f t="shared" si="22"/>
        <v>1056.0000000000009</v>
      </c>
      <c r="V30" s="1">
        <f t="shared" si="23"/>
        <v>781.44000000000062</v>
      </c>
      <c r="X30" s="10"/>
      <c r="Y30" s="4"/>
      <c r="Z30" s="4"/>
      <c r="AA30" s="12"/>
      <c r="AB30" s="12"/>
      <c r="AC30" s="4"/>
      <c r="AD30" s="4"/>
      <c r="AE30" s="4">
        <v>-3.6</v>
      </c>
      <c r="AF30" s="8">
        <f t="dataTable" ref="AF30:AH66" dt2D="0" dtr="0" r1="AC28" ca="1"/>
        <v>0</v>
      </c>
      <c r="AG30" s="4">
        <v>0</v>
      </c>
      <c r="AH30" s="4">
        <v>0</v>
      </c>
      <c r="AJ30" s="4" t="s">
        <v>47</v>
      </c>
      <c r="AK30" s="4">
        <f>IF(AG30=0,0,AF30/AG30)</f>
        <v>0</v>
      </c>
      <c r="AL30" s="4">
        <f>IF(AG30=0,0,AH30/AF30)</f>
        <v>0</v>
      </c>
      <c r="AM30" s="4">
        <f>AG30</f>
        <v>0</v>
      </c>
      <c r="AN30" s="13">
        <f t="shared" ref="AN30:AN41" ca="1" si="24">(AM30*AK30)/5280/$AI$3</f>
        <v>0</v>
      </c>
      <c r="AO30" s="4">
        <v>-3.6</v>
      </c>
      <c r="AP30" s="8">
        <f t="dataTable" ref="AP30:AR66" dt2D="0" dtr="0" r1="AC28" ca="1"/>
        <v>0</v>
      </c>
      <c r="AQ30" s="4">
        <v>0</v>
      </c>
      <c r="AR30" s="4">
        <v>0</v>
      </c>
      <c r="AT30" s="4" t="s">
        <v>47</v>
      </c>
      <c r="AU30" s="4">
        <f>IF(AQ30=0,0,AP30/AQ30)</f>
        <v>0</v>
      </c>
      <c r="AV30" s="4">
        <f>IF(AQ30=0,0,AR30/AP30)</f>
        <v>0</v>
      </c>
      <c r="AW30" s="4">
        <f>AQ30</f>
        <v>0</v>
      </c>
      <c r="AX30" s="13">
        <f t="shared" ref="AX30:AX41" ca="1" si="25">(AW30*AU30)/5280/$AI$4</f>
        <v>0</v>
      </c>
      <c r="AY30" s="4">
        <v>-3.6</v>
      </c>
      <c r="AZ30" s="8">
        <f t="dataTable" ref="AZ30:BB66" dt2D="0" dtr="0" r1="AC28" ca="1"/>
        <v>0</v>
      </c>
      <c r="BA30" s="4">
        <v>0</v>
      </c>
      <c r="BB30" s="4">
        <v>0</v>
      </c>
      <c r="BD30" s="4" t="s">
        <v>47</v>
      </c>
      <c r="BE30" s="4">
        <f>IF(BA30=0,0,AZ30/BA30)</f>
        <v>0</v>
      </c>
      <c r="BF30" s="4">
        <f>IF(BA30=0,0,BB30/AZ30)</f>
        <v>0</v>
      </c>
      <c r="BG30" s="4">
        <f>BA30</f>
        <v>0</v>
      </c>
      <c r="BH30" s="13">
        <f ca="1">(BG30*BE30)/5280/$AI$5</f>
        <v>0</v>
      </c>
      <c r="BI30" s="4">
        <v>-3.6</v>
      </c>
      <c r="BJ30" s="1">
        <f t="dataTable" ref="BJ30:BL66" dt2D="0" dtr="0" r1="AC28" ca="1"/>
        <v>0</v>
      </c>
      <c r="BK30" s="1">
        <v>0</v>
      </c>
      <c r="BL30" s="1">
        <v>0</v>
      </c>
      <c r="BN30" s="4" t="s">
        <v>47</v>
      </c>
      <c r="BO30" s="4">
        <f>IF(BK30=0,0,BJ30/BK30)</f>
        <v>0</v>
      </c>
      <c r="BP30" s="4">
        <f>IF(BK30=0,0,BL30/BJ30)</f>
        <v>0</v>
      </c>
      <c r="BQ30" s="4">
        <f>BK30</f>
        <v>0</v>
      </c>
      <c r="BR30" s="13">
        <f ca="1">(BQ30*BO30)/5280/$AI$6</f>
        <v>0</v>
      </c>
      <c r="BS30" s="4">
        <v>-3.6</v>
      </c>
      <c r="BT30" s="1">
        <f t="dataTable" ref="BT30:BV66" dt2D="0" dtr="0" r1="AC28" ca="1"/>
        <v>0</v>
      </c>
      <c r="BU30" s="1">
        <v>0</v>
      </c>
      <c r="BV30" s="1">
        <v>0</v>
      </c>
      <c r="BX30" s="4" t="s">
        <v>47</v>
      </c>
      <c r="BY30" s="4">
        <f>IF(BU30=0,0,BT30/BU30)</f>
        <v>0</v>
      </c>
      <c r="BZ30" s="4">
        <f>IF(BU30=0,0,BV30/BT30)</f>
        <v>0</v>
      </c>
      <c r="CA30" s="4">
        <f>BU30</f>
        <v>0</v>
      </c>
      <c r="CB30" s="13">
        <f ca="1">(CA30*BY30)/5280/$AI$7</f>
        <v>0</v>
      </c>
      <c r="CC30" s="4">
        <v>-3.6</v>
      </c>
      <c r="CD30" s="1">
        <f t="dataTable" ref="CD30:CF66" dt2D="0" dtr="0" r1="AC28" ca="1"/>
        <v>0</v>
      </c>
      <c r="CE30" s="1">
        <v>0</v>
      </c>
      <c r="CF30" s="1">
        <v>0</v>
      </c>
      <c r="CH30" s="4" t="s">
        <v>47</v>
      </c>
      <c r="CI30" s="4">
        <f>IF(CE30=0,0,CD30/CE30)</f>
        <v>0</v>
      </c>
      <c r="CJ30" s="4">
        <f>IF(CE30=0,0,CF30/CD30)</f>
        <v>0</v>
      </c>
      <c r="CK30" s="4">
        <f>CE30</f>
        <v>0</v>
      </c>
      <c r="CL30" s="13">
        <f ca="1">(CK30*CI30)/5280/$AI$8</f>
        <v>0</v>
      </c>
      <c r="CM30" s="4">
        <v>-3.6</v>
      </c>
      <c r="CN30" s="1">
        <f t="dataTable" ref="CN30:CP66" dt2D="0" dtr="0" r1="AC28" ca="1"/>
        <v>0</v>
      </c>
      <c r="CO30" s="1">
        <v>0</v>
      </c>
      <c r="CP30" s="1">
        <v>0</v>
      </c>
      <c r="CR30" s="4" t="s">
        <v>47</v>
      </c>
      <c r="CS30" s="4">
        <f>IF(CO30=0,0,CN30/CO30)</f>
        <v>0</v>
      </c>
      <c r="CT30" s="4">
        <f>IF(CO30=0,0,CP30/CN30)</f>
        <v>0</v>
      </c>
      <c r="CU30" s="4">
        <f>CO30</f>
        <v>0</v>
      </c>
      <c r="CV30" s="13">
        <f ca="1">(CU30*CS30)/5280/$AI$9</f>
        <v>0</v>
      </c>
      <c r="CW30" s="4">
        <v>-3.6</v>
      </c>
      <c r="CX30" s="1">
        <f t="dataTable" ref="CX30:CZ66" dt2D="0" dtr="0" r1="AC28" ca="1"/>
        <v>0</v>
      </c>
      <c r="CY30" s="1">
        <v>0</v>
      </c>
      <c r="CZ30" s="1">
        <v>0</v>
      </c>
      <c r="DB30" s="4" t="s">
        <v>47</v>
      </c>
      <c r="DC30" s="4">
        <f>IF(CY30=0,0,CX30/CY30)</f>
        <v>0</v>
      </c>
      <c r="DD30" s="4">
        <f>IF(CY30=0,0,CZ30/CX30)</f>
        <v>0</v>
      </c>
      <c r="DE30" s="4">
        <f>CY30</f>
        <v>0</v>
      </c>
      <c r="DF30" s="13">
        <f ca="1">(DE30*DC30)/5280/$AI$10</f>
        <v>0</v>
      </c>
    </row>
    <row r="31" spans="1:110" x14ac:dyDescent="0.25">
      <c r="A31" s="1">
        <v>30</v>
      </c>
      <c r="B31" s="4">
        <v>7400</v>
      </c>
      <c r="C31" s="4">
        <v>6.1</v>
      </c>
      <c r="D31" s="4">
        <v>6.1999999999999993</v>
      </c>
      <c r="E31" s="4">
        <f t="shared" si="15"/>
        <v>9.9999999999999645E-2</v>
      </c>
      <c r="F31" s="4">
        <v>0</v>
      </c>
      <c r="G31" s="4">
        <v>-0.43</v>
      </c>
      <c r="H31" s="4">
        <v>79</v>
      </c>
      <c r="I31" s="4"/>
      <c r="J31" s="4">
        <v>49</v>
      </c>
      <c r="K31"/>
      <c r="L31"/>
      <c r="M31" s="4">
        <f t="shared" si="16"/>
        <v>6.1999999999999993</v>
      </c>
      <c r="N31" s="4"/>
      <c r="O31" s="1">
        <f t="shared" si="17"/>
        <v>6.1</v>
      </c>
      <c r="P31" s="1">
        <f t="shared" si="18"/>
        <v>0</v>
      </c>
      <c r="Q31" s="1" t="str">
        <f t="shared" si="3"/>
        <v/>
      </c>
      <c r="R31" s="1" t="str">
        <f t="shared" si="19"/>
        <v/>
      </c>
      <c r="S31" s="1">
        <f t="shared" si="20"/>
        <v>466.00800000000004</v>
      </c>
      <c r="T31" s="1">
        <f t="shared" si="21"/>
        <v>-0.43</v>
      </c>
      <c r="U31" s="1">
        <f t="shared" si="22"/>
        <v>527.99999999999818</v>
      </c>
      <c r="V31" s="1">
        <f t="shared" si="23"/>
        <v>227.03999999999922</v>
      </c>
      <c r="X31" s="10"/>
      <c r="Y31" s="4"/>
      <c r="Z31" s="4"/>
      <c r="AA31" s="12"/>
      <c r="AB31" s="12"/>
      <c r="AC31" s="4"/>
      <c r="AD31" s="4"/>
      <c r="AE31" s="4">
        <v>-3.4</v>
      </c>
      <c r="AF31" s="8">
        <v>0</v>
      </c>
      <c r="AG31" s="4">
        <v>0</v>
      </c>
      <c r="AH31" s="4">
        <v>0</v>
      </c>
      <c r="AJ31" s="4" t="str">
        <f t="shared" ref="AJ31:AJ47" si="26">AE31&amp;" to "&amp;AE30</f>
        <v>-3.4 to -3.6</v>
      </c>
      <c r="AK31" s="11">
        <f t="shared" ref="AK31:AK41" si="27">IF(AM31=0,0,(AF31-AF30)/AM31)</f>
        <v>0</v>
      </c>
      <c r="AL31" s="9">
        <f t="shared" ref="AL31:AL42" si="28">IF(AM31=0,0,SIGN(AE30)*(AH31-AH30)/(AF31-AF30))</f>
        <v>0</v>
      </c>
      <c r="AM31" s="4">
        <f t="shared" ref="AM31:AM41" si="29">AG31-AG30</f>
        <v>0</v>
      </c>
      <c r="AN31" s="13">
        <f t="shared" ca="1" si="24"/>
        <v>0</v>
      </c>
      <c r="AO31" s="4">
        <v>-3.4</v>
      </c>
      <c r="AP31" s="8">
        <v>0</v>
      </c>
      <c r="AQ31" s="4">
        <v>0</v>
      </c>
      <c r="AR31" s="4">
        <v>0</v>
      </c>
      <c r="AT31" s="4" t="str">
        <f t="shared" ref="AT31:AT47" si="30">AO31&amp;" to "&amp;AO30</f>
        <v>-3.4 to -3.6</v>
      </c>
      <c r="AU31" s="11">
        <f t="shared" ref="AU31:AU41" si="31">IF(AW31=0,0,(AP31-AP30)/AW31)</f>
        <v>0</v>
      </c>
      <c r="AV31" s="9">
        <f t="shared" ref="AV31:AV42" si="32">IF(AW31=0,0,SIGN(AO30)*(AR31-AR30)/(AP31-AP30))</f>
        <v>0</v>
      </c>
      <c r="AW31" s="4">
        <f t="shared" ref="AW31:AW41" si="33">AQ31-AQ30</f>
        <v>0</v>
      </c>
      <c r="AX31" s="13">
        <f t="shared" ca="1" si="25"/>
        <v>0</v>
      </c>
      <c r="AY31" s="4">
        <v>-3.4</v>
      </c>
      <c r="AZ31" s="8">
        <v>0</v>
      </c>
      <c r="BA31" s="4">
        <v>0</v>
      </c>
      <c r="BB31" s="4">
        <v>0</v>
      </c>
      <c r="BD31" s="4" t="str">
        <f t="shared" ref="BD31:BD47" si="34">AY31&amp;" to "&amp;AY30</f>
        <v>-3.4 to -3.6</v>
      </c>
      <c r="BE31" s="11">
        <f t="shared" ref="BE31:BE66" si="35">IF(BG31=0,0,(AZ31-AZ30)/BG31)</f>
        <v>0</v>
      </c>
      <c r="BF31" s="9">
        <f t="shared" ref="BF31:BF42" si="36">IF(BG31=0,0,SIGN(AY30)*(BB31-BB30)/(AZ31-AZ30))</f>
        <v>0</v>
      </c>
      <c r="BG31" s="4">
        <f t="shared" ref="BG31:BG66" si="37">BA31-BA30</f>
        <v>0</v>
      </c>
      <c r="BH31" s="13">
        <f t="shared" ref="BH31:BH66" ca="1" si="38">(BG31*BE31)/5280/$AI$5</f>
        <v>0</v>
      </c>
      <c r="BI31" s="4">
        <v>-3.4</v>
      </c>
      <c r="BJ31" s="1">
        <v>0</v>
      </c>
      <c r="BK31" s="1">
        <v>0</v>
      </c>
      <c r="BL31" s="1">
        <v>0</v>
      </c>
      <c r="BN31" s="4" t="str">
        <f t="shared" ref="BN31:BN47" si="39">BI31&amp;" to "&amp;BI30</f>
        <v>-3.4 to -3.6</v>
      </c>
      <c r="BO31" s="11">
        <f t="shared" ref="BO31:BO66" si="40">IF(BQ31=0,0,(BJ31-BJ30)/BQ31)</f>
        <v>0</v>
      </c>
      <c r="BP31" s="9">
        <f t="shared" ref="BP31:BP42" si="41">IF(BQ31=0,0,SIGN(BI30)*(BL31-BL30)/(BJ31-BJ30))</f>
        <v>0</v>
      </c>
      <c r="BQ31" s="4">
        <f t="shared" ref="BQ31:BQ66" si="42">BK31-BK30</f>
        <v>0</v>
      </c>
      <c r="BR31" s="13">
        <f t="shared" ref="BR31:BR66" ca="1" si="43">(BQ31*BO31)/5280/$AI$6</f>
        <v>0</v>
      </c>
      <c r="BS31" s="4">
        <v>-3.4</v>
      </c>
      <c r="BT31" s="1">
        <v>0</v>
      </c>
      <c r="BU31" s="1">
        <v>0</v>
      </c>
      <c r="BV31" s="1">
        <v>0</v>
      </c>
      <c r="BX31" s="4" t="str">
        <f t="shared" ref="BX31:BX47" si="44">BS31&amp;" to "&amp;BS30</f>
        <v>-3.4 to -3.6</v>
      </c>
      <c r="BY31" s="11">
        <f t="shared" ref="BY31:BY66" si="45">IF(CA31=0,0,(BT31-BT30)/CA31)</f>
        <v>0</v>
      </c>
      <c r="BZ31" s="9">
        <f t="shared" ref="BZ31:BZ42" si="46">IF(CA31=0,0,SIGN(BS30)*(BV31-BV30)/(BT31-BT30))</f>
        <v>0</v>
      </c>
      <c r="CA31" s="4">
        <f t="shared" ref="CA31:CA66" si="47">BU31-BU30</f>
        <v>0</v>
      </c>
      <c r="CB31" s="13">
        <f t="shared" ref="CB31:CB66" ca="1" si="48">(CA31*BY31)/5280/$AI$7</f>
        <v>0</v>
      </c>
      <c r="CC31" s="4">
        <v>-3.4</v>
      </c>
      <c r="CD31" s="1">
        <v>0</v>
      </c>
      <c r="CE31" s="1">
        <v>0</v>
      </c>
      <c r="CF31" s="1">
        <v>0</v>
      </c>
      <c r="CH31" s="4" t="str">
        <f t="shared" ref="CH31:CH47" si="49">CC31&amp;" to "&amp;CC30</f>
        <v>-3.4 to -3.6</v>
      </c>
      <c r="CI31" s="11">
        <f t="shared" ref="CI31:CI66" si="50">IF(CK31=0,0,(CD31-CD30)/CK31)</f>
        <v>0</v>
      </c>
      <c r="CJ31" s="9">
        <f t="shared" ref="CJ31:CJ42" si="51">IF(CK31=0,0,SIGN(CC30)*(CF31-CF30)/(CD31-CD30))</f>
        <v>0</v>
      </c>
      <c r="CK31" s="4">
        <f t="shared" ref="CK31:CK66" si="52">CE31-CE30</f>
        <v>0</v>
      </c>
      <c r="CL31" s="13">
        <f t="shared" ref="CL31:CL66" ca="1" si="53">(CK31*CI31)/5280/$AI$8</f>
        <v>0</v>
      </c>
      <c r="CM31" s="4">
        <v>-3.4</v>
      </c>
      <c r="CN31" s="1">
        <v>0</v>
      </c>
      <c r="CO31" s="1">
        <v>0</v>
      </c>
      <c r="CP31" s="1">
        <v>0</v>
      </c>
      <c r="CR31" s="4" t="str">
        <f t="shared" ref="CR31:CR47" si="54">CM31&amp;" to "&amp;CM30</f>
        <v>-3.4 to -3.6</v>
      </c>
      <c r="CS31" s="11">
        <f t="shared" ref="CS31:CS66" si="55">IF(CU31=0,0,(CN31-CN30)/CU31)</f>
        <v>0</v>
      </c>
      <c r="CT31" s="9">
        <f t="shared" ref="CT31:CT42" si="56">IF(CU31=0,0,SIGN(CM30)*(CP31-CP30)/(CN31-CN30))</f>
        <v>0</v>
      </c>
      <c r="CU31" s="4">
        <f t="shared" ref="CU31:CU66" si="57">CO31-CO30</f>
        <v>0</v>
      </c>
      <c r="CV31" s="13">
        <f t="shared" ref="CV31:CV66" ca="1" si="58">(CU31*CS31)/5280/$AI$9</f>
        <v>0</v>
      </c>
      <c r="CW31" s="4">
        <v>-3.4</v>
      </c>
      <c r="CX31" s="1">
        <v>0</v>
      </c>
      <c r="CY31" s="1">
        <v>0</v>
      </c>
      <c r="CZ31" s="1">
        <v>0</v>
      </c>
      <c r="DB31" s="4" t="str">
        <f t="shared" ref="DB31:DB47" si="59">CW31&amp;" to "&amp;CW30</f>
        <v>-3.4 to -3.6</v>
      </c>
      <c r="DC31" s="11">
        <f t="shared" ref="DC31:DC66" si="60">IF(DE31=0,0,(CX31-CX30)/DE31)</f>
        <v>0</v>
      </c>
      <c r="DD31" s="9">
        <f t="shared" ref="DD31:DD42" si="61">IF(DE31=0,0,SIGN(CW30)*(CZ31-CZ30)/(CX31-CX30))</f>
        <v>0</v>
      </c>
      <c r="DE31" s="4">
        <f t="shared" ref="DE31:DE66" si="62">CY31-CY30</f>
        <v>0</v>
      </c>
      <c r="DF31" s="13">
        <f t="shared" ref="DF31:DF66" ca="1" si="63">(DE31*DC31)/5280/$AI$10</f>
        <v>0</v>
      </c>
    </row>
    <row r="32" spans="1:110" x14ac:dyDescent="0.25">
      <c r="A32" s="1">
        <v>31</v>
      </c>
      <c r="B32" s="4">
        <v>7400</v>
      </c>
      <c r="C32" s="4">
        <v>6.1999999999999993</v>
      </c>
      <c r="D32" s="4">
        <v>6.3999999999999995</v>
      </c>
      <c r="E32" s="4">
        <f t="shared" si="15"/>
        <v>0.20000000000000018</v>
      </c>
      <c r="F32" s="4">
        <v>0</v>
      </c>
      <c r="G32" s="4">
        <v>-0.13</v>
      </c>
      <c r="H32" s="4">
        <v>79</v>
      </c>
      <c r="I32" s="4"/>
      <c r="J32" s="4">
        <v>49</v>
      </c>
      <c r="K32"/>
      <c r="L32"/>
      <c r="M32" s="4">
        <f t="shared" si="16"/>
        <v>6.3999999999999995</v>
      </c>
      <c r="N32" s="4"/>
      <c r="O32" s="1">
        <f t="shared" si="17"/>
        <v>6.1999999999999993</v>
      </c>
      <c r="P32" s="1">
        <f t="shared" si="18"/>
        <v>0</v>
      </c>
      <c r="Q32" s="1" t="str">
        <f t="shared" si="3"/>
        <v/>
      </c>
      <c r="R32" s="1" t="str">
        <f t="shared" si="19"/>
        <v/>
      </c>
      <c r="S32" s="1">
        <f t="shared" si="20"/>
        <v>463.73760000000004</v>
      </c>
      <c r="T32" s="1">
        <f t="shared" si="21"/>
        <v>-0.13</v>
      </c>
      <c r="U32" s="1">
        <f t="shared" si="22"/>
        <v>1056.0000000000009</v>
      </c>
      <c r="V32" s="1">
        <f t="shared" si="23"/>
        <v>137.28000000000011</v>
      </c>
      <c r="X32" s="10"/>
      <c r="Y32" s="4"/>
      <c r="Z32" s="4"/>
      <c r="AA32" s="12"/>
      <c r="AB32" s="12"/>
      <c r="AC32" s="4"/>
      <c r="AD32" s="4"/>
      <c r="AE32" s="4">
        <v>-3.2</v>
      </c>
      <c r="AF32" s="8">
        <v>0</v>
      </c>
      <c r="AG32" s="4">
        <v>0</v>
      </c>
      <c r="AH32" s="4">
        <v>0</v>
      </c>
      <c r="AJ32" s="4" t="str">
        <f t="shared" si="26"/>
        <v>-3.2 to -3.4</v>
      </c>
      <c r="AK32" s="11">
        <f t="shared" si="27"/>
        <v>0</v>
      </c>
      <c r="AL32" s="9">
        <f t="shared" si="28"/>
        <v>0</v>
      </c>
      <c r="AM32" s="4">
        <f t="shared" si="29"/>
        <v>0</v>
      </c>
      <c r="AN32" s="13">
        <f t="shared" ca="1" si="24"/>
        <v>0</v>
      </c>
      <c r="AO32" s="4">
        <v>-3.2</v>
      </c>
      <c r="AP32" s="8">
        <v>0</v>
      </c>
      <c r="AQ32" s="4">
        <v>0</v>
      </c>
      <c r="AR32" s="4">
        <v>0</v>
      </c>
      <c r="AT32" s="4" t="str">
        <f t="shared" si="30"/>
        <v>-3.2 to -3.4</v>
      </c>
      <c r="AU32" s="11">
        <f t="shared" si="31"/>
        <v>0</v>
      </c>
      <c r="AV32" s="9">
        <f t="shared" si="32"/>
        <v>0</v>
      </c>
      <c r="AW32" s="4">
        <f t="shared" si="33"/>
        <v>0</v>
      </c>
      <c r="AX32" s="13">
        <f t="shared" ca="1" si="25"/>
        <v>0</v>
      </c>
      <c r="AY32" s="4">
        <v>-3.2</v>
      </c>
      <c r="AZ32" s="8">
        <v>0</v>
      </c>
      <c r="BA32" s="4">
        <v>0</v>
      </c>
      <c r="BB32" s="4">
        <v>0</v>
      </c>
      <c r="BD32" s="4" t="str">
        <f t="shared" si="34"/>
        <v>-3.2 to -3.4</v>
      </c>
      <c r="BE32" s="11">
        <f t="shared" si="35"/>
        <v>0</v>
      </c>
      <c r="BF32" s="9">
        <f t="shared" si="36"/>
        <v>0</v>
      </c>
      <c r="BG32" s="4">
        <f t="shared" si="37"/>
        <v>0</v>
      </c>
      <c r="BH32" s="13">
        <f t="shared" ca="1" si="38"/>
        <v>0</v>
      </c>
      <c r="BI32" s="4">
        <v>-3.2</v>
      </c>
      <c r="BJ32" s="1">
        <v>0</v>
      </c>
      <c r="BK32" s="1">
        <v>0</v>
      </c>
      <c r="BL32" s="1">
        <v>0</v>
      </c>
      <c r="BN32" s="4" t="str">
        <f t="shared" si="39"/>
        <v>-3.2 to -3.4</v>
      </c>
      <c r="BO32" s="11">
        <f t="shared" si="40"/>
        <v>0</v>
      </c>
      <c r="BP32" s="9">
        <f t="shared" si="41"/>
        <v>0</v>
      </c>
      <c r="BQ32" s="4">
        <f t="shared" si="42"/>
        <v>0</v>
      </c>
      <c r="BR32" s="13">
        <f t="shared" ca="1" si="43"/>
        <v>0</v>
      </c>
      <c r="BS32" s="4">
        <v>-3.2</v>
      </c>
      <c r="BT32" s="1">
        <v>0</v>
      </c>
      <c r="BU32" s="1">
        <v>0</v>
      </c>
      <c r="BV32" s="1">
        <v>0</v>
      </c>
      <c r="BX32" s="4" t="str">
        <f t="shared" si="44"/>
        <v>-3.2 to -3.4</v>
      </c>
      <c r="BY32" s="11">
        <f t="shared" si="45"/>
        <v>0</v>
      </c>
      <c r="BZ32" s="9">
        <f t="shared" si="46"/>
        <v>0</v>
      </c>
      <c r="CA32" s="4">
        <f t="shared" si="47"/>
        <v>0</v>
      </c>
      <c r="CB32" s="13">
        <f t="shared" ca="1" si="48"/>
        <v>0</v>
      </c>
      <c r="CC32" s="4">
        <v>-3.2</v>
      </c>
      <c r="CD32" s="1">
        <v>0</v>
      </c>
      <c r="CE32" s="1">
        <v>0</v>
      </c>
      <c r="CF32" s="1">
        <v>0</v>
      </c>
      <c r="CH32" s="4" t="str">
        <f t="shared" si="49"/>
        <v>-3.2 to -3.4</v>
      </c>
      <c r="CI32" s="11">
        <f t="shared" si="50"/>
        <v>0</v>
      </c>
      <c r="CJ32" s="9">
        <f t="shared" si="51"/>
        <v>0</v>
      </c>
      <c r="CK32" s="4">
        <f t="shared" si="52"/>
        <v>0</v>
      </c>
      <c r="CL32" s="13">
        <f t="shared" ca="1" si="53"/>
        <v>0</v>
      </c>
      <c r="CM32" s="4">
        <v>-3.2</v>
      </c>
      <c r="CN32" s="1">
        <v>0</v>
      </c>
      <c r="CO32" s="1">
        <v>0</v>
      </c>
      <c r="CP32" s="1">
        <v>0</v>
      </c>
      <c r="CR32" s="4" t="str">
        <f t="shared" si="54"/>
        <v>-3.2 to -3.4</v>
      </c>
      <c r="CS32" s="11">
        <f t="shared" si="55"/>
        <v>0</v>
      </c>
      <c r="CT32" s="9">
        <f t="shared" si="56"/>
        <v>0</v>
      </c>
      <c r="CU32" s="4">
        <f t="shared" si="57"/>
        <v>0</v>
      </c>
      <c r="CV32" s="13">
        <f t="shared" ca="1" si="58"/>
        <v>0</v>
      </c>
      <c r="CW32" s="4">
        <v>-3.2</v>
      </c>
      <c r="CX32" s="1">
        <v>0</v>
      </c>
      <c r="CY32" s="1">
        <v>0</v>
      </c>
      <c r="CZ32" s="1">
        <v>0</v>
      </c>
      <c r="DB32" s="4" t="str">
        <f t="shared" si="59"/>
        <v>-3.2 to -3.4</v>
      </c>
      <c r="DC32" s="11">
        <f t="shared" si="60"/>
        <v>0</v>
      </c>
      <c r="DD32" s="9">
        <f t="shared" si="61"/>
        <v>0</v>
      </c>
      <c r="DE32" s="4">
        <f t="shared" si="62"/>
        <v>0</v>
      </c>
      <c r="DF32" s="13">
        <f t="shared" ca="1" si="63"/>
        <v>0</v>
      </c>
    </row>
    <row r="33" spans="1:110" x14ac:dyDescent="0.25">
      <c r="A33" s="1">
        <v>32</v>
      </c>
      <c r="B33" s="4">
        <v>7400</v>
      </c>
      <c r="C33" s="4">
        <v>6.3999999999999995</v>
      </c>
      <c r="D33" s="4">
        <v>6.5</v>
      </c>
      <c r="E33" s="4">
        <f t="shared" si="15"/>
        <v>0.10000000000000053</v>
      </c>
      <c r="F33" s="4">
        <v>0</v>
      </c>
      <c r="G33" s="4">
        <v>1.04</v>
      </c>
      <c r="H33" s="4">
        <v>79</v>
      </c>
      <c r="I33" s="4"/>
      <c r="J33" s="4">
        <v>49</v>
      </c>
      <c r="K33"/>
      <c r="L33"/>
      <c r="M33" s="4">
        <f t="shared" si="16"/>
        <v>6.5</v>
      </c>
      <c r="N33" s="4"/>
      <c r="O33" s="1">
        <f t="shared" si="17"/>
        <v>6.3999999999999995</v>
      </c>
      <c r="P33" s="1">
        <f t="shared" si="18"/>
        <v>0</v>
      </c>
      <c r="Q33" s="1" t="str">
        <f t="shared" si="3"/>
        <v/>
      </c>
      <c r="R33" s="1" t="str">
        <f t="shared" si="19"/>
        <v/>
      </c>
      <c r="S33" s="1">
        <f t="shared" si="20"/>
        <v>462.36480000000006</v>
      </c>
      <c r="T33" s="1">
        <f t="shared" si="21"/>
        <v>1.04</v>
      </c>
      <c r="U33" s="1">
        <f t="shared" si="22"/>
        <v>528.00000000000284</v>
      </c>
      <c r="V33" s="1">
        <f t="shared" si="23"/>
        <v>549.12000000000296</v>
      </c>
      <c r="X33" s="10"/>
      <c r="Y33" s="4"/>
      <c r="Z33" s="4"/>
      <c r="AA33" s="12"/>
      <c r="AB33" s="12"/>
      <c r="AC33" s="4"/>
      <c r="AD33" s="4"/>
      <c r="AE33" s="4">
        <v>-3</v>
      </c>
      <c r="AF33" s="8">
        <v>0</v>
      </c>
      <c r="AG33" s="4">
        <v>0</v>
      </c>
      <c r="AH33" s="4">
        <v>0</v>
      </c>
      <c r="AJ33" s="4" t="str">
        <f t="shared" si="26"/>
        <v>-3 to -3.2</v>
      </c>
      <c r="AK33" s="11">
        <f t="shared" si="27"/>
        <v>0</v>
      </c>
      <c r="AL33" s="9">
        <f t="shared" si="28"/>
        <v>0</v>
      </c>
      <c r="AM33" s="4">
        <f t="shared" si="29"/>
        <v>0</v>
      </c>
      <c r="AN33" s="13">
        <f t="shared" ca="1" si="24"/>
        <v>0</v>
      </c>
      <c r="AO33" s="4">
        <v>-3</v>
      </c>
      <c r="AP33" s="8">
        <v>0</v>
      </c>
      <c r="AQ33" s="4">
        <v>0</v>
      </c>
      <c r="AR33" s="4">
        <v>0</v>
      </c>
      <c r="AT33" s="4" t="str">
        <f t="shared" si="30"/>
        <v>-3 to -3.2</v>
      </c>
      <c r="AU33" s="11">
        <f t="shared" si="31"/>
        <v>0</v>
      </c>
      <c r="AV33" s="9">
        <f t="shared" si="32"/>
        <v>0</v>
      </c>
      <c r="AW33" s="4">
        <f t="shared" si="33"/>
        <v>0</v>
      </c>
      <c r="AX33" s="13">
        <f t="shared" ca="1" si="25"/>
        <v>0</v>
      </c>
      <c r="AY33" s="4">
        <v>-3</v>
      </c>
      <c r="AZ33" s="8">
        <v>0</v>
      </c>
      <c r="BA33" s="4">
        <v>0</v>
      </c>
      <c r="BB33" s="4">
        <v>0</v>
      </c>
      <c r="BD33" s="4" t="str">
        <f t="shared" si="34"/>
        <v>-3 to -3.2</v>
      </c>
      <c r="BE33" s="11">
        <f t="shared" si="35"/>
        <v>0</v>
      </c>
      <c r="BF33" s="9">
        <f t="shared" si="36"/>
        <v>0</v>
      </c>
      <c r="BG33" s="4">
        <f t="shared" si="37"/>
        <v>0</v>
      </c>
      <c r="BH33" s="13">
        <f t="shared" ca="1" si="38"/>
        <v>0</v>
      </c>
      <c r="BI33" s="4">
        <v>-3</v>
      </c>
      <c r="BJ33" s="1">
        <v>0</v>
      </c>
      <c r="BK33" s="1">
        <v>0</v>
      </c>
      <c r="BL33" s="1">
        <v>0</v>
      </c>
      <c r="BN33" s="4" t="str">
        <f t="shared" si="39"/>
        <v>-3 to -3.2</v>
      </c>
      <c r="BO33" s="11">
        <f t="shared" si="40"/>
        <v>0</v>
      </c>
      <c r="BP33" s="9">
        <f t="shared" si="41"/>
        <v>0</v>
      </c>
      <c r="BQ33" s="4">
        <f t="shared" si="42"/>
        <v>0</v>
      </c>
      <c r="BR33" s="13">
        <f t="shared" ca="1" si="43"/>
        <v>0</v>
      </c>
      <c r="BS33" s="4">
        <v>-3</v>
      </c>
      <c r="BT33" s="1">
        <v>0</v>
      </c>
      <c r="BU33" s="1">
        <v>0</v>
      </c>
      <c r="BV33" s="1">
        <v>0</v>
      </c>
      <c r="BX33" s="4" t="str">
        <f t="shared" si="44"/>
        <v>-3 to -3.2</v>
      </c>
      <c r="BY33" s="11">
        <f t="shared" si="45"/>
        <v>0</v>
      </c>
      <c r="BZ33" s="9">
        <f t="shared" si="46"/>
        <v>0</v>
      </c>
      <c r="CA33" s="4">
        <f t="shared" si="47"/>
        <v>0</v>
      </c>
      <c r="CB33" s="13">
        <f t="shared" ca="1" si="48"/>
        <v>0</v>
      </c>
      <c r="CC33" s="4">
        <v>-3</v>
      </c>
      <c r="CD33" s="1">
        <v>0</v>
      </c>
      <c r="CE33" s="1">
        <v>0</v>
      </c>
      <c r="CF33" s="1">
        <v>0</v>
      </c>
      <c r="CH33" s="4" t="str">
        <f t="shared" si="49"/>
        <v>-3 to -3.2</v>
      </c>
      <c r="CI33" s="11">
        <f t="shared" si="50"/>
        <v>0</v>
      </c>
      <c r="CJ33" s="9">
        <f t="shared" si="51"/>
        <v>0</v>
      </c>
      <c r="CK33" s="4">
        <f t="shared" si="52"/>
        <v>0</v>
      </c>
      <c r="CL33" s="13">
        <f t="shared" ca="1" si="53"/>
        <v>0</v>
      </c>
      <c r="CM33" s="4">
        <v>-3</v>
      </c>
      <c r="CN33" s="1">
        <v>0</v>
      </c>
      <c r="CO33" s="1">
        <v>0</v>
      </c>
      <c r="CP33" s="1">
        <v>0</v>
      </c>
      <c r="CR33" s="4" t="str">
        <f t="shared" si="54"/>
        <v>-3 to -3.2</v>
      </c>
      <c r="CS33" s="11">
        <f t="shared" si="55"/>
        <v>0</v>
      </c>
      <c r="CT33" s="9">
        <f t="shared" si="56"/>
        <v>0</v>
      </c>
      <c r="CU33" s="4">
        <f t="shared" si="57"/>
        <v>0</v>
      </c>
      <c r="CV33" s="13">
        <f t="shared" ca="1" si="58"/>
        <v>0</v>
      </c>
      <c r="CW33" s="4">
        <v>-3</v>
      </c>
      <c r="CX33" s="1">
        <v>0</v>
      </c>
      <c r="CY33" s="1">
        <v>0</v>
      </c>
      <c r="CZ33" s="1">
        <v>0</v>
      </c>
      <c r="DB33" s="4" t="str">
        <f t="shared" si="59"/>
        <v>-3 to -3.2</v>
      </c>
      <c r="DC33" s="11">
        <f t="shared" si="60"/>
        <v>0</v>
      </c>
      <c r="DD33" s="9">
        <f t="shared" si="61"/>
        <v>0</v>
      </c>
      <c r="DE33" s="4">
        <f t="shared" si="62"/>
        <v>0</v>
      </c>
      <c r="DF33" s="13">
        <f t="shared" ca="1" si="63"/>
        <v>0</v>
      </c>
    </row>
    <row r="34" spans="1:110" x14ac:dyDescent="0.25">
      <c r="A34" s="1">
        <v>33</v>
      </c>
      <c r="B34" s="4">
        <v>7400</v>
      </c>
      <c r="C34" s="4">
        <v>6.5</v>
      </c>
      <c r="D34" s="4">
        <v>6.6</v>
      </c>
      <c r="E34" s="4">
        <f t="shared" si="15"/>
        <v>9.9999999999999645E-2</v>
      </c>
      <c r="F34" s="4">
        <v>0</v>
      </c>
      <c r="G34" s="4">
        <v>0.79</v>
      </c>
      <c r="H34" s="4">
        <v>79</v>
      </c>
      <c r="I34" s="4"/>
      <c r="J34" s="4">
        <v>49</v>
      </c>
      <c r="K34"/>
      <c r="L34"/>
      <c r="M34" s="4">
        <f t="shared" si="16"/>
        <v>6.6</v>
      </c>
      <c r="N34" s="4"/>
      <c r="O34" s="1">
        <f t="shared" si="17"/>
        <v>6.5</v>
      </c>
      <c r="P34" s="1">
        <f t="shared" si="18"/>
        <v>0</v>
      </c>
      <c r="Q34" s="1" t="str">
        <f t="shared" si="3"/>
        <v/>
      </c>
      <c r="R34" s="1" t="str">
        <f t="shared" si="19"/>
        <v/>
      </c>
      <c r="S34" s="1">
        <f t="shared" si="20"/>
        <v>467.85600000000011</v>
      </c>
      <c r="T34" s="1">
        <f t="shared" si="21"/>
        <v>0.79</v>
      </c>
      <c r="U34" s="1">
        <f t="shared" si="22"/>
        <v>527.99999999999818</v>
      </c>
      <c r="V34" s="1">
        <f t="shared" si="23"/>
        <v>417.11999999999858</v>
      </c>
      <c r="X34" s="10"/>
      <c r="Y34" s="4"/>
      <c r="Z34" s="4"/>
      <c r="AA34" s="12"/>
      <c r="AB34" s="12"/>
      <c r="AC34" s="4"/>
      <c r="AD34" s="4"/>
      <c r="AE34" s="4">
        <v>-2.8</v>
      </c>
      <c r="AF34" s="8">
        <v>0</v>
      </c>
      <c r="AG34" s="4">
        <v>0</v>
      </c>
      <c r="AH34" s="4">
        <v>0</v>
      </c>
      <c r="AJ34" s="4" t="str">
        <f t="shared" si="26"/>
        <v>-2.8 to -3</v>
      </c>
      <c r="AK34" s="11">
        <f t="shared" si="27"/>
        <v>0</v>
      </c>
      <c r="AL34" s="9">
        <f t="shared" si="28"/>
        <v>0</v>
      </c>
      <c r="AM34" s="4">
        <f t="shared" si="29"/>
        <v>0</v>
      </c>
      <c r="AN34" s="13">
        <f t="shared" ca="1" si="24"/>
        <v>0</v>
      </c>
      <c r="AO34" s="4">
        <v>-2.8</v>
      </c>
      <c r="AP34" s="8">
        <v>0</v>
      </c>
      <c r="AQ34" s="4">
        <v>0</v>
      </c>
      <c r="AR34" s="4">
        <v>0</v>
      </c>
      <c r="AT34" s="4" t="str">
        <f t="shared" si="30"/>
        <v>-2.8 to -3</v>
      </c>
      <c r="AU34" s="11">
        <f t="shared" si="31"/>
        <v>0</v>
      </c>
      <c r="AV34" s="9">
        <f t="shared" si="32"/>
        <v>0</v>
      </c>
      <c r="AW34" s="4">
        <f t="shared" si="33"/>
        <v>0</v>
      </c>
      <c r="AX34" s="13">
        <f t="shared" ca="1" si="25"/>
        <v>0</v>
      </c>
      <c r="AY34" s="4">
        <v>-2.8</v>
      </c>
      <c r="AZ34" s="8">
        <v>0</v>
      </c>
      <c r="BA34" s="4">
        <v>0</v>
      </c>
      <c r="BB34" s="4">
        <v>0</v>
      </c>
      <c r="BD34" s="4" t="str">
        <f t="shared" si="34"/>
        <v>-2.8 to -3</v>
      </c>
      <c r="BE34" s="11">
        <f t="shared" si="35"/>
        <v>0</v>
      </c>
      <c r="BF34" s="9">
        <f t="shared" si="36"/>
        <v>0</v>
      </c>
      <c r="BG34" s="4">
        <f t="shared" si="37"/>
        <v>0</v>
      </c>
      <c r="BH34" s="13">
        <f t="shared" ca="1" si="38"/>
        <v>0</v>
      </c>
      <c r="BI34" s="4">
        <v>-2.8</v>
      </c>
      <c r="BJ34" s="1">
        <v>0</v>
      </c>
      <c r="BK34" s="1">
        <v>0</v>
      </c>
      <c r="BL34" s="1">
        <v>0</v>
      </c>
      <c r="BN34" s="4" t="str">
        <f t="shared" si="39"/>
        <v>-2.8 to -3</v>
      </c>
      <c r="BO34" s="11">
        <f t="shared" si="40"/>
        <v>0</v>
      </c>
      <c r="BP34" s="9">
        <f t="shared" si="41"/>
        <v>0</v>
      </c>
      <c r="BQ34" s="4">
        <f t="shared" si="42"/>
        <v>0</v>
      </c>
      <c r="BR34" s="13">
        <f t="shared" ca="1" si="43"/>
        <v>0</v>
      </c>
      <c r="BS34" s="4">
        <v>-2.8</v>
      </c>
      <c r="BT34" s="1">
        <v>0</v>
      </c>
      <c r="BU34" s="1">
        <v>0</v>
      </c>
      <c r="BV34" s="1">
        <v>0</v>
      </c>
      <c r="BX34" s="4" t="str">
        <f t="shared" si="44"/>
        <v>-2.8 to -3</v>
      </c>
      <c r="BY34" s="11">
        <f t="shared" si="45"/>
        <v>0</v>
      </c>
      <c r="BZ34" s="9">
        <f t="shared" si="46"/>
        <v>0</v>
      </c>
      <c r="CA34" s="4">
        <f t="shared" si="47"/>
        <v>0</v>
      </c>
      <c r="CB34" s="13">
        <f t="shared" ca="1" si="48"/>
        <v>0</v>
      </c>
      <c r="CC34" s="4">
        <v>-2.8</v>
      </c>
      <c r="CD34" s="1">
        <v>0</v>
      </c>
      <c r="CE34" s="1">
        <v>0</v>
      </c>
      <c r="CF34" s="1">
        <v>0</v>
      </c>
      <c r="CH34" s="4" t="str">
        <f t="shared" si="49"/>
        <v>-2.8 to -3</v>
      </c>
      <c r="CI34" s="11">
        <f t="shared" si="50"/>
        <v>0</v>
      </c>
      <c r="CJ34" s="9">
        <f t="shared" si="51"/>
        <v>0</v>
      </c>
      <c r="CK34" s="4">
        <f t="shared" si="52"/>
        <v>0</v>
      </c>
      <c r="CL34" s="13">
        <f t="shared" ca="1" si="53"/>
        <v>0</v>
      </c>
      <c r="CM34" s="4">
        <v>-2.8</v>
      </c>
      <c r="CN34" s="1">
        <v>0</v>
      </c>
      <c r="CO34" s="1">
        <v>0</v>
      </c>
      <c r="CP34" s="1">
        <v>0</v>
      </c>
      <c r="CR34" s="4" t="str">
        <f t="shared" si="54"/>
        <v>-2.8 to -3</v>
      </c>
      <c r="CS34" s="11">
        <f t="shared" si="55"/>
        <v>0</v>
      </c>
      <c r="CT34" s="9">
        <f t="shared" si="56"/>
        <v>0</v>
      </c>
      <c r="CU34" s="4">
        <f t="shared" si="57"/>
        <v>0</v>
      </c>
      <c r="CV34" s="13">
        <f t="shared" ca="1" si="58"/>
        <v>0</v>
      </c>
      <c r="CW34" s="4">
        <v>-2.8</v>
      </c>
      <c r="CX34" s="1">
        <v>0</v>
      </c>
      <c r="CY34" s="1">
        <v>0</v>
      </c>
      <c r="CZ34" s="1">
        <v>0</v>
      </c>
      <c r="DB34" s="4" t="str">
        <f t="shared" si="59"/>
        <v>-2.8 to -3</v>
      </c>
      <c r="DC34" s="11">
        <f t="shared" si="60"/>
        <v>0</v>
      </c>
      <c r="DD34" s="9">
        <f t="shared" si="61"/>
        <v>0</v>
      </c>
      <c r="DE34" s="4">
        <f t="shared" si="62"/>
        <v>0</v>
      </c>
      <c r="DF34" s="13">
        <f t="shared" ca="1" si="63"/>
        <v>0</v>
      </c>
    </row>
    <row r="35" spans="1:110" x14ac:dyDescent="0.25">
      <c r="A35" s="1">
        <v>34</v>
      </c>
      <c r="B35" s="4">
        <v>7400</v>
      </c>
      <c r="C35" s="4">
        <v>6.6</v>
      </c>
      <c r="D35" s="4">
        <v>6.6999999999999993</v>
      </c>
      <c r="E35" s="4">
        <f t="shared" si="15"/>
        <v>9.9999999999999645E-2</v>
      </c>
      <c r="F35" s="4">
        <v>2.2000000000000002</v>
      </c>
      <c r="G35" s="4">
        <v>0.79</v>
      </c>
      <c r="H35" s="4">
        <v>79</v>
      </c>
      <c r="I35" s="4"/>
      <c r="J35" s="4">
        <v>49</v>
      </c>
      <c r="K35"/>
      <c r="L35"/>
      <c r="M35" s="4">
        <f t="shared" si="16"/>
        <v>6.6999999999999993</v>
      </c>
      <c r="N35" s="4"/>
      <c r="O35" s="1">
        <f t="shared" si="17"/>
        <v>6.6</v>
      </c>
      <c r="P35" s="1">
        <f t="shared" si="18"/>
        <v>11.615999999999959</v>
      </c>
      <c r="Q35" s="1" t="str">
        <f t="shared" si="3"/>
        <v/>
      </c>
      <c r="R35" s="1" t="str">
        <f t="shared" si="19"/>
        <v/>
      </c>
      <c r="S35" s="1">
        <f t="shared" si="20"/>
        <v>472.02720000000011</v>
      </c>
      <c r="T35" s="1">
        <f t="shared" si="21"/>
        <v>0.79</v>
      </c>
      <c r="U35" s="1">
        <f t="shared" si="22"/>
        <v>527.99999999999818</v>
      </c>
      <c r="V35" s="1">
        <f t="shared" si="23"/>
        <v>417.11999999999858</v>
      </c>
      <c r="X35" s="10"/>
      <c r="Y35" s="4"/>
      <c r="Z35" s="4"/>
      <c r="AA35" s="12"/>
      <c r="AB35" s="12"/>
      <c r="AC35" s="4"/>
      <c r="AD35" s="4"/>
      <c r="AE35" s="4">
        <v>-2.6</v>
      </c>
      <c r="AF35" s="8">
        <v>0</v>
      </c>
      <c r="AG35" s="4">
        <v>0</v>
      </c>
      <c r="AH35" s="4">
        <v>0</v>
      </c>
      <c r="AJ35" s="4" t="str">
        <f t="shared" si="26"/>
        <v>-2.6 to -2.8</v>
      </c>
      <c r="AK35" s="11">
        <f t="shared" si="27"/>
        <v>0</v>
      </c>
      <c r="AL35" s="9">
        <f t="shared" si="28"/>
        <v>0</v>
      </c>
      <c r="AM35" s="4">
        <f t="shared" si="29"/>
        <v>0</v>
      </c>
      <c r="AN35" s="13">
        <f t="shared" ca="1" si="24"/>
        <v>0</v>
      </c>
      <c r="AO35" s="4">
        <v>-2.6</v>
      </c>
      <c r="AP35" s="8">
        <v>0</v>
      </c>
      <c r="AQ35" s="4">
        <v>0</v>
      </c>
      <c r="AR35" s="4">
        <v>0</v>
      </c>
      <c r="AT35" s="4" t="str">
        <f t="shared" si="30"/>
        <v>-2.6 to -2.8</v>
      </c>
      <c r="AU35" s="11">
        <f t="shared" si="31"/>
        <v>0</v>
      </c>
      <c r="AV35" s="9">
        <f t="shared" si="32"/>
        <v>0</v>
      </c>
      <c r="AW35" s="4">
        <f t="shared" si="33"/>
        <v>0</v>
      </c>
      <c r="AX35" s="13">
        <f t="shared" ca="1" si="25"/>
        <v>0</v>
      </c>
      <c r="AY35" s="4">
        <v>-2.6</v>
      </c>
      <c r="AZ35" s="8">
        <v>0</v>
      </c>
      <c r="BA35" s="4">
        <v>0</v>
      </c>
      <c r="BB35" s="4">
        <v>0</v>
      </c>
      <c r="BD35" s="4" t="str">
        <f t="shared" si="34"/>
        <v>-2.6 to -2.8</v>
      </c>
      <c r="BE35" s="11">
        <f t="shared" si="35"/>
        <v>0</v>
      </c>
      <c r="BF35" s="9">
        <f t="shared" si="36"/>
        <v>0</v>
      </c>
      <c r="BG35" s="4">
        <f t="shared" si="37"/>
        <v>0</v>
      </c>
      <c r="BH35" s="13">
        <f t="shared" ca="1" si="38"/>
        <v>0</v>
      </c>
      <c r="BI35" s="4">
        <v>-2.6</v>
      </c>
      <c r="BJ35" s="1">
        <v>0</v>
      </c>
      <c r="BK35" s="1">
        <v>0</v>
      </c>
      <c r="BL35" s="1">
        <v>0</v>
      </c>
      <c r="BN35" s="4" t="str">
        <f t="shared" si="39"/>
        <v>-2.6 to -2.8</v>
      </c>
      <c r="BO35" s="11">
        <f t="shared" si="40"/>
        <v>0</v>
      </c>
      <c r="BP35" s="9">
        <f t="shared" si="41"/>
        <v>0</v>
      </c>
      <c r="BQ35" s="4">
        <f t="shared" si="42"/>
        <v>0</v>
      </c>
      <c r="BR35" s="13">
        <f t="shared" ca="1" si="43"/>
        <v>0</v>
      </c>
      <c r="BS35" s="4">
        <v>-2.6</v>
      </c>
      <c r="BT35" s="1">
        <v>0</v>
      </c>
      <c r="BU35" s="1">
        <v>0</v>
      </c>
      <c r="BV35" s="1">
        <v>0</v>
      </c>
      <c r="BX35" s="4" t="str">
        <f t="shared" si="44"/>
        <v>-2.6 to -2.8</v>
      </c>
      <c r="BY35" s="11">
        <f t="shared" si="45"/>
        <v>0</v>
      </c>
      <c r="BZ35" s="9">
        <f t="shared" si="46"/>
        <v>0</v>
      </c>
      <c r="CA35" s="4">
        <f t="shared" si="47"/>
        <v>0</v>
      </c>
      <c r="CB35" s="13">
        <f t="shared" ca="1" si="48"/>
        <v>0</v>
      </c>
      <c r="CC35" s="4">
        <v>-2.6</v>
      </c>
      <c r="CD35" s="1">
        <v>0</v>
      </c>
      <c r="CE35" s="1">
        <v>0</v>
      </c>
      <c r="CF35" s="1">
        <v>0</v>
      </c>
      <c r="CH35" s="4" t="str">
        <f t="shared" si="49"/>
        <v>-2.6 to -2.8</v>
      </c>
      <c r="CI35" s="11">
        <f t="shared" si="50"/>
        <v>0</v>
      </c>
      <c r="CJ35" s="9">
        <f t="shared" si="51"/>
        <v>0</v>
      </c>
      <c r="CK35" s="4">
        <f t="shared" si="52"/>
        <v>0</v>
      </c>
      <c r="CL35" s="13">
        <f t="shared" ca="1" si="53"/>
        <v>0</v>
      </c>
      <c r="CM35" s="4">
        <v>-2.6</v>
      </c>
      <c r="CN35" s="1">
        <v>0</v>
      </c>
      <c r="CO35" s="1">
        <v>0</v>
      </c>
      <c r="CP35" s="1">
        <v>0</v>
      </c>
      <c r="CR35" s="4" t="str">
        <f t="shared" si="54"/>
        <v>-2.6 to -2.8</v>
      </c>
      <c r="CS35" s="11">
        <f t="shared" si="55"/>
        <v>0</v>
      </c>
      <c r="CT35" s="9">
        <f t="shared" si="56"/>
        <v>0</v>
      </c>
      <c r="CU35" s="4">
        <f t="shared" si="57"/>
        <v>0</v>
      </c>
      <c r="CV35" s="13">
        <f t="shared" ca="1" si="58"/>
        <v>0</v>
      </c>
      <c r="CW35" s="4">
        <v>-2.6</v>
      </c>
      <c r="CX35" s="1">
        <v>0</v>
      </c>
      <c r="CY35" s="1">
        <v>0</v>
      </c>
      <c r="CZ35" s="1">
        <v>0</v>
      </c>
      <c r="DB35" s="4" t="str">
        <f t="shared" si="59"/>
        <v>-2.6 to -2.8</v>
      </c>
      <c r="DC35" s="11">
        <f t="shared" si="60"/>
        <v>0</v>
      </c>
      <c r="DD35" s="9">
        <f t="shared" si="61"/>
        <v>0</v>
      </c>
      <c r="DE35" s="4">
        <f t="shared" si="62"/>
        <v>0</v>
      </c>
      <c r="DF35" s="13">
        <f t="shared" ca="1" si="63"/>
        <v>0</v>
      </c>
    </row>
    <row r="36" spans="1:110" x14ac:dyDescent="0.25">
      <c r="A36" s="1">
        <v>35</v>
      </c>
      <c r="B36" s="4">
        <v>7400</v>
      </c>
      <c r="C36" s="4">
        <v>6.6999999999999993</v>
      </c>
      <c r="D36" s="4">
        <v>6.8999999999999995</v>
      </c>
      <c r="E36" s="4">
        <f t="shared" si="15"/>
        <v>0.20000000000000018</v>
      </c>
      <c r="F36" s="4">
        <v>2.2000000000000002</v>
      </c>
      <c r="G36" s="4">
        <v>-0.37</v>
      </c>
      <c r="H36" s="4">
        <v>79</v>
      </c>
      <c r="I36" s="4"/>
      <c r="J36" s="4">
        <v>49</v>
      </c>
      <c r="K36"/>
      <c r="L36"/>
      <c r="M36" s="4">
        <f t="shared" si="16"/>
        <v>6.8999999999999995</v>
      </c>
      <c r="N36" s="4"/>
      <c r="O36" s="1">
        <f t="shared" si="17"/>
        <v>6.6999999999999993</v>
      </c>
      <c r="P36" s="1">
        <f t="shared" si="18"/>
        <v>23.232000000000021</v>
      </c>
      <c r="Q36" s="1" t="str">
        <f t="shared" si="3"/>
        <v/>
      </c>
      <c r="R36" s="1" t="str">
        <f t="shared" si="19"/>
        <v/>
      </c>
      <c r="S36" s="1">
        <f t="shared" si="20"/>
        <v>476.19840000000011</v>
      </c>
      <c r="T36" s="1">
        <f t="shared" si="21"/>
        <v>-0.37</v>
      </c>
      <c r="U36" s="1">
        <f t="shared" si="22"/>
        <v>1056.0000000000009</v>
      </c>
      <c r="V36" s="1">
        <f t="shared" si="23"/>
        <v>390.72000000000031</v>
      </c>
      <c r="X36" s="10"/>
      <c r="Y36" s="4"/>
      <c r="Z36" s="4"/>
      <c r="AA36" s="12"/>
      <c r="AB36" s="12"/>
      <c r="AC36" s="4"/>
      <c r="AD36" s="4"/>
      <c r="AE36" s="4">
        <v>-2.4</v>
      </c>
      <c r="AF36" s="8">
        <v>0</v>
      </c>
      <c r="AG36" s="4">
        <v>0</v>
      </c>
      <c r="AH36" s="4">
        <v>0</v>
      </c>
      <c r="AJ36" s="4" t="str">
        <f t="shared" si="26"/>
        <v>-2.4 to -2.6</v>
      </c>
      <c r="AK36" s="11">
        <f t="shared" si="27"/>
        <v>0</v>
      </c>
      <c r="AL36" s="9">
        <f t="shared" si="28"/>
        <v>0</v>
      </c>
      <c r="AM36" s="4">
        <f t="shared" si="29"/>
        <v>0</v>
      </c>
      <c r="AN36" s="13">
        <f t="shared" ca="1" si="24"/>
        <v>0</v>
      </c>
      <c r="AO36" s="4">
        <v>-2.4</v>
      </c>
      <c r="AP36" s="8">
        <v>0</v>
      </c>
      <c r="AQ36" s="4">
        <v>0</v>
      </c>
      <c r="AR36" s="4">
        <v>0</v>
      </c>
      <c r="AT36" s="4" t="str">
        <f t="shared" si="30"/>
        <v>-2.4 to -2.6</v>
      </c>
      <c r="AU36" s="11">
        <f t="shared" si="31"/>
        <v>0</v>
      </c>
      <c r="AV36" s="9">
        <f t="shared" si="32"/>
        <v>0</v>
      </c>
      <c r="AW36" s="4">
        <f t="shared" si="33"/>
        <v>0</v>
      </c>
      <c r="AX36" s="13">
        <f t="shared" ca="1" si="25"/>
        <v>0</v>
      </c>
      <c r="AY36" s="4">
        <v>-2.4</v>
      </c>
      <c r="AZ36" s="8">
        <v>0</v>
      </c>
      <c r="BA36" s="4">
        <v>0</v>
      </c>
      <c r="BB36" s="4">
        <v>0</v>
      </c>
      <c r="BD36" s="4" t="str">
        <f t="shared" si="34"/>
        <v>-2.4 to -2.6</v>
      </c>
      <c r="BE36" s="11">
        <f t="shared" si="35"/>
        <v>0</v>
      </c>
      <c r="BF36" s="9">
        <f t="shared" si="36"/>
        <v>0</v>
      </c>
      <c r="BG36" s="4">
        <f t="shared" si="37"/>
        <v>0</v>
      </c>
      <c r="BH36" s="13">
        <f t="shared" ca="1" si="38"/>
        <v>0</v>
      </c>
      <c r="BI36" s="4">
        <v>-2.4</v>
      </c>
      <c r="BJ36" s="1">
        <v>0</v>
      </c>
      <c r="BK36" s="1">
        <v>0</v>
      </c>
      <c r="BL36" s="1">
        <v>0</v>
      </c>
      <c r="BN36" s="4" t="str">
        <f t="shared" si="39"/>
        <v>-2.4 to -2.6</v>
      </c>
      <c r="BO36" s="11">
        <f t="shared" si="40"/>
        <v>0</v>
      </c>
      <c r="BP36" s="9">
        <f t="shared" si="41"/>
        <v>0</v>
      </c>
      <c r="BQ36" s="4">
        <f t="shared" si="42"/>
        <v>0</v>
      </c>
      <c r="BR36" s="13">
        <f t="shared" ca="1" si="43"/>
        <v>0</v>
      </c>
      <c r="BS36" s="4">
        <v>-2.4</v>
      </c>
      <c r="BT36" s="1">
        <v>0</v>
      </c>
      <c r="BU36" s="1">
        <v>0</v>
      </c>
      <c r="BV36" s="1">
        <v>0</v>
      </c>
      <c r="BX36" s="4" t="str">
        <f t="shared" si="44"/>
        <v>-2.4 to -2.6</v>
      </c>
      <c r="BY36" s="11">
        <f t="shared" si="45"/>
        <v>0</v>
      </c>
      <c r="BZ36" s="9">
        <f t="shared" si="46"/>
        <v>0</v>
      </c>
      <c r="CA36" s="4">
        <f t="shared" si="47"/>
        <v>0</v>
      </c>
      <c r="CB36" s="13">
        <f t="shared" ca="1" si="48"/>
        <v>0</v>
      </c>
      <c r="CC36" s="4">
        <v>-2.4</v>
      </c>
      <c r="CD36" s="1">
        <v>0</v>
      </c>
      <c r="CE36" s="1">
        <v>0</v>
      </c>
      <c r="CF36" s="1">
        <v>0</v>
      </c>
      <c r="CH36" s="4" t="str">
        <f t="shared" si="49"/>
        <v>-2.4 to -2.6</v>
      </c>
      <c r="CI36" s="11">
        <f t="shared" si="50"/>
        <v>0</v>
      </c>
      <c r="CJ36" s="9">
        <f t="shared" si="51"/>
        <v>0</v>
      </c>
      <c r="CK36" s="4">
        <f t="shared" si="52"/>
        <v>0</v>
      </c>
      <c r="CL36" s="13">
        <f t="shared" ca="1" si="53"/>
        <v>0</v>
      </c>
      <c r="CM36" s="4">
        <v>-2.4</v>
      </c>
      <c r="CN36" s="1">
        <v>0</v>
      </c>
      <c r="CO36" s="1">
        <v>0</v>
      </c>
      <c r="CP36" s="1">
        <v>0</v>
      </c>
      <c r="CR36" s="4" t="str">
        <f t="shared" si="54"/>
        <v>-2.4 to -2.6</v>
      </c>
      <c r="CS36" s="11">
        <f t="shared" si="55"/>
        <v>0</v>
      </c>
      <c r="CT36" s="9">
        <f t="shared" si="56"/>
        <v>0</v>
      </c>
      <c r="CU36" s="4">
        <f t="shared" si="57"/>
        <v>0</v>
      </c>
      <c r="CV36" s="13">
        <f t="shared" ca="1" si="58"/>
        <v>0</v>
      </c>
      <c r="CW36" s="4">
        <v>-2.4</v>
      </c>
      <c r="CX36" s="1">
        <v>0</v>
      </c>
      <c r="CY36" s="1">
        <v>0</v>
      </c>
      <c r="CZ36" s="1">
        <v>0</v>
      </c>
      <c r="DB36" s="4" t="str">
        <f t="shared" si="59"/>
        <v>-2.4 to -2.6</v>
      </c>
      <c r="DC36" s="11">
        <f t="shared" si="60"/>
        <v>0</v>
      </c>
      <c r="DD36" s="9">
        <f t="shared" si="61"/>
        <v>0</v>
      </c>
      <c r="DE36" s="4">
        <f t="shared" si="62"/>
        <v>0</v>
      </c>
      <c r="DF36" s="13">
        <f t="shared" ca="1" si="63"/>
        <v>0</v>
      </c>
    </row>
    <row r="37" spans="1:110" x14ac:dyDescent="0.25">
      <c r="A37" s="1">
        <v>36</v>
      </c>
      <c r="B37" s="4">
        <v>7400</v>
      </c>
      <c r="C37" s="4">
        <v>6.8999999999999995</v>
      </c>
      <c r="D37" s="4">
        <v>7</v>
      </c>
      <c r="E37" s="4">
        <f t="shared" si="15"/>
        <v>0.10000000000000053</v>
      </c>
      <c r="F37" s="4">
        <v>2.2000000000000002</v>
      </c>
      <c r="G37" s="4">
        <v>-0.69</v>
      </c>
      <c r="H37" s="4">
        <v>79</v>
      </c>
      <c r="I37" s="4"/>
      <c r="J37" s="4">
        <v>49</v>
      </c>
      <c r="K37"/>
      <c r="L37"/>
      <c r="M37" s="4">
        <f t="shared" si="16"/>
        <v>7</v>
      </c>
      <c r="N37" s="4"/>
      <c r="O37" s="1">
        <f t="shared" si="17"/>
        <v>6.8999999999999995</v>
      </c>
      <c r="P37" s="1">
        <f t="shared" si="18"/>
        <v>11.616000000000062</v>
      </c>
      <c r="Q37" s="1" t="str">
        <f t="shared" si="3"/>
        <v/>
      </c>
      <c r="R37" s="1" t="str">
        <f t="shared" si="19"/>
        <v/>
      </c>
      <c r="S37" s="1">
        <f t="shared" si="20"/>
        <v>472.29120000000012</v>
      </c>
      <c r="T37" s="1">
        <f t="shared" si="21"/>
        <v>-0.69</v>
      </c>
      <c r="U37" s="1">
        <f t="shared" si="22"/>
        <v>528.00000000000284</v>
      </c>
      <c r="V37" s="1">
        <f t="shared" si="23"/>
        <v>364.32000000000193</v>
      </c>
      <c r="X37" s="10"/>
      <c r="Y37" s="4"/>
      <c r="Z37" s="4"/>
      <c r="AA37" s="12"/>
      <c r="AB37" s="12"/>
      <c r="AC37" s="4"/>
      <c r="AD37" s="4"/>
      <c r="AE37" s="4">
        <v>-2.2000000000000002</v>
      </c>
      <c r="AF37" s="8">
        <v>0</v>
      </c>
      <c r="AG37" s="4">
        <v>0</v>
      </c>
      <c r="AH37" s="4">
        <v>0</v>
      </c>
      <c r="AJ37" s="4" t="str">
        <f t="shared" si="26"/>
        <v>-2.2 to -2.4</v>
      </c>
      <c r="AK37" s="11">
        <f t="shared" si="27"/>
        <v>0</v>
      </c>
      <c r="AL37" s="9">
        <f t="shared" si="28"/>
        <v>0</v>
      </c>
      <c r="AM37" s="4">
        <f t="shared" si="29"/>
        <v>0</v>
      </c>
      <c r="AN37" s="13">
        <f t="shared" ca="1" si="24"/>
        <v>0</v>
      </c>
      <c r="AO37" s="4">
        <v>-2.2000000000000002</v>
      </c>
      <c r="AP37" s="8">
        <v>0</v>
      </c>
      <c r="AQ37" s="4">
        <v>0</v>
      </c>
      <c r="AR37" s="4">
        <v>0</v>
      </c>
      <c r="AT37" s="4" t="str">
        <f t="shared" si="30"/>
        <v>-2.2 to -2.4</v>
      </c>
      <c r="AU37" s="11">
        <f t="shared" si="31"/>
        <v>0</v>
      </c>
      <c r="AV37" s="9">
        <f t="shared" si="32"/>
        <v>0</v>
      </c>
      <c r="AW37" s="4">
        <f t="shared" si="33"/>
        <v>0</v>
      </c>
      <c r="AX37" s="13">
        <f t="shared" ca="1" si="25"/>
        <v>0</v>
      </c>
      <c r="AY37" s="4">
        <v>-2.2000000000000002</v>
      </c>
      <c r="AZ37" s="8">
        <v>0</v>
      </c>
      <c r="BA37" s="4">
        <v>0</v>
      </c>
      <c r="BB37" s="4">
        <v>0</v>
      </c>
      <c r="BD37" s="4" t="str">
        <f t="shared" si="34"/>
        <v>-2.2 to -2.4</v>
      </c>
      <c r="BE37" s="11">
        <f t="shared" si="35"/>
        <v>0</v>
      </c>
      <c r="BF37" s="9">
        <f t="shared" si="36"/>
        <v>0</v>
      </c>
      <c r="BG37" s="4">
        <f t="shared" si="37"/>
        <v>0</v>
      </c>
      <c r="BH37" s="13">
        <f t="shared" ca="1" si="38"/>
        <v>0</v>
      </c>
      <c r="BI37" s="4">
        <v>-2.2000000000000002</v>
      </c>
      <c r="BJ37" s="1">
        <v>0</v>
      </c>
      <c r="BK37" s="1">
        <v>0</v>
      </c>
      <c r="BL37" s="1">
        <v>0</v>
      </c>
      <c r="BN37" s="4" t="str">
        <f t="shared" si="39"/>
        <v>-2.2 to -2.4</v>
      </c>
      <c r="BO37" s="11">
        <f t="shared" si="40"/>
        <v>0</v>
      </c>
      <c r="BP37" s="9">
        <f t="shared" si="41"/>
        <v>0</v>
      </c>
      <c r="BQ37" s="4">
        <f t="shared" si="42"/>
        <v>0</v>
      </c>
      <c r="BR37" s="13">
        <f t="shared" ca="1" si="43"/>
        <v>0</v>
      </c>
      <c r="BS37" s="4">
        <v>-2.2000000000000002</v>
      </c>
      <c r="BT37" s="1">
        <v>0</v>
      </c>
      <c r="BU37" s="1">
        <v>0</v>
      </c>
      <c r="BV37" s="1">
        <v>0</v>
      </c>
      <c r="BX37" s="4" t="str">
        <f t="shared" si="44"/>
        <v>-2.2 to -2.4</v>
      </c>
      <c r="BY37" s="11">
        <f t="shared" si="45"/>
        <v>0</v>
      </c>
      <c r="BZ37" s="9">
        <f t="shared" si="46"/>
        <v>0</v>
      </c>
      <c r="CA37" s="4">
        <f t="shared" si="47"/>
        <v>0</v>
      </c>
      <c r="CB37" s="13">
        <f t="shared" ca="1" si="48"/>
        <v>0</v>
      </c>
      <c r="CC37" s="4">
        <v>-2.2000000000000002</v>
      </c>
      <c r="CD37" s="1">
        <v>0</v>
      </c>
      <c r="CE37" s="1">
        <v>0</v>
      </c>
      <c r="CF37" s="1">
        <v>0</v>
      </c>
      <c r="CH37" s="4" t="str">
        <f t="shared" si="49"/>
        <v>-2.2 to -2.4</v>
      </c>
      <c r="CI37" s="11">
        <f t="shared" si="50"/>
        <v>0</v>
      </c>
      <c r="CJ37" s="9">
        <f t="shared" si="51"/>
        <v>0</v>
      </c>
      <c r="CK37" s="4">
        <f t="shared" si="52"/>
        <v>0</v>
      </c>
      <c r="CL37" s="13">
        <f t="shared" ca="1" si="53"/>
        <v>0</v>
      </c>
      <c r="CM37" s="4">
        <v>-2.2000000000000002</v>
      </c>
      <c r="CN37" s="1">
        <v>0</v>
      </c>
      <c r="CO37" s="1">
        <v>0</v>
      </c>
      <c r="CP37" s="1">
        <v>0</v>
      </c>
      <c r="CR37" s="4" t="str">
        <f t="shared" si="54"/>
        <v>-2.2 to -2.4</v>
      </c>
      <c r="CS37" s="11">
        <f t="shared" si="55"/>
        <v>0</v>
      </c>
      <c r="CT37" s="9">
        <f t="shared" si="56"/>
        <v>0</v>
      </c>
      <c r="CU37" s="4">
        <f t="shared" si="57"/>
        <v>0</v>
      </c>
      <c r="CV37" s="13">
        <f t="shared" ca="1" si="58"/>
        <v>0</v>
      </c>
      <c r="CW37" s="4">
        <v>-2.2000000000000002</v>
      </c>
      <c r="CX37" s="1">
        <v>0</v>
      </c>
      <c r="CY37" s="1">
        <v>0</v>
      </c>
      <c r="CZ37" s="1">
        <v>0</v>
      </c>
      <c r="DB37" s="4" t="str">
        <f t="shared" si="59"/>
        <v>-2.2 to -2.4</v>
      </c>
      <c r="DC37" s="11">
        <f t="shared" si="60"/>
        <v>0</v>
      </c>
      <c r="DD37" s="9">
        <f t="shared" si="61"/>
        <v>0</v>
      </c>
      <c r="DE37" s="4">
        <f t="shared" si="62"/>
        <v>0</v>
      </c>
      <c r="DF37" s="13">
        <f t="shared" ca="1" si="63"/>
        <v>0</v>
      </c>
    </row>
    <row r="38" spans="1:110" x14ac:dyDescent="0.25">
      <c r="A38" s="1">
        <v>37</v>
      </c>
      <c r="B38" s="4">
        <v>7400</v>
      </c>
      <c r="C38" s="4">
        <v>7</v>
      </c>
      <c r="D38" s="4">
        <v>7.1</v>
      </c>
      <c r="E38" s="4">
        <f t="shared" si="15"/>
        <v>9.9999999999999645E-2</v>
      </c>
      <c r="F38" s="4">
        <v>0</v>
      </c>
      <c r="G38" s="4">
        <v>-0.69</v>
      </c>
      <c r="H38" s="4">
        <v>79</v>
      </c>
      <c r="I38" s="4"/>
      <c r="J38" s="4">
        <v>49</v>
      </c>
      <c r="K38"/>
      <c r="L38"/>
      <c r="M38" s="4">
        <f t="shared" si="16"/>
        <v>7.1</v>
      </c>
      <c r="N38" s="4"/>
      <c r="O38" s="1">
        <f t="shared" si="17"/>
        <v>7</v>
      </c>
      <c r="P38" s="1">
        <f t="shared" si="18"/>
        <v>0</v>
      </c>
      <c r="Q38" s="1" t="str">
        <f t="shared" si="3"/>
        <v/>
      </c>
      <c r="R38" s="1" t="str">
        <f t="shared" si="19"/>
        <v/>
      </c>
      <c r="S38" s="1">
        <f t="shared" si="20"/>
        <v>468.64800000000008</v>
      </c>
      <c r="T38" s="1">
        <f t="shared" si="21"/>
        <v>-0.69</v>
      </c>
      <c r="U38" s="1">
        <f t="shared" si="22"/>
        <v>527.99999999999818</v>
      </c>
      <c r="V38" s="1">
        <f t="shared" si="23"/>
        <v>364.31999999999874</v>
      </c>
      <c r="X38" s="10"/>
      <c r="Y38" s="4"/>
      <c r="Z38" s="4"/>
      <c r="AA38" s="12"/>
      <c r="AB38" s="12"/>
      <c r="AC38" s="4"/>
      <c r="AD38" s="4"/>
      <c r="AE38" s="4">
        <v>-2</v>
      </c>
      <c r="AF38" s="8">
        <v>0</v>
      </c>
      <c r="AG38" s="4">
        <v>0</v>
      </c>
      <c r="AH38" s="4">
        <v>0</v>
      </c>
      <c r="AJ38" s="4" t="str">
        <f t="shared" si="26"/>
        <v>-2 to -2.2</v>
      </c>
      <c r="AK38" s="11">
        <f t="shared" si="27"/>
        <v>0</v>
      </c>
      <c r="AL38" s="9">
        <f t="shared" si="28"/>
        <v>0</v>
      </c>
      <c r="AM38" s="4">
        <f t="shared" si="29"/>
        <v>0</v>
      </c>
      <c r="AN38" s="13">
        <f t="shared" ca="1" si="24"/>
        <v>0</v>
      </c>
      <c r="AO38" s="4">
        <v>-2</v>
      </c>
      <c r="AP38" s="8">
        <v>0</v>
      </c>
      <c r="AQ38" s="4">
        <v>0</v>
      </c>
      <c r="AR38" s="4">
        <v>0</v>
      </c>
      <c r="AT38" s="4" t="str">
        <f t="shared" si="30"/>
        <v>-2 to -2.2</v>
      </c>
      <c r="AU38" s="11">
        <f t="shared" si="31"/>
        <v>0</v>
      </c>
      <c r="AV38" s="9">
        <f t="shared" si="32"/>
        <v>0</v>
      </c>
      <c r="AW38" s="4">
        <f t="shared" si="33"/>
        <v>0</v>
      </c>
      <c r="AX38" s="13">
        <f t="shared" ca="1" si="25"/>
        <v>0</v>
      </c>
      <c r="AY38" s="4">
        <v>-2</v>
      </c>
      <c r="AZ38" s="8">
        <v>0</v>
      </c>
      <c r="BA38" s="4">
        <v>0</v>
      </c>
      <c r="BB38" s="4">
        <v>0</v>
      </c>
      <c r="BD38" s="4" t="str">
        <f t="shared" si="34"/>
        <v>-2 to -2.2</v>
      </c>
      <c r="BE38" s="11">
        <f t="shared" si="35"/>
        <v>0</v>
      </c>
      <c r="BF38" s="9">
        <f t="shared" si="36"/>
        <v>0</v>
      </c>
      <c r="BG38" s="4">
        <f t="shared" si="37"/>
        <v>0</v>
      </c>
      <c r="BH38" s="13">
        <f t="shared" ca="1" si="38"/>
        <v>0</v>
      </c>
      <c r="BI38" s="4">
        <v>-2</v>
      </c>
      <c r="BJ38" s="1">
        <v>0</v>
      </c>
      <c r="BK38" s="1">
        <v>0</v>
      </c>
      <c r="BL38" s="1">
        <v>0</v>
      </c>
      <c r="BN38" s="4" t="str">
        <f t="shared" si="39"/>
        <v>-2 to -2.2</v>
      </c>
      <c r="BO38" s="11">
        <f t="shared" si="40"/>
        <v>0</v>
      </c>
      <c r="BP38" s="9">
        <f t="shared" si="41"/>
        <v>0</v>
      </c>
      <c r="BQ38" s="4">
        <f t="shared" si="42"/>
        <v>0</v>
      </c>
      <c r="BR38" s="13">
        <f t="shared" ca="1" si="43"/>
        <v>0</v>
      </c>
      <c r="BS38" s="4">
        <v>-2</v>
      </c>
      <c r="BT38" s="1">
        <v>0</v>
      </c>
      <c r="BU38" s="1">
        <v>0</v>
      </c>
      <c r="BV38" s="1">
        <v>0</v>
      </c>
      <c r="BX38" s="4" t="str">
        <f t="shared" si="44"/>
        <v>-2 to -2.2</v>
      </c>
      <c r="BY38" s="11">
        <f t="shared" si="45"/>
        <v>0</v>
      </c>
      <c r="BZ38" s="9">
        <f t="shared" si="46"/>
        <v>0</v>
      </c>
      <c r="CA38" s="4">
        <f t="shared" si="47"/>
        <v>0</v>
      </c>
      <c r="CB38" s="13">
        <f t="shared" ca="1" si="48"/>
        <v>0</v>
      </c>
      <c r="CC38" s="4">
        <v>-2</v>
      </c>
      <c r="CD38" s="1">
        <v>0</v>
      </c>
      <c r="CE38" s="1">
        <v>0</v>
      </c>
      <c r="CF38" s="1">
        <v>0</v>
      </c>
      <c r="CH38" s="4" t="str">
        <f t="shared" si="49"/>
        <v>-2 to -2.2</v>
      </c>
      <c r="CI38" s="11">
        <f t="shared" si="50"/>
        <v>0</v>
      </c>
      <c r="CJ38" s="9">
        <f t="shared" si="51"/>
        <v>0</v>
      </c>
      <c r="CK38" s="4">
        <f t="shared" si="52"/>
        <v>0</v>
      </c>
      <c r="CL38" s="13">
        <f t="shared" ca="1" si="53"/>
        <v>0</v>
      </c>
      <c r="CM38" s="4">
        <v>-2</v>
      </c>
      <c r="CN38" s="1">
        <v>0</v>
      </c>
      <c r="CO38" s="1">
        <v>0</v>
      </c>
      <c r="CP38" s="1">
        <v>0</v>
      </c>
      <c r="CR38" s="4" t="str">
        <f t="shared" si="54"/>
        <v>-2 to -2.2</v>
      </c>
      <c r="CS38" s="11">
        <f t="shared" si="55"/>
        <v>0</v>
      </c>
      <c r="CT38" s="9">
        <f t="shared" si="56"/>
        <v>0</v>
      </c>
      <c r="CU38" s="4">
        <f t="shared" si="57"/>
        <v>0</v>
      </c>
      <c r="CV38" s="13">
        <f t="shared" ca="1" si="58"/>
        <v>0</v>
      </c>
      <c r="CW38" s="4">
        <v>-2</v>
      </c>
      <c r="CX38" s="1">
        <v>0</v>
      </c>
      <c r="CY38" s="1">
        <v>0</v>
      </c>
      <c r="CZ38" s="1">
        <v>0</v>
      </c>
      <c r="DB38" s="4" t="str">
        <f t="shared" si="59"/>
        <v>-2 to -2.2</v>
      </c>
      <c r="DC38" s="11">
        <f t="shared" si="60"/>
        <v>0</v>
      </c>
      <c r="DD38" s="9">
        <f t="shared" si="61"/>
        <v>0</v>
      </c>
      <c r="DE38" s="4">
        <f t="shared" si="62"/>
        <v>0</v>
      </c>
      <c r="DF38" s="13">
        <f t="shared" ca="1" si="63"/>
        <v>0</v>
      </c>
    </row>
    <row r="39" spans="1:110" x14ac:dyDescent="0.25">
      <c r="A39" s="1">
        <v>38</v>
      </c>
      <c r="B39" s="4">
        <v>7400</v>
      </c>
      <c r="C39" s="4">
        <v>7.1</v>
      </c>
      <c r="D39" s="4">
        <v>7.3</v>
      </c>
      <c r="E39" s="4">
        <f t="shared" si="15"/>
        <v>0.20000000000000018</v>
      </c>
      <c r="F39" s="4">
        <v>0</v>
      </c>
      <c r="G39" s="4">
        <v>0.21</v>
      </c>
      <c r="H39" s="4">
        <v>79</v>
      </c>
      <c r="I39" s="4"/>
      <c r="J39" s="4">
        <v>49</v>
      </c>
      <c r="K39"/>
      <c r="L39"/>
      <c r="M39" s="4">
        <f t="shared" si="16"/>
        <v>7.3</v>
      </c>
      <c r="N39" s="4"/>
      <c r="O39" s="1">
        <f t="shared" si="17"/>
        <v>7.1</v>
      </c>
      <c r="P39" s="1">
        <f t="shared" si="18"/>
        <v>0</v>
      </c>
      <c r="Q39" s="1" t="str">
        <f t="shared" si="3"/>
        <v/>
      </c>
      <c r="R39" s="1" t="str">
        <f t="shared" si="19"/>
        <v/>
      </c>
      <c r="S39" s="1">
        <f t="shared" si="20"/>
        <v>465.0048000000001</v>
      </c>
      <c r="T39" s="1">
        <f t="shared" si="21"/>
        <v>0.21</v>
      </c>
      <c r="U39" s="1">
        <f t="shared" si="22"/>
        <v>1056.0000000000009</v>
      </c>
      <c r="V39" s="1">
        <f t="shared" si="23"/>
        <v>221.76000000000019</v>
      </c>
      <c r="X39" s="10"/>
      <c r="Y39" s="4"/>
      <c r="Z39" s="4"/>
      <c r="AA39" s="12"/>
      <c r="AB39" s="12"/>
      <c r="AC39" s="4"/>
      <c r="AD39" s="4"/>
      <c r="AE39" s="4">
        <v>-1.8</v>
      </c>
      <c r="AF39" s="8">
        <v>0</v>
      </c>
      <c r="AG39" s="4">
        <v>0</v>
      </c>
      <c r="AH39" s="4">
        <v>0</v>
      </c>
      <c r="AJ39" s="4" t="str">
        <f t="shared" si="26"/>
        <v>-1.8 to -2</v>
      </c>
      <c r="AK39" s="11">
        <f t="shared" si="27"/>
        <v>0</v>
      </c>
      <c r="AL39" s="9">
        <f t="shared" si="28"/>
        <v>0</v>
      </c>
      <c r="AM39" s="4">
        <f t="shared" si="29"/>
        <v>0</v>
      </c>
      <c r="AN39" s="13">
        <f t="shared" ca="1" si="24"/>
        <v>0</v>
      </c>
      <c r="AO39" s="4">
        <v>-1.8</v>
      </c>
      <c r="AP39" s="8">
        <v>0</v>
      </c>
      <c r="AQ39" s="4">
        <v>0</v>
      </c>
      <c r="AR39" s="4">
        <v>0</v>
      </c>
      <c r="AT39" s="4" t="str">
        <f t="shared" si="30"/>
        <v>-1.8 to -2</v>
      </c>
      <c r="AU39" s="11">
        <f t="shared" si="31"/>
        <v>0</v>
      </c>
      <c r="AV39" s="9">
        <f t="shared" si="32"/>
        <v>0</v>
      </c>
      <c r="AW39" s="4">
        <f t="shared" si="33"/>
        <v>0</v>
      </c>
      <c r="AX39" s="13">
        <f t="shared" ca="1" si="25"/>
        <v>0</v>
      </c>
      <c r="AY39" s="4">
        <v>-1.8</v>
      </c>
      <c r="AZ39" s="8">
        <v>0</v>
      </c>
      <c r="BA39" s="4">
        <v>0</v>
      </c>
      <c r="BB39" s="4">
        <v>0</v>
      </c>
      <c r="BD39" s="4" t="str">
        <f t="shared" si="34"/>
        <v>-1.8 to -2</v>
      </c>
      <c r="BE39" s="11">
        <f t="shared" si="35"/>
        <v>0</v>
      </c>
      <c r="BF39" s="9">
        <f t="shared" si="36"/>
        <v>0</v>
      </c>
      <c r="BG39" s="4">
        <f t="shared" si="37"/>
        <v>0</v>
      </c>
      <c r="BH39" s="13">
        <f t="shared" ca="1" si="38"/>
        <v>0</v>
      </c>
      <c r="BI39" s="4">
        <v>-1.8</v>
      </c>
      <c r="BJ39" s="1">
        <v>0</v>
      </c>
      <c r="BK39" s="1">
        <v>0</v>
      </c>
      <c r="BL39" s="1">
        <v>0</v>
      </c>
      <c r="BN39" s="4" t="str">
        <f t="shared" si="39"/>
        <v>-1.8 to -2</v>
      </c>
      <c r="BO39" s="11">
        <f t="shared" si="40"/>
        <v>0</v>
      </c>
      <c r="BP39" s="9">
        <f t="shared" si="41"/>
        <v>0</v>
      </c>
      <c r="BQ39" s="4">
        <f t="shared" si="42"/>
        <v>0</v>
      </c>
      <c r="BR39" s="13">
        <f t="shared" ca="1" si="43"/>
        <v>0</v>
      </c>
      <c r="BS39" s="4">
        <v>-1.8</v>
      </c>
      <c r="BT39" s="1">
        <v>0</v>
      </c>
      <c r="BU39" s="1">
        <v>0</v>
      </c>
      <c r="BV39" s="1">
        <v>0</v>
      </c>
      <c r="BX39" s="4" t="str">
        <f t="shared" si="44"/>
        <v>-1.8 to -2</v>
      </c>
      <c r="BY39" s="11">
        <f t="shared" si="45"/>
        <v>0</v>
      </c>
      <c r="BZ39" s="9">
        <f t="shared" si="46"/>
        <v>0</v>
      </c>
      <c r="CA39" s="4">
        <f t="shared" si="47"/>
        <v>0</v>
      </c>
      <c r="CB39" s="13">
        <f t="shared" ca="1" si="48"/>
        <v>0</v>
      </c>
      <c r="CC39" s="4">
        <v>-1.8</v>
      </c>
      <c r="CD39" s="1">
        <v>0</v>
      </c>
      <c r="CE39" s="1">
        <v>0</v>
      </c>
      <c r="CF39" s="1">
        <v>0</v>
      </c>
      <c r="CH39" s="4" t="str">
        <f t="shared" si="49"/>
        <v>-1.8 to -2</v>
      </c>
      <c r="CI39" s="11">
        <f t="shared" si="50"/>
        <v>0</v>
      </c>
      <c r="CJ39" s="9">
        <f t="shared" si="51"/>
        <v>0</v>
      </c>
      <c r="CK39" s="4">
        <f t="shared" si="52"/>
        <v>0</v>
      </c>
      <c r="CL39" s="13">
        <f t="shared" ca="1" si="53"/>
        <v>0</v>
      </c>
      <c r="CM39" s="4">
        <v>-1.8</v>
      </c>
      <c r="CN39" s="1">
        <v>0</v>
      </c>
      <c r="CO39" s="1">
        <v>0</v>
      </c>
      <c r="CP39" s="1">
        <v>0</v>
      </c>
      <c r="CR39" s="4" t="str">
        <f t="shared" si="54"/>
        <v>-1.8 to -2</v>
      </c>
      <c r="CS39" s="11">
        <f t="shared" si="55"/>
        <v>0</v>
      </c>
      <c r="CT39" s="9">
        <f t="shared" si="56"/>
        <v>0</v>
      </c>
      <c r="CU39" s="4">
        <f t="shared" si="57"/>
        <v>0</v>
      </c>
      <c r="CV39" s="13">
        <f t="shared" ca="1" si="58"/>
        <v>0</v>
      </c>
      <c r="CW39" s="4">
        <v>-1.8</v>
      </c>
      <c r="CX39" s="1">
        <v>0</v>
      </c>
      <c r="CY39" s="1">
        <v>0</v>
      </c>
      <c r="CZ39" s="1">
        <v>0</v>
      </c>
      <c r="DB39" s="4" t="str">
        <f t="shared" si="59"/>
        <v>-1.8 to -2</v>
      </c>
      <c r="DC39" s="11">
        <f t="shared" si="60"/>
        <v>0</v>
      </c>
      <c r="DD39" s="9">
        <f t="shared" si="61"/>
        <v>0</v>
      </c>
      <c r="DE39" s="4">
        <f t="shared" si="62"/>
        <v>0</v>
      </c>
      <c r="DF39" s="13">
        <f t="shared" ca="1" si="63"/>
        <v>0</v>
      </c>
    </row>
    <row r="40" spans="1:110" x14ac:dyDescent="0.25">
      <c r="A40" s="1">
        <v>39</v>
      </c>
      <c r="B40" s="4">
        <v>7400</v>
      </c>
      <c r="C40" s="4">
        <v>7.3</v>
      </c>
      <c r="D40" s="4">
        <v>7.5</v>
      </c>
      <c r="E40" s="4">
        <f t="shared" si="15"/>
        <v>0.20000000000000018</v>
      </c>
      <c r="F40" s="4">
        <v>0</v>
      </c>
      <c r="G40" s="4">
        <v>0.1</v>
      </c>
      <c r="H40" s="4">
        <v>79</v>
      </c>
      <c r="I40" s="4"/>
      <c r="J40" s="4">
        <v>49</v>
      </c>
      <c r="K40"/>
      <c r="L40"/>
      <c r="M40" s="4">
        <f t="shared" si="16"/>
        <v>7.5</v>
      </c>
      <c r="N40" s="4"/>
      <c r="O40" s="1">
        <f t="shared" si="17"/>
        <v>7.3</v>
      </c>
      <c r="P40" s="1">
        <f t="shared" si="18"/>
        <v>0</v>
      </c>
      <c r="Q40" s="1" t="str">
        <f t="shared" si="3"/>
        <v/>
      </c>
      <c r="R40" s="1" t="str">
        <f t="shared" si="19"/>
        <v/>
      </c>
      <c r="S40" s="1">
        <f t="shared" si="20"/>
        <v>467.22240000000011</v>
      </c>
      <c r="T40" s="1">
        <f t="shared" si="21"/>
        <v>0.1</v>
      </c>
      <c r="U40" s="1">
        <f t="shared" si="22"/>
        <v>1056.0000000000009</v>
      </c>
      <c r="V40" s="1">
        <f t="shared" si="23"/>
        <v>105.60000000000009</v>
      </c>
      <c r="X40" s="10"/>
      <c r="Y40" s="4"/>
      <c r="Z40" s="4"/>
      <c r="AA40" s="12"/>
      <c r="AB40" s="12"/>
      <c r="AC40" s="4"/>
      <c r="AD40" s="4"/>
      <c r="AE40" s="4">
        <v>-1.6</v>
      </c>
      <c r="AF40" s="8">
        <v>0</v>
      </c>
      <c r="AG40" s="4">
        <v>0</v>
      </c>
      <c r="AH40" s="4">
        <v>0</v>
      </c>
      <c r="AJ40" s="4" t="str">
        <f t="shared" si="26"/>
        <v>-1.6 to -1.8</v>
      </c>
      <c r="AK40" s="11">
        <f t="shared" si="27"/>
        <v>0</v>
      </c>
      <c r="AL40" s="9">
        <f t="shared" si="28"/>
        <v>0</v>
      </c>
      <c r="AM40" s="4">
        <f t="shared" si="29"/>
        <v>0</v>
      </c>
      <c r="AN40" s="13">
        <f t="shared" ca="1" si="24"/>
        <v>0</v>
      </c>
      <c r="AO40" s="4">
        <v>-1.6</v>
      </c>
      <c r="AP40" s="8">
        <v>0</v>
      </c>
      <c r="AQ40" s="4">
        <v>0</v>
      </c>
      <c r="AR40" s="4">
        <v>0</v>
      </c>
      <c r="AT40" s="4" t="str">
        <f t="shared" si="30"/>
        <v>-1.6 to -1.8</v>
      </c>
      <c r="AU40" s="11">
        <f t="shared" si="31"/>
        <v>0</v>
      </c>
      <c r="AV40" s="9">
        <f t="shared" si="32"/>
        <v>0</v>
      </c>
      <c r="AW40" s="4">
        <f t="shared" si="33"/>
        <v>0</v>
      </c>
      <c r="AX40" s="13">
        <f t="shared" ca="1" si="25"/>
        <v>0</v>
      </c>
      <c r="AY40" s="4">
        <v>-1.6</v>
      </c>
      <c r="AZ40" s="8">
        <v>0</v>
      </c>
      <c r="BA40" s="4">
        <v>0</v>
      </c>
      <c r="BB40" s="4">
        <v>0</v>
      </c>
      <c r="BD40" s="4" t="str">
        <f t="shared" si="34"/>
        <v>-1.6 to -1.8</v>
      </c>
      <c r="BE40" s="11">
        <f t="shared" si="35"/>
        <v>0</v>
      </c>
      <c r="BF40" s="9">
        <f t="shared" si="36"/>
        <v>0</v>
      </c>
      <c r="BG40" s="4">
        <f t="shared" si="37"/>
        <v>0</v>
      </c>
      <c r="BH40" s="13">
        <f t="shared" ca="1" si="38"/>
        <v>0</v>
      </c>
      <c r="BI40" s="4">
        <v>-1.6</v>
      </c>
      <c r="BJ40" s="1">
        <v>0</v>
      </c>
      <c r="BK40" s="1">
        <v>0</v>
      </c>
      <c r="BL40" s="1">
        <v>0</v>
      </c>
      <c r="BN40" s="4" t="str">
        <f t="shared" si="39"/>
        <v>-1.6 to -1.8</v>
      </c>
      <c r="BO40" s="11">
        <f t="shared" si="40"/>
        <v>0</v>
      </c>
      <c r="BP40" s="9">
        <f t="shared" si="41"/>
        <v>0</v>
      </c>
      <c r="BQ40" s="4">
        <f t="shared" si="42"/>
        <v>0</v>
      </c>
      <c r="BR40" s="13">
        <f t="shared" ca="1" si="43"/>
        <v>0</v>
      </c>
      <c r="BS40" s="4">
        <v>-1.6</v>
      </c>
      <c r="BT40" s="1">
        <v>0</v>
      </c>
      <c r="BU40" s="1">
        <v>0</v>
      </c>
      <c r="BV40" s="1">
        <v>0</v>
      </c>
      <c r="BX40" s="4" t="str">
        <f t="shared" si="44"/>
        <v>-1.6 to -1.8</v>
      </c>
      <c r="BY40" s="11">
        <f t="shared" si="45"/>
        <v>0</v>
      </c>
      <c r="BZ40" s="9">
        <f t="shared" si="46"/>
        <v>0</v>
      </c>
      <c r="CA40" s="4">
        <f t="shared" si="47"/>
        <v>0</v>
      </c>
      <c r="CB40" s="13">
        <f t="shared" ca="1" si="48"/>
        <v>0</v>
      </c>
      <c r="CC40" s="4">
        <v>-1.6</v>
      </c>
      <c r="CD40" s="1">
        <v>0</v>
      </c>
      <c r="CE40" s="1">
        <v>0</v>
      </c>
      <c r="CF40" s="1">
        <v>0</v>
      </c>
      <c r="CH40" s="4" t="str">
        <f t="shared" si="49"/>
        <v>-1.6 to -1.8</v>
      </c>
      <c r="CI40" s="11">
        <f t="shared" si="50"/>
        <v>0</v>
      </c>
      <c r="CJ40" s="9">
        <f t="shared" si="51"/>
        <v>0</v>
      </c>
      <c r="CK40" s="4">
        <f t="shared" si="52"/>
        <v>0</v>
      </c>
      <c r="CL40" s="13">
        <f t="shared" ca="1" si="53"/>
        <v>0</v>
      </c>
      <c r="CM40" s="4">
        <v>-1.6</v>
      </c>
      <c r="CN40" s="1">
        <v>0</v>
      </c>
      <c r="CO40" s="1">
        <v>0</v>
      </c>
      <c r="CP40" s="1">
        <v>0</v>
      </c>
      <c r="CR40" s="4" t="str">
        <f t="shared" si="54"/>
        <v>-1.6 to -1.8</v>
      </c>
      <c r="CS40" s="11">
        <f t="shared" si="55"/>
        <v>0</v>
      </c>
      <c r="CT40" s="9">
        <f t="shared" si="56"/>
        <v>0</v>
      </c>
      <c r="CU40" s="4">
        <f t="shared" si="57"/>
        <v>0</v>
      </c>
      <c r="CV40" s="13">
        <f t="shared" ca="1" si="58"/>
        <v>0</v>
      </c>
      <c r="CW40" s="4">
        <v>-1.6</v>
      </c>
      <c r="CX40" s="1">
        <v>0</v>
      </c>
      <c r="CY40" s="1">
        <v>0</v>
      </c>
      <c r="CZ40" s="1">
        <v>0</v>
      </c>
      <c r="DB40" s="4" t="str">
        <f t="shared" si="59"/>
        <v>-1.6 to -1.8</v>
      </c>
      <c r="DC40" s="11">
        <f t="shared" si="60"/>
        <v>0</v>
      </c>
      <c r="DD40" s="9">
        <f t="shared" si="61"/>
        <v>0</v>
      </c>
      <c r="DE40" s="4">
        <f t="shared" si="62"/>
        <v>0</v>
      </c>
      <c r="DF40" s="13">
        <f t="shared" ca="1" si="63"/>
        <v>0</v>
      </c>
    </row>
    <row r="41" spans="1:110" x14ac:dyDescent="0.25">
      <c r="A41" s="1">
        <v>40</v>
      </c>
      <c r="B41" s="4">
        <v>7400</v>
      </c>
      <c r="C41" s="4">
        <v>7.5</v>
      </c>
      <c r="D41" s="4">
        <v>7.6</v>
      </c>
      <c r="E41" s="4">
        <f t="shared" si="15"/>
        <v>9.9999999999999645E-2</v>
      </c>
      <c r="F41" s="4">
        <v>0</v>
      </c>
      <c r="G41" s="4">
        <v>-0.45</v>
      </c>
      <c r="H41" s="4">
        <v>79</v>
      </c>
      <c r="I41" s="4"/>
      <c r="J41" s="4">
        <v>49</v>
      </c>
      <c r="K41"/>
      <c r="L41"/>
      <c r="M41" s="4">
        <f t="shared" si="16"/>
        <v>7.6</v>
      </c>
      <c r="N41" s="4"/>
      <c r="O41" s="1">
        <f t="shared" si="17"/>
        <v>7.5</v>
      </c>
      <c r="P41" s="1">
        <f t="shared" si="18"/>
        <v>0</v>
      </c>
      <c r="Q41" s="1" t="str">
        <f t="shared" si="3"/>
        <v/>
      </c>
      <c r="R41" s="1" t="str">
        <f t="shared" si="19"/>
        <v/>
      </c>
      <c r="S41" s="1">
        <f t="shared" si="20"/>
        <v>468.27840000000009</v>
      </c>
      <c r="T41" s="1">
        <f t="shared" si="21"/>
        <v>-0.45</v>
      </c>
      <c r="U41" s="1">
        <f t="shared" si="22"/>
        <v>527.99999999999818</v>
      </c>
      <c r="V41" s="1">
        <f t="shared" si="23"/>
        <v>237.5999999999992</v>
      </c>
      <c r="X41" s="10"/>
      <c r="Y41" s="4"/>
      <c r="Z41" s="4"/>
      <c r="AA41" s="12"/>
      <c r="AB41" s="12"/>
      <c r="AC41" s="4"/>
      <c r="AD41" s="4"/>
      <c r="AE41" s="4">
        <v>-1.4</v>
      </c>
      <c r="AF41" s="8">
        <v>0</v>
      </c>
      <c r="AG41" s="4">
        <v>0</v>
      </c>
      <c r="AH41" s="4">
        <v>0</v>
      </c>
      <c r="AJ41" s="4" t="str">
        <f t="shared" si="26"/>
        <v>-1.4 to -1.6</v>
      </c>
      <c r="AK41" s="11">
        <f t="shared" si="27"/>
        <v>0</v>
      </c>
      <c r="AL41" s="9">
        <f t="shared" si="28"/>
        <v>0</v>
      </c>
      <c r="AM41" s="4">
        <f t="shared" si="29"/>
        <v>0</v>
      </c>
      <c r="AN41" s="13">
        <f t="shared" ca="1" si="24"/>
        <v>0</v>
      </c>
      <c r="AO41" s="4">
        <v>-1.4</v>
      </c>
      <c r="AP41" s="8">
        <v>0</v>
      </c>
      <c r="AQ41" s="4">
        <v>0</v>
      </c>
      <c r="AR41" s="4">
        <v>0</v>
      </c>
      <c r="AT41" s="4" t="str">
        <f t="shared" si="30"/>
        <v>-1.4 to -1.6</v>
      </c>
      <c r="AU41" s="11">
        <f t="shared" si="31"/>
        <v>0</v>
      </c>
      <c r="AV41" s="9">
        <f t="shared" si="32"/>
        <v>0</v>
      </c>
      <c r="AW41" s="4">
        <f t="shared" si="33"/>
        <v>0</v>
      </c>
      <c r="AX41" s="13">
        <f t="shared" ca="1" si="25"/>
        <v>0</v>
      </c>
      <c r="AY41" s="4">
        <v>-1.4</v>
      </c>
      <c r="AZ41" s="8">
        <v>0</v>
      </c>
      <c r="BA41" s="4">
        <v>0</v>
      </c>
      <c r="BB41" s="4">
        <v>0</v>
      </c>
      <c r="BD41" s="4" t="str">
        <f t="shared" si="34"/>
        <v>-1.4 to -1.6</v>
      </c>
      <c r="BE41" s="11">
        <f t="shared" si="35"/>
        <v>0</v>
      </c>
      <c r="BF41" s="9">
        <f t="shared" si="36"/>
        <v>0</v>
      </c>
      <c r="BG41" s="4">
        <f t="shared" si="37"/>
        <v>0</v>
      </c>
      <c r="BH41" s="13">
        <f t="shared" ca="1" si="38"/>
        <v>0</v>
      </c>
      <c r="BI41" s="4">
        <v>-1.4</v>
      </c>
      <c r="BJ41" s="1">
        <v>0</v>
      </c>
      <c r="BK41" s="1">
        <v>0</v>
      </c>
      <c r="BL41" s="1">
        <v>0</v>
      </c>
      <c r="BN41" s="4" t="str">
        <f t="shared" si="39"/>
        <v>-1.4 to -1.6</v>
      </c>
      <c r="BO41" s="11">
        <f t="shared" si="40"/>
        <v>0</v>
      </c>
      <c r="BP41" s="9">
        <f t="shared" si="41"/>
        <v>0</v>
      </c>
      <c r="BQ41" s="4">
        <f t="shared" si="42"/>
        <v>0</v>
      </c>
      <c r="BR41" s="13">
        <f t="shared" ca="1" si="43"/>
        <v>0</v>
      </c>
      <c r="BS41" s="4">
        <v>-1.4</v>
      </c>
      <c r="BT41" s="1">
        <v>0</v>
      </c>
      <c r="BU41" s="1">
        <v>0</v>
      </c>
      <c r="BV41" s="1">
        <v>0</v>
      </c>
      <c r="BX41" s="4" t="str">
        <f t="shared" si="44"/>
        <v>-1.4 to -1.6</v>
      </c>
      <c r="BY41" s="11">
        <f t="shared" si="45"/>
        <v>0</v>
      </c>
      <c r="BZ41" s="9">
        <f t="shared" si="46"/>
        <v>0</v>
      </c>
      <c r="CA41" s="4">
        <f t="shared" si="47"/>
        <v>0</v>
      </c>
      <c r="CB41" s="13">
        <f t="shared" ca="1" si="48"/>
        <v>0</v>
      </c>
      <c r="CC41" s="4">
        <v>-1.4</v>
      </c>
      <c r="CD41" s="1">
        <v>0</v>
      </c>
      <c r="CE41" s="1">
        <v>0</v>
      </c>
      <c r="CF41" s="1">
        <v>0</v>
      </c>
      <c r="CH41" s="4" t="str">
        <f t="shared" si="49"/>
        <v>-1.4 to -1.6</v>
      </c>
      <c r="CI41" s="11">
        <f t="shared" si="50"/>
        <v>0</v>
      </c>
      <c r="CJ41" s="9">
        <f t="shared" si="51"/>
        <v>0</v>
      </c>
      <c r="CK41" s="4">
        <f t="shared" si="52"/>
        <v>0</v>
      </c>
      <c r="CL41" s="13">
        <f t="shared" ca="1" si="53"/>
        <v>0</v>
      </c>
      <c r="CM41" s="4">
        <v>-1.4</v>
      </c>
      <c r="CN41" s="1">
        <v>0</v>
      </c>
      <c r="CO41" s="1">
        <v>0</v>
      </c>
      <c r="CP41" s="1">
        <v>0</v>
      </c>
      <c r="CR41" s="4" t="str">
        <f t="shared" si="54"/>
        <v>-1.4 to -1.6</v>
      </c>
      <c r="CS41" s="11">
        <f t="shared" si="55"/>
        <v>0</v>
      </c>
      <c r="CT41" s="9">
        <f t="shared" si="56"/>
        <v>0</v>
      </c>
      <c r="CU41" s="4">
        <f t="shared" si="57"/>
        <v>0</v>
      </c>
      <c r="CV41" s="13">
        <f t="shared" ca="1" si="58"/>
        <v>0</v>
      </c>
      <c r="CW41" s="4">
        <v>-1.4</v>
      </c>
      <c r="CX41" s="1">
        <v>0</v>
      </c>
      <c r="CY41" s="1">
        <v>0</v>
      </c>
      <c r="CZ41" s="1">
        <v>0</v>
      </c>
      <c r="DB41" s="4" t="str">
        <f t="shared" si="59"/>
        <v>-1.4 to -1.6</v>
      </c>
      <c r="DC41" s="11">
        <f t="shared" si="60"/>
        <v>0</v>
      </c>
      <c r="DD41" s="9">
        <f t="shared" si="61"/>
        <v>0</v>
      </c>
      <c r="DE41" s="4">
        <f t="shared" si="62"/>
        <v>0</v>
      </c>
      <c r="DF41" s="13">
        <f t="shared" ca="1" si="63"/>
        <v>0</v>
      </c>
    </row>
    <row r="42" spans="1:110" x14ac:dyDescent="0.25">
      <c r="A42" s="1">
        <v>41</v>
      </c>
      <c r="B42" s="4">
        <v>7400</v>
      </c>
      <c r="C42" s="4">
        <v>7.6</v>
      </c>
      <c r="D42" s="4">
        <v>7.8</v>
      </c>
      <c r="E42" s="4">
        <f t="shared" si="15"/>
        <v>0.20000000000000018</v>
      </c>
      <c r="F42" s="4">
        <v>0</v>
      </c>
      <c r="G42" s="4">
        <v>0.17</v>
      </c>
      <c r="H42" s="4">
        <v>79</v>
      </c>
      <c r="I42" s="4"/>
      <c r="J42" s="4">
        <v>49</v>
      </c>
      <c r="K42"/>
      <c r="L42"/>
      <c r="M42" s="4">
        <f t="shared" si="16"/>
        <v>7.8</v>
      </c>
      <c r="N42" s="4"/>
      <c r="O42" s="1">
        <f t="shared" si="17"/>
        <v>7.6</v>
      </c>
      <c r="P42" s="1">
        <f t="shared" si="18"/>
        <v>0</v>
      </c>
      <c r="Q42" s="1" t="str">
        <f t="shared" si="3"/>
        <v/>
      </c>
      <c r="R42" s="1" t="str">
        <f t="shared" si="19"/>
        <v/>
      </c>
      <c r="S42" s="1">
        <f t="shared" si="20"/>
        <v>465.90240000000011</v>
      </c>
      <c r="T42" s="1">
        <f t="shared" si="21"/>
        <v>0.17</v>
      </c>
      <c r="U42" s="1">
        <f t="shared" si="22"/>
        <v>1056.0000000000009</v>
      </c>
      <c r="V42" s="1">
        <f t="shared" si="23"/>
        <v>179.52000000000018</v>
      </c>
      <c r="X42" s="10"/>
      <c r="Y42" s="4"/>
      <c r="Z42" s="4"/>
      <c r="AA42" s="12"/>
      <c r="AB42" s="12"/>
      <c r="AC42" s="4"/>
      <c r="AD42" s="4"/>
      <c r="AE42" s="4">
        <v>-1.2</v>
      </c>
      <c r="AF42" s="8">
        <v>0</v>
      </c>
      <c r="AG42" s="4">
        <v>0</v>
      </c>
      <c r="AH42" s="4">
        <v>0</v>
      </c>
      <c r="AJ42" s="4" t="str">
        <f t="shared" si="26"/>
        <v>-1.2 to -1.4</v>
      </c>
      <c r="AK42" s="11">
        <f t="shared" ref="AK42:AK46" si="64">IF(AM42=0,0,(AF42-AF41)/AM42)</f>
        <v>0</v>
      </c>
      <c r="AL42" s="9">
        <f t="shared" si="28"/>
        <v>0</v>
      </c>
      <c r="AM42" s="4">
        <f t="shared" ref="AM42:AM57" si="65">AG42-AG41</f>
        <v>0</v>
      </c>
      <c r="AN42" s="13">
        <f ca="1">(AM42*AK42)/5280/$AI$3</f>
        <v>0</v>
      </c>
      <c r="AO42" s="4">
        <v>-1.2</v>
      </c>
      <c r="AP42" s="8">
        <v>2112.0000000000018</v>
      </c>
      <c r="AQ42" s="4">
        <v>2</v>
      </c>
      <c r="AR42" s="4">
        <v>2777.2800000000016</v>
      </c>
      <c r="AT42" s="4" t="str">
        <f t="shared" si="30"/>
        <v>-1.2 to -1.4</v>
      </c>
      <c r="AU42" s="11">
        <f t="shared" ref="AU42:AU46" si="66">IF(AW42=0,0,(AP42-AP41)/AW42)</f>
        <v>1056.0000000000009</v>
      </c>
      <c r="AV42" s="9">
        <f t="shared" si="32"/>
        <v>-1.3149999999999995</v>
      </c>
      <c r="AW42" s="4">
        <f t="shared" ref="AW42:AW57" si="67">AQ42-AQ41</f>
        <v>2</v>
      </c>
      <c r="AX42" s="13">
        <f t="shared" ref="AX42:AX48" ca="1" si="68">(AW42*AU42)/5280/$AI$4</f>
        <v>9.900990099009908E-3</v>
      </c>
      <c r="AY42" s="4">
        <v>-1.2</v>
      </c>
      <c r="AZ42" s="8">
        <v>0</v>
      </c>
      <c r="BA42" s="4">
        <v>0</v>
      </c>
      <c r="BB42" s="4">
        <v>0</v>
      </c>
      <c r="BD42" s="4" t="str">
        <f t="shared" si="34"/>
        <v>-1.2 to -1.4</v>
      </c>
      <c r="BE42" s="11">
        <f t="shared" si="35"/>
        <v>0</v>
      </c>
      <c r="BF42" s="9">
        <f t="shared" si="36"/>
        <v>0</v>
      </c>
      <c r="BG42" s="4">
        <f t="shared" si="37"/>
        <v>0</v>
      </c>
      <c r="BH42" s="13">
        <f t="shared" ca="1" si="38"/>
        <v>0</v>
      </c>
      <c r="BI42" s="4">
        <v>-1.2</v>
      </c>
      <c r="BJ42" s="1">
        <v>0</v>
      </c>
      <c r="BK42" s="1">
        <v>0</v>
      </c>
      <c r="BL42" s="1">
        <v>0</v>
      </c>
      <c r="BN42" s="4" t="str">
        <f t="shared" si="39"/>
        <v>-1.2 to -1.4</v>
      </c>
      <c r="BO42" s="11">
        <f t="shared" si="40"/>
        <v>0</v>
      </c>
      <c r="BP42" s="9">
        <f t="shared" si="41"/>
        <v>0</v>
      </c>
      <c r="BQ42" s="4">
        <f t="shared" si="42"/>
        <v>0</v>
      </c>
      <c r="BR42" s="13">
        <f t="shared" ca="1" si="43"/>
        <v>0</v>
      </c>
      <c r="BS42" s="4">
        <v>-1.2</v>
      </c>
      <c r="BT42" s="1">
        <v>0</v>
      </c>
      <c r="BU42" s="1">
        <v>0</v>
      </c>
      <c r="BV42" s="1">
        <v>0</v>
      </c>
      <c r="BX42" s="4" t="str">
        <f t="shared" si="44"/>
        <v>-1.2 to -1.4</v>
      </c>
      <c r="BY42" s="11">
        <f t="shared" si="45"/>
        <v>0</v>
      </c>
      <c r="BZ42" s="9">
        <f t="shared" si="46"/>
        <v>0</v>
      </c>
      <c r="CA42" s="4">
        <f t="shared" si="47"/>
        <v>0</v>
      </c>
      <c r="CB42" s="13">
        <f t="shared" ca="1" si="48"/>
        <v>0</v>
      </c>
      <c r="CC42" s="4">
        <v>-1.2</v>
      </c>
      <c r="CD42" s="1">
        <v>0</v>
      </c>
      <c r="CE42" s="1">
        <v>0</v>
      </c>
      <c r="CF42" s="1">
        <v>0</v>
      </c>
      <c r="CH42" s="4" t="str">
        <f t="shared" si="49"/>
        <v>-1.2 to -1.4</v>
      </c>
      <c r="CI42" s="11">
        <f t="shared" si="50"/>
        <v>0</v>
      </c>
      <c r="CJ42" s="9">
        <f t="shared" si="51"/>
        <v>0</v>
      </c>
      <c r="CK42" s="4">
        <f t="shared" si="52"/>
        <v>0</v>
      </c>
      <c r="CL42" s="13">
        <f t="shared" ca="1" si="53"/>
        <v>0</v>
      </c>
      <c r="CM42" s="4">
        <v>-1.2</v>
      </c>
      <c r="CN42" s="1">
        <v>0</v>
      </c>
      <c r="CO42" s="1">
        <v>0</v>
      </c>
      <c r="CP42" s="1">
        <v>0</v>
      </c>
      <c r="CR42" s="4" t="str">
        <f t="shared" si="54"/>
        <v>-1.2 to -1.4</v>
      </c>
      <c r="CS42" s="11">
        <f t="shared" si="55"/>
        <v>0</v>
      </c>
      <c r="CT42" s="9">
        <f t="shared" si="56"/>
        <v>0</v>
      </c>
      <c r="CU42" s="4">
        <f t="shared" si="57"/>
        <v>0</v>
      </c>
      <c r="CV42" s="13">
        <f t="shared" ca="1" si="58"/>
        <v>0</v>
      </c>
      <c r="CW42" s="4">
        <v>-1.2</v>
      </c>
      <c r="CX42" s="1">
        <v>0</v>
      </c>
      <c r="CY42" s="1">
        <v>0</v>
      </c>
      <c r="CZ42" s="1">
        <v>0</v>
      </c>
      <c r="DB42" s="4" t="str">
        <f t="shared" si="59"/>
        <v>-1.2 to -1.4</v>
      </c>
      <c r="DC42" s="11">
        <f t="shared" si="60"/>
        <v>0</v>
      </c>
      <c r="DD42" s="9">
        <f t="shared" si="61"/>
        <v>0</v>
      </c>
      <c r="DE42" s="4">
        <f t="shared" si="62"/>
        <v>0</v>
      </c>
      <c r="DF42" s="13">
        <f t="shared" ca="1" si="63"/>
        <v>0</v>
      </c>
    </row>
    <row r="43" spans="1:110" x14ac:dyDescent="0.25">
      <c r="A43" s="1">
        <v>42</v>
      </c>
      <c r="B43" s="4">
        <v>7400</v>
      </c>
      <c r="C43" s="4">
        <v>7.8</v>
      </c>
      <c r="D43" s="4">
        <v>7.8999999999999995</v>
      </c>
      <c r="E43" s="4">
        <f t="shared" si="15"/>
        <v>9.9999999999999645E-2</v>
      </c>
      <c r="F43" s="4">
        <v>0</v>
      </c>
      <c r="G43" s="4">
        <v>0.09</v>
      </c>
      <c r="H43" s="4">
        <v>79</v>
      </c>
      <c r="I43" s="4"/>
      <c r="J43" s="4">
        <v>49</v>
      </c>
      <c r="K43"/>
      <c r="L43"/>
      <c r="M43" s="4">
        <f t="shared" si="16"/>
        <v>7.8999999999999995</v>
      </c>
      <c r="N43" s="4"/>
      <c r="O43" s="1">
        <f t="shared" si="17"/>
        <v>7.8</v>
      </c>
      <c r="P43" s="1">
        <f t="shared" si="18"/>
        <v>0</v>
      </c>
      <c r="Q43" s="1" t="str">
        <f t="shared" si="3"/>
        <v/>
      </c>
      <c r="R43" s="1" t="str">
        <f t="shared" si="19"/>
        <v/>
      </c>
      <c r="S43" s="1">
        <f t="shared" si="20"/>
        <v>467.69760000000014</v>
      </c>
      <c r="T43" s="1">
        <f t="shared" si="21"/>
        <v>0.09</v>
      </c>
      <c r="U43" s="1">
        <f t="shared" si="22"/>
        <v>527.99999999999818</v>
      </c>
      <c r="V43" s="1">
        <f t="shared" si="23"/>
        <v>47.519999999999833</v>
      </c>
      <c r="X43" s="10"/>
      <c r="Y43" s="4"/>
      <c r="Z43" s="4"/>
      <c r="AA43" s="12"/>
      <c r="AB43" s="12"/>
      <c r="AC43" s="4"/>
      <c r="AD43" s="4"/>
      <c r="AE43" s="4">
        <v>-1</v>
      </c>
      <c r="AF43" s="8">
        <v>1055.9999999999964</v>
      </c>
      <c r="AG43" s="4">
        <v>1</v>
      </c>
      <c r="AH43" s="19">
        <v>1256.6399999999956</v>
      </c>
      <c r="AJ43" s="4" t="str">
        <f t="shared" si="26"/>
        <v>-1 to -1.2</v>
      </c>
      <c r="AK43" s="11">
        <f t="shared" si="64"/>
        <v>1055.9999999999964</v>
      </c>
      <c r="AL43" s="9">
        <f>IF(AM43=0,0,SIGN(AE42)*(AH43-AH42)/(AF43-AF42))</f>
        <v>-1.19</v>
      </c>
      <c r="AM43" s="4">
        <f t="shared" si="65"/>
        <v>1</v>
      </c>
      <c r="AN43" s="13">
        <f t="shared" ref="AN43:AN66" ca="1" si="69">(AM43*AK43)/5280/$AI$3</f>
        <v>2.9850746268656619E-2</v>
      </c>
      <c r="AO43" s="4">
        <v>-1</v>
      </c>
      <c r="AP43" s="8">
        <v>5807.9999999999791</v>
      </c>
      <c r="AQ43" s="4">
        <v>7</v>
      </c>
      <c r="AR43" s="19">
        <v>6726.7199999999775</v>
      </c>
      <c r="AT43" s="4" t="str">
        <f t="shared" si="30"/>
        <v>-1 to -1.2</v>
      </c>
      <c r="AU43" s="11">
        <f t="shared" si="66"/>
        <v>739.1999999999955</v>
      </c>
      <c r="AV43" s="9">
        <f>IF(AW43=0,0,SIGN(AO42)*(AR43-AR42)/(AP43-AP42))</f>
        <v>-1.0685714285714287</v>
      </c>
      <c r="AW43" s="4">
        <f t="shared" si="67"/>
        <v>5</v>
      </c>
      <c r="AX43" s="13">
        <f t="shared" ca="1" si="68"/>
        <v>1.7326732673267217E-2</v>
      </c>
      <c r="AY43" s="4">
        <v>-1</v>
      </c>
      <c r="AZ43" s="8">
        <v>1584.0000000000225</v>
      </c>
      <c r="BA43" s="4">
        <v>2</v>
      </c>
      <c r="BB43" s="19">
        <v>1605.1200000000229</v>
      </c>
      <c r="BD43" s="4" t="str">
        <f t="shared" si="34"/>
        <v>-1 to -1.2</v>
      </c>
      <c r="BE43" s="11">
        <f t="shared" si="35"/>
        <v>792.00000000001125</v>
      </c>
      <c r="BF43" s="9">
        <f>IF(BG43=0,0,SIGN(AY42)*(BB43-BB42)/(AZ43-AZ42))</f>
        <v>-1.0133333333333334</v>
      </c>
      <c r="BG43" s="4">
        <f t="shared" si="37"/>
        <v>2</v>
      </c>
      <c r="BH43" s="13">
        <f t="shared" ca="1" si="38"/>
        <v>4.0540540540541126E-2</v>
      </c>
      <c r="BI43" s="4">
        <v>-1</v>
      </c>
      <c r="BJ43" s="1">
        <v>1583.9999999999475</v>
      </c>
      <c r="BK43" s="1">
        <v>2</v>
      </c>
      <c r="BL43" s="1">
        <v>1599.8399999999469</v>
      </c>
      <c r="BN43" s="4" t="str">
        <f t="shared" si="39"/>
        <v>-1 to -1.2</v>
      </c>
      <c r="BO43" s="11">
        <f t="shared" si="40"/>
        <v>791.99999999997374</v>
      </c>
      <c r="BP43" s="9">
        <f>IF(BQ43=0,0,SIGN(BI42)*(BL43-BL42)/(BJ43-BJ42))</f>
        <v>-1.01</v>
      </c>
      <c r="BQ43" s="4">
        <f t="shared" si="42"/>
        <v>2</v>
      </c>
      <c r="BR43" s="13">
        <f t="shared" ca="1" si="43"/>
        <v>6.4516129032255922E-3</v>
      </c>
      <c r="BS43" s="4">
        <v>-1</v>
      </c>
      <c r="BT43" s="1">
        <v>0</v>
      </c>
      <c r="BU43" s="1">
        <v>0</v>
      </c>
      <c r="BV43" s="1">
        <v>0</v>
      </c>
      <c r="BX43" s="4" t="str">
        <f t="shared" si="44"/>
        <v>-1 to -1.2</v>
      </c>
      <c r="BY43" s="11">
        <f t="shared" si="45"/>
        <v>0</v>
      </c>
      <c r="BZ43" s="9">
        <f>IF(CA43=0,0,SIGN(BS42)*(BV43-BV42)/(BT43-BT42))</f>
        <v>0</v>
      </c>
      <c r="CA43" s="4">
        <f t="shared" si="47"/>
        <v>0</v>
      </c>
      <c r="CB43" s="13">
        <f t="shared" ca="1" si="48"/>
        <v>0</v>
      </c>
      <c r="CC43" s="4">
        <v>-1</v>
      </c>
      <c r="CD43" s="1">
        <v>0</v>
      </c>
      <c r="CE43" s="1">
        <v>0</v>
      </c>
      <c r="CF43" s="1">
        <v>0</v>
      </c>
      <c r="CH43" s="4" t="str">
        <f t="shared" si="49"/>
        <v>-1 to -1.2</v>
      </c>
      <c r="CI43" s="11">
        <f t="shared" si="50"/>
        <v>0</v>
      </c>
      <c r="CJ43" s="9">
        <f>IF(CK43=0,0,SIGN(CC42)*(CF43-CF42)/(CD43-CD42))</f>
        <v>0</v>
      </c>
      <c r="CK43" s="4">
        <f t="shared" si="52"/>
        <v>0</v>
      </c>
      <c r="CL43" s="13">
        <f t="shared" ca="1" si="53"/>
        <v>0</v>
      </c>
      <c r="CM43" s="4">
        <v>-1</v>
      </c>
      <c r="CN43" s="1">
        <v>0</v>
      </c>
      <c r="CO43" s="1">
        <v>0</v>
      </c>
      <c r="CP43" s="1">
        <v>0</v>
      </c>
      <c r="CR43" s="4" t="str">
        <f t="shared" si="54"/>
        <v>-1 to -1.2</v>
      </c>
      <c r="CS43" s="11">
        <f t="shared" si="55"/>
        <v>0</v>
      </c>
      <c r="CT43" s="9">
        <f>IF(CU43=0,0,SIGN(CM42)*(CP43-CP42)/(CN43-CN42))</f>
        <v>0</v>
      </c>
      <c r="CU43" s="4">
        <f t="shared" si="57"/>
        <v>0</v>
      </c>
      <c r="CV43" s="13">
        <f t="shared" ca="1" si="58"/>
        <v>0</v>
      </c>
      <c r="CW43" s="4">
        <v>-1</v>
      </c>
      <c r="CX43" s="1">
        <v>1056.00000000009</v>
      </c>
      <c r="CY43" s="1">
        <v>2</v>
      </c>
      <c r="CZ43" s="1">
        <v>1098.2400000000921</v>
      </c>
      <c r="DB43" s="4" t="str">
        <f t="shared" si="59"/>
        <v>-1 to -1.2</v>
      </c>
      <c r="DC43" s="11">
        <f t="shared" si="60"/>
        <v>528.00000000004502</v>
      </c>
      <c r="DD43" s="9">
        <f>IF(DE43=0,0,SIGN(CW42)*(CZ43-CZ42)/(CX43-CX42))</f>
        <v>-1.0399999999999985</v>
      </c>
      <c r="DE43" s="4">
        <f t="shared" si="62"/>
        <v>2</v>
      </c>
      <c r="DF43" s="13">
        <f t="shared" ca="1" si="63"/>
        <v>6.872852233677563E-3</v>
      </c>
    </row>
    <row r="44" spans="1:110" x14ac:dyDescent="0.25">
      <c r="A44" s="1">
        <v>43</v>
      </c>
      <c r="B44" s="4">
        <v>7400</v>
      </c>
      <c r="C44" s="4">
        <v>7.8999999999999995</v>
      </c>
      <c r="D44" s="4">
        <v>8.1</v>
      </c>
      <c r="E44" s="4">
        <f t="shared" si="15"/>
        <v>0.20000000000000018</v>
      </c>
      <c r="F44" s="4">
        <v>0</v>
      </c>
      <c r="G44" s="4">
        <v>0.26</v>
      </c>
      <c r="H44" s="4">
        <v>79</v>
      </c>
      <c r="I44" s="4"/>
      <c r="J44" s="4">
        <v>49</v>
      </c>
      <c r="K44"/>
      <c r="L44"/>
      <c r="M44" s="4">
        <f t="shared" si="16"/>
        <v>8.1</v>
      </c>
      <c r="N44" s="4"/>
      <c r="O44" s="1">
        <f t="shared" si="17"/>
        <v>7.8999999999999995</v>
      </c>
      <c r="P44" s="1">
        <f t="shared" si="18"/>
        <v>0</v>
      </c>
      <c r="Q44" s="1" t="str">
        <f t="shared" si="3"/>
        <v/>
      </c>
      <c r="R44" s="1" t="str">
        <f t="shared" si="19"/>
        <v/>
      </c>
      <c r="S44" s="1">
        <f t="shared" si="20"/>
        <v>468.17280000000011</v>
      </c>
      <c r="T44" s="1">
        <f t="shared" si="21"/>
        <v>0.26</v>
      </c>
      <c r="U44" s="1">
        <f t="shared" si="22"/>
        <v>1056.0000000000009</v>
      </c>
      <c r="V44" s="1">
        <f t="shared" si="23"/>
        <v>274.56000000000023</v>
      </c>
      <c r="X44" s="10"/>
      <c r="Y44" s="4"/>
      <c r="Z44" s="4"/>
      <c r="AA44" s="12"/>
      <c r="AB44" s="12"/>
      <c r="AC44" s="4"/>
      <c r="AD44" s="4"/>
      <c r="AE44" s="4">
        <v>-0.8</v>
      </c>
      <c r="AF44" s="8">
        <v>2111.9999999999973</v>
      </c>
      <c r="AG44" s="4">
        <v>2</v>
      </c>
      <c r="AH44" s="19">
        <v>2270.3999999999965</v>
      </c>
      <c r="AJ44" s="4" t="str">
        <f t="shared" si="26"/>
        <v>-0.8 to -1</v>
      </c>
      <c r="AK44" s="11">
        <f t="shared" si="64"/>
        <v>1056.0000000000009</v>
      </c>
      <c r="AL44" s="9">
        <f>IF(AM44=0,0,SIGN(AE43)*(AH44-AH43)/(AF44-AF43))</f>
        <v>-0.96000000000000008</v>
      </c>
      <c r="AM44" s="4">
        <f t="shared" si="65"/>
        <v>1</v>
      </c>
      <c r="AN44" s="13">
        <f t="shared" ca="1" si="69"/>
        <v>2.9850746268656747E-2</v>
      </c>
      <c r="AO44" s="4">
        <v>-0.8</v>
      </c>
      <c r="AP44" s="8">
        <v>28512.000000000004</v>
      </c>
      <c r="AQ44" s="4">
        <v>30</v>
      </c>
      <c r="AR44" s="19">
        <v>28026.239999999994</v>
      </c>
      <c r="AT44" s="4" t="str">
        <f t="shared" si="30"/>
        <v>-0.8 to -1</v>
      </c>
      <c r="AU44" s="11">
        <f t="shared" si="66"/>
        <v>987.13043478260977</v>
      </c>
      <c r="AV44" s="9">
        <f>IF(AW44=0,0,SIGN(AO43)*(AR44-AR43)/(AP44-AP43))</f>
        <v>-0.9381395348837207</v>
      </c>
      <c r="AW44" s="4">
        <f t="shared" si="67"/>
        <v>23</v>
      </c>
      <c r="AX44" s="13">
        <f t="shared" ca="1" si="68"/>
        <v>0.10643564356435654</v>
      </c>
      <c r="AY44" s="4">
        <v>-0.8</v>
      </c>
      <c r="AZ44" s="8">
        <v>16368.000000000007</v>
      </c>
      <c r="BA44" s="4">
        <v>15</v>
      </c>
      <c r="BB44" s="19">
        <v>14794.560000000007</v>
      </c>
      <c r="BD44" s="4" t="str">
        <f t="shared" si="34"/>
        <v>-0.8 to -1</v>
      </c>
      <c r="BE44" s="11">
        <f t="shared" si="35"/>
        <v>1137.2307692307681</v>
      </c>
      <c r="BF44" s="9">
        <f>IF(BG44=0,0,SIGN(AY43)*(BB44-BB43)/(AZ44-AZ43))</f>
        <v>-0.8921428571428569</v>
      </c>
      <c r="BG44" s="4">
        <f t="shared" si="37"/>
        <v>13</v>
      </c>
      <c r="BH44" s="13">
        <f t="shared" ca="1" si="38"/>
        <v>0.37837837837837807</v>
      </c>
      <c r="BI44" s="4">
        <v>-0.8</v>
      </c>
      <c r="BJ44" s="1">
        <v>14784.0000000001</v>
      </c>
      <c r="BK44" s="1">
        <v>16</v>
      </c>
      <c r="BL44" s="1">
        <v>13722.720000000085</v>
      </c>
      <c r="BN44" s="4" t="str">
        <f t="shared" si="39"/>
        <v>-0.8 to -1</v>
      </c>
      <c r="BO44" s="11">
        <f t="shared" si="40"/>
        <v>942.8571428571538</v>
      </c>
      <c r="BP44" s="9">
        <f>IF(BQ44=0,0,SIGN(BI43)*(BL44-BL43)/(BJ44-BJ43))</f>
        <v>-0.91839999999999977</v>
      </c>
      <c r="BQ44" s="4">
        <f t="shared" si="42"/>
        <v>14</v>
      </c>
      <c r="BR44" s="13">
        <f t="shared" ca="1" si="43"/>
        <v>5.3763440860215672E-2</v>
      </c>
      <c r="BS44" s="4">
        <v>-0.8</v>
      </c>
      <c r="BT44" s="1">
        <v>0</v>
      </c>
      <c r="BU44" s="1">
        <v>0</v>
      </c>
      <c r="BV44" s="1">
        <v>0</v>
      </c>
      <c r="BX44" s="4" t="str">
        <f t="shared" si="44"/>
        <v>-0.8 to -1</v>
      </c>
      <c r="BY44" s="11">
        <f t="shared" si="45"/>
        <v>0</v>
      </c>
      <c r="BZ44" s="9">
        <f>IF(CA44=0,0,SIGN(BS43)*(BV44-BV43)/(BT44-BT43))</f>
        <v>0</v>
      </c>
      <c r="CA44" s="4">
        <f t="shared" si="47"/>
        <v>0</v>
      </c>
      <c r="CB44" s="13">
        <f t="shared" ca="1" si="48"/>
        <v>0</v>
      </c>
      <c r="CC44" s="4">
        <v>-0.8</v>
      </c>
      <c r="CD44" s="1">
        <v>2640.000000000075</v>
      </c>
      <c r="CE44" s="1">
        <v>4</v>
      </c>
      <c r="CF44" s="1">
        <v>2412.9600000000669</v>
      </c>
      <c r="CH44" s="4" t="str">
        <f t="shared" si="49"/>
        <v>-0.8 to -1</v>
      </c>
      <c r="CI44" s="11">
        <f t="shared" si="50"/>
        <v>660.00000000001876</v>
      </c>
      <c r="CJ44" s="9">
        <f>IF(CK44=0,0,SIGN(CC43)*(CF44-CF43)/(CD44-CD43))</f>
        <v>-0.91399999999999937</v>
      </c>
      <c r="CK44" s="4">
        <f t="shared" si="52"/>
        <v>4</v>
      </c>
      <c r="CL44" s="13">
        <f t="shared" ca="1" si="53"/>
        <v>6.0975609756099378E-2</v>
      </c>
      <c r="CM44" s="4">
        <v>-0.8</v>
      </c>
      <c r="CN44" s="1">
        <v>0</v>
      </c>
      <c r="CO44" s="1">
        <v>0</v>
      </c>
      <c r="CP44" s="1">
        <v>0</v>
      </c>
      <c r="CR44" s="4" t="str">
        <f t="shared" si="54"/>
        <v>-0.8 to -1</v>
      </c>
      <c r="CS44" s="11">
        <f t="shared" si="55"/>
        <v>0</v>
      </c>
      <c r="CT44" s="9">
        <f>IF(CU44=0,0,SIGN(CM43)*(CP44-CP43)/(CN44-CN43))</f>
        <v>0</v>
      </c>
      <c r="CU44" s="4">
        <f t="shared" si="57"/>
        <v>0</v>
      </c>
      <c r="CV44" s="13">
        <f t="shared" ca="1" si="58"/>
        <v>0</v>
      </c>
      <c r="CW44" s="4">
        <v>-0.8</v>
      </c>
      <c r="CX44" s="1">
        <v>16896.00000000024</v>
      </c>
      <c r="CY44" s="1">
        <v>21</v>
      </c>
      <c r="CZ44" s="1">
        <v>15275.040000000206</v>
      </c>
      <c r="DB44" s="4" t="str">
        <f t="shared" si="59"/>
        <v>-0.8 to -1</v>
      </c>
      <c r="DC44" s="11">
        <f t="shared" si="60"/>
        <v>833.68421052632368</v>
      </c>
      <c r="DD44" s="9">
        <f>IF(DE44=0,0,SIGN(CW43)*(CZ44-CZ43)/(CX44-CX43))</f>
        <v>-0.8949999999999988</v>
      </c>
      <c r="DE44" s="4">
        <f t="shared" si="62"/>
        <v>19</v>
      </c>
      <c r="DF44" s="13">
        <f t="shared" ca="1" si="63"/>
        <v>0.10309278350515563</v>
      </c>
    </row>
    <row r="45" spans="1:110" x14ac:dyDescent="0.25">
      <c r="A45" s="1">
        <v>44</v>
      </c>
      <c r="B45" s="4">
        <v>7400</v>
      </c>
      <c r="C45" s="4">
        <v>8.1</v>
      </c>
      <c r="D45" s="4">
        <v>8.1999999999999993</v>
      </c>
      <c r="E45" s="4">
        <f t="shared" si="15"/>
        <v>9.9999999999999645E-2</v>
      </c>
      <c r="F45" s="4">
        <v>0</v>
      </c>
      <c r="G45" s="4">
        <v>0.04</v>
      </c>
      <c r="H45" s="4">
        <v>79</v>
      </c>
      <c r="I45" s="4"/>
      <c r="J45" s="4">
        <v>49</v>
      </c>
      <c r="K45"/>
      <c r="L45"/>
      <c r="M45" s="4">
        <f t="shared" si="16"/>
        <v>8.1999999999999993</v>
      </c>
      <c r="N45" s="4"/>
      <c r="O45" s="1">
        <f t="shared" si="17"/>
        <v>8.1</v>
      </c>
      <c r="P45" s="1">
        <f t="shared" si="18"/>
        <v>0</v>
      </c>
      <c r="Q45" s="1" t="str">
        <f t="shared" si="3"/>
        <v/>
      </c>
      <c r="R45" s="1" t="str">
        <f t="shared" si="19"/>
        <v/>
      </c>
      <c r="S45" s="1">
        <f t="shared" si="20"/>
        <v>470.91840000000013</v>
      </c>
      <c r="T45" s="1">
        <f t="shared" si="21"/>
        <v>0.04</v>
      </c>
      <c r="U45" s="1">
        <f t="shared" si="22"/>
        <v>527.99999999999818</v>
      </c>
      <c r="V45" s="1">
        <f t="shared" si="23"/>
        <v>21.119999999999926</v>
      </c>
      <c r="X45" s="10"/>
      <c r="Y45" s="4"/>
      <c r="Z45" s="4"/>
      <c r="AA45" s="12"/>
      <c r="AB45" s="12"/>
      <c r="AC45" s="4"/>
      <c r="AD45" s="4"/>
      <c r="AE45" s="4">
        <v>-0.6</v>
      </c>
      <c r="AF45" s="8">
        <v>2111.9999999999973</v>
      </c>
      <c r="AG45" s="4">
        <v>2</v>
      </c>
      <c r="AH45" s="19">
        <v>2270.3999999999965</v>
      </c>
      <c r="AJ45" s="4" t="str">
        <f t="shared" si="26"/>
        <v>-0.6 to -0.8</v>
      </c>
      <c r="AK45" s="11">
        <f t="shared" si="64"/>
        <v>0</v>
      </c>
      <c r="AL45" s="9">
        <f>IF(AM45=0,0,SIGN(AE44)*(AH45-AH44)/(AF45-AF44))</f>
        <v>0</v>
      </c>
      <c r="AM45" s="4">
        <f t="shared" si="65"/>
        <v>0</v>
      </c>
      <c r="AN45" s="13">
        <f t="shared" ca="1" si="69"/>
        <v>0</v>
      </c>
      <c r="AO45" s="4">
        <v>-0.6</v>
      </c>
      <c r="AP45" s="8">
        <v>49104.000000000044</v>
      </c>
      <c r="AQ45" s="4">
        <v>51</v>
      </c>
      <c r="AR45" s="19">
        <v>43010.880000000026</v>
      </c>
      <c r="AT45" s="4" t="str">
        <f t="shared" si="30"/>
        <v>-0.6 to -0.8</v>
      </c>
      <c r="AU45" s="11">
        <f t="shared" si="66"/>
        <v>980.57142857143049</v>
      </c>
      <c r="AV45" s="9">
        <f>IF(AW45=0,0,SIGN(AO44)*(AR45-AR44)/(AP45-AP44))</f>
        <v>-0.72769230769230786</v>
      </c>
      <c r="AW45" s="4">
        <f t="shared" si="67"/>
        <v>21</v>
      </c>
      <c r="AX45" s="13">
        <f t="shared" ca="1" si="68"/>
        <v>9.6534653465346704E-2</v>
      </c>
      <c r="AY45" s="4">
        <v>-0.6</v>
      </c>
      <c r="AZ45" s="8">
        <v>16368.000000000007</v>
      </c>
      <c r="BA45" s="4">
        <v>15</v>
      </c>
      <c r="BB45" s="19">
        <v>14794.560000000007</v>
      </c>
      <c r="BD45" s="4" t="str">
        <f t="shared" si="34"/>
        <v>-0.6 to -0.8</v>
      </c>
      <c r="BE45" s="11">
        <f t="shared" si="35"/>
        <v>0</v>
      </c>
      <c r="BF45" s="9">
        <f>IF(BG45=0,0,SIGN(AY44)*(BB45-BB44)/(AZ45-AZ44))</f>
        <v>0</v>
      </c>
      <c r="BG45" s="4">
        <f t="shared" si="37"/>
        <v>0</v>
      </c>
      <c r="BH45" s="13">
        <f t="shared" ca="1" si="38"/>
        <v>0</v>
      </c>
      <c r="BI45" s="4">
        <v>-0.6</v>
      </c>
      <c r="BJ45" s="1">
        <v>38015.999999999862</v>
      </c>
      <c r="BK45" s="1">
        <v>43</v>
      </c>
      <c r="BL45" s="1">
        <v>30433.919999999925</v>
      </c>
      <c r="BN45" s="4" t="str">
        <f t="shared" si="39"/>
        <v>-0.6 to -0.8</v>
      </c>
      <c r="BO45" s="11">
        <f t="shared" si="40"/>
        <v>860.44444444443559</v>
      </c>
      <c r="BP45" s="9">
        <f>IF(BQ45=0,0,SIGN(BI44)*(BL45-BL44)/(BJ45-BJ44))</f>
        <v>-0.71931818181818241</v>
      </c>
      <c r="BQ45" s="4">
        <f t="shared" si="42"/>
        <v>27</v>
      </c>
      <c r="BR45" s="13">
        <f t="shared" ca="1" si="43"/>
        <v>9.4623655913977506E-2</v>
      </c>
      <c r="BS45" s="4">
        <v>-0.6</v>
      </c>
      <c r="BT45" s="1">
        <v>21647.999999999971</v>
      </c>
      <c r="BU45" s="1">
        <v>16</v>
      </c>
      <c r="BV45" s="1">
        <v>16484.159999999982</v>
      </c>
      <c r="BX45" s="4" t="str">
        <f t="shared" si="44"/>
        <v>-0.6 to -0.8</v>
      </c>
      <c r="BY45" s="11">
        <f t="shared" si="45"/>
        <v>1352.9999999999982</v>
      </c>
      <c r="BZ45" s="9">
        <f>IF(CA45=0,0,SIGN(BS44)*(BV45-BV44)/(BT45-BT44))</f>
        <v>-0.76146341463414657</v>
      </c>
      <c r="CA45" s="4">
        <f t="shared" si="47"/>
        <v>16</v>
      </c>
      <c r="CB45" s="13">
        <f t="shared" ca="1" si="48"/>
        <v>0.27333333333333293</v>
      </c>
      <c r="CC45" s="4">
        <v>-0.6</v>
      </c>
      <c r="CD45" s="1">
        <v>17952.000000000029</v>
      </c>
      <c r="CE45" s="1">
        <v>20</v>
      </c>
      <c r="CF45" s="1">
        <v>13168.320000000023</v>
      </c>
      <c r="CH45" s="4" t="str">
        <f t="shared" si="49"/>
        <v>-0.6 to -0.8</v>
      </c>
      <c r="CI45" s="11">
        <f t="shared" si="50"/>
        <v>956.99999999999716</v>
      </c>
      <c r="CJ45" s="9">
        <f>IF(CK45=0,0,SIGN(CC44)*(CF45-CF44)/(CD45-CD44))</f>
        <v>-0.70241379310344754</v>
      </c>
      <c r="CK45" s="4">
        <f t="shared" si="52"/>
        <v>16</v>
      </c>
      <c r="CL45" s="13">
        <f t="shared" ca="1" si="53"/>
        <v>0.35365853658536528</v>
      </c>
      <c r="CM45" s="4">
        <v>-0.6</v>
      </c>
      <c r="CN45" s="1">
        <v>0</v>
      </c>
      <c r="CO45" s="1">
        <v>0</v>
      </c>
      <c r="CP45" s="1">
        <v>0</v>
      </c>
      <c r="CR45" s="4" t="str">
        <f t="shared" si="54"/>
        <v>-0.6 to -0.8</v>
      </c>
      <c r="CS45" s="11">
        <f t="shared" si="55"/>
        <v>0</v>
      </c>
      <c r="CT45" s="9">
        <f>IF(CU45=0,0,SIGN(CM44)*(CP45-CP44)/(CN45-CN44))</f>
        <v>0</v>
      </c>
      <c r="CU45" s="4">
        <f t="shared" si="57"/>
        <v>0</v>
      </c>
      <c r="CV45" s="13">
        <f t="shared" ca="1" si="58"/>
        <v>0</v>
      </c>
      <c r="CW45" s="4">
        <v>-0.6</v>
      </c>
      <c r="CX45" s="1">
        <v>41184.000000000073</v>
      </c>
      <c r="CY45" s="1">
        <v>48</v>
      </c>
      <c r="CZ45" s="1">
        <v>32429.760000000093</v>
      </c>
      <c r="DB45" s="4" t="str">
        <f t="shared" si="59"/>
        <v>-0.6 to -0.8</v>
      </c>
      <c r="DC45" s="11">
        <f t="shared" si="60"/>
        <v>899.5555555555494</v>
      </c>
      <c r="DD45" s="9">
        <f>IF(DE45=0,0,SIGN(CW44)*(CZ45-CZ44)/(CX45-CX44))</f>
        <v>-0.70630434782608709</v>
      </c>
      <c r="DE45" s="4">
        <f t="shared" si="62"/>
        <v>27</v>
      </c>
      <c r="DF45" s="13">
        <f t="shared" ca="1" si="63"/>
        <v>0.15807560137456939</v>
      </c>
    </row>
    <row r="46" spans="1:110" x14ac:dyDescent="0.25">
      <c r="A46" s="1">
        <v>45</v>
      </c>
      <c r="B46" s="4">
        <v>7400</v>
      </c>
      <c r="C46" s="4">
        <v>8.1999999999999993</v>
      </c>
      <c r="D46" s="4">
        <v>8.4</v>
      </c>
      <c r="E46" s="4">
        <f t="shared" si="15"/>
        <v>0.20000000000000107</v>
      </c>
      <c r="F46" s="4">
        <v>0</v>
      </c>
      <c r="G46" s="4">
        <v>-0.78</v>
      </c>
      <c r="H46" s="4">
        <v>79</v>
      </c>
      <c r="I46" s="4"/>
      <c r="J46" s="4">
        <v>49</v>
      </c>
      <c r="K46"/>
      <c r="L46"/>
      <c r="M46" s="4">
        <f t="shared" si="16"/>
        <v>8.4</v>
      </c>
      <c r="N46" s="4"/>
      <c r="O46" s="1">
        <f t="shared" si="17"/>
        <v>8.1999999999999993</v>
      </c>
      <c r="P46" s="1">
        <f t="shared" si="18"/>
        <v>0</v>
      </c>
      <c r="Q46" s="1" t="str">
        <f t="shared" si="3"/>
        <v/>
      </c>
      <c r="R46" s="1" t="str">
        <f t="shared" si="19"/>
        <v/>
      </c>
      <c r="S46" s="1">
        <f t="shared" si="20"/>
        <v>471.12960000000015</v>
      </c>
      <c r="T46" s="1">
        <f t="shared" si="21"/>
        <v>-0.78</v>
      </c>
      <c r="U46" s="1">
        <f t="shared" si="22"/>
        <v>1056.0000000000057</v>
      </c>
      <c r="V46" s="1">
        <f t="shared" si="23"/>
        <v>823.6800000000045</v>
      </c>
      <c r="X46" s="10"/>
      <c r="Y46" s="4"/>
      <c r="Z46" s="4"/>
      <c r="AA46" s="12"/>
      <c r="AB46" s="12"/>
      <c r="AC46" s="4"/>
      <c r="AD46" s="4"/>
      <c r="AE46" s="4">
        <v>-0.4</v>
      </c>
      <c r="AF46" s="8">
        <v>3167.9999999999982</v>
      </c>
      <c r="AG46" s="4">
        <v>4</v>
      </c>
      <c r="AH46" s="19">
        <v>2766.7199999999966</v>
      </c>
      <c r="AJ46" s="4" t="str">
        <f t="shared" si="26"/>
        <v>-0.4 to -0.6</v>
      </c>
      <c r="AK46" s="11">
        <f t="shared" si="64"/>
        <v>528.00000000000045</v>
      </c>
      <c r="AL46" s="9">
        <f t="shared" ref="AL46:AL57" si="70">IF(AM46=0,0,SIGN(AE45)*(AH46-AH45)/(AF46-AF45))</f>
        <v>-0.46999999999999975</v>
      </c>
      <c r="AM46" s="4">
        <f t="shared" si="65"/>
        <v>2</v>
      </c>
      <c r="AN46" s="13">
        <f t="shared" ca="1" si="69"/>
        <v>2.9850746268656747E-2</v>
      </c>
      <c r="AO46" s="4">
        <v>-0.4</v>
      </c>
      <c r="AP46" s="8">
        <v>68112.000000000044</v>
      </c>
      <c r="AQ46" s="4">
        <v>73</v>
      </c>
      <c r="AR46" s="19">
        <v>52440.960000000014</v>
      </c>
      <c r="AT46" s="4" t="str">
        <f t="shared" si="30"/>
        <v>-0.4 to -0.6</v>
      </c>
      <c r="AU46" s="11">
        <f t="shared" si="66"/>
        <v>864</v>
      </c>
      <c r="AV46" s="9">
        <f t="shared" ref="AV46:AV66" si="71">IF(AW46=0,0,SIGN(AO45)*(AR46-AR45)/(AP46-AP45))</f>
        <v>-0.49611111111111045</v>
      </c>
      <c r="AW46" s="4">
        <f t="shared" si="67"/>
        <v>22</v>
      </c>
      <c r="AX46" s="13">
        <f t="shared" ca="1" si="68"/>
        <v>8.9108910891089105E-2</v>
      </c>
      <c r="AY46" s="4">
        <v>-0.4</v>
      </c>
      <c r="AZ46" s="8">
        <v>24288.000000000044</v>
      </c>
      <c r="BA46" s="4">
        <v>25</v>
      </c>
      <c r="BB46" s="19">
        <v>18601.440000000024</v>
      </c>
      <c r="BD46" s="4" t="str">
        <f t="shared" si="34"/>
        <v>-0.4 to -0.6</v>
      </c>
      <c r="BE46" s="11">
        <f t="shared" si="35"/>
        <v>792.00000000000364</v>
      </c>
      <c r="BF46" s="9">
        <f t="shared" ref="BF46:BF66" si="72">IF(BG46=0,0,SIGN(AY45)*(BB46-BB45)/(AZ46-AZ45))</f>
        <v>-0.48066666666666663</v>
      </c>
      <c r="BG46" s="4">
        <f t="shared" si="37"/>
        <v>10</v>
      </c>
      <c r="BH46" s="13">
        <f t="shared" ca="1" si="38"/>
        <v>0.20270270270270369</v>
      </c>
      <c r="BI46" s="4">
        <v>-0.4</v>
      </c>
      <c r="BJ46" s="1">
        <v>62303.999999999767</v>
      </c>
      <c r="BK46" s="1">
        <v>67</v>
      </c>
      <c r="BL46" s="1">
        <v>42667.679999999898</v>
      </c>
      <c r="BN46" s="4" t="str">
        <f t="shared" si="39"/>
        <v>-0.4 to -0.6</v>
      </c>
      <c r="BO46" s="11">
        <f t="shared" si="40"/>
        <v>1011.999999999996</v>
      </c>
      <c r="BP46" s="9">
        <f t="shared" ref="BP46:BP66" si="73">IF(BQ46=0,0,SIGN(BI45)*(BL46-BL45)/(BJ46-BJ45))</f>
        <v>-0.50369565217391388</v>
      </c>
      <c r="BQ46" s="4">
        <f t="shared" si="42"/>
        <v>24</v>
      </c>
      <c r="BR46" s="13">
        <f t="shared" ca="1" si="43"/>
        <v>9.8924731182795309E-2</v>
      </c>
      <c r="BS46" s="4">
        <v>-0.4</v>
      </c>
      <c r="BT46" s="1">
        <v>31679.999999999924</v>
      </c>
      <c r="BU46" s="1">
        <v>29</v>
      </c>
      <c r="BV46" s="1">
        <v>21743.039999999964</v>
      </c>
      <c r="BX46" s="4" t="str">
        <f t="shared" si="44"/>
        <v>-0.4 to -0.6</v>
      </c>
      <c r="BY46" s="11">
        <f t="shared" si="45"/>
        <v>771.6923076923041</v>
      </c>
      <c r="BZ46" s="9">
        <f t="shared" ref="BZ46:BZ66" si="74">IF(CA46=0,0,SIGN(BS45)*(BV46-BV45)/(BT46-BT45))</f>
        <v>-0.52421052631579024</v>
      </c>
      <c r="CA46" s="4">
        <f t="shared" si="47"/>
        <v>13</v>
      </c>
      <c r="CB46" s="13">
        <f t="shared" ca="1" si="48"/>
        <v>0.12666666666666607</v>
      </c>
      <c r="CC46" s="4">
        <v>-0.4</v>
      </c>
      <c r="CD46" s="1">
        <v>25343.999999999913</v>
      </c>
      <c r="CE46" s="1">
        <v>31</v>
      </c>
      <c r="CF46" s="1">
        <v>17144.159999999963</v>
      </c>
      <c r="CH46" s="4" t="str">
        <f t="shared" si="49"/>
        <v>-0.4 to -0.6</v>
      </c>
      <c r="CI46" s="11">
        <f t="shared" si="50"/>
        <v>671.99999999998943</v>
      </c>
      <c r="CJ46" s="9">
        <f t="shared" ref="CJ46:CJ66" si="75">IF(CK46=0,0,SIGN(CC45)*(CF46-CF45)/(CD46-CD45))</f>
        <v>-0.53785714285714326</v>
      </c>
      <c r="CK46" s="4">
        <f t="shared" si="52"/>
        <v>11</v>
      </c>
      <c r="CL46" s="13">
        <f t="shared" ca="1" si="53"/>
        <v>0.17073170731707071</v>
      </c>
      <c r="CM46" s="4">
        <v>-0.4</v>
      </c>
      <c r="CN46" s="1">
        <v>2112.00000000003</v>
      </c>
      <c r="CO46" s="1">
        <v>3</v>
      </c>
      <c r="CP46" s="1">
        <v>1029.6000000000208</v>
      </c>
      <c r="CR46" s="4" t="str">
        <f t="shared" si="54"/>
        <v>-0.4 to -0.6</v>
      </c>
      <c r="CS46" s="11">
        <f t="shared" si="55"/>
        <v>704.00000000001</v>
      </c>
      <c r="CT46" s="9">
        <f t="shared" ref="CT46:CT66" si="76">IF(CU46=0,0,SIGN(CM45)*(CP46-CP45)/(CN46-CN45))</f>
        <v>-0.48750000000000293</v>
      </c>
      <c r="CU46" s="4">
        <f t="shared" si="57"/>
        <v>3</v>
      </c>
      <c r="CV46" s="13">
        <f t="shared" ca="1" si="58"/>
        <v>2.0202020202020478E-2</v>
      </c>
      <c r="CW46" s="4">
        <v>-0.4</v>
      </c>
      <c r="CX46" s="1">
        <v>60191.999999999593</v>
      </c>
      <c r="CY46" s="1">
        <v>69</v>
      </c>
      <c r="CZ46" s="1">
        <v>42055.199999999859</v>
      </c>
      <c r="DB46" s="4" t="str">
        <f t="shared" si="59"/>
        <v>-0.4 to -0.6</v>
      </c>
      <c r="DC46" s="11">
        <f t="shared" si="60"/>
        <v>905.14285714283426</v>
      </c>
      <c r="DD46" s="9">
        <f t="shared" ref="DD46:DD66" si="77">IF(DE46=0,0,SIGN(CW45)*(CZ46-CZ45)/(CX46-CX45))</f>
        <v>-0.50638888888888933</v>
      </c>
      <c r="DE46" s="4">
        <f t="shared" si="62"/>
        <v>21</v>
      </c>
      <c r="DF46" s="13">
        <f t="shared" ca="1" si="63"/>
        <v>0.12371134020618246</v>
      </c>
    </row>
    <row r="47" spans="1:110" x14ac:dyDescent="0.25">
      <c r="A47" s="1">
        <v>46</v>
      </c>
      <c r="B47" s="4">
        <v>7400</v>
      </c>
      <c r="C47" s="4">
        <v>8.4</v>
      </c>
      <c r="D47" s="4">
        <v>8.6999999999999993</v>
      </c>
      <c r="E47" s="4">
        <f t="shared" si="15"/>
        <v>0.29999999999999893</v>
      </c>
      <c r="F47" s="4">
        <v>0</v>
      </c>
      <c r="G47" s="4">
        <v>-1</v>
      </c>
      <c r="H47" s="4">
        <v>79</v>
      </c>
      <c r="I47" s="4"/>
      <c r="J47" s="4">
        <v>49</v>
      </c>
      <c r="K47"/>
      <c r="L47"/>
      <c r="M47" s="4">
        <f t="shared" si="16"/>
        <v>8.6999999999999993</v>
      </c>
      <c r="N47" s="4"/>
      <c r="O47" s="1">
        <f t="shared" si="17"/>
        <v>8.4</v>
      </c>
      <c r="P47" s="1">
        <f t="shared" si="18"/>
        <v>0</v>
      </c>
      <c r="Q47" s="1" t="str">
        <f t="shared" si="3"/>
        <v/>
      </c>
      <c r="R47" s="1" t="str">
        <f t="shared" si="19"/>
        <v/>
      </c>
      <c r="S47" s="1">
        <f t="shared" si="20"/>
        <v>462.89280000000008</v>
      </c>
      <c r="T47" s="1">
        <f t="shared" si="21"/>
        <v>-1</v>
      </c>
      <c r="U47" s="1">
        <f t="shared" si="22"/>
        <v>1583.9999999999943</v>
      </c>
      <c r="V47" s="1">
        <f t="shared" si="23"/>
        <v>1583.9999999999943</v>
      </c>
      <c r="X47" s="10"/>
      <c r="Y47" s="4"/>
      <c r="Z47" s="4"/>
      <c r="AA47" s="12"/>
      <c r="AB47" s="12"/>
      <c r="AC47" s="4"/>
      <c r="AD47" s="4"/>
      <c r="AE47" s="4">
        <v>-0.2</v>
      </c>
      <c r="AF47" s="8">
        <v>3695.9999999999964</v>
      </c>
      <c r="AG47" s="4">
        <v>5</v>
      </c>
      <c r="AH47" s="19">
        <v>2940.9599999999959</v>
      </c>
      <c r="AJ47" s="4" t="str">
        <f t="shared" si="26"/>
        <v>-0.2 to -0.4</v>
      </c>
      <c r="AK47" s="11">
        <f t="shared" ref="AK47:AK57" si="78">IF(AM47=0,0,(AF47-AF46)/AM47)</f>
        <v>527.99999999999818</v>
      </c>
      <c r="AL47" s="9">
        <f t="shared" si="70"/>
        <v>-0.32999999999999985</v>
      </c>
      <c r="AM47" s="4">
        <f t="shared" si="65"/>
        <v>1</v>
      </c>
      <c r="AN47" s="13">
        <f t="shared" ca="1" si="69"/>
        <v>1.4925373134328309E-2</v>
      </c>
      <c r="AO47" s="4">
        <v>-0.2</v>
      </c>
      <c r="AP47" s="8">
        <v>78144.000000000073</v>
      </c>
      <c r="AQ47" s="4">
        <v>86</v>
      </c>
      <c r="AR47" s="19">
        <v>55820.160000000025</v>
      </c>
      <c r="AT47" s="4" t="str">
        <f t="shared" si="30"/>
        <v>-0.2 to -0.4</v>
      </c>
      <c r="AU47" s="11">
        <f t="shared" ref="AU47:AU57" si="79">IF(AW47=0,0,(AP47-AP46)/AW47)</f>
        <v>771.6923076923099</v>
      </c>
      <c r="AV47" s="9">
        <f t="shared" si="71"/>
        <v>-0.33684210526315805</v>
      </c>
      <c r="AW47" s="4">
        <f t="shared" si="67"/>
        <v>13</v>
      </c>
      <c r="AX47" s="13">
        <f t="shared" ca="1" si="68"/>
        <v>4.7029702970297162E-2</v>
      </c>
      <c r="AY47" s="4">
        <v>-0.2</v>
      </c>
      <c r="AZ47" s="8">
        <v>26400.000000000036</v>
      </c>
      <c r="BA47" s="4">
        <v>28</v>
      </c>
      <c r="BB47" s="19">
        <v>19166.400000000023</v>
      </c>
      <c r="BD47" s="4" t="str">
        <f t="shared" si="34"/>
        <v>-0.2 to -0.4</v>
      </c>
      <c r="BE47" s="11">
        <f t="shared" si="35"/>
        <v>703.99999999999761</v>
      </c>
      <c r="BF47" s="9">
        <f t="shared" si="72"/>
        <v>-0.26750000000000052</v>
      </c>
      <c r="BG47" s="4">
        <f t="shared" si="37"/>
        <v>3</v>
      </c>
      <c r="BH47" s="13">
        <f t="shared" ca="1" si="38"/>
        <v>5.4054054054053877E-2</v>
      </c>
      <c r="BI47" s="4">
        <v>-0.2</v>
      </c>
      <c r="BJ47" s="1">
        <v>77615.999999999724</v>
      </c>
      <c r="BK47" s="1">
        <v>90</v>
      </c>
      <c r="BL47" s="1">
        <v>47113.439999999871</v>
      </c>
      <c r="BN47" s="4" t="str">
        <f t="shared" si="39"/>
        <v>-0.2 to -0.4</v>
      </c>
      <c r="BO47" s="11">
        <f t="shared" si="40"/>
        <v>665.73913043478069</v>
      </c>
      <c r="BP47" s="9">
        <f t="shared" si="73"/>
        <v>-0.29034482758620594</v>
      </c>
      <c r="BQ47" s="4">
        <f t="shared" si="42"/>
        <v>23</v>
      </c>
      <c r="BR47" s="13">
        <f t="shared" ca="1" si="43"/>
        <v>6.2365591397849286E-2</v>
      </c>
      <c r="BS47" s="4">
        <v>-0.2</v>
      </c>
      <c r="BT47" s="1">
        <v>35375.999999999862</v>
      </c>
      <c r="BU47" s="1">
        <v>33</v>
      </c>
      <c r="BV47" s="1">
        <v>22978.559999999943</v>
      </c>
      <c r="BX47" s="4" t="str">
        <f t="shared" si="44"/>
        <v>-0.2 to -0.4</v>
      </c>
      <c r="BY47" s="11">
        <f t="shared" si="45"/>
        <v>923.99999999998454</v>
      </c>
      <c r="BZ47" s="9">
        <f t="shared" si="74"/>
        <v>-0.33428571428571408</v>
      </c>
      <c r="CA47" s="4">
        <f t="shared" si="47"/>
        <v>4</v>
      </c>
      <c r="CB47" s="13">
        <f t="shared" ca="1" si="48"/>
        <v>4.6666666666665885E-2</v>
      </c>
      <c r="CC47" s="4">
        <v>-0.2</v>
      </c>
      <c r="CD47" s="1">
        <v>31151.999999999953</v>
      </c>
      <c r="CE47" s="1">
        <v>38</v>
      </c>
      <c r="CF47" s="1">
        <v>18897.119999999988</v>
      </c>
      <c r="CH47" s="4" t="str">
        <f t="shared" si="49"/>
        <v>-0.2 to -0.4</v>
      </c>
      <c r="CI47" s="11">
        <f t="shared" si="50"/>
        <v>829.71428571429146</v>
      </c>
      <c r="CJ47" s="9">
        <f t="shared" si="75"/>
        <v>-0.30181818181818398</v>
      </c>
      <c r="CK47" s="4">
        <f t="shared" si="52"/>
        <v>7</v>
      </c>
      <c r="CL47" s="13">
        <f t="shared" ca="1" si="53"/>
        <v>0.13414634146341575</v>
      </c>
      <c r="CM47" s="4">
        <v>-0.2</v>
      </c>
      <c r="CN47" s="1">
        <v>13728.000000000273</v>
      </c>
      <c r="CO47" s="1">
        <v>19</v>
      </c>
      <c r="CP47" s="1">
        <v>4303.2000000000808</v>
      </c>
      <c r="CR47" s="4" t="str">
        <f t="shared" si="54"/>
        <v>-0.2 to -0.4</v>
      </c>
      <c r="CS47" s="11">
        <f t="shared" si="55"/>
        <v>726.00000000001523</v>
      </c>
      <c r="CT47" s="9">
        <f t="shared" si="76"/>
        <v>-0.28181818181818108</v>
      </c>
      <c r="CU47" s="4">
        <f t="shared" si="57"/>
        <v>16</v>
      </c>
      <c r="CV47" s="13">
        <f t="shared" ca="1" si="58"/>
        <v>0.11111111111111339</v>
      </c>
      <c r="CW47" s="4">
        <v>-0.2</v>
      </c>
      <c r="CX47" s="1">
        <v>73919.999999999869</v>
      </c>
      <c r="CY47" s="1">
        <v>89</v>
      </c>
      <c r="CZ47" s="1">
        <v>46141.919999999933</v>
      </c>
      <c r="DB47" s="4" t="str">
        <f t="shared" si="59"/>
        <v>-0.2 to -0.4</v>
      </c>
      <c r="DC47" s="11">
        <f t="shared" si="60"/>
        <v>686.40000000001385</v>
      </c>
      <c r="DD47" s="9">
        <f t="shared" si="77"/>
        <v>-0.29769230769230709</v>
      </c>
      <c r="DE47" s="4">
        <f t="shared" si="62"/>
        <v>20</v>
      </c>
      <c r="DF47" s="13">
        <f t="shared" ca="1" si="63"/>
        <v>8.9347079037802507E-2</v>
      </c>
    </row>
    <row r="48" spans="1:110" x14ac:dyDescent="0.25">
      <c r="A48" s="1">
        <v>47</v>
      </c>
      <c r="B48" s="4">
        <v>7400</v>
      </c>
      <c r="C48" s="4">
        <v>8.6999999999999993</v>
      </c>
      <c r="D48" s="4">
        <v>8.9</v>
      </c>
      <c r="E48" s="4">
        <f t="shared" si="15"/>
        <v>0.20000000000000107</v>
      </c>
      <c r="F48" s="4">
        <v>0</v>
      </c>
      <c r="G48" s="4">
        <v>-0.75</v>
      </c>
      <c r="H48" s="4">
        <v>79</v>
      </c>
      <c r="I48" s="4"/>
      <c r="J48" s="4">
        <v>49</v>
      </c>
      <c r="K48"/>
      <c r="L48"/>
      <c r="M48" s="4">
        <f t="shared" si="16"/>
        <v>8.9</v>
      </c>
      <c r="N48" s="4"/>
      <c r="O48" s="1">
        <f t="shared" si="17"/>
        <v>8.6999999999999993</v>
      </c>
      <c r="P48" s="1">
        <f t="shared" si="18"/>
        <v>0</v>
      </c>
      <c r="Q48" s="1" t="str">
        <f t="shared" si="3"/>
        <v/>
      </c>
      <c r="R48" s="1" t="str">
        <f t="shared" si="19"/>
        <v/>
      </c>
      <c r="S48" s="1">
        <f t="shared" si="20"/>
        <v>447.05280000000016</v>
      </c>
      <c r="T48" s="1">
        <f t="shared" si="21"/>
        <v>-0.75</v>
      </c>
      <c r="U48" s="1">
        <f t="shared" si="22"/>
        <v>1056.0000000000057</v>
      </c>
      <c r="V48" s="1">
        <f t="shared" si="23"/>
        <v>792.00000000000432</v>
      </c>
      <c r="X48" s="10"/>
      <c r="Y48" s="4"/>
      <c r="Z48" s="4"/>
      <c r="AA48" s="12"/>
      <c r="AB48" s="12"/>
      <c r="AC48" s="4"/>
      <c r="AD48" s="4"/>
      <c r="AE48" s="4">
        <v>0</v>
      </c>
      <c r="AF48" s="8">
        <v>5807.9999999999982</v>
      </c>
      <c r="AG48" s="4">
        <v>7</v>
      </c>
      <c r="AH48" s="19">
        <v>3120.4799999999964</v>
      </c>
      <c r="AJ48" s="4" t="str">
        <f>AE48&amp;" to "&amp;AE47</f>
        <v>0 to -0.2</v>
      </c>
      <c r="AK48" s="11">
        <f t="shared" si="78"/>
        <v>1056.0000000000009</v>
      </c>
      <c r="AL48" s="9">
        <f t="shared" si="70"/>
        <v>-8.5000000000000131E-2</v>
      </c>
      <c r="AM48" s="4">
        <f t="shared" si="65"/>
        <v>2</v>
      </c>
      <c r="AN48" s="13">
        <f t="shared" ca="1" si="69"/>
        <v>5.9701492537313494E-2</v>
      </c>
      <c r="AO48" s="4">
        <v>0</v>
      </c>
      <c r="AP48" s="8">
        <v>85008.000000000073</v>
      </c>
      <c r="AQ48" s="4">
        <v>94</v>
      </c>
      <c r="AR48" s="19">
        <v>56786.400000000038</v>
      </c>
      <c r="AT48" s="4" t="str">
        <f>AO48&amp;" to "&amp;AO47</f>
        <v>0 to -0.2</v>
      </c>
      <c r="AU48" s="11">
        <f t="shared" si="79"/>
        <v>858</v>
      </c>
      <c r="AV48" s="9">
        <f t="shared" si="71"/>
        <v>-0.14076923076923259</v>
      </c>
      <c r="AW48" s="4">
        <f t="shared" si="67"/>
        <v>8</v>
      </c>
      <c r="AX48" s="13">
        <f t="shared" ca="1" si="68"/>
        <v>3.2178217821782172E-2</v>
      </c>
      <c r="AY48" s="4">
        <v>0</v>
      </c>
      <c r="AZ48" s="8">
        <v>28512.000000000029</v>
      </c>
      <c r="BA48" s="4">
        <v>31</v>
      </c>
      <c r="BB48" s="19">
        <v>19361.76000000002</v>
      </c>
      <c r="BD48" s="4" t="str">
        <f>AY48&amp;" to "&amp;AY47</f>
        <v>0 to -0.2</v>
      </c>
      <c r="BE48" s="11">
        <f t="shared" si="35"/>
        <v>703.99999999999761</v>
      </c>
      <c r="BF48" s="9">
        <f t="shared" si="72"/>
        <v>-9.2499999999998875E-2</v>
      </c>
      <c r="BG48" s="4">
        <f t="shared" si="37"/>
        <v>3</v>
      </c>
      <c r="BH48" s="13">
        <f t="shared" ca="1" si="38"/>
        <v>5.4054054054053877E-2</v>
      </c>
      <c r="BI48" s="4">
        <v>0</v>
      </c>
      <c r="BJ48" s="1">
        <v>112463.99999999988</v>
      </c>
      <c r="BK48" s="1">
        <v>130</v>
      </c>
      <c r="BL48" s="1">
        <v>49827.359999999855</v>
      </c>
      <c r="BN48" s="4" t="str">
        <f>BI48&amp;" to "&amp;BI47</f>
        <v>0 to -0.2</v>
      </c>
      <c r="BO48" s="11">
        <f t="shared" si="40"/>
        <v>871.20000000000402</v>
      </c>
      <c r="BP48" s="9">
        <f t="shared" si="73"/>
        <v>-7.7878787878787048E-2</v>
      </c>
      <c r="BQ48" s="4">
        <f t="shared" si="42"/>
        <v>40</v>
      </c>
      <c r="BR48" s="13">
        <f t="shared" ca="1" si="43"/>
        <v>0.14193548387096841</v>
      </c>
      <c r="BS48" s="4">
        <v>0</v>
      </c>
      <c r="BT48" s="1">
        <v>50687.999999999898</v>
      </c>
      <c r="BU48" s="1">
        <v>59</v>
      </c>
      <c r="BV48" s="1">
        <v>24805.439999999937</v>
      </c>
      <c r="BX48" s="4" t="str">
        <f>BS48&amp;" to "&amp;BS47</f>
        <v>0 to -0.2</v>
      </c>
      <c r="BY48" s="11">
        <f t="shared" si="45"/>
        <v>588.92307692307827</v>
      </c>
      <c r="BZ48" s="9">
        <f t="shared" si="74"/>
        <v>-0.11931034482758551</v>
      </c>
      <c r="CA48" s="4">
        <f t="shared" si="47"/>
        <v>26</v>
      </c>
      <c r="CB48" s="13">
        <f t="shared" ca="1" si="48"/>
        <v>0.19333333333333377</v>
      </c>
      <c r="CC48" s="4">
        <v>0</v>
      </c>
      <c r="CD48" s="1">
        <v>32207.999999999894</v>
      </c>
      <c r="CE48" s="1">
        <v>40</v>
      </c>
      <c r="CF48" s="1">
        <v>19023.839999999982</v>
      </c>
      <c r="CH48" s="4" t="str">
        <f>CC48&amp;" to "&amp;CC47</f>
        <v>0 to -0.2</v>
      </c>
      <c r="CI48" s="11">
        <f t="shared" si="50"/>
        <v>527.9999999999709</v>
      </c>
      <c r="CJ48" s="9">
        <f t="shared" si="75"/>
        <v>-0.12000000000000083</v>
      </c>
      <c r="CK48" s="4">
        <f t="shared" si="52"/>
        <v>2</v>
      </c>
      <c r="CL48" s="13">
        <f t="shared" ca="1" si="53"/>
        <v>2.4390243902437714E-2</v>
      </c>
      <c r="CM48" s="4">
        <v>0</v>
      </c>
      <c r="CN48" s="1">
        <v>31680.000000000469</v>
      </c>
      <c r="CO48" s="1">
        <v>47</v>
      </c>
      <c r="CP48" s="1">
        <v>5976.9600000000837</v>
      </c>
      <c r="CR48" s="4" t="str">
        <f>CM48&amp;" to "&amp;CM47</f>
        <v>0 to -0.2</v>
      </c>
      <c r="CS48" s="11">
        <f t="shared" si="55"/>
        <v>641.14285714286416</v>
      </c>
      <c r="CT48" s="9">
        <f t="shared" si="76"/>
        <v>-9.3235294117646209E-2</v>
      </c>
      <c r="CU48" s="4">
        <f t="shared" si="57"/>
        <v>28</v>
      </c>
      <c r="CV48" s="13">
        <f t="shared" ca="1" si="58"/>
        <v>0.17171717171717349</v>
      </c>
      <c r="CW48" s="4">
        <v>0</v>
      </c>
      <c r="CX48" s="1">
        <v>83951.999999999898</v>
      </c>
      <c r="CY48" s="1">
        <v>106</v>
      </c>
      <c r="CZ48" s="1">
        <v>47213.759999999922</v>
      </c>
      <c r="DB48" s="4" t="str">
        <f>CW48&amp;" to "&amp;CW47</f>
        <v>0 to -0.2</v>
      </c>
      <c r="DC48" s="11">
        <f t="shared" si="60"/>
        <v>590.11764705882524</v>
      </c>
      <c r="DD48" s="9">
        <f t="shared" si="77"/>
        <v>-0.10684210526315652</v>
      </c>
      <c r="DE48" s="4">
        <f t="shared" si="62"/>
        <v>17</v>
      </c>
      <c r="DF48" s="13">
        <f t="shared" ca="1" si="63"/>
        <v>6.529209621993147E-2</v>
      </c>
    </row>
    <row r="49" spans="1:110" x14ac:dyDescent="0.25">
      <c r="A49" s="1">
        <v>48</v>
      </c>
      <c r="B49" s="4">
        <v>7400</v>
      </c>
      <c r="C49" s="4">
        <v>8.9</v>
      </c>
      <c r="D49" s="4">
        <v>9.1</v>
      </c>
      <c r="E49" s="4">
        <f t="shared" si="15"/>
        <v>0.19999999999999929</v>
      </c>
      <c r="F49" s="4">
        <v>0</v>
      </c>
      <c r="G49" s="4">
        <v>-1.07</v>
      </c>
      <c r="H49" s="4">
        <v>79</v>
      </c>
      <c r="I49" s="4"/>
      <c r="J49" s="4">
        <v>49</v>
      </c>
      <c r="K49"/>
      <c r="L49"/>
      <c r="M49" s="4">
        <f t="shared" si="16"/>
        <v>9.1</v>
      </c>
      <c r="N49" s="4"/>
      <c r="O49" s="1">
        <f t="shared" si="17"/>
        <v>8.9</v>
      </c>
      <c r="P49" s="1">
        <f t="shared" si="18"/>
        <v>0</v>
      </c>
      <c r="Q49" s="1" t="str">
        <f t="shared" si="3"/>
        <v/>
      </c>
      <c r="R49" s="1" t="str">
        <f t="shared" si="19"/>
        <v/>
      </c>
      <c r="S49" s="1">
        <f t="shared" si="20"/>
        <v>439.13280000000015</v>
      </c>
      <c r="T49" s="1">
        <f t="shared" si="21"/>
        <v>-1.07</v>
      </c>
      <c r="U49" s="1">
        <f t="shared" si="22"/>
        <v>1055.9999999999964</v>
      </c>
      <c r="V49" s="1">
        <f t="shared" si="23"/>
        <v>1129.9199999999962</v>
      </c>
      <c r="X49" s="10"/>
      <c r="Y49" s="4"/>
      <c r="Z49" s="4"/>
      <c r="AA49" s="12"/>
      <c r="AB49" s="12"/>
      <c r="AC49" s="4"/>
      <c r="AD49" s="4"/>
      <c r="AE49" s="4">
        <v>0.2</v>
      </c>
      <c r="AF49" s="8">
        <v>11088</v>
      </c>
      <c r="AG49" s="4">
        <v>11</v>
      </c>
      <c r="AH49" s="19">
        <v>3278.8799999999965</v>
      </c>
      <c r="AJ49" s="4" t="str">
        <f t="shared" ref="AJ49:AJ57" si="80">AE48&amp;" to "&amp;AE49</f>
        <v>0 to 0.2</v>
      </c>
      <c r="AK49" s="11">
        <f t="shared" si="78"/>
        <v>1320.0000000000005</v>
      </c>
      <c r="AL49" s="9">
        <f t="shared" si="70"/>
        <v>0</v>
      </c>
      <c r="AM49" s="4">
        <f t="shared" si="65"/>
        <v>4</v>
      </c>
      <c r="AN49" s="13">
        <f t="shared" ca="1" si="69"/>
        <v>0.14925373134328365</v>
      </c>
      <c r="AO49" s="4">
        <v>0.2</v>
      </c>
      <c r="AP49" s="8">
        <v>109824.00000000019</v>
      </c>
      <c r="AQ49" s="4">
        <v>125</v>
      </c>
      <c r="AR49" s="19">
        <v>59067.360000000008</v>
      </c>
      <c r="AT49" s="4" t="str">
        <f t="shared" ref="AT49:AT66" si="81">AO48&amp;" to "&amp;AO49</f>
        <v>0 to 0.2</v>
      </c>
      <c r="AU49" s="11">
        <f t="shared" si="79"/>
        <v>800.5161290322618</v>
      </c>
      <c r="AV49" s="9">
        <f t="shared" si="71"/>
        <v>0</v>
      </c>
      <c r="AW49" s="4">
        <f t="shared" si="67"/>
        <v>31</v>
      </c>
      <c r="AX49" s="13">
        <f ca="1">(AW49*AU49)/5280/$AI$4</f>
        <v>0.11633663366336687</v>
      </c>
      <c r="AY49" s="4">
        <v>0.2</v>
      </c>
      <c r="AZ49" s="8">
        <v>33264.000000000022</v>
      </c>
      <c r="BA49" s="4">
        <v>38</v>
      </c>
      <c r="BB49" s="19">
        <v>19789.440000000024</v>
      </c>
      <c r="BD49" s="4" t="str">
        <f t="shared" ref="BD49:BD66" si="82">AY48&amp;" to "&amp;AY49</f>
        <v>0 to 0.2</v>
      </c>
      <c r="BE49" s="11">
        <f t="shared" si="35"/>
        <v>678.85714285714187</v>
      </c>
      <c r="BF49" s="9">
        <f t="shared" si="72"/>
        <v>0</v>
      </c>
      <c r="BG49" s="4">
        <f t="shared" si="37"/>
        <v>7</v>
      </c>
      <c r="BH49" s="13">
        <f t="shared" ca="1" si="38"/>
        <v>0.12162162162162145</v>
      </c>
      <c r="BI49" s="4">
        <v>0.2</v>
      </c>
      <c r="BJ49" s="1">
        <v>128304.0000000001</v>
      </c>
      <c r="BK49" s="1">
        <v>152</v>
      </c>
      <c r="BL49" s="1">
        <v>51274.079999999871</v>
      </c>
      <c r="BN49" s="4" t="str">
        <f t="shared" ref="BN49:BN66" si="83">BI48&amp;" to "&amp;BI49</f>
        <v>0 to 0.2</v>
      </c>
      <c r="BO49" s="11">
        <f t="shared" si="40"/>
        <v>720.00000000000989</v>
      </c>
      <c r="BP49" s="9">
        <f t="shared" si="73"/>
        <v>0</v>
      </c>
      <c r="BQ49" s="4">
        <f t="shared" si="42"/>
        <v>22</v>
      </c>
      <c r="BR49" s="13">
        <f t="shared" ca="1" si="43"/>
        <v>6.4516129032258951E-2</v>
      </c>
      <c r="BS49" s="4">
        <v>0.2</v>
      </c>
      <c r="BT49" s="1">
        <v>58607.999999999818</v>
      </c>
      <c r="BU49" s="1">
        <v>69</v>
      </c>
      <c r="BV49" s="1">
        <v>25402.079999999929</v>
      </c>
      <c r="BX49" s="4" t="str">
        <f t="shared" ref="BX49:BX66" si="84">BS48&amp;" to "&amp;BS49</f>
        <v>0 to 0.2</v>
      </c>
      <c r="BY49" s="11">
        <f t="shared" si="45"/>
        <v>791.99999999999204</v>
      </c>
      <c r="BZ49" s="9">
        <f t="shared" si="74"/>
        <v>0</v>
      </c>
      <c r="CA49" s="4">
        <f t="shared" si="47"/>
        <v>10</v>
      </c>
      <c r="CB49" s="13">
        <f t="shared" ca="1" si="48"/>
        <v>9.9999999999998992E-2</v>
      </c>
      <c r="CC49" s="4">
        <v>0.2</v>
      </c>
      <c r="CD49" s="1">
        <v>33791.999999999876</v>
      </c>
      <c r="CE49" s="1">
        <v>42</v>
      </c>
      <c r="CF49" s="1">
        <v>19071.359999999982</v>
      </c>
      <c r="CH49" s="4" t="str">
        <f t="shared" ref="CH49:CH66" si="85">CC48&amp;" to "&amp;CC49</f>
        <v>0 to 0.2</v>
      </c>
      <c r="CI49" s="11">
        <f t="shared" si="50"/>
        <v>791.99999999999091</v>
      </c>
      <c r="CJ49" s="9">
        <f t="shared" si="75"/>
        <v>0</v>
      </c>
      <c r="CK49" s="4">
        <f t="shared" si="52"/>
        <v>2</v>
      </c>
      <c r="CL49" s="13">
        <f t="shared" ca="1" si="53"/>
        <v>3.6585365853658167E-2</v>
      </c>
      <c r="CM49" s="4">
        <v>0.2</v>
      </c>
      <c r="CN49" s="1">
        <v>54384.000000000015</v>
      </c>
      <c r="CO49" s="1">
        <v>79</v>
      </c>
      <c r="CP49" s="1">
        <v>8020.3200000000315</v>
      </c>
      <c r="CR49" s="4" t="str">
        <f t="shared" ref="CR49:CR66" si="86">CM48&amp;" to "&amp;CM49</f>
        <v>0 to 0.2</v>
      </c>
      <c r="CS49" s="11">
        <f t="shared" si="55"/>
        <v>709.49999999998579</v>
      </c>
      <c r="CT49" s="9">
        <f t="shared" si="76"/>
        <v>0</v>
      </c>
      <c r="CU49" s="4">
        <f t="shared" si="57"/>
        <v>32</v>
      </c>
      <c r="CV49" s="13">
        <f t="shared" ca="1" si="58"/>
        <v>0.21717171717171269</v>
      </c>
      <c r="CW49" s="4">
        <v>0.2</v>
      </c>
      <c r="CX49" s="1">
        <v>102432.00000000019</v>
      </c>
      <c r="CY49" s="1">
        <v>134</v>
      </c>
      <c r="CZ49" s="1">
        <v>48422.879999999954</v>
      </c>
      <c r="DB49" s="4" t="str">
        <f t="shared" ref="DB49:DB66" si="87">CW48&amp;" to "&amp;CW49</f>
        <v>0 to 0.2</v>
      </c>
      <c r="DC49" s="11">
        <f t="shared" si="60"/>
        <v>660.00000000001035</v>
      </c>
      <c r="DD49" s="9">
        <f t="shared" si="77"/>
        <v>0</v>
      </c>
      <c r="DE49" s="4">
        <f t="shared" si="62"/>
        <v>28</v>
      </c>
      <c r="DF49" s="13">
        <f t="shared" ca="1" si="63"/>
        <v>0.120274914089349</v>
      </c>
    </row>
    <row r="50" spans="1:110" x14ac:dyDescent="0.25">
      <c r="A50" s="1">
        <v>49</v>
      </c>
      <c r="B50" s="4">
        <v>7400</v>
      </c>
      <c r="C50" s="4">
        <v>9.1</v>
      </c>
      <c r="D50" s="4">
        <v>9.6</v>
      </c>
      <c r="E50" s="4">
        <f t="shared" si="15"/>
        <v>0.5</v>
      </c>
      <c r="F50" s="4">
        <v>2</v>
      </c>
      <c r="G50" s="4">
        <v>-0.93</v>
      </c>
      <c r="H50" s="4">
        <v>79</v>
      </c>
      <c r="I50" s="4"/>
      <c r="J50" s="4">
        <v>49</v>
      </c>
      <c r="K50"/>
      <c r="L50"/>
      <c r="M50" s="4">
        <f t="shared" si="16"/>
        <v>9.6</v>
      </c>
      <c r="N50" s="4"/>
      <c r="O50" s="1">
        <f t="shared" si="17"/>
        <v>9.1</v>
      </c>
      <c r="P50" s="1">
        <f t="shared" si="18"/>
        <v>52.8</v>
      </c>
      <c r="Q50" s="1" t="str">
        <f t="shared" si="3"/>
        <v/>
      </c>
      <c r="R50" s="1" t="str">
        <f t="shared" si="19"/>
        <v/>
      </c>
      <c r="S50" s="1">
        <f t="shared" si="20"/>
        <v>427.83360000000016</v>
      </c>
      <c r="T50" s="1">
        <f t="shared" si="21"/>
        <v>-0.93</v>
      </c>
      <c r="U50" s="1">
        <f t="shared" si="22"/>
        <v>2640</v>
      </c>
      <c r="V50" s="1">
        <f t="shared" si="23"/>
        <v>2455.2000000000003</v>
      </c>
      <c r="X50" s="10"/>
      <c r="Y50" s="4"/>
      <c r="Z50" s="4"/>
      <c r="AA50" s="12"/>
      <c r="AB50" s="12"/>
      <c r="AC50" s="4"/>
      <c r="AD50" s="4"/>
      <c r="AE50" s="4">
        <v>0.4</v>
      </c>
      <c r="AF50" s="8">
        <v>12671.999999999996</v>
      </c>
      <c r="AG50" s="4">
        <v>12</v>
      </c>
      <c r="AH50" s="19">
        <v>3896.6399999999958</v>
      </c>
      <c r="AJ50" s="4" t="str">
        <f t="shared" si="80"/>
        <v>0.2 to 0.4</v>
      </c>
      <c r="AK50" s="11">
        <f t="shared" si="78"/>
        <v>1583.9999999999964</v>
      </c>
      <c r="AL50" s="9">
        <f t="shared" si="70"/>
        <v>0.39000000000000046</v>
      </c>
      <c r="AM50" s="4">
        <f t="shared" si="65"/>
        <v>1</v>
      </c>
      <c r="AN50" s="13">
        <f t="shared" ca="1" si="69"/>
        <v>4.4776119402984975E-2</v>
      </c>
      <c r="AO50" s="4">
        <v>0.4</v>
      </c>
      <c r="AP50" s="8">
        <v>128832.0000000002</v>
      </c>
      <c r="AQ50" s="4">
        <v>145</v>
      </c>
      <c r="AR50" s="19">
        <v>64685.280000000021</v>
      </c>
      <c r="AT50" s="4" t="str">
        <f t="shared" si="81"/>
        <v>0.2 to 0.4</v>
      </c>
      <c r="AU50" s="11">
        <f t="shared" si="79"/>
        <v>950.40000000000077</v>
      </c>
      <c r="AV50" s="9">
        <f t="shared" si="71"/>
        <v>0.29555555555555602</v>
      </c>
      <c r="AW50" s="4">
        <f t="shared" si="67"/>
        <v>20</v>
      </c>
      <c r="AX50" s="13">
        <f t="shared" ref="AX50:AX66" ca="1" si="88">(AW50*AU50)/5280/$AI$4</f>
        <v>8.910891089108916E-2</v>
      </c>
      <c r="AY50" s="4">
        <v>0.4</v>
      </c>
      <c r="AZ50" s="8">
        <v>34848.000000000007</v>
      </c>
      <c r="BA50" s="4">
        <v>40</v>
      </c>
      <c r="BB50" s="19">
        <v>20380.800000000017</v>
      </c>
      <c r="BD50" s="4" t="str">
        <f t="shared" si="82"/>
        <v>0.2 to 0.4</v>
      </c>
      <c r="BE50" s="11">
        <f t="shared" si="35"/>
        <v>791.99999999999272</v>
      </c>
      <c r="BF50" s="9">
        <f t="shared" si="72"/>
        <v>0.37333333333333252</v>
      </c>
      <c r="BG50" s="4">
        <f t="shared" si="37"/>
        <v>2</v>
      </c>
      <c r="BH50" s="13">
        <f t="shared" ca="1" si="38"/>
        <v>4.0540540540540182E-2</v>
      </c>
      <c r="BI50" s="4">
        <v>0.4</v>
      </c>
      <c r="BJ50" s="1">
        <v>153648.00000000026</v>
      </c>
      <c r="BK50" s="1">
        <v>184</v>
      </c>
      <c r="BL50" s="1">
        <v>58175.039999999877</v>
      </c>
      <c r="BN50" s="4" t="str">
        <f t="shared" si="83"/>
        <v>0.2 to 0.4</v>
      </c>
      <c r="BO50" s="11">
        <f t="shared" si="40"/>
        <v>792.000000000005</v>
      </c>
      <c r="BP50" s="9">
        <f t="shared" si="73"/>
        <v>0.27229166666666521</v>
      </c>
      <c r="BQ50" s="4">
        <f t="shared" si="42"/>
        <v>32</v>
      </c>
      <c r="BR50" s="13">
        <f t="shared" ca="1" si="43"/>
        <v>0.10322580645161356</v>
      </c>
      <c r="BS50" s="4">
        <v>0.4</v>
      </c>
      <c r="BT50" s="1">
        <v>63887.999999999898</v>
      </c>
      <c r="BU50" s="1">
        <v>77</v>
      </c>
      <c r="BV50" s="1">
        <v>26753.759999999947</v>
      </c>
      <c r="BX50" s="4" t="str">
        <f t="shared" si="84"/>
        <v>0.2 to 0.4</v>
      </c>
      <c r="BY50" s="11">
        <f t="shared" si="45"/>
        <v>660.00000000001</v>
      </c>
      <c r="BZ50" s="9">
        <f t="shared" si="74"/>
        <v>0.25599999999999962</v>
      </c>
      <c r="CA50" s="4">
        <f t="shared" si="47"/>
        <v>8</v>
      </c>
      <c r="CB50" s="13">
        <f t="shared" ca="1" si="48"/>
        <v>6.6666666666667679E-2</v>
      </c>
      <c r="CC50" s="4">
        <v>0.4</v>
      </c>
      <c r="CD50" s="1">
        <v>34319.999999999927</v>
      </c>
      <c r="CE50" s="1">
        <v>43</v>
      </c>
      <c r="CF50" s="1">
        <v>19208.639999999992</v>
      </c>
      <c r="CH50" s="4" t="str">
        <f t="shared" si="85"/>
        <v>0.2 to 0.4</v>
      </c>
      <c r="CI50" s="11">
        <f t="shared" si="50"/>
        <v>528.00000000005093</v>
      </c>
      <c r="CJ50" s="9">
        <f t="shared" si="75"/>
        <v>0.2599999999999934</v>
      </c>
      <c r="CK50" s="4">
        <f t="shared" si="52"/>
        <v>1</v>
      </c>
      <c r="CL50" s="13">
        <f t="shared" ca="1" si="53"/>
        <v>1.2195121951220706E-2</v>
      </c>
      <c r="CM50" s="4">
        <v>0.4</v>
      </c>
      <c r="CN50" s="1">
        <v>67584.00000000016</v>
      </c>
      <c r="CO50" s="1">
        <v>97</v>
      </c>
      <c r="CP50" s="1">
        <v>11737.440000000079</v>
      </c>
      <c r="CR50" s="4" t="str">
        <f t="shared" si="86"/>
        <v>0.2 to 0.4</v>
      </c>
      <c r="CS50" s="11">
        <f t="shared" si="55"/>
        <v>733.33333333334144</v>
      </c>
      <c r="CT50" s="9">
        <f t="shared" si="76"/>
        <v>0.28160000000000046</v>
      </c>
      <c r="CU50" s="4">
        <f t="shared" si="57"/>
        <v>18</v>
      </c>
      <c r="CV50" s="13">
        <f t="shared" ca="1" si="58"/>
        <v>0.12626262626262758</v>
      </c>
      <c r="CW50" s="4">
        <v>0.4</v>
      </c>
      <c r="CX50" s="1">
        <v>116688.00000000028</v>
      </c>
      <c r="CY50" s="1">
        <v>154</v>
      </c>
      <c r="CZ50" s="1">
        <v>52715.519999999975</v>
      </c>
      <c r="DB50" s="4" t="str">
        <f t="shared" si="87"/>
        <v>0.2 to 0.4</v>
      </c>
      <c r="DC50" s="11">
        <f t="shared" si="60"/>
        <v>712.80000000000439</v>
      </c>
      <c r="DD50" s="9">
        <f t="shared" si="77"/>
        <v>0.30111111111111077</v>
      </c>
      <c r="DE50" s="4">
        <f t="shared" si="62"/>
        <v>20</v>
      </c>
      <c r="DF50" s="13">
        <f t="shared" ca="1" si="63"/>
        <v>9.2783505154639762E-2</v>
      </c>
    </row>
    <row r="51" spans="1:110" x14ac:dyDescent="0.25">
      <c r="A51" s="1">
        <v>50</v>
      </c>
      <c r="B51" s="4">
        <v>7400</v>
      </c>
      <c r="C51" s="4">
        <v>9.6</v>
      </c>
      <c r="D51" s="4">
        <v>9.7999999999999989</v>
      </c>
      <c r="E51" s="4">
        <f t="shared" si="15"/>
        <v>0.19999999999999929</v>
      </c>
      <c r="F51" s="4">
        <v>0</v>
      </c>
      <c r="G51" s="4">
        <v>-0.93</v>
      </c>
      <c r="H51" s="4">
        <v>79</v>
      </c>
      <c r="I51" s="4"/>
      <c r="J51" s="4">
        <v>49</v>
      </c>
      <c r="K51"/>
      <c r="L51"/>
      <c r="M51" s="4">
        <f t="shared" si="16"/>
        <v>9.7999999999999989</v>
      </c>
      <c r="N51" s="4"/>
      <c r="O51" s="1">
        <f t="shared" si="17"/>
        <v>9.6</v>
      </c>
      <c r="P51" s="1">
        <f t="shared" si="18"/>
        <v>0</v>
      </c>
      <c r="Q51" s="1" t="str">
        <f t="shared" si="3"/>
        <v/>
      </c>
      <c r="R51" s="1" t="str">
        <f t="shared" si="19"/>
        <v/>
      </c>
      <c r="S51" s="1">
        <f t="shared" si="20"/>
        <v>403.28160000000014</v>
      </c>
      <c r="T51" s="1">
        <f t="shared" si="21"/>
        <v>-0.93</v>
      </c>
      <c r="U51" s="1">
        <f t="shared" si="22"/>
        <v>1055.9999999999964</v>
      </c>
      <c r="V51" s="1">
        <f t="shared" si="23"/>
        <v>982.07999999999663</v>
      </c>
      <c r="X51" s="10"/>
      <c r="Y51" s="4"/>
      <c r="Z51" s="4"/>
      <c r="AA51" s="12"/>
      <c r="AB51" s="12"/>
      <c r="AC51" s="4"/>
      <c r="AD51" s="4"/>
      <c r="AE51" s="4">
        <v>0.6</v>
      </c>
      <c r="AF51" s="8">
        <v>15839.999999999996</v>
      </c>
      <c r="AG51" s="4">
        <v>15</v>
      </c>
      <c r="AH51" s="19">
        <v>5734.0799999999945</v>
      </c>
      <c r="AJ51" s="4" t="str">
        <f t="shared" si="80"/>
        <v>0.4 to 0.6</v>
      </c>
      <c r="AK51" s="11">
        <f t="shared" si="78"/>
        <v>1056</v>
      </c>
      <c r="AL51" s="9">
        <f t="shared" si="70"/>
        <v>0.57999999999999963</v>
      </c>
      <c r="AM51" s="4">
        <f t="shared" si="65"/>
        <v>3</v>
      </c>
      <c r="AN51" s="13">
        <f t="shared" ca="1" si="69"/>
        <v>8.9552238805970158E-2</v>
      </c>
      <c r="AO51" s="4">
        <v>0.6</v>
      </c>
      <c r="AP51" s="8">
        <v>151536.00000000015</v>
      </c>
      <c r="AQ51" s="4">
        <v>176</v>
      </c>
      <c r="AR51" s="19">
        <v>76422.719999999987</v>
      </c>
      <c r="AT51" s="4" t="str">
        <f t="shared" si="81"/>
        <v>0.4 to 0.6</v>
      </c>
      <c r="AU51" s="11">
        <f t="shared" si="79"/>
        <v>732.38709677419172</v>
      </c>
      <c r="AV51" s="9">
        <f t="shared" si="71"/>
        <v>0.51697674418604633</v>
      </c>
      <c r="AW51" s="4">
        <f t="shared" si="67"/>
        <v>31</v>
      </c>
      <c r="AX51" s="13">
        <f t="shared" ca="1" si="88"/>
        <v>0.10643564356435616</v>
      </c>
      <c r="AY51" s="4">
        <v>0.6</v>
      </c>
      <c r="AZ51" s="8">
        <v>34848.000000000007</v>
      </c>
      <c r="BA51" s="4">
        <v>40</v>
      </c>
      <c r="BB51" s="19">
        <v>20380.800000000017</v>
      </c>
      <c r="BD51" s="4" t="str">
        <f t="shared" si="82"/>
        <v>0.4 to 0.6</v>
      </c>
      <c r="BE51" s="11">
        <f t="shared" si="35"/>
        <v>0</v>
      </c>
      <c r="BF51" s="9">
        <f t="shared" si="72"/>
        <v>0</v>
      </c>
      <c r="BG51" s="4">
        <f t="shared" si="37"/>
        <v>0</v>
      </c>
      <c r="BH51" s="13">
        <f t="shared" ca="1" si="38"/>
        <v>0</v>
      </c>
      <c r="BI51" s="4">
        <v>0.6</v>
      </c>
      <c r="BJ51" s="1">
        <v>176880.00000000041</v>
      </c>
      <c r="BK51" s="1">
        <v>219</v>
      </c>
      <c r="BL51" s="1">
        <v>70567.199999999881</v>
      </c>
      <c r="BN51" s="4" t="str">
        <f t="shared" si="83"/>
        <v>0.4 to 0.6</v>
      </c>
      <c r="BO51" s="11">
        <f t="shared" si="40"/>
        <v>663.77142857143269</v>
      </c>
      <c r="BP51" s="9">
        <f t="shared" si="73"/>
        <v>0.53340909090908772</v>
      </c>
      <c r="BQ51" s="4">
        <f t="shared" si="42"/>
        <v>35</v>
      </c>
      <c r="BR51" s="13">
        <f t="shared" ca="1" si="43"/>
        <v>9.4623655913979088E-2</v>
      </c>
      <c r="BS51" s="4">
        <v>0.6</v>
      </c>
      <c r="BT51" s="1">
        <v>67056.000000000015</v>
      </c>
      <c r="BU51" s="1">
        <v>82</v>
      </c>
      <c r="BV51" s="1">
        <v>28311.360000000004</v>
      </c>
      <c r="BX51" s="4" t="str">
        <f t="shared" si="84"/>
        <v>0.4 to 0.6</v>
      </c>
      <c r="BY51" s="11">
        <f t="shared" si="45"/>
        <v>633.60000000002333</v>
      </c>
      <c r="BZ51" s="9">
        <f t="shared" si="74"/>
        <v>0.49166666666666653</v>
      </c>
      <c r="CA51" s="4">
        <f t="shared" si="47"/>
        <v>5</v>
      </c>
      <c r="CB51" s="13">
        <f t="shared" ca="1" si="48"/>
        <v>4.0000000000001472E-2</v>
      </c>
      <c r="CC51" s="4">
        <v>0.6</v>
      </c>
      <c r="CD51" s="1">
        <v>40127.999999999964</v>
      </c>
      <c r="CE51" s="1">
        <v>49</v>
      </c>
      <c r="CF51" s="1">
        <v>22102.080000000009</v>
      </c>
      <c r="CH51" s="4" t="str">
        <f t="shared" si="85"/>
        <v>0.4 to 0.6</v>
      </c>
      <c r="CI51" s="11">
        <f t="shared" si="50"/>
        <v>968.00000000000603</v>
      </c>
      <c r="CJ51" s="9">
        <f t="shared" si="75"/>
        <v>0.49818181818181795</v>
      </c>
      <c r="CK51" s="4">
        <f t="shared" si="52"/>
        <v>6</v>
      </c>
      <c r="CL51" s="13">
        <f t="shared" ca="1" si="53"/>
        <v>0.13414634146341567</v>
      </c>
      <c r="CM51" s="4">
        <v>0.6</v>
      </c>
      <c r="CN51" s="1">
        <v>81839.999999999884</v>
      </c>
      <c r="CO51" s="1">
        <v>116</v>
      </c>
      <c r="CP51" s="1">
        <v>18226.55999999995</v>
      </c>
      <c r="CR51" s="4" t="str">
        <f t="shared" si="86"/>
        <v>0.4 to 0.6</v>
      </c>
      <c r="CS51" s="11">
        <f t="shared" si="55"/>
        <v>750.31578947366961</v>
      </c>
      <c r="CT51" s="9">
        <f t="shared" si="76"/>
        <v>0.45518518518518503</v>
      </c>
      <c r="CU51" s="4">
        <f t="shared" si="57"/>
        <v>19</v>
      </c>
      <c r="CV51" s="13">
        <f t="shared" ca="1" si="58"/>
        <v>0.13636363636363366</v>
      </c>
      <c r="CW51" s="4">
        <v>0.6</v>
      </c>
      <c r="CX51" s="1">
        <v>137807.99999999983</v>
      </c>
      <c r="CY51" s="1">
        <v>186</v>
      </c>
      <c r="CZ51" s="1">
        <v>62879.5199999998</v>
      </c>
      <c r="DB51" s="4" t="str">
        <f t="shared" si="87"/>
        <v>0.4 to 0.6</v>
      </c>
      <c r="DC51" s="11">
        <f t="shared" si="60"/>
        <v>659.9999999999859</v>
      </c>
      <c r="DD51" s="9">
        <f t="shared" si="77"/>
        <v>0.48125000000000201</v>
      </c>
      <c r="DE51" s="4">
        <f t="shared" si="62"/>
        <v>32</v>
      </c>
      <c r="DF51" s="13">
        <f t="shared" ca="1" si="63"/>
        <v>0.13745704467353662</v>
      </c>
    </row>
    <row r="52" spans="1:110" x14ac:dyDescent="0.25">
      <c r="A52" s="1">
        <v>51</v>
      </c>
      <c r="B52" s="4">
        <v>7400</v>
      </c>
      <c r="C52" s="4">
        <v>9.7999999999999989</v>
      </c>
      <c r="D52" s="4">
        <v>10.1</v>
      </c>
      <c r="E52" s="4">
        <f t="shared" si="15"/>
        <v>0.30000000000000071</v>
      </c>
      <c r="F52" s="4">
        <v>3.2</v>
      </c>
      <c r="G52" s="4">
        <v>-0.93</v>
      </c>
      <c r="H52" s="4">
        <v>79</v>
      </c>
      <c r="I52" s="4"/>
      <c r="J52" s="4">
        <v>49</v>
      </c>
      <c r="K52"/>
      <c r="L52"/>
      <c r="M52" s="4">
        <f t="shared" si="16"/>
        <v>10.1</v>
      </c>
      <c r="N52" s="4"/>
      <c r="O52" s="1">
        <f t="shared" si="17"/>
        <v>9.7999999999999989</v>
      </c>
      <c r="P52" s="1">
        <f t="shared" si="18"/>
        <v>50.688000000000123</v>
      </c>
      <c r="Q52" s="1" t="str">
        <f t="shared" si="3"/>
        <v/>
      </c>
      <c r="R52" s="1" t="str">
        <f t="shared" si="19"/>
        <v/>
      </c>
      <c r="S52" s="1">
        <f t="shared" si="20"/>
        <v>393.46080000000018</v>
      </c>
      <c r="T52" s="1">
        <f t="shared" si="21"/>
        <v>-0.93</v>
      </c>
      <c r="U52" s="1">
        <f t="shared" si="22"/>
        <v>1584.0000000000036</v>
      </c>
      <c r="V52" s="1">
        <f t="shared" si="23"/>
        <v>1473.1200000000035</v>
      </c>
      <c r="X52" s="10"/>
      <c r="Y52" s="4"/>
      <c r="Z52" s="4"/>
      <c r="AA52" s="12"/>
      <c r="AB52" s="12"/>
      <c r="AC52" s="4"/>
      <c r="AD52" s="13"/>
      <c r="AE52" s="4">
        <v>0.8</v>
      </c>
      <c r="AF52" s="8">
        <v>20592</v>
      </c>
      <c r="AG52" s="4">
        <v>21</v>
      </c>
      <c r="AH52" s="19">
        <v>9144.9599999999937</v>
      </c>
      <c r="AJ52" s="4" t="str">
        <f t="shared" si="80"/>
        <v>0.6 to 0.8</v>
      </c>
      <c r="AK52" s="11">
        <f t="shared" si="78"/>
        <v>792.00000000000057</v>
      </c>
      <c r="AL52" s="9">
        <f t="shared" si="70"/>
        <v>0.71777777777777707</v>
      </c>
      <c r="AM52" s="4">
        <f t="shared" si="65"/>
        <v>6</v>
      </c>
      <c r="AN52" s="13">
        <f t="shared" ca="1" si="69"/>
        <v>0.13432835820895533</v>
      </c>
      <c r="AO52" s="4">
        <v>0.8</v>
      </c>
      <c r="AP52" s="8">
        <v>165264.00000000009</v>
      </c>
      <c r="AQ52" s="4">
        <v>193</v>
      </c>
      <c r="AR52" s="19">
        <v>85609.919999999925</v>
      </c>
      <c r="AT52" s="4" t="str">
        <f t="shared" si="81"/>
        <v>0.6 to 0.8</v>
      </c>
      <c r="AU52" s="11">
        <f t="shared" si="79"/>
        <v>807.52941176470244</v>
      </c>
      <c r="AV52" s="9">
        <f t="shared" si="71"/>
        <v>0.66923076923076763</v>
      </c>
      <c r="AW52" s="4">
        <f t="shared" si="67"/>
        <v>17</v>
      </c>
      <c r="AX52" s="13">
        <f t="shared" ca="1" si="88"/>
        <v>6.4356435643564081E-2</v>
      </c>
      <c r="AY52" s="4">
        <v>0.8</v>
      </c>
      <c r="AZ52" s="8">
        <v>36431.999999999993</v>
      </c>
      <c r="BA52" s="4">
        <v>43</v>
      </c>
      <c r="BB52" s="19">
        <v>21537.120000000006</v>
      </c>
      <c r="BD52" s="4" t="str">
        <f t="shared" si="82"/>
        <v>0.6 to 0.8</v>
      </c>
      <c r="BE52" s="11">
        <f t="shared" si="35"/>
        <v>527.99999999999511</v>
      </c>
      <c r="BF52" s="9">
        <f t="shared" si="72"/>
        <v>0.72999999999999965</v>
      </c>
      <c r="BG52" s="4">
        <f t="shared" si="37"/>
        <v>3</v>
      </c>
      <c r="BH52" s="13">
        <f t="shared" ca="1" si="38"/>
        <v>4.0540540540540182E-2</v>
      </c>
      <c r="BI52" s="4">
        <v>0.8</v>
      </c>
      <c r="BJ52" s="1">
        <v>199056.00000000049</v>
      </c>
      <c r="BK52" s="1">
        <v>254</v>
      </c>
      <c r="BL52" s="1">
        <v>85694.399999999907</v>
      </c>
      <c r="BN52" s="4" t="str">
        <f t="shared" si="83"/>
        <v>0.6 to 0.8</v>
      </c>
      <c r="BO52" s="11">
        <f t="shared" si="40"/>
        <v>633.60000000000252</v>
      </c>
      <c r="BP52" s="9">
        <f t="shared" si="73"/>
        <v>0.68214285714285561</v>
      </c>
      <c r="BQ52" s="4">
        <f t="shared" si="42"/>
        <v>35</v>
      </c>
      <c r="BR52" s="13">
        <f t="shared" ca="1" si="43"/>
        <v>9.0322580645161632E-2</v>
      </c>
      <c r="BS52" s="4">
        <v>0.8</v>
      </c>
      <c r="BT52" s="1">
        <v>72336.000000000087</v>
      </c>
      <c r="BU52" s="1">
        <v>87</v>
      </c>
      <c r="BV52" s="1">
        <v>31980.960000000061</v>
      </c>
      <c r="BX52" s="4" t="str">
        <f t="shared" si="84"/>
        <v>0.6 to 0.8</v>
      </c>
      <c r="BY52" s="11">
        <f t="shared" si="45"/>
        <v>1056.0000000000146</v>
      </c>
      <c r="BZ52" s="9">
        <f t="shared" si="74"/>
        <v>0.69500000000000117</v>
      </c>
      <c r="CA52" s="4">
        <f t="shared" si="47"/>
        <v>5</v>
      </c>
      <c r="CB52" s="13">
        <f t="shared" ca="1" si="48"/>
        <v>6.6666666666667582E-2</v>
      </c>
      <c r="CC52" s="4">
        <v>0.8</v>
      </c>
      <c r="CD52" s="1">
        <v>41183.999999999985</v>
      </c>
      <c r="CE52" s="1">
        <v>51</v>
      </c>
      <c r="CF52" s="1">
        <v>22788.480000000021</v>
      </c>
      <c r="CH52" s="4" t="str">
        <f t="shared" si="85"/>
        <v>0.6 to 0.8</v>
      </c>
      <c r="CI52" s="11">
        <f t="shared" si="50"/>
        <v>528.00000000001091</v>
      </c>
      <c r="CJ52" s="9">
        <f t="shared" si="75"/>
        <v>0.64999999999999825</v>
      </c>
      <c r="CK52" s="4">
        <f t="shared" si="52"/>
        <v>2</v>
      </c>
      <c r="CL52" s="13">
        <f t="shared" ca="1" si="53"/>
        <v>2.4390243902439563E-2</v>
      </c>
      <c r="CM52" s="4">
        <v>0.8</v>
      </c>
      <c r="CN52" s="1">
        <v>89760.000000000029</v>
      </c>
      <c r="CO52" s="1">
        <v>129</v>
      </c>
      <c r="CP52" s="1">
        <v>23654.400000000049</v>
      </c>
      <c r="CR52" s="4" t="str">
        <f t="shared" si="86"/>
        <v>0.6 to 0.8</v>
      </c>
      <c r="CS52" s="11">
        <f t="shared" si="55"/>
        <v>609.23076923078042</v>
      </c>
      <c r="CT52" s="9">
        <f t="shared" si="76"/>
        <v>0.68533333333333313</v>
      </c>
      <c r="CU52" s="4">
        <f t="shared" si="57"/>
        <v>13</v>
      </c>
      <c r="CV52" s="13">
        <f t="shared" ca="1" si="58"/>
        <v>7.5757575757577106E-2</v>
      </c>
      <c r="CW52" s="4">
        <v>0.8</v>
      </c>
      <c r="CX52" s="1">
        <v>145200</v>
      </c>
      <c r="CY52" s="1">
        <v>197</v>
      </c>
      <c r="CZ52" s="1">
        <v>67895.519999999917</v>
      </c>
      <c r="DB52" s="4" t="str">
        <f t="shared" si="87"/>
        <v>0.6 to 0.8</v>
      </c>
      <c r="DC52" s="11">
        <f t="shared" si="60"/>
        <v>672.00000000001592</v>
      </c>
      <c r="DD52" s="9">
        <f t="shared" si="77"/>
        <v>0.67857142857142827</v>
      </c>
      <c r="DE52" s="4">
        <f t="shared" si="62"/>
        <v>11</v>
      </c>
      <c r="DF52" s="13">
        <f t="shared" ca="1" si="63"/>
        <v>4.8109965635739972E-2</v>
      </c>
    </row>
    <row r="53" spans="1:110" x14ac:dyDescent="0.25">
      <c r="A53" s="1">
        <v>52</v>
      </c>
      <c r="B53" s="4">
        <v>7400</v>
      </c>
      <c r="C53" s="4">
        <v>10.1</v>
      </c>
      <c r="D53" s="4">
        <v>10.199999999999999</v>
      </c>
      <c r="E53" s="4">
        <f t="shared" si="15"/>
        <v>9.9999999999999645E-2</v>
      </c>
      <c r="F53" s="4">
        <v>3.2</v>
      </c>
      <c r="G53" s="4">
        <v>-0.93</v>
      </c>
      <c r="H53" s="4">
        <v>79</v>
      </c>
      <c r="I53" s="4"/>
      <c r="J53" s="4">
        <v>49</v>
      </c>
      <c r="K53"/>
      <c r="L53"/>
      <c r="M53" s="4">
        <f t="shared" si="16"/>
        <v>10.199999999999999</v>
      </c>
      <c r="N53" s="4"/>
      <c r="O53" s="1">
        <f t="shared" si="17"/>
        <v>10.1</v>
      </c>
      <c r="P53" s="1">
        <f t="shared" si="18"/>
        <v>16.89599999999994</v>
      </c>
      <c r="Q53" s="1" t="str">
        <f t="shared" si="3"/>
        <v/>
      </c>
      <c r="R53" s="1" t="str">
        <f t="shared" si="19"/>
        <v/>
      </c>
      <c r="S53" s="1">
        <f t="shared" si="20"/>
        <v>378.72960000000012</v>
      </c>
      <c r="T53" s="1">
        <f t="shared" si="21"/>
        <v>-0.93</v>
      </c>
      <c r="U53" s="1">
        <f t="shared" si="22"/>
        <v>527.99999999999818</v>
      </c>
      <c r="V53" s="1">
        <f t="shared" si="23"/>
        <v>491.03999999999832</v>
      </c>
      <c r="X53" s="10"/>
      <c r="Y53" s="4"/>
      <c r="Z53" s="4"/>
      <c r="AA53" s="12"/>
      <c r="AB53" s="12"/>
      <c r="AC53" s="4"/>
      <c r="AD53" s="13"/>
      <c r="AE53" s="4">
        <v>1</v>
      </c>
      <c r="AF53" s="8">
        <v>32736</v>
      </c>
      <c r="AG53" s="4">
        <v>31</v>
      </c>
      <c r="AH53" s="19">
        <v>19530.719999999994</v>
      </c>
      <c r="AJ53" s="4" t="str">
        <f t="shared" si="80"/>
        <v>0.8 to 1</v>
      </c>
      <c r="AK53" s="11">
        <f t="shared" si="78"/>
        <v>1214.4000000000001</v>
      </c>
      <c r="AL53" s="9">
        <f t="shared" si="70"/>
        <v>0.85521739130434782</v>
      </c>
      <c r="AM53" s="4">
        <f t="shared" si="65"/>
        <v>10</v>
      </c>
      <c r="AN53" s="13">
        <f t="shared" ca="1" si="69"/>
        <v>0.34328358208955223</v>
      </c>
      <c r="AO53" s="4">
        <v>1</v>
      </c>
      <c r="AP53" s="8">
        <v>200112.00000000006</v>
      </c>
      <c r="AQ53" s="4">
        <v>233</v>
      </c>
      <c r="AR53" s="19">
        <v>116988.95999999989</v>
      </c>
      <c r="AT53" s="4" t="str">
        <f t="shared" si="81"/>
        <v>0.8 to 1</v>
      </c>
      <c r="AU53" s="11">
        <f t="shared" si="79"/>
        <v>871.19999999999925</v>
      </c>
      <c r="AV53" s="9">
        <f t="shared" si="71"/>
        <v>0.90045454545454517</v>
      </c>
      <c r="AW53" s="4">
        <f t="shared" si="67"/>
        <v>40</v>
      </c>
      <c r="AX53" s="13">
        <f t="shared" ca="1" si="88"/>
        <v>0.16336633663366321</v>
      </c>
      <c r="AY53" s="4">
        <v>1</v>
      </c>
      <c r="AZ53" s="8">
        <v>39071.999999999993</v>
      </c>
      <c r="BA53" s="4">
        <v>48</v>
      </c>
      <c r="BB53" s="19">
        <v>24150.720000000012</v>
      </c>
      <c r="BD53" s="4" t="str">
        <f t="shared" si="82"/>
        <v>0.8 to 1</v>
      </c>
      <c r="BE53" s="11">
        <f t="shared" si="35"/>
        <v>528</v>
      </c>
      <c r="BF53" s="9">
        <f t="shared" si="72"/>
        <v>0.99000000000000221</v>
      </c>
      <c r="BG53" s="4">
        <f t="shared" si="37"/>
        <v>5</v>
      </c>
      <c r="BH53" s="13">
        <f t="shared" ca="1" si="38"/>
        <v>6.7567567567567585E-2</v>
      </c>
      <c r="BI53" s="4">
        <v>1</v>
      </c>
      <c r="BJ53" s="1">
        <v>239712.00000000081</v>
      </c>
      <c r="BK53" s="1">
        <v>300</v>
      </c>
      <c r="BL53" s="1">
        <v>123335.5199999999</v>
      </c>
      <c r="BN53" s="4" t="str">
        <f t="shared" si="83"/>
        <v>0.8 to 1</v>
      </c>
      <c r="BO53" s="11">
        <f t="shared" si="40"/>
        <v>883.82608695652868</v>
      </c>
      <c r="BP53" s="9">
        <f t="shared" si="73"/>
        <v>0.92584415584414848</v>
      </c>
      <c r="BQ53" s="4">
        <f t="shared" si="42"/>
        <v>46</v>
      </c>
      <c r="BR53" s="13">
        <f t="shared" ca="1" si="43"/>
        <v>0.16559139784946367</v>
      </c>
      <c r="BS53" s="4">
        <v>1</v>
      </c>
      <c r="BT53" s="1">
        <v>79200</v>
      </c>
      <c r="BU53" s="1">
        <v>92</v>
      </c>
      <c r="BV53" s="1">
        <v>38543.999999999978</v>
      </c>
      <c r="BX53" s="4" t="str">
        <f t="shared" si="84"/>
        <v>0.8 to 1</v>
      </c>
      <c r="BY53" s="11">
        <f t="shared" si="45"/>
        <v>1372.7999999999824</v>
      </c>
      <c r="BZ53" s="9">
        <f t="shared" si="74"/>
        <v>0.95615384615384624</v>
      </c>
      <c r="CA53" s="4">
        <f t="shared" si="47"/>
        <v>5</v>
      </c>
      <c r="CB53" s="13">
        <f t="shared" ca="1" si="48"/>
        <v>8.6666666666665559E-2</v>
      </c>
      <c r="CC53" s="4">
        <v>1</v>
      </c>
      <c r="CD53" s="1">
        <v>43295.999999999942</v>
      </c>
      <c r="CE53" s="1">
        <v>54</v>
      </c>
      <c r="CF53" s="1">
        <v>24647.03999999999</v>
      </c>
      <c r="CH53" s="4" t="str">
        <f t="shared" si="85"/>
        <v>0.8 to 1</v>
      </c>
      <c r="CI53" s="11">
        <f t="shared" si="50"/>
        <v>703.99999999998545</v>
      </c>
      <c r="CJ53" s="9">
        <f t="shared" si="75"/>
        <v>0.88000000000000334</v>
      </c>
      <c r="CK53" s="4">
        <f t="shared" si="52"/>
        <v>3</v>
      </c>
      <c r="CL53" s="13">
        <f t="shared" ca="1" si="53"/>
        <v>4.8780487804877114E-2</v>
      </c>
      <c r="CM53" s="4">
        <v>1</v>
      </c>
      <c r="CN53" s="1">
        <v>99264.000000000146</v>
      </c>
      <c r="CO53" s="1">
        <v>138</v>
      </c>
      <c r="CP53" s="1">
        <v>32419.200000000161</v>
      </c>
      <c r="CR53" s="4" t="str">
        <f t="shared" si="86"/>
        <v>0.8 to 1</v>
      </c>
      <c r="CS53" s="11">
        <f t="shared" si="55"/>
        <v>1056.000000000013</v>
      </c>
      <c r="CT53" s="9">
        <f t="shared" si="76"/>
        <v>0.92222222222222272</v>
      </c>
      <c r="CU53" s="4">
        <f t="shared" si="57"/>
        <v>9</v>
      </c>
      <c r="CV53" s="13">
        <f t="shared" ca="1" si="58"/>
        <v>9.0909090909091966E-2</v>
      </c>
      <c r="CW53" s="4">
        <v>1</v>
      </c>
      <c r="CX53" s="1">
        <v>152592.00000000006</v>
      </c>
      <c r="CY53" s="1">
        <v>206</v>
      </c>
      <c r="CZ53" s="1">
        <v>74257.91999999994</v>
      </c>
      <c r="DB53" s="4" t="str">
        <f t="shared" si="87"/>
        <v>0.8 to 1</v>
      </c>
      <c r="DC53" s="11">
        <f t="shared" si="60"/>
        <v>821.33333333333985</v>
      </c>
      <c r="DD53" s="9">
        <f t="shared" si="77"/>
        <v>0.8607142857142821</v>
      </c>
      <c r="DE53" s="4">
        <f t="shared" si="62"/>
        <v>9</v>
      </c>
      <c r="DF53" s="13">
        <f t="shared" ca="1" si="63"/>
        <v>4.8109965635739223E-2</v>
      </c>
    </row>
    <row r="54" spans="1:110" x14ac:dyDescent="0.25">
      <c r="A54" s="1">
        <v>53</v>
      </c>
      <c r="B54" s="4">
        <v>7400</v>
      </c>
      <c r="C54" s="4">
        <v>10.199999999999999</v>
      </c>
      <c r="D54" s="4">
        <v>10.4</v>
      </c>
      <c r="E54" s="4">
        <f t="shared" si="15"/>
        <v>0.20000000000000107</v>
      </c>
      <c r="F54" s="4">
        <v>0</v>
      </c>
      <c r="G54" s="4">
        <v>-1.23</v>
      </c>
      <c r="H54" s="4">
        <v>79</v>
      </c>
      <c r="I54" s="4"/>
      <c r="J54" s="4">
        <v>49</v>
      </c>
      <c r="K54"/>
      <c r="L54"/>
      <c r="M54" s="4">
        <f t="shared" si="16"/>
        <v>10.4</v>
      </c>
      <c r="N54" s="4"/>
      <c r="O54" s="1">
        <f t="shared" si="17"/>
        <v>10.199999999999999</v>
      </c>
      <c r="P54" s="1">
        <f t="shared" si="18"/>
        <v>0</v>
      </c>
      <c r="Q54" s="1" t="str">
        <f t="shared" si="3"/>
        <v/>
      </c>
      <c r="R54" s="1" t="str">
        <f t="shared" si="19"/>
        <v/>
      </c>
      <c r="S54" s="1">
        <f t="shared" si="20"/>
        <v>373.81920000000014</v>
      </c>
      <c r="T54" s="1">
        <f t="shared" si="21"/>
        <v>-1.23</v>
      </c>
      <c r="U54" s="1">
        <f t="shared" si="22"/>
        <v>1056.0000000000057</v>
      </c>
      <c r="V54" s="1">
        <f t="shared" si="23"/>
        <v>1298.8800000000069</v>
      </c>
      <c r="X54" s="10"/>
      <c r="Y54" s="4"/>
      <c r="Z54" s="4"/>
      <c r="AA54" s="12"/>
      <c r="AB54" s="12"/>
      <c r="AC54" s="4"/>
      <c r="AD54" s="13"/>
      <c r="AE54" s="4">
        <v>1.2</v>
      </c>
      <c r="AF54" s="8">
        <v>35376</v>
      </c>
      <c r="AG54" s="4">
        <v>34</v>
      </c>
      <c r="AH54" s="19">
        <v>22360.799999999999</v>
      </c>
      <c r="AJ54" s="4" t="str">
        <f t="shared" si="80"/>
        <v>1 to 1.2</v>
      </c>
      <c r="AK54" s="11">
        <f t="shared" si="78"/>
        <v>880</v>
      </c>
      <c r="AL54" s="9">
        <f t="shared" si="70"/>
        <v>1.0720000000000021</v>
      </c>
      <c r="AM54" s="4">
        <f t="shared" si="65"/>
        <v>3</v>
      </c>
      <c r="AN54" s="13">
        <f t="shared" ca="1" si="69"/>
        <v>7.4626865671641798E-2</v>
      </c>
      <c r="AO54" s="4">
        <v>1.2</v>
      </c>
      <c r="AP54" s="8">
        <v>211728.00000000009</v>
      </c>
      <c r="AQ54" s="4">
        <v>244</v>
      </c>
      <c r="AR54" s="19">
        <v>129296.63999999997</v>
      </c>
      <c r="AT54" s="4" t="str">
        <f t="shared" si="81"/>
        <v>1 to 1.2</v>
      </c>
      <c r="AU54" s="11">
        <f t="shared" si="79"/>
        <v>1056.0000000000027</v>
      </c>
      <c r="AV54" s="9">
        <f t="shared" si="71"/>
        <v>1.0595454545454588</v>
      </c>
      <c r="AW54" s="4">
        <f t="shared" si="67"/>
        <v>11</v>
      </c>
      <c r="AX54" s="13">
        <f t="shared" ca="1" si="88"/>
        <v>5.4455445544554587E-2</v>
      </c>
      <c r="AY54" s="4">
        <v>1.2</v>
      </c>
      <c r="AZ54" s="8">
        <v>39071.999999999993</v>
      </c>
      <c r="BA54" s="4">
        <v>48</v>
      </c>
      <c r="BB54" s="19">
        <v>24150.720000000012</v>
      </c>
      <c r="BD54" s="4" t="str">
        <f t="shared" si="82"/>
        <v>1 to 1.2</v>
      </c>
      <c r="BE54" s="11">
        <f t="shared" si="35"/>
        <v>0</v>
      </c>
      <c r="BF54" s="9">
        <f t="shared" si="72"/>
        <v>0</v>
      </c>
      <c r="BG54" s="4">
        <f t="shared" si="37"/>
        <v>0</v>
      </c>
      <c r="BH54" s="13">
        <f t="shared" ca="1" si="38"/>
        <v>0</v>
      </c>
      <c r="BI54" s="4">
        <v>1.2</v>
      </c>
      <c r="BJ54" s="1">
        <v>245520.00000000084</v>
      </c>
      <c r="BK54" s="1">
        <v>308</v>
      </c>
      <c r="BL54" s="1">
        <v>129328.31999999992</v>
      </c>
      <c r="BN54" s="4" t="str">
        <f t="shared" si="83"/>
        <v>1 to 1.2</v>
      </c>
      <c r="BO54" s="11">
        <f t="shared" si="40"/>
        <v>726.00000000000364</v>
      </c>
      <c r="BP54" s="9">
        <f t="shared" si="73"/>
        <v>1.0318181818181797</v>
      </c>
      <c r="BQ54" s="4">
        <f t="shared" si="42"/>
        <v>8</v>
      </c>
      <c r="BR54" s="13">
        <f t="shared" ca="1" si="43"/>
        <v>2.3655913978494741E-2</v>
      </c>
      <c r="BS54" s="4">
        <v>1.2</v>
      </c>
      <c r="BT54" s="1">
        <v>79200</v>
      </c>
      <c r="BU54" s="1">
        <v>92</v>
      </c>
      <c r="BV54" s="1">
        <v>38543.999999999978</v>
      </c>
      <c r="BX54" s="4" t="str">
        <f t="shared" si="84"/>
        <v>1 to 1.2</v>
      </c>
      <c r="BY54" s="11">
        <f t="shared" si="45"/>
        <v>0</v>
      </c>
      <c r="BZ54" s="9">
        <f t="shared" si="74"/>
        <v>0</v>
      </c>
      <c r="CA54" s="4">
        <f t="shared" si="47"/>
        <v>0</v>
      </c>
      <c r="CB54" s="13">
        <f t="shared" ca="1" si="48"/>
        <v>0</v>
      </c>
      <c r="CC54" s="4">
        <v>1.2</v>
      </c>
      <c r="CD54" s="1">
        <v>43295.999999999942</v>
      </c>
      <c r="CE54" s="1">
        <v>54</v>
      </c>
      <c r="CF54" s="1">
        <v>24647.03999999999</v>
      </c>
      <c r="CH54" s="4" t="str">
        <f t="shared" si="85"/>
        <v>1 to 1.2</v>
      </c>
      <c r="CI54" s="11">
        <f t="shared" si="50"/>
        <v>0</v>
      </c>
      <c r="CJ54" s="9">
        <f t="shared" si="75"/>
        <v>0</v>
      </c>
      <c r="CK54" s="4">
        <f t="shared" si="52"/>
        <v>0</v>
      </c>
      <c r="CL54" s="13">
        <f t="shared" ca="1" si="53"/>
        <v>0</v>
      </c>
      <c r="CM54" s="4">
        <v>1.2</v>
      </c>
      <c r="CN54" s="1">
        <v>104544.00000000007</v>
      </c>
      <c r="CO54" s="1">
        <v>144</v>
      </c>
      <c r="CP54" s="1">
        <v>38016.000000000087</v>
      </c>
      <c r="CR54" s="4" t="str">
        <f t="shared" si="86"/>
        <v>1 to 1.2</v>
      </c>
      <c r="CS54" s="11">
        <f t="shared" si="55"/>
        <v>879.99999999998784</v>
      </c>
      <c r="CT54" s="9">
        <f t="shared" si="76"/>
        <v>1.0600000000000007</v>
      </c>
      <c r="CU54" s="4">
        <f t="shared" si="57"/>
        <v>6</v>
      </c>
      <c r="CV54" s="13">
        <f t="shared" ca="1" si="58"/>
        <v>5.0505050505049782E-2</v>
      </c>
      <c r="CW54" s="4">
        <v>1.2</v>
      </c>
      <c r="CX54" s="1">
        <v>153648</v>
      </c>
      <c r="CY54" s="1">
        <v>208</v>
      </c>
      <c r="CZ54" s="1">
        <v>75335.039999999906</v>
      </c>
      <c r="DB54" s="4" t="str">
        <f t="shared" si="87"/>
        <v>1 to 1.2</v>
      </c>
      <c r="DC54" s="11">
        <f t="shared" si="60"/>
        <v>527.9999999999709</v>
      </c>
      <c r="DD54" s="9">
        <f t="shared" si="77"/>
        <v>1.0200000000000242</v>
      </c>
      <c r="DE54" s="4">
        <f t="shared" si="62"/>
        <v>2</v>
      </c>
      <c r="DF54" s="13">
        <f t="shared" ca="1" si="63"/>
        <v>6.8728522336765976E-3</v>
      </c>
    </row>
    <row r="55" spans="1:110" x14ac:dyDescent="0.25">
      <c r="A55" s="1">
        <v>54</v>
      </c>
      <c r="B55" s="4">
        <v>7400</v>
      </c>
      <c r="C55" s="4">
        <v>10.4</v>
      </c>
      <c r="D55" s="4">
        <v>10.5</v>
      </c>
      <c r="E55" s="4">
        <f t="shared" si="15"/>
        <v>9.9999999999999645E-2</v>
      </c>
      <c r="F55" s="4">
        <v>0</v>
      </c>
      <c r="G55" s="4">
        <v>-0.8</v>
      </c>
      <c r="H55" s="4">
        <v>79</v>
      </c>
      <c r="I55" s="4"/>
      <c r="J55" s="4">
        <v>49</v>
      </c>
      <c r="K55"/>
      <c r="L55"/>
      <c r="M55" s="4">
        <f t="shared" si="16"/>
        <v>10.5</v>
      </c>
      <c r="N55" s="4"/>
      <c r="O55" s="1">
        <f t="shared" si="17"/>
        <v>10.4</v>
      </c>
      <c r="P55" s="1">
        <f t="shared" si="18"/>
        <v>0</v>
      </c>
      <c r="Q55" s="1" t="str">
        <f t="shared" si="3"/>
        <v/>
      </c>
      <c r="R55" s="1" t="str">
        <f t="shared" si="19"/>
        <v/>
      </c>
      <c r="S55" s="1">
        <f t="shared" si="20"/>
        <v>360.83040000000005</v>
      </c>
      <c r="T55" s="1">
        <f t="shared" si="21"/>
        <v>-0.8</v>
      </c>
      <c r="U55" s="1">
        <f t="shared" si="22"/>
        <v>527.99999999999818</v>
      </c>
      <c r="V55" s="1">
        <f t="shared" si="23"/>
        <v>422.39999999999856</v>
      </c>
      <c r="AC55" s="4"/>
      <c r="AD55" s="13"/>
      <c r="AE55" s="4">
        <v>1.4</v>
      </c>
      <c r="AF55" s="8">
        <v>35376</v>
      </c>
      <c r="AG55" s="4">
        <v>34</v>
      </c>
      <c r="AH55" s="19">
        <v>22360.799999999999</v>
      </c>
      <c r="AJ55" s="4" t="str">
        <f t="shared" si="80"/>
        <v>1.2 to 1.4</v>
      </c>
      <c r="AK55" s="11">
        <f t="shared" si="78"/>
        <v>0</v>
      </c>
      <c r="AL55" s="9">
        <f t="shared" si="70"/>
        <v>0</v>
      </c>
      <c r="AM55" s="4">
        <f t="shared" si="65"/>
        <v>0</v>
      </c>
      <c r="AN55" s="13">
        <f t="shared" ca="1" si="69"/>
        <v>0</v>
      </c>
      <c r="AO55" s="4">
        <v>1.4</v>
      </c>
      <c r="AP55" s="8">
        <v>212784.00000000009</v>
      </c>
      <c r="AQ55" s="4">
        <v>245</v>
      </c>
      <c r="AR55" s="19">
        <v>130584.95999999998</v>
      </c>
      <c r="AT55" s="4" t="str">
        <f t="shared" si="81"/>
        <v>1.2 to 1.4</v>
      </c>
      <c r="AU55" s="11">
        <f t="shared" si="79"/>
        <v>1056</v>
      </c>
      <c r="AV55" s="9">
        <f t="shared" si="71"/>
        <v>1.2200000000000066</v>
      </c>
      <c r="AW55" s="4">
        <f t="shared" si="67"/>
        <v>1</v>
      </c>
      <c r="AX55" s="13">
        <f t="shared" ca="1" si="88"/>
        <v>4.9504950495049497E-3</v>
      </c>
      <c r="AY55" s="4">
        <v>1.4</v>
      </c>
      <c r="AZ55" s="8">
        <v>39071.999999999993</v>
      </c>
      <c r="BA55" s="4">
        <v>48</v>
      </c>
      <c r="BB55" s="19">
        <v>24150.720000000012</v>
      </c>
      <c r="BD55" s="4" t="str">
        <f t="shared" si="82"/>
        <v>1.2 to 1.4</v>
      </c>
      <c r="BE55" s="11">
        <f t="shared" si="35"/>
        <v>0</v>
      </c>
      <c r="BF55" s="9">
        <f t="shared" si="72"/>
        <v>0</v>
      </c>
      <c r="BG55" s="4">
        <f t="shared" si="37"/>
        <v>0</v>
      </c>
      <c r="BH55" s="13">
        <f t="shared" ca="1" si="38"/>
        <v>0</v>
      </c>
      <c r="BI55" s="4">
        <v>1.4</v>
      </c>
      <c r="BJ55" s="1">
        <v>245520.00000000084</v>
      </c>
      <c r="BK55" s="1">
        <v>308</v>
      </c>
      <c r="BL55" s="1">
        <v>129328.31999999992</v>
      </c>
      <c r="BN55" s="4" t="str">
        <f t="shared" si="83"/>
        <v>1.2 to 1.4</v>
      </c>
      <c r="BO55" s="11">
        <f t="shared" si="40"/>
        <v>0</v>
      </c>
      <c r="BP55" s="9">
        <f t="shared" si="73"/>
        <v>0</v>
      </c>
      <c r="BQ55" s="4">
        <f t="shared" si="42"/>
        <v>0</v>
      </c>
      <c r="BR55" s="13">
        <f t="shared" ca="1" si="43"/>
        <v>0</v>
      </c>
      <c r="BS55" s="4">
        <v>1.4</v>
      </c>
      <c r="BT55" s="1">
        <v>79200</v>
      </c>
      <c r="BU55" s="1">
        <v>92</v>
      </c>
      <c r="BV55" s="1">
        <v>38543.999999999978</v>
      </c>
      <c r="BX55" s="4" t="str">
        <f t="shared" si="84"/>
        <v>1.2 to 1.4</v>
      </c>
      <c r="BY55" s="11">
        <f t="shared" si="45"/>
        <v>0</v>
      </c>
      <c r="BZ55" s="9">
        <f t="shared" si="74"/>
        <v>0</v>
      </c>
      <c r="CA55" s="4">
        <f t="shared" si="47"/>
        <v>0</v>
      </c>
      <c r="CB55" s="13">
        <f t="shared" ca="1" si="48"/>
        <v>0</v>
      </c>
      <c r="CC55" s="4">
        <v>1.4</v>
      </c>
      <c r="CD55" s="1">
        <v>43295.999999999942</v>
      </c>
      <c r="CE55" s="1">
        <v>54</v>
      </c>
      <c r="CF55" s="1">
        <v>24647.03999999999</v>
      </c>
      <c r="CH55" s="4" t="str">
        <f t="shared" si="85"/>
        <v>1.2 to 1.4</v>
      </c>
      <c r="CI55" s="11">
        <f t="shared" si="50"/>
        <v>0</v>
      </c>
      <c r="CJ55" s="9">
        <f t="shared" si="75"/>
        <v>0</v>
      </c>
      <c r="CK55" s="4">
        <f t="shared" si="52"/>
        <v>0</v>
      </c>
      <c r="CL55" s="13">
        <f t="shared" ca="1" si="53"/>
        <v>0</v>
      </c>
      <c r="CM55" s="4">
        <v>1.4</v>
      </c>
      <c r="CN55" s="1">
        <v>104544.00000000007</v>
      </c>
      <c r="CO55" s="1">
        <v>144</v>
      </c>
      <c r="CP55" s="1">
        <v>38016.000000000087</v>
      </c>
      <c r="CR55" s="4" t="str">
        <f t="shared" si="86"/>
        <v>1.2 to 1.4</v>
      </c>
      <c r="CS55" s="11">
        <f t="shared" si="55"/>
        <v>0</v>
      </c>
      <c r="CT55" s="9">
        <f t="shared" si="76"/>
        <v>0</v>
      </c>
      <c r="CU55" s="4">
        <f t="shared" si="57"/>
        <v>0</v>
      </c>
      <c r="CV55" s="13">
        <f t="shared" ca="1" si="58"/>
        <v>0</v>
      </c>
      <c r="CW55" s="4">
        <v>1.4</v>
      </c>
      <c r="CX55" s="1">
        <v>153648</v>
      </c>
      <c r="CY55" s="1">
        <v>208</v>
      </c>
      <c r="CZ55" s="1">
        <v>75335.039999999906</v>
      </c>
      <c r="DB55" s="4" t="str">
        <f t="shared" si="87"/>
        <v>1.2 to 1.4</v>
      </c>
      <c r="DC55" s="11">
        <f t="shared" si="60"/>
        <v>0</v>
      </c>
      <c r="DD55" s="9">
        <f t="shared" si="77"/>
        <v>0</v>
      </c>
      <c r="DE55" s="4">
        <f t="shared" si="62"/>
        <v>0</v>
      </c>
      <c r="DF55" s="13">
        <f t="shared" ca="1" si="63"/>
        <v>0</v>
      </c>
    </row>
    <row r="56" spans="1:110" x14ac:dyDescent="0.25">
      <c r="A56" s="1">
        <v>55</v>
      </c>
      <c r="B56" s="4">
        <v>7400</v>
      </c>
      <c r="C56" s="4">
        <v>10.5</v>
      </c>
      <c r="D56" s="4">
        <v>10.6</v>
      </c>
      <c r="E56" s="4">
        <f t="shared" si="15"/>
        <v>9.9999999999999645E-2</v>
      </c>
      <c r="F56" s="4">
        <v>0</v>
      </c>
      <c r="G56" s="4">
        <v>-1.05</v>
      </c>
      <c r="H56" s="4">
        <v>79</v>
      </c>
      <c r="I56" s="4"/>
      <c r="J56" s="4">
        <v>49</v>
      </c>
      <c r="K56"/>
      <c r="L56"/>
      <c r="M56" s="4">
        <f t="shared" si="16"/>
        <v>10.6</v>
      </c>
      <c r="N56" s="4"/>
      <c r="O56" s="1">
        <f t="shared" si="17"/>
        <v>10.5</v>
      </c>
      <c r="P56" s="1">
        <f t="shared" si="18"/>
        <v>0</v>
      </c>
      <c r="Q56" s="1" t="str">
        <f t="shared" si="3"/>
        <v/>
      </c>
      <c r="R56" s="1" t="str">
        <f t="shared" si="19"/>
        <v/>
      </c>
      <c r="S56" s="1">
        <f t="shared" si="20"/>
        <v>356.60640000000006</v>
      </c>
      <c r="T56" s="1">
        <f t="shared" si="21"/>
        <v>-1.05</v>
      </c>
      <c r="U56" s="1">
        <f t="shared" si="22"/>
        <v>527.99999999999818</v>
      </c>
      <c r="V56" s="1">
        <f t="shared" si="23"/>
        <v>554.39999999999816</v>
      </c>
      <c r="AC56" s="4"/>
      <c r="AD56" s="13"/>
      <c r="AE56" s="4">
        <v>1.6</v>
      </c>
      <c r="AF56" s="8">
        <v>35376</v>
      </c>
      <c r="AG56" s="4">
        <v>34</v>
      </c>
      <c r="AH56" s="19">
        <v>22360.799999999999</v>
      </c>
      <c r="AJ56" s="4" t="str">
        <f t="shared" si="80"/>
        <v>1.4 to 1.6</v>
      </c>
      <c r="AK56" s="11">
        <f t="shared" si="78"/>
        <v>0</v>
      </c>
      <c r="AL56" s="9">
        <f t="shared" si="70"/>
        <v>0</v>
      </c>
      <c r="AM56" s="4">
        <f t="shared" si="65"/>
        <v>0</v>
      </c>
      <c r="AN56" s="13">
        <f t="shared" ca="1" si="69"/>
        <v>0</v>
      </c>
      <c r="AO56" s="4">
        <v>1.6</v>
      </c>
      <c r="AP56" s="8">
        <v>212784.00000000009</v>
      </c>
      <c r="AQ56" s="4">
        <v>245</v>
      </c>
      <c r="AR56" s="19">
        <v>130584.95999999998</v>
      </c>
      <c r="AT56" s="4" t="str">
        <f t="shared" si="81"/>
        <v>1.4 to 1.6</v>
      </c>
      <c r="AU56" s="11">
        <f t="shared" si="79"/>
        <v>0</v>
      </c>
      <c r="AV56" s="9">
        <f t="shared" si="71"/>
        <v>0</v>
      </c>
      <c r="AW56" s="4">
        <f t="shared" si="67"/>
        <v>0</v>
      </c>
      <c r="AX56" s="13">
        <f t="shared" ca="1" si="88"/>
        <v>0</v>
      </c>
      <c r="AY56" s="4">
        <v>1.6</v>
      </c>
      <c r="AZ56" s="8">
        <v>39071.999999999993</v>
      </c>
      <c r="BA56" s="4">
        <v>48</v>
      </c>
      <c r="BB56" s="19">
        <v>24150.720000000012</v>
      </c>
      <c r="BD56" s="4" t="str">
        <f t="shared" si="82"/>
        <v>1.4 to 1.6</v>
      </c>
      <c r="BE56" s="11">
        <f t="shared" si="35"/>
        <v>0</v>
      </c>
      <c r="BF56" s="9">
        <f t="shared" si="72"/>
        <v>0</v>
      </c>
      <c r="BG56" s="4">
        <f t="shared" si="37"/>
        <v>0</v>
      </c>
      <c r="BH56" s="13">
        <f t="shared" ca="1" si="38"/>
        <v>0</v>
      </c>
      <c r="BI56" s="4">
        <v>1.6</v>
      </c>
      <c r="BJ56" s="1">
        <v>245520.00000000084</v>
      </c>
      <c r="BK56" s="1">
        <v>308</v>
      </c>
      <c r="BL56" s="1">
        <v>129328.31999999992</v>
      </c>
      <c r="BN56" s="4" t="str">
        <f t="shared" si="83"/>
        <v>1.4 to 1.6</v>
      </c>
      <c r="BO56" s="11">
        <f t="shared" si="40"/>
        <v>0</v>
      </c>
      <c r="BP56" s="9">
        <f t="shared" si="73"/>
        <v>0</v>
      </c>
      <c r="BQ56" s="4">
        <f t="shared" si="42"/>
        <v>0</v>
      </c>
      <c r="BR56" s="13">
        <f t="shared" ca="1" si="43"/>
        <v>0</v>
      </c>
      <c r="BS56" s="4">
        <v>1.6</v>
      </c>
      <c r="BT56" s="1">
        <v>79200</v>
      </c>
      <c r="BU56" s="1">
        <v>92</v>
      </c>
      <c r="BV56" s="1">
        <v>38543.999999999978</v>
      </c>
      <c r="BX56" s="4" t="str">
        <f t="shared" si="84"/>
        <v>1.4 to 1.6</v>
      </c>
      <c r="BY56" s="11">
        <f t="shared" si="45"/>
        <v>0</v>
      </c>
      <c r="BZ56" s="9">
        <f t="shared" si="74"/>
        <v>0</v>
      </c>
      <c r="CA56" s="4">
        <f t="shared" si="47"/>
        <v>0</v>
      </c>
      <c r="CB56" s="13">
        <f t="shared" ca="1" si="48"/>
        <v>0</v>
      </c>
      <c r="CC56" s="4">
        <v>1.6</v>
      </c>
      <c r="CD56" s="1">
        <v>43295.999999999942</v>
      </c>
      <c r="CE56" s="1">
        <v>54</v>
      </c>
      <c r="CF56" s="1">
        <v>24647.03999999999</v>
      </c>
      <c r="CH56" s="4" t="str">
        <f t="shared" si="85"/>
        <v>1.4 to 1.6</v>
      </c>
      <c r="CI56" s="11">
        <f t="shared" si="50"/>
        <v>0</v>
      </c>
      <c r="CJ56" s="9">
        <f t="shared" si="75"/>
        <v>0</v>
      </c>
      <c r="CK56" s="4">
        <f t="shared" si="52"/>
        <v>0</v>
      </c>
      <c r="CL56" s="13">
        <f t="shared" ca="1" si="53"/>
        <v>0</v>
      </c>
      <c r="CM56" s="4">
        <v>1.6</v>
      </c>
      <c r="CN56" s="1">
        <v>104544.00000000007</v>
      </c>
      <c r="CO56" s="1">
        <v>144</v>
      </c>
      <c r="CP56" s="1">
        <v>38016.000000000087</v>
      </c>
      <c r="CR56" s="4" t="str">
        <f t="shared" si="86"/>
        <v>1.4 to 1.6</v>
      </c>
      <c r="CS56" s="11">
        <f t="shared" si="55"/>
        <v>0</v>
      </c>
      <c r="CT56" s="9">
        <f t="shared" si="76"/>
        <v>0</v>
      </c>
      <c r="CU56" s="4">
        <f t="shared" si="57"/>
        <v>0</v>
      </c>
      <c r="CV56" s="13">
        <f t="shared" ca="1" si="58"/>
        <v>0</v>
      </c>
      <c r="CW56" s="4">
        <v>1.6</v>
      </c>
      <c r="CX56" s="1">
        <v>153648</v>
      </c>
      <c r="CY56" s="1">
        <v>208</v>
      </c>
      <c r="CZ56" s="1">
        <v>75335.039999999906</v>
      </c>
      <c r="DB56" s="4" t="str">
        <f t="shared" si="87"/>
        <v>1.4 to 1.6</v>
      </c>
      <c r="DC56" s="11">
        <f t="shared" si="60"/>
        <v>0</v>
      </c>
      <c r="DD56" s="9">
        <f t="shared" si="77"/>
        <v>0</v>
      </c>
      <c r="DE56" s="4">
        <f t="shared" si="62"/>
        <v>0</v>
      </c>
      <c r="DF56" s="13">
        <f t="shared" ca="1" si="63"/>
        <v>0</v>
      </c>
    </row>
    <row r="57" spans="1:110" x14ac:dyDescent="0.25">
      <c r="A57" s="1">
        <v>56</v>
      </c>
      <c r="B57" s="4">
        <v>7400</v>
      </c>
      <c r="C57" s="4">
        <v>10.6</v>
      </c>
      <c r="D57" s="4">
        <v>10.7</v>
      </c>
      <c r="E57" s="4">
        <f t="shared" si="15"/>
        <v>9.9999999999999645E-2</v>
      </c>
      <c r="F57" s="4">
        <v>2.4</v>
      </c>
      <c r="G57" s="4">
        <v>-1.05</v>
      </c>
      <c r="H57" s="4">
        <v>79</v>
      </c>
      <c r="I57" s="4"/>
      <c r="J57" s="4">
        <v>49</v>
      </c>
      <c r="K57"/>
      <c r="L57"/>
      <c r="M57" s="4">
        <f t="shared" si="16"/>
        <v>10.7</v>
      </c>
      <c r="N57" s="4"/>
      <c r="O57" s="1">
        <f t="shared" si="17"/>
        <v>10.6</v>
      </c>
      <c r="P57" s="1">
        <f t="shared" si="18"/>
        <v>12.671999999999953</v>
      </c>
      <c r="Q57" s="1" t="str">
        <f t="shared" si="3"/>
        <v/>
      </c>
      <c r="R57" s="1" t="str">
        <f t="shared" si="19"/>
        <v/>
      </c>
      <c r="S57" s="1">
        <f t="shared" si="20"/>
        <v>351.06240000000008</v>
      </c>
      <c r="T57" s="1">
        <f t="shared" si="21"/>
        <v>-1.05</v>
      </c>
      <c r="U57" s="1">
        <f t="shared" si="22"/>
        <v>527.99999999999818</v>
      </c>
      <c r="V57" s="1">
        <f t="shared" si="23"/>
        <v>554.39999999999816</v>
      </c>
      <c r="AC57" s="4"/>
      <c r="AD57" s="13"/>
      <c r="AE57" s="4">
        <v>1.8</v>
      </c>
      <c r="AF57" s="8">
        <v>35376</v>
      </c>
      <c r="AG57" s="4">
        <v>34</v>
      </c>
      <c r="AH57" s="19">
        <v>22360.799999999999</v>
      </c>
      <c r="AJ57" s="4" t="str">
        <f t="shared" si="80"/>
        <v>1.6 to 1.8</v>
      </c>
      <c r="AK57" s="11">
        <f t="shared" si="78"/>
        <v>0</v>
      </c>
      <c r="AL57" s="9">
        <f t="shared" si="70"/>
        <v>0</v>
      </c>
      <c r="AM57" s="4">
        <f t="shared" si="65"/>
        <v>0</v>
      </c>
      <c r="AN57" s="13">
        <f t="shared" ca="1" si="69"/>
        <v>0</v>
      </c>
      <c r="AO57" s="4">
        <v>1.8</v>
      </c>
      <c r="AP57" s="8">
        <v>213312.00000000006</v>
      </c>
      <c r="AQ57" s="4">
        <v>246</v>
      </c>
      <c r="AR57" s="19">
        <v>131440.31999999995</v>
      </c>
      <c r="AT57" s="4" t="str">
        <f t="shared" si="81"/>
        <v>1.6 to 1.8</v>
      </c>
      <c r="AU57" s="11">
        <f t="shared" si="79"/>
        <v>527.9999999999709</v>
      </c>
      <c r="AV57" s="9">
        <f t="shared" si="71"/>
        <v>1.6200000000000352</v>
      </c>
      <c r="AW57" s="4">
        <f t="shared" si="67"/>
        <v>1</v>
      </c>
      <c r="AX57" s="13">
        <f t="shared" ca="1" si="88"/>
        <v>2.4752475247523382E-3</v>
      </c>
      <c r="AY57" s="4">
        <v>1.8</v>
      </c>
      <c r="AZ57" s="8">
        <v>39071.999999999993</v>
      </c>
      <c r="BA57" s="4">
        <v>48</v>
      </c>
      <c r="BB57" s="19">
        <v>24150.720000000012</v>
      </c>
      <c r="BD57" s="4" t="str">
        <f t="shared" si="82"/>
        <v>1.6 to 1.8</v>
      </c>
      <c r="BE57" s="11">
        <f t="shared" si="35"/>
        <v>0</v>
      </c>
      <c r="BF57" s="9">
        <f t="shared" si="72"/>
        <v>0</v>
      </c>
      <c r="BG57" s="4">
        <f t="shared" si="37"/>
        <v>0</v>
      </c>
      <c r="BH57" s="13">
        <f t="shared" ca="1" si="38"/>
        <v>0</v>
      </c>
      <c r="BI57" s="4">
        <v>1.8</v>
      </c>
      <c r="BJ57" s="1">
        <v>245520.00000000084</v>
      </c>
      <c r="BK57" s="1">
        <v>308</v>
      </c>
      <c r="BL57" s="1">
        <v>129328.31999999992</v>
      </c>
      <c r="BN57" s="4" t="str">
        <f t="shared" si="83"/>
        <v>1.6 to 1.8</v>
      </c>
      <c r="BO57" s="11">
        <f t="shared" si="40"/>
        <v>0</v>
      </c>
      <c r="BP57" s="9">
        <f t="shared" si="73"/>
        <v>0</v>
      </c>
      <c r="BQ57" s="4">
        <f t="shared" si="42"/>
        <v>0</v>
      </c>
      <c r="BR57" s="13">
        <f t="shared" ca="1" si="43"/>
        <v>0</v>
      </c>
      <c r="BS57" s="4">
        <v>1.8</v>
      </c>
      <c r="BT57" s="1">
        <v>79200</v>
      </c>
      <c r="BU57" s="1">
        <v>92</v>
      </c>
      <c r="BV57" s="1">
        <v>38543.999999999978</v>
      </c>
      <c r="BX57" s="4" t="str">
        <f t="shared" si="84"/>
        <v>1.6 to 1.8</v>
      </c>
      <c r="BY57" s="11">
        <f t="shared" si="45"/>
        <v>0</v>
      </c>
      <c r="BZ57" s="9">
        <f t="shared" si="74"/>
        <v>0</v>
      </c>
      <c r="CA57" s="4">
        <f t="shared" si="47"/>
        <v>0</v>
      </c>
      <c r="CB57" s="13">
        <f t="shared" ca="1" si="48"/>
        <v>0</v>
      </c>
      <c r="CC57" s="4">
        <v>1.8</v>
      </c>
      <c r="CD57" s="1">
        <v>43295.999999999942</v>
      </c>
      <c r="CE57" s="1">
        <v>54</v>
      </c>
      <c r="CF57" s="1">
        <v>24647.03999999999</v>
      </c>
      <c r="CH57" s="4" t="str">
        <f t="shared" si="85"/>
        <v>1.6 to 1.8</v>
      </c>
      <c r="CI57" s="11">
        <f t="shared" si="50"/>
        <v>0</v>
      </c>
      <c r="CJ57" s="9">
        <f t="shared" si="75"/>
        <v>0</v>
      </c>
      <c r="CK57" s="4">
        <f t="shared" si="52"/>
        <v>0</v>
      </c>
      <c r="CL57" s="13">
        <f t="shared" ca="1" si="53"/>
        <v>0</v>
      </c>
      <c r="CM57" s="4">
        <v>1.8</v>
      </c>
      <c r="CN57" s="1">
        <v>104544.00000000007</v>
      </c>
      <c r="CO57" s="1">
        <v>144</v>
      </c>
      <c r="CP57" s="1">
        <v>38016.000000000087</v>
      </c>
      <c r="CR57" s="4" t="str">
        <f t="shared" si="86"/>
        <v>1.6 to 1.8</v>
      </c>
      <c r="CS57" s="11">
        <f t="shared" si="55"/>
        <v>0</v>
      </c>
      <c r="CT57" s="9">
        <f t="shared" si="76"/>
        <v>0</v>
      </c>
      <c r="CU57" s="4">
        <f t="shared" si="57"/>
        <v>0</v>
      </c>
      <c r="CV57" s="13">
        <f t="shared" ca="1" si="58"/>
        <v>0</v>
      </c>
      <c r="CW57" s="4">
        <v>1.8</v>
      </c>
      <c r="CX57" s="1">
        <v>153648</v>
      </c>
      <c r="CY57" s="1">
        <v>208</v>
      </c>
      <c r="CZ57" s="1">
        <v>75335.039999999906</v>
      </c>
      <c r="DB57" s="4" t="str">
        <f t="shared" si="87"/>
        <v>1.6 to 1.8</v>
      </c>
      <c r="DC57" s="11">
        <f t="shared" si="60"/>
        <v>0</v>
      </c>
      <c r="DD57" s="9">
        <f t="shared" si="77"/>
        <v>0</v>
      </c>
      <c r="DE57" s="4">
        <f t="shared" si="62"/>
        <v>0</v>
      </c>
      <c r="DF57" s="13">
        <f t="shared" ca="1" si="63"/>
        <v>0</v>
      </c>
    </row>
    <row r="58" spans="1:110" x14ac:dyDescent="0.25">
      <c r="A58" s="1">
        <v>57</v>
      </c>
      <c r="B58" s="4">
        <v>7400</v>
      </c>
      <c r="C58" s="4">
        <v>10.7</v>
      </c>
      <c r="D58" s="4">
        <v>11.1</v>
      </c>
      <c r="E58" s="4">
        <f t="shared" si="15"/>
        <v>0.40000000000000036</v>
      </c>
      <c r="F58" s="4">
        <v>0</v>
      </c>
      <c r="G58" s="4">
        <v>-1</v>
      </c>
      <c r="H58" s="4">
        <v>79</v>
      </c>
      <c r="I58" s="4"/>
      <c r="J58" s="4">
        <v>49</v>
      </c>
      <c r="K58"/>
      <c r="L58"/>
      <c r="M58" s="4">
        <f t="shared" si="16"/>
        <v>11.1</v>
      </c>
      <c r="N58" s="4"/>
      <c r="O58" s="1">
        <f t="shared" si="17"/>
        <v>10.7</v>
      </c>
      <c r="P58" s="1">
        <f t="shared" si="18"/>
        <v>0</v>
      </c>
      <c r="Q58" s="1" t="str">
        <f t="shared" si="3"/>
        <v/>
      </c>
      <c r="R58" s="1" t="str">
        <f t="shared" si="19"/>
        <v/>
      </c>
      <c r="S58" s="1">
        <f t="shared" si="20"/>
        <v>345.5184000000001</v>
      </c>
      <c r="T58" s="1">
        <f t="shared" si="21"/>
        <v>-1</v>
      </c>
      <c r="U58" s="1">
        <f t="shared" si="22"/>
        <v>2112.0000000000018</v>
      </c>
      <c r="V58" s="1">
        <f t="shared" si="23"/>
        <v>2112.0000000000018</v>
      </c>
      <c r="AC58" s="4"/>
      <c r="AD58" s="4"/>
      <c r="AE58" s="4">
        <v>2</v>
      </c>
      <c r="AF58" s="8">
        <v>35376</v>
      </c>
      <c r="AG58" s="4">
        <v>34</v>
      </c>
      <c r="AH58" s="19">
        <v>22360.799999999999</v>
      </c>
      <c r="AJ58" s="4" t="str">
        <f t="shared" ref="AJ58:AJ66" si="89">AE57&amp;" to "&amp;AE58</f>
        <v>1.8 to 2</v>
      </c>
      <c r="AK58" s="11">
        <f t="shared" ref="AK58:AK66" si="90">IF(AM58=0,0,(AF58-AF57)/AM58)</f>
        <v>0</v>
      </c>
      <c r="AL58" s="9">
        <f t="shared" ref="AL58:AL66" si="91">IF(AM58=0,0,SIGN(AE57)*(AH58-AH57)/(AF58-AF57))</f>
        <v>0</v>
      </c>
      <c r="AM58" s="4">
        <f t="shared" ref="AM58:AM66" si="92">AG58-AG57</f>
        <v>0</v>
      </c>
      <c r="AN58" s="13">
        <f t="shared" ca="1" si="69"/>
        <v>0</v>
      </c>
      <c r="AO58" s="4">
        <v>2</v>
      </c>
      <c r="AP58" s="8">
        <v>213312.00000000006</v>
      </c>
      <c r="AQ58" s="4">
        <v>246</v>
      </c>
      <c r="AR58" s="19">
        <v>131440.31999999995</v>
      </c>
      <c r="AT58" s="4" t="str">
        <f t="shared" si="81"/>
        <v>1.8 to 2</v>
      </c>
      <c r="AU58" s="11">
        <f t="shared" ref="AU58:AU66" si="93">IF(AW58=0,0,(AP58-AP57)/AW58)</f>
        <v>0</v>
      </c>
      <c r="AV58" s="9">
        <f t="shared" si="71"/>
        <v>0</v>
      </c>
      <c r="AW58" s="4">
        <f t="shared" ref="AW58:AW66" si="94">AQ58-AQ57</f>
        <v>0</v>
      </c>
      <c r="AX58" s="13">
        <f t="shared" ca="1" si="88"/>
        <v>0</v>
      </c>
      <c r="AY58" s="4">
        <v>2</v>
      </c>
      <c r="AZ58" s="8">
        <v>39071.999999999993</v>
      </c>
      <c r="BA58" s="4">
        <v>48</v>
      </c>
      <c r="BB58" s="19">
        <v>24150.720000000012</v>
      </c>
      <c r="BD58" s="4" t="str">
        <f t="shared" si="82"/>
        <v>1.8 to 2</v>
      </c>
      <c r="BE58" s="11">
        <f t="shared" si="35"/>
        <v>0</v>
      </c>
      <c r="BF58" s="9">
        <f t="shared" si="72"/>
        <v>0</v>
      </c>
      <c r="BG58" s="4">
        <f t="shared" si="37"/>
        <v>0</v>
      </c>
      <c r="BH58" s="13">
        <f t="shared" ca="1" si="38"/>
        <v>0</v>
      </c>
      <c r="BI58" s="4">
        <v>2</v>
      </c>
      <c r="BJ58" s="1">
        <v>245520.00000000084</v>
      </c>
      <c r="BK58" s="1">
        <v>308</v>
      </c>
      <c r="BL58" s="1">
        <v>129328.31999999992</v>
      </c>
      <c r="BN58" s="4" t="str">
        <f t="shared" si="83"/>
        <v>1.8 to 2</v>
      </c>
      <c r="BO58" s="11">
        <f t="shared" si="40"/>
        <v>0</v>
      </c>
      <c r="BP58" s="9">
        <f t="shared" si="73"/>
        <v>0</v>
      </c>
      <c r="BQ58" s="4">
        <f t="shared" si="42"/>
        <v>0</v>
      </c>
      <c r="BR58" s="13">
        <f t="shared" ca="1" si="43"/>
        <v>0</v>
      </c>
      <c r="BS58" s="4">
        <v>2</v>
      </c>
      <c r="BT58" s="1">
        <v>79200</v>
      </c>
      <c r="BU58" s="1">
        <v>92</v>
      </c>
      <c r="BV58" s="1">
        <v>38543.999999999978</v>
      </c>
      <c r="BX58" s="4" t="str">
        <f t="shared" si="84"/>
        <v>1.8 to 2</v>
      </c>
      <c r="BY58" s="11">
        <f t="shared" si="45"/>
        <v>0</v>
      </c>
      <c r="BZ58" s="9">
        <f t="shared" si="74"/>
        <v>0</v>
      </c>
      <c r="CA58" s="4">
        <f t="shared" si="47"/>
        <v>0</v>
      </c>
      <c r="CB58" s="13">
        <f t="shared" ca="1" si="48"/>
        <v>0</v>
      </c>
      <c r="CC58" s="4">
        <v>2</v>
      </c>
      <c r="CD58" s="1">
        <v>43295.999999999942</v>
      </c>
      <c r="CE58" s="1">
        <v>54</v>
      </c>
      <c r="CF58" s="1">
        <v>24647.03999999999</v>
      </c>
      <c r="CH58" s="4" t="str">
        <f t="shared" si="85"/>
        <v>1.8 to 2</v>
      </c>
      <c r="CI58" s="11">
        <f t="shared" si="50"/>
        <v>0</v>
      </c>
      <c r="CJ58" s="9">
        <f t="shared" si="75"/>
        <v>0</v>
      </c>
      <c r="CK58" s="4">
        <f t="shared" si="52"/>
        <v>0</v>
      </c>
      <c r="CL58" s="13">
        <f t="shared" ca="1" si="53"/>
        <v>0</v>
      </c>
      <c r="CM58" s="4">
        <v>2</v>
      </c>
      <c r="CN58" s="1">
        <v>104544.00000000007</v>
      </c>
      <c r="CO58" s="1">
        <v>144</v>
      </c>
      <c r="CP58" s="1">
        <v>38016.000000000087</v>
      </c>
      <c r="CR58" s="4" t="str">
        <f t="shared" si="86"/>
        <v>1.8 to 2</v>
      </c>
      <c r="CS58" s="11">
        <f t="shared" si="55"/>
        <v>0</v>
      </c>
      <c r="CT58" s="9">
        <f t="shared" si="76"/>
        <v>0</v>
      </c>
      <c r="CU58" s="4">
        <f t="shared" si="57"/>
        <v>0</v>
      </c>
      <c r="CV58" s="13">
        <f t="shared" ca="1" si="58"/>
        <v>0</v>
      </c>
      <c r="CW58" s="4">
        <v>2</v>
      </c>
      <c r="CX58" s="1">
        <v>153648</v>
      </c>
      <c r="CY58" s="1">
        <v>208</v>
      </c>
      <c r="CZ58" s="1">
        <v>75335.039999999906</v>
      </c>
      <c r="DB58" s="4" t="str">
        <f t="shared" si="87"/>
        <v>1.8 to 2</v>
      </c>
      <c r="DC58" s="11">
        <f t="shared" si="60"/>
        <v>0</v>
      </c>
      <c r="DD58" s="9">
        <f t="shared" si="77"/>
        <v>0</v>
      </c>
      <c r="DE58" s="4">
        <f t="shared" si="62"/>
        <v>0</v>
      </c>
      <c r="DF58" s="13">
        <f t="shared" ca="1" si="63"/>
        <v>0</v>
      </c>
    </row>
    <row r="59" spans="1:110" x14ac:dyDescent="0.25">
      <c r="A59" s="1">
        <v>58</v>
      </c>
      <c r="B59" s="4">
        <v>7400</v>
      </c>
      <c r="C59" s="4">
        <v>11.1</v>
      </c>
      <c r="D59" s="4">
        <v>11.299999999999999</v>
      </c>
      <c r="E59" s="4">
        <f t="shared" si="15"/>
        <v>0.19999999999999929</v>
      </c>
      <c r="F59" s="4">
        <v>2</v>
      </c>
      <c r="G59" s="4">
        <v>-1</v>
      </c>
      <c r="H59" s="4">
        <v>79</v>
      </c>
      <c r="I59" s="4"/>
      <c r="J59" s="4">
        <v>49</v>
      </c>
      <c r="K59"/>
      <c r="L59"/>
      <c r="M59" s="4">
        <f t="shared" si="16"/>
        <v>11.299999999999999</v>
      </c>
      <c r="N59" s="4"/>
      <c r="O59" s="1">
        <f t="shared" si="17"/>
        <v>11.1</v>
      </c>
      <c r="P59" s="1">
        <f t="shared" si="18"/>
        <v>21.119999999999923</v>
      </c>
      <c r="Q59" s="1" t="str">
        <f t="shared" si="3"/>
        <v/>
      </c>
      <c r="R59" s="1" t="str">
        <f t="shared" si="19"/>
        <v/>
      </c>
      <c r="S59" s="1">
        <f t="shared" si="20"/>
        <v>324.39840000000009</v>
      </c>
      <c r="T59" s="1">
        <f t="shared" si="21"/>
        <v>-1</v>
      </c>
      <c r="U59" s="1">
        <f t="shared" si="22"/>
        <v>1055.9999999999964</v>
      </c>
      <c r="V59" s="1">
        <f t="shared" si="23"/>
        <v>1055.9999999999964</v>
      </c>
      <c r="AC59" s="4"/>
      <c r="AD59" s="14"/>
      <c r="AE59" s="4">
        <v>2.2000000000000002</v>
      </c>
      <c r="AF59" s="8">
        <v>35376</v>
      </c>
      <c r="AG59" s="4">
        <v>34</v>
      </c>
      <c r="AH59" s="19">
        <v>22360.799999999999</v>
      </c>
      <c r="AJ59" s="4" t="str">
        <f t="shared" si="89"/>
        <v>2 to 2.2</v>
      </c>
      <c r="AK59" s="11">
        <f t="shared" si="90"/>
        <v>0</v>
      </c>
      <c r="AL59" s="9">
        <f t="shared" si="91"/>
        <v>0</v>
      </c>
      <c r="AM59" s="4">
        <f t="shared" si="92"/>
        <v>0</v>
      </c>
      <c r="AN59" s="13">
        <f t="shared" ca="1" si="69"/>
        <v>0</v>
      </c>
      <c r="AO59" s="4">
        <v>2.2000000000000002</v>
      </c>
      <c r="AP59" s="8">
        <v>213312.00000000006</v>
      </c>
      <c r="AQ59" s="4">
        <v>246</v>
      </c>
      <c r="AR59" s="19">
        <v>131440.31999999995</v>
      </c>
      <c r="AT59" s="4" t="str">
        <f t="shared" si="81"/>
        <v>2 to 2.2</v>
      </c>
      <c r="AU59" s="11">
        <f t="shared" si="93"/>
        <v>0</v>
      </c>
      <c r="AV59" s="9">
        <f t="shared" si="71"/>
        <v>0</v>
      </c>
      <c r="AW59" s="4">
        <f t="shared" si="94"/>
        <v>0</v>
      </c>
      <c r="AX59" s="13">
        <f t="shared" ca="1" si="88"/>
        <v>0</v>
      </c>
      <c r="AY59" s="4">
        <v>2.2000000000000002</v>
      </c>
      <c r="AZ59" s="8">
        <v>39071.999999999993</v>
      </c>
      <c r="BA59" s="4">
        <v>48</v>
      </c>
      <c r="BB59" s="19">
        <v>24150.720000000012</v>
      </c>
      <c r="BD59" s="4" t="str">
        <f t="shared" si="82"/>
        <v>2 to 2.2</v>
      </c>
      <c r="BE59" s="11">
        <f t="shared" si="35"/>
        <v>0</v>
      </c>
      <c r="BF59" s="9">
        <f t="shared" si="72"/>
        <v>0</v>
      </c>
      <c r="BG59" s="4">
        <f t="shared" si="37"/>
        <v>0</v>
      </c>
      <c r="BH59" s="13">
        <f t="shared" ca="1" si="38"/>
        <v>0</v>
      </c>
      <c r="BI59" s="4">
        <v>2.2000000000000002</v>
      </c>
      <c r="BJ59" s="1">
        <v>245520.00000000084</v>
      </c>
      <c r="BK59" s="1">
        <v>308</v>
      </c>
      <c r="BL59" s="1">
        <v>129328.31999999992</v>
      </c>
      <c r="BN59" s="4" t="str">
        <f t="shared" si="83"/>
        <v>2 to 2.2</v>
      </c>
      <c r="BO59" s="11">
        <f t="shared" si="40"/>
        <v>0</v>
      </c>
      <c r="BP59" s="9">
        <f t="shared" si="73"/>
        <v>0</v>
      </c>
      <c r="BQ59" s="4">
        <f t="shared" si="42"/>
        <v>0</v>
      </c>
      <c r="BR59" s="13">
        <f t="shared" ca="1" si="43"/>
        <v>0</v>
      </c>
      <c r="BS59" s="4">
        <v>2.2000000000000002</v>
      </c>
      <c r="BT59" s="1">
        <v>79200</v>
      </c>
      <c r="BU59" s="1">
        <v>92</v>
      </c>
      <c r="BV59" s="1">
        <v>38543.999999999978</v>
      </c>
      <c r="BX59" s="4" t="str">
        <f t="shared" si="84"/>
        <v>2 to 2.2</v>
      </c>
      <c r="BY59" s="11">
        <f t="shared" si="45"/>
        <v>0</v>
      </c>
      <c r="BZ59" s="9">
        <f t="shared" si="74"/>
        <v>0</v>
      </c>
      <c r="CA59" s="4">
        <f t="shared" si="47"/>
        <v>0</v>
      </c>
      <c r="CB59" s="13">
        <f t="shared" ca="1" si="48"/>
        <v>0</v>
      </c>
      <c r="CC59" s="4">
        <v>2.2000000000000002</v>
      </c>
      <c r="CD59" s="1">
        <v>43295.999999999942</v>
      </c>
      <c r="CE59" s="1">
        <v>54</v>
      </c>
      <c r="CF59" s="1">
        <v>24647.03999999999</v>
      </c>
      <c r="CH59" s="4" t="str">
        <f t="shared" si="85"/>
        <v>2 to 2.2</v>
      </c>
      <c r="CI59" s="11">
        <f t="shared" si="50"/>
        <v>0</v>
      </c>
      <c r="CJ59" s="9">
        <f t="shared" si="75"/>
        <v>0</v>
      </c>
      <c r="CK59" s="4">
        <f t="shared" si="52"/>
        <v>0</v>
      </c>
      <c r="CL59" s="13">
        <f t="shared" ca="1" si="53"/>
        <v>0</v>
      </c>
      <c r="CM59" s="4">
        <v>2.2000000000000002</v>
      </c>
      <c r="CN59" s="1">
        <v>104544.00000000007</v>
      </c>
      <c r="CO59" s="1">
        <v>144</v>
      </c>
      <c r="CP59" s="1">
        <v>38016.000000000087</v>
      </c>
      <c r="CR59" s="4" t="str">
        <f t="shared" si="86"/>
        <v>2 to 2.2</v>
      </c>
      <c r="CS59" s="11">
        <f t="shared" si="55"/>
        <v>0</v>
      </c>
      <c r="CT59" s="9">
        <f t="shared" si="76"/>
        <v>0</v>
      </c>
      <c r="CU59" s="4">
        <f t="shared" si="57"/>
        <v>0</v>
      </c>
      <c r="CV59" s="13">
        <f t="shared" ca="1" si="58"/>
        <v>0</v>
      </c>
      <c r="CW59" s="4">
        <v>2.2000000000000002</v>
      </c>
      <c r="CX59" s="1">
        <v>153648</v>
      </c>
      <c r="CY59" s="1">
        <v>208</v>
      </c>
      <c r="CZ59" s="1">
        <v>75335.039999999906</v>
      </c>
      <c r="DB59" s="4" t="str">
        <f t="shared" si="87"/>
        <v>2 to 2.2</v>
      </c>
      <c r="DC59" s="11">
        <f t="shared" si="60"/>
        <v>0</v>
      </c>
      <c r="DD59" s="9">
        <f t="shared" si="77"/>
        <v>0</v>
      </c>
      <c r="DE59" s="4">
        <f t="shared" si="62"/>
        <v>0</v>
      </c>
      <c r="DF59" s="13">
        <f t="shared" ca="1" si="63"/>
        <v>0</v>
      </c>
    </row>
    <row r="60" spans="1:110" x14ac:dyDescent="0.25">
      <c r="A60" s="1">
        <v>59</v>
      </c>
      <c r="B60" s="4">
        <v>7400</v>
      </c>
      <c r="C60" s="4">
        <v>11.299999999999999</v>
      </c>
      <c r="D60" s="4">
        <v>11.4</v>
      </c>
      <c r="E60" s="4">
        <f t="shared" si="15"/>
        <v>0.10000000000000142</v>
      </c>
      <c r="F60" s="4">
        <v>0</v>
      </c>
      <c r="G60" s="4">
        <v>-0.65</v>
      </c>
      <c r="H60" s="4">
        <v>79</v>
      </c>
      <c r="I60" s="4"/>
      <c r="J60" s="4">
        <v>49</v>
      </c>
      <c r="K60"/>
      <c r="L60"/>
      <c r="M60" s="4">
        <f t="shared" si="16"/>
        <v>11.4</v>
      </c>
      <c r="N60" s="4"/>
      <c r="O60" s="1">
        <f t="shared" si="17"/>
        <v>11.299999999999999</v>
      </c>
      <c r="P60" s="1">
        <f t="shared" si="18"/>
        <v>0</v>
      </c>
      <c r="Q60" s="1" t="str">
        <f t="shared" si="3"/>
        <v/>
      </c>
      <c r="R60" s="1" t="str">
        <f t="shared" si="19"/>
        <v/>
      </c>
      <c r="S60" s="1">
        <f t="shared" si="20"/>
        <v>313.83840000000015</v>
      </c>
      <c r="T60" s="1">
        <f t="shared" si="21"/>
        <v>-0.65</v>
      </c>
      <c r="U60" s="1">
        <f t="shared" si="22"/>
        <v>528.0000000000075</v>
      </c>
      <c r="V60" s="1">
        <f t="shared" si="23"/>
        <v>343.20000000000488</v>
      </c>
      <c r="AC60" s="4"/>
      <c r="AD60" s="4"/>
      <c r="AE60" s="4">
        <v>2.4</v>
      </c>
      <c r="AF60" s="8">
        <v>35376</v>
      </c>
      <c r="AG60" s="4">
        <v>34</v>
      </c>
      <c r="AH60" s="19">
        <v>22360.799999999999</v>
      </c>
      <c r="AI60" s="4"/>
      <c r="AJ60" s="4" t="str">
        <f t="shared" si="89"/>
        <v>2.2 to 2.4</v>
      </c>
      <c r="AK60" s="11">
        <f t="shared" si="90"/>
        <v>0</v>
      </c>
      <c r="AL60" s="9">
        <f t="shared" si="91"/>
        <v>0</v>
      </c>
      <c r="AM60" s="4">
        <f t="shared" si="92"/>
        <v>0</v>
      </c>
      <c r="AN60" s="13">
        <f t="shared" ca="1" si="69"/>
        <v>0</v>
      </c>
      <c r="AO60" s="4">
        <v>2.4</v>
      </c>
      <c r="AP60" s="8">
        <v>213312.00000000006</v>
      </c>
      <c r="AQ60" s="4">
        <v>246</v>
      </c>
      <c r="AR60" s="19">
        <v>131440.31999999995</v>
      </c>
      <c r="AS60" s="4"/>
      <c r="AT60" s="4" t="str">
        <f t="shared" si="81"/>
        <v>2.2 to 2.4</v>
      </c>
      <c r="AU60" s="11">
        <f t="shared" si="93"/>
        <v>0</v>
      </c>
      <c r="AV60" s="9">
        <f t="shared" si="71"/>
        <v>0</v>
      </c>
      <c r="AW60" s="4">
        <f t="shared" si="94"/>
        <v>0</v>
      </c>
      <c r="AX60" s="13">
        <f t="shared" ca="1" si="88"/>
        <v>0</v>
      </c>
      <c r="AY60" s="4">
        <v>2.4</v>
      </c>
      <c r="AZ60" s="8">
        <v>39071.999999999993</v>
      </c>
      <c r="BA60" s="4">
        <v>48</v>
      </c>
      <c r="BB60" s="19">
        <v>24150.720000000012</v>
      </c>
      <c r="BD60" s="4" t="str">
        <f t="shared" si="82"/>
        <v>2.2 to 2.4</v>
      </c>
      <c r="BE60" s="11">
        <f t="shared" si="35"/>
        <v>0</v>
      </c>
      <c r="BF60" s="9">
        <f t="shared" si="72"/>
        <v>0</v>
      </c>
      <c r="BG60" s="4">
        <f t="shared" si="37"/>
        <v>0</v>
      </c>
      <c r="BH60" s="13">
        <f t="shared" ca="1" si="38"/>
        <v>0</v>
      </c>
      <c r="BI60" s="4">
        <v>2.4</v>
      </c>
      <c r="BJ60" s="1">
        <v>245520.00000000084</v>
      </c>
      <c r="BK60" s="1">
        <v>308</v>
      </c>
      <c r="BL60" s="1">
        <v>129328.31999999992</v>
      </c>
      <c r="BN60" s="4" t="str">
        <f t="shared" si="83"/>
        <v>2.2 to 2.4</v>
      </c>
      <c r="BO60" s="11">
        <f t="shared" si="40"/>
        <v>0</v>
      </c>
      <c r="BP60" s="9">
        <f t="shared" si="73"/>
        <v>0</v>
      </c>
      <c r="BQ60" s="4">
        <f t="shared" si="42"/>
        <v>0</v>
      </c>
      <c r="BR60" s="13">
        <f t="shared" ca="1" si="43"/>
        <v>0</v>
      </c>
      <c r="BS60" s="4">
        <v>2.4</v>
      </c>
      <c r="BT60" s="1">
        <v>79200</v>
      </c>
      <c r="BU60" s="1">
        <v>92</v>
      </c>
      <c r="BV60" s="1">
        <v>38543.999999999978</v>
      </c>
      <c r="BX60" s="4" t="str">
        <f t="shared" si="84"/>
        <v>2.2 to 2.4</v>
      </c>
      <c r="BY60" s="11">
        <f t="shared" si="45"/>
        <v>0</v>
      </c>
      <c r="BZ60" s="9">
        <f t="shared" si="74"/>
        <v>0</v>
      </c>
      <c r="CA60" s="4">
        <f t="shared" si="47"/>
        <v>0</v>
      </c>
      <c r="CB60" s="13">
        <f t="shared" ca="1" si="48"/>
        <v>0</v>
      </c>
      <c r="CC60" s="4">
        <v>2.4</v>
      </c>
      <c r="CD60" s="1">
        <v>43295.999999999942</v>
      </c>
      <c r="CE60" s="1">
        <v>54</v>
      </c>
      <c r="CF60" s="1">
        <v>24647.03999999999</v>
      </c>
      <c r="CH60" s="4" t="str">
        <f t="shared" si="85"/>
        <v>2.2 to 2.4</v>
      </c>
      <c r="CI60" s="11">
        <f t="shared" si="50"/>
        <v>0</v>
      </c>
      <c r="CJ60" s="9">
        <f t="shared" si="75"/>
        <v>0</v>
      </c>
      <c r="CK60" s="4">
        <f t="shared" si="52"/>
        <v>0</v>
      </c>
      <c r="CL60" s="13">
        <f t="shared" ca="1" si="53"/>
        <v>0</v>
      </c>
      <c r="CM60" s="4">
        <v>2.4</v>
      </c>
      <c r="CN60" s="1">
        <v>104544.00000000007</v>
      </c>
      <c r="CO60" s="1">
        <v>144</v>
      </c>
      <c r="CP60" s="1">
        <v>38016.000000000087</v>
      </c>
      <c r="CR60" s="4" t="str">
        <f t="shared" si="86"/>
        <v>2.2 to 2.4</v>
      </c>
      <c r="CS60" s="11">
        <f t="shared" si="55"/>
        <v>0</v>
      </c>
      <c r="CT60" s="9">
        <f t="shared" si="76"/>
        <v>0</v>
      </c>
      <c r="CU60" s="4">
        <f t="shared" si="57"/>
        <v>0</v>
      </c>
      <c r="CV60" s="13">
        <f t="shared" ca="1" si="58"/>
        <v>0</v>
      </c>
      <c r="CW60" s="4">
        <v>2.4</v>
      </c>
      <c r="CX60" s="1">
        <v>153648</v>
      </c>
      <c r="CY60" s="1">
        <v>208</v>
      </c>
      <c r="CZ60" s="1">
        <v>75335.039999999906</v>
      </c>
      <c r="DB60" s="4" t="str">
        <f t="shared" si="87"/>
        <v>2.2 to 2.4</v>
      </c>
      <c r="DC60" s="11">
        <f t="shared" si="60"/>
        <v>0</v>
      </c>
      <c r="DD60" s="9">
        <f t="shared" si="77"/>
        <v>0</v>
      </c>
      <c r="DE60" s="4">
        <f t="shared" si="62"/>
        <v>0</v>
      </c>
      <c r="DF60" s="13">
        <f t="shared" ca="1" si="63"/>
        <v>0</v>
      </c>
    </row>
    <row r="61" spans="1:110" x14ac:dyDescent="0.25">
      <c r="A61" s="1">
        <v>60</v>
      </c>
      <c r="B61" s="4">
        <v>7400</v>
      </c>
      <c r="C61" s="4">
        <v>11.4</v>
      </c>
      <c r="D61" s="4">
        <v>11.5</v>
      </c>
      <c r="E61" s="4">
        <f t="shared" si="15"/>
        <v>9.9999999999999645E-2</v>
      </c>
      <c r="F61" s="4">
        <v>3.2</v>
      </c>
      <c r="G61" s="4">
        <v>-0.97</v>
      </c>
      <c r="H61" s="4">
        <v>79</v>
      </c>
      <c r="I61" s="4"/>
      <c r="J61" s="4">
        <v>49</v>
      </c>
      <c r="K61"/>
      <c r="L61"/>
      <c r="M61" s="4">
        <f t="shared" si="16"/>
        <v>11.5</v>
      </c>
      <c r="N61" s="4"/>
      <c r="O61" s="1">
        <f t="shared" si="17"/>
        <v>11.4</v>
      </c>
      <c r="P61" s="1">
        <f t="shared" si="18"/>
        <v>16.89599999999994</v>
      </c>
      <c r="Q61" s="1" t="str">
        <f t="shared" si="3"/>
        <v/>
      </c>
      <c r="R61" s="1" t="str">
        <f t="shared" si="19"/>
        <v/>
      </c>
      <c r="S61" s="1">
        <f t="shared" si="20"/>
        <v>310.40640000000008</v>
      </c>
      <c r="T61" s="1">
        <f t="shared" si="21"/>
        <v>-0.97</v>
      </c>
      <c r="U61" s="1">
        <f t="shared" si="22"/>
        <v>527.99999999999818</v>
      </c>
      <c r="V61" s="1">
        <f t="shared" si="23"/>
        <v>512.15999999999826</v>
      </c>
      <c r="AE61" s="4">
        <v>2.6</v>
      </c>
      <c r="AF61" s="8">
        <v>35376</v>
      </c>
      <c r="AG61" s="1">
        <v>34</v>
      </c>
      <c r="AH61" s="19">
        <v>22360.799999999999</v>
      </c>
      <c r="AJ61" s="4" t="str">
        <f t="shared" si="89"/>
        <v>2.4 to 2.6</v>
      </c>
      <c r="AK61" s="11">
        <f t="shared" si="90"/>
        <v>0</v>
      </c>
      <c r="AL61" s="9">
        <f t="shared" si="91"/>
        <v>0</v>
      </c>
      <c r="AM61" s="4">
        <f t="shared" si="92"/>
        <v>0</v>
      </c>
      <c r="AN61" s="13">
        <f t="shared" ca="1" si="69"/>
        <v>0</v>
      </c>
      <c r="AO61" s="4">
        <v>2.6</v>
      </c>
      <c r="AP61" s="8">
        <v>213312.00000000006</v>
      </c>
      <c r="AQ61" s="1">
        <v>246</v>
      </c>
      <c r="AR61" s="19">
        <v>131440.31999999995</v>
      </c>
      <c r="AT61" s="4" t="str">
        <f t="shared" si="81"/>
        <v>2.4 to 2.6</v>
      </c>
      <c r="AU61" s="11">
        <f t="shared" si="93"/>
        <v>0</v>
      </c>
      <c r="AV61" s="9">
        <f t="shared" si="71"/>
        <v>0</v>
      </c>
      <c r="AW61" s="4">
        <f t="shared" si="94"/>
        <v>0</v>
      </c>
      <c r="AX61" s="13">
        <f t="shared" ca="1" si="88"/>
        <v>0</v>
      </c>
      <c r="AY61" s="4">
        <v>2.6</v>
      </c>
      <c r="AZ61" s="8">
        <v>39071.999999999993</v>
      </c>
      <c r="BA61" s="1">
        <v>48</v>
      </c>
      <c r="BB61" s="19">
        <v>24150.720000000012</v>
      </c>
      <c r="BD61" s="4" t="str">
        <f t="shared" si="82"/>
        <v>2.4 to 2.6</v>
      </c>
      <c r="BE61" s="11">
        <f t="shared" si="35"/>
        <v>0</v>
      </c>
      <c r="BF61" s="9">
        <f t="shared" si="72"/>
        <v>0</v>
      </c>
      <c r="BG61" s="4">
        <f t="shared" si="37"/>
        <v>0</v>
      </c>
      <c r="BH61" s="13">
        <f t="shared" ca="1" si="38"/>
        <v>0</v>
      </c>
      <c r="BI61" s="4">
        <v>2.6</v>
      </c>
      <c r="BJ61" s="1">
        <v>245520.00000000084</v>
      </c>
      <c r="BK61" s="1">
        <v>308</v>
      </c>
      <c r="BL61" s="1">
        <v>129328.31999999992</v>
      </c>
      <c r="BN61" s="4" t="str">
        <f t="shared" si="83"/>
        <v>2.4 to 2.6</v>
      </c>
      <c r="BO61" s="11">
        <f t="shared" si="40"/>
        <v>0</v>
      </c>
      <c r="BP61" s="9">
        <f t="shared" si="73"/>
        <v>0</v>
      </c>
      <c r="BQ61" s="4">
        <f t="shared" si="42"/>
        <v>0</v>
      </c>
      <c r="BR61" s="13">
        <f t="shared" ca="1" si="43"/>
        <v>0</v>
      </c>
      <c r="BS61" s="4">
        <v>2.6</v>
      </c>
      <c r="BT61" s="1">
        <v>79200</v>
      </c>
      <c r="BU61" s="1">
        <v>92</v>
      </c>
      <c r="BV61" s="1">
        <v>38543.999999999978</v>
      </c>
      <c r="BX61" s="4" t="str">
        <f t="shared" si="84"/>
        <v>2.4 to 2.6</v>
      </c>
      <c r="BY61" s="11">
        <f t="shared" si="45"/>
        <v>0</v>
      </c>
      <c r="BZ61" s="9">
        <f t="shared" si="74"/>
        <v>0</v>
      </c>
      <c r="CA61" s="4">
        <f t="shared" si="47"/>
        <v>0</v>
      </c>
      <c r="CB61" s="13">
        <f t="shared" ca="1" si="48"/>
        <v>0</v>
      </c>
      <c r="CC61" s="4">
        <v>2.6</v>
      </c>
      <c r="CD61" s="1">
        <v>43295.999999999942</v>
      </c>
      <c r="CE61" s="1">
        <v>54</v>
      </c>
      <c r="CF61" s="1">
        <v>24647.03999999999</v>
      </c>
      <c r="CH61" s="4" t="str">
        <f t="shared" si="85"/>
        <v>2.4 to 2.6</v>
      </c>
      <c r="CI61" s="11">
        <f t="shared" si="50"/>
        <v>0</v>
      </c>
      <c r="CJ61" s="9">
        <f t="shared" si="75"/>
        <v>0</v>
      </c>
      <c r="CK61" s="4">
        <f t="shared" si="52"/>
        <v>0</v>
      </c>
      <c r="CL61" s="13">
        <f t="shared" ca="1" si="53"/>
        <v>0</v>
      </c>
      <c r="CM61" s="4">
        <v>2.6</v>
      </c>
      <c r="CN61" s="1">
        <v>104544.00000000007</v>
      </c>
      <c r="CO61" s="1">
        <v>144</v>
      </c>
      <c r="CP61" s="1">
        <v>38016.000000000087</v>
      </c>
      <c r="CR61" s="4" t="str">
        <f t="shared" si="86"/>
        <v>2.4 to 2.6</v>
      </c>
      <c r="CS61" s="11">
        <f t="shared" si="55"/>
        <v>0</v>
      </c>
      <c r="CT61" s="9">
        <f t="shared" si="76"/>
        <v>0</v>
      </c>
      <c r="CU61" s="4">
        <f t="shared" si="57"/>
        <v>0</v>
      </c>
      <c r="CV61" s="13">
        <f t="shared" ca="1" si="58"/>
        <v>0</v>
      </c>
      <c r="CW61" s="4">
        <v>2.6</v>
      </c>
      <c r="CX61" s="1">
        <v>153648</v>
      </c>
      <c r="CY61" s="1">
        <v>208</v>
      </c>
      <c r="CZ61" s="1">
        <v>75335.039999999906</v>
      </c>
      <c r="DB61" s="4" t="str">
        <f t="shared" si="87"/>
        <v>2.4 to 2.6</v>
      </c>
      <c r="DC61" s="11">
        <f t="shared" si="60"/>
        <v>0</v>
      </c>
      <c r="DD61" s="9">
        <f t="shared" si="77"/>
        <v>0</v>
      </c>
      <c r="DE61" s="4">
        <f t="shared" si="62"/>
        <v>0</v>
      </c>
      <c r="DF61" s="13">
        <f t="shared" ca="1" si="63"/>
        <v>0</v>
      </c>
    </row>
    <row r="62" spans="1:110" x14ac:dyDescent="0.25">
      <c r="A62" s="1">
        <v>61</v>
      </c>
      <c r="B62" s="4">
        <v>7400</v>
      </c>
      <c r="C62" s="4">
        <v>11.5</v>
      </c>
      <c r="D62" s="4">
        <v>11.7</v>
      </c>
      <c r="E62" s="4">
        <f t="shared" si="15"/>
        <v>0.19999999999999929</v>
      </c>
      <c r="F62" s="4">
        <v>3.2</v>
      </c>
      <c r="G62" s="4">
        <v>-1.4</v>
      </c>
      <c r="H62" s="4">
        <v>79</v>
      </c>
      <c r="I62" s="4"/>
      <c r="J62" s="4">
        <v>49</v>
      </c>
      <c r="K62"/>
      <c r="L62"/>
      <c r="M62" s="4">
        <f t="shared" si="16"/>
        <v>11.7</v>
      </c>
      <c r="N62" s="4"/>
      <c r="O62" s="1">
        <f t="shared" si="17"/>
        <v>11.5</v>
      </c>
      <c r="P62" s="1">
        <f t="shared" si="18"/>
        <v>33.791999999999881</v>
      </c>
      <c r="Q62" s="1" t="str">
        <f t="shared" si="3"/>
        <v/>
      </c>
      <c r="R62" s="1" t="str">
        <f t="shared" si="19"/>
        <v/>
      </c>
      <c r="S62" s="1">
        <f t="shared" si="20"/>
        <v>305.28480000000008</v>
      </c>
      <c r="T62" s="1">
        <f t="shared" si="21"/>
        <v>-1.4</v>
      </c>
      <c r="U62" s="1">
        <f t="shared" si="22"/>
        <v>1055.9999999999964</v>
      </c>
      <c r="V62" s="1">
        <f t="shared" si="23"/>
        <v>1478.3999999999949</v>
      </c>
      <c r="AE62" s="4">
        <v>2.8</v>
      </c>
      <c r="AF62" s="8">
        <v>35376</v>
      </c>
      <c r="AG62" s="1">
        <v>34</v>
      </c>
      <c r="AH62" s="19">
        <v>22360.799999999999</v>
      </c>
      <c r="AJ62" s="4" t="str">
        <f t="shared" si="89"/>
        <v>2.6 to 2.8</v>
      </c>
      <c r="AK62" s="11">
        <f t="shared" si="90"/>
        <v>0</v>
      </c>
      <c r="AL62" s="9">
        <f t="shared" si="91"/>
        <v>0</v>
      </c>
      <c r="AM62" s="4">
        <f t="shared" si="92"/>
        <v>0</v>
      </c>
      <c r="AN62" s="13">
        <f t="shared" ca="1" si="69"/>
        <v>0</v>
      </c>
      <c r="AO62" s="4">
        <v>2.8</v>
      </c>
      <c r="AP62" s="8">
        <v>213312.00000000006</v>
      </c>
      <c r="AQ62" s="1">
        <v>246</v>
      </c>
      <c r="AR62" s="19">
        <v>131440.31999999995</v>
      </c>
      <c r="AT62" s="4" t="str">
        <f t="shared" si="81"/>
        <v>2.6 to 2.8</v>
      </c>
      <c r="AU62" s="11">
        <f t="shared" si="93"/>
        <v>0</v>
      </c>
      <c r="AV62" s="9">
        <f t="shared" si="71"/>
        <v>0</v>
      </c>
      <c r="AW62" s="4">
        <f t="shared" si="94"/>
        <v>0</v>
      </c>
      <c r="AX62" s="13">
        <f t="shared" ca="1" si="88"/>
        <v>0</v>
      </c>
      <c r="AY62" s="4">
        <v>2.8</v>
      </c>
      <c r="AZ62" s="8">
        <v>39071.999999999993</v>
      </c>
      <c r="BA62" s="1">
        <v>48</v>
      </c>
      <c r="BB62" s="19">
        <v>24150.720000000012</v>
      </c>
      <c r="BD62" s="4" t="str">
        <f t="shared" si="82"/>
        <v>2.6 to 2.8</v>
      </c>
      <c r="BE62" s="11">
        <f t="shared" si="35"/>
        <v>0</v>
      </c>
      <c r="BF62" s="9">
        <f t="shared" si="72"/>
        <v>0</v>
      </c>
      <c r="BG62" s="4">
        <f t="shared" si="37"/>
        <v>0</v>
      </c>
      <c r="BH62" s="13">
        <f t="shared" ca="1" si="38"/>
        <v>0</v>
      </c>
      <c r="BI62" s="4">
        <v>2.8</v>
      </c>
      <c r="BJ62" s="1">
        <v>245520.00000000084</v>
      </c>
      <c r="BK62" s="1">
        <v>308</v>
      </c>
      <c r="BL62" s="1">
        <v>129328.31999999992</v>
      </c>
      <c r="BN62" s="4" t="str">
        <f t="shared" si="83"/>
        <v>2.6 to 2.8</v>
      </c>
      <c r="BO62" s="11">
        <f t="shared" si="40"/>
        <v>0</v>
      </c>
      <c r="BP62" s="9">
        <f t="shared" si="73"/>
        <v>0</v>
      </c>
      <c r="BQ62" s="4">
        <f t="shared" si="42"/>
        <v>0</v>
      </c>
      <c r="BR62" s="13">
        <f t="shared" ca="1" si="43"/>
        <v>0</v>
      </c>
      <c r="BS62" s="4">
        <v>2.8</v>
      </c>
      <c r="BT62" s="1">
        <v>79200</v>
      </c>
      <c r="BU62" s="1">
        <v>92</v>
      </c>
      <c r="BV62" s="1">
        <v>38543.999999999978</v>
      </c>
      <c r="BX62" s="4" t="str">
        <f t="shared" si="84"/>
        <v>2.6 to 2.8</v>
      </c>
      <c r="BY62" s="11">
        <f t="shared" si="45"/>
        <v>0</v>
      </c>
      <c r="BZ62" s="9">
        <f t="shared" si="74"/>
        <v>0</v>
      </c>
      <c r="CA62" s="4">
        <f t="shared" si="47"/>
        <v>0</v>
      </c>
      <c r="CB62" s="13">
        <f t="shared" ca="1" si="48"/>
        <v>0</v>
      </c>
      <c r="CC62" s="4">
        <v>2.8</v>
      </c>
      <c r="CD62" s="1">
        <v>43295.999999999942</v>
      </c>
      <c r="CE62" s="1">
        <v>54</v>
      </c>
      <c r="CF62" s="1">
        <v>24647.03999999999</v>
      </c>
      <c r="CH62" s="4" t="str">
        <f t="shared" si="85"/>
        <v>2.6 to 2.8</v>
      </c>
      <c r="CI62" s="11">
        <f t="shared" si="50"/>
        <v>0</v>
      </c>
      <c r="CJ62" s="9">
        <f t="shared" si="75"/>
        <v>0</v>
      </c>
      <c r="CK62" s="4">
        <f t="shared" si="52"/>
        <v>0</v>
      </c>
      <c r="CL62" s="13">
        <f t="shared" ca="1" si="53"/>
        <v>0</v>
      </c>
      <c r="CM62" s="4">
        <v>2.8</v>
      </c>
      <c r="CN62" s="1">
        <v>104544.00000000007</v>
      </c>
      <c r="CO62" s="1">
        <v>144</v>
      </c>
      <c r="CP62" s="1">
        <v>38016.000000000087</v>
      </c>
      <c r="CR62" s="4" t="str">
        <f t="shared" si="86"/>
        <v>2.6 to 2.8</v>
      </c>
      <c r="CS62" s="11">
        <f t="shared" si="55"/>
        <v>0</v>
      </c>
      <c r="CT62" s="9">
        <f t="shared" si="76"/>
        <v>0</v>
      </c>
      <c r="CU62" s="4">
        <f t="shared" si="57"/>
        <v>0</v>
      </c>
      <c r="CV62" s="13">
        <f t="shared" ca="1" si="58"/>
        <v>0</v>
      </c>
      <c r="CW62" s="4">
        <v>2.8</v>
      </c>
      <c r="CX62" s="1">
        <v>153648</v>
      </c>
      <c r="CY62" s="1">
        <v>208</v>
      </c>
      <c r="CZ62" s="1">
        <v>75335.039999999906</v>
      </c>
      <c r="DB62" s="4" t="str">
        <f t="shared" si="87"/>
        <v>2.6 to 2.8</v>
      </c>
      <c r="DC62" s="11">
        <f t="shared" si="60"/>
        <v>0</v>
      </c>
      <c r="DD62" s="9">
        <f t="shared" si="77"/>
        <v>0</v>
      </c>
      <c r="DE62" s="4">
        <f t="shared" si="62"/>
        <v>0</v>
      </c>
      <c r="DF62" s="13">
        <f t="shared" ca="1" si="63"/>
        <v>0</v>
      </c>
    </row>
    <row r="63" spans="1:110" x14ac:dyDescent="0.25">
      <c r="A63" s="1">
        <v>62</v>
      </c>
      <c r="B63" s="4">
        <v>7400</v>
      </c>
      <c r="C63" s="4">
        <v>11.7</v>
      </c>
      <c r="D63" s="4">
        <v>11.799999999999999</v>
      </c>
      <c r="E63" s="4">
        <f t="shared" si="15"/>
        <v>9.9999999999999645E-2</v>
      </c>
      <c r="F63" s="4">
        <v>3.2</v>
      </c>
      <c r="G63" s="4">
        <v>-0.99</v>
      </c>
      <c r="H63" s="4">
        <v>79</v>
      </c>
      <c r="I63" s="4"/>
      <c r="J63" s="4">
        <v>49</v>
      </c>
      <c r="K63"/>
      <c r="L63"/>
      <c r="M63" s="4">
        <f t="shared" si="16"/>
        <v>11.799999999999999</v>
      </c>
      <c r="N63" s="4"/>
      <c r="O63" s="1">
        <f t="shared" si="17"/>
        <v>11.7</v>
      </c>
      <c r="P63" s="1">
        <f t="shared" si="18"/>
        <v>16.89599999999994</v>
      </c>
      <c r="Q63" s="1" t="str">
        <f t="shared" si="3"/>
        <v/>
      </c>
      <c r="R63" s="1" t="str">
        <f t="shared" si="19"/>
        <v/>
      </c>
      <c r="S63" s="1">
        <f t="shared" si="20"/>
        <v>290.50080000000014</v>
      </c>
      <c r="T63" s="1">
        <f t="shared" si="21"/>
        <v>-0.99</v>
      </c>
      <c r="U63" s="1">
        <f t="shared" si="22"/>
        <v>527.99999999999818</v>
      </c>
      <c r="V63" s="1">
        <f t="shared" si="23"/>
        <v>522.71999999999821</v>
      </c>
      <c r="AE63" s="4">
        <v>3</v>
      </c>
      <c r="AF63" s="8">
        <v>35376</v>
      </c>
      <c r="AG63" s="1">
        <v>34</v>
      </c>
      <c r="AH63" s="19">
        <v>22360.799999999999</v>
      </c>
      <c r="AJ63" s="4" t="str">
        <f t="shared" si="89"/>
        <v>2.8 to 3</v>
      </c>
      <c r="AK63" s="11">
        <f t="shared" si="90"/>
        <v>0</v>
      </c>
      <c r="AL63" s="9">
        <f t="shared" si="91"/>
        <v>0</v>
      </c>
      <c r="AM63" s="4">
        <f t="shared" si="92"/>
        <v>0</v>
      </c>
      <c r="AN63" s="13">
        <f t="shared" ca="1" si="69"/>
        <v>0</v>
      </c>
      <c r="AO63" s="4">
        <v>3</v>
      </c>
      <c r="AP63" s="8">
        <v>213312.00000000006</v>
      </c>
      <c r="AQ63" s="1">
        <v>246</v>
      </c>
      <c r="AR63" s="19">
        <v>131440.31999999995</v>
      </c>
      <c r="AT63" s="4" t="str">
        <f t="shared" si="81"/>
        <v>2.8 to 3</v>
      </c>
      <c r="AU63" s="11">
        <f t="shared" si="93"/>
        <v>0</v>
      </c>
      <c r="AV63" s="9">
        <f t="shared" si="71"/>
        <v>0</v>
      </c>
      <c r="AW63" s="4">
        <f t="shared" si="94"/>
        <v>0</v>
      </c>
      <c r="AX63" s="13">
        <f t="shared" ca="1" si="88"/>
        <v>0</v>
      </c>
      <c r="AY63" s="4">
        <v>3</v>
      </c>
      <c r="AZ63" s="8">
        <v>39071.999999999993</v>
      </c>
      <c r="BA63" s="1">
        <v>48</v>
      </c>
      <c r="BB63" s="19">
        <v>24150.720000000012</v>
      </c>
      <c r="BD63" s="4" t="str">
        <f t="shared" si="82"/>
        <v>2.8 to 3</v>
      </c>
      <c r="BE63" s="11">
        <f t="shared" si="35"/>
        <v>0</v>
      </c>
      <c r="BF63" s="9">
        <f t="shared" si="72"/>
        <v>0</v>
      </c>
      <c r="BG63" s="4">
        <f t="shared" si="37"/>
        <v>0</v>
      </c>
      <c r="BH63" s="13">
        <f t="shared" ca="1" si="38"/>
        <v>0</v>
      </c>
      <c r="BI63" s="4">
        <v>3</v>
      </c>
      <c r="BJ63" s="1">
        <v>245520.00000000084</v>
      </c>
      <c r="BK63" s="1">
        <v>308</v>
      </c>
      <c r="BL63" s="1">
        <v>129328.31999999992</v>
      </c>
      <c r="BN63" s="4" t="str">
        <f t="shared" si="83"/>
        <v>2.8 to 3</v>
      </c>
      <c r="BO63" s="11">
        <f t="shared" si="40"/>
        <v>0</v>
      </c>
      <c r="BP63" s="9">
        <f t="shared" si="73"/>
        <v>0</v>
      </c>
      <c r="BQ63" s="4">
        <f t="shared" si="42"/>
        <v>0</v>
      </c>
      <c r="BR63" s="13">
        <f t="shared" ca="1" si="43"/>
        <v>0</v>
      </c>
      <c r="BS63" s="4">
        <v>3</v>
      </c>
      <c r="BT63" s="1">
        <v>79200</v>
      </c>
      <c r="BU63" s="1">
        <v>92</v>
      </c>
      <c r="BV63" s="1">
        <v>38543.999999999978</v>
      </c>
      <c r="BX63" s="4" t="str">
        <f t="shared" si="84"/>
        <v>2.8 to 3</v>
      </c>
      <c r="BY63" s="11">
        <f t="shared" si="45"/>
        <v>0</v>
      </c>
      <c r="BZ63" s="9">
        <f t="shared" si="74"/>
        <v>0</v>
      </c>
      <c r="CA63" s="4">
        <f t="shared" si="47"/>
        <v>0</v>
      </c>
      <c r="CB63" s="13">
        <f t="shared" ca="1" si="48"/>
        <v>0</v>
      </c>
      <c r="CC63" s="4">
        <v>3</v>
      </c>
      <c r="CD63" s="1">
        <v>43295.999999999942</v>
      </c>
      <c r="CE63" s="1">
        <v>54</v>
      </c>
      <c r="CF63" s="1">
        <v>24647.03999999999</v>
      </c>
      <c r="CH63" s="4" t="str">
        <f t="shared" si="85"/>
        <v>2.8 to 3</v>
      </c>
      <c r="CI63" s="11">
        <f t="shared" si="50"/>
        <v>0</v>
      </c>
      <c r="CJ63" s="9">
        <f t="shared" si="75"/>
        <v>0</v>
      </c>
      <c r="CK63" s="4">
        <f t="shared" si="52"/>
        <v>0</v>
      </c>
      <c r="CL63" s="13">
        <f t="shared" ca="1" si="53"/>
        <v>0</v>
      </c>
      <c r="CM63" s="4">
        <v>3</v>
      </c>
      <c r="CN63" s="1">
        <v>104544.00000000007</v>
      </c>
      <c r="CO63" s="1">
        <v>144</v>
      </c>
      <c r="CP63" s="1">
        <v>38016.000000000087</v>
      </c>
      <c r="CR63" s="4" t="str">
        <f t="shared" si="86"/>
        <v>2.8 to 3</v>
      </c>
      <c r="CS63" s="11">
        <f t="shared" si="55"/>
        <v>0</v>
      </c>
      <c r="CT63" s="9">
        <f t="shared" si="76"/>
        <v>0</v>
      </c>
      <c r="CU63" s="4">
        <f t="shared" si="57"/>
        <v>0</v>
      </c>
      <c r="CV63" s="13">
        <f t="shared" ca="1" si="58"/>
        <v>0</v>
      </c>
      <c r="CW63" s="4">
        <v>3</v>
      </c>
      <c r="CX63" s="1">
        <v>153648</v>
      </c>
      <c r="CY63" s="1">
        <v>208</v>
      </c>
      <c r="CZ63" s="1">
        <v>75335.039999999906</v>
      </c>
      <c r="DB63" s="4" t="str">
        <f t="shared" si="87"/>
        <v>2.8 to 3</v>
      </c>
      <c r="DC63" s="11">
        <f t="shared" si="60"/>
        <v>0</v>
      </c>
      <c r="DD63" s="9">
        <f t="shared" si="77"/>
        <v>0</v>
      </c>
      <c r="DE63" s="4">
        <f t="shared" si="62"/>
        <v>0</v>
      </c>
      <c r="DF63" s="13">
        <f t="shared" ca="1" si="63"/>
        <v>0</v>
      </c>
    </row>
    <row r="64" spans="1:110" x14ac:dyDescent="0.25">
      <c r="A64" s="1">
        <v>63</v>
      </c>
      <c r="B64" s="4">
        <v>7400</v>
      </c>
      <c r="C64" s="4">
        <v>11.799999999999999</v>
      </c>
      <c r="D64" s="4">
        <v>11.9</v>
      </c>
      <c r="E64" s="4">
        <f t="shared" si="15"/>
        <v>0.10000000000000142</v>
      </c>
      <c r="F64" s="4">
        <v>0</v>
      </c>
      <c r="G64" s="4">
        <v>-0.99</v>
      </c>
      <c r="H64" s="4">
        <v>79</v>
      </c>
      <c r="I64" s="4"/>
      <c r="J64" s="4">
        <v>49</v>
      </c>
      <c r="K64"/>
      <c r="L64"/>
      <c r="M64" s="4">
        <f t="shared" si="16"/>
        <v>11.9</v>
      </c>
      <c r="N64" s="4"/>
      <c r="O64" s="1">
        <f t="shared" si="17"/>
        <v>11.799999999999999</v>
      </c>
      <c r="P64" s="1">
        <f t="shared" si="18"/>
        <v>0</v>
      </c>
      <c r="Q64" s="1" t="str">
        <f t="shared" si="3"/>
        <v/>
      </c>
      <c r="R64" s="1" t="str">
        <f t="shared" si="19"/>
        <v/>
      </c>
      <c r="S64" s="1">
        <f t="shared" si="20"/>
        <v>285.27360000000016</v>
      </c>
      <c r="T64" s="1">
        <f t="shared" si="21"/>
        <v>-0.99</v>
      </c>
      <c r="U64" s="1">
        <f t="shared" si="22"/>
        <v>528.0000000000075</v>
      </c>
      <c r="V64" s="1">
        <f t="shared" si="23"/>
        <v>522.72000000000742</v>
      </c>
      <c r="AE64" s="4">
        <v>3.2</v>
      </c>
      <c r="AF64" s="8">
        <v>35376</v>
      </c>
      <c r="AG64" s="1">
        <v>34</v>
      </c>
      <c r="AH64" s="19">
        <v>22360.799999999999</v>
      </c>
      <c r="AJ64" s="4" t="str">
        <f t="shared" si="89"/>
        <v>3 to 3.2</v>
      </c>
      <c r="AK64" s="11">
        <f t="shared" si="90"/>
        <v>0</v>
      </c>
      <c r="AL64" s="9">
        <f t="shared" si="91"/>
        <v>0</v>
      </c>
      <c r="AM64" s="4">
        <f t="shared" si="92"/>
        <v>0</v>
      </c>
      <c r="AN64" s="13">
        <f t="shared" ca="1" si="69"/>
        <v>0</v>
      </c>
      <c r="AO64" s="4">
        <v>3.2</v>
      </c>
      <c r="AP64" s="8">
        <v>213312.00000000006</v>
      </c>
      <c r="AQ64" s="1">
        <v>246</v>
      </c>
      <c r="AR64" s="19">
        <v>131440.31999999995</v>
      </c>
      <c r="AT64" s="4" t="str">
        <f t="shared" si="81"/>
        <v>3 to 3.2</v>
      </c>
      <c r="AU64" s="11">
        <f t="shared" si="93"/>
        <v>0</v>
      </c>
      <c r="AV64" s="9">
        <f t="shared" si="71"/>
        <v>0</v>
      </c>
      <c r="AW64" s="4">
        <f t="shared" si="94"/>
        <v>0</v>
      </c>
      <c r="AX64" s="13">
        <f t="shared" ca="1" si="88"/>
        <v>0</v>
      </c>
      <c r="AY64" s="4">
        <v>3.2</v>
      </c>
      <c r="AZ64" s="8">
        <v>39071.999999999993</v>
      </c>
      <c r="BA64" s="1">
        <v>48</v>
      </c>
      <c r="BB64" s="19">
        <v>24150.720000000012</v>
      </c>
      <c r="BD64" s="4" t="str">
        <f t="shared" si="82"/>
        <v>3 to 3.2</v>
      </c>
      <c r="BE64" s="11">
        <f t="shared" si="35"/>
        <v>0</v>
      </c>
      <c r="BF64" s="9">
        <f t="shared" si="72"/>
        <v>0</v>
      </c>
      <c r="BG64" s="4">
        <f t="shared" si="37"/>
        <v>0</v>
      </c>
      <c r="BH64" s="13">
        <f t="shared" ca="1" si="38"/>
        <v>0</v>
      </c>
      <c r="BI64" s="4">
        <v>3.2</v>
      </c>
      <c r="BJ64" s="1">
        <v>245520.00000000084</v>
      </c>
      <c r="BK64" s="1">
        <v>308</v>
      </c>
      <c r="BL64" s="1">
        <v>129328.31999999992</v>
      </c>
      <c r="BN64" s="4" t="str">
        <f t="shared" si="83"/>
        <v>3 to 3.2</v>
      </c>
      <c r="BO64" s="11">
        <f t="shared" si="40"/>
        <v>0</v>
      </c>
      <c r="BP64" s="9">
        <f t="shared" si="73"/>
        <v>0</v>
      </c>
      <c r="BQ64" s="4">
        <f t="shared" si="42"/>
        <v>0</v>
      </c>
      <c r="BR64" s="13">
        <f t="shared" ca="1" si="43"/>
        <v>0</v>
      </c>
      <c r="BS64" s="4">
        <v>3.2</v>
      </c>
      <c r="BT64" s="1">
        <v>79200</v>
      </c>
      <c r="BU64" s="1">
        <v>92</v>
      </c>
      <c r="BV64" s="1">
        <v>38543.999999999978</v>
      </c>
      <c r="BX64" s="4" t="str">
        <f t="shared" si="84"/>
        <v>3 to 3.2</v>
      </c>
      <c r="BY64" s="11">
        <f t="shared" si="45"/>
        <v>0</v>
      </c>
      <c r="BZ64" s="9">
        <f t="shared" si="74"/>
        <v>0</v>
      </c>
      <c r="CA64" s="4">
        <f t="shared" si="47"/>
        <v>0</v>
      </c>
      <c r="CB64" s="13">
        <f t="shared" ca="1" si="48"/>
        <v>0</v>
      </c>
      <c r="CC64" s="4">
        <v>3.2</v>
      </c>
      <c r="CD64" s="1">
        <v>43295.999999999942</v>
      </c>
      <c r="CE64" s="1">
        <v>54</v>
      </c>
      <c r="CF64" s="1">
        <v>24647.03999999999</v>
      </c>
      <c r="CH64" s="4" t="str">
        <f t="shared" si="85"/>
        <v>3 to 3.2</v>
      </c>
      <c r="CI64" s="11">
        <f t="shared" si="50"/>
        <v>0</v>
      </c>
      <c r="CJ64" s="9">
        <f t="shared" si="75"/>
        <v>0</v>
      </c>
      <c r="CK64" s="4">
        <f t="shared" si="52"/>
        <v>0</v>
      </c>
      <c r="CL64" s="13">
        <f t="shared" ca="1" si="53"/>
        <v>0</v>
      </c>
      <c r="CM64" s="4">
        <v>3.2</v>
      </c>
      <c r="CN64" s="1">
        <v>104544.00000000007</v>
      </c>
      <c r="CO64" s="1">
        <v>144</v>
      </c>
      <c r="CP64" s="1">
        <v>38016.000000000087</v>
      </c>
      <c r="CR64" s="4" t="str">
        <f t="shared" si="86"/>
        <v>3 to 3.2</v>
      </c>
      <c r="CS64" s="11">
        <f t="shared" si="55"/>
        <v>0</v>
      </c>
      <c r="CT64" s="9">
        <f t="shared" si="76"/>
        <v>0</v>
      </c>
      <c r="CU64" s="4">
        <f t="shared" si="57"/>
        <v>0</v>
      </c>
      <c r="CV64" s="13">
        <f t="shared" ca="1" si="58"/>
        <v>0</v>
      </c>
      <c r="CW64" s="4">
        <v>3.2</v>
      </c>
      <c r="CX64" s="1">
        <v>153648</v>
      </c>
      <c r="CY64" s="1">
        <v>208</v>
      </c>
      <c r="CZ64" s="1">
        <v>75335.039999999906</v>
      </c>
      <c r="DB64" s="4" t="str">
        <f t="shared" si="87"/>
        <v>3 to 3.2</v>
      </c>
      <c r="DC64" s="11">
        <f t="shared" si="60"/>
        <v>0</v>
      </c>
      <c r="DD64" s="9">
        <f t="shared" si="77"/>
        <v>0</v>
      </c>
      <c r="DE64" s="4">
        <f t="shared" si="62"/>
        <v>0</v>
      </c>
      <c r="DF64" s="13">
        <f t="shared" ca="1" si="63"/>
        <v>0</v>
      </c>
    </row>
    <row r="65" spans="1:112" x14ac:dyDescent="0.25">
      <c r="A65" s="1">
        <v>64</v>
      </c>
      <c r="B65" s="4">
        <v>7400</v>
      </c>
      <c r="C65" s="4">
        <v>11.9</v>
      </c>
      <c r="D65" s="4">
        <v>12</v>
      </c>
      <c r="E65" s="4">
        <f t="shared" si="15"/>
        <v>9.9999999999999645E-2</v>
      </c>
      <c r="F65" s="4">
        <v>3</v>
      </c>
      <c r="G65" s="4">
        <v>-0.96</v>
      </c>
      <c r="H65" s="4">
        <v>79</v>
      </c>
      <c r="I65" s="4"/>
      <c r="J65" s="4">
        <v>49</v>
      </c>
      <c r="K65"/>
      <c r="L65"/>
      <c r="M65" s="4">
        <f t="shared" si="16"/>
        <v>12</v>
      </c>
      <c r="N65" s="4"/>
      <c r="O65" s="1">
        <f t="shared" si="17"/>
        <v>11.9</v>
      </c>
      <c r="P65" s="1">
        <f t="shared" si="18"/>
        <v>15.839999999999941</v>
      </c>
      <c r="Q65" s="1" t="str">
        <f t="shared" si="3"/>
        <v/>
      </c>
      <c r="R65" s="1" t="str">
        <f t="shared" si="19"/>
        <v/>
      </c>
      <c r="S65" s="1">
        <f t="shared" si="20"/>
        <v>280.04640000000006</v>
      </c>
      <c r="T65" s="1">
        <f t="shared" si="21"/>
        <v>-0.96</v>
      </c>
      <c r="U65" s="1">
        <f t="shared" si="22"/>
        <v>527.99999999999818</v>
      </c>
      <c r="V65" s="1">
        <f t="shared" si="23"/>
        <v>506.87999999999823</v>
      </c>
      <c r="AE65" s="4">
        <v>3.4</v>
      </c>
      <c r="AF65" s="8">
        <v>35376</v>
      </c>
      <c r="AG65" s="1">
        <v>34</v>
      </c>
      <c r="AH65" s="19">
        <v>22360.799999999999</v>
      </c>
      <c r="AJ65" s="4" t="str">
        <f t="shared" si="89"/>
        <v>3.2 to 3.4</v>
      </c>
      <c r="AK65" s="11">
        <f t="shared" si="90"/>
        <v>0</v>
      </c>
      <c r="AL65" s="9">
        <f t="shared" si="91"/>
        <v>0</v>
      </c>
      <c r="AM65" s="4">
        <f t="shared" si="92"/>
        <v>0</v>
      </c>
      <c r="AN65" s="13">
        <f t="shared" ca="1" si="69"/>
        <v>0</v>
      </c>
      <c r="AO65" s="4">
        <v>3.4</v>
      </c>
      <c r="AP65" s="8">
        <v>213312.00000000006</v>
      </c>
      <c r="AQ65" s="1">
        <v>246</v>
      </c>
      <c r="AR65" s="19">
        <v>131440.31999999995</v>
      </c>
      <c r="AT65" s="4" t="str">
        <f t="shared" si="81"/>
        <v>3.2 to 3.4</v>
      </c>
      <c r="AU65" s="11">
        <f t="shared" si="93"/>
        <v>0</v>
      </c>
      <c r="AV65" s="9">
        <f t="shared" si="71"/>
        <v>0</v>
      </c>
      <c r="AW65" s="4">
        <f t="shared" si="94"/>
        <v>0</v>
      </c>
      <c r="AX65" s="13">
        <f t="shared" ca="1" si="88"/>
        <v>0</v>
      </c>
      <c r="AY65" s="4">
        <v>3.4</v>
      </c>
      <c r="AZ65" s="8">
        <v>39071.999999999993</v>
      </c>
      <c r="BA65" s="1">
        <v>48</v>
      </c>
      <c r="BB65" s="19">
        <v>24150.720000000012</v>
      </c>
      <c r="BD65" s="4" t="str">
        <f t="shared" si="82"/>
        <v>3.2 to 3.4</v>
      </c>
      <c r="BE65" s="11">
        <f t="shared" si="35"/>
        <v>0</v>
      </c>
      <c r="BF65" s="9">
        <f t="shared" si="72"/>
        <v>0</v>
      </c>
      <c r="BG65" s="4">
        <f t="shared" si="37"/>
        <v>0</v>
      </c>
      <c r="BH65" s="13">
        <f t="shared" ca="1" si="38"/>
        <v>0</v>
      </c>
      <c r="BI65" s="4">
        <v>3.4</v>
      </c>
      <c r="BJ65" s="1">
        <v>245520.00000000084</v>
      </c>
      <c r="BK65" s="1">
        <v>308</v>
      </c>
      <c r="BL65" s="1">
        <v>129328.31999999992</v>
      </c>
      <c r="BN65" s="4" t="str">
        <f t="shared" si="83"/>
        <v>3.2 to 3.4</v>
      </c>
      <c r="BO65" s="11">
        <f t="shared" si="40"/>
        <v>0</v>
      </c>
      <c r="BP65" s="9">
        <f t="shared" si="73"/>
        <v>0</v>
      </c>
      <c r="BQ65" s="4">
        <f t="shared" si="42"/>
        <v>0</v>
      </c>
      <c r="BR65" s="13">
        <f t="shared" ca="1" si="43"/>
        <v>0</v>
      </c>
      <c r="BS65" s="4">
        <v>3.4</v>
      </c>
      <c r="BT65" s="1">
        <v>79200</v>
      </c>
      <c r="BU65" s="1">
        <v>92</v>
      </c>
      <c r="BV65" s="1">
        <v>38543.999999999978</v>
      </c>
      <c r="BX65" s="4" t="str">
        <f t="shared" si="84"/>
        <v>3.2 to 3.4</v>
      </c>
      <c r="BY65" s="11">
        <f t="shared" si="45"/>
        <v>0</v>
      </c>
      <c r="BZ65" s="9">
        <f t="shared" si="74"/>
        <v>0</v>
      </c>
      <c r="CA65" s="4">
        <f t="shared" si="47"/>
        <v>0</v>
      </c>
      <c r="CB65" s="13">
        <f t="shared" ca="1" si="48"/>
        <v>0</v>
      </c>
      <c r="CC65" s="4">
        <v>3.4</v>
      </c>
      <c r="CD65" s="1">
        <v>43295.999999999942</v>
      </c>
      <c r="CE65" s="1">
        <v>54</v>
      </c>
      <c r="CF65" s="1">
        <v>24647.03999999999</v>
      </c>
      <c r="CH65" s="4" t="str">
        <f t="shared" si="85"/>
        <v>3.2 to 3.4</v>
      </c>
      <c r="CI65" s="11">
        <f t="shared" si="50"/>
        <v>0</v>
      </c>
      <c r="CJ65" s="9">
        <f t="shared" si="75"/>
        <v>0</v>
      </c>
      <c r="CK65" s="4">
        <f t="shared" si="52"/>
        <v>0</v>
      </c>
      <c r="CL65" s="13">
        <f t="shared" ca="1" si="53"/>
        <v>0</v>
      </c>
      <c r="CM65" s="4">
        <v>3.4</v>
      </c>
      <c r="CN65" s="1">
        <v>104544.00000000007</v>
      </c>
      <c r="CO65" s="1">
        <v>144</v>
      </c>
      <c r="CP65" s="1">
        <v>38016.000000000087</v>
      </c>
      <c r="CR65" s="4" t="str">
        <f t="shared" si="86"/>
        <v>3.2 to 3.4</v>
      </c>
      <c r="CS65" s="11">
        <f t="shared" si="55"/>
        <v>0</v>
      </c>
      <c r="CT65" s="9">
        <f t="shared" si="76"/>
        <v>0</v>
      </c>
      <c r="CU65" s="4">
        <f t="shared" si="57"/>
        <v>0</v>
      </c>
      <c r="CV65" s="13">
        <f t="shared" ca="1" si="58"/>
        <v>0</v>
      </c>
      <c r="CW65" s="4">
        <v>3.4</v>
      </c>
      <c r="CX65" s="1">
        <v>153648</v>
      </c>
      <c r="CY65" s="1">
        <v>208</v>
      </c>
      <c r="CZ65" s="1">
        <v>75335.039999999906</v>
      </c>
      <c r="DB65" s="4" t="str">
        <f t="shared" si="87"/>
        <v>3.2 to 3.4</v>
      </c>
      <c r="DC65" s="11">
        <f t="shared" si="60"/>
        <v>0</v>
      </c>
      <c r="DD65" s="9">
        <f t="shared" si="77"/>
        <v>0</v>
      </c>
      <c r="DE65" s="4">
        <f t="shared" si="62"/>
        <v>0</v>
      </c>
      <c r="DF65" s="13">
        <f t="shared" ca="1" si="63"/>
        <v>0</v>
      </c>
    </row>
    <row r="66" spans="1:112" x14ac:dyDescent="0.25">
      <c r="A66" s="1">
        <v>65</v>
      </c>
      <c r="B66" s="4">
        <v>7400</v>
      </c>
      <c r="C66" s="4">
        <v>12</v>
      </c>
      <c r="D66" s="4">
        <v>12.1</v>
      </c>
      <c r="E66" s="4">
        <f t="shared" si="15"/>
        <v>9.9999999999999645E-2</v>
      </c>
      <c r="F66" s="4">
        <v>3</v>
      </c>
      <c r="G66" s="4">
        <v>-0.91</v>
      </c>
      <c r="H66" s="4">
        <v>79</v>
      </c>
      <c r="I66" s="4"/>
      <c r="J66" s="4">
        <v>49</v>
      </c>
      <c r="K66"/>
      <c r="L66"/>
      <c r="M66" s="4">
        <f t="shared" si="16"/>
        <v>12.1</v>
      </c>
      <c r="N66" s="4"/>
      <c r="O66" s="1">
        <f t="shared" si="17"/>
        <v>12</v>
      </c>
      <c r="P66" s="1">
        <f t="shared" si="18"/>
        <v>15.839999999999941</v>
      </c>
      <c r="Q66" s="1" t="str">
        <f t="shared" si="3"/>
        <v/>
      </c>
      <c r="R66" s="1" t="str">
        <f t="shared" si="19"/>
        <v/>
      </c>
      <c r="S66" s="1">
        <f t="shared" si="20"/>
        <v>274.97760000000005</v>
      </c>
      <c r="T66" s="1">
        <f t="shared" si="21"/>
        <v>-0.91</v>
      </c>
      <c r="U66" s="1">
        <f t="shared" si="22"/>
        <v>527.99999999999818</v>
      </c>
      <c r="V66" s="1">
        <f t="shared" si="23"/>
        <v>480.47999999999837</v>
      </c>
      <c r="AE66" s="4">
        <v>3.6</v>
      </c>
      <c r="AF66" s="8">
        <v>35376</v>
      </c>
      <c r="AG66" s="1">
        <v>34</v>
      </c>
      <c r="AH66" s="19">
        <v>22360.799999999999</v>
      </c>
      <c r="AJ66" s="4" t="str">
        <f t="shared" si="89"/>
        <v>3.4 to 3.6</v>
      </c>
      <c r="AK66" s="11">
        <f t="shared" si="90"/>
        <v>0</v>
      </c>
      <c r="AL66" s="9">
        <f t="shared" si="91"/>
        <v>0</v>
      </c>
      <c r="AM66" s="4">
        <f t="shared" si="92"/>
        <v>0</v>
      </c>
      <c r="AN66" s="13">
        <f t="shared" ca="1" si="69"/>
        <v>0</v>
      </c>
      <c r="AO66" s="4">
        <v>3.6</v>
      </c>
      <c r="AP66" s="8">
        <v>213312.00000000006</v>
      </c>
      <c r="AQ66" s="1">
        <v>246</v>
      </c>
      <c r="AR66" s="19">
        <v>131440.31999999995</v>
      </c>
      <c r="AT66" s="4" t="str">
        <f t="shared" si="81"/>
        <v>3.4 to 3.6</v>
      </c>
      <c r="AU66" s="11">
        <f t="shared" si="93"/>
        <v>0</v>
      </c>
      <c r="AV66" s="9">
        <f t="shared" si="71"/>
        <v>0</v>
      </c>
      <c r="AW66" s="4">
        <f t="shared" si="94"/>
        <v>0</v>
      </c>
      <c r="AX66" s="13">
        <f t="shared" ca="1" si="88"/>
        <v>0</v>
      </c>
      <c r="AY66" s="4">
        <v>3.6</v>
      </c>
      <c r="AZ66" s="8">
        <v>39071.999999999993</v>
      </c>
      <c r="BA66" s="1">
        <v>48</v>
      </c>
      <c r="BB66" s="19">
        <v>24150.720000000012</v>
      </c>
      <c r="BD66" s="4" t="str">
        <f t="shared" si="82"/>
        <v>3.4 to 3.6</v>
      </c>
      <c r="BE66" s="11">
        <f t="shared" si="35"/>
        <v>0</v>
      </c>
      <c r="BF66" s="9">
        <f t="shared" si="72"/>
        <v>0</v>
      </c>
      <c r="BG66" s="4">
        <f t="shared" si="37"/>
        <v>0</v>
      </c>
      <c r="BH66" s="13">
        <f t="shared" ca="1" si="38"/>
        <v>0</v>
      </c>
      <c r="BI66" s="4">
        <v>3.6</v>
      </c>
      <c r="BJ66" s="1">
        <v>245520.00000000084</v>
      </c>
      <c r="BK66" s="1">
        <v>308</v>
      </c>
      <c r="BL66" s="1">
        <v>129328.31999999992</v>
      </c>
      <c r="BN66" s="4" t="str">
        <f t="shared" si="83"/>
        <v>3.4 to 3.6</v>
      </c>
      <c r="BO66" s="11">
        <f t="shared" si="40"/>
        <v>0</v>
      </c>
      <c r="BP66" s="9">
        <f t="shared" si="73"/>
        <v>0</v>
      </c>
      <c r="BQ66" s="4">
        <f t="shared" si="42"/>
        <v>0</v>
      </c>
      <c r="BR66" s="13">
        <f t="shared" ca="1" si="43"/>
        <v>0</v>
      </c>
      <c r="BS66" s="4">
        <v>3.6</v>
      </c>
      <c r="BT66" s="1">
        <v>79200</v>
      </c>
      <c r="BU66" s="1">
        <v>92</v>
      </c>
      <c r="BV66" s="1">
        <v>38543.999999999978</v>
      </c>
      <c r="BX66" s="4" t="str">
        <f t="shared" si="84"/>
        <v>3.4 to 3.6</v>
      </c>
      <c r="BY66" s="11">
        <f t="shared" si="45"/>
        <v>0</v>
      </c>
      <c r="BZ66" s="9">
        <f t="shared" si="74"/>
        <v>0</v>
      </c>
      <c r="CA66" s="4">
        <f t="shared" si="47"/>
        <v>0</v>
      </c>
      <c r="CB66" s="13">
        <f t="shared" ca="1" si="48"/>
        <v>0</v>
      </c>
      <c r="CC66" s="4">
        <v>3.6</v>
      </c>
      <c r="CD66" s="1">
        <v>43295.999999999942</v>
      </c>
      <c r="CE66" s="1">
        <v>54</v>
      </c>
      <c r="CF66" s="1">
        <v>24647.03999999999</v>
      </c>
      <c r="CH66" s="4" t="str">
        <f t="shared" si="85"/>
        <v>3.4 to 3.6</v>
      </c>
      <c r="CI66" s="11">
        <f t="shared" si="50"/>
        <v>0</v>
      </c>
      <c r="CJ66" s="9">
        <f t="shared" si="75"/>
        <v>0</v>
      </c>
      <c r="CK66" s="4">
        <f t="shared" si="52"/>
        <v>0</v>
      </c>
      <c r="CL66" s="13">
        <f t="shared" ca="1" si="53"/>
        <v>0</v>
      </c>
      <c r="CM66" s="4">
        <v>3.6</v>
      </c>
      <c r="CN66" s="1">
        <v>104544.00000000007</v>
      </c>
      <c r="CO66" s="1">
        <v>144</v>
      </c>
      <c r="CP66" s="1">
        <v>38016.000000000087</v>
      </c>
      <c r="CR66" s="4" t="str">
        <f t="shared" si="86"/>
        <v>3.4 to 3.6</v>
      </c>
      <c r="CS66" s="11">
        <f t="shared" si="55"/>
        <v>0</v>
      </c>
      <c r="CT66" s="9">
        <f t="shared" si="76"/>
        <v>0</v>
      </c>
      <c r="CU66" s="4">
        <f t="shared" si="57"/>
        <v>0</v>
      </c>
      <c r="CV66" s="13">
        <f t="shared" ca="1" si="58"/>
        <v>0</v>
      </c>
      <c r="CW66" s="4">
        <v>3.6</v>
      </c>
      <c r="CX66" s="1">
        <v>153648</v>
      </c>
      <c r="CY66" s="1">
        <v>208</v>
      </c>
      <c r="CZ66" s="1">
        <v>75335.039999999906</v>
      </c>
      <c r="DB66" s="4" t="str">
        <f t="shared" si="87"/>
        <v>3.4 to 3.6</v>
      </c>
      <c r="DC66" s="11">
        <f t="shared" si="60"/>
        <v>0</v>
      </c>
      <c r="DD66" s="9">
        <f t="shared" si="77"/>
        <v>0</v>
      </c>
      <c r="DE66" s="4">
        <f t="shared" si="62"/>
        <v>0</v>
      </c>
      <c r="DF66" s="13">
        <f t="shared" ca="1" si="63"/>
        <v>0</v>
      </c>
    </row>
    <row r="67" spans="1:112" x14ac:dyDescent="0.25">
      <c r="A67" s="1">
        <v>66</v>
      </c>
      <c r="B67" s="4">
        <v>7400</v>
      </c>
      <c r="C67" s="4">
        <v>12.1</v>
      </c>
      <c r="D67" s="4">
        <v>12.2</v>
      </c>
      <c r="E67" s="4">
        <f t="shared" si="15"/>
        <v>9.9999999999999645E-2</v>
      </c>
      <c r="F67" s="4">
        <v>3</v>
      </c>
      <c r="G67" s="4">
        <v>-0.88</v>
      </c>
      <c r="H67" s="4">
        <v>79</v>
      </c>
      <c r="I67" s="4"/>
      <c r="J67" s="4">
        <v>49</v>
      </c>
      <c r="K67"/>
      <c r="L67"/>
      <c r="M67" s="4">
        <f t="shared" si="16"/>
        <v>12.2</v>
      </c>
      <c r="N67" s="4"/>
      <c r="O67" s="1">
        <f t="shared" si="17"/>
        <v>12.1</v>
      </c>
      <c r="P67" s="1">
        <f t="shared" si="18"/>
        <v>15.839999999999941</v>
      </c>
      <c r="Q67" s="1" t="str">
        <f t="shared" ref="Q67:Q130" si="95">IF(H67&lt;&gt;"",IF(H67=H66,"",H67),IF(H65="","",MAX(H66,Q66)))</f>
        <v/>
      </c>
      <c r="R67" s="1" t="str">
        <f t="shared" si="19"/>
        <v/>
      </c>
      <c r="S67" s="1">
        <f t="shared" si="20"/>
        <v>270.17280000000005</v>
      </c>
      <c r="T67" s="1">
        <f t="shared" si="21"/>
        <v>-0.88</v>
      </c>
      <c r="U67" s="1">
        <f t="shared" si="22"/>
        <v>527.99999999999818</v>
      </c>
      <c r="V67" s="1">
        <f t="shared" si="23"/>
        <v>464.63999999999839</v>
      </c>
      <c r="AE67" s="25" t="s">
        <v>33</v>
      </c>
      <c r="AF67" s="62">
        <f ca="1">DSUM(OFFSET(T1,0,0,AG3,3),2,AB$14:AB$15)</f>
        <v>1584.0000000000002</v>
      </c>
      <c r="AG67" s="25"/>
      <c r="AH67" s="25"/>
      <c r="AI67" s="25"/>
      <c r="AJ67" s="25"/>
      <c r="AK67" s="25">
        <f ca="1">IF(AM67=0,0,AF67/AM67)</f>
        <v>1584.0000000000002</v>
      </c>
      <c r="AL67" s="25">
        <v>0</v>
      </c>
      <c r="AM67" s="63">
        <f ca="1">DCOUNT(OFFSET(T1,0,0,AG3,3),1,AB$14:AB$15)</f>
        <v>1</v>
      </c>
      <c r="AO67" s="20" t="s">
        <v>33</v>
      </c>
      <c r="AP67" s="64">
        <f ca="1">DSUM(OFFSET(T1,AG3-1,0,AG4-AG3+1,3),2,$AD$15:$AD$16)</f>
        <v>3168.0000000000073</v>
      </c>
      <c r="AQ67" s="20"/>
      <c r="AR67" s="20"/>
      <c r="AS67" s="20"/>
      <c r="AT67" s="20"/>
      <c r="AU67" s="64">
        <f ca="1">IF(AW67=0,0,AP67/AW67)</f>
        <v>792.00000000000182</v>
      </c>
      <c r="AV67" s="20">
        <v>0</v>
      </c>
      <c r="AW67" s="64">
        <f ca="1">DCOUNT(OFFSET(T1,AG3-1,0,AG4-AG3+1,3),1,$AD$15:$AD$16)</f>
        <v>4</v>
      </c>
      <c r="AY67" s="29" t="s">
        <v>33</v>
      </c>
      <c r="AZ67" s="29">
        <f ca="1">DSUM(OFFSET(T1,AG4-1,0,AG5-AG4+1,3),2,$AB$17:$AB$18)</f>
        <v>0</v>
      </c>
      <c r="BA67" s="29"/>
      <c r="BB67" s="29"/>
      <c r="BC67" s="29"/>
      <c r="BD67" s="29"/>
      <c r="BE67" s="29">
        <f ca="1">IF(BG67=0,0,AZ67/BG67)</f>
        <v>0</v>
      </c>
      <c r="BF67" s="29">
        <v>0</v>
      </c>
      <c r="BG67" s="29">
        <f ca="1">DCOUNT(OFFSET(T1,AG4-1,0,AG5-AG4+1,3),1,$AB$17:$AB$18)</f>
        <v>0</v>
      </c>
      <c r="BI67" s="30" t="s">
        <v>33</v>
      </c>
      <c r="BJ67" s="30">
        <f ca="1">DSUM(OFFSET(T1,AG5-1,0,AG6-AG5+1,3),2,$AD$18:$AD$19)</f>
        <v>528.00000000004502</v>
      </c>
      <c r="BK67" s="30"/>
      <c r="BL67" s="30"/>
      <c r="BM67" s="30"/>
      <c r="BN67" s="30"/>
      <c r="BO67" s="30">
        <f ca="1">IF(BQ67=0,0,BJ67/BQ67)</f>
        <v>528.00000000004502</v>
      </c>
      <c r="BP67" s="30">
        <v>0</v>
      </c>
      <c r="BQ67" s="30">
        <f ca="1">DCOUNT(OFFSET(T1,AG5-1,0,AG6-AG5+1,3),1,$AD$18:$AD$19)</f>
        <v>1</v>
      </c>
      <c r="BS67" s="74" t="s">
        <v>33</v>
      </c>
      <c r="BT67" s="74">
        <f ca="1">DSUM(OFFSET(T1,AG6-1,0,AG7-AG6+1,3),2,$AB$20:$AB$21)</f>
        <v>0</v>
      </c>
      <c r="BU67" s="74"/>
      <c r="BV67" s="74"/>
      <c r="BW67" s="74"/>
      <c r="BX67" s="74"/>
      <c r="BY67" s="74">
        <f ca="1">IF(CA67=0,0,BT67/CA67)</f>
        <v>0</v>
      </c>
      <c r="BZ67" s="74">
        <v>0</v>
      </c>
      <c r="CA67" s="74">
        <f ca="1">DCOUNT(OFFSET(T1,AG6-1,0,AG7-AG6+1,3),1,$AB$20:$AB$21)</f>
        <v>0</v>
      </c>
      <c r="CC67" s="75" t="s">
        <v>33</v>
      </c>
      <c r="CD67" s="75">
        <f ca="1">DSUM(OFFSET(T1,AG7-1,0,AG8-AG7+1,3),2,$AD$21:$AD$22)</f>
        <v>0</v>
      </c>
      <c r="CE67" s="75"/>
      <c r="CF67" s="75"/>
      <c r="CG67" s="75"/>
      <c r="CH67" s="75"/>
      <c r="CI67" s="75">
        <f ca="1">IF(CK67=0,0,CD67/CK67)</f>
        <v>0</v>
      </c>
      <c r="CJ67" s="75">
        <v>0</v>
      </c>
      <c r="CK67" s="75">
        <f ca="1">DCOUNT(OFFSET(T1,AG7-1,0,AG8-AG7+1,3),1,$AD$21:$AD$22)</f>
        <v>0</v>
      </c>
      <c r="CM67" s="76" t="s">
        <v>33</v>
      </c>
      <c r="CN67" s="76">
        <f ca="1">DSUM(OFFSET(T1,AG8-1,0,AG9-AG8+1,3),2,$AB$23:$AB$24)</f>
        <v>527.99999999996999</v>
      </c>
      <c r="CO67" s="76"/>
      <c r="CP67" s="76"/>
      <c r="CQ67" s="76"/>
      <c r="CR67" s="76"/>
      <c r="CS67" s="76">
        <f ca="1">IF(CU67=0,0,CN67/CU67)</f>
        <v>527.99999999996999</v>
      </c>
      <c r="CT67" s="76">
        <v>0</v>
      </c>
      <c r="CU67" s="76">
        <f ca="1">DCOUNT(OFFSET(T1,AG8-1,0,AG9-AG8+1,3),1,$AB$23:$AB$24)</f>
        <v>1</v>
      </c>
      <c r="CW67" s="77" t="s">
        <v>33</v>
      </c>
      <c r="CX67" s="77">
        <f ca="1">DSUM(OFFSET(T1,AG9-1,0,AG10-AG9+1,3),2,$AD$24:$AD$25)</f>
        <v>527.99999999996999</v>
      </c>
      <c r="CY67" s="77"/>
      <c r="CZ67" s="77"/>
      <c r="DA67" s="77"/>
      <c r="DB67" s="77"/>
      <c r="DC67" s="77">
        <f ca="1">IF(DE67=0,0,CX67/DE67)</f>
        <v>527.99999999996999</v>
      </c>
      <c r="DD67" s="77">
        <v>0</v>
      </c>
      <c r="DE67" s="77">
        <f ca="1">DCOUNT(OFFSET(T1,AG9-1,0,AG10-AG9+1,3),1,$AD$24:$AD$25)</f>
        <v>1</v>
      </c>
    </row>
    <row r="68" spans="1:112" x14ac:dyDescent="0.25">
      <c r="A68" s="1">
        <v>67</v>
      </c>
      <c r="B68" s="4">
        <v>7400</v>
      </c>
      <c r="C68" s="4">
        <v>12.2</v>
      </c>
      <c r="D68" s="4">
        <v>12.299999999999999</v>
      </c>
      <c r="E68" s="4">
        <f t="shared" si="15"/>
        <v>9.9999999999999645E-2</v>
      </c>
      <c r="F68" s="4">
        <v>3</v>
      </c>
      <c r="G68" s="4">
        <v>-0.65</v>
      </c>
      <c r="H68" s="4">
        <v>79</v>
      </c>
      <c r="I68" s="4"/>
      <c r="J68" s="4">
        <v>49</v>
      </c>
      <c r="K68"/>
      <c r="L68"/>
      <c r="M68" s="4">
        <f t="shared" si="16"/>
        <v>12.299999999999999</v>
      </c>
      <c r="N68" s="4"/>
      <c r="O68" s="1">
        <f t="shared" si="17"/>
        <v>12.2</v>
      </c>
      <c r="P68" s="1">
        <f t="shared" si="18"/>
        <v>15.839999999999941</v>
      </c>
      <c r="Q68" s="1" t="str">
        <f t="shared" si="95"/>
        <v/>
      </c>
      <c r="R68" s="1" t="str">
        <f t="shared" si="19"/>
        <v/>
      </c>
      <c r="S68" s="1">
        <f t="shared" si="20"/>
        <v>265.52640000000008</v>
      </c>
      <c r="T68" s="1">
        <f t="shared" si="21"/>
        <v>-0.65</v>
      </c>
      <c r="U68" s="1">
        <f t="shared" si="22"/>
        <v>527.99999999999818</v>
      </c>
      <c r="V68" s="1">
        <f t="shared" si="23"/>
        <v>343.19999999999885</v>
      </c>
      <c r="AK68" s="26"/>
      <c r="AN68" s="17">
        <f ca="1">SUM(AN30:AN66)</f>
        <v>1.0000000000000002</v>
      </c>
      <c r="AU68" s="26"/>
      <c r="AX68" s="17">
        <f ca="1">SUM(AX30:AX66)</f>
        <v>1.0000000000000002</v>
      </c>
      <c r="BE68" s="26"/>
      <c r="BH68" s="17">
        <f ca="1">SUM(BH30:BH66)</f>
        <v>0.99999999999999978</v>
      </c>
      <c r="BO68" s="26"/>
      <c r="BR68" s="17">
        <f ca="1">SUM(BR30:BR66)</f>
        <v>1.0000000000000033</v>
      </c>
      <c r="BY68" s="26"/>
      <c r="CB68" s="17">
        <f ca="1">SUM(CB30:CB66)</f>
        <v>0.99999999999999989</v>
      </c>
      <c r="CI68" s="26"/>
      <c r="CL68" s="17">
        <f ca="1">SUM(CL30:CL66)</f>
        <v>1</v>
      </c>
      <c r="CS68" s="26"/>
      <c r="CV68" s="17">
        <f ca="1">SUM(CV30:CV66)</f>
        <v>1.0000000000000002</v>
      </c>
      <c r="DC68" s="26"/>
      <c r="DF68" s="17">
        <f ca="1">SUM(DF30:DF66)</f>
        <v>1</v>
      </c>
    </row>
    <row r="69" spans="1:112" x14ac:dyDescent="0.25">
      <c r="A69" s="1">
        <v>68</v>
      </c>
      <c r="B69" s="4">
        <v>7400</v>
      </c>
      <c r="C69" s="4">
        <v>12.299999999999999</v>
      </c>
      <c r="D69" s="4">
        <v>12.4</v>
      </c>
      <c r="E69" s="4">
        <f t="shared" si="15"/>
        <v>0.10000000000000142</v>
      </c>
      <c r="F69" s="4">
        <v>0</v>
      </c>
      <c r="G69" s="4">
        <v>-0.18</v>
      </c>
      <c r="H69" s="4">
        <v>79</v>
      </c>
      <c r="I69" s="4"/>
      <c r="J69" s="4">
        <v>49</v>
      </c>
      <c r="K69"/>
      <c r="L69"/>
      <c r="M69" s="4">
        <f t="shared" si="16"/>
        <v>12.4</v>
      </c>
      <c r="N69" s="4"/>
      <c r="O69" s="1">
        <f t="shared" si="17"/>
        <v>12.299999999999999</v>
      </c>
      <c r="P69" s="1">
        <f t="shared" si="18"/>
        <v>0</v>
      </c>
      <c r="Q69" s="1" t="str">
        <f t="shared" si="95"/>
        <v/>
      </c>
      <c r="R69" s="1" t="str">
        <f t="shared" si="19"/>
        <v/>
      </c>
      <c r="S69" s="1">
        <f t="shared" si="20"/>
        <v>262.09440000000006</v>
      </c>
      <c r="T69" s="1">
        <f t="shared" si="21"/>
        <v>-0.18</v>
      </c>
      <c r="U69" s="1">
        <f t="shared" si="22"/>
        <v>528.0000000000075</v>
      </c>
      <c r="V69" s="1">
        <f t="shared" si="23"/>
        <v>95.040000000001342</v>
      </c>
      <c r="AJ69" s="1" t="s">
        <v>35</v>
      </c>
    </row>
    <row r="70" spans="1:112" x14ac:dyDescent="0.25">
      <c r="A70" s="1">
        <v>69</v>
      </c>
      <c r="B70" s="4">
        <v>7400</v>
      </c>
      <c r="C70" s="4">
        <v>12.4</v>
      </c>
      <c r="D70" s="4">
        <v>12.5</v>
      </c>
      <c r="E70" s="4">
        <f t="shared" si="15"/>
        <v>9.9999999999999645E-2</v>
      </c>
      <c r="F70" s="4">
        <v>0</v>
      </c>
      <c r="G70" s="4">
        <v>0.05</v>
      </c>
      <c r="H70" s="4">
        <v>79</v>
      </c>
      <c r="I70" s="4"/>
      <c r="J70" s="4">
        <v>49</v>
      </c>
      <c r="K70"/>
      <c r="L70"/>
      <c r="M70" s="4">
        <f t="shared" si="16"/>
        <v>12.5</v>
      </c>
      <c r="N70" s="4"/>
      <c r="O70" s="1">
        <f t="shared" si="17"/>
        <v>12.4</v>
      </c>
      <c r="P70" s="1">
        <f t="shared" si="18"/>
        <v>0</v>
      </c>
      <c r="Q70" s="1" t="str">
        <f t="shared" si="95"/>
        <v/>
      </c>
      <c r="R70" s="1" t="str">
        <f t="shared" si="19"/>
        <v/>
      </c>
      <c r="S70" s="1">
        <f t="shared" si="20"/>
        <v>261.14400000000006</v>
      </c>
      <c r="T70" s="1">
        <f t="shared" si="21"/>
        <v>0.05</v>
      </c>
      <c r="U70" s="1">
        <f t="shared" si="22"/>
        <v>527.99999999999818</v>
      </c>
      <c r="V70" s="1">
        <f t="shared" si="23"/>
        <v>26.39999999999991</v>
      </c>
      <c r="AJ70" s="4" t="s">
        <v>29</v>
      </c>
      <c r="AK70" s="5" t="s">
        <v>21</v>
      </c>
      <c r="AL70" s="5" t="s">
        <v>22</v>
      </c>
      <c r="AM70" s="5" t="s">
        <v>23</v>
      </c>
      <c r="AN70" s="5" t="s">
        <v>31</v>
      </c>
      <c r="AT70" s="4" t="s">
        <v>29</v>
      </c>
      <c r="AU70" s="5" t="s">
        <v>21</v>
      </c>
      <c r="AV70" s="5" t="s">
        <v>22</v>
      </c>
      <c r="AW70" s="5" t="s">
        <v>23</v>
      </c>
      <c r="AX70" s="5" t="s">
        <v>31</v>
      </c>
      <c r="BD70" s="4" t="s">
        <v>29</v>
      </c>
      <c r="BE70" s="5" t="s">
        <v>21</v>
      </c>
      <c r="BF70" s="5" t="s">
        <v>22</v>
      </c>
      <c r="BG70" s="5" t="s">
        <v>23</v>
      </c>
      <c r="BH70" s="5" t="s">
        <v>31</v>
      </c>
      <c r="BN70" s="4" t="s">
        <v>29</v>
      </c>
      <c r="BO70" s="5" t="s">
        <v>21</v>
      </c>
      <c r="BP70" s="5" t="s">
        <v>22</v>
      </c>
      <c r="BQ70" s="5" t="s">
        <v>23</v>
      </c>
      <c r="BR70" s="5" t="s">
        <v>31</v>
      </c>
      <c r="BX70" s="4" t="s">
        <v>29</v>
      </c>
      <c r="BY70" s="5" t="s">
        <v>21</v>
      </c>
      <c r="BZ70" s="5" t="s">
        <v>22</v>
      </c>
      <c r="CA70" s="5" t="s">
        <v>23</v>
      </c>
      <c r="CB70" s="5" t="s">
        <v>31</v>
      </c>
      <c r="CH70" s="4" t="s">
        <v>29</v>
      </c>
      <c r="CI70" s="5" t="s">
        <v>21</v>
      </c>
      <c r="CJ70" s="5" t="s">
        <v>22</v>
      </c>
      <c r="CK70" s="5" t="s">
        <v>23</v>
      </c>
      <c r="CL70" s="5" t="s">
        <v>31</v>
      </c>
      <c r="CR70" s="4" t="s">
        <v>29</v>
      </c>
      <c r="CS70" s="5" t="s">
        <v>21</v>
      </c>
      <c r="CT70" s="5" t="s">
        <v>22</v>
      </c>
      <c r="CU70" s="5" t="s">
        <v>23</v>
      </c>
      <c r="CV70" s="5" t="s">
        <v>31</v>
      </c>
      <c r="DB70" s="4" t="s">
        <v>29</v>
      </c>
      <c r="DC70" s="5" t="s">
        <v>21</v>
      </c>
      <c r="DD70" s="5" t="s">
        <v>22</v>
      </c>
      <c r="DE70" s="5" t="s">
        <v>23</v>
      </c>
      <c r="DF70" s="5" t="s">
        <v>31</v>
      </c>
    </row>
    <row r="71" spans="1:112" x14ac:dyDescent="0.25">
      <c r="A71" s="1">
        <v>70</v>
      </c>
      <c r="B71" s="4">
        <v>7400</v>
      </c>
      <c r="C71" s="4">
        <v>12.5</v>
      </c>
      <c r="D71" s="4">
        <v>12.6</v>
      </c>
      <c r="E71" s="4">
        <f t="shared" si="15"/>
        <v>9.9999999999999645E-2</v>
      </c>
      <c r="F71" s="4">
        <v>3</v>
      </c>
      <c r="G71" s="4">
        <v>0.27</v>
      </c>
      <c r="H71" s="4">
        <v>79</v>
      </c>
      <c r="I71" s="4"/>
      <c r="J71" s="4">
        <v>49</v>
      </c>
      <c r="K71"/>
      <c r="L71"/>
      <c r="M71" s="4">
        <f t="shared" si="16"/>
        <v>12.6</v>
      </c>
      <c r="N71" s="4"/>
      <c r="O71" s="1">
        <f t="shared" si="17"/>
        <v>12.5</v>
      </c>
      <c r="P71" s="1">
        <f t="shared" si="18"/>
        <v>15.839999999999941</v>
      </c>
      <c r="Q71" s="1" t="str">
        <f t="shared" si="95"/>
        <v/>
      </c>
      <c r="R71" s="1" t="str">
        <f t="shared" si="19"/>
        <v/>
      </c>
      <c r="S71" s="1">
        <f t="shared" si="20"/>
        <v>261.40800000000007</v>
      </c>
      <c r="T71" s="1">
        <f t="shared" si="21"/>
        <v>0.27</v>
      </c>
      <c r="U71" s="1">
        <f t="shared" si="22"/>
        <v>527.99999999999818</v>
      </c>
      <c r="V71" s="1">
        <f t="shared" si="23"/>
        <v>142.55999999999952</v>
      </c>
      <c r="AJ71" s="1" t="str">
        <f>AJ31</f>
        <v>-3.4 to -3.6</v>
      </c>
      <c r="AK71" s="1">
        <f t="shared" ref="AK71:AN71" si="96">AK31</f>
        <v>0</v>
      </c>
      <c r="AL71" s="1">
        <f t="shared" si="96"/>
        <v>0</v>
      </c>
      <c r="AM71" s="1">
        <f t="shared" si="96"/>
        <v>0</v>
      </c>
      <c r="AN71" s="1">
        <f t="shared" ca="1" si="96"/>
        <v>0</v>
      </c>
      <c r="AT71" s="1" t="str">
        <f>AT31</f>
        <v>-3.4 to -3.6</v>
      </c>
      <c r="AU71" s="1">
        <f t="shared" ref="AU71:AX71" si="97">AU31</f>
        <v>0</v>
      </c>
      <c r="AV71" s="1">
        <f t="shared" si="97"/>
        <v>0</v>
      </c>
      <c r="AW71" s="1">
        <f t="shared" si="97"/>
        <v>0</v>
      </c>
      <c r="AX71" s="1">
        <f t="shared" ca="1" si="97"/>
        <v>0</v>
      </c>
      <c r="BD71" s="1" t="str">
        <f>BD31</f>
        <v>-3.4 to -3.6</v>
      </c>
      <c r="BE71" s="1">
        <f t="shared" ref="BE71:BH71" si="98">BE31</f>
        <v>0</v>
      </c>
      <c r="BF71" s="1">
        <f t="shared" si="98"/>
        <v>0</v>
      </c>
      <c r="BG71" s="1">
        <f t="shared" si="98"/>
        <v>0</v>
      </c>
      <c r="BH71" s="1">
        <f t="shared" ca="1" si="98"/>
        <v>0</v>
      </c>
      <c r="BN71" s="1" t="str">
        <f>BN31</f>
        <v>-3.4 to -3.6</v>
      </c>
      <c r="BO71" s="1">
        <f t="shared" ref="BO71:BR71" si="99">BO31</f>
        <v>0</v>
      </c>
      <c r="BP71" s="1">
        <f t="shared" si="99"/>
        <v>0</v>
      </c>
      <c r="BQ71" s="1">
        <f t="shared" si="99"/>
        <v>0</v>
      </c>
      <c r="BR71" s="1">
        <f t="shared" ca="1" si="99"/>
        <v>0</v>
      </c>
      <c r="BX71" s="1" t="str">
        <f>BX31</f>
        <v>-3.4 to -3.6</v>
      </c>
      <c r="BY71" s="1">
        <f t="shared" ref="BY71:CB71" si="100">BY31</f>
        <v>0</v>
      </c>
      <c r="BZ71" s="1">
        <f t="shared" si="100"/>
        <v>0</v>
      </c>
      <c r="CA71" s="1">
        <f t="shared" si="100"/>
        <v>0</v>
      </c>
      <c r="CB71" s="1">
        <f t="shared" ca="1" si="100"/>
        <v>0</v>
      </c>
      <c r="CH71" s="1" t="str">
        <f>CH31</f>
        <v>-3.4 to -3.6</v>
      </c>
      <c r="CI71" s="1">
        <f t="shared" ref="CI71:CL71" si="101">CI31</f>
        <v>0</v>
      </c>
      <c r="CJ71" s="1">
        <f t="shared" si="101"/>
        <v>0</v>
      </c>
      <c r="CK71" s="1">
        <f t="shared" si="101"/>
        <v>0</v>
      </c>
      <c r="CL71" s="1">
        <f t="shared" ca="1" si="101"/>
        <v>0</v>
      </c>
      <c r="CR71" s="1" t="str">
        <f>CR31</f>
        <v>-3.4 to -3.6</v>
      </c>
      <c r="CS71" s="1">
        <f t="shared" ref="CS71:CV71" si="102">CS31</f>
        <v>0</v>
      </c>
      <c r="CT71" s="1">
        <f t="shared" si="102"/>
        <v>0</v>
      </c>
      <c r="CU71" s="1">
        <f t="shared" si="102"/>
        <v>0</v>
      </c>
      <c r="CV71" s="1">
        <f t="shared" ca="1" si="102"/>
        <v>0</v>
      </c>
      <c r="DB71" s="1" t="str">
        <f>DB31</f>
        <v>-3.4 to -3.6</v>
      </c>
      <c r="DC71" s="1">
        <f t="shared" ref="DC71:DF71" si="103">DC31</f>
        <v>0</v>
      </c>
      <c r="DD71" s="1">
        <f t="shared" si="103"/>
        <v>0</v>
      </c>
      <c r="DE71" s="1">
        <f t="shared" si="103"/>
        <v>0</v>
      </c>
      <c r="DF71" s="1">
        <f t="shared" ca="1" si="103"/>
        <v>0</v>
      </c>
    </row>
    <row r="72" spans="1:112" x14ac:dyDescent="0.25">
      <c r="A72" s="1">
        <v>71</v>
      </c>
      <c r="B72" s="4">
        <v>7400</v>
      </c>
      <c r="C72" s="4">
        <v>12.6</v>
      </c>
      <c r="D72" s="4">
        <v>12.7</v>
      </c>
      <c r="E72" s="4">
        <f t="shared" ref="E72:E135" si="104">D72-C72</f>
        <v>9.9999999999999645E-2</v>
      </c>
      <c r="F72" s="4">
        <v>3</v>
      </c>
      <c r="G72" s="4">
        <v>0.74</v>
      </c>
      <c r="H72" s="4">
        <v>79</v>
      </c>
      <c r="I72" s="4"/>
      <c r="J72" s="4">
        <v>49</v>
      </c>
      <c r="K72"/>
      <c r="L72"/>
      <c r="M72" s="4">
        <f t="shared" ref="M72:M135" si="105">E72+M71</f>
        <v>12.7</v>
      </c>
      <c r="N72" s="4"/>
      <c r="O72" s="1">
        <f t="shared" ref="O72:O135" si="106">E71+O71</f>
        <v>12.6</v>
      </c>
      <c r="P72" s="1">
        <f t="shared" ref="P72:P135" si="107">F72*52.8*E72</f>
        <v>15.839999999999941</v>
      </c>
      <c r="Q72" s="1" t="str">
        <f t="shared" si="95"/>
        <v/>
      </c>
      <c r="R72" s="1" t="str">
        <f t="shared" ref="R72:R135" si="108">IF(I72="",Q72,IF(AND(H72=H71,I72=I71),"",I72))</f>
        <v/>
      </c>
      <c r="S72" s="1">
        <f t="shared" ref="S72:S135" si="109">S71+U71*T71/100</f>
        <v>262.83360000000005</v>
      </c>
      <c r="T72" s="1">
        <f t="shared" ref="T72:T135" si="110">IF(G72="UNK",0,G72)</f>
        <v>0.74</v>
      </c>
      <c r="U72" s="1">
        <f t="shared" ref="U72:U135" si="111">E72*5280</f>
        <v>527.99999999999818</v>
      </c>
      <c r="V72" s="1">
        <f t="shared" ref="V72:V135" si="112">ABS(T72*U72)</f>
        <v>390.71999999999866</v>
      </c>
      <c r="AJ72" s="1" t="str">
        <f t="shared" ref="AJ72:AN72" si="113">AJ32</f>
        <v>-3.2 to -3.4</v>
      </c>
      <c r="AK72" s="1">
        <f t="shared" si="113"/>
        <v>0</v>
      </c>
      <c r="AL72" s="1">
        <f t="shared" si="113"/>
        <v>0</v>
      </c>
      <c r="AM72" s="1">
        <f t="shared" si="113"/>
        <v>0</v>
      </c>
      <c r="AN72" s="1">
        <f t="shared" ca="1" si="113"/>
        <v>0</v>
      </c>
      <c r="AT72" s="1" t="str">
        <f t="shared" ref="AT72:AX72" si="114">AT32</f>
        <v>-3.2 to -3.4</v>
      </c>
      <c r="AU72" s="1">
        <f t="shared" si="114"/>
        <v>0</v>
      </c>
      <c r="AV72" s="1">
        <f t="shared" si="114"/>
        <v>0</v>
      </c>
      <c r="AW72" s="1">
        <f t="shared" si="114"/>
        <v>0</v>
      </c>
      <c r="AX72" s="1">
        <f t="shared" ca="1" si="114"/>
        <v>0</v>
      </c>
      <c r="BD72" s="1" t="str">
        <f t="shared" ref="BD72:BH72" si="115">BD32</f>
        <v>-3.2 to -3.4</v>
      </c>
      <c r="BE72" s="1">
        <f t="shared" si="115"/>
        <v>0</v>
      </c>
      <c r="BF72" s="1">
        <f t="shared" si="115"/>
        <v>0</v>
      </c>
      <c r="BG72" s="1">
        <f t="shared" si="115"/>
        <v>0</v>
      </c>
      <c r="BH72" s="1">
        <f t="shared" ca="1" si="115"/>
        <v>0</v>
      </c>
      <c r="BN72" s="1" t="str">
        <f t="shared" ref="BN72:BR72" si="116">BN32</f>
        <v>-3.2 to -3.4</v>
      </c>
      <c r="BO72" s="1">
        <f t="shared" si="116"/>
        <v>0</v>
      </c>
      <c r="BP72" s="1">
        <f t="shared" si="116"/>
        <v>0</v>
      </c>
      <c r="BQ72" s="1">
        <f t="shared" si="116"/>
        <v>0</v>
      </c>
      <c r="BR72" s="1">
        <f t="shared" ca="1" si="116"/>
        <v>0</v>
      </c>
      <c r="BX72" s="1" t="str">
        <f t="shared" ref="BX72:CB72" si="117">BX32</f>
        <v>-3.2 to -3.4</v>
      </c>
      <c r="BY72" s="1">
        <f t="shared" si="117"/>
        <v>0</v>
      </c>
      <c r="BZ72" s="1">
        <f t="shared" si="117"/>
        <v>0</v>
      </c>
      <c r="CA72" s="1">
        <f t="shared" si="117"/>
        <v>0</v>
      </c>
      <c r="CB72" s="1">
        <f t="shared" ca="1" si="117"/>
        <v>0</v>
      </c>
      <c r="CH72" s="1" t="str">
        <f t="shared" ref="CH72:CL72" si="118">CH32</f>
        <v>-3.2 to -3.4</v>
      </c>
      <c r="CI72" s="1">
        <f t="shared" si="118"/>
        <v>0</v>
      </c>
      <c r="CJ72" s="1">
        <f t="shared" si="118"/>
        <v>0</v>
      </c>
      <c r="CK72" s="1">
        <f t="shared" si="118"/>
        <v>0</v>
      </c>
      <c r="CL72" s="1">
        <f t="shared" ca="1" si="118"/>
        <v>0</v>
      </c>
      <c r="CR72" s="1" t="str">
        <f t="shared" ref="CR72:CV72" si="119">CR32</f>
        <v>-3.2 to -3.4</v>
      </c>
      <c r="CS72" s="1">
        <f t="shared" si="119"/>
        <v>0</v>
      </c>
      <c r="CT72" s="1">
        <f t="shared" si="119"/>
        <v>0</v>
      </c>
      <c r="CU72" s="1">
        <f t="shared" si="119"/>
        <v>0</v>
      </c>
      <c r="CV72" s="1">
        <f t="shared" ca="1" si="119"/>
        <v>0</v>
      </c>
      <c r="DB72" s="1" t="str">
        <f t="shared" ref="DB72:DF72" si="120">DB32</f>
        <v>-3.2 to -3.4</v>
      </c>
      <c r="DC72" s="1">
        <f t="shared" si="120"/>
        <v>0</v>
      </c>
      <c r="DD72" s="1">
        <f t="shared" si="120"/>
        <v>0</v>
      </c>
      <c r="DE72" s="1">
        <f t="shared" si="120"/>
        <v>0</v>
      </c>
      <c r="DF72" s="1">
        <f t="shared" ca="1" si="120"/>
        <v>0</v>
      </c>
    </row>
    <row r="73" spans="1:112" x14ac:dyDescent="0.25">
      <c r="A73" s="1">
        <v>72</v>
      </c>
      <c r="B73" s="4">
        <v>7400</v>
      </c>
      <c r="C73" s="4">
        <v>12.7</v>
      </c>
      <c r="D73" s="4">
        <v>12.799999999999999</v>
      </c>
      <c r="E73" s="4">
        <f t="shared" si="104"/>
        <v>9.9999999999999645E-2</v>
      </c>
      <c r="F73" s="4">
        <v>3</v>
      </c>
      <c r="G73" s="4">
        <v>0.96</v>
      </c>
      <c r="H73" s="4">
        <v>79</v>
      </c>
      <c r="I73" s="4"/>
      <c r="J73" s="4">
        <v>49</v>
      </c>
      <c r="K73"/>
      <c r="L73"/>
      <c r="M73" s="4">
        <f t="shared" si="105"/>
        <v>12.799999999999999</v>
      </c>
      <c r="N73" s="4"/>
      <c r="O73" s="1">
        <f t="shared" si="106"/>
        <v>12.7</v>
      </c>
      <c r="P73" s="1">
        <f t="shared" si="107"/>
        <v>15.839999999999941</v>
      </c>
      <c r="Q73" s="1" t="str">
        <f t="shared" si="95"/>
        <v/>
      </c>
      <c r="R73" s="1" t="str">
        <f t="shared" si="108"/>
        <v/>
      </c>
      <c r="S73" s="1">
        <f t="shared" si="109"/>
        <v>266.74080000000004</v>
      </c>
      <c r="T73" s="1">
        <f t="shared" si="110"/>
        <v>0.96</v>
      </c>
      <c r="U73" s="1">
        <f t="shared" si="111"/>
        <v>527.99999999999818</v>
      </c>
      <c r="V73" s="1">
        <f t="shared" si="112"/>
        <v>506.87999999999823</v>
      </c>
      <c r="AJ73" s="1" t="str">
        <f t="shared" ref="AJ73:AN73" si="121">AJ33</f>
        <v>-3 to -3.2</v>
      </c>
      <c r="AK73" s="1">
        <f t="shared" si="121"/>
        <v>0</v>
      </c>
      <c r="AL73" s="1">
        <f t="shared" si="121"/>
        <v>0</v>
      </c>
      <c r="AM73" s="1">
        <f t="shared" si="121"/>
        <v>0</v>
      </c>
      <c r="AN73" s="1">
        <f t="shared" ca="1" si="121"/>
        <v>0</v>
      </c>
      <c r="AT73" s="1" t="str">
        <f t="shared" ref="AT73:AX73" si="122">AT33</f>
        <v>-3 to -3.2</v>
      </c>
      <c r="AU73" s="1">
        <f t="shared" si="122"/>
        <v>0</v>
      </c>
      <c r="AV73" s="1">
        <f t="shared" si="122"/>
        <v>0</v>
      </c>
      <c r="AW73" s="1">
        <f t="shared" si="122"/>
        <v>0</v>
      </c>
      <c r="AX73" s="1">
        <f t="shared" ca="1" si="122"/>
        <v>0</v>
      </c>
      <c r="BD73" s="1" t="str">
        <f t="shared" ref="BD73:BH73" si="123">BD33</f>
        <v>-3 to -3.2</v>
      </c>
      <c r="BE73" s="1">
        <f t="shared" si="123"/>
        <v>0</v>
      </c>
      <c r="BF73" s="1">
        <f t="shared" si="123"/>
        <v>0</v>
      </c>
      <c r="BG73" s="1">
        <f t="shared" si="123"/>
        <v>0</v>
      </c>
      <c r="BH73" s="1">
        <f t="shared" ca="1" si="123"/>
        <v>0</v>
      </c>
      <c r="BN73" s="1" t="str">
        <f t="shared" ref="BN73:BR73" si="124">BN33</f>
        <v>-3 to -3.2</v>
      </c>
      <c r="BO73" s="1">
        <f t="shared" si="124"/>
        <v>0</v>
      </c>
      <c r="BP73" s="1">
        <f t="shared" si="124"/>
        <v>0</v>
      </c>
      <c r="BQ73" s="1">
        <f t="shared" si="124"/>
        <v>0</v>
      </c>
      <c r="BR73" s="1">
        <f t="shared" ca="1" si="124"/>
        <v>0</v>
      </c>
      <c r="BX73" s="1" t="str">
        <f t="shared" ref="BX73:CB73" si="125">BX33</f>
        <v>-3 to -3.2</v>
      </c>
      <c r="BY73" s="1">
        <f t="shared" si="125"/>
        <v>0</v>
      </c>
      <c r="BZ73" s="1">
        <f t="shared" si="125"/>
        <v>0</v>
      </c>
      <c r="CA73" s="1">
        <f t="shared" si="125"/>
        <v>0</v>
      </c>
      <c r="CB73" s="1">
        <f t="shared" ca="1" si="125"/>
        <v>0</v>
      </c>
      <c r="CH73" s="1" t="str">
        <f t="shared" ref="CH73:CL73" si="126">CH33</f>
        <v>-3 to -3.2</v>
      </c>
      <c r="CI73" s="1">
        <f t="shared" si="126"/>
        <v>0</v>
      </c>
      <c r="CJ73" s="1">
        <f t="shared" si="126"/>
        <v>0</v>
      </c>
      <c r="CK73" s="1">
        <f t="shared" si="126"/>
        <v>0</v>
      </c>
      <c r="CL73" s="1">
        <f t="shared" ca="1" si="126"/>
        <v>0</v>
      </c>
      <c r="CR73" s="1" t="str">
        <f t="shared" ref="CR73:CV73" si="127">CR33</f>
        <v>-3 to -3.2</v>
      </c>
      <c r="CS73" s="1">
        <f t="shared" si="127"/>
        <v>0</v>
      </c>
      <c r="CT73" s="1">
        <f t="shared" si="127"/>
        <v>0</v>
      </c>
      <c r="CU73" s="1">
        <f t="shared" si="127"/>
        <v>0</v>
      </c>
      <c r="CV73" s="1">
        <f t="shared" ca="1" si="127"/>
        <v>0</v>
      </c>
      <c r="DB73" s="1" t="str">
        <f t="shared" ref="DB73:DF73" si="128">DB33</f>
        <v>-3 to -3.2</v>
      </c>
      <c r="DC73" s="1">
        <f t="shared" si="128"/>
        <v>0</v>
      </c>
      <c r="DD73" s="1">
        <f t="shared" si="128"/>
        <v>0</v>
      </c>
      <c r="DE73" s="1">
        <f t="shared" si="128"/>
        <v>0</v>
      </c>
      <c r="DF73" s="1">
        <f t="shared" ca="1" si="128"/>
        <v>0</v>
      </c>
    </row>
    <row r="74" spans="1:112" x14ac:dyDescent="0.25">
      <c r="A74" s="1">
        <v>73</v>
      </c>
      <c r="B74" s="4">
        <v>7400</v>
      </c>
      <c r="C74" s="4">
        <v>12.799999999999999</v>
      </c>
      <c r="D74" s="4">
        <v>12.9</v>
      </c>
      <c r="E74" s="4">
        <f t="shared" si="104"/>
        <v>0.10000000000000142</v>
      </c>
      <c r="F74" s="4">
        <v>0</v>
      </c>
      <c r="G74" s="4">
        <v>0.96</v>
      </c>
      <c r="H74" s="4">
        <v>79</v>
      </c>
      <c r="I74" s="4"/>
      <c r="J74" s="4">
        <v>49</v>
      </c>
      <c r="K74"/>
      <c r="L74"/>
      <c r="M74" s="4">
        <f t="shared" si="105"/>
        <v>12.9</v>
      </c>
      <c r="N74" s="4"/>
      <c r="O74" s="1">
        <f t="shared" si="106"/>
        <v>12.799999999999999</v>
      </c>
      <c r="P74" s="1">
        <f t="shared" si="107"/>
        <v>0</v>
      </c>
      <c r="Q74" s="1" t="str">
        <f t="shared" si="95"/>
        <v/>
      </c>
      <c r="R74" s="1" t="str">
        <f t="shared" si="108"/>
        <v/>
      </c>
      <c r="S74" s="1">
        <f t="shared" si="109"/>
        <v>271.80960000000005</v>
      </c>
      <c r="T74" s="1">
        <f t="shared" si="110"/>
        <v>0.96</v>
      </c>
      <c r="U74" s="1">
        <f t="shared" si="111"/>
        <v>528.0000000000075</v>
      </c>
      <c r="V74" s="1">
        <f t="shared" si="112"/>
        <v>506.88000000000716</v>
      </c>
      <c r="AJ74" s="1" t="str">
        <f t="shared" ref="AJ74:AN74" si="129">AJ34</f>
        <v>-2.8 to -3</v>
      </c>
      <c r="AK74" s="1">
        <f t="shared" si="129"/>
        <v>0</v>
      </c>
      <c r="AL74" s="1">
        <f t="shared" si="129"/>
        <v>0</v>
      </c>
      <c r="AM74" s="1">
        <f t="shared" si="129"/>
        <v>0</v>
      </c>
      <c r="AN74" s="1">
        <f t="shared" ca="1" si="129"/>
        <v>0</v>
      </c>
      <c r="AT74" s="1" t="str">
        <f t="shared" ref="AT74:AX74" si="130">AT34</f>
        <v>-2.8 to -3</v>
      </c>
      <c r="AU74" s="1">
        <f t="shared" si="130"/>
        <v>0</v>
      </c>
      <c r="AV74" s="1">
        <f t="shared" si="130"/>
        <v>0</v>
      </c>
      <c r="AW74" s="1">
        <f t="shared" si="130"/>
        <v>0</v>
      </c>
      <c r="AX74" s="1">
        <f t="shared" ca="1" si="130"/>
        <v>0</v>
      </c>
      <c r="BD74" s="1" t="str">
        <f t="shared" ref="BD74:BH74" si="131">BD34</f>
        <v>-2.8 to -3</v>
      </c>
      <c r="BE74" s="1">
        <f t="shared" si="131"/>
        <v>0</v>
      </c>
      <c r="BF74" s="1">
        <f t="shared" si="131"/>
        <v>0</v>
      </c>
      <c r="BG74" s="1">
        <f t="shared" si="131"/>
        <v>0</v>
      </c>
      <c r="BH74" s="1">
        <f t="shared" ca="1" si="131"/>
        <v>0</v>
      </c>
      <c r="BN74" s="1" t="str">
        <f t="shared" ref="BN74:BR74" si="132">BN34</f>
        <v>-2.8 to -3</v>
      </c>
      <c r="BO74" s="1">
        <f t="shared" si="132"/>
        <v>0</v>
      </c>
      <c r="BP74" s="1">
        <f t="shared" si="132"/>
        <v>0</v>
      </c>
      <c r="BQ74" s="1">
        <f t="shared" si="132"/>
        <v>0</v>
      </c>
      <c r="BR74" s="1">
        <f t="shared" ca="1" si="132"/>
        <v>0</v>
      </c>
      <c r="BX74" s="1" t="str">
        <f t="shared" ref="BX74:CB74" si="133">BX34</f>
        <v>-2.8 to -3</v>
      </c>
      <c r="BY74" s="1">
        <f t="shared" si="133"/>
        <v>0</v>
      </c>
      <c r="BZ74" s="1">
        <f t="shared" si="133"/>
        <v>0</v>
      </c>
      <c r="CA74" s="1">
        <f t="shared" si="133"/>
        <v>0</v>
      </c>
      <c r="CB74" s="1">
        <f t="shared" ca="1" si="133"/>
        <v>0</v>
      </c>
      <c r="CH74" s="1" t="str">
        <f t="shared" ref="CH74:CL74" si="134">CH34</f>
        <v>-2.8 to -3</v>
      </c>
      <c r="CI74" s="1">
        <f t="shared" si="134"/>
        <v>0</v>
      </c>
      <c r="CJ74" s="1">
        <f t="shared" si="134"/>
        <v>0</v>
      </c>
      <c r="CK74" s="1">
        <f t="shared" si="134"/>
        <v>0</v>
      </c>
      <c r="CL74" s="1">
        <f t="shared" ca="1" si="134"/>
        <v>0</v>
      </c>
      <c r="CR74" s="1" t="str">
        <f t="shared" ref="CR74:CV74" si="135">CR34</f>
        <v>-2.8 to -3</v>
      </c>
      <c r="CS74" s="1">
        <f t="shared" si="135"/>
        <v>0</v>
      </c>
      <c r="CT74" s="1">
        <f t="shared" si="135"/>
        <v>0</v>
      </c>
      <c r="CU74" s="1">
        <f t="shared" si="135"/>
        <v>0</v>
      </c>
      <c r="CV74" s="1">
        <f t="shared" ca="1" si="135"/>
        <v>0</v>
      </c>
      <c r="DB74" s="1" t="str">
        <f t="shared" ref="DB74:DF74" si="136">DB34</f>
        <v>-2.8 to -3</v>
      </c>
      <c r="DC74" s="1">
        <f t="shared" si="136"/>
        <v>0</v>
      </c>
      <c r="DD74" s="1">
        <f t="shared" si="136"/>
        <v>0</v>
      </c>
      <c r="DE74" s="1">
        <f t="shared" si="136"/>
        <v>0</v>
      </c>
      <c r="DF74" s="1">
        <f t="shared" ca="1" si="136"/>
        <v>0</v>
      </c>
    </row>
    <row r="75" spans="1:112" x14ac:dyDescent="0.25">
      <c r="A75" s="1">
        <v>74</v>
      </c>
      <c r="B75" s="4">
        <v>7400</v>
      </c>
      <c r="C75" s="4">
        <v>12.9</v>
      </c>
      <c r="D75" s="4">
        <v>13</v>
      </c>
      <c r="E75" s="4">
        <f t="shared" si="104"/>
        <v>9.9999999999999645E-2</v>
      </c>
      <c r="F75" s="4">
        <v>0</v>
      </c>
      <c r="G75" s="4">
        <v>1.62</v>
      </c>
      <c r="H75" s="4">
        <v>79</v>
      </c>
      <c r="I75" s="4"/>
      <c r="J75" s="4">
        <v>49</v>
      </c>
      <c r="K75"/>
      <c r="L75"/>
      <c r="M75" s="4">
        <f t="shared" si="105"/>
        <v>13</v>
      </c>
      <c r="N75" s="4"/>
      <c r="O75" s="1">
        <f t="shared" si="106"/>
        <v>12.9</v>
      </c>
      <c r="P75" s="1">
        <f t="shared" si="107"/>
        <v>0</v>
      </c>
      <c r="Q75" s="1" t="str">
        <f t="shared" si="95"/>
        <v/>
      </c>
      <c r="R75" s="1" t="str">
        <f t="shared" si="108"/>
        <v/>
      </c>
      <c r="S75" s="1">
        <f t="shared" si="109"/>
        <v>276.87840000000011</v>
      </c>
      <c r="T75" s="1">
        <f t="shared" si="110"/>
        <v>1.62</v>
      </c>
      <c r="U75" s="1">
        <f t="shared" si="111"/>
        <v>527.99999999999818</v>
      </c>
      <c r="V75" s="1">
        <f t="shared" si="112"/>
        <v>855.35999999999706</v>
      </c>
      <c r="AJ75" s="1" t="str">
        <f t="shared" ref="AJ75:AN75" si="137">AJ35</f>
        <v>-2.6 to -2.8</v>
      </c>
      <c r="AK75" s="1">
        <f t="shared" si="137"/>
        <v>0</v>
      </c>
      <c r="AL75" s="1">
        <f t="shared" si="137"/>
        <v>0</v>
      </c>
      <c r="AM75" s="1">
        <f t="shared" si="137"/>
        <v>0</v>
      </c>
      <c r="AN75" s="1">
        <f t="shared" ca="1" si="137"/>
        <v>0</v>
      </c>
      <c r="AT75" s="1" t="str">
        <f t="shared" ref="AT75:AX75" si="138">AT35</f>
        <v>-2.6 to -2.8</v>
      </c>
      <c r="AU75" s="1">
        <f t="shared" si="138"/>
        <v>0</v>
      </c>
      <c r="AV75" s="1">
        <f t="shared" si="138"/>
        <v>0</v>
      </c>
      <c r="AW75" s="1">
        <f t="shared" si="138"/>
        <v>0</v>
      </c>
      <c r="AX75" s="1">
        <f t="shared" ca="1" si="138"/>
        <v>0</v>
      </c>
      <c r="BD75" s="1" t="str">
        <f t="shared" ref="BD75:BH75" si="139">BD35</f>
        <v>-2.6 to -2.8</v>
      </c>
      <c r="BE75" s="1">
        <f t="shared" si="139"/>
        <v>0</v>
      </c>
      <c r="BF75" s="1">
        <f t="shared" si="139"/>
        <v>0</v>
      </c>
      <c r="BG75" s="1">
        <f t="shared" si="139"/>
        <v>0</v>
      </c>
      <c r="BH75" s="1">
        <f t="shared" ca="1" si="139"/>
        <v>0</v>
      </c>
      <c r="BN75" s="1" t="str">
        <f t="shared" ref="BN75:BR75" si="140">BN35</f>
        <v>-2.6 to -2.8</v>
      </c>
      <c r="BO75" s="1">
        <f t="shared" si="140"/>
        <v>0</v>
      </c>
      <c r="BP75" s="1">
        <f t="shared" si="140"/>
        <v>0</v>
      </c>
      <c r="BQ75" s="1">
        <f t="shared" si="140"/>
        <v>0</v>
      </c>
      <c r="BR75" s="1">
        <f t="shared" ca="1" si="140"/>
        <v>0</v>
      </c>
      <c r="BX75" s="1" t="str">
        <f t="shared" ref="BX75:CB75" si="141">BX35</f>
        <v>-2.6 to -2.8</v>
      </c>
      <c r="BY75" s="1">
        <f t="shared" si="141"/>
        <v>0</v>
      </c>
      <c r="BZ75" s="1">
        <f t="shared" si="141"/>
        <v>0</v>
      </c>
      <c r="CA75" s="1">
        <f t="shared" si="141"/>
        <v>0</v>
      </c>
      <c r="CB75" s="1">
        <f t="shared" ca="1" si="141"/>
        <v>0</v>
      </c>
      <c r="CH75" s="1" t="str">
        <f t="shared" ref="CH75:CL75" si="142">CH35</f>
        <v>-2.6 to -2.8</v>
      </c>
      <c r="CI75" s="1">
        <f t="shared" si="142"/>
        <v>0</v>
      </c>
      <c r="CJ75" s="1">
        <f t="shared" si="142"/>
        <v>0</v>
      </c>
      <c r="CK75" s="1">
        <f t="shared" si="142"/>
        <v>0</v>
      </c>
      <c r="CL75" s="1">
        <f t="shared" ca="1" si="142"/>
        <v>0</v>
      </c>
      <c r="CR75" s="1" t="str">
        <f t="shared" ref="CR75:CV75" si="143">CR35</f>
        <v>-2.6 to -2.8</v>
      </c>
      <c r="CS75" s="1">
        <f t="shared" si="143"/>
        <v>0</v>
      </c>
      <c r="CT75" s="1">
        <f t="shared" si="143"/>
        <v>0</v>
      </c>
      <c r="CU75" s="1">
        <f t="shared" si="143"/>
        <v>0</v>
      </c>
      <c r="CV75" s="1">
        <f t="shared" ca="1" si="143"/>
        <v>0</v>
      </c>
      <c r="DB75" s="1" t="str">
        <f t="shared" ref="DB75:DF75" si="144">DB35</f>
        <v>-2.6 to -2.8</v>
      </c>
      <c r="DC75" s="1">
        <f t="shared" si="144"/>
        <v>0</v>
      </c>
      <c r="DD75" s="1">
        <f t="shared" si="144"/>
        <v>0</v>
      </c>
      <c r="DE75" s="1">
        <f t="shared" si="144"/>
        <v>0</v>
      </c>
      <c r="DF75" s="1">
        <f t="shared" ca="1" si="144"/>
        <v>0</v>
      </c>
    </row>
    <row r="76" spans="1:112" x14ac:dyDescent="0.25">
      <c r="A76" s="1">
        <v>75</v>
      </c>
      <c r="B76" s="4">
        <v>7400</v>
      </c>
      <c r="C76" s="4">
        <v>13</v>
      </c>
      <c r="D76" s="4">
        <v>13.2</v>
      </c>
      <c r="E76" s="4">
        <f t="shared" si="104"/>
        <v>0.19999999999999929</v>
      </c>
      <c r="F76" s="4">
        <v>0</v>
      </c>
      <c r="G76" s="4">
        <v>0.91</v>
      </c>
      <c r="H76" s="4">
        <v>79</v>
      </c>
      <c r="I76" s="4"/>
      <c r="J76" s="4">
        <v>49</v>
      </c>
      <c r="K76"/>
      <c r="L76"/>
      <c r="M76" s="4">
        <f t="shared" si="105"/>
        <v>13.2</v>
      </c>
      <c r="N76" s="4"/>
      <c r="O76" s="1">
        <f t="shared" si="106"/>
        <v>13</v>
      </c>
      <c r="P76" s="1">
        <f t="shared" si="107"/>
        <v>0</v>
      </c>
      <c r="Q76" s="1" t="str">
        <f t="shared" si="95"/>
        <v/>
      </c>
      <c r="R76" s="1" t="str">
        <f t="shared" si="108"/>
        <v/>
      </c>
      <c r="S76" s="1">
        <f t="shared" si="109"/>
        <v>285.43200000000007</v>
      </c>
      <c r="T76" s="1">
        <f t="shared" si="110"/>
        <v>0.91</v>
      </c>
      <c r="U76" s="1">
        <f t="shared" si="111"/>
        <v>1055.9999999999964</v>
      </c>
      <c r="V76" s="1">
        <f t="shared" si="112"/>
        <v>960.95999999999674</v>
      </c>
      <c r="AJ76" s="1" t="str">
        <f t="shared" ref="AJ76:AN76" si="145">AJ36</f>
        <v>-2.4 to -2.6</v>
      </c>
      <c r="AK76" s="1">
        <f t="shared" si="145"/>
        <v>0</v>
      </c>
      <c r="AL76" s="1">
        <f t="shared" si="145"/>
        <v>0</v>
      </c>
      <c r="AM76" s="1">
        <f t="shared" si="145"/>
        <v>0</v>
      </c>
      <c r="AN76" s="1">
        <f t="shared" ca="1" si="145"/>
        <v>0</v>
      </c>
      <c r="AT76" s="1" t="str">
        <f t="shared" ref="AT76:AX76" si="146">AT36</f>
        <v>-2.4 to -2.6</v>
      </c>
      <c r="AU76" s="1">
        <f t="shared" si="146"/>
        <v>0</v>
      </c>
      <c r="AV76" s="1">
        <f t="shared" si="146"/>
        <v>0</v>
      </c>
      <c r="AW76" s="1">
        <f t="shared" si="146"/>
        <v>0</v>
      </c>
      <c r="AX76" s="1">
        <f t="shared" ca="1" si="146"/>
        <v>0</v>
      </c>
      <c r="BD76" s="1" t="str">
        <f t="shared" ref="BD76:BH76" si="147">BD36</f>
        <v>-2.4 to -2.6</v>
      </c>
      <c r="BE76" s="1">
        <f t="shared" si="147"/>
        <v>0</v>
      </c>
      <c r="BF76" s="1">
        <f t="shared" si="147"/>
        <v>0</v>
      </c>
      <c r="BG76" s="1">
        <f t="shared" si="147"/>
        <v>0</v>
      </c>
      <c r="BH76" s="1">
        <f t="shared" ca="1" si="147"/>
        <v>0</v>
      </c>
      <c r="BN76" s="1" t="str">
        <f t="shared" ref="BN76:BR76" si="148">BN36</f>
        <v>-2.4 to -2.6</v>
      </c>
      <c r="BO76" s="1">
        <f t="shared" si="148"/>
        <v>0</v>
      </c>
      <c r="BP76" s="1">
        <f t="shared" si="148"/>
        <v>0</v>
      </c>
      <c r="BQ76" s="1">
        <f t="shared" si="148"/>
        <v>0</v>
      </c>
      <c r="BR76" s="1">
        <f t="shared" ca="1" si="148"/>
        <v>0</v>
      </c>
      <c r="BX76" s="1" t="str">
        <f t="shared" ref="BX76:CB76" si="149">BX36</f>
        <v>-2.4 to -2.6</v>
      </c>
      <c r="BY76" s="1">
        <f t="shared" si="149"/>
        <v>0</v>
      </c>
      <c r="BZ76" s="1">
        <f t="shared" si="149"/>
        <v>0</v>
      </c>
      <c r="CA76" s="1">
        <f t="shared" si="149"/>
        <v>0</v>
      </c>
      <c r="CB76" s="1">
        <f t="shared" ca="1" si="149"/>
        <v>0</v>
      </c>
      <c r="CH76" s="1" t="str">
        <f t="shared" ref="CH76:CL76" si="150">CH36</f>
        <v>-2.4 to -2.6</v>
      </c>
      <c r="CI76" s="1">
        <f t="shared" si="150"/>
        <v>0</v>
      </c>
      <c r="CJ76" s="1">
        <f t="shared" si="150"/>
        <v>0</v>
      </c>
      <c r="CK76" s="1">
        <f t="shared" si="150"/>
        <v>0</v>
      </c>
      <c r="CL76" s="1">
        <f t="shared" ca="1" si="150"/>
        <v>0</v>
      </c>
      <c r="CR76" s="1" t="str">
        <f t="shared" ref="CR76:CV76" si="151">CR36</f>
        <v>-2.4 to -2.6</v>
      </c>
      <c r="CS76" s="1">
        <f t="shared" si="151"/>
        <v>0</v>
      </c>
      <c r="CT76" s="1">
        <f t="shared" si="151"/>
        <v>0</v>
      </c>
      <c r="CU76" s="1">
        <f t="shared" si="151"/>
        <v>0</v>
      </c>
      <c r="CV76" s="1">
        <f t="shared" ca="1" si="151"/>
        <v>0</v>
      </c>
      <c r="DB76" s="1" t="str">
        <f t="shared" ref="DB76:DF76" si="152">DB36</f>
        <v>-2.4 to -2.6</v>
      </c>
      <c r="DC76" s="1">
        <f t="shared" si="152"/>
        <v>0</v>
      </c>
      <c r="DD76" s="1">
        <f t="shared" si="152"/>
        <v>0</v>
      </c>
      <c r="DE76" s="1">
        <f t="shared" si="152"/>
        <v>0</v>
      </c>
      <c r="DF76" s="1">
        <f t="shared" ca="1" si="152"/>
        <v>0</v>
      </c>
    </row>
    <row r="77" spans="1:112" x14ac:dyDescent="0.25">
      <c r="A77" s="1">
        <v>76</v>
      </c>
      <c r="B77" s="4">
        <v>7400</v>
      </c>
      <c r="C77" s="4">
        <v>13.2</v>
      </c>
      <c r="D77" s="4">
        <v>13.4</v>
      </c>
      <c r="E77" s="4">
        <f t="shared" si="104"/>
        <v>0.20000000000000107</v>
      </c>
      <c r="F77" s="4">
        <v>0</v>
      </c>
      <c r="G77" s="4">
        <v>1.22</v>
      </c>
      <c r="H77" s="4">
        <v>79</v>
      </c>
      <c r="I77" s="4"/>
      <c r="J77" s="4">
        <v>49</v>
      </c>
      <c r="K77"/>
      <c r="L77"/>
      <c r="M77" s="4">
        <f t="shared" si="105"/>
        <v>13.4</v>
      </c>
      <c r="N77" s="4"/>
      <c r="O77" s="1">
        <f t="shared" si="106"/>
        <v>13.2</v>
      </c>
      <c r="P77" s="1">
        <f t="shared" si="107"/>
        <v>0</v>
      </c>
      <c r="Q77" s="1" t="str">
        <f t="shared" si="95"/>
        <v/>
      </c>
      <c r="R77" s="1" t="str">
        <f t="shared" si="108"/>
        <v/>
      </c>
      <c r="S77" s="1">
        <f t="shared" si="109"/>
        <v>295.04160000000002</v>
      </c>
      <c r="T77" s="1">
        <f t="shared" si="110"/>
        <v>1.22</v>
      </c>
      <c r="U77" s="1">
        <f t="shared" si="111"/>
        <v>1056.0000000000057</v>
      </c>
      <c r="V77" s="1">
        <f t="shared" si="112"/>
        <v>1288.320000000007</v>
      </c>
      <c r="AJ77" s="1" t="str">
        <f t="shared" ref="AJ77:AN77" si="153">AJ37</f>
        <v>-2.2 to -2.4</v>
      </c>
      <c r="AK77" s="1">
        <f t="shared" si="153"/>
        <v>0</v>
      </c>
      <c r="AL77" s="1">
        <f t="shared" si="153"/>
        <v>0</v>
      </c>
      <c r="AM77" s="1">
        <f t="shared" si="153"/>
        <v>0</v>
      </c>
      <c r="AN77" s="1">
        <f t="shared" ca="1" si="153"/>
        <v>0</v>
      </c>
      <c r="AT77" s="1" t="str">
        <f t="shared" ref="AT77:AX77" si="154">AT37</f>
        <v>-2.2 to -2.4</v>
      </c>
      <c r="AU77" s="1">
        <f t="shared" si="154"/>
        <v>0</v>
      </c>
      <c r="AV77" s="1">
        <f t="shared" si="154"/>
        <v>0</v>
      </c>
      <c r="AW77" s="1">
        <f t="shared" si="154"/>
        <v>0</v>
      </c>
      <c r="AX77" s="1">
        <f t="shared" ca="1" si="154"/>
        <v>0</v>
      </c>
      <c r="BD77" s="1" t="str">
        <f t="shared" ref="BD77:BH77" si="155">BD37</f>
        <v>-2.2 to -2.4</v>
      </c>
      <c r="BE77" s="1">
        <f t="shared" si="155"/>
        <v>0</v>
      </c>
      <c r="BF77" s="1">
        <f t="shared" si="155"/>
        <v>0</v>
      </c>
      <c r="BG77" s="1">
        <f t="shared" si="155"/>
        <v>0</v>
      </c>
      <c r="BH77" s="1">
        <f t="shared" ca="1" si="155"/>
        <v>0</v>
      </c>
      <c r="BN77" s="1" t="str">
        <f t="shared" ref="BN77:BR77" si="156">BN37</f>
        <v>-2.2 to -2.4</v>
      </c>
      <c r="BO77" s="1">
        <f t="shared" si="156"/>
        <v>0</v>
      </c>
      <c r="BP77" s="1">
        <f t="shared" si="156"/>
        <v>0</v>
      </c>
      <c r="BQ77" s="1">
        <f t="shared" si="156"/>
        <v>0</v>
      </c>
      <c r="BR77" s="1">
        <f t="shared" ca="1" si="156"/>
        <v>0</v>
      </c>
      <c r="BX77" s="1" t="str">
        <f t="shared" ref="BX77:CB77" si="157">BX37</f>
        <v>-2.2 to -2.4</v>
      </c>
      <c r="BY77" s="1">
        <f t="shared" si="157"/>
        <v>0</v>
      </c>
      <c r="BZ77" s="1">
        <f t="shared" si="157"/>
        <v>0</v>
      </c>
      <c r="CA77" s="1">
        <f t="shared" si="157"/>
        <v>0</v>
      </c>
      <c r="CB77" s="1">
        <f t="shared" ca="1" si="157"/>
        <v>0</v>
      </c>
      <c r="CH77" s="1" t="str">
        <f t="shared" ref="CH77:CL77" si="158">CH37</f>
        <v>-2.2 to -2.4</v>
      </c>
      <c r="CI77" s="1">
        <f t="shared" si="158"/>
        <v>0</v>
      </c>
      <c r="CJ77" s="1">
        <f t="shared" si="158"/>
        <v>0</v>
      </c>
      <c r="CK77" s="1">
        <f t="shared" si="158"/>
        <v>0</v>
      </c>
      <c r="CL77" s="1">
        <f t="shared" ca="1" si="158"/>
        <v>0</v>
      </c>
      <c r="CR77" s="1" t="str">
        <f t="shared" ref="CR77:CV77" si="159">CR37</f>
        <v>-2.2 to -2.4</v>
      </c>
      <c r="CS77" s="1">
        <f t="shared" si="159"/>
        <v>0</v>
      </c>
      <c r="CT77" s="1">
        <f t="shared" si="159"/>
        <v>0</v>
      </c>
      <c r="CU77" s="1">
        <f t="shared" si="159"/>
        <v>0</v>
      </c>
      <c r="CV77" s="1">
        <f t="shared" ca="1" si="159"/>
        <v>0</v>
      </c>
      <c r="DB77" s="1" t="str">
        <f t="shared" ref="DB77:DF77" si="160">DB37</f>
        <v>-2.2 to -2.4</v>
      </c>
      <c r="DC77" s="1">
        <f t="shared" si="160"/>
        <v>0</v>
      </c>
      <c r="DD77" s="1">
        <f t="shared" si="160"/>
        <v>0</v>
      </c>
      <c r="DE77" s="1">
        <f t="shared" si="160"/>
        <v>0</v>
      </c>
      <c r="DF77" s="1">
        <f t="shared" ca="1" si="160"/>
        <v>0</v>
      </c>
    </row>
    <row r="78" spans="1:112" x14ac:dyDescent="0.25">
      <c r="A78" s="1">
        <v>77</v>
      </c>
      <c r="B78" s="4">
        <v>7400</v>
      </c>
      <c r="C78" s="4">
        <v>13.4</v>
      </c>
      <c r="D78" s="4">
        <v>13.6</v>
      </c>
      <c r="E78" s="4">
        <f t="shared" si="104"/>
        <v>0.19999999999999929</v>
      </c>
      <c r="F78" s="4">
        <v>0</v>
      </c>
      <c r="G78" s="4">
        <v>0.46</v>
      </c>
      <c r="H78" s="4">
        <v>79</v>
      </c>
      <c r="I78" s="4"/>
      <c r="J78" s="4">
        <v>49</v>
      </c>
      <c r="K78"/>
      <c r="L78"/>
      <c r="M78" s="4">
        <f t="shared" si="105"/>
        <v>13.6</v>
      </c>
      <c r="N78" s="4"/>
      <c r="O78" s="1">
        <f t="shared" si="106"/>
        <v>13.4</v>
      </c>
      <c r="P78" s="1">
        <f t="shared" si="107"/>
        <v>0</v>
      </c>
      <c r="Q78" s="1" t="str">
        <f t="shared" si="95"/>
        <v/>
      </c>
      <c r="R78" s="1" t="str">
        <f t="shared" si="108"/>
        <v/>
      </c>
      <c r="S78" s="1">
        <f t="shared" si="109"/>
        <v>307.92480000000006</v>
      </c>
      <c r="T78" s="1">
        <f t="shared" si="110"/>
        <v>0.46</v>
      </c>
      <c r="U78" s="1">
        <f t="shared" si="111"/>
        <v>1055.9999999999964</v>
      </c>
      <c r="V78" s="1">
        <f t="shared" si="112"/>
        <v>485.75999999999834</v>
      </c>
      <c r="AJ78" s="1" t="str">
        <f t="shared" ref="AJ78:AN78" si="161">AJ38</f>
        <v>-2 to -2.2</v>
      </c>
      <c r="AK78" s="1">
        <f t="shared" si="161"/>
        <v>0</v>
      </c>
      <c r="AL78" s="1">
        <f t="shared" si="161"/>
        <v>0</v>
      </c>
      <c r="AM78" s="1">
        <f t="shared" si="161"/>
        <v>0</v>
      </c>
      <c r="AN78" s="17">
        <f t="shared" ca="1" si="161"/>
        <v>0</v>
      </c>
      <c r="AT78" s="1" t="str">
        <f t="shared" ref="AT78:AX78" si="162">AT38</f>
        <v>-2 to -2.2</v>
      </c>
      <c r="AU78" s="1">
        <f t="shared" si="162"/>
        <v>0</v>
      </c>
      <c r="AV78" s="1">
        <f t="shared" si="162"/>
        <v>0</v>
      </c>
      <c r="AW78" s="1">
        <f t="shared" si="162"/>
        <v>0</v>
      </c>
      <c r="AX78" s="17">
        <f t="shared" ca="1" si="162"/>
        <v>0</v>
      </c>
      <c r="BD78" s="1" t="str">
        <f t="shared" ref="BD78:BH78" si="163">BD38</f>
        <v>-2 to -2.2</v>
      </c>
      <c r="BE78" s="1">
        <f t="shared" si="163"/>
        <v>0</v>
      </c>
      <c r="BF78" s="1">
        <f t="shared" si="163"/>
        <v>0</v>
      </c>
      <c r="BG78" s="1">
        <f t="shared" si="163"/>
        <v>0</v>
      </c>
      <c r="BH78" s="17">
        <f t="shared" ca="1" si="163"/>
        <v>0</v>
      </c>
      <c r="BN78" s="1" t="str">
        <f t="shared" ref="BN78:BR78" si="164">BN38</f>
        <v>-2 to -2.2</v>
      </c>
      <c r="BO78" s="1">
        <f t="shared" si="164"/>
        <v>0</v>
      </c>
      <c r="BP78" s="1">
        <f t="shared" si="164"/>
        <v>0</v>
      </c>
      <c r="BQ78" s="1">
        <f t="shared" si="164"/>
        <v>0</v>
      </c>
      <c r="BR78" s="17">
        <f t="shared" ca="1" si="164"/>
        <v>0</v>
      </c>
      <c r="BX78" s="1" t="str">
        <f t="shared" ref="BX78:CB78" si="165">BX38</f>
        <v>-2 to -2.2</v>
      </c>
      <c r="BY78" s="1">
        <f t="shared" si="165"/>
        <v>0</v>
      </c>
      <c r="BZ78" s="1">
        <f t="shared" si="165"/>
        <v>0</v>
      </c>
      <c r="CA78" s="1">
        <f t="shared" si="165"/>
        <v>0</v>
      </c>
      <c r="CB78" s="17">
        <f t="shared" ca="1" si="165"/>
        <v>0</v>
      </c>
      <c r="CH78" s="1" t="str">
        <f t="shared" ref="CH78:CL78" si="166">CH38</f>
        <v>-2 to -2.2</v>
      </c>
      <c r="CI78" s="1">
        <f t="shared" si="166"/>
        <v>0</v>
      </c>
      <c r="CJ78" s="1">
        <f t="shared" si="166"/>
        <v>0</v>
      </c>
      <c r="CK78" s="1">
        <f t="shared" si="166"/>
        <v>0</v>
      </c>
      <c r="CL78" s="17">
        <f t="shared" ca="1" si="166"/>
        <v>0</v>
      </c>
      <c r="CR78" s="1" t="str">
        <f t="shared" ref="CR78:CV78" si="167">CR38</f>
        <v>-2 to -2.2</v>
      </c>
      <c r="CS78" s="1">
        <f t="shared" si="167"/>
        <v>0</v>
      </c>
      <c r="CT78" s="1">
        <f t="shared" si="167"/>
        <v>0</v>
      </c>
      <c r="CU78" s="1">
        <f t="shared" si="167"/>
        <v>0</v>
      </c>
      <c r="CV78" s="17">
        <f t="shared" ca="1" si="167"/>
        <v>0</v>
      </c>
      <c r="DB78" s="1" t="str">
        <f t="shared" ref="DB78:DF78" si="168">DB38</f>
        <v>-2 to -2.2</v>
      </c>
      <c r="DC78" s="1">
        <f t="shared" si="168"/>
        <v>0</v>
      </c>
      <c r="DD78" s="1">
        <f t="shared" si="168"/>
        <v>0</v>
      </c>
      <c r="DE78" s="1">
        <f t="shared" si="168"/>
        <v>0</v>
      </c>
      <c r="DF78" s="17">
        <f t="shared" ca="1" si="168"/>
        <v>0</v>
      </c>
    </row>
    <row r="79" spans="1:112" x14ac:dyDescent="0.25">
      <c r="A79" s="1">
        <v>78</v>
      </c>
      <c r="B79" s="4">
        <v>7400</v>
      </c>
      <c r="C79" s="4">
        <v>13.6</v>
      </c>
      <c r="D79" s="4">
        <v>13.7</v>
      </c>
      <c r="E79" s="4">
        <f t="shared" si="104"/>
        <v>9.9999999999999645E-2</v>
      </c>
      <c r="F79" s="4">
        <v>2</v>
      </c>
      <c r="G79" s="4">
        <v>0.93</v>
      </c>
      <c r="H79" s="4">
        <v>79</v>
      </c>
      <c r="I79" s="4"/>
      <c r="J79" s="4">
        <v>49</v>
      </c>
      <c r="K79"/>
      <c r="L79"/>
      <c r="M79" s="4">
        <f t="shared" si="105"/>
        <v>13.7</v>
      </c>
      <c r="N79" s="4"/>
      <c r="O79" s="1">
        <f t="shared" si="106"/>
        <v>13.6</v>
      </c>
      <c r="P79" s="1">
        <f t="shared" si="107"/>
        <v>10.559999999999961</v>
      </c>
      <c r="Q79" s="1" t="str">
        <f t="shared" si="95"/>
        <v/>
      </c>
      <c r="R79" s="1" t="str">
        <f t="shared" si="108"/>
        <v/>
      </c>
      <c r="S79" s="1">
        <f t="shared" si="109"/>
        <v>312.78240000000005</v>
      </c>
      <c r="T79" s="1">
        <f t="shared" si="110"/>
        <v>0.93</v>
      </c>
      <c r="U79" s="1">
        <f t="shared" si="111"/>
        <v>527.99999999999818</v>
      </c>
      <c r="V79" s="1">
        <f t="shared" si="112"/>
        <v>491.03999999999832</v>
      </c>
      <c r="AJ79" s="1" t="str">
        <f t="shared" ref="AJ79:AN79" si="169">AJ39</f>
        <v>-1.8 to -2</v>
      </c>
      <c r="AK79" s="1">
        <f t="shared" si="169"/>
        <v>0</v>
      </c>
      <c r="AL79" s="1">
        <f t="shared" si="169"/>
        <v>0</v>
      </c>
      <c r="AM79" s="1">
        <f t="shared" si="169"/>
        <v>0</v>
      </c>
      <c r="AN79" s="17">
        <f t="shared" ca="1" si="169"/>
        <v>0</v>
      </c>
      <c r="AT79" s="1" t="str">
        <f t="shared" ref="AT79:AX79" si="170">AT39</f>
        <v>-1.8 to -2</v>
      </c>
      <c r="AU79" s="1">
        <f t="shared" si="170"/>
        <v>0</v>
      </c>
      <c r="AV79" s="1">
        <f t="shared" si="170"/>
        <v>0</v>
      </c>
      <c r="AW79" s="1">
        <f t="shared" si="170"/>
        <v>0</v>
      </c>
      <c r="AX79" s="17">
        <f t="shared" ca="1" si="170"/>
        <v>0</v>
      </c>
      <c r="BD79" s="1" t="str">
        <f t="shared" ref="BD79:BH79" si="171">BD39</f>
        <v>-1.8 to -2</v>
      </c>
      <c r="BE79" s="1">
        <f t="shared" si="171"/>
        <v>0</v>
      </c>
      <c r="BF79" s="1">
        <f t="shared" si="171"/>
        <v>0</v>
      </c>
      <c r="BG79" s="1">
        <f t="shared" si="171"/>
        <v>0</v>
      </c>
      <c r="BH79" s="17">
        <f t="shared" ca="1" si="171"/>
        <v>0</v>
      </c>
      <c r="BN79" s="1" t="str">
        <f t="shared" ref="BN79:BR79" si="172">BN39</f>
        <v>-1.8 to -2</v>
      </c>
      <c r="BO79" s="1">
        <f t="shared" si="172"/>
        <v>0</v>
      </c>
      <c r="BP79" s="1">
        <f t="shared" si="172"/>
        <v>0</v>
      </c>
      <c r="BQ79" s="1">
        <f t="shared" si="172"/>
        <v>0</v>
      </c>
      <c r="BR79" s="17">
        <f t="shared" ca="1" si="172"/>
        <v>0</v>
      </c>
      <c r="BX79" s="1" t="str">
        <f t="shared" ref="BX79:CB79" si="173">BX39</f>
        <v>-1.8 to -2</v>
      </c>
      <c r="BY79" s="1">
        <f t="shared" si="173"/>
        <v>0</v>
      </c>
      <c r="BZ79" s="1">
        <f t="shared" si="173"/>
        <v>0</v>
      </c>
      <c r="CA79" s="1">
        <f t="shared" si="173"/>
        <v>0</v>
      </c>
      <c r="CB79" s="17">
        <f t="shared" ca="1" si="173"/>
        <v>0</v>
      </c>
      <c r="CH79" s="1" t="str">
        <f t="shared" ref="CH79:CL79" si="174">CH39</f>
        <v>-1.8 to -2</v>
      </c>
      <c r="CI79" s="1">
        <f t="shared" si="174"/>
        <v>0</v>
      </c>
      <c r="CJ79" s="1">
        <f t="shared" si="174"/>
        <v>0</v>
      </c>
      <c r="CK79" s="1">
        <f t="shared" si="174"/>
        <v>0</v>
      </c>
      <c r="CL79" s="17">
        <f t="shared" ca="1" si="174"/>
        <v>0</v>
      </c>
      <c r="CR79" s="1" t="str">
        <f t="shared" ref="CR79:CV79" si="175">CR39</f>
        <v>-1.8 to -2</v>
      </c>
      <c r="CS79" s="1">
        <f t="shared" si="175"/>
        <v>0</v>
      </c>
      <c r="CT79" s="1">
        <f t="shared" si="175"/>
        <v>0</v>
      </c>
      <c r="CU79" s="1">
        <f t="shared" si="175"/>
        <v>0</v>
      </c>
      <c r="CV79" s="17">
        <f t="shared" ca="1" si="175"/>
        <v>0</v>
      </c>
      <c r="DB79" s="1" t="str">
        <f t="shared" ref="DB79:DF79" si="176">DB39</f>
        <v>-1.8 to -2</v>
      </c>
      <c r="DC79" s="1">
        <f t="shared" si="176"/>
        <v>0</v>
      </c>
      <c r="DD79" s="1">
        <f t="shared" si="176"/>
        <v>0</v>
      </c>
      <c r="DE79" s="1">
        <f t="shared" si="176"/>
        <v>0</v>
      </c>
      <c r="DF79" s="17">
        <f t="shared" ca="1" si="176"/>
        <v>0</v>
      </c>
    </row>
    <row r="80" spans="1:112" x14ac:dyDescent="0.25">
      <c r="A80" s="1">
        <v>79</v>
      </c>
      <c r="B80" s="4">
        <v>7400</v>
      </c>
      <c r="C80" s="4">
        <v>13.7</v>
      </c>
      <c r="D80" s="4">
        <v>13.799999999999999</v>
      </c>
      <c r="E80" s="4">
        <f t="shared" si="104"/>
        <v>9.9999999999999645E-2</v>
      </c>
      <c r="F80" s="4">
        <v>0</v>
      </c>
      <c r="G80" s="4">
        <v>0.93</v>
      </c>
      <c r="H80" s="4">
        <v>79</v>
      </c>
      <c r="I80" s="4"/>
      <c r="J80" s="4">
        <v>49</v>
      </c>
      <c r="K80"/>
      <c r="L80"/>
      <c r="M80" s="4">
        <f t="shared" si="105"/>
        <v>13.799999999999999</v>
      </c>
      <c r="N80" s="4"/>
      <c r="O80" s="1">
        <f t="shared" si="106"/>
        <v>13.7</v>
      </c>
      <c r="P80" s="1">
        <f t="shared" si="107"/>
        <v>0</v>
      </c>
      <c r="Q80" s="1" t="str">
        <f t="shared" si="95"/>
        <v/>
      </c>
      <c r="R80" s="1" t="str">
        <f t="shared" si="108"/>
        <v/>
      </c>
      <c r="S80" s="1">
        <f t="shared" si="109"/>
        <v>317.69280000000003</v>
      </c>
      <c r="T80" s="1">
        <f t="shared" si="110"/>
        <v>0.93</v>
      </c>
      <c r="U80" s="1">
        <f t="shared" si="111"/>
        <v>527.99999999999818</v>
      </c>
      <c r="V80" s="1">
        <f t="shared" si="112"/>
        <v>491.03999999999832</v>
      </c>
      <c r="AJ80" s="1" t="str">
        <f t="shared" ref="AJ80:AN80" si="177">AJ40</f>
        <v>-1.6 to -1.8</v>
      </c>
      <c r="AK80" s="1">
        <f t="shared" si="177"/>
        <v>0</v>
      </c>
      <c r="AL80" s="1">
        <f t="shared" si="177"/>
        <v>0</v>
      </c>
      <c r="AM80" s="1">
        <f t="shared" si="177"/>
        <v>0</v>
      </c>
      <c r="AN80" s="17">
        <f t="shared" ca="1" si="177"/>
        <v>0</v>
      </c>
      <c r="AP80" s="1" t="s">
        <v>45</v>
      </c>
      <c r="AT80" s="1" t="str">
        <f t="shared" ref="AT80:AX80" si="178">AT40</f>
        <v>-1.6 to -1.8</v>
      </c>
      <c r="AU80" s="1">
        <f t="shared" si="178"/>
        <v>0</v>
      </c>
      <c r="AV80" s="1">
        <f t="shared" si="178"/>
        <v>0</v>
      </c>
      <c r="AW80" s="1">
        <f t="shared" si="178"/>
        <v>0</v>
      </c>
      <c r="AX80" s="17">
        <f t="shared" ca="1" si="178"/>
        <v>0</v>
      </c>
      <c r="AZ80" s="1" t="s">
        <v>45</v>
      </c>
      <c r="BD80" s="1" t="str">
        <f t="shared" ref="BD80:BH80" si="179">BD40</f>
        <v>-1.6 to -1.8</v>
      </c>
      <c r="BE80" s="1">
        <f t="shared" si="179"/>
        <v>0</v>
      </c>
      <c r="BF80" s="1">
        <f t="shared" si="179"/>
        <v>0</v>
      </c>
      <c r="BG80" s="1">
        <f t="shared" si="179"/>
        <v>0</v>
      </c>
      <c r="BH80" s="17">
        <f t="shared" ca="1" si="179"/>
        <v>0</v>
      </c>
      <c r="BJ80" s="1" t="s">
        <v>45</v>
      </c>
      <c r="BN80" s="1" t="str">
        <f t="shared" ref="BN80:BR80" si="180">BN40</f>
        <v>-1.6 to -1.8</v>
      </c>
      <c r="BO80" s="1">
        <f t="shared" si="180"/>
        <v>0</v>
      </c>
      <c r="BP80" s="1">
        <f t="shared" si="180"/>
        <v>0</v>
      </c>
      <c r="BQ80" s="1">
        <f t="shared" si="180"/>
        <v>0</v>
      </c>
      <c r="BR80" s="17">
        <f t="shared" ca="1" si="180"/>
        <v>0</v>
      </c>
      <c r="BT80" s="1" t="s">
        <v>45</v>
      </c>
      <c r="BX80" s="1" t="str">
        <f t="shared" ref="BX80:CB80" si="181">BX40</f>
        <v>-1.6 to -1.8</v>
      </c>
      <c r="BY80" s="1">
        <f t="shared" si="181"/>
        <v>0</v>
      </c>
      <c r="BZ80" s="1">
        <f t="shared" si="181"/>
        <v>0</v>
      </c>
      <c r="CA80" s="1">
        <f t="shared" si="181"/>
        <v>0</v>
      </c>
      <c r="CB80" s="17">
        <f t="shared" ca="1" si="181"/>
        <v>0</v>
      </c>
      <c r="CD80" s="1" t="s">
        <v>45</v>
      </c>
      <c r="CH80" s="1" t="str">
        <f t="shared" ref="CH80:CL80" si="182">CH40</f>
        <v>-1.6 to -1.8</v>
      </c>
      <c r="CI80" s="1">
        <f t="shared" si="182"/>
        <v>0</v>
      </c>
      <c r="CJ80" s="1">
        <f t="shared" si="182"/>
        <v>0</v>
      </c>
      <c r="CK80" s="1">
        <f t="shared" si="182"/>
        <v>0</v>
      </c>
      <c r="CL80" s="17">
        <f t="shared" ca="1" si="182"/>
        <v>0</v>
      </c>
      <c r="CN80" s="1" t="s">
        <v>45</v>
      </c>
      <c r="CR80" s="1" t="str">
        <f t="shared" ref="CR80:CV80" si="183">CR40</f>
        <v>-1.6 to -1.8</v>
      </c>
      <c r="CS80" s="1">
        <f t="shared" si="183"/>
        <v>0</v>
      </c>
      <c r="CT80" s="1">
        <f t="shared" si="183"/>
        <v>0</v>
      </c>
      <c r="CU80" s="1">
        <f t="shared" si="183"/>
        <v>0</v>
      </c>
      <c r="CV80" s="17">
        <f t="shared" ca="1" si="183"/>
        <v>0</v>
      </c>
      <c r="CX80" s="1" t="s">
        <v>45</v>
      </c>
      <c r="DB80" s="1" t="str">
        <f t="shared" ref="DB80:DF80" si="184">DB40</f>
        <v>-1.6 to -1.8</v>
      </c>
      <c r="DC80" s="1">
        <f t="shared" si="184"/>
        <v>0</v>
      </c>
      <c r="DD80" s="1">
        <f t="shared" si="184"/>
        <v>0</v>
      </c>
      <c r="DE80" s="1">
        <f t="shared" si="184"/>
        <v>0</v>
      </c>
      <c r="DF80" s="17">
        <f t="shared" ca="1" si="184"/>
        <v>0</v>
      </c>
      <c r="DH80" s="1" t="s">
        <v>45</v>
      </c>
    </row>
    <row r="81" spans="1:114" x14ac:dyDescent="0.25">
      <c r="A81" s="1">
        <v>80</v>
      </c>
      <c r="B81" s="4">
        <v>7400</v>
      </c>
      <c r="C81" s="4">
        <v>13.799999999999999</v>
      </c>
      <c r="D81" s="4">
        <v>14</v>
      </c>
      <c r="E81" s="4">
        <f t="shared" si="104"/>
        <v>0.20000000000000107</v>
      </c>
      <c r="F81" s="4">
        <v>0</v>
      </c>
      <c r="G81" s="4">
        <v>0.8</v>
      </c>
      <c r="H81" s="4">
        <v>79</v>
      </c>
      <c r="I81" s="4"/>
      <c r="J81" s="4">
        <v>49</v>
      </c>
      <c r="K81"/>
      <c r="L81"/>
      <c r="M81" s="4">
        <f t="shared" si="105"/>
        <v>14</v>
      </c>
      <c r="N81" s="4"/>
      <c r="O81" s="1">
        <f t="shared" si="106"/>
        <v>13.799999999999999</v>
      </c>
      <c r="P81" s="1">
        <f t="shared" si="107"/>
        <v>0</v>
      </c>
      <c r="Q81" s="1" t="str">
        <f t="shared" si="95"/>
        <v/>
      </c>
      <c r="R81" s="1" t="str">
        <f t="shared" si="108"/>
        <v/>
      </c>
      <c r="S81" s="1">
        <f t="shared" si="109"/>
        <v>322.60320000000002</v>
      </c>
      <c r="T81" s="1">
        <f t="shared" si="110"/>
        <v>0.8</v>
      </c>
      <c r="U81" s="1">
        <f t="shared" si="111"/>
        <v>1056.0000000000057</v>
      </c>
      <c r="V81" s="1">
        <f t="shared" si="112"/>
        <v>844.80000000000462</v>
      </c>
      <c r="AJ81" s="1" t="str">
        <f t="shared" ref="AJ81:AN81" si="185">AJ41</f>
        <v>-1.4 to -1.6</v>
      </c>
      <c r="AK81" s="1">
        <f t="shared" si="185"/>
        <v>0</v>
      </c>
      <c r="AL81" s="1">
        <f t="shared" si="185"/>
        <v>0</v>
      </c>
      <c r="AM81" s="1">
        <f t="shared" si="185"/>
        <v>0</v>
      </c>
      <c r="AN81" s="17">
        <f t="shared" ca="1" si="185"/>
        <v>0</v>
      </c>
      <c r="AO81" s="5" t="s">
        <v>21</v>
      </c>
      <c r="AP81" s="5" t="s">
        <v>22</v>
      </c>
      <c r="AQ81" s="5" t="s">
        <v>23</v>
      </c>
      <c r="AR81" s="5" t="s">
        <v>31</v>
      </c>
      <c r="AT81" s="1" t="str">
        <f t="shared" ref="AT81:AX81" si="186">AT41</f>
        <v>-1.4 to -1.6</v>
      </c>
      <c r="AU81" s="1">
        <f t="shared" si="186"/>
        <v>0</v>
      </c>
      <c r="AV81" s="1">
        <f t="shared" si="186"/>
        <v>0</v>
      </c>
      <c r="AW81" s="1">
        <f t="shared" si="186"/>
        <v>0</v>
      </c>
      <c r="AX81" s="17">
        <f t="shared" ca="1" si="186"/>
        <v>0</v>
      </c>
      <c r="AY81" s="5" t="s">
        <v>21</v>
      </c>
      <c r="AZ81" s="5" t="s">
        <v>22</v>
      </c>
      <c r="BA81" s="5" t="s">
        <v>23</v>
      </c>
      <c r="BB81" s="5" t="s">
        <v>31</v>
      </c>
      <c r="BD81" s="1" t="str">
        <f t="shared" ref="BD81:BH81" si="187">BD41</f>
        <v>-1.4 to -1.6</v>
      </c>
      <c r="BE81" s="1">
        <f t="shared" si="187"/>
        <v>0</v>
      </c>
      <c r="BF81" s="1">
        <f t="shared" si="187"/>
        <v>0</v>
      </c>
      <c r="BG81" s="1">
        <f t="shared" si="187"/>
        <v>0</v>
      </c>
      <c r="BH81" s="17">
        <f t="shared" ca="1" si="187"/>
        <v>0</v>
      </c>
      <c r="BI81" s="5" t="s">
        <v>21</v>
      </c>
      <c r="BJ81" s="5" t="s">
        <v>22</v>
      </c>
      <c r="BK81" s="5" t="s">
        <v>23</v>
      </c>
      <c r="BL81" s="5" t="s">
        <v>31</v>
      </c>
      <c r="BN81" s="1" t="str">
        <f t="shared" ref="BN81:BR81" si="188">BN41</f>
        <v>-1.4 to -1.6</v>
      </c>
      <c r="BO81" s="1">
        <f t="shared" si="188"/>
        <v>0</v>
      </c>
      <c r="BP81" s="1">
        <f t="shared" si="188"/>
        <v>0</v>
      </c>
      <c r="BQ81" s="1">
        <f t="shared" si="188"/>
        <v>0</v>
      </c>
      <c r="BR81" s="17">
        <f t="shared" ca="1" si="188"/>
        <v>0</v>
      </c>
      <c r="BS81" s="5" t="s">
        <v>21</v>
      </c>
      <c r="BT81" s="5" t="s">
        <v>22</v>
      </c>
      <c r="BU81" s="5" t="s">
        <v>23</v>
      </c>
      <c r="BV81" s="5" t="s">
        <v>31</v>
      </c>
      <c r="BX81" s="1" t="str">
        <f t="shared" ref="BX81:CB81" si="189">BX41</f>
        <v>-1.4 to -1.6</v>
      </c>
      <c r="BY81" s="1">
        <f t="shared" si="189"/>
        <v>0</v>
      </c>
      <c r="BZ81" s="1">
        <f t="shared" si="189"/>
        <v>0</v>
      </c>
      <c r="CA81" s="1">
        <f t="shared" si="189"/>
        <v>0</v>
      </c>
      <c r="CB81" s="17">
        <f t="shared" ca="1" si="189"/>
        <v>0</v>
      </c>
      <c r="CC81" s="5" t="s">
        <v>21</v>
      </c>
      <c r="CD81" s="5" t="s">
        <v>22</v>
      </c>
      <c r="CE81" s="5" t="s">
        <v>23</v>
      </c>
      <c r="CF81" s="5" t="s">
        <v>31</v>
      </c>
      <c r="CH81" s="1" t="str">
        <f t="shared" ref="CH81:CL81" si="190">CH41</f>
        <v>-1.4 to -1.6</v>
      </c>
      <c r="CI81" s="1">
        <f t="shared" si="190"/>
        <v>0</v>
      </c>
      <c r="CJ81" s="1">
        <f t="shared" si="190"/>
        <v>0</v>
      </c>
      <c r="CK81" s="1">
        <f t="shared" si="190"/>
        <v>0</v>
      </c>
      <c r="CL81" s="17">
        <f t="shared" ca="1" si="190"/>
        <v>0</v>
      </c>
      <c r="CM81" s="5" t="s">
        <v>21</v>
      </c>
      <c r="CN81" s="5" t="s">
        <v>22</v>
      </c>
      <c r="CO81" s="5" t="s">
        <v>23</v>
      </c>
      <c r="CP81" s="5" t="s">
        <v>31</v>
      </c>
      <c r="CR81" s="1" t="str">
        <f t="shared" ref="CR81:CV81" si="191">CR41</f>
        <v>-1.4 to -1.6</v>
      </c>
      <c r="CS81" s="1">
        <f t="shared" si="191"/>
        <v>0</v>
      </c>
      <c r="CT81" s="1">
        <f t="shared" si="191"/>
        <v>0</v>
      </c>
      <c r="CU81" s="1">
        <f t="shared" si="191"/>
        <v>0</v>
      </c>
      <c r="CV81" s="17">
        <f t="shared" ca="1" si="191"/>
        <v>0</v>
      </c>
      <c r="CW81" s="5" t="s">
        <v>21</v>
      </c>
      <c r="CX81" s="5" t="s">
        <v>22</v>
      </c>
      <c r="CY81" s="5" t="s">
        <v>23</v>
      </c>
      <c r="CZ81" s="5" t="s">
        <v>31</v>
      </c>
      <c r="DB81" s="1" t="str">
        <f t="shared" ref="DB81:DF81" si="192">DB41</f>
        <v>-1.4 to -1.6</v>
      </c>
      <c r="DC81" s="1">
        <f t="shared" si="192"/>
        <v>0</v>
      </c>
      <c r="DD81" s="1">
        <f t="shared" si="192"/>
        <v>0</v>
      </c>
      <c r="DE81" s="1">
        <f t="shared" si="192"/>
        <v>0</v>
      </c>
      <c r="DF81" s="17">
        <f t="shared" ca="1" si="192"/>
        <v>0</v>
      </c>
      <c r="DG81" s="5" t="s">
        <v>21</v>
      </c>
      <c r="DH81" s="5" t="s">
        <v>22</v>
      </c>
      <c r="DI81" s="5" t="s">
        <v>23</v>
      </c>
      <c r="DJ81" s="5" t="s">
        <v>31</v>
      </c>
    </row>
    <row r="82" spans="1:114" x14ac:dyDescent="0.25">
      <c r="A82" s="1">
        <v>81</v>
      </c>
      <c r="B82" s="4">
        <v>7400</v>
      </c>
      <c r="C82" s="4">
        <v>14</v>
      </c>
      <c r="D82" s="4">
        <v>14.1</v>
      </c>
      <c r="E82" s="4">
        <f t="shared" si="104"/>
        <v>9.9999999999999645E-2</v>
      </c>
      <c r="F82" s="4">
        <v>2</v>
      </c>
      <c r="G82" s="4">
        <v>0.64</v>
      </c>
      <c r="H82" s="4">
        <v>79</v>
      </c>
      <c r="I82" s="4"/>
      <c r="J82" s="4">
        <v>49</v>
      </c>
      <c r="K82"/>
      <c r="L82"/>
      <c r="M82" s="4">
        <f t="shared" si="105"/>
        <v>14.1</v>
      </c>
      <c r="N82" s="4"/>
      <c r="O82" s="1">
        <f t="shared" si="106"/>
        <v>14</v>
      </c>
      <c r="P82" s="1">
        <f t="shared" si="107"/>
        <v>10.559999999999961</v>
      </c>
      <c r="Q82" s="1" t="str">
        <f t="shared" si="95"/>
        <v/>
      </c>
      <c r="R82" s="1" t="str">
        <f t="shared" si="108"/>
        <v/>
      </c>
      <c r="S82" s="1">
        <f t="shared" si="109"/>
        <v>331.05120000000005</v>
      </c>
      <c r="T82" s="1">
        <f t="shared" si="110"/>
        <v>0.64</v>
      </c>
      <c r="U82" s="1">
        <f t="shared" si="111"/>
        <v>527.99999999999818</v>
      </c>
      <c r="V82" s="1">
        <f t="shared" si="112"/>
        <v>337.91999999999882</v>
      </c>
      <c r="AJ82" s="1" t="str">
        <f t="shared" ref="AJ82:AN82" si="193">AJ42</f>
        <v>-1.2 to -1.4</v>
      </c>
      <c r="AK82" s="1">
        <f t="shared" si="193"/>
        <v>0</v>
      </c>
      <c r="AL82" s="1">
        <f t="shared" si="193"/>
        <v>0</v>
      </c>
      <c r="AM82" s="1">
        <f t="shared" si="193"/>
        <v>0</v>
      </c>
      <c r="AN82" s="17">
        <f t="shared" ca="1" si="193"/>
        <v>0</v>
      </c>
      <c r="AO82" s="1">
        <f>IF(SUM(AM30:AM42)=0,0,SUMPRODUCT(AK30:AK42,AM30:AM42)/SUM(AM30:AM42))</f>
        <v>0</v>
      </c>
      <c r="AP82" s="40">
        <f>IF(SUM(AM30:AM42)=0,0,SUMPRODUCT(AK30:AK42,AM30:AM42,AL30:AL42)/SUMPRODUCT(AK30:AK42,AM30:AM42))</f>
        <v>0</v>
      </c>
      <c r="AQ82" s="1">
        <f>SUM(AM30:AM42)</f>
        <v>0</v>
      </c>
      <c r="AR82" s="13">
        <f ca="1">SUM(AN30:AN42)</f>
        <v>0</v>
      </c>
      <c r="AT82" s="1" t="str">
        <f t="shared" ref="AT82:AX82" si="194">AT42</f>
        <v>-1.2 to -1.4</v>
      </c>
      <c r="AU82" s="1">
        <f t="shared" si="194"/>
        <v>1056.0000000000009</v>
      </c>
      <c r="AV82" s="1">
        <f t="shared" si="194"/>
        <v>-1.3149999999999995</v>
      </c>
      <c r="AW82" s="1">
        <f t="shared" si="194"/>
        <v>2</v>
      </c>
      <c r="AX82" s="17">
        <f t="shared" ca="1" si="194"/>
        <v>9.900990099009908E-3</v>
      </c>
      <c r="AY82" s="1">
        <f>IF(SUM(AW30:AW42)=0,0,SUMPRODUCT(AU30:AU42,AW30:AW42)/SUM(AW30:AW42))</f>
        <v>1056.0000000000009</v>
      </c>
      <c r="AZ82" s="40">
        <f>IF(SUM(AW30:AW42)=0,0,SUMPRODUCT(AU30:AU42,AW30:AW42,AV30:AV42)/SUMPRODUCT(AU30:AU42,AW30:AW42))</f>
        <v>-1.3149999999999995</v>
      </c>
      <c r="BA82" s="1">
        <f>SUM(AW30:AW42)</f>
        <v>2</v>
      </c>
      <c r="BB82" s="13">
        <f ca="1">SUM(AX30:AX42)</f>
        <v>9.900990099009908E-3</v>
      </c>
      <c r="BD82" s="1" t="str">
        <f t="shared" ref="BD82:BH82" si="195">BD42</f>
        <v>-1.2 to -1.4</v>
      </c>
      <c r="BE82" s="1">
        <f t="shared" si="195"/>
        <v>0</v>
      </c>
      <c r="BF82" s="1">
        <f t="shared" si="195"/>
        <v>0</v>
      </c>
      <c r="BG82" s="1">
        <f t="shared" si="195"/>
        <v>0</v>
      </c>
      <c r="BH82" s="17">
        <f t="shared" ca="1" si="195"/>
        <v>0</v>
      </c>
      <c r="BI82" s="1">
        <f>IF(SUM(BG30:BG42)=0,0,SUMPRODUCT(BE30:BE42,BG30:BG42)/SUM(BG30:BG42))</f>
        <v>0</v>
      </c>
      <c r="BJ82" s="40">
        <f>IF(SUM(BG30:BG42)=0,0,SUMPRODUCT(BE30:BE42,BG30:BG42,BF30:BF42)/SUMPRODUCT(BE30:BE42,BG30:BG42))</f>
        <v>0</v>
      </c>
      <c r="BK82" s="1">
        <f>SUM(BG30:BG42)</f>
        <v>0</v>
      </c>
      <c r="BL82" s="13">
        <f ca="1">SUM(BH30:BH42)</f>
        <v>0</v>
      </c>
      <c r="BN82" s="1" t="str">
        <f t="shared" ref="BN82:BR82" si="196">BN42</f>
        <v>-1.2 to -1.4</v>
      </c>
      <c r="BO82" s="1">
        <f t="shared" si="196"/>
        <v>0</v>
      </c>
      <c r="BP82" s="1">
        <f t="shared" si="196"/>
        <v>0</v>
      </c>
      <c r="BQ82" s="1">
        <f t="shared" si="196"/>
        <v>0</v>
      </c>
      <c r="BR82" s="17">
        <f t="shared" ca="1" si="196"/>
        <v>0</v>
      </c>
      <c r="BS82" s="1">
        <f>IF(SUM(BQ30:BQ42)=0,0,SUMPRODUCT(BO30:BO42,BQ30:BQ42)/SUM(BQ30:BQ42))</f>
        <v>0</v>
      </c>
      <c r="BT82" s="40">
        <f>IF(SUM(BQ30:BQ42)=0,0,SUMPRODUCT(BO30:BO42,BQ30:BQ42,BP30:BP42)/SUMPRODUCT(BO30:BO42,BQ30:BQ42))</f>
        <v>0</v>
      </c>
      <c r="BU82" s="1">
        <f>SUM(BQ30:BQ42)</f>
        <v>0</v>
      </c>
      <c r="BV82" s="13">
        <f ca="1">SUM(BR30:BR42)</f>
        <v>0</v>
      </c>
      <c r="BX82" s="1" t="str">
        <f t="shared" ref="BX82:CB82" si="197">BX42</f>
        <v>-1.2 to -1.4</v>
      </c>
      <c r="BY82" s="1">
        <f t="shared" si="197"/>
        <v>0</v>
      </c>
      <c r="BZ82" s="1">
        <f t="shared" si="197"/>
        <v>0</v>
      </c>
      <c r="CA82" s="1">
        <f t="shared" si="197"/>
        <v>0</v>
      </c>
      <c r="CB82" s="17">
        <f t="shared" ca="1" si="197"/>
        <v>0</v>
      </c>
      <c r="CC82" s="1">
        <f>IF(SUM(CA30:CA42)=0,0,SUMPRODUCT(BY30:BY42,CA30:CA42)/SUM(CA30:CA42))</f>
        <v>0</v>
      </c>
      <c r="CD82" s="40">
        <f>IF(SUM(CA30:CA42)=0,0,SUMPRODUCT(BY30:BY42,CA30:CA42,BZ30:BZ42)/SUMPRODUCT(BY30:BY42,CA30:CA42))</f>
        <v>0</v>
      </c>
      <c r="CE82" s="1">
        <f>SUM(CA30:CA42)</f>
        <v>0</v>
      </c>
      <c r="CF82" s="13">
        <f ca="1">SUM(CB30:CB42)</f>
        <v>0</v>
      </c>
      <c r="CH82" s="1" t="str">
        <f t="shared" ref="CH82:CL82" si="198">CH42</f>
        <v>-1.2 to -1.4</v>
      </c>
      <c r="CI82" s="1">
        <f t="shared" si="198"/>
        <v>0</v>
      </c>
      <c r="CJ82" s="1">
        <f t="shared" si="198"/>
        <v>0</v>
      </c>
      <c r="CK82" s="1">
        <f t="shared" si="198"/>
        <v>0</v>
      </c>
      <c r="CL82" s="17">
        <f t="shared" ca="1" si="198"/>
        <v>0</v>
      </c>
      <c r="CM82" s="1">
        <f>IF(SUM(CK30:CK42)=0,0,SUMPRODUCT(CI30:CI42,CK30:CK42)/SUM(CK30:CK42))</f>
        <v>0</v>
      </c>
      <c r="CN82" s="40">
        <f>IF(SUM(CK30:CK42)=0,0,SUMPRODUCT(CI30:CI42,CK30:CK42,CJ30:CJ42)/SUMPRODUCT(CI30:CI42,CK30:CK42))</f>
        <v>0</v>
      </c>
      <c r="CO82" s="1">
        <f>SUM(CK30:CK42)</f>
        <v>0</v>
      </c>
      <c r="CP82" s="13">
        <f ca="1">SUM(CL30:CL42)</f>
        <v>0</v>
      </c>
      <c r="CR82" s="1" t="str">
        <f t="shared" ref="CR82:CV82" si="199">CR42</f>
        <v>-1.2 to -1.4</v>
      </c>
      <c r="CS82" s="1">
        <f t="shared" si="199"/>
        <v>0</v>
      </c>
      <c r="CT82" s="1">
        <f t="shared" si="199"/>
        <v>0</v>
      </c>
      <c r="CU82" s="1">
        <f t="shared" si="199"/>
        <v>0</v>
      </c>
      <c r="CV82" s="17">
        <f t="shared" ca="1" si="199"/>
        <v>0</v>
      </c>
      <c r="CW82" s="1">
        <f>IF(SUM(CU30:CU42)=0,0,SUMPRODUCT(CS30:CS42,CU30:CU42)/SUM(CU30:CU42))</f>
        <v>0</v>
      </c>
      <c r="CX82" s="40">
        <f>IF(SUM(CU30:CU42)=0,0,SUMPRODUCT(CS30:CS42,CU30:CU42,CT30:CT42)/SUMPRODUCT(CS30:CS42,CU30:CU42))</f>
        <v>0</v>
      </c>
      <c r="CY82" s="1">
        <f>SUM(CU30:CU42)</f>
        <v>0</v>
      </c>
      <c r="CZ82" s="13">
        <f ca="1">SUM(CV30:CV42)</f>
        <v>0</v>
      </c>
      <c r="DB82" s="1" t="str">
        <f t="shared" ref="DB82:DF82" si="200">DB42</f>
        <v>-1.2 to -1.4</v>
      </c>
      <c r="DC82" s="1">
        <f t="shared" si="200"/>
        <v>0</v>
      </c>
      <c r="DD82" s="1">
        <f t="shared" si="200"/>
        <v>0</v>
      </c>
      <c r="DE82" s="1">
        <f t="shared" si="200"/>
        <v>0</v>
      </c>
      <c r="DF82" s="17">
        <f t="shared" ca="1" si="200"/>
        <v>0</v>
      </c>
      <c r="DG82" s="1">
        <f>IF(SUM(DE30:DE42)=0,0,SUMPRODUCT(DC30:DC42,DE30:DE42)/SUM(DE30:DE42))</f>
        <v>0</v>
      </c>
      <c r="DH82" s="40">
        <f>IF(SUM(DE30:DE42)=0,0,SUMPRODUCT(DC30:DC42,DE30:DE42,DD30:DD42)/SUMPRODUCT(DC30:DC42,DE30:DE42))</f>
        <v>0</v>
      </c>
      <c r="DI82" s="1">
        <f>SUM(DE30:DE42)</f>
        <v>0</v>
      </c>
      <c r="DJ82" s="13">
        <f ca="1">SUM(DF30:DF42)</f>
        <v>0</v>
      </c>
    </row>
    <row r="83" spans="1:114" x14ac:dyDescent="0.25">
      <c r="A83" s="1">
        <v>82</v>
      </c>
      <c r="B83" s="4">
        <v>7400</v>
      </c>
      <c r="C83" s="4">
        <v>14.1</v>
      </c>
      <c r="D83" s="4">
        <v>14.2</v>
      </c>
      <c r="E83" s="4">
        <f t="shared" si="104"/>
        <v>9.9999999999999645E-2</v>
      </c>
      <c r="F83" s="4">
        <v>2</v>
      </c>
      <c r="G83" s="4">
        <v>0.14000000000000001</v>
      </c>
      <c r="H83" s="4">
        <v>79</v>
      </c>
      <c r="I83" s="4"/>
      <c r="J83" s="4">
        <v>49</v>
      </c>
      <c r="K83"/>
      <c r="L83"/>
      <c r="M83" s="4">
        <f t="shared" si="105"/>
        <v>14.2</v>
      </c>
      <c r="N83" s="4"/>
      <c r="O83" s="1">
        <f t="shared" si="106"/>
        <v>14.1</v>
      </c>
      <c r="P83" s="1">
        <f t="shared" si="107"/>
        <v>10.559999999999961</v>
      </c>
      <c r="Q83" s="1" t="str">
        <f t="shared" si="95"/>
        <v/>
      </c>
      <c r="R83" s="1" t="str">
        <f t="shared" si="108"/>
        <v/>
      </c>
      <c r="S83" s="1">
        <f t="shared" si="109"/>
        <v>334.43040000000002</v>
      </c>
      <c r="T83" s="1">
        <f t="shared" si="110"/>
        <v>0.14000000000000001</v>
      </c>
      <c r="U83" s="1">
        <f t="shared" si="111"/>
        <v>527.99999999999818</v>
      </c>
      <c r="V83" s="1">
        <f t="shared" si="112"/>
        <v>73.919999999999746</v>
      </c>
      <c r="AJ83" s="1" t="str">
        <f t="shared" ref="AJ83:AN83" si="201">AJ43</f>
        <v>-1 to -1.2</v>
      </c>
      <c r="AK83" s="1">
        <f t="shared" si="201"/>
        <v>1055.9999999999964</v>
      </c>
      <c r="AL83" s="1">
        <f t="shared" si="201"/>
        <v>-1.19</v>
      </c>
      <c r="AM83" s="1">
        <f t="shared" si="201"/>
        <v>1</v>
      </c>
      <c r="AN83" s="17">
        <f t="shared" ca="1" si="201"/>
        <v>2.9850746268656619E-2</v>
      </c>
      <c r="AT83" s="1" t="str">
        <f t="shared" ref="AT83:AX83" si="202">AT43</f>
        <v>-1 to -1.2</v>
      </c>
      <c r="AU83" s="1">
        <f t="shared" si="202"/>
        <v>739.1999999999955</v>
      </c>
      <c r="AV83" s="1">
        <f t="shared" si="202"/>
        <v>-1.0685714285714287</v>
      </c>
      <c r="AW83" s="1">
        <f t="shared" si="202"/>
        <v>5</v>
      </c>
      <c r="AX83" s="17">
        <f t="shared" ca="1" si="202"/>
        <v>1.7326732673267217E-2</v>
      </c>
      <c r="BD83" s="1" t="str">
        <f t="shared" ref="BD83:BH83" si="203">BD43</f>
        <v>-1 to -1.2</v>
      </c>
      <c r="BE83" s="1">
        <f t="shared" si="203"/>
        <v>792.00000000001125</v>
      </c>
      <c r="BF83" s="1">
        <f t="shared" si="203"/>
        <v>-1.0133333333333334</v>
      </c>
      <c r="BG83" s="1">
        <f t="shared" si="203"/>
        <v>2</v>
      </c>
      <c r="BH83" s="17">
        <f t="shared" ca="1" si="203"/>
        <v>4.0540540540541126E-2</v>
      </c>
      <c r="BN83" s="1" t="str">
        <f t="shared" ref="BN83:BR83" si="204">BN43</f>
        <v>-1 to -1.2</v>
      </c>
      <c r="BO83" s="1">
        <f t="shared" si="204"/>
        <v>791.99999999997374</v>
      </c>
      <c r="BP83" s="1">
        <f t="shared" si="204"/>
        <v>-1.01</v>
      </c>
      <c r="BQ83" s="1">
        <f t="shared" si="204"/>
        <v>2</v>
      </c>
      <c r="BR83" s="17">
        <f t="shared" ca="1" si="204"/>
        <v>6.4516129032255922E-3</v>
      </c>
      <c r="BX83" s="1" t="str">
        <f t="shared" ref="BX83:CB83" si="205">BX43</f>
        <v>-1 to -1.2</v>
      </c>
      <c r="BY83" s="1">
        <f t="shared" si="205"/>
        <v>0</v>
      </c>
      <c r="BZ83" s="1">
        <f t="shared" si="205"/>
        <v>0</v>
      </c>
      <c r="CA83" s="1">
        <f t="shared" si="205"/>
        <v>0</v>
      </c>
      <c r="CB83" s="17">
        <f t="shared" ca="1" si="205"/>
        <v>0</v>
      </c>
      <c r="CH83" s="1" t="str">
        <f t="shared" ref="CH83:CL83" si="206">CH43</f>
        <v>-1 to -1.2</v>
      </c>
      <c r="CI83" s="1">
        <f t="shared" si="206"/>
        <v>0</v>
      </c>
      <c r="CJ83" s="1">
        <f t="shared" si="206"/>
        <v>0</v>
      </c>
      <c r="CK83" s="1">
        <f t="shared" si="206"/>
        <v>0</v>
      </c>
      <c r="CL83" s="17">
        <f t="shared" ca="1" si="206"/>
        <v>0</v>
      </c>
      <c r="CR83" s="1" t="str">
        <f t="shared" ref="CR83:CV83" si="207">CR43</f>
        <v>-1 to -1.2</v>
      </c>
      <c r="CS83" s="1">
        <f t="shared" si="207"/>
        <v>0</v>
      </c>
      <c r="CT83" s="1">
        <f t="shared" si="207"/>
        <v>0</v>
      </c>
      <c r="CU83" s="1">
        <f t="shared" si="207"/>
        <v>0</v>
      </c>
      <c r="CV83" s="17">
        <f t="shared" ca="1" si="207"/>
        <v>0</v>
      </c>
      <c r="DB83" s="1" t="str">
        <f t="shared" ref="DB83:DF83" si="208">DB43</f>
        <v>-1 to -1.2</v>
      </c>
      <c r="DC83" s="1">
        <f t="shared" si="208"/>
        <v>528.00000000004502</v>
      </c>
      <c r="DD83" s="1">
        <f t="shared" si="208"/>
        <v>-1.0399999999999985</v>
      </c>
      <c r="DE83" s="1">
        <f t="shared" si="208"/>
        <v>2</v>
      </c>
      <c r="DF83" s="17">
        <f t="shared" ca="1" si="208"/>
        <v>6.872852233677563E-3</v>
      </c>
    </row>
    <row r="84" spans="1:114" x14ac:dyDescent="0.25">
      <c r="A84" s="1">
        <v>83</v>
      </c>
      <c r="B84" s="4">
        <v>7400</v>
      </c>
      <c r="C84" s="4">
        <v>14.2</v>
      </c>
      <c r="D84" s="4">
        <v>14.299999999999999</v>
      </c>
      <c r="E84" s="4">
        <f t="shared" si="104"/>
        <v>9.9999999999999645E-2</v>
      </c>
      <c r="F84" s="4">
        <v>0</v>
      </c>
      <c r="G84" s="4">
        <v>0.49</v>
      </c>
      <c r="H84" s="4">
        <v>79</v>
      </c>
      <c r="I84" s="4"/>
      <c r="J84" s="4">
        <v>49</v>
      </c>
      <c r="K84"/>
      <c r="L84"/>
      <c r="M84" s="4">
        <f t="shared" si="105"/>
        <v>14.299999999999999</v>
      </c>
      <c r="N84" s="4"/>
      <c r="O84" s="1">
        <f t="shared" si="106"/>
        <v>14.2</v>
      </c>
      <c r="P84" s="1">
        <f t="shared" si="107"/>
        <v>0</v>
      </c>
      <c r="Q84" s="1" t="str">
        <f t="shared" si="95"/>
        <v/>
      </c>
      <c r="R84" s="1" t="str">
        <f t="shared" si="108"/>
        <v/>
      </c>
      <c r="S84" s="1">
        <f t="shared" si="109"/>
        <v>335.1696</v>
      </c>
      <c r="T84" s="1">
        <f t="shared" si="110"/>
        <v>0.49</v>
      </c>
      <c r="U84" s="1">
        <f t="shared" si="111"/>
        <v>527.99999999999818</v>
      </c>
      <c r="V84" s="1">
        <f t="shared" si="112"/>
        <v>258.71999999999912</v>
      </c>
      <c r="AJ84" s="1" t="str">
        <f t="shared" ref="AJ84:AN84" si="209">AJ44</f>
        <v>-0.8 to -1</v>
      </c>
      <c r="AK84" s="1">
        <f t="shared" si="209"/>
        <v>1056.0000000000009</v>
      </c>
      <c r="AL84" s="1">
        <f t="shared" si="209"/>
        <v>-0.96000000000000008</v>
      </c>
      <c r="AM84" s="1">
        <f t="shared" si="209"/>
        <v>1</v>
      </c>
      <c r="AN84" s="17">
        <f t="shared" ca="1" si="209"/>
        <v>2.9850746268656747E-2</v>
      </c>
      <c r="AT84" s="1" t="str">
        <f t="shared" ref="AT84:AX84" si="210">AT44</f>
        <v>-0.8 to -1</v>
      </c>
      <c r="AU84" s="1">
        <f t="shared" si="210"/>
        <v>987.13043478260977</v>
      </c>
      <c r="AV84" s="1">
        <f t="shared" si="210"/>
        <v>-0.9381395348837207</v>
      </c>
      <c r="AW84" s="1">
        <f t="shared" si="210"/>
        <v>23</v>
      </c>
      <c r="AX84" s="17">
        <f t="shared" ca="1" si="210"/>
        <v>0.10643564356435654</v>
      </c>
      <c r="BD84" s="1" t="str">
        <f t="shared" ref="BD84:BH84" si="211">BD44</f>
        <v>-0.8 to -1</v>
      </c>
      <c r="BE84" s="1">
        <f t="shared" si="211"/>
        <v>1137.2307692307681</v>
      </c>
      <c r="BF84" s="1">
        <f t="shared" si="211"/>
        <v>-0.8921428571428569</v>
      </c>
      <c r="BG84" s="1">
        <f t="shared" si="211"/>
        <v>13</v>
      </c>
      <c r="BH84" s="17">
        <f t="shared" ca="1" si="211"/>
        <v>0.37837837837837807</v>
      </c>
      <c r="BN84" s="1" t="str">
        <f t="shared" ref="BN84:BR84" si="212">BN44</f>
        <v>-0.8 to -1</v>
      </c>
      <c r="BO84" s="1">
        <f t="shared" si="212"/>
        <v>942.8571428571538</v>
      </c>
      <c r="BP84" s="1">
        <f t="shared" si="212"/>
        <v>-0.91839999999999977</v>
      </c>
      <c r="BQ84" s="1">
        <f t="shared" si="212"/>
        <v>14</v>
      </c>
      <c r="BR84" s="17">
        <f t="shared" ca="1" si="212"/>
        <v>5.3763440860215672E-2</v>
      </c>
      <c r="BX84" s="1" t="str">
        <f t="shared" ref="BX84:CB84" si="213">BX44</f>
        <v>-0.8 to -1</v>
      </c>
      <c r="BY84" s="1">
        <f t="shared" si="213"/>
        <v>0</v>
      </c>
      <c r="BZ84" s="1">
        <f t="shared" si="213"/>
        <v>0</v>
      </c>
      <c r="CA84" s="1">
        <f t="shared" si="213"/>
        <v>0</v>
      </c>
      <c r="CB84" s="17">
        <f t="shared" ca="1" si="213"/>
        <v>0</v>
      </c>
      <c r="CH84" s="1" t="str">
        <f t="shared" ref="CH84:CL84" si="214">CH44</f>
        <v>-0.8 to -1</v>
      </c>
      <c r="CI84" s="1">
        <f t="shared" si="214"/>
        <v>660.00000000001876</v>
      </c>
      <c r="CJ84" s="1">
        <f t="shared" si="214"/>
        <v>-0.91399999999999937</v>
      </c>
      <c r="CK84" s="1">
        <f t="shared" si="214"/>
        <v>4</v>
      </c>
      <c r="CL84" s="17">
        <f t="shared" ca="1" si="214"/>
        <v>6.0975609756099378E-2</v>
      </c>
      <c r="CR84" s="1" t="str">
        <f t="shared" ref="CR84:CV84" si="215">CR44</f>
        <v>-0.8 to -1</v>
      </c>
      <c r="CS84" s="1">
        <f t="shared" si="215"/>
        <v>0</v>
      </c>
      <c r="CT84" s="1">
        <f t="shared" si="215"/>
        <v>0</v>
      </c>
      <c r="CU84" s="1">
        <f t="shared" si="215"/>
        <v>0</v>
      </c>
      <c r="CV84" s="17">
        <f t="shared" ca="1" si="215"/>
        <v>0</v>
      </c>
      <c r="DB84" s="1" t="str">
        <f t="shared" ref="DB84:DF84" si="216">DB44</f>
        <v>-0.8 to -1</v>
      </c>
      <c r="DC84" s="1">
        <f t="shared" si="216"/>
        <v>833.68421052632368</v>
      </c>
      <c r="DD84" s="1">
        <f t="shared" si="216"/>
        <v>-0.8949999999999988</v>
      </c>
      <c r="DE84" s="1">
        <f t="shared" si="216"/>
        <v>19</v>
      </c>
      <c r="DF84" s="17">
        <f t="shared" ca="1" si="216"/>
        <v>0.10309278350515563</v>
      </c>
    </row>
    <row r="85" spans="1:114" x14ac:dyDescent="0.25">
      <c r="A85" s="1">
        <v>84</v>
      </c>
      <c r="B85" s="4">
        <v>7400</v>
      </c>
      <c r="C85" s="4">
        <v>14.299999999999999</v>
      </c>
      <c r="D85" s="4">
        <v>14.4</v>
      </c>
      <c r="E85" s="4">
        <f t="shared" si="104"/>
        <v>0.10000000000000142</v>
      </c>
      <c r="F85" s="4">
        <v>0</v>
      </c>
      <c r="G85" s="4">
        <v>0.23</v>
      </c>
      <c r="H85" s="4">
        <v>79</v>
      </c>
      <c r="I85" s="4"/>
      <c r="J85" s="4">
        <v>49</v>
      </c>
      <c r="K85"/>
      <c r="L85"/>
      <c r="M85" s="4">
        <f t="shared" si="105"/>
        <v>14.4</v>
      </c>
      <c r="N85" s="4"/>
      <c r="O85" s="1">
        <f t="shared" si="106"/>
        <v>14.299999999999999</v>
      </c>
      <c r="P85" s="1">
        <f t="shared" si="107"/>
        <v>0</v>
      </c>
      <c r="Q85" s="1" t="str">
        <f t="shared" si="95"/>
        <v/>
      </c>
      <c r="R85" s="1" t="str">
        <f t="shared" si="108"/>
        <v/>
      </c>
      <c r="S85" s="1">
        <f t="shared" si="109"/>
        <v>337.7568</v>
      </c>
      <c r="T85" s="1">
        <f t="shared" si="110"/>
        <v>0.23</v>
      </c>
      <c r="U85" s="1">
        <f t="shared" si="111"/>
        <v>528.0000000000075</v>
      </c>
      <c r="V85" s="1">
        <f t="shared" si="112"/>
        <v>121.44000000000173</v>
      </c>
      <c r="AJ85" s="1" t="str">
        <f t="shared" ref="AJ85:AN85" si="217">AJ45</f>
        <v>-0.6 to -0.8</v>
      </c>
      <c r="AK85" s="1">
        <f t="shared" si="217"/>
        <v>0</v>
      </c>
      <c r="AL85" s="1">
        <f t="shared" si="217"/>
        <v>0</v>
      </c>
      <c r="AM85" s="1">
        <f t="shared" si="217"/>
        <v>0</v>
      </c>
      <c r="AN85" s="17">
        <f t="shared" ca="1" si="217"/>
        <v>0</v>
      </c>
      <c r="AT85" s="1" t="str">
        <f t="shared" ref="AT85:AX85" si="218">AT45</f>
        <v>-0.6 to -0.8</v>
      </c>
      <c r="AU85" s="1">
        <f t="shared" si="218"/>
        <v>980.57142857143049</v>
      </c>
      <c r="AV85" s="1">
        <f t="shared" si="218"/>
        <v>-0.72769230769230786</v>
      </c>
      <c r="AW85" s="1">
        <f t="shared" si="218"/>
        <v>21</v>
      </c>
      <c r="AX85" s="17">
        <f t="shared" ca="1" si="218"/>
        <v>9.6534653465346704E-2</v>
      </c>
      <c r="BD85" s="1" t="str">
        <f t="shared" ref="BD85:BH85" si="219">BD45</f>
        <v>-0.6 to -0.8</v>
      </c>
      <c r="BE85" s="1">
        <f t="shared" si="219"/>
        <v>0</v>
      </c>
      <c r="BF85" s="1">
        <f t="shared" si="219"/>
        <v>0</v>
      </c>
      <c r="BG85" s="1">
        <f t="shared" si="219"/>
        <v>0</v>
      </c>
      <c r="BH85" s="17">
        <f t="shared" ca="1" si="219"/>
        <v>0</v>
      </c>
      <c r="BN85" s="1" t="str">
        <f t="shared" ref="BN85:BR85" si="220">BN45</f>
        <v>-0.6 to -0.8</v>
      </c>
      <c r="BO85" s="1">
        <f t="shared" si="220"/>
        <v>860.44444444443559</v>
      </c>
      <c r="BP85" s="1">
        <f t="shared" si="220"/>
        <v>-0.71931818181818241</v>
      </c>
      <c r="BQ85" s="1">
        <f t="shared" si="220"/>
        <v>27</v>
      </c>
      <c r="BR85" s="17">
        <f t="shared" ca="1" si="220"/>
        <v>9.4623655913977506E-2</v>
      </c>
      <c r="BX85" s="1" t="str">
        <f t="shared" ref="BX85:CB85" si="221">BX45</f>
        <v>-0.6 to -0.8</v>
      </c>
      <c r="BY85" s="1">
        <f t="shared" si="221"/>
        <v>1352.9999999999982</v>
      </c>
      <c r="BZ85" s="1">
        <f t="shared" si="221"/>
        <v>-0.76146341463414657</v>
      </c>
      <c r="CA85" s="1">
        <f t="shared" si="221"/>
        <v>16</v>
      </c>
      <c r="CB85" s="17">
        <f t="shared" ca="1" si="221"/>
        <v>0.27333333333333293</v>
      </c>
      <c r="CH85" s="1" t="str">
        <f t="shared" ref="CH85:CL85" si="222">CH45</f>
        <v>-0.6 to -0.8</v>
      </c>
      <c r="CI85" s="1">
        <f t="shared" si="222"/>
        <v>956.99999999999716</v>
      </c>
      <c r="CJ85" s="1">
        <f t="shared" si="222"/>
        <v>-0.70241379310344754</v>
      </c>
      <c r="CK85" s="1">
        <f t="shared" si="222"/>
        <v>16</v>
      </c>
      <c r="CL85" s="17">
        <f t="shared" ca="1" si="222"/>
        <v>0.35365853658536528</v>
      </c>
      <c r="CR85" s="1" t="str">
        <f t="shared" ref="CR85:CV85" si="223">CR45</f>
        <v>-0.6 to -0.8</v>
      </c>
      <c r="CS85" s="1">
        <f t="shared" si="223"/>
        <v>0</v>
      </c>
      <c r="CT85" s="1">
        <f t="shared" si="223"/>
        <v>0</v>
      </c>
      <c r="CU85" s="1">
        <f t="shared" si="223"/>
        <v>0</v>
      </c>
      <c r="CV85" s="17">
        <f t="shared" ca="1" si="223"/>
        <v>0</v>
      </c>
      <c r="DB85" s="1" t="str">
        <f t="shared" ref="DB85:DF85" si="224">DB45</f>
        <v>-0.6 to -0.8</v>
      </c>
      <c r="DC85" s="1">
        <f t="shared" si="224"/>
        <v>899.5555555555494</v>
      </c>
      <c r="DD85" s="1">
        <f t="shared" si="224"/>
        <v>-0.70630434782608709</v>
      </c>
      <c r="DE85" s="1">
        <f t="shared" si="224"/>
        <v>27</v>
      </c>
      <c r="DF85" s="17">
        <f t="shared" ca="1" si="224"/>
        <v>0.15807560137456939</v>
      </c>
    </row>
    <row r="86" spans="1:114" x14ac:dyDescent="0.25">
      <c r="A86" s="1">
        <v>85</v>
      </c>
      <c r="B86" s="4">
        <v>7400</v>
      </c>
      <c r="C86" s="4">
        <v>14.4</v>
      </c>
      <c r="D86" s="4">
        <v>14.6</v>
      </c>
      <c r="E86" s="4">
        <f t="shared" si="104"/>
        <v>0.19999999999999929</v>
      </c>
      <c r="F86" s="4">
        <v>0</v>
      </c>
      <c r="G86" s="4">
        <v>-0.28000000000000003</v>
      </c>
      <c r="H86" s="4">
        <v>79</v>
      </c>
      <c r="I86" s="4"/>
      <c r="J86" s="4">
        <v>49</v>
      </c>
      <c r="K86"/>
      <c r="L86"/>
      <c r="M86" s="4">
        <f t="shared" si="105"/>
        <v>14.6</v>
      </c>
      <c r="N86" s="4"/>
      <c r="O86" s="1">
        <f t="shared" si="106"/>
        <v>14.4</v>
      </c>
      <c r="P86" s="1">
        <f t="shared" si="107"/>
        <v>0</v>
      </c>
      <c r="Q86" s="1" t="str">
        <f t="shared" si="95"/>
        <v/>
      </c>
      <c r="R86" s="1" t="str">
        <f t="shared" si="108"/>
        <v/>
      </c>
      <c r="S86" s="1">
        <f t="shared" si="109"/>
        <v>338.97120000000001</v>
      </c>
      <c r="T86" s="1">
        <f t="shared" si="110"/>
        <v>-0.28000000000000003</v>
      </c>
      <c r="U86" s="1">
        <f t="shared" si="111"/>
        <v>1055.9999999999964</v>
      </c>
      <c r="V86" s="1">
        <f t="shared" si="112"/>
        <v>295.67999999999898</v>
      </c>
      <c r="AJ86" s="1" t="str">
        <f t="shared" ref="AJ86:AN86" si="225">AJ46</f>
        <v>-0.4 to -0.6</v>
      </c>
      <c r="AK86" s="1">
        <f t="shared" si="225"/>
        <v>528.00000000000045</v>
      </c>
      <c r="AL86" s="1">
        <f t="shared" si="225"/>
        <v>-0.46999999999999975</v>
      </c>
      <c r="AM86" s="1">
        <f t="shared" si="225"/>
        <v>2</v>
      </c>
      <c r="AN86" s="17">
        <f t="shared" ca="1" si="225"/>
        <v>2.9850746268656747E-2</v>
      </c>
      <c r="AT86" s="1" t="str">
        <f t="shared" ref="AT86:AX86" si="226">AT46</f>
        <v>-0.4 to -0.6</v>
      </c>
      <c r="AU86" s="1">
        <f t="shared" si="226"/>
        <v>864</v>
      </c>
      <c r="AV86" s="1">
        <f t="shared" si="226"/>
        <v>-0.49611111111111045</v>
      </c>
      <c r="AW86" s="1">
        <f t="shared" si="226"/>
        <v>22</v>
      </c>
      <c r="AX86" s="17">
        <f t="shared" ca="1" si="226"/>
        <v>8.9108910891089105E-2</v>
      </c>
      <c r="BD86" s="1" t="str">
        <f t="shared" ref="BD86:BH86" si="227">BD46</f>
        <v>-0.4 to -0.6</v>
      </c>
      <c r="BE86" s="1">
        <f t="shared" si="227"/>
        <v>792.00000000000364</v>
      </c>
      <c r="BF86" s="1">
        <f t="shared" si="227"/>
        <v>-0.48066666666666663</v>
      </c>
      <c r="BG86" s="1">
        <f t="shared" si="227"/>
        <v>10</v>
      </c>
      <c r="BH86" s="17">
        <f t="shared" ca="1" si="227"/>
        <v>0.20270270270270369</v>
      </c>
      <c r="BN86" s="1" t="str">
        <f t="shared" ref="BN86:BR86" si="228">BN46</f>
        <v>-0.4 to -0.6</v>
      </c>
      <c r="BO86" s="1">
        <f t="shared" si="228"/>
        <v>1011.999999999996</v>
      </c>
      <c r="BP86" s="1">
        <f t="shared" si="228"/>
        <v>-0.50369565217391388</v>
      </c>
      <c r="BQ86" s="1">
        <f t="shared" si="228"/>
        <v>24</v>
      </c>
      <c r="BR86" s="17">
        <f t="shared" ca="1" si="228"/>
        <v>9.8924731182795309E-2</v>
      </c>
      <c r="BX86" s="1" t="str">
        <f t="shared" ref="BX86:CB86" si="229">BX46</f>
        <v>-0.4 to -0.6</v>
      </c>
      <c r="BY86" s="1">
        <f t="shared" si="229"/>
        <v>771.6923076923041</v>
      </c>
      <c r="BZ86" s="1">
        <f t="shared" si="229"/>
        <v>-0.52421052631579024</v>
      </c>
      <c r="CA86" s="1">
        <f t="shared" si="229"/>
        <v>13</v>
      </c>
      <c r="CB86" s="17">
        <f t="shared" ca="1" si="229"/>
        <v>0.12666666666666607</v>
      </c>
      <c r="CH86" s="1" t="str">
        <f t="shared" ref="CH86:CL86" si="230">CH46</f>
        <v>-0.4 to -0.6</v>
      </c>
      <c r="CI86" s="1">
        <f t="shared" si="230"/>
        <v>671.99999999998943</v>
      </c>
      <c r="CJ86" s="1">
        <f t="shared" si="230"/>
        <v>-0.53785714285714326</v>
      </c>
      <c r="CK86" s="1">
        <f t="shared" si="230"/>
        <v>11</v>
      </c>
      <c r="CL86" s="17">
        <f t="shared" ca="1" si="230"/>
        <v>0.17073170731707071</v>
      </c>
      <c r="CR86" s="1" t="str">
        <f t="shared" ref="CR86:CV86" si="231">CR46</f>
        <v>-0.4 to -0.6</v>
      </c>
      <c r="CS86" s="1">
        <f t="shared" si="231"/>
        <v>704.00000000001</v>
      </c>
      <c r="CT86" s="1">
        <f t="shared" si="231"/>
        <v>-0.48750000000000293</v>
      </c>
      <c r="CU86" s="1">
        <f t="shared" si="231"/>
        <v>3</v>
      </c>
      <c r="CV86" s="17">
        <f t="shared" ca="1" si="231"/>
        <v>2.0202020202020478E-2</v>
      </c>
      <c r="DB86" s="1" t="str">
        <f t="shared" ref="DB86:DF86" si="232">DB46</f>
        <v>-0.4 to -0.6</v>
      </c>
      <c r="DC86" s="1">
        <f t="shared" si="232"/>
        <v>905.14285714283426</v>
      </c>
      <c r="DD86" s="1">
        <f t="shared" si="232"/>
        <v>-0.50638888888888933</v>
      </c>
      <c r="DE86" s="1">
        <f t="shared" si="232"/>
        <v>21</v>
      </c>
      <c r="DF86" s="17">
        <f t="shared" ca="1" si="232"/>
        <v>0.12371134020618246</v>
      </c>
    </row>
    <row r="87" spans="1:114" x14ac:dyDescent="0.25">
      <c r="A87" s="1">
        <v>86</v>
      </c>
      <c r="B87" s="4">
        <v>7400</v>
      </c>
      <c r="C87" s="4">
        <v>14.6</v>
      </c>
      <c r="D87" s="4">
        <v>14.7</v>
      </c>
      <c r="E87" s="4">
        <f t="shared" si="104"/>
        <v>9.9999999999999645E-2</v>
      </c>
      <c r="F87" s="4">
        <v>0</v>
      </c>
      <c r="G87" s="4">
        <v>-0.54</v>
      </c>
      <c r="H87" s="4">
        <v>79</v>
      </c>
      <c r="I87" s="4"/>
      <c r="J87" s="4">
        <v>49</v>
      </c>
      <c r="K87"/>
      <c r="L87"/>
      <c r="M87" s="4">
        <f t="shared" si="105"/>
        <v>14.7</v>
      </c>
      <c r="N87" s="4"/>
      <c r="O87" s="1">
        <f t="shared" si="106"/>
        <v>14.6</v>
      </c>
      <c r="P87" s="1">
        <f t="shared" si="107"/>
        <v>0</v>
      </c>
      <c r="Q87" s="1" t="str">
        <f t="shared" si="95"/>
        <v/>
      </c>
      <c r="R87" s="1" t="str">
        <f t="shared" si="108"/>
        <v/>
      </c>
      <c r="S87" s="1">
        <f t="shared" si="109"/>
        <v>336.01440000000002</v>
      </c>
      <c r="T87" s="1">
        <f t="shared" si="110"/>
        <v>-0.54</v>
      </c>
      <c r="U87" s="1">
        <f t="shared" si="111"/>
        <v>527.99999999999818</v>
      </c>
      <c r="V87" s="1">
        <f t="shared" si="112"/>
        <v>285.11999999999904</v>
      </c>
      <c r="AJ87" s="1" t="str">
        <f t="shared" ref="AJ87:AN87" si="233">AJ47</f>
        <v>-0.2 to -0.4</v>
      </c>
      <c r="AK87" s="1">
        <f t="shared" si="233"/>
        <v>527.99999999999818</v>
      </c>
      <c r="AL87" s="1">
        <f t="shared" si="233"/>
        <v>-0.32999999999999985</v>
      </c>
      <c r="AM87" s="1">
        <f t="shared" si="233"/>
        <v>1</v>
      </c>
      <c r="AN87" s="17">
        <f t="shared" ca="1" si="233"/>
        <v>1.4925373134328309E-2</v>
      </c>
      <c r="AT87" s="1" t="str">
        <f t="shared" ref="AT87:AX87" si="234">AT47</f>
        <v>-0.2 to -0.4</v>
      </c>
      <c r="AU87" s="1">
        <f t="shared" si="234"/>
        <v>771.6923076923099</v>
      </c>
      <c r="AV87" s="1">
        <f t="shared" si="234"/>
        <v>-0.33684210526315805</v>
      </c>
      <c r="AW87" s="1">
        <f t="shared" si="234"/>
        <v>13</v>
      </c>
      <c r="AX87" s="17">
        <f t="shared" ca="1" si="234"/>
        <v>4.7029702970297162E-2</v>
      </c>
      <c r="BD87" s="1" t="str">
        <f t="shared" ref="BD87:BH87" si="235">BD47</f>
        <v>-0.2 to -0.4</v>
      </c>
      <c r="BE87" s="1">
        <f t="shared" si="235"/>
        <v>703.99999999999761</v>
      </c>
      <c r="BF87" s="1">
        <f t="shared" si="235"/>
        <v>-0.26750000000000052</v>
      </c>
      <c r="BG87" s="1">
        <f t="shared" si="235"/>
        <v>3</v>
      </c>
      <c r="BH87" s="17">
        <f t="shared" ca="1" si="235"/>
        <v>5.4054054054053877E-2</v>
      </c>
      <c r="BN87" s="1" t="str">
        <f t="shared" ref="BN87:BR87" si="236">BN47</f>
        <v>-0.2 to -0.4</v>
      </c>
      <c r="BO87" s="1">
        <f t="shared" si="236"/>
        <v>665.73913043478069</v>
      </c>
      <c r="BP87" s="1">
        <f t="shared" si="236"/>
        <v>-0.29034482758620594</v>
      </c>
      <c r="BQ87" s="1">
        <f t="shared" si="236"/>
        <v>23</v>
      </c>
      <c r="BR87" s="17">
        <f t="shared" ca="1" si="236"/>
        <v>6.2365591397849286E-2</v>
      </c>
      <c r="BX87" s="1" t="str">
        <f t="shared" ref="BX87:CB87" si="237">BX47</f>
        <v>-0.2 to -0.4</v>
      </c>
      <c r="BY87" s="1">
        <f t="shared" si="237"/>
        <v>923.99999999998454</v>
      </c>
      <c r="BZ87" s="1">
        <f t="shared" si="237"/>
        <v>-0.33428571428571408</v>
      </c>
      <c r="CA87" s="1">
        <f t="shared" si="237"/>
        <v>4</v>
      </c>
      <c r="CB87" s="17">
        <f t="shared" ca="1" si="237"/>
        <v>4.6666666666665885E-2</v>
      </c>
      <c r="CH87" s="1" t="str">
        <f t="shared" ref="CH87:CL87" si="238">CH47</f>
        <v>-0.2 to -0.4</v>
      </c>
      <c r="CI87" s="1">
        <f t="shared" si="238"/>
        <v>829.71428571429146</v>
      </c>
      <c r="CJ87" s="1">
        <f t="shared" si="238"/>
        <v>-0.30181818181818398</v>
      </c>
      <c r="CK87" s="1">
        <f t="shared" si="238"/>
        <v>7</v>
      </c>
      <c r="CL87" s="17">
        <f t="shared" ca="1" si="238"/>
        <v>0.13414634146341575</v>
      </c>
      <c r="CR87" s="1" t="str">
        <f t="shared" ref="CR87:CV87" si="239">CR47</f>
        <v>-0.2 to -0.4</v>
      </c>
      <c r="CS87" s="1">
        <f t="shared" si="239"/>
        <v>726.00000000001523</v>
      </c>
      <c r="CT87" s="1">
        <f t="shared" si="239"/>
        <v>-0.28181818181818108</v>
      </c>
      <c r="CU87" s="1">
        <f t="shared" si="239"/>
        <v>16</v>
      </c>
      <c r="CV87" s="17">
        <f t="shared" ca="1" si="239"/>
        <v>0.11111111111111339</v>
      </c>
      <c r="DB87" s="1" t="str">
        <f t="shared" ref="DB87:DF87" si="240">DB47</f>
        <v>-0.2 to -0.4</v>
      </c>
      <c r="DC87" s="1">
        <f t="shared" si="240"/>
        <v>686.40000000001385</v>
      </c>
      <c r="DD87" s="1">
        <f t="shared" si="240"/>
        <v>-0.29769230769230709</v>
      </c>
      <c r="DE87" s="1">
        <f t="shared" si="240"/>
        <v>20</v>
      </c>
      <c r="DF87" s="17">
        <f t="shared" ca="1" si="240"/>
        <v>8.9347079037802507E-2</v>
      </c>
    </row>
    <row r="88" spans="1:114" x14ac:dyDescent="0.25">
      <c r="A88" s="1">
        <v>87</v>
      </c>
      <c r="B88" s="4">
        <v>7400</v>
      </c>
      <c r="C88" s="4">
        <v>14.7</v>
      </c>
      <c r="D88" s="4">
        <v>14.9</v>
      </c>
      <c r="E88" s="4">
        <f t="shared" si="104"/>
        <v>0.20000000000000107</v>
      </c>
      <c r="F88" s="4">
        <v>0</v>
      </c>
      <c r="G88" s="4">
        <v>0.02</v>
      </c>
      <c r="H88" s="4">
        <v>79</v>
      </c>
      <c r="I88" s="4"/>
      <c r="J88" s="4">
        <v>49</v>
      </c>
      <c r="K88"/>
      <c r="L88"/>
      <c r="M88" s="4">
        <f t="shared" si="105"/>
        <v>14.9</v>
      </c>
      <c r="N88" s="4"/>
      <c r="O88" s="1">
        <f t="shared" si="106"/>
        <v>14.7</v>
      </c>
      <c r="P88" s="1">
        <f t="shared" si="107"/>
        <v>0</v>
      </c>
      <c r="Q88" s="1" t="str">
        <f t="shared" si="95"/>
        <v/>
      </c>
      <c r="R88" s="1" t="str">
        <f t="shared" si="108"/>
        <v/>
      </c>
      <c r="S88" s="1">
        <f t="shared" si="109"/>
        <v>333.16320000000002</v>
      </c>
      <c r="T88" s="1">
        <f t="shared" si="110"/>
        <v>0.02</v>
      </c>
      <c r="U88" s="1">
        <f t="shared" si="111"/>
        <v>1056.0000000000057</v>
      </c>
      <c r="V88" s="1">
        <f t="shared" si="112"/>
        <v>21.120000000000115</v>
      </c>
      <c r="AJ88" s="1" t="str">
        <f t="shared" ref="AJ88:AN88" si="241">AJ48</f>
        <v>0 to -0.2</v>
      </c>
      <c r="AK88" s="1">
        <f t="shared" si="241"/>
        <v>1056.0000000000009</v>
      </c>
      <c r="AL88" s="1">
        <f t="shared" si="241"/>
        <v>-8.5000000000000131E-2</v>
      </c>
      <c r="AM88" s="1">
        <f t="shared" si="241"/>
        <v>2</v>
      </c>
      <c r="AN88" s="17">
        <f t="shared" ca="1" si="241"/>
        <v>5.9701492537313494E-2</v>
      </c>
      <c r="AT88" s="1" t="str">
        <f t="shared" ref="AT88:AX88" si="242">AT48</f>
        <v>0 to -0.2</v>
      </c>
      <c r="AU88" s="1">
        <f t="shared" si="242"/>
        <v>858</v>
      </c>
      <c r="AV88" s="1">
        <f t="shared" si="242"/>
        <v>-0.14076923076923259</v>
      </c>
      <c r="AW88" s="1">
        <f t="shared" si="242"/>
        <v>8</v>
      </c>
      <c r="AX88" s="17">
        <f t="shared" ca="1" si="242"/>
        <v>3.2178217821782172E-2</v>
      </c>
      <c r="BD88" s="1" t="str">
        <f t="shared" ref="BD88:BH88" si="243">BD48</f>
        <v>0 to -0.2</v>
      </c>
      <c r="BE88" s="1">
        <f t="shared" si="243"/>
        <v>703.99999999999761</v>
      </c>
      <c r="BF88" s="1">
        <f t="shared" si="243"/>
        <v>-9.2499999999998875E-2</v>
      </c>
      <c r="BG88" s="1">
        <f t="shared" si="243"/>
        <v>3</v>
      </c>
      <c r="BH88" s="17">
        <f t="shared" ca="1" si="243"/>
        <v>5.4054054054053877E-2</v>
      </c>
      <c r="BN88" s="1" t="str">
        <f t="shared" ref="BN88:BR88" si="244">BN48</f>
        <v>0 to -0.2</v>
      </c>
      <c r="BO88" s="1">
        <f t="shared" si="244"/>
        <v>871.20000000000402</v>
      </c>
      <c r="BP88" s="1">
        <f t="shared" si="244"/>
        <v>-7.7878787878787048E-2</v>
      </c>
      <c r="BQ88" s="1">
        <f t="shared" si="244"/>
        <v>40</v>
      </c>
      <c r="BR88" s="17">
        <f t="shared" ca="1" si="244"/>
        <v>0.14193548387096841</v>
      </c>
      <c r="BX88" s="1" t="str">
        <f t="shared" ref="BX88:CB88" si="245">BX48</f>
        <v>0 to -0.2</v>
      </c>
      <c r="BY88" s="1">
        <f t="shared" si="245"/>
        <v>588.92307692307827</v>
      </c>
      <c r="BZ88" s="1">
        <f t="shared" si="245"/>
        <v>-0.11931034482758551</v>
      </c>
      <c r="CA88" s="1">
        <f t="shared" si="245"/>
        <v>26</v>
      </c>
      <c r="CB88" s="17">
        <f t="shared" ca="1" si="245"/>
        <v>0.19333333333333377</v>
      </c>
      <c r="CH88" s="1" t="str">
        <f t="shared" ref="CH88:CL88" si="246">CH48</f>
        <v>0 to -0.2</v>
      </c>
      <c r="CI88" s="1">
        <f t="shared" si="246"/>
        <v>527.9999999999709</v>
      </c>
      <c r="CJ88" s="1">
        <f t="shared" si="246"/>
        <v>-0.12000000000000083</v>
      </c>
      <c r="CK88" s="1">
        <f t="shared" si="246"/>
        <v>2</v>
      </c>
      <c r="CL88" s="17">
        <f t="shared" ca="1" si="246"/>
        <v>2.4390243902437714E-2</v>
      </c>
      <c r="CR88" s="1" t="str">
        <f t="shared" ref="CR88:CV88" si="247">CR48</f>
        <v>0 to -0.2</v>
      </c>
      <c r="CS88" s="1">
        <f t="shared" si="247"/>
        <v>641.14285714286416</v>
      </c>
      <c r="CT88" s="1">
        <f t="shared" si="247"/>
        <v>-9.3235294117646209E-2</v>
      </c>
      <c r="CU88" s="1">
        <f t="shared" si="247"/>
        <v>28</v>
      </c>
      <c r="CV88" s="17">
        <f t="shared" ca="1" si="247"/>
        <v>0.17171717171717349</v>
      </c>
      <c r="DB88" s="1" t="str">
        <f t="shared" ref="DB88:DF88" si="248">DB48</f>
        <v>0 to -0.2</v>
      </c>
      <c r="DC88" s="1">
        <f t="shared" si="248"/>
        <v>590.11764705882524</v>
      </c>
      <c r="DD88" s="1">
        <f t="shared" si="248"/>
        <v>-0.10684210526315652</v>
      </c>
      <c r="DE88" s="1">
        <f t="shared" si="248"/>
        <v>17</v>
      </c>
      <c r="DF88" s="17">
        <f t="shared" ca="1" si="248"/>
        <v>6.529209621993147E-2</v>
      </c>
    </row>
    <row r="89" spans="1:114" x14ac:dyDescent="0.25">
      <c r="A89" s="1">
        <v>88</v>
      </c>
      <c r="B89" s="4">
        <v>7400</v>
      </c>
      <c r="C89" s="4">
        <v>14.9</v>
      </c>
      <c r="D89" s="4">
        <v>15.299999999999999</v>
      </c>
      <c r="E89" s="4">
        <f t="shared" si="104"/>
        <v>0.39999999999999858</v>
      </c>
      <c r="F89" s="4">
        <v>0</v>
      </c>
      <c r="G89" s="4">
        <v>0.82</v>
      </c>
      <c r="H89" s="4">
        <v>79</v>
      </c>
      <c r="I89" s="4"/>
      <c r="J89" s="4">
        <v>49</v>
      </c>
      <c r="K89"/>
      <c r="L89"/>
      <c r="M89" s="4">
        <f t="shared" si="105"/>
        <v>15.299999999999999</v>
      </c>
      <c r="N89" s="4"/>
      <c r="O89" s="1">
        <f t="shared" si="106"/>
        <v>14.9</v>
      </c>
      <c r="P89" s="1">
        <f t="shared" si="107"/>
        <v>0</v>
      </c>
      <c r="Q89" s="1" t="str">
        <f t="shared" si="95"/>
        <v/>
      </c>
      <c r="R89" s="1" t="str">
        <f t="shared" si="108"/>
        <v/>
      </c>
      <c r="S89" s="1">
        <f t="shared" si="109"/>
        <v>333.37440000000004</v>
      </c>
      <c r="T89" s="1">
        <f t="shared" si="110"/>
        <v>0.82</v>
      </c>
      <c r="U89" s="1">
        <f t="shared" si="111"/>
        <v>2111.9999999999927</v>
      </c>
      <c r="V89" s="1">
        <f t="shared" si="112"/>
        <v>1731.839999999994</v>
      </c>
      <c r="AJ89" s="20" t="s">
        <v>33</v>
      </c>
      <c r="AK89" s="20">
        <f ca="1">AK67</f>
        <v>1584.0000000000002</v>
      </c>
      <c r="AL89" s="20">
        <v>0</v>
      </c>
      <c r="AM89" s="20">
        <f ca="1">AM67</f>
        <v>1</v>
      </c>
      <c r="AN89" s="27">
        <f ca="1">AK89*AM89/5280/$AI$3</f>
        <v>4.4776119402985086E-2</v>
      </c>
      <c r="AT89" s="20" t="s">
        <v>33</v>
      </c>
      <c r="AU89" s="20">
        <f ca="1">AU67</f>
        <v>792.00000000000182</v>
      </c>
      <c r="AV89" s="20">
        <v>0</v>
      </c>
      <c r="AW89" s="20">
        <f ca="1">AW67</f>
        <v>4</v>
      </c>
      <c r="AX89" s="27">
        <f ca="1">AU89*AW89/5280/$AI$4</f>
        <v>1.4851485148514884E-2</v>
      </c>
      <c r="BD89" s="20" t="s">
        <v>33</v>
      </c>
      <c r="BE89" s="20">
        <f ca="1">BE67</f>
        <v>0</v>
      </c>
      <c r="BF89" s="20">
        <v>0</v>
      </c>
      <c r="BG89" s="20">
        <f ca="1">BG67</f>
        <v>0</v>
      </c>
      <c r="BH89" s="27">
        <f ca="1">BE89*BG89/5280/$AI$4</f>
        <v>0</v>
      </c>
      <c r="BN89" s="20" t="s">
        <v>33</v>
      </c>
      <c r="BO89" s="20">
        <f ca="1">BO67</f>
        <v>528.00000000004502</v>
      </c>
      <c r="BP89" s="20">
        <v>0</v>
      </c>
      <c r="BQ89" s="20">
        <f ca="1">BQ67</f>
        <v>1</v>
      </c>
      <c r="BR89" s="27">
        <f ca="1">BO89*BQ89/5280/$AI$4</f>
        <v>2.475247524752686E-3</v>
      </c>
      <c r="BX89" s="20" t="s">
        <v>33</v>
      </c>
      <c r="BY89" s="20">
        <f ca="1">BY67</f>
        <v>0</v>
      </c>
      <c r="BZ89" s="20">
        <v>0</v>
      </c>
      <c r="CA89" s="20">
        <f ca="1">CA67</f>
        <v>0</v>
      </c>
      <c r="CB89" s="27">
        <f ca="1">BY89*CA89/5280/$AI$4</f>
        <v>0</v>
      </c>
      <c r="CH89" s="20" t="s">
        <v>33</v>
      </c>
      <c r="CI89" s="20">
        <f ca="1">CI67</f>
        <v>0</v>
      </c>
      <c r="CJ89" s="20">
        <v>0</v>
      </c>
      <c r="CK89" s="20">
        <f ca="1">CK67</f>
        <v>0</v>
      </c>
      <c r="CL89" s="27">
        <f ca="1">CI89*CK89/5280/$AI$4</f>
        <v>0</v>
      </c>
      <c r="CR89" s="20" t="s">
        <v>33</v>
      </c>
      <c r="CS89" s="20">
        <f ca="1">CS67</f>
        <v>527.99999999996999</v>
      </c>
      <c r="CT89" s="20">
        <v>0</v>
      </c>
      <c r="CU89" s="20">
        <f ca="1">CU67</f>
        <v>1</v>
      </c>
      <c r="CV89" s="27">
        <f ca="1">CS89*CU89/5280/$AI$4</f>
        <v>2.4752475247523343E-3</v>
      </c>
      <c r="DB89" s="20" t="s">
        <v>33</v>
      </c>
      <c r="DC89" s="20">
        <f ca="1">DC67</f>
        <v>527.99999999996999</v>
      </c>
      <c r="DD89" s="20">
        <v>0</v>
      </c>
      <c r="DE89" s="20">
        <f ca="1">DE67</f>
        <v>1</v>
      </c>
      <c r="DF89" s="27">
        <f ca="1">DC89*DE89/5280/$AI$4</f>
        <v>2.4752475247523343E-3</v>
      </c>
    </row>
    <row r="90" spans="1:114" x14ac:dyDescent="0.25">
      <c r="A90" s="1">
        <v>89</v>
      </c>
      <c r="B90" s="4">
        <v>7400</v>
      </c>
      <c r="C90" s="4">
        <v>15.299999999999999</v>
      </c>
      <c r="D90" s="4">
        <v>15.5</v>
      </c>
      <c r="E90" s="4">
        <f t="shared" si="104"/>
        <v>0.20000000000000107</v>
      </c>
      <c r="F90" s="4">
        <v>1.9</v>
      </c>
      <c r="G90" s="4">
        <v>-0.38</v>
      </c>
      <c r="H90" s="4">
        <v>79</v>
      </c>
      <c r="I90" s="4"/>
      <c r="J90" s="4">
        <v>49</v>
      </c>
      <c r="K90"/>
      <c r="L90"/>
      <c r="M90" s="4">
        <f t="shared" si="105"/>
        <v>15.5</v>
      </c>
      <c r="N90" s="4"/>
      <c r="O90" s="1">
        <f t="shared" si="106"/>
        <v>15.299999999999999</v>
      </c>
      <c r="P90" s="1">
        <f t="shared" si="107"/>
        <v>20.064000000000107</v>
      </c>
      <c r="Q90" s="1" t="str">
        <f t="shared" si="95"/>
        <v/>
      </c>
      <c r="R90" s="1" t="str">
        <f t="shared" si="108"/>
        <v/>
      </c>
      <c r="S90" s="1">
        <f t="shared" si="109"/>
        <v>350.69279999999998</v>
      </c>
      <c r="T90" s="1">
        <f t="shared" si="110"/>
        <v>-0.38</v>
      </c>
      <c r="U90" s="1">
        <f t="shared" si="111"/>
        <v>1056.0000000000057</v>
      </c>
      <c r="V90" s="1">
        <f t="shared" si="112"/>
        <v>401.28000000000219</v>
      </c>
      <c r="AJ90" s="1" t="str">
        <f t="shared" ref="AJ90:AJ103" si="249">AJ49</f>
        <v>0 to 0.2</v>
      </c>
      <c r="AK90" s="20">
        <f ca="1">(AK49*(AM90+AM89)-AK89*AM89)/AM90</f>
        <v>1232.0000000000007</v>
      </c>
      <c r="AL90" s="22">
        <f ca="1">(AH49-AH48)/(AF49-AF48-AF67)</f>
        <v>4.2857142857142858E-2</v>
      </c>
      <c r="AM90" s="20">
        <f ca="1">AM49-AM89</f>
        <v>3</v>
      </c>
      <c r="AN90" s="21">
        <f ca="1">AN49-AN89</f>
        <v>0.10447761194029856</v>
      </c>
      <c r="AT90" s="1" t="str">
        <f t="shared" ref="AT90:AT103" si="250">AT49</f>
        <v>0 to 0.2</v>
      </c>
      <c r="AU90" s="20">
        <f ca="1">(AU49*(AW90+AW89)-AU89*AW89)/AW90</f>
        <v>801.77777777778181</v>
      </c>
      <c r="AV90" s="22">
        <f ca="1">(AR49-AR48)/(AP49-AP48-AP67)</f>
        <v>0.10536585365853467</v>
      </c>
      <c r="AW90" s="20">
        <f ca="1">AW49-AW89</f>
        <v>27</v>
      </c>
      <c r="AX90" s="21">
        <f ca="1">AX49-AX89</f>
        <v>0.10148514851485199</v>
      </c>
      <c r="BD90" s="1" t="str">
        <f t="shared" ref="BD90:BH103" si="251">BD49</f>
        <v>0 to 0.2</v>
      </c>
      <c r="BE90" s="20">
        <f ca="1">(BE49*(BG90+BG89)-BE89*BG89)/BG90</f>
        <v>678.85714285714187</v>
      </c>
      <c r="BF90" s="22">
        <f ca="1">(BB49-BB48)/(AZ49-AZ48-AZ67)</f>
        <v>9.0000000000000968E-2</v>
      </c>
      <c r="BG90" s="20">
        <f ca="1">BG49-BG89</f>
        <v>7</v>
      </c>
      <c r="BH90" s="21">
        <f ca="1">BH49-BH89</f>
        <v>0.12162162162162145</v>
      </c>
      <c r="BN90" s="1" t="str">
        <f t="shared" ref="BN90:BR103" si="252">BN49</f>
        <v>0 to 0.2</v>
      </c>
      <c r="BO90" s="20">
        <f ca="1">(BO49*(BQ90+BQ89)-BO89*BQ89)/BQ90</f>
        <v>729.14285714286541</v>
      </c>
      <c r="BP90" s="22">
        <f ca="1">(BL49-BL48)/(BJ49-BJ48-BJ67)</f>
        <v>9.4482758620689611E-2</v>
      </c>
      <c r="BQ90" s="20">
        <f ca="1">BQ49-BQ89</f>
        <v>21</v>
      </c>
      <c r="BR90" s="21">
        <f ca="1">BR49-BR89</f>
        <v>6.2040881507506265E-2</v>
      </c>
      <c r="BX90" s="1" t="str">
        <f t="shared" ref="BX90" si="253">BX49</f>
        <v>0 to 0.2</v>
      </c>
      <c r="BY90" s="20">
        <f ca="1">(BY49*(CA90+CA89)-BY89*CA89)/CA90</f>
        <v>791.99999999999204</v>
      </c>
      <c r="BZ90" s="22">
        <f ca="1">(BV49-BV48)/(BT49-BT48-BT67)</f>
        <v>7.53333333333331E-2</v>
      </c>
      <c r="CA90" s="20">
        <f ca="1">CA49-CA89</f>
        <v>10</v>
      </c>
      <c r="CB90" s="21">
        <f ca="1">CB49-CB89</f>
        <v>9.9999999999998992E-2</v>
      </c>
      <c r="CH90" s="1" t="str">
        <f t="shared" ref="CH90" si="254">CH49</f>
        <v>0 to 0.2</v>
      </c>
      <c r="CI90" s="20">
        <f ca="1">(CI49*(CK90+CK89)-CI89*CK89)/CK90</f>
        <v>791.99999999999091</v>
      </c>
      <c r="CJ90" s="22">
        <f ca="1">(CF49-CF48)/(CD49-CD48-CD67)</f>
        <v>3.000000000000062E-2</v>
      </c>
      <c r="CK90" s="20">
        <f ca="1">CK49-CK89</f>
        <v>2</v>
      </c>
      <c r="CL90" s="21">
        <f ca="1">CL49-CL89</f>
        <v>3.6585365853658167E-2</v>
      </c>
      <c r="CR90" s="1" t="str">
        <f t="shared" ref="CR90" si="255">CR49</f>
        <v>0 to 0.2</v>
      </c>
      <c r="CS90" s="20">
        <f ca="1">(CS49*(CU90+CU89)-CS89*CU89)/CU90</f>
        <v>715.35483870966368</v>
      </c>
      <c r="CT90" s="22">
        <f ca="1">(CP49-CP48)/(CN49-CN48-CN67)</f>
        <v>9.2142857142856555E-2</v>
      </c>
      <c r="CU90" s="20">
        <f ca="1">CU49-CU89</f>
        <v>31</v>
      </c>
      <c r="CV90" s="21">
        <f ca="1">CV49-CV89</f>
        <v>0.21469646964696035</v>
      </c>
      <c r="DB90" s="1" t="str">
        <f t="shared" ref="DB90" si="256">DB49</f>
        <v>0 to 0.2</v>
      </c>
      <c r="DC90" s="20">
        <f ca="1">(DC49*(DE90+DE89)-DC89*DE89)/DE90</f>
        <v>664.88888888890074</v>
      </c>
      <c r="DD90" s="22">
        <f ca="1">(CZ49-CZ48)/(CX49-CX48-CX67)</f>
        <v>6.7352941176471157E-2</v>
      </c>
      <c r="DE90" s="20">
        <f ca="1">DE49-DE89</f>
        <v>27</v>
      </c>
      <c r="DF90" s="21">
        <f ca="1">DF49-DF89</f>
        <v>0.11779966656459666</v>
      </c>
    </row>
    <row r="91" spans="1:114" x14ac:dyDescent="0.25">
      <c r="A91" s="1">
        <v>90</v>
      </c>
      <c r="B91" s="4">
        <v>7400</v>
      </c>
      <c r="C91" s="4">
        <v>15.5</v>
      </c>
      <c r="D91" s="4">
        <v>15.6</v>
      </c>
      <c r="E91" s="4">
        <f t="shared" si="104"/>
        <v>9.9999999999999645E-2</v>
      </c>
      <c r="F91" s="4">
        <v>1.9</v>
      </c>
      <c r="G91" s="4">
        <v>0.83</v>
      </c>
      <c r="H91" s="4">
        <v>79</v>
      </c>
      <c r="I91" s="4"/>
      <c r="J91" s="4">
        <v>49</v>
      </c>
      <c r="K91"/>
      <c r="L91"/>
      <c r="M91" s="4">
        <f t="shared" si="105"/>
        <v>15.6</v>
      </c>
      <c r="N91" s="4"/>
      <c r="O91" s="1">
        <f t="shared" si="106"/>
        <v>15.5</v>
      </c>
      <c r="P91" s="1">
        <f t="shared" si="107"/>
        <v>10.031999999999965</v>
      </c>
      <c r="Q91" s="1" t="str">
        <f t="shared" si="95"/>
        <v/>
      </c>
      <c r="R91" s="1" t="str">
        <f t="shared" si="108"/>
        <v/>
      </c>
      <c r="S91" s="1">
        <f t="shared" si="109"/>
        <v>346.67999999999995</v>
      </c>
      <c r="T91" s="1">
        <f t="shared" si="110"/>
        <v>0.83</v>
      </c>
      <c r="U91" s="1">
        <f t="shared" si="111"/>
        <v>527.99999999999818</v>
      </c>
      <c r="V91" s="1">
        <f t="shared" si="112"/>
        <v>438.23999999999847</v>
      </c>
      <c r="AJ91" s="1" t="str">
        <f t="shared" si="249"/>
        <v>0.2 to 0.4</v>
      </c>
      <c r="AK91" s="1">
        <f t="shared" ref="AK91:AN103" si="257">AK50</f>
        <v>1583.9999999999964</v>
      </c>
      <c r="AL91" s="1">
        <f t="shared" si="257"/>
        <v>0.39000000000000046</v>
      </c>
      <c r="AM91" s="1">
        <f t="shared" si="257"/>
        <v>1</v>
      </c>
      <c r="AN91" s="17">
        <f t="shared" ca="1" si="257"/>
        <v>4.4776119402984975E-2</v>
      </c>
      <c r="AT91" s="1" t="str">
        <f t="shared" si="250"/>
        <v>0.2 to 0.4</v>
      </c>
      <c r="AU91" s="1">
        <f t="shared" ref="AU91:AX103" si="258">AU50</f>
        <v>950.40000000000077</v>
      </c>
      <c r="AV91" s="1">
        <f t="shared" si="258"/>
        <v>0.29555555555555602</v>
      </c>
      <c r="AW91" s="1">
        <f t="shared" si="258"/>
        <v>20</v>
      </c>
      <c r="AX91" s="17">
        <f t="shared" ca="1" si="258"/>
        <v>8.910891089108916E-2</v>
      </c>
      <c r="BD91" s="1" t="str">
        <f t="shared" si="251"/>
        <v>0.2 to 0.4</v>
      </c>
      <c r="BE91" s="1">
        <f t="shared" si="251"/>
        <v>791.99999999999272</v>
      </c>
      <c r="BF91" s="1">
        <f t="shared" si="251"/>
        <v>0.37333333333333252</v>
      </c>
      <c r="BG91" s="1">
        <f t="shared" si="251"/>
        <v>2</v>
      </c>
      <c r="BH91" s="17">
        <f t="shared" ca="1" si="251"/>
        <v>4.0540540540540182E-2</v>
      </c>
      <c r="BN91" s="1" t="str">
        <f t="shared" si="252"/>
        <v>0.2 to 0.4</v>
      </c>
      <c r="BO91" s="1">
        <f t="shared" si="252"/>
        <v>792.000000000005</v>
      </c>
      <c r="BP91" s="1">
        <f t="shared" si="252"/>
        <v>0.27229166666666521</v>
      </c>
      <c r="BQ91" s="1">
        <f t="shared" si="252"/>
        <v>32</v>
      </c>
      <c r="BR91" s="17">
        <f t="shared" ca="1" si="252"/>
        <v>0.10322580645161356</v>
      </c>
      <c r="BX91" s="1" t="str">
        <f t="shared" ref="BX91:CB91" si="259">BX50</f>
        <v>0.2 to 0.4</v>
      </c>
      <c r="BY91" s="1">
        <f t="shared" si="259"/>
        <v>660.00000000001</v>
      </c>
      <c r="BZ91" s="1">
        <f t="shared" si="259"/>
        <v>0.25599999999999962</v>
      </c>
      <c r="CA91" s="1">
        <f t="shared" si="259"/>
        <v>8</v>
      </c>
      <c r="CB91" s="17">
        <f t="shared" ca="1" si="259"/>
        <v>6.6666666666667679E-2</v>
      </c>
      <c r="CH91" s="1" t="str">
        <f t="shared" ref="CH91:CL91" si="260">CH50</f>
        <v>0.2 to 0.4</v>
      </c>
      <c r="CI91" s="1">
        <f t="shared" si="260"/>
        <v>528.00000000005093</v>
      </c>
      <c r="CJ91" s="1">
        <f t="shared" si="260"/>
        <v>0.2599999999999934</v>
      </c>
      <c r="CK91" s="1">
        <f t="shared" si="260"/>
        <v>1</v>
      </c>
      <c r="CL91" s="17">
        <f t="shared" ca="1" si="260"/>
        <v>1.2195121951220706E-2</v>
      </c>
      <c r="CR91" s="1" t="str">
        <f t="shared" ref="CR91:CV91" si="261">CR50</f>
        <v>0.2 to 0.4</v>
      </c>
      <c r="CS91" s="1">
        <f t="shared" si="261"/>
        <v>733.33333333334144</v>
      </c>
      <c r="CT91" s="1">
        <f t="shared" si="261"/>
        <v>0.28160000000000046</v>
      </c>
      <c r="CU91" s="1">
        <f t="shared" si="261"/>
        <v>18</v>
      </c>
      <c r="CV91" s="17">
        <f t="shared" ca="1" si="261"/>
        <v>0.12626262626262758</v>
      </c>
      <c r="DB91" s="1" t="str">
        <f t="shared" ref="DB91:DF91" si="262">DB50</f>
        <v>0.2 to 0.4</v>
      </c>
      <c r="DC91" s="1">
        <f t="shared" si="262"/>
        <v>712.80000000000439</v>
      </c>
      <c r="DD91" s="1">
        <f t="shared" si="262"/>
        <v>0.30111111111111077</v>
      </c>
      <c r="DE91" s="1">
        <f t="shared" si="262"/>
        <v>20</v>
      </c>
      <c r="DF91" s="17">
        <f t="shared" ca="1" si="262"/>
        <v>9.2783505154639762E-2</v>
      </c>
    </row>
    <row r="92" spans="1:114" x14ac:dyDescent="0.25">
      <c r="A92" s="1">
        <v>91</v>
      </c>
      <c r="B92" s="4">
        <v>7400</v>
      </c>
      <c r="C92" s="4">
        <v>15.6</v>
      </c>
      <c r="D92" s="4">
        <v>15.7</v>
      </c>
      <c r="E92" s="4">
        <f t="shared" si="104"/>
        <v>9.9999999999999645E-2</v>
      </c>
      <c r="F92" s="4">
        <v>0</v>
      </c>
      <c r="G92" s="4">
        <v>0.12</v>
      </c>
      <c r="H92" s="4">
        <v>79</v>
      </c>
      <c r="I92" s="4"/>
      <c r="J92" s="4">
        <v>49</v>
      </c>
      <c r="K92"/>
      <c r="L92"/>
      <c r="M92" s="4">
        <f t="shared" si="105"/>
        <v>15.7</v>
      </c>
      <c r="N92" s="4"/>
      <c r="O92" s="1">
        <f t="shared" si="106"/>
        <v>15.6</v>
      </c>
      <c r="P92" s="1">
        <f t="shared" si="107"/>
        <v>0</v>
      </c>
      <c r="Q92" s="1" t="str">
        <f t="shared" si="95"/>
        <v/>
      </c>
      <c r="R92" s="1" t="str">
        <f t="shared" si="108"/>
        <v/>
      </c>
      <c r="S92" s="1">
        <f t="shared" si="109"/>
        <v>351.06239999999991</v>
      </c>
      <c r="T92" s="1">
        <f t="shared" si="110"/>
        <v>0.12</v>
      </c>
      <c r="U92" s="1">
        <f t="shared" si="111"/>
        <v>527.99999999999818</v>
      </c>
      <c r="V92" s="1">
        <f t="shared" si="112"/>
        <v>63.359999999999779</v>
      </c>
      <c r="AJ92" s="1" t="str">
        <f t="shared" si="249"/>
        <v>0.4 to 0.6</v>
      </c>
      <c r="AK92" s="1">
        <f t="shared" si="257"/>
        <v>1056</v>
      </c>
      <c r="AL92" s="1">
        <f t="shared" si="257"/>
        <v>0.57999999999999963</v>
      </c>
      <c r="AM92" s="1">
        <f t="shared" si="257"/>
        <v>3</v>
      </c>
      <c r="AN92" s="17">
        <f t="shared" ca="1" si="257"/>
        <v>8.9552238805970158E-2</v>
      </c>
      <c r="AT92" s="1" t="str">
        <f t="shared" si="250"/>
        <v>0.4 to 0.6</v>
      </c>
      <c r="AU92" s="1">
        <f t="shared" si="258"/>
        <v>732.38709677419172</v>
      </c>
      <c r="AV92" s="1">
        <f t="shared" si="258"/>
        <v>0.51697674418604633</v>
      </c>
      <c r="AW92" s="1">
        <f t="shared" si="258"/>
        <v>31</v>
      </c>
      <c r="AX92" s="17">
        <f t="shared" ca="1" si="258"/>
        <v>0.10643564356435616</v>
      </c>
      <c r="BD92" s="1" t="str">
        <f t="shared" si="251"/>
        <v>0.4 to 0.6</v>
      </c>
      <c r="BE92" s="1">
        <f t="shared" si="251"/>
        <v>0</v>
      </c>
      <c r="BF92" s="1">
        <f t="shared" si="251"/>
        <v>0</v>
      </c>
      <c r="BG92" s="1">
        <f t="shared" si="251"/>
        <v>0</v>
      </c>
      <c r="BH92" s="17">
        <f t="shared" ca="1" si="251"/>
        <v>0</v>
      </c>
      <c r="BN92" s="1" t="str">
        <f t="shared" si="252"/>
        <v>0.4 to 0.6</v>
      </c>
      <c r="BO92" s="1">
        <f t="shared" si="252"/>
        <v>663.77142857143269</v>
      </c>
      <c r="BP92" s="1">
        <f t="shared" si="252"/>
        <v>0.53340909090908772</v>
      </c>
      <c r="BQ92" s="1">
        <f t="shared" si="252"/>
        <v>35</v>
      </c>
      <c r="BR92" s="17">
        <f t="shared" ca="1" si="252"/>
        <v>9.4623655913979088E-2</v>
      </c>
      <c r="BX92" s="1" t="str">
        <f t="shared" ref="BX92:CB92" si="263">BX51</f>
        <v>0.4 to 0.6</v>
      </c>
      <c r="BY92" s="1">
        <f t="shared" si="263"/>
        <v>633.60000000002333</v>
      </c>
      <c r="BZ92" s="1">
        <f t="shared" si="263"/>
        <v>0.49166666666666653</v>
      </c>
      <c r="CA92" s="1">
        <f t="shared" si="263"/>
        <v>5</v>
      </c>
      <c r="CB92" s="17">
        <f t="shared" ca="1" si="263"/>
        <v>4.0000000000001472E-2</v>
      </c>
      <c r="CH92" s="1" t="str">
        <f t="shared" ref="CH92:CL92" si="264">CH51</f>
        <v>0.4 to 0.6</v>
      </c>
      <c r="CI92" s="1">
        <f t="shared" si="264"/>
        <v>968.00000000000603</v>
      </c>
      <c r="CJ92" s="1">
        <f t="shared" si="264"/>
        <v>0.49818181818181795</v>
      </c>
      <c r="CK92" s="1">
        <f t="shared" si="264"/>
        <v>6</v>
      </c>
      <c r="CL92" s="17">
        <f t="shared" ca="1" si="264"/>
        <v>0.13414634146341567</v>
      </c>
      <c r="CR92" s="1" t="str">
        <f t="shared" ref="CR92:CV92" si="265">CR51</f>
        <v>0.4 to 0.6</v>
      </c>
      <c r="CS92" s="1">
        <f t="shared" si="265"/>
        <v>750.31578947366961</v>
      </c>
      <c r="CT92" s="1">
        <f t="shared" si="265"/>
        <v>0.45518518518518503</v>
      </c>
      <c r="CU92" s="1">
        <f t="shared" si="265"/>
        <v>19</v>
      </c>
      <c r="CV92" s="17">
        <f t="shared" ca="1" si="265"/>
        <v>0.13636363636363366</v>
      </c>
      <c r="DB92" s="1" t="str">
        <f t="shared" ref="DB92:DF92" si="266">DB51</f>
        <v>0.4 to 0.6</v>
      </c>
      <c r="DC92" s="1">
        <f t="shared" si="266"/>
        <v>659.9999999999859</v>
      </c>
      <c r="DD92" s="1">
        <f t="shared" si="266"/>
        <v>0.48125000000000201</v>
      </c>
      <c r="DE92" s="1">
        <f t="shared" si="266"/>
        <v>32</v>
      </c>
      <c r="DF92" s="17">
        <f t="shared" ca="1" si="266"/>
        <v>0.13745704467353662</v>
      </c>
    </row>
    <row r="93" spans="1:114" x14ac:dyDescent="0.25">
      <c r="A93" s="1">
        <v>92</v>
      </c>
      <c r="B93" s="4">
        <v>7400</v>
      </c>
      <c r="C93" s="4">
        <v>15.7</v>
      </c>
      <c r="D93" s="4">
        <v>15.9</v>
      </c>
      <c r="E93" s="4">
        <f t="shared" si="104"/>
        <v>0.20000000000000107</v>
      </c>
      <c r="F93" s="4">
        <v>2</v>
      </c>
      <c r="G93" s="4">
        <v>0.4</v>
      </c>
      <c r="H93" s="4">
        <v>79</v>
      </c>
      <c r="I93" s="4"/>
      <c r="J93" s="4">
        <v>49</v>
      </c>
      <c r="K93"/>
      <c r="L93"/>
      <c r="M93" s="4">
        <f t="shared" si="105"/>
        <v>15.9</v>
      </c>
      <c r="N93" s="4"/>
      <c r="O93" s="1">
        <f t="shared" si="106"/>
        <v>15.7</v>
      </c>
      <c r="P93" s="1">
        <f t="shared" si="107"/>
        <v>21.120000000000111</v>
      </c>
      <c r="Q93" s="1" t="str">
        <f t="shared" si="95"/>
        <v/>
      </c>
      <c r="R93" s="1" t="str">
        <f t="shared" si="108"/>
        <v/>
      </c>
      <c r="S93" s="1">
        <f t="shared" si="109"/>
        <v>351.69599999999991</v>
      </c>
      <c r="T93" s="1">
        <f t="shared" si="110"/>
        <v>0.4</v>
      </c>
      <c r="U93" s="1">
        <f t="shared" si="111"/>
        <v>1056.0000000000057</v>
      </c>
      <c r="V93" s="1">
        <f t="shared" si="112"/>
        <v>422.40000000000231</v>
      </c>
      <c r="AJ93" s="1" t="str">
        <f t="shared" si="249"/>
        <v>0.6 to 0.8</v>
      </c>
      <c r="AK93" s="1">
        <f t="shared" si="257"/>
        <v>792.00000000000057</v>
      </c>
      <c r="AL93" s="1">
        <f t="shared" si="257"/>
        <v>0.71777777777777707</v>
      </c>
      <c r="AM93" s="1">
        <f t="shared" si="257"/>
        <v>6</v>
      </c>
      <c r="AN93" s="17">
        <f t="shared" ca="1" si="257"/>
        <v>0.13432835820895533</v>
      </c>
      <c r="AT93" s="1" t="str">
        <f t="shared" si="250"/>
        <v>0.6 to 0.8</v>
      </c>
      <c r="AU93" s="1">
        <f t="shared" si="258"/>
        <v>807.52941176470244</v>
      </c>
      <c r="AV93" s="1">
        <f t="shared" si="258"/>
        <v>0.66923076923076763</v>
      </c>
      <c r="AW93" s="1">
        <f t="shared" si="258"/>
        <v>17</v>
      </c>
      <c r="AX93" s="17">
        <f t="shared" ca="1" si="258"/>
        <v>6.4356435643564081E-2</v>
      </c>
      <c r="BD93" s="1" t="str">
        <f t="shared" si="251"/>
        <v>0.6 to 0.8</v>
      </c>
      <c r="BE93" s="1">
        <f t="shared" si="251"/>
        <v>527.99999999999511</v>
      </c>
      <c r="BF93" s="1">
        <f t="shared" si="251"/>
        <v>0.72999999999999965</v>
      </c>
      <c r="BG93" s="1">
        <f t="shared" si="251"/>
        <v>3</v>
      </c>
      <c r="BH93" s="17">
        <f t="shared" ca="1" si="251"/>
        <v>4.0540540540540182E-2</v>
      </c>
      <c r="BN93" s="1" t="str">
        <f t="shared" si="252"/>
        <v>0.6 to 0.8</v>
      </c>
      <c r="BO93" s="1">
        <f t="shared" si="252"/>
        <v>633.60000000000252</v>
      </c>
      <c r="BP93" s="1">
        <f t="shared" si="252"/>
        <v>0.68214285714285561</v>
      </c>
      <c r="BQ93" s="1">
        <f t="shared" si="252"/>
        <v>35</v>
      </c>
      <c r="BR93" s="17">
        <f t="shared" ca="1" si="252"/>
        <v>9.0322580645161632E-2</v>
      </c>
      <c r="BX93" s="1" t="str">
        <f t="shared" ref="BX93:CB93" si="267">BX52</f>
        <v>0.6 to 0.8</v>
      </c>
      <c r="BY93" s="1">
        <f t="shared" si="267"/>
        <v>1056.0000000000146</v>
      </c>
      <c r="BZ93" s="1">
        <f t="shared" si="267"/>
        <v>0.69500000000000117</v>
      </c>
      <c r="CA93" s="1">
        <f t="shared" si="267"/>
        <v>5</v>
      </c>
      <c r="CB93" s="17">
        <f t="shared" ca="1" si="267"/>
        <v>6.6666666666667582E-2</v>
      </c>
      <c r="CH93" s="1" t="str">
        <f t="shared" ref="CH93:CL93" si="268">CH52</f>
        <v>0.6 to 0.8</v>
      </c>
      <c r="CI93" s="1">
        <f t="shared" si="268"/>
        <v>528.00000000001091</v>
      </c>
      <c r="CJ93" s="1">
        <f t="shared" si="268"/>
        <v>0.64999999999999825</v>
      </c>
      <c r="CK93" s="1">
        <f t="shared" si="268"/>
        <v>2</v>
      </c>
      <c r="CL93" s="17">
        <f t="shared" ca="1" si="268"/>
        <v>2.4390243902439563E-2</v>
      </c>
      <c r="CR93" s="1" t="str">
        <f t="shared" ref="CR93:CV93" si="269">CR52</f>
        <v>0.6 to 0.8</v>
      </c>
      <c r="CS93" s="1">
        <f t="shared" si="269"/>
        <v>609.23076923078042</v>
      </c>
      <c r="CT93" s="1">
        <f t="shared" si="269"/>
        <v>0.68533333333333313</v>
      </c>
      <c r="CU93" s="1">
        <f t="shared" si="269"/>
        <v>13</v>
      </c>
      <c r="CV93" s="17">
        <f t="shared" ca="1" si="269"/>
        <v>7.5757575757577106E-2</v>
      </c>
      <c r="DB93" s="1" t="str">
        <f t="shared" ref="DB93:DF93" si="270">DB52</f>
        <v>0.6 to 0.8</v>
      </c>
      <c r="DC93" s="1">
        <f t="shared" si="270"/>
        <v>672.00000000001592</v>
      </c>
      <c r="DD93" s="1">
        <f t="shared" si="270"/>
        <v>0.67857142857142827</v>
      </c>
      <c r="DE93" s="1">
        <f t="shared" si="270"/>
        <v>11</v>
      </c>
      <c r="DF93" s="17">
        <f t="shared" ca="1" si="270"/>
        <v>4.8109965635739972E-2</v>
      </c>
    </row>
    <row r="94" spans="1:114" x14ac:dyDescent="0.25">
      <c r="A94" s="1">
        <v>93</v>
      </c>
      <c r="B94" s="4">
        <v>7400</v>
      </c>
      <c r="C94" s="4">
        <v>15.9</v>
      </c>
      <c r="D94" s="4">
        <v>16.100000000000001</v>
      </c>
      <c r="E94" s="4">
        <f t="shared" si="104"/>
        <v>0.20000000000000107</v>
      </c>
      <c r="F94" s="4">
        <v>0</v>
      </c>
      <c r="G94" s="4">
        <v>-0.5</v>
      </c>
      <c r="H94" s="4">
        <v>79</v>
      </c>
      <c r="I94" s="4"/>
      <c r="J94" s="4">
        <v>49</v>
      </c>
      <c r="K94"/>
      <c r="L94"/>
      <c r="M94" s="4">
        <f t="shared" si="105"/>
        <v>16.100000000000001</v>
      </c>
      <c r="N94" s="4"/>
      <c r="O94" s="1">
        <f t="shared" si="106"/>
        <v>15.9</v>
      </c>
      <c r="P94" s="1">
        <f t="shared" si="107"/>
        <v>0</v>
      </c>
      <c r="Q94" s="1" t="str">
        <f t="shared" si="95"/>
        <v/>
      </c>
      <c r="R94" s="1" t="str">
        <f t="shared" si="108"/>
        <v/>
      </c>
      <c r="S94" s="1">
        <f t="shared" si="109"/>
        <v>355.91999999999996</v>
      </c>
      <c r="T94" s="1">
        <f t="shared" si="110"/>
        <v>-0.5</v>
      </c>
      <c r="U94" s="1">
        <f t="shared" si="111"/>
        <v>1056.0000000000057</v>
      </c>
      <c r="V94" s="1">
        <f t="shared" si="112"/>
        <v>528.00000000000284</v>
      </c>
      <c r="AJ94" s="1" t="str">
        <f t="shared" si="249"/>
        <v>0.8 to 1</v>
      </c>
      <c r="AK94" s="1">
        <f t="shared" si="257"/>
        <v>1214.4000000000001</v>
      </c>
      <c r="AL94" s="1">
        <f t="shared" si="257"/>
        <v>0.85521739130434782</v>
      </c>
      <c r="AM94" s="1">
        <f t="shared" si="257"/>
        <v>10</v>
      </c>
      <c r="AN94" s="17">
        <f t="shared" ca="1" si="257"/>
        <v>0.34328358208955223</v>
      </c>
      <c r="AP94" s="1" t="s">
        <v>46</v>
      </c>
      <c r="AT94" s="1" t="str">
        <f t="shared" si="250"/>
        <v>0.8 to 1</v>
      </c>
      <c r="AU94" s="1">
        <f t="shared" si="258"/>
        <v>871.19999999999925</v>
      </c>
      <c r="AV94" s="1">
        <f t="shared" si="258"/>
        <v>0.90045454545454517</v>
      </c>
      <c r="AW94" s="1">
        <f t="shared" si="258"/>
        <v>40</v>
      </c>
      <c r="AX94" s="17">
        <f t="shared" ca="1" si="258"/>
        <v>0.16336633663366321</v>
      </c>
      <c r="AZ94" s="1" t="s">
        <v>46</v>
      </c>
      <c r="BD94" s="1" t="str">
        <f t="shared" si="251"/>
        <v>0.8 to 1</v>
      </c>
      <c r="BE94" s="1">
        <f t="shared" si="251"/>
        <v>528</v>
      </c>
      <c r="BF94" s="1">
        <f t="shared" si="251"/>
        <v>0.99000000000000221</v>
      </c>
      <c r="BG94" s="1">
        <f t="shared" si="251"/>
        <v>5</v>
      </c>
      <c r="BH94" s="17">
        <f t="shared" ca="1" si="251"/>
        <v>6.7567567567567585E-2</v>
      </c>
      <c r="BJ94" s="1" t="s">
        <v>46</v>
      </c>
      <c r="BN94" s="1" t="str">
        <f t="shared" si="252"/>
        <v>0.8 to 1</v>
      </c>
      <c r="BO94" s="1">
        <f t="shared" si="252"/>
        <v>883.82608695652868</v>
      </c>
      <c r="BP94" s="1">
        <f t="shared" si="252"/>
        <v>0.92584415584414848</v>
      </c>
      <c r="BQ94" s="1">
        <f t="shared" si="252"/>
        <v>46</v>
      </c>
      <c r="BR94" s="17">
        <f t="shared" ca="1" si="252"/>
        <v>0.16559139784946367</v>
      </c>
      <c r="BT94" s="1" t="s">
        <v>46</v>
      </c>
      <c r="BX94" s="1" t="str">
        <f t="shared" ref="BX94:CB94" si="271">BX53</f>
        <v>0.8 to 1</v>
      </c>
      <c r="BY94" s="1">
        <f t="shared" si="271"/>
        <v>1372.7999999999824</v>
      </c>
      <c r="BZ94" s="1">
        <f t="shared" si="271"/>
        <v>0.95615384615384624</v>
      </c>
      <c r="CA94" s="1">
        <f t="shared" si="271"/>
        <v>5</v>
      </c>
      <c r="CB94" s="17">
        <f t="shared" ca="1" si="271"/>
        <v>8.6666666666665559E-2</v>
      </c>
      <c r="CD94" s="1" t="s">
        <v>46</v>
      </c>
      <c r="CH94" s="1" t="str">
        <f t="shared" ref="CH94:CL94" si="272">CH53</f>
        <v>0.8 to 1</v>
      </c>
      <c r="CI94" s="1">
        <f t="shared" si="272"/>
        <v>703.99999999998545</v>
      </c>
      <c r="CJ94" s="1">
        <f t="shared" si="272"/>
        <v>0.88000000000000334</v>
      </c>
      <c r="CK94" s="1">
        <f t="shared" si="272"/>
        <v>3</v>
      </c>
      <c r="CL94" s="17">
        <f t="shared" ca="1" si="272"/>
        <v>4.8780487804877114E-2</v>
      </c>
      <c r="CN94" s="1" t="s">
        <v>46</v>
      </c>
      <c r="CR94" s="1" t="str">
        <f t="shared" ref="CR94:CV94" si="273">CR53</f>
        <v>0.8 to 1</v>
      </c>
      <c r="CS94" s="1">
        <f t="shared" si="273"/>
        <v>1056.000000000013</v>
      </c>
      <c r="CT94" s="1">
        <f t="shared" si="273"/>
        <v>0.92222222222222272</v>
      </c>
      <c r="CU94" s="1">
        <f t="shared" si="273"/>
        <v>9</v>
      </c>
      <c r="CV94" s="17">
        <f t="shared" ca="1" si="273"/>
        <v>9.0909090909091966E-2</v>
      </c>
      <c r="CX94" s="1" t="s">
        <v>46</v>
      </c>
      <c r="DB94" s="1" t="str">
        <f t="shared" ref="DB94:DF94" si="274">DB53</f>
        <v>0.8 to 1</v>
      </c>
      <c r="DC94" s="1">
        <f t="shared" si="274"/>
        <v>821.33333333333985</v>
      </c>
      <c r="DD94" s="1">
        <f t="shared" si="274"/>
        <v>0.8607142857142821</v>
      </c>
      <c r="DE94" s="1">
        <f t="shared" si="274"/>
        <v>9</v>
      </c>
      <c r="DF94" s="17">
        <f t="shared" ca="1" si="274"/>
        <v>4.8109965635739223E-2</v>
      </c>
      <c r="DH94" s="1" t="s">
        <v>46</v>
      </c>
    </row>
    <row r="95" spans="1:114" x14ac:dyDescent="0.25">
      <c r="A95" s="1">
        <v>94</v>
      </c>
      <c r="B95" s="4">
        <v>7400</v>
      </c>
      <c r="C95" s="4">
        <v>16.100000000000001</v>
      </c>
      <c r="D95" s="4">
        <v>16.3</v>
      </c>
      <c r="E95" s="4">
        <f t="shared" si="104"/>
        <v>0.19999999999999929</v>
      </c>
      <c r="F95" s="4">
        <v>0</v>
      </c>
      <c r="G95" s="4">
        <v>-0.2</v>
      </c>
      <c r="H95" s="4">
        <v>79</v>
      </c>
      <c r="I95" s="4"/>
      <c r="J95" s="4">
        <v>49</v>
      </c>
      <c r="K95"/>
      <c r="L95"/>
      <c r="M95" s="4">
        <f t="shared" si="105"/>
        <v>16.3</v>
      </c>
      <c r="N95" s="4"/>
      <c r="O95" s="1">
        <f t="shared" si="106"/>
        <v>16.100000000000001</v>
      </c>
      <c r="P95" s="1">
        <f t="shared" si="107"/>
        <v>0</v>
      </c>
      <c r="Q95" s="1" t="str">
        <f t="shared" si="95"/>
        <v/>
      </c>
      <c r="R95" s="1" t="str">
        <f t="shared" si="108"/>
        <v/>
      </c>
      <c r="S95" s="1">
        <f t="shared" si="109"/>
        <v>350.63999999999993</v>
      </c>
      <c r="T95" s="1">
        <f t="shared" si="110"/>
        <v>-0.2</v>
      </c>
      <c r="U95" s="1">
        <f t="shared" si="111"/>
        <v>1055.9999999999964</v>
      </c>
      <c r="V95" s="1">
        <f t="shared" si="112"/>
        <v>211.19999999999928</v>
      </c>
      <c r="AJ95" s="1" t="str">
        <f t="shared" si="249"/>
        <v>1 to 1.2</v>
      </c>
      <c r="AK95" s="1">
        <f t="shared" si="257"/>
        <v>880</v>
      </c>
      <c r="AL95" s="1">
        <f t="shared" si="257"/>
        <v>1.0720000000000021</v>
      </c>
      <c r="AM95" s="1">
        <f t="shared" si="257"/>
        <v>3</v>
      </c>
      <c r="AN95" s="17">
        <f t="shared" ca="1" si="257"/>
        <v>7.4626865671641798E-2</v>
      </c>
      <c r="AO95" s="5" t="s">
        <v>21</v>
      </c>
      <c r="AP95" s="5" t="s">
        <v>22</v>
      </c>
      <c r="AQ95" s="5" t="s">
        <v>23</v>
      </c>
      <c r="AR95" s="5" t="s">
        <v>31</v>
      </c>
      <c r="AT95" s="1" t="str">
        <f t="shared" si="250"/>
        <v>1 to 1.2</v>
      </c>
      <c r="AU95" s="1">
        <f t="shared" si="258"/>
        <v>1056.0000000000027</v>
      </c>
      <c r="AV95" s="1">
        <f t="shared" si="258"/>
        <v>1.0595454545454588</v>
      </c>
      <c r="AW95" s="1">
        <f t="shared" si="258"/>
        <v>11</v>
      </c>
      <c r="AX95" s="17">
        <f t="shared" ca="1" si="258"/>
        <v>5.4455445544554587E-2</v>
      </c>
      <c r="AY95" s="5" t="s">
        <v>21</v>
      </c>
      <c r="AZ95" s="5" t="s">
        <v>22</v>
      </c>
      <c r="BA95" s="5" t="s">
        <v>23</v>
      </c>
      <c r="BB95" s="5" t="s">
        <v>31</v>
      </c>
      <c r="BD95" s="1" t="str">
        <f t="shared" si="251"/>
        <v>1 to 1.2</v>
      </c>
      <c r="BE95" s="1">
        <f t="shared" si="251"/>
        <v>0</v>
      </c>
      <c r="BF95" s="1">
        <f t="shared" si="251"/>
        <v>0</v>
      </c>
      <c r="BG95" s="1">
        <f t="shared" si="251"/>
        <v>0</v>
      </c>
      <c r="BH95" s="17">
        <f t="shared" ca="1" si="251"/>
        <v>0</v>
      </c>
      <c r="BI95" s="5" t="s">
        <v>21</v>
      </c>
      <c r="BJ95" s="5" t="s">
        <v>22</v>
      </c>
      <c r="BK95" s="5" t="s">
        <v>23</v>
      </c>
      <c r="BL95" s="5" t="s">
        <v>31</v>
      </c>
      <c r="BN95" s="1" t="str">
        <f t="shared" si="252"/>
        <v>1 to 1.2</v>
      </c>
      <c r="BO95" s="1">
        <f t="shared" si="252"/>
        <v>726.00000000000364</v>
      </c>
      <c r="BP95" s="1">
        <f t="shared" si="252"/>
        <v>1.0318181818181797</v>
      </c>
      <c r="BQ95" s="1">
        <f t="shared" si="252"/>
        <v>8</v>
      </c>
      <c r="BR95" s="17">
        <f t="shared" ca="1" si="252"/>
        <v>2.3655913978494741E-2</v>
      </c>
      <c r="BS95" s="5" t="s">
        <v>21</v>
      </c>
      <c r="BT95" s="5" t="s">
        <v>22</v>
      </c>
      <c r="BU95" s="5" t="s">
        <v>23</v>
      </c>
      <c r="BV95" s="5" t="s">
        <v>31</v>
      </c>
      <c r="BX95" s="1" t="str">
        <f t="shared" ref="BX95:CB95" si="275">BX54</f>
        <v>1 to 1.2</v>
      </c>
      <c r="BY95" s="1">
        <f t="shared" si="275"/>
        <v>0</v>
      </c>
      <c r="BZ95" s="1">
        <f t="shared" si="275"/>
        <v>0</v>
      </c>
      <c r="CA95" s="1">
        <f t="shared" si="275"/>
        <v>0</v>
      </c>
      <c r="CB95" s="17">
        <f t="shared" ca="1" si="275"/>
        <v>0</v>
      </c>
      <c r="CC95" s="5" t="s">
        <v>21</v>
      </c>
      <c r="CD95" s="5" t="s">
        <v>22</v>
      </c>
      <c r="CE95" s="5" t="s">
        <v>23</v>
      </c>
      <c r="CF95" s="5" t="s">
        <v>31</v>
      </c>
      <c r="CH95" s="1" t="str">
        <f t="shared" ref="CH95:CL95" si="276">CH54</f>
        <v>1 to 1.2</v>
      </c>
      <c r="CI95" s="1">
        <f t="shared" si="276"/>
        <v>0</v>
      </c>
      <c r="CJ95" s="1">
        <f t="shared" si="276"/>
        <v>0</v>
      </c>
      <c r="CK95" s="1">
        <f t="shared" si="276"/>
        <v>0</v>
      </c>
      <c r="CL95" s="17">
        <f t="shared" ca="1" si="276"/>
        <v>0</v>
      </c>
      <c r="CM95" s="5" t="s">
        <v>21</v>
      </c>
      <c r="CN95" s="5" t="s">
        <v>22</v>
      </c>
      <c r="CO95" s="5" t="s">
        <v>23</v>
      </c>
      <c r="CP95" s="5" t="s">
        <v>31</v>
      </c>
      <c r="CR95" s="1" t="str">
        <f t="shared" ref="CR95:CV95" si="277">CR54</f>
        <v>1 to 1.2</v>
      </c>
      <c r="CS95" s="1">
        <f t="shared" si="277"/>
        <v>879.99999999998784</v>
      </c>
      <c r="CT95" s="1">
        <f t="shared" si="277"/>
        <v>1.0600000000000007</v>
      </c>
      <c r="CU95" s="1">
        <f t="shared" si="277"/>
        <v>6</v>
      </c>
      <c r="CV95" s="17">
        <f t="shared" ca="1" si="277"/>
        <v>5.0505050505049782E-2</v>
      </c>
      <c r="CW95" s="5" t="s">
        <v>21</v>
      </c>
      <c r="CX95" s="5" t="s">
        <v>22</v>
      </c>
      <c r="CY95" s="5" t="s">
        <v>23</v>
      </c>
      <c r="CZ95" s="5" t="s">
        <v>31</v>
      </c>
      <c r="DB95" s="1" t="str">
        <f t="shared" ref="DB95:DF95" si="278">DB54</f>
        <v>1 to 1.2</v>
      </c>
      <c r="DC95" s="1">
        <f t="shared" si="278"/>
        <v>527.9999999999709</v>
      </c>
      <c r="DD95" s="1">
        <f t="shared" si="278"/>
        <v>1.0200000000000242</v>
      </c>
      <c r="DE95" s="1">
        <f t="shared" si="278"/>
        <v>2</v>
      </c>
      <c r="DF95" s="17">
        <f t="shared" ca="1" si="278"/>
        <v>6.8728522336765976E-3</v>
      </c>
      <c r="DG95" s="5" t="s">
        <v>21</v>
      </c>
      <c r="DH95" s="5" t="s">
        <v>22</v>
      </c>
      <c r="DI95" s="5" t="s">
        <v>23</v>
      </c>
      <c r="DJ95" s="5" t="s">
        <v>31</v>
      </c>
    </row>
    <row r="96" spans="1:114" x14ac:dyDescent="0.25">
      <c r="A96" s="1">
        <v>95</v>
      </c>
      <c r="B96" s="4">
        <v>7400</v>
      </c>
      <c r="C96" s="4">
        <v>16.3</v>
      </c>
      <c r="D96" s="4">
        <v>16.400000000000002</v>
      </c>
      <c r="E96" s="4">
        <f t="shared" si="104"/>
        <v>0.10000000000000142</v>
      </c>
      <c r="F96" s="4">
        <v>0</v>
      </c>
      <c r="G96" s="4">
        <v>0.18</v>
      </c>
      <c r="H96" s="4">
        <v>79</v>
      </c>
      <c r="I96" s="4"/>
      <c r="J96" s="4">
        <v>49</v>
      </c>
      <c r="K96"/>
      <c r="L96"/>
      <c r="M96" s="4">
        <f t="shared" si="105"/>
        <v>16.400000000000002</v>
      </c>
      <c r="N96" s="4"/>
      <c r="O96" s="1">
        <f t="shared" si="106"/>
        <v>16.3</v>
      </c>
      <c r="P96" s="1">
        <f t="shared" si="107"/>
        <v>0</v>
      </c>
      <c r="Q96" s="1" t="str">
        <f t="shared" si="95"/>
        <v/>
      </c>
      <c r="R96" s="1" t="str">
        <f t="shared" si="108"/>
        <v/>
      </c>
      <c r="S96" s="1">
        <f t="shared" si="109"/>
        <v>348.52799999999996</v>
      </c>
      <c r="T96" s="1">
        <f t="shared" si="110"/>
        <v>0.18</v>
      </c>
      <c r="U96" s="1">
        <f t="shared" si="111"/>
        <v>528.0000000000075</v>
      </c>
      <c r="V96" s="1">
        <f t="shared" si="112"/>
        <v>95.040000000001342</v>
      </c>
      <c r="AJ96" s="1" t="str">
        <f t="shared" si="249"/>
        <v>1.2 to 1.4</v>
      </c>
      <c r="AK96" s="1">
        <f t="shared" si="257"/>
        <v>0</v>
      </c>
      <c r="AL96" s="1">
        <f t="shared" si="257"/>
        <v>0</v>
      </c>
      <c r="AM96" s="1">
        <f t="shared" si="257"/>
        <v>0</v>
      </c>
      <c r="AN96" s="17">
        <f t="shared" ca="1" si="257"/>
        <v>0</v>
      </c>
      <c r="AO96" s="1">
        <f>IF(SUM(AM55:AM66)=0,0,SUMPRODUCT(AK55:AK66,AM55:AM66)/SUM(AM55:AM66))</f>
        <v>0</v>
      </c>
      <c r="AP96" s="1">
        <f>IF(SUM(AM55:AM66)=0,0,SUMPRODUCT(AK55:AK66,AM55:AM66,AL55:AL66)/SUMPRODUCT(AK55:AK66,AM55:AM66))</f>
        <v>0</v>
      </c>
      <c r="AQ96" s="1">
        <f>SUM(AM55:AM66)</f>
        <v>0</v>
      </c>
      <c r="AR96" s="17">
        <f ca="1">SUM(AN55:AN66)</f>
        <v>0</v>
      </c>
      <c r="AT96" s="1" t="str">
        <f t="shared" si="250"/>
        <v>1.2 to 1.4</v>
      </c>
      <c r="AU96" s="1">
        <f t="shared" si="258"/>
        <v>1056</v>
      </c>
      <c r="AV96" s="1">
        <f t="shared" si="258"/>
        <v>1.2200000000000066</v>
      </c>
      <c r="AW96" s="1">
        <f t="shared" si="258"/>
        <v>1</v>
      </c>
      <c r="AX96" s="17">
        <f t="shared" ca="1" si="258"/>
        <v>4.9504950495049497E-3</v>
      </c>
      <c r="AY96" s="1">
        <f>IF(SUM(AW55:AW66)=0,0,SUMPRODUCT(AU55:AU66,AW55:AW66)/SUM(AW55:AW66))</f>
        <v>791.99999999998545</v>
      </c>
      <c r="AZ96" s="1">
        <f>IF(SUM(AW55:AW66)=0,0,SUMPRODUCT(AU55:AU66,AW55:AW66,AV55:AV66)/SUMPRODUCT(AU55:AU66,AW55:AW66))</f>
        <v>1.3533333333333446</v>
      </c>
      <c r="BA96" s="1">
        <f>SUM(AW55:AW66)</f>
        <v>2</v>
      </c>
      <c r="BB96" s="17">
        <f ca="1">SUM(AX55:AX66)</f>
        <v>7.4257425742572884E-3</v>
      </c>
      <c r="BD96" s="1" t="str">
        <f t="shared" si="251"/>
        <v>1.2 to 1.4</v>
      </c>
      <c r="BE96" s="1">
        <f t="shared" si="251"/>
        <v>0</v>
      </c>
      <c r="BF96" s="1">
        <f t="shared" si="251"/>
        <v>0</v>
      </c>
      <c r="BG96" s="1">
        <f t="shared" si="251"/>
        <v>0</v>
      </c>
      <c r="BH96" s="17">
        <f t="shared" ca="1" si="251"/>
        <v>0</v>
      </c>
      <c r="BI96" s="1">
        <f>IF(SUM(BG55:BG66)=0,0,SUMPRODUCT(BE55:BE66,BG55:BG66)/SUM(BG55:BG66))</f>
        <v>0</v>
      </c>
      <c r="BJ96" s="1">
        <f>IF(SUM(BG55:BG66)=0,0,SUMPRODUCT(BE55:BE66,BG55:BG66,BF55:BF66)/SUMPRODUCT(BE55:BE66,BG55:BG66))</f>
        <v>0</v>
      </c>
      <c r="BK96" s="1">
        <f>SUM(BG55:BG66)</f>
        <v>0</v>
      </c>
      <c r="BL96" s="17">
        <f ca="1">SUM(BH55:BH66)</f>
        <v>0</v>
      </c>
      <c r="BN96" s="1" t="str">
        <f t="shared" si="252"/>
        <v>1.2 to 1.4</v>
      </c>
      <c r="BO96" s="1">
        <f t="shared" si="252"/>
        <v>0</v>
      </c>
      <c r="BP96" s="1">
        <f t="shared" si="252"/>
        <v>0</v>
      </c>
      <c r="BQ96" s="1">
        <f t="shared" si="252"/>
        <v>0</v>
      </c>
      <c r="BR96" s="17">
        <f t="shared" ca="1" si="252"/>
        <v>0</v>
      </c>
      <c r="BS96" s="1">
        <f>IF(SUM(BQ55:BQ66)=0,0,SUMPRODUCT(BO55:BO66,BQ55:BQ66)/SUM(BQ55:BQ66))</f>
        <v>0</v>
      </c>
      <c r="BT96" s="1">
        <f>IF(SUM(BQ55:BQ66)=0,0,SUMPRODUCT(BO55:BO66,BQ55:BQ66,BP55:BP66)/SUMPRODUCT(BO55:BO66,BQ55:BQ66))</f>
        <v>0</v>
      </c>
      <c r="BU96" s="1">
        <f>SUM(BQ55:BQ66)</f>
        <v>0</v>
      </c>
      <c r="BV96" s="17">
        <f ca="1">SUM(BR55:BR66)</f>
        <v>0</v>
      </c>
      <c r="BX96" s="1" t="str">
        <f t="shared" ref="BX96:CB96" si="279">BX55</f>
        <v>1.2 to 1.4</v>
      </c>
      <c r="BY96" s="1">
        <f t="shared" si="279"/>
        <v>0</v>
      </c>
      <c r="BZ96" s="1">
        <f t="shared" si="279"/>
        <v>0</v>
      </c>
      <c r="CA96" s="1">
        <f t="shared" si="279"/>
        <v>0</v>
      </c>
      <c r="CB96" s="17">
        <f t="shared" ca="1" si="279"/>
        <v>0</v>
      </c>
      <c r="CC96" s="1">
        <f>IF(SUM(CA55:CA66)=0,0,SUMPRODUCT(BY55:BY66,CA55:CA66)/SUM(CA55:CA66))</f>
        <v>0</v>
      </c>
      <c r="CD96" s="1">
        <f>IF(SUM(CA55:CA66)=0,0,SUMPRODUCT(BY55:BY66,CA55:CA66,BZ55:BZ66)/SUMPRODUCT(BY55:BY66,CA55:CA66))</f>
        <v>0</v>
      </c>
      <c r="CE96" s="1">
        <f>SUM(CA55:CA66)</f>
        <v>0</v>
      </c>
      <c r="CF96" s="17">
        <f ca="1">SUM(CB55:CB66)</f>
        <v>0</v>
      </c>
      <c r="CH96" s="1" t="str">
        <f t="shared" ref="CH96:CL96" si="280">CH55</f>
        <v>1.2 to 1.4</v>
      </c>
      <c r="CI96" s="1">
        <f t="shared" si="280"/>
        <v>0</v>
      </c>
      <c r="CJ96" s="1">
        <f t="shared" si="280"/>
        <v>0</v>
      </c>
      <c r="CK96" s="1">
        <f t="shared" si="280"/>
        <v>0</v>
      </c>
      <c r="CL96" s="17">
        <f t="shared" ca="1" si="280"/>
        <v>0</v>
      </c>
      <c r="CM96" s="1">
        <f>IF(SUM(CK55:CK66)=0,0,SUMPRODUCT(CI55:CI66,CK55:CK66)/SUM(CK55:CK66))</f>
        <v>0</v>
      </c>
      <c r="CN96" s="1">
        <f>IF(SUM(CK55:CK66)=0,0,SUMPRODUCT(CI55:CI66,CK55:CK66,CJ55:CJ66)/SUMPRODUCT(CI55:CI66,CK55:CK66))</f>
        <v>0</v>
      </c>
      <c r="CO96" s="1">
        <f>SUM(CK55:CK66)</f>
        <v>0</v>
      </c>
      <c r="CP96" s="17">
        <f ca="1">SUM(CL55:CL66)</f>
        <v>0</v>
      </c>
      <c r="CR96" s="1" t="str">
        <f t="shared" ref="CR96:CV96" si="281">CR55</f>
        <v>1.2 to 1.4</v>
      </c>
      <c r="CS96" s="1">
        <f t="shared" si="281"/>
        <v>0</v>
      </c>
      <c r="CT96" s="1">
        <f t="shared" si="281"/>
        <v>0</v>
      </c>
      <c r="CU96" s="1">
        <f t="shared" si="281"/>
        <v>0</v>
      </c>
      <c r="CV96" s="17">
        <f t="shared" ca="1" si="281"/>
        <v>0</v>
      </c>
      <c r="CW96" s="1">
        <f>IF(SUM(CU55:CU66)=0,0,SUMPRODUCT(CS55:CS66,CU55:CU66)/SUM(CU55:CU66))</f>
        <v>0</v>
      </c>
      <c r="CX96" s="1">
        <f>IF(SUM(CU55:CU66)=0,0,SUMPRODUCT(CS55:CS66,CU55:CU66,CT55:CT66)/SUMPRODUCT(CS55:CS66,CU55:CU66))</f>
        <v>0</v>
      </c>
      <c r="CY96" s="1">
        <f>SUM(CU55:CU66)</f>
        <v>0</v>
      </c>
      <c r="CZ96" s="17">
        <f ca="1">SUM(CV55:CV66)</f>
        <v>0</v>
      </c>
      <c r="DB96" s="1" t="str">
        <f t="shared" ref="DB96:DF96" si="282">DB55</f>
        <v>1.2 to 1.4</v>
      </c>
      <c r="DC96" s="1">
        <f t="shared" si="282"/>
        <v>0</v>
      </c>
      <c r="DD96" s="1">
        <f t="shared" si="282"/>
        <v>0</v>
      </c>
      <c r="DE96" s="1">
        <f t="shared" si="282"/>
        <v>0</v>
      </c>
      <c r="DF96" s="17">
        <f t="shared" ca="1" si="282"/>
        <v>0</v>
      </c>
      <c r="DG96" s="1">
        <f>IF(SUM(DE55:DE66)=0,0,SUMPRODUCT(DC55:DC66,DE55:DE66)/SUM(DE55:DE66))</f>
        <v>0</v>
      </c>
      <c r="DH96" s="1">
        <f>IF(SUM(DE55:DE66)=0,0,SUMPRODUCT(DC55:DC66,DE55:DE66,DD55:DD66)/SUMPRODUCT(DC55:DC66,DE55:DE66))</f>
        <v>0</v>
      </c>
      <c r="DI96" s="1">
        <f>SUM(DE55:DE66)</f>
        <v>0</v>
      </c>
      <c r="DJ96" s="17">
        <f ca="1">SUM(DF55:DF66)</f>
        <v>0</v>
      </c>
    </row>
    <row r="97" spans="1:110" x14ac:dyDescent="0.25">
      <c r="A97" s="1">
        <v>96</v>
      </c>
      <c r="B97" s="4">
        <v>7400</v>
      </c>
      <c r="C97" s="4">
        <v>16.400000000000002</v>
      </c>
      <c r="D97" s="4">
        <v>16.5</v>
      </c>
      <c r="E97" s="4">
        <f t="shared" si="104"/>
        <v>9.9999999999997868E-2</v>
      </c>
      <c r="F97" s="4">
        <v>0</v>
      </c>
      <c r="G97" s="4">
        <v>0.33</v>
      </c>
      <c r="H97" s="4">
        <v>79</v>
      </c>
      <c r="I97" s="4"/>
      <c r="J97" s="4">
        <v>49</v>
      </c>
      <c r="K97"/>
      <c r="L97"/>
      <c r="M97" s="4">
        <f t="shared" si="105"/>
        <v>16.5</v>
      </c>
      <c r="N97" s="4"/>
      <c r="O97" s="1">
        <f t="shared" si="106"/>
        <v>16.400000000000002</v>
      </c>
      <c r="P97" s="1">
        <f t="shared" si="107"/>
        <v>0</v>
      </c>
      <c r="Q97" s="1" t="str">
        <f t="shared" si="95"/>
        <v/>
      </c>
      <c r="R97" s="1" t="str">
        <f t="shared" si="108"/>
        <v/>
      </c>
      <c r="S97" s="1">
        <f t="shared" si="109"/>
        <v>349.47839999999997</v>
      </c>
      <c r="T97" s="1">
        <f t="shared" si="110"/>
        <v>0.33</v>
      </c>
      <c r="U97" s="1">
        <f t="shared" si="111"/>
        <v>527.99999999998875</v>
      </c>
      <c r="V97" s="1">
        <f t="shared" si="112"/>
        <v>174.23999999999629</v>
      </c>
      <c r="AJ97" s="1" t="str">
        <f t="shared" si="249"/>
        <v>1.4 to 1.6</v>
      </c>
      <c r="AK97" s="1">
        <f t="shared" si="257"/>
        <v>0</v>
      </c>
      <c r="AL97" s="1">
        <f t="shared" si="257"/>
        <v>0</v>
      </c>
      <c r="AM97" s="1">
        <f t="shared" si="257"/>
        <v>0</v>
      </c>
      <c r="AN97" s="17">
        <f t="shared" ca="1" si="257"/>
        <v>0</v>
      </c>
      <c r="AT97" s="1" t="str">
        <f t="shared" si="250"/>
        <v>1.4 to 1.6</v>
      </c>
      <c r="AU97" s="1">
        <f t="shared" si="258"/>
        <v>0</v>
      </c>
      <c r="AV97" s="1">
        <f t="shared" si="258"/>
        <v>0</v>
      </c>
      <c r="AW97" s="1">
        <f t="shared" si="258"/>
        <v>0</v>
      </c>
      <c r="AX97" s="17">
        <f t="shared" ca="1" si="258"/>
        <v>0</v>
      </c>
      <c r="BD97" s="1" t="str">
        <f t="shared" si="251"/>
        <v>1.4 to 1.6</v>
      </c>
      <c r="BE97" s="1">
        <f t="shared" si="251"/>
        <v>0</v>
      </c>
      <c r="BF97" s="1">
        <f t="shared" si="251"/>
        <v>0</v>
      </c>
      <c r="BG97" s="1">
        <f t="shared" si="251"/>
        <v>0</v>
      </c>
      <c r="BH97" s="17">
        <f t="shared" ca="1" si="251"/>
        <v>0</v>
      </c>
      <c r="BN97" s="1" t="str">
        <f t="shared" si="252"/>
        <v>1.4 to 1.6</v>
      </c>
      <c r="BO97" s="1">
        <f t="shared" si="252"/>
        <v>0</v>
      </c>
      <c r="BP97" s="1">
        <f t="shared" si="252"/>
        <v>0</v>
      </c>
      <c r="BQ97" s="1">
        <f t="shared" si="252"/>
        <v>0</v>
      </c>
      <c r="BR97" s="17">
        <f t="shared" ca="1" si="252"/>
        <v>0</v>
      </c>
      <c r="BX97" s="1" t="str">
        <f t="shared" ref="BX97:CB97" si="283">BX56</f>
        <v>1.4 to 1.6</v>
      </c>
      <c r="BY97" s="1">
        <f t="shared" si="283"/>
        <v>0</v>
      </c>
      <c r="BZ97" s="1">
        <f t="shared" si="283"/>
        <v>0</v>
      </c>
      <c r="CA97" s="1">
        <f t="shared" si="283"/>
        <v>0</v>
      </c>
      <c r="CB97" s="17">
        <f t="shared" ca="1" si="283"/>
        <v>0</v>
      </c>
      <c r="CH97" s="1" t="str">
        <f t="shared" ref="CH97:CL97" si="284">CH56</f>
        <v>1.4 to 1.6</v>
      </c>
      <c r="CI97" s="1">
        <f t="shared" si="284"/>
        <v>0</v>
      </c>
      <c r="CJ97" s="1">
        <f t="shared" si="284"/>
        <v>0</v>
      </c>
      <c r="CK97" s="1">
        <f t="shared" si="284"/>
        <v>0</v>
      </c>
      <c r="CL97" s="17">
        <f t="shared" ca="1" si="284"/>
        <v>0</v>
      </c>
      <c r="CR97" s="1" t="str">
        <f t="shared" ref="CR97:CV97" si="285">CR56</f>
        <v>1.4 to 1.6</v>
      </c>
      <c r="CS97" s="1">
        <f t="shared" si="285"/>
        <v>0</v>
      </c>
      <c r="CT97" s="1">
        <f t="shared" si="285"/>
        <v>0</v>
      </c>
      <c r="CU97" s="1">
        <f t="shared" si="285"/>
        <v>0</v>
      </c>
      <c r="CV97" s="17">
        <f t="shared" ca="1" si="285"/>
        <v>0</v>
      </c>
      <c r="DB97" s="1" t="str">
        <f t="shared" ref="DB97:DF97" si="286">DB56</f>
        <v>1.4 to 1.6</v>
      </c>
      <c r="DC97" s="1">
        <f t="shared" si="286"/>
        <v>0</v>
      </c>
      <c r="DD97" s="1">
        <f t="shared" si="286"/>
        <v>0</v>
      </c>
      <c r="DE97" s="1">
        <f t="shared" si="286"/>
        <v>0</v>
      </c>
      <c r="DF97" s="17">
        <f t="shared" ca="1" si="286"/>
        <v>0</v>
      </c>
    </row>
    <row r="98" spans="1:110" x14ac:dyDescent="0.25">
      <c r="A98" s="1">
        <v>97</v>
      </c>
      <c r="B98" s="4">
        <v>7400</v>
      </c>
      <c r="C98" s="4">
        <v>16.5</v>
      </c>
      <c r="D98" s="4">
        <v>16.600000000000001</v>
      </c>
      <c r="E98" s="4">
        <f t="shared" si="104"/>
        <v>0.10000000000000142</v>
      </c>
      <c r="F98" s="4">
        <v>0</v>
      </c>
      <c r="G98" s="4">
        <v>0.65</v>
      </c>
      <c r="H98" s="4">
        <v>79</v>
      </c>
      <c r="I98" s="4"/>
      <c r="J98" s="4">
        <v>49</v>
      </c>
      <c r="K98"/>
      <c r="L98"/>
      <c r="M98" s="4">
        <f t="shared" si="105"/>
        <v>16.600000000000001</v>
      </c>
      <c r="N98" s="4"/>
      <c r="O98" s="1">
        <f t="shared" si="106"/>
        <v>16.5</v>
      </c>
      <c r="P98" s="1">
        <f t="shared" si="107"/>
        <v>0</v>
      </c>
      <c r="Q98" s="1" t="str">
        <f t="shared" si="95"/>
        <v/>
      </c>
      <c r="R98" s="1" t="str">
        <f t="shared" si="108"/>
        <v/>
      </c>
      <c r="S98" s="1">
        <f t="shared" si="109"/>
        <v>351.22079999999994</v>
      </c>
      <c r="T98" s="1">
        <f t="shared" si="110"/>
        <v>0.65</v>
      </c>
      <c r="U98" s="1">
        <f t="shared" si="111"/>
        <v>528.0000000000075</v>
      </c>
      <c r="V98" s="1">
        <f t="shared" si="112"/>
        <v>343.20000000000488</v>
      </c>
      <c r="AJ98" s="1" t="str">
        <f t="shared" si="249"/>
        <v>1.6 to 1.8</v>
      </c>
      <c r="AK98" s="1">
        <f t="shared" si="257"/>
        <v>0</v>
      </c>
      <c r="AL98" s="1">
        <f t="shared" si="257"/>
        <v>0</v>
      </c>
      <c r="AM98" s="1">
        <f t="shared" si="257"/>
        <v>0</v>
      </c>
      <c r="AN98" s="17">
        <f t="shared" ca="1" si="257"/>
        <v>0</v>
      </c>
      <c r="AT98" s="1" t="str">
        <f t="shared" si="250"/>
        <v>1.6 to 1.8</v>
      </c>
      <c r="AU98" s="1">
        <f t="shared" si="258"/>
        <v>527.9999999999709</v>
      </c>
      <c r="AV98" s="1">
        <f t="shared" si="258"/>
        <v>1.6200000000000352</v>
      </c>
      <c r="AW98" s="1">
        <f t="shared" si="258"/>
        <v>1</v>
      </c>
      <c r="AX98" s="17">
        <f t="shared" ca="1" si="258"/>
        <v>2.4752475247523382E-3</v>
      </c>
      <c r="BD98" s="1" t="str">
        <f t="shared" si="251"/>
        <v>1.6 to 1.8</v>
      </c>
      <c r="BE98" s="1">
        <f t="shared" si="251"/>
        <v>0</v>
      </c>
      <c r="BF98" s="1">
        <f t="shared" si="251"/>
        <v>0</v>
      </c>
      <c r="BG98" s="1">
        <f t="shared" si="251"/>
        <v>0</v>
      </c>
      <c r="BH98" s="17">
        <f t="shared" ca="1" si="251"/>
        <v>0</v>
      </c>
      <c r="BN98" s="1" t="str">
        <f t="shared" si="252"/>
        <v>1.6 to 1.8</v>
      </c>
      <c r="BO98" s="1">
        <f t="shared" si="252"/>
        <v>0</v>
      </c>
      <c r="BP98" s="1">
        <f t="shared" si="252"/>
        <v>0</v>
      </c>
      <c r="BQ98" s="1">
        <f t="shared" si="252"/>
        <v>0</v>
      </c>
      <c r="BR98" s="17">
        <f t="shared" ca="1" si="252"/>
        <v>0</v>
      </c>
      <c r="BX98" s="1" t="str">
        <f t="shared" ref="BX98:CB98" si="287">BX57</f>
        <v>1.6 to 1.8</v>
      </c>
      <c r="BY98" s="1">
        <f t="shared" si="287"/>
        <v>0</v>
      </c>
      <c r="BZ98" s="1">
        <f t="shared" si="287"/>
        <v>0</v>
      </c>
      <c r="CA98" s="1">
        <f t="shared" si="287"/>
        <v>0</v>
      </c>
      <c r="CB98" s="17">
        <f t="shared" ca="1" si="287"/>
        <v>0</v>
      </c>
      <c r="CH98" s="1" t="str">
        <f t="shared" ref="CH98:CL98" si="288">CH57</f>
        <v>1.6 to 1.8</v>
      </c>
      <c r="CI98" s="1">
        <f t="shared" si="288"/>
        <v>0</v>
      </c>
      <c r="CJ98" s="1">
        <f t="shared" si="288"/>
        <v>0</v>
      </c>
      <c r="CK98" s="1">
        <f t="shared" si="288"/>
        <v>0</v>
      </c>
      <c r="CL98" s="17">
        <f t="shared" ca="1" si="288"/>
        <v>0</v>
      </c>
      <c r="CR98" s="1" t="str">
        <f t="shared" ref="CR98:CV98" si="289">CR57</f>
        <v>1.6 to 1.8</v>
      </c>
      <c r="CS98" s="1">
        <f t="shared" si="289"/>
        <v>0</v>
      </c>
      <c r="CT98" s="1">
        <f t="shared" si="289"/>
        <v>0</v>
      </c>
      <c r="CU98" s="1">
        <f t="shared" si="289"/>
        <v>0</v>
      </c>
      <c r="CV98" s="17">
        <f t="shared" ca="1" si="289"/>
        <v>0</v>
      </c>
      <c r="DB98" s="1" t="str">
        <f t="shared" ref="DB98:DF98" si="290">DB57</f>
        <v>1.6 to 1.8</v>
      </c>
      <c r="DC98" s="1">
        <f t="shared" si="290"/>
        <v>0</v>
      </c>
      <c r="DD98" s="1">
        <f t="shared" si="290"/>
        <v>0</v>
      </c>
      <c r="DE98" s="1">
        <f t="shared" si="290"/>
        <v>0</v>
      </c>
      <c r="DF98" s="17">
        <f t="shared" ca="1" si="290"/>
        <v>0</v>
      </c>
    </row>
    <row r="99" spans="1:110" x14ac:dyDescent="0.25">
      <c r="A99" s="1">
        <v>98</v>
      </c>
      <c r="B99" s="4">
        <v>7400</v>
      </c>
      <c r="C99" s="4">
        <v>16.600000000000001</v>
      </c>
      <c r="D99" s="4">
        <v>16.700000000000003</v>
      </c>
      <c r="E99" s="4">
        <f t="shared" si="104"/>
        <v>0.10000000000000142</v>
      </c>
      <c r="F99" s="4">
        <v>0</v>
      </c>
      <c r="G99" s="4">
        <v>0.8</v>
      </c>
      <c r="H99" s="4">
        <v>79</v>
      </c>
      <c r="I99" s="4"/>
      <c r="J99" s="4">
        <v>49</v>
      </c>
      <c r="K99"/>
      <c r="L99"/>
      <c r="M99" s="4">
        <f t="shared" si="105"/>
        <v>16.700000000000003</v>
      </c>
      <c r="N99" s="4"/>
      <c r="O99" s="1">
        <f t="shared" si="106"/>
        <v>16.600000000000001</v>
      </c>
      <c r="P99" s="1">
        <f t="shared" si="107"/>
        <v>0</v>
      </c>
      <c r="Q99" s="1" t="str">
        <f t="shared" si="95"/>
        <v/>
      </c>
      <c r="R99" s="1" t="str">
        <f t="shared" si="108"/>
        <v/>
      </c>
      <c r="S99" s="1">
        <f t="shared" si="109"/>
        <v>354.65280000000001</v>
      </c>
      <c r="T99" s="1">
        <f t="shared" si="110"/>
        <v>0.8</v>
      </c>
      <c r="U99" s="1">
        <f t="shared" si="111"/>
        <v>528.0000000000075</v>
      </c>
      <c r="V99" s="1">
        <f t="shared" si="112"/>
        <v>422.400000000006</v>
      </c>
      <c r="AJ99" s="1" t="str">
        <f t="shared" si="249"/>
        <v>1.8 to 2</v>
      </c>
      <c r="AK99" s="1">
        <f t="shared" si="257"/>
        <v>0</v>
      </c>
      <c r="AL99" s="1">
        <f t="shared" si="257"/>
        <v>0</v>
      </c>
      <c r="AM99" s="1">
        <f t="shared" si="257"/>
        <v>0</v>
      </c>
      <c r="AN99" s="17">
        <f t="shared" ca="1" si="257"/>
        <v>0</v>
      </c>
      <c r="AT99" s="1" t="str">
        <f t="shared" si="250"/>
        <v>1.8 to 2</v>
      </c>
      <c r="AU99" s="1">
        <f t="shared" si="258"/>
        <v>0</v>
      </c>
      <c r="AV99" s="1">
        <f t="shared" si="258"/>
        <v>0</v>
      </c>
      <c r="AW99" s="1">
        <f t="shared" si="258"/>
        <v>0</v>
      </c>
      <c r="AX99" s="17">
        <f t="shared" ca="1" si="258"/>
        <v>0</v>
      </c>
      <c r="BD99" s="1" t="str">
        <f t="shared" si="251"/>
        <v>1.8 to 2</v>
      </c>
      <c r="BE99" s="1">
        <f t="shared" si="251"/>
        <v>0</v>
      </c>
      <c r="BF99" s="1">
        <f t="shared" si="251"/>
        <v>0</v>
      </c>
      <c r="BG99" s="1">
        <f t="shared" si="251"/>
        <v>0</v>
      </c>
      <c r="BH99" s="17">
        <f t="shared" ca="1" si="251"/>
        <v>0</v>
      </c>
      <c r="BN99" s="1" t="str">
        <f t="shared" si="252"/>
        <v>1.8 to 2</v>
      </c>
      <c r="BO99" s="1">
        <f t="shared" si="252"/>
        <v>0</v>
      </c>
      <c r="BP99" s="1">
        <f t="shared" si="252"/>
        <v>0</v>
      </c>
      <c r="BQ99" s="1">
        <f t="shared" si="252"/>
        <v>0</v>
      </c>
      <c r="BR99" s="17">
        <f t="shared" ca="1" si="252"/>
        <v>0</v>
      </c>
      <c r="BX99" s="1" t="str">
        <f t="shared" ref="BX99:CB99" si="291">BX58</f>
        <v>1.8 to 2</v>
      </c>
      <c r="BY99" s="1">
        <f t="shared" si="291"/>
        <v>0</v>
      </c>
      <c r="BZ99" s="1">
        <f t="shared" si="291"/>
        <v>0</v>
      </c>
      <c r="CA99" s="1">
        <f t="shared" si="291"/>
        <v>0</v>
      </c>
      <c r="CB99" s="17">
        <f t="shared" ca="1" si="291"/>
        <v>0</v>
      </c>
      <c r="CH99" s="1" t="str">
        <f t="shared" ref="CH99:CL99" si="292">CH58</f>
        <v>1.8 to 2</v>
      </c>
      <c r="CI99" s="1">
        <f t="shared" si="292"/>
        <v>0</v>
      </c>
      <c r="CJ99" s="1">
        <f t="shared" si="292"/>
        <v>0</v>
      </c>
      <c r="CK99" s="1">
        <f t="shared" si="292"/>
        <v>0</v>
      </c>
      <c r="CL99" s="17">
        <f t="shared" ca="1" si="292"/>
        <v>0</v>
      </c>
      <c r="CR99" s="1" t="str">
        <f t="shared" ref="CR99:CV99" si="293">CR58</f>
        <v>1.8 to 2</v>
      </c>
      <c r="CS99" s="1">
        <f t="shared" si="293"/>
        <v>0</v>
      </c>
      <c r="CT99" s="1">
        <f t="shared" si="293"/>
        <v>0</v>
      </c>
      <c r="CU99" s="1">
        <f t="shared" si="293"/>
        <v>0</v>
      </c>
      <c r="CV99" s="17">
        <f t="shared" ca="1" si="293"/>
        <v>0</v>
      </c>
      <c r="DB99" s="1" t="str">
        <f t="shared" ref="DB99:DF99" si="294">DB58</f>
        <v>1.8 to 2</v>
      </c>
      <c r="DC99" s="1">
        <f t="shared" si="294"/>
        <v>0</v>
      </c>
      <c r="DD99" s="1">
        <f t="shared" si="294"/>
        <v>0</v>
      </c>
      <c r="DE99" s="1">
        <f t="shared" si="294"/>
        <v>0</v>
      </c>
      <c r="DF99" s="17">
        <f t="shared" ca="1" si="294"/>
        <v>0</v>
      </c>
    </row>
    <row r="100" spans="1:110" x14ac:dyDescent="0.25">
      <c r="A100" s="1">
        <v>99</v>
      </c>
      <c r="B100" s="4">
        <v>7400</v>
      </c>
      <c r="C100" s="4">
        <v>16.700000000000003</v>
      </c>
      <c r="D100" s="4">
        <v>16.8</v>
      </c>
      <c r="E100" s="4">
        <f t="shared" si="104"/>
        <v>9.9999999999997868E-2</v>
      </c>
      <c r="F100" s="4">
        <v>0</v>
      </c>
      <c r="G100" s="4">
        <v>0.56999999999999995</v>
      </c>
      <c r="H100" s="4">
        <v>79</v>
      </c>
      <c r="I100" s="4"/>
      <c r="J100" s="4">
        <v>49</v>
      </c>
      <c r="K100"/>
      <c r="L100"/>
      <c r="M100" s="4">
        <f t="shared" si="105"/>
        <v>16.8</v>
      </c>
      <c r="N100" s="4"/>
      <c r="O100" s="1">
        <f t="shared" si="106"/>
        <v>16.700000000000003</v>
      </c>
      <c r="P100" s="1">
        <f t="shared" si="107"/>
        <v>0</v>
      </c>
      <c r="Q100" s="1" t="str">
        <f t="shared" si="95"/>
        <v/>
      </c>
      <c r="R100" s="1" t="str">
        <f t="shared" si="108"/>
        <v/>
      </c>
      <c r="S100" s="1">
        <f t="shared" si="109"/>
        <v>358.87680000000006</v>
      </c>
      <c r="T100" s="1">
        <f t="shared" si="110"/>
        <v>0.56999999999999995</v>
      </c>
      <c r="U100" s="1">
        <f t="shared" si="111"/>
        <v>527.99999999998875</v>
      </c>
      <c r="V100" s="1">
        <f t="shared" si="112"/>
        <v>300.95999999999356</v>
      </c>
      <c r="AJ100" s="1" t="str">
        <f t="shared" si="249"/>
        <v>2 to 2.2</v>
      </c>
      <c r="AK100" s="1">
        <f t="shared" si="257"/>
        <v>0</v>
      </c>
      <c r="AL100" s="1">
        <f t="shared" si="257"/>
        <v>0</v>
      </c>
      <c r="AM100" s="1">
        <f t="shared" si="257"/>
        <v>0</v>
      </c>
      <c r="AN100" s="17">
        <f t="shared" ca="1" si="257"/>
        <v>0</v>
      </c>
      <c r="AT100" s="1" t="str">
        <f t="shared" si="250"/>
        <v>2 to 2.2</v>
      </c>
      <c r="AU100" s="1">
        <f t="shared" si="258"/>
        <v>0</v>
      </c>
      <c r="AV100" s="1">
        <f t="shared" si="258"/>
        <v>0</v>
      </c>
      <c r="AW100" s="1">
        <f t="shared" si="258"/>
        <v>0</v>
      </c>
      <c r="AX100" s="17">
        <f t="shared" ca="1" si="258"/>
        <v>0</v>
      </c>
      <c r="BD100" s="1" t="str">
        <f t="shared" si="251"/>
        <v>2 to 2.2</v>
      </c>
      <c r="BE100" s="1">
        <f t="shared" si="251"/>
        <v>0</v>
      </c>
      <c r="BF100" s="1">
        <f t="shared" si="251"/>
        <v>0</v>
      </c>
      <c r="BG100" s="1">
        <f t="shared" si="251"/>
        <v>0</v>
      </c>
      <c r="BH100" s="17">
        <f t="shared" ca="1" si="251"/>
        <v>0</v>
      </c>
      <c r="BN100" s="1" t="str">
        <f t="shared" si="252"/>
        <v>2 to 2.2</v>
      </c>
      <c r="BO100" s="1">
        <f t="shared" si="252"/>
        <v>0</v>
      </c>
      <c r="BP100" s="1">
        <f t="shared" si="252"/>
        <v>0</v>
      </c>
      <c r="BQ100" s="1">
        <f t="shared" si="252"/>
        <v>0</v>
      </c>
      <c r="BR100" s="17">
        <f t="shared" ca="1" si="252"/>
        <v>0</v>
      </c>
      <c r="BX100" s="1" t="str">
        <f t="shared" ref="BX100:CB100" si="295">BX59</f>
        <v>2 to 2.2</v>
      </c>
      <c r="BY100" s="1">
        <f t="shared" si="295"/>
        <v>0</v>
      </c>
      <c r="BZ100" s="1">
        <f t="shared" si="295"/>
        <v>0</v>
      </c>
      <c r="CA100" s="1">
        <f t="shared" si="295"/>
        <v>0</v>
      </c>
      <c r="CB100" s="17">
        <f t="shared" ca="1" si="295"/>
        <v>0</v>
      </c>
      <c r="CH100" s="1" t="str">
        <f t="shared" ref="CH100:CL100" si="296">CH59</f>
        <v>2 to 2.2</v>
      </c>
      <c r="CI100" s="1">
        <f t="shared" si="296"/>
        <v>0</v>
      </c>
      <c r="CJ100" s="1">
        <f t="shared" si="296"/>
        <v>0</v>
      </c>
      <c r="CK100" s="1">
        <f t="shared" si="296"/>
        <v>0</v>
      </c>
      <c r="CL100" s="17">
        <f t="shared" ca="1" si="296"/>
        <v>0</v>
      </c>
      <c r="CR100" s="1" t="str">
        <f t="shared" ref="CR100:CV100" si="297">CR59</f>
        <v>2 to 2.2</v>
      </c>
      <c r="CS100" s="1">
        <f t="shared" si="297"/>
        <v>0</v>
      </c>
      <c r="CT100" s="1">
        <f t="shared" si="297"/>
        <v>0</v>
      </c>
      <c r="CU100" s="1">
        <f t="shared" si="297"/>
        <v>0</v>
      </c>
      <c r="CV100" s="17">
        <f t="shared" ca="1" si="297"/>
        <v>0</v>
      </c>
      <c r="DB100" s="1" t="str">
        <f t="shared" ref="DB100:DF100" si="298">DB59</f>
        <v>2 to 2.2</v>
      </c>
      <c r="DC100" s="1">
        <f t="shared" si="298"/>
        <v>0</v>
      </c>
      <c r="DD100" s="1">
        <f t="shared" si="298"/>
        <v>0</v>
      </c>
      <c r="DE100" s="1">
        <f t="shared" si="298"/>
        <v>0</v>
      </c>
      <c r="DF100" s="17">
        <f t="shared" ca="1" si="298"/>
        <v>0</v>
      </c>
    </row>
    <row r="101" spans="1:110" x14ac:dyDescent="0.25">
      <c r="A101" s="1">
        <v>100</v>
      </c>
      <c r="B101" s="4">
        <v>7400</v>
      </c>
      <c r="C101" s="4">
        <v>16.8</v>
      </c>
      <c r="D101" s="4">
        <v>16.900000000000002</v>
      </c>
      <c r="E101" s="4">
        <f t="shared" si="104"/>
        <v>0.10000000000000142</v>
      </c>
      <c r="F101" s="4">
        <v>0</v>
      </c>
      <c r="G101" s="4">
        <v>0.12</v>
      </c>
      <c r="H101" s="4">
        <v>79</v>
      </c>
      <c r="I101" s="4"/>
      <c r="J101" s="4">
        <v>49</v>
      </c>
      <c r="K101"/>
      <c r="L101"/>
      <c r="M101" s="4">
        <f t="shared" si="105"/>
        <v>16.900000000000002</v>
      </c>
      <c r="N101" s="4"/>
      <c r="O101" s="1">
        <f t="shared" si="106"/>
        <v>16.8</v>
      </c>
      <c r="P101" s="1">
        <f t="shared" si="107"/>
        <v>0</v>
      </c>
      <c r="Q101" s="1" t="str">
        <f t="shared" si="95"/>
        <v/>
      </c>
      <c r="R101" s="1" t="str">
        <f t="shared" si="108"/>
        <v/>
      </c>
      <c r="S101" s="1">
        <f t="shared" si="109"/>
        <v>361.88639999999998</v>
      </c>
      <c r="T101" s="1">
        <f t="shared" si="110"/>
        <v>0.12</v>
      </c>
      <c r="U101" s="1">
        <f t="shared" si="111"/>
        <v>528.0000000000075</v>
      </c>
      <c r="V101" s="1">
        <f t="shared" si="112"/>
        <v>63.360000000000895</v>
      </c>
      <c r="AJ101" s="1" t="str">
        <f t="shared" si="249"/>
        <v>2.2 to 2.4</v>
      </c>
      <c r="AK101" s="1">
        <f t="shared" si="257"/>
        <v>0</v>
      </c>
      <c r="AL101" s="1">
        <f t="shared" si="257"/>
        <v>0</v>
      </c>
      <c r="AM101" s="1">
        <f t="shared" si="257"/>
        <v>0</v>
      </c>
      <c r="AN101" s="17">
        <f t="shared" ca="1" si="257"/>
        <v>0</v>
      </c>
      <c r="AT101" s="1" t="str">
        <f t="shared" si="250"/>
        <v>2.2 to 2.4</v>
      </c>
      <c r="AU101" s="1">
        <f t="shared" si="258"/>
        <v>0</v>
      </c>
      <c r="AV101" s="1">
        <f t="shared" si="258"/>
        <v>0</v>
      </c>
      <c r="AW101" s="1">
        <f t="shared" si="258"/>
        <v>0</v>
      </c>
      <c r="AX101" s="17">
        <f t="shared" ca="1" si="258"/>
        <v>0</v>
      </c>
      <c r="BD101" s="1" t="str">
        <f t="shared" si="251"/>
        <v>2.2 to 2.4</v>
      </c>
      <c r="BE101" s="1">
        <f t="shared" si="251"/>
        <v>0</v>
      </c>
      <c r="BF101" s="1">
        <f t="shared" si="251"/>
        <v>0</v>
      </c>
      <c r="BG101" s="1">
        <f t="shared" si="251"/>
        <v>0</v>
      </c>
      <c r="BH101" s="17">
        <f t="shared" ca="1" si="251"/>
        <v>0</v>
      </c>
      <c r="BN101" s="1" t="str">
        <f t="shared" si="252"/>
        <v>2.2 to 2.4</v>
      </c>
      <c r="BO101" s="1">
        <f t="shared" si="252"/>
        <v>0</v>
      </c>
      <c r="BP101" s="1">
        <f t="shared" si="252"/>
        <v>0</v>
      </c>
      <c r="BQ101" s="1">
        <f t="shared" si="252"/>
        <v>0</v>
      </c>
      <c r="BR101" s="17">
        <f t="shared" ca="1" si="252"/>
        <v>0</v>
      </c>
      <c r="BX101" s="1" t="str">
        <f t="shared" ref="BX101:CB101" si="299">BX60</f>
        <v>2.2 to 2.4</v>
      </c>
      <c r="BY101" s="1">
        <f t="shared" si="299"/>
        <v>0</v>
      </c>
      <c r="BZ101" s="1">
        <f t="shared" si="299"/>
        <v>0</v>
      </c>
      <c r="CA101" s="1">
        <f t="shared" si="299"/>
        <v>0</v>
      </c>
      <c r="CB101" s="17">
        <f t="shared" ca="1" si="299"/>
        <v>0</v>
      </c>
      <c r="CH101" s="1" t="str">
        <f t="shared" ref="CH101:CL101" si="300">CH60</f>
        <v>2.2 to 2.4</v>
      </c>
      <c r="CI101" s="1">
        <f t="shared" si="300"/>
        <v>0</v>
      </c>
      <c r="CJ101" s="1">
        <f t="shared" si="300"/>
        <v>0</v>
      </c>
      <c r="CK101" s="1">
        <f t="shared" si="300"/>
        <v>0</v>
      </c>
      <c r="CL101" s="17">
        <f t="shared" ca="1" si="300"/>
        <v>0</v>
      </c>
      <c r="CR101" s="1" t="str">
        <f t="shared" ref="CR101:CV101" si="301">CR60</f>
        <v>2.2 to 2.4</v>
      </c>
      <c r="CS101" s="1">
        <f t="shared" si="301"/>
        <v>0</v>
      </c>
      <c r="CT101" s="1">
        <f t="shared" si="301"/>
        <v>0</v>
      </c>
      <c r="CU101" s="1">
        <f t="shared" si="301"/>
        <v>0</v>
      </c>
      <c r="CV101" s="17">
        <f t="shared" ca="1" si="301"/>
        <v>0</v>
      </c>
      <c r="DB101" s="1" t="str">
        <f t="shared" ref="DB101:DF101" si="302">DB60</f>
        <v>2.2 to 2.4</v>
      </c>
      <c r="DC101" s="1">
        <f t="shared" si="302"/>
        <v>0</v>
      </c>
      <c r="DD101" s="1">
        <f t="shared" si="302"/>
        <v>0</v>
      </c>
      <c r="DE101" s="1">
        <f t="shared" si="302"/>
        <v>0</v>
      </c>
      <c r="DF101" s="17">
        <f t="shared" ca="1" si="302"/>
        <v>0</v>
      </c>
    </row>
    <row r="102" spans="1:110" x14ac:dyDescent="0.25">
      <c r="A102" s="1">
        <v>101</v>
      </c>
      <c r="B102" s="4">
        <v>7400</v>
      </c>
      <c r="C102" s="4">
        <v>16.900000000000002</v>
      </c>
      <c r="D102" s="4">
        <v>17.100000000000001</v>
      </c>
      <c r="E102" s="4">
        <f t="shared" si="104"/>
        <v>0.19999999999999929</v>
      </c>
      <c r="F102" s="4">
        <v>3.2</v>
      </c>
      <c r="G102" s="4">
        <v>-0.11</v>
      </c>
      <c r="H102" s="4">
        <v>79</v>
      </c>
      <c r="I102" s="4"/>
      <c r="J102" s="4">
        <v>49</v>
      </c>
      <c r="K102"/>
      <c r="L102"/>
      <c r="M102" s="4">
        <f t="shared" si="105"/>
        <v>17.100000000000001</v>
      </c>
      <c r="N102" s="4"/>
      <c r="O102" s="1">
        <f t="shared" si="106"/>
        <v>16.900000000000002</v>
      </c>
      <c r="P102" s="1">
        <f t="shared" si="107"/>
        <v>33.791999999999881</v>
      </c>
      <c r="Q102" s="1" t="str">
        <f t="shared" si="95"/>
        <v/>
      </c>
      <c r="R102" s="1" t="str">
        <f t="shared" si="108"/>
        <v/>
      </c>
      <c r="S102" s="1">
        <f t="shared" si="109"/>
        <v>362.52</v>
      </c>
      <c r="T102" s="1">
        <f t="shared" si="110"/>
        <v>-0.11</v>
      </c>
      <c r="U102" s="1">
        <f t="shared" si="111"/>
        <v>1055.9999999999964</v>
      </c>
      <c r="V102" s="1">
        <f t="shared" si="112"/>
        <v>116.1599999999996</v>
      </c>
      <c r="AJ102" s="1" t="str">
        <f t="shared" si="249"/>
        <v>2.4 to 2.6</v>
      </c>
      <c r="AK102" s="1">
        <f t="shared" si="257"/>
        <v>0</v>
      </c>
      <c r="AL102" s="1">
        <f t="shared" si="257"/>
        <v>0</v>
      </c>
      <c r="AM102" s="1">
        <f t="shared" si="257"/>
        <v>0</v>
      </c>
      <c r="AN102" s="17">
        <f t="shared" ca="1" si="257"/>
        <v>0</v>
      </c>
      <c r="AT102" s="1" t="str">
        <f t="shared" si="250"/>
        <v>2.4 to 2.6</v>
      </c>
      <c r="AU102" s="1">
        <f t="shared" si="258"/>
        <v>0</v>
      </c>
      <c r="AV102" s="1">
        <f t="shared" si="258"/>
        <v>0</v>
      </c>
      <c r="AW102" s="1">
        <f t="shared" si="258"/>
        <v>0</v>
      </c>
      <c r="AX102" s="17">
        <f t="shared" ca="1" si="258"/>
        <v>0</v>
      </c>
      <c r="BD102" s="1" t="str">
        <f t="shared" si="251"/>
        <v>2.4 to 2.6</v>
      </c>
      <c r="BE102" s="1">
        <f t="shared" si="251"/>
        <v>0</v>
      </c>
      <c r="BF102" s="1">
        <f t="shared" si="251"/>
        <v>0</v>
      </c>
      <c r="BG102" s="1">
        <f t="shared" si="251"/>
        <v>0</v>
      </c>
      <c r="BH102" s="17">
        <f t="shared" ca="1" si="251"/>
        <v>0</v>
      </c>
      <c r="BN102" s="1" t="str">
        <f t="shared" si="252"/>
        <v>2.4 to 2.6</v>
      </c>
      <c r="BO102" s="1">
        <f t="shared" si="252"/>
        <v>0</v>
      </c>
      <c r="BP102" s="1">
        <f t="shared" si="252"/>
        <v>0</v>
      </c>
      <c r="BQ102" s="1">
        <f t="shared" si="252"/>
        <v>0</v>
      </c>
      <c r="BR102" s="17">
        <f t="shared" ca="1" si="252"/>
        <v>0</v>
      </c>
      <c r="BX102" s="1" t="str">
        <f t="shared" ref="BX102:CB102" si="303">BX61</f>
        <v>2.4 to 2.6</v>
      </c>
      <c r="BY102" s="1">
        <f t="shared" si="303"/>
        <v>0</v>
      </c>
      <c r="BZ102" s="1">
        <f t="shared" si="303"/>
        <v>0</v>
      </c>
      <c r="CA102" s="1">
        <f t="shared" si="303"/>
        <v>0</v>
      </c>
      <c r="CB102" s="17">
        <f t="shared" ca="1" si="303"/>
        <v>0</v>
      </c>
      <c r="CH102" s="1" t="str">
        <f t="shared" ref="CH102:CL102" si="304">CH61</f>
        <v>2.4 to 2.6</v>
      </c>
      <c r="CI102" s="1">
        <f t="shared" si="304"/>
        <v>0</v>
      </c>
      <c r="CJ102" s="1">
        <f t="shared" si="304"/>
        <v>0</v>
      </c>
      <c r="CK102" s="1">
        <f t="shared" si="304"/>
        <v>0</v>
      </c>
      <c r="CL102" s="17">
        <f t="shared" ca="1" si="304"/>
        <v>0</v>
      </c>
      <c r="CR102" s="1" t="str">
        <f t="shared" ref="CR102:CV102" si="305">CR61</f>
        <v>2.4 to 2.6</v>
      </c>
      <c r="CS102" s="1">
        <f t="shared" si="305"/>
        <v>0</v>
      </c>
      <c r="CT102" s="1">
        <f t="shared" si="305"/>
        <v>0</v>
      </c>
      <c r="CU102" s="1">
        <f t="shared" si="305"/>
        <v>0</v>
      </c>
      <c r="CV102" s="17">
        <f t="shared" ca="1" si="305"/>
        <v>0</v>
      </c>
      <c r="DB102" s="1" t="str">
        <f t="shared" ref="DB102:DF102" si="306">DB61</f>
        <v>2.4 to 2.6</v>
      </c>
      <c r="DC102" s="1">
        <f t="shared" si="306"/>
        <v>0</v>
      </c>
      <c r="DD102" s="1">
        <f t="shared" si="306"/>
        <v>0</v>
      </c>
      <c r="DE102" s="1">
        <f t="shared" si="306"/>
        <v>0</v>
      </c>
      <c r="DF102" s="17">
        <f t="shared" ca="1" si="306"/>
        <v>0</v>
      </c>
    </row>
    <row r="103" spans="1:110" x14ac:dyDescent="0.25">
      <c r="A103" s="1">
        <v>102</v>
      </c>
      <c r="B103" s="4">
        <v>7400</v>
      </c>
      <c r="C103" s="4">
        <v>17.100000000000001</v>
      </c>
      <c r="D103" s="4">
        <v>17.3</v>
      </c>
      <c r="E103" s="4">
        <f t="shared" si="104"/>
        <v>0.19999999999999929</v>
      </c>
      <c r="F103" s="4">
        <v>3.2</v>
      </c>
      <c r="G103" s="4">
        <v>-0.71</v>
      </c>
      <c r="H103" s="4">
        <v>79</v>
      </c>
      <c r="I103" s="4"/>
      <c r="J103" s="4">
        <v>49</v>
      </c>
      <c r="K103"/>
      <c r="L103"/>
      <c r="M103" s="4">
        <f t="shared" si="105"/>
        <v>17.3</v>
      </c>
      <c r="N103" s="4"/>
      <c r="O103" s="1">
        <f t="shared" si="106"/>
        <v>17.100000000000001</v>
      </c>
      <c r="P103" s="1">
        <f t="shared" si="107"/>
        <v>33.791999999999881</v>
      </c>
      <c r="Q103" s="1" t="str">
        <f t="shared" si="95"/>
        <v/>
      </c>
      <c r="R103" s="1" t="str">
        <f t="shared" si="108"/>
        <v/>
      </c>
      <c r="S103" s="1">
        <f t="shared" si="109"/>
        <v>361.35839999999996</v>
      </c>
      <c r="T103" s="1">
        <f t="shared" si="110"/>
        <v>-0.71</v>
      </c>
      <c r="U103" s="1">
        <f t="shared" si="111"/>
        <v>1055.9999999999964</v>
      </c>
      <c r="V103" s="1">
        <f t="shared" si="112"/>
        <v>749.75999999999738</v>
      </c>
      <c r="AJ103" s="1" t="str">
        <f t="shared" si="249"/>
        <v>2.6 to 2.8</v>
      </c>
      <c r="AK103" s="1">
        <f t="shared" si="257"/>
        <v>0</v>
      </c>
      <c r="AL103" s="1">
        <f t="shared" si="257"/>
        <v>0</v>
      </c>
      <c r="AM103" s="1">
        <f t="shared" si="257"/>
        <v>0</v>
      </c>
      <c r="AN103" s="17">
        <f t="shared" ca="1" si="257"/>
        <v>0</v>
      </c>
      <c r="AT103" s="1" t="str">
        <f t="shared" si="250"/>
        <v>2.6 to 2.8</v>
      </c>
      <c r="AU103" s="1">
        <f t="shared" si="258"/>
        <v>0</v>
      </c>
      <c r="AV103" s="1">
        <f t="shared" si="258"/>
        <v>0</v>
      </c>
      <c r="AW103" s="1">
        <f t="shared" si="258"/>
        <v>0</v>
      </c>
      <c r="AX103" s="17">
        <f t="shared" ca="1" si="258"/>
        <v>0</v>
      </c>
      <c r="BD103" s="1" t="str">
        <f t="shared" si="251"/>
        <v>2.6 to 2.8</v>
      </c>
      <c r="BE103" s="1">
        <f t="shared" si="251"/>
        <v>0</v>
      </c>
      <c r="BF103" s="1">
        <f t="shared" si="251"/>
        <v>0</v>
      </c>
      <c r="BG103" s="1">
        <f t="shared" si="251"/>
        <v>0</v>
      </c>
      <c r="BH103" s="17">
        <f t="shared" ca="1" si="251"/>
        <v>0</v>
      </c>
      <c r="BN103" s="1" t="str">
        <f t="shared" si="252"/>
        <v>2.6 to 2.8</v>
      </c>
      <c r="BO103" s="1">
        <f t="shared" si="252"/>
        <v>0</v>
      </c>
      <c r="BP103" s="1">
        <f t="shared" si="252"/>
        <v>0</v>
      </c>
      <c r="BQ103" s="1">
        <f t="shared" si="252"/>
        <v>0</v>
      </c>
      <c r="BR103" s="17">
        <f t="shared" ca="1" si="252"/>
        <v>0</v>
      </c>
      <c r="BX103" s="1" t="str">
        <f t="shared" ref="BX103:CB103" si="307">BX62</f>
        <v>2.6 to 2.8</v>
      </c>
      <c r="BY103" s="1">
        <f t="shared" si="307"/>
        <v>0</v>
      </c>
      <c r="BZ103" s="1">
        <f t="shared" si="307"/>
        <v>0</v>
      </c>
      <c r="CA103" s="1">
        <f t="shared" si="307"/>
        <v>0</v>
      </c>
      <c r="CB103" s="17">
        <f t="shared" ca="1" si="307"/>
        <v>0</v>
      </c>
      <c r="CH103" s="1" t="str">
        <f t="shared" ref="CH103:CL103" si="308">CH62</f>
        <v>2.6 to 2.8</v>
      </c>
      <c r="CI103" s="1">
        <f t="shared" si="308"/>
        <v>0</v>
      </c>
      <c r="CJ103" s="1">
        <f t="shared" si="308"/>
        <v>0</v>
      </c>
      <c r="CK103" s="1">
        <f t="shared" si="308"/>
        <v>0</v>
      </c>
      <c r="CL103" s="17">
        <f t="shared" ca="1" si="308"/>
        <v>0</v>
      </c>
      <c r="CR103" s="1" t="str">
        <f t="shared" ref="CR103:CV103" si="309">CR62</f>
        <v>2.6 to 2.8</v>
      </c>
      <c r="CS103" s="1">
        <f t="shared" si="309"/>
        <v>0</v>
      </c>
      <c r="CT103" s="1">
        <f t="shared" si="309"/>
        <v>0</v>
      </c>
      <c r="CU103" s="1">
        <f t="shared" si="309"/>
        <v>0</v>
      </c>
      <c r="CV103" s="17">
        <f t="shared" ca="1" si="309"/>
        <v>0</v>
      </c>
      <c r="DB103" s="1" t="str">
        <f t="shared" ref="DB103:DF103" si="310">DB62</f>
        <v>2.6 to 2.8</v>
      </c>
      <c r="DC103" s="1">
        <f t="shared" si="310"/>
        <v>0</v>
      </c>
      <c r="DD103" s="1">
        <f t="shared" si="310"/>
        <v>0</v>
      </c>
      <c r="DE103" s="1">
        <f t="shared" si="310"/>
        <v>0</v>
      </c>
      <c r="DF103" s="17">
        <f t="shared" ca="1" si="310"/>
        <v>0</v>
      </c>
    </row>
    <row r="104" spans="1:110" x14ac:dyDescent="0.25">
      <c r="A104" s="1">
        <v>103</v>
      </c>
      <c r="B104" s="4">
        <v>7400</v>
      </c>
      <c r="C104" s="4">
        <v>17.3</v>
      </c>
      <c r="D104" s="4">
        <v>17.5</v>
      </c>
      <c r="E104" s="4">
        <f t="shared" si="104"/>
        <v>0.19999999999999929</v>
      </c>
      <c r="F104" s="4">
        <v>0</v>
      </c>
      <c r="G104" s="4">
        <v>-0.71</v>
      </c>
      <c r="H104" s="4">
        <v>79</v>
      </c>
      <c r="I104" s="4"/>
      <c r="J104" s="4">
        <v>49</v>
      </c>
      <c r="K104"/>
      <c r="L104"/>
      <c r="M104" s="4">
        <f t="shared" si="105"/>
        <v>17.5</v>
      </c>
      <c r="N104" s="4"/>
      <c r="O104" s="1">
        <f t="shared" si="106"/>
        <v>17.3</v>
      </c>
      <c r="P104" s="1">
        <f t="shared" si="107"/>
        <v>0</v>
      </c>
      <c r="Q104" s="1" t="str">
        <f t="shared" si="95"/>
        <v/>
      </c>
      <c r="R104" s="1" t="str">
        <f t="shared" si="108"/>
        <v/>
      </c>
      <c r="S104" s="1">
        <f t="shared" si="109"/>
        <v>353.86079999999998</v>
      </c>
      <c r="T104" s="1">
        <f t="shared" si="110"/>
        <v>-0.71</v>
      </c>
      <c r="U104" s="1">
        <f t="shared" si="111"/>
        <v>1055.9999999999964</v>
      </c>
      <c r="V104" s="1">
        <f t="shared" si="112"/>
        <v>749.75999999999738</v>
      </c>
      <c r="AJ104" s="1" t="str">
        <f t="shared" ref="AJ104:AN104" si="311">AJ63</f>
        <v>2.8 to 3</v>
      </c>
      <c r="AK104" s="1">
        <f t="shared" si="311"/>
        <v>0</v>
      </c>
      <c r="AL104" s="1">
        <f t="shared" si="311"/>
        <v>0</v>
      </c>
      <c r="AM104" s="1">
        <f t="shared" si="311"/>
        <v>0</v>
      </c>
      <c r="AN104" s="17">
        <f t="shared" ca="1" si="311"/>
        <v>0</v>
      </c>
      <c r="AT104" s="1" t="str">
        <f t="shared" ref="AT104:AX104" si="312">AT63</f>
        <v>2.8 to 3</v>
      </c>
      <c r="AU104" s="1">
        <f t="shared" si="312"/>
        <v>0</v>
      </c>
      <c r="AV104" s="1">
        <f t="shared" si="312"/>
        <v>0</v>
      </c>
      <c r="AW104" s="1">
        <f t="shared" si="312"/>
        <v>0</v>
      </c>
      <c r="AX104" s="17">
        <f t="shared" ca="1" si="312"/>
        <v>0</v>
      </c>
      <c r="BD104" s="1" t="str">
        <f t="shared" ref="BD104:BH104" si="313">BD63</f>
        <v>2.8 to 3</v>
      </c>
      <c r="BE104" s="1">
        <f t="shared" si="313"/>
        <v>0</v>
      </c>
      <c r="BF104" s="1">
        <f t="shared" si="313"/>
        <v>0</v>
      </c>
      <c r="BG104" s="1">
        <f t="shared" si="313"/>
        <v>0</v>
      </c>
      <c r="BH104" s="17">
        <f t="shared" ca="1" si="313"/>
        <v>0</v>
      </c>
      <c r="BN104" s="1" t="str">
        <f t="shared" ref="BN104:BR104" si="314">BN63</f>
        <v>2.8 to 3</v>
      </c>
      <c r="BO104" s="1">
        <f t="shared" si="314"/>
        <v>0</v>
      </c>
      <c r="BP104" s="1">
        <f t="shared" si="314"/>
        <v>0</v>
      </c>
      <c r="BQ104" s="1">
        <f t="shared" si="314"/>
        <v>0</v>
      </c>
      <c r="BR104" s="17">
        <f t="shared" ca="1" si="314"/>
        <v>0</v>
      </c>
      <c r="BX104" s="1" t="str">
        <f t="shared" ref="BX104:CB104" si="315">BX63</f>
        <v>2.8 to 3</v>
      </c>
      <c r="BY104" s="1">
        <f t="shared" si="315"/>
        <v>0</v>
      </c>
      <c r="BZ104" s="1">
        <f t="shared" si="315"/>
        <v>0</v>
      </c>
      <c r="CA104" s="1">
        <f t="shared" si="315"/>
        <v>0</v>
      </c>
      <c r="CB104" s="17">
        <f t="shared" ca="1" si="315"/>
        <v>0</v>
      </c>
      <c r="CH104" s="1" t="str">
        <f t="shared" ref="CH104:CL104" si="316">CH63</f>
        <v>2.8 to 3</v>
      </c>
      <c r="CI104" s="1">
        <f t="shared" si="316"/>
        <v>0</v>
      </c>
      <c r="CJ104" s="1">
        <f t="shared" si="316"/>
        <v>0</v>
      </c>
      <c r="CK104" s="1">
        <f t="shared" si="316"/>
        <v>0</v>
      </c>
      <c r="CL104" s="17">
        <f t="shared" ca="1" si="316"/>
        <v>0</v>
      </c>
      <c r="CR104" s="1" t="str">
        <f t="shared" ref="CR104:CV104" si="317">CR63</f>
        <v>2.8 to 3</v>
      </c>
      <c r="CS104" s="1">
        <f t="shared" si="317"/>
        <v>0</v>
      </c>
      <c r="CT104" s="1">
        <f t="shared" si="317"/>
        <v>0</v>
      </c>
      <c r="CU104" s="1">
        <f t="shared" si="317"/>
        <v>0</v>
      </c>
      <c r="CV104" s="17">
        <f t="shared" ca="1" si="317"/>
        <v>0</v>
      </c>
      <c r="DB104" s="1" t="str">
        <f t="shared" ref="DB104:DF104" si="318">DB63</f>
        <v>2.8 to 3</v>
      </c>
      <c r="DC104" s="1">
        <f t="shared" si="318"/>
        <v>0</v>
      </c>
      <c r="DD104" s="1">
        <f t="shared" si="318"/>
        <v>0</v>
      </c>
      <c r="DE104" s="1">
        <f t="shared" si="318"/>
        <v>0</v>
      </c>
      <c r="DF104" s="17">
        <f t="shared" ca="1" si="318"/>
        <v>0</v>
      </c>
    </row>
    <row r="105" spans="1:110" x14ac:dyDescent="0.25">
      <c r="A105" s="1">
        <v>104</v>
      </c>
      <c r="B105" s="4">
        <v>7400</v>
      </c>
      <c r="C105" s="4">
        <v>17.5</v>
      </c>
      <c r="D105" s="4">
        <v>17.700000000000003</v>
      </c>
      <c r="E105" s="4">
        <f t="shared" si="104"/>
        <v>0.20000000000000284</v>
      </c>
      <c r="F105" s="4">
        <v>0</v>
      </c>
      <c r="G105" s="4">
        <v>-0.91</v>
      </c>
      <c r="H105" s="4">
        <v>79</v>
      </c>
      <c r="I105" s="4"/>
      <c r="J105" s="4">
        <v>49</v>
      </c>
      <c r="K105"/>
      <c r="L105"/>
      <c r="M105" s="4">
        <f t="shared" si="105"/>
        <v>17.700000000000003</v>
      </c>
      <c r="N105" s="4"/>
      <c r="O105" s="1">
        <f t="shared" si="106"/>
        <v>17.5</v>
      </c>
      <c r="P105" s="1">
        <f t="shared" si="107"/>
        <v>0</v>
      </c>
      <c r="Q105" s="1" t="str">
        <f t="shared" si="95"/>
        <v/>
      </c>
      <c r="R105" s="1" t="str">
        <f t="shared" si="108"/>
        <v/>
      </c>
      <c r="S105" s="1">
        <f t="shared" si="109"/>
        <v>346.36320000000001</v>
      </c>
      <c r="T105" s="1">
        <f t="shared" si="110"/>
        <v>-0.91</v>
      </c>
      <c r="U105" s="1">
        <f t="shared" si="111"/>
        <v>1056.000000000015</v>
      </c>
      <c r="V105" s="1">
        <f t="shared" si="112"/>
        <v>960.96000000001368</v>
      </c>
      <c r="AJ105" s="1" t="str">
        <f t="shared" ref="AJ105:AN105" si="319">AJ64</f>
        <v>3 to 3.2</v>
      </c>
      <c r="AK105" s="1">
        <f t="shared" si="319"/>
        <v>0</v>
      </c>
      <c r="AL105" s="1">
        <f t="shared" si="319"/>
        <v>0</v>
      </c>
      <c r="AM105" s="1">
        <f t="shared" si="319"/>
        <v>0</v>
      </c>
      <c r="AN105" s="17">
        <f t="shared" ca="1" si="319"/>
        <v>0</v>
      </c>
      <c r="AT105" s="1" t="str">
        <f t="shared" ref="AT105:AX105" si="320">AT64</f>
        <v>3 to 3.2</v>
      </c>
      <c r="AU105" s="1">
        <f t="shared" si="320"/>
        <v>0</v>
      </c>
      <c r="AV105" s="1">
        <f t="shared" si="320"/>
        <v>0</v>
      </c>
      <c r="AW105" s="1">
        <f t="shared" si="320"/>
        <v>0</v>
      </c>
      <c r="AX105" s="17">
        <f t="shared" ca="1" si="320"/>
        <v>0</v>
      </c>
      <c r="BD105" s="1" t="str">
        <f t="shared" ref="BD105:BH105" si="321">BD64</f>
        <v>3 to 3.2</v>
      </c>
      <c r="BE105" s="1">
        <f t="shared" si="321"/>
        <v>0</v>
      </c>
      <c r="BF105" s="1">
        <f t="shared" si="321"/>
        <v>0</v>
      </c>
      <c r="BG105" s="1">
        <f t="shared" si="321"/>
        <v>0</v>
      </c>
      <c r="BH105" s="17">
        <f t="shared" ca="1" si="321"/>
        <v>0</v>
      </c>
      <c r="BN105" s="1" t="str">
        <f t="shared" ref="BN105:BR105" si="322">BN64</f>
        <v>3 to 3.2</v>
      </c>
      <c r="BO105" s="1">
        <f t="shared" si="322"/>
        <v>0</v>
      </c>
      <c r="BP105" s="1">
        <f t="shared" si="322"/>
        <v>0</v>
      </c>
      <c r="BQ105" s="1">
        <f t="shared" si="322"/>
        <v>0</v>
      </c>
      <c r="BR105" s="17">
        <f t="shared" ca="1" si="322"/>
        <v>0</v>
      </c>
      <c r="BX105" s="1" t="str">
        <f t="shared" ref="BX105:CB105" si="323">BX64</f>
        <v>3 to 3.2</v>
      </c>
      <c r="BY105" s="1">
        <f t="shared" si="323"/>
        <v>0</v>
      </c>
      <c r="BZ105" s="1">
        <f t="shared" si="323"/>
        <v>0</v>
      </c>
      <c r="CA105" s="1">
        <f t="shared" si="323"/>
        <v>0</v>
      </c>
      <c r="CB105" s="17">
        <f t="shared" ca="1" si="323"/>
        <v>0</v>
      </c>
      <c r="CH105" s="1" t="str">
        <f t="shared" ref="CH105:CL105" si="324">CH64</f>
        <v>3 to 3.2</v>
      </c>
      <c r="CI105" s="1">
        <f t="shared" si="324"/>
        <v>0</v>
      </c>
      <c r="CJ105" s="1">
        <f t="shared" si="324"/>
        <v>0</v>
      </c>
      <c r="CK105" s="1">
        <f t="shared" si="324"/>
        <v>0</v>
      </c>
      <c r="CL105" s="17">
        <f t="shared" ca="1" si="324"/>
        <v>0</v>
      </c>
      <c r="CR105" s="1" t="str">
        <f t="shared" ref="CR105:CV105" si="325">CR64</f>
        <v>3 to 3.2</v>
      </c>
      <c r="CS105" s="1">
        <f t="shared" si="325"/>
        <v>0</v>
      </c>
      <c r="CT105" s="1">
        <f t="shared" si="325"/>
        <v>0</v>
      </c>
      <c r="CU105" s="1">
        <f t="shared" si="325"/>
        <v>0</v>
      </c>
      <c r="CV105" s="17">
        <f t="shared" ca="1" si="325"/>
        <v>0</v>
      </c>
      <c r="DB105" s="1" t="str">
        <f t="shared" ref="DB105:DF105" si="326">DB64</f>
        <v>3 to 3.2</v>
      </c>
      <c r="DC105" s="1">
        <f t="shared" si="326"/>
        <v>0</v>
      </c>
      <c r="DD105" s="1">
        <f t="shared" si="326"/>
        <v>0</v>
      </c>
      <c r="DE105" s="1">
        <f t="shared" si="326"/>
        <v>0</v>
      </c>
      <c r="DF105" s="17">
        <f t="shared" ca="1" si="326"/>
        <v>0</v>
      </c>
    </row>
    <row r="106" spans="1:110" x14ac:dyDescent="0.25">
      <c r="A106" s="1">
        <v>105</v>
      </c>
      <c r="B106" s="4">
        <v>7400</v>
      </c>
      <c r="C106" s="4">
        <v>17.700000000000003</v>
      </c>
      <c r="D106" s="4">
        <v>17.900000000000002</v>
      </c>
      <c r="E106" s="4">
        <f t="shared" si="104"/>
        <v>0.19999999999999929</v>
      </c>
      <c r="F106" s="4">
        <v>2</v>
      </c>
      <c r="G106" s="4">
        <v>-0.91</v>
      </c>
      <c r="H106" s="4">
        <v>79</v>
      </c>
      <c r="I106" s="4"/>
      <c r="J106" s="4">
        <v>49</v>
      </c>
      <c r="K106"/>
      <c r="L106"/>
      <c r="M106" s="4">
        <f t="shared" si="105"/>
        <v>17.900000000000002</v>
      </c>
      <c r="N106" s="4"/>
      <c r="O106" s="1">
        <f t="shared" si="106"/>
        <v>17.700000000000003</v>
      </c>
      <c r="P106" s="1">
        <f t="shared" si="107"/>
        <v>21.119999999999923</v>
      </c>
      <c r="Q106" s="1" t="str">
        <f t="shared" si="95"/>
        <v/>
      </c>
      <c r="R106" s="1" t="str">
        <f t="shared" si="108"/>
        <v/>
      </c>
      <c r="S106" s="1">
        <f t="shared" si="109"/>
        <v>336.75359999999989</v>
      </c>
      <c r="T106" s="1">
        <f t="shared" si="110"/>
        <v>-0.91</v>
      </c>
      <c r="U106" s="1">
        <f t="shared" si="111"/>
        <v>1055.9999999999964</v>
      </c>
      <c r="V106" s="1">
        <f t="shared" si="112"/>
        <v>960.95999999999674</v>
      </c>
      <c r="AJ106" s="1" t="str">
        <f t="shared" ref="AJ106:AN106" si="327">AJ65</f>
        <v>3.2 to 3.4</v>
      </c>
      <c r="AK106" s="1">
        <f t="shared" si="327"/>
        <v>0</v>
      </c>
      <c r="AL106" s="1">
        <f t="shared" si="327"/>
        <v>0</v>
      </c>
      <c r="AM106" s="1">
        <f t="shared" si="327"/>
        <v>0</v>
      </c>
      <c r="AN106" s="17">
        <f t="shared" ca="1" si="327"/>
        <v>0</v>
      </c>
      <c r="AT106" s="1" t="str">
        <f t="shared" ref="AT106:AX106" si="328">AT65</f>
        <v>3.2 to 3.4</v>
      </c>
      <c r="AU106" s="1">
        <f t="shared" si="328"/>
        <v>0</v>
      </c>
      <c r="AV106" s="1">
        <f t="shared" si="328"/>
        <v>0</v>
      </c>
      <c r="AW106" s="1">
        <f t="shared" si="328"/>
        <v>0</v>
      </c>
      <c r="AX106" s="17">
        <f t="shared" ca="1" si="328"/>
        <v>0</v>
      </c>
      <c r="BD106" s="1" t="str">
        <f t="shared" ref="BD106:BH106" si="329">BD65</f>
        <v>3.2 to 3.4</v>
      </c>
      <c r="BE106" s="1">
        <f t="shared" si="329"/>
        <v>0</v>
      </c>
      <c r="BF106" s="1">
        <f t="shared" si="329"/>
        <v>0</v>
      </c>
      <c r="BG106" s="1">
        <f t="shared" si="329"/>
        <v>0</v>
      </c>
      <c r="BH106" s="17">
        <f t="shared" ca="1" si="329"/>
        <v>0</v>
      </c>
      <c r="BN106" s="1" t="str">
        <f t="shared" ref="BN106:BR106" si="330">BN65</f>
        <v>3.2 to 3.4</v>
      </c>
      <c r="BO106" s="1">
        <f t="shared" si="330"/>
        <v>0</v>
      </c>
      <c r="BP106" s="1">
        <f t="shared" si="330"/>
        <v>0</v>
      </c>
      <c r="BQ106" s="1">
        <f t="shared" si="330"/>
        <v>0</v>
      </c>
      <c r="BR106" s="17">
        <f t="shared" ca="1" si="330"/>
        <v>0</v>
      </c>
      <c r="BX106" s="1" t="str">
        <f t="shared" ref="BX106:CB106" si="331">BX65</f>
        <v>3.2 to 3.4</v>
      </c>
      <c r="BY106" s="1">
        <f t="shared" si="331"/>
        <v>0</v>
      </c>
      <c r="BZ106" s="1">
        <f t="shared" si="331"/>
        <v>0</v>
      </c>
      <c r="CA106" s="1">
        <f t="shared" si="331"/>
        <v>0</v>
      </c>
      <c r="CB106" s="17">
        <f t="shared" ca="1" si="331"/>
        <v>0</v>
      </c>
      <c r="CH106" s="1" t="str">
        <f t="shared" ref="CH106:CL106" si="332">CH65</f>
        <v>3.2 to 3.4</v>
      </c>
      <c r="CI106" s="1">
        <f t="shared" si="332"/>
        <v>0</v>
      </c>
      <c r="CJ106" s="1">
        <f t="shared" si="332"/>
        <v>0</v>
      </c>
      <c r="CK106" s="1">
        <f t="shared" si="332"/>
        <v>0</v>
      </c>
      <c r="CL106" s="17">
        <f t="shared" ca="1" si="332"/>
        <v>0</v>
      </c>
      <c r="CR106" s="1" t="str">
        <f t="shared" ref="CR106:CV106" si="333">CR65</f>
        <v>3.2 to 3.4</v>
      </c>
      <c r="CS106" s="1">
        <f t="shared" si="333"/>
        <v>0</v>
      </c>
      <c r="CT106" s="1">
        <f t="shared" si="333"/>
        <v>0</v>
      </c>
      <c r="CU106" s="1">
        <f t="shared" si="333"/>
        <v>0</v>
      </c>
      <c r="CV106" s="17">
        <f t="shared" ca="1" si="333"/>
        <v>0</v>
      </c>
      <c r="DB106" s="1" t="str">
        <f t="shared" ref="DB106:DF106" si="334">DB65</f>
        <v>3.2 to 3.4</v>
      </c>
      <c r="DC106" s="1">
        <f t="shared" si="334"/>
        <v>0</v>
      </c>
      <c r="DD106" s="1">
        <f t="shared" si="334"/>
        <v>0</v>
      </c>
      <c r="DE106" s="1">
        <f t="shared" si="334"/>
        <v>0</v>
      </c>
      <c r="DF106" s="17">
        <f t="shared" ca="1" si="334"/>
        <v>0</v>
      </c>
    </row>
    <row r="107" spans="1:110" x14ac:dyDescent="0.25">
      <c r="A107" s="1">
        <v>106</v>
      </c>
      <c r="B107" s="4">
        <v>7400</v>
      </c>
      <c r="C107" s="4">
        <v>17.900000000000002</v>
      </c>
      <c r="D107" s="4">
        <v>18</v>
      </c>
      <c r="E107" s="4">
        <f t="shared" si="104"/>
        <v>9.9999999999997868E-2</v>
      </c>
      <c r="F107" s="4">
        <v>2</v>
      </c>
      <c r="G107" s="4">
        <v>-0.57999999999999996</v>
      </c>
      <c r="H107" s="4">
        <v>79</v>
      </c>
      <c r="I107" s="4"/>
      <c r="J107" s="4">
        <v>49</v>
      </c>
      <c r="K107"/>
      <c r="L107"/>
      <c r="M107" s="4">
        <f t="shared" si="105"/>
        <v>18</v>
      </c>
      <c r="N107" s="4"/>
      <c r="O107" s="1">
        <f t="shared" si="106"/>
        <v>17.900000000000002</v>
      </c>
      <c r="P107" s="1">
        <f t="shared" si="107"/>
        <v>10.559999999999775</v>
      </c>
      <c r="Q107" s="1" t="str">
        <f t="shared" si="95"/>
        <v/>
      </c>
      <c r="R107" s="1" t="str">
        <f t="shared" si="108"/>
        <v/>
      </c>
      <c r="S107" s="1">
        <f t="shared" si="109"/>
        <v>327.14399999999995</v>
      </c>
      <c r="T107" s="1">
        <f t="shared" si="110"/>
        <v>-0.57999999999999996</v>
      </c>
      <c r="U107" s="1">
        <f t="shared" si="111"/>
        <v>527.99999999998875</v>
      </c>
      <c r="V107" s="1">
        <f t="shared" si="112"/>
        <v>306.23999999999347</v>
      </c>
      <c r="AJ107" s="1" t="str">
        <f t="shared" ref="AJ107:AN107" si="335">AJ66</f>
        <v>3.4 to 3.6</v>
      </c>
      <c r="AK107" s="1">
        <f t="shared" si="335"/>
        <v>0</v>
      </c>
      <c r="AL107" s="1">
        <f t="shared" si="335"/>
        <v>0</v>
      </c>
      <c r="AM107" s="1">
        <f t="shared" si="335"/>
        <v>0</v>
      </c>
      <c r="AN107" s="17">
        <f t="shared" ca="1" si="335"/>
        <v>0</v>
      </c>
      <c r="AT107" s="1" t="str">
        <f t="shared" ref="AT107:AX107" si="336">AT66</f>
        <v>3.4 to 3.6</v>
      </c>
      <c r="AU107" s="1">
        <f t="shared" si="336"/>
        <v>0</v>
      </c>
      <c r="AV107" s="1">
        <f t="shared" si="336"/>
        <v>0</v>
      </c>
      <c r="AW107" s="1">
        <f t="shared" si="336"/>
        <v>0</v>
      </c>
      <c r="AX107" s="17">
        <f t="shared" ca="1" si="336"/>
        <v>0</v>
      </c>
      <c r="BD107" s="1" t="str">
        <f t="shared" ref="BD107:BH107" si="337">BD66</f>
        <v>3.4 to 3.6</v>
      </c>
      <c r="BE107" s="1">
        <f t="shared" si="337"/>
        <v>0</v>
      </c>
      <c r="BF107" s="1">
        <f t="shared" si="337"/>
        <v>0</v>
      </c>
      <c r="BG107" s="1">
        <f t="shared" si="337"/>
        <v>0</v>
      </c>
      <c r="BH107" s="17">
        <f t="shared" ca="1" si="337"/>
        <v>0</v>
      </c>
      <c r="BN107" s="1" t="str">
        <f t="shared" ref="BN107:BR107" si="338">BN66</f>
        <v>3.4 to 3.6</v>
      </c>
      <c r="BO107" s="1">
        <f t="shared" si="338"/>
        <v>0</v>
      </c>
      <c r="BP107" s="1">
        <f t="shared" si="338"/>
        <v>0</v>
      </c>
      <c r="BQ107" s="1">
        <f t="shared" si="338"/>
        <v>0</v>
      </c>
      <c r="BR107" s="17">
        <f t="shared" ca="1" si="338"/>
        <v>0</v>
      </c>
      <c r="BX107" s="1" t="str">
        <f t="shared" ref="BX107:CB107" si="339">BX66</f>
        <v>3.4 to 3.6</v>
      </c>
      <c r="BY107" s="1">
        <f t="shared" si="339"/>
        <v>0</v>
      </c>
      <c r="BZ107" s="1">
        <f t="shared" si="339"/>
        <v>0</v>
      </c>
      <c r="CA107" s="1">
        <f t="shared" si="339"/>
        <v>0</v>
      </c>
      <c r="CB107" s="17">
        <f t="shared" ca="1" si="339"/>
        <v>0</v>
      </c>
      <c r="CH107" s="1" t="str">
        <f t="shared" ref="CH107:CL107" si="340">CH66</f>
        <v>3.4 to 3.6</v>
      </c>
      <c r="CI107" s="1">
        <f t="shared" si="340"/>
        <v>0</v>
      </c>
      <c r="CJ107" s="1">
        <f t="shared" si="340"/>
        <v>0</v>
      </c>
      <c r="CK107" s="1">
        <f t="shared" si="340"/>
        <v>0</v>
      </c>
      <c r="CL107" s="17">
        <f t="shared" ca="1" si="340"/>
        <v>0</v>
      </c>
      <c r="CR107" s="1" t="str">
        <f t="shared" ref="CR107:CV107" si="341">CR66</f>
        <v>3.4 to 3.6</v>
      </c>
      <c r="CS107" s="1">
        <f t="shared" si="341"/>
        <v>0</v>
      </c>
      <c r="CT107" s="1">
        <f t="shared" si="341"/>
        <v>0</v>
      </c>
      <c r="CU107" s="1">
        <f t="shared" si="341"/>
        <v>0</v>
      </c>
      <c r="CV107" s="17">
        <f t="shared" ca="1" si="341"/>
        <v>0</v>
      </c>
      <c r="DB107" s="1" t="str">
        <f t="shared" ref="DB107:DF107" si="342">DB66</f>
        <v>3.4 to 3.6</v>
      </c>
      <c r="DC107" s="1">
        <f t="shared" si="342"/>
        <v>0</v>
      </c>
      <c r="DD107" s="1">
        <f t="shared" si="342"/>
        <v>0</v>
      </c>
      <c r="DE107" s="1">
        <f t="shared" si="342"/>
        <v>0</v>
      </c>
      <c r="DF107" s="17">
        <f t="shared" ca="1" si="342"/>
        <v>0</v>
      </c>
    </row>
    <row r="108" spans="1:110" x14ac:dyDescent="0.25">
      <c r="A108" s="1">
        <v>107</v>
      </c>
      <c r="B108" s="4">
        <v>7400</v>
      </c>
      <c r="C108" s="4">
        <v>18</v>
      </c>
      <c r="D108" s="4">
        <v>18.200000000000003</v>
      </c>
      <c r="E108" s="4">
        <f t="shared" si="104"/>
        <v>0.20000000000000284</v>
      </c>
      <c r="F108" s="4">
        <v>2</v>
      </c>
      <c r="G108" s="4">
        <v>-0.57999999999999996</v>
      </c>
      <c r="H108" s="4">
        <v>79</v>
      </c>
      <c r="I108" s="4"/>
      <c r="J108" s="4">
        <v>49</v>
      </c>
      <c r="K108"/>
      <c r="L108"/>
      <c r="M108" s="4">
        <f t="shared" si="105"/>
        <v>18.200000000000003</v>
      </c>
      <c r="N108" s="4"/>
      <c r="O108" s="1">
        <f t="shared" si="106"/>
        <v>18</v>
      </c>
      <c r="P108" s="1">
        <f t="shared" si="107"/>
        <v>21.120000000000299</v>
      </c>
      <c r="Q108" s="1" t="str">
        <f t="shared" si="95"/>
        <v/>
      </c>
      <c r="R108" s="1" t="str">
        <f t="shared" si="108"/>
        <v/>
      </c>
      <c r="S108" s="1">
        <f t="shared" si="109"/>
        <v>324.08160000000004</v>
      </c>
      <c r="T108" s="1">
        <f t="shared" si="110"/>
        <v>-0.57999999999999996</v>
      </c>
      <c r="U108" s="1">
        <f t="shared" si="111"/>
        <v>1056.000000000015</v>
      </c>
      <c r="V108" s="1">
        <f t="shared" si="112"/>
        <v>612.48000000000866</v>
      </c>
    </row>
    <row r="109" spans="1:110" x14ac:dyDescent="0.25">
      <c r="A109" s="1">
        <v>108</v>
      </c>
      <c r="B109" s="4">
        <v>7400</v>
      </c>
      <c r="C109" s="4">
        <v>18.200000000000003</v>
      </c>
      <c r="D109" s="4">
        <v>18.3</v>
      </c>
      <c r="E109" s="4">
        <f t="shared" si="104"/>
        <v>9.9999999999997868E-2</v>
      </c>
      <c r="F109" s="4">
        <v>0</v>
      </c>
      <c r="G109" s="4">
        <v>-0.57999999999999996</v>
      </c>
      <c r="H109" s="4">
        <v>79</v>
      </c>
      <c r="I109" s="4"/>
      <c r="J109" s="4">
        <v>49</v>
      </c>
      <c r="K109"/>
      <c r="L109"/>
      <c r="M109" s="4">
        <f t="shared" si="105"/>
        <v>18.3</v>
      </c>
      <c r="N109" s="4"/>
      <c r="O109" s="1">
        <f t="shared" si="106"/>
        <v>18.200000000000003</v>
      </c>
      <c r="P109" s="1">
        <f t="shared" si="107"/>
        <v>0</v>
      </c>
      <c r="Q109" s="1" t="str">
        <f t="shared" si="95"/>
        <v/>
      </c>
      <c r="R109" s="1" t="str">
        <f t="shared" si="108"/>
        <v/>
      </c>
      <c r="S109" s="1">
        <f t="shared" si="109"/>
        <v>317.95679999999993</v>
      </c>
      <c r="T109" s="1">
        <f t="shared" si="110"/>
        <v>-0.57999999999999996</v>
      </c>
      <c r="U109" s="1">
        <f t="shared" si="111"/>
        <v>527.99999999998875</v>
      </c>
      <c r="V109" s="1">
        <f t="shared" si="112"/>
        <v>306.23999999999347</v>
      </c>
      <c r="AJ109" s="1" t="s">
        <v>34</v>
      </c>
      <c r="AK109" s="18">
        <f ca="1">SUMPRODUCT(AK71:AK107,AM71:AM107)/5280</f>
        <v>6.7</v>
      </c>
      <c r="AN109" s="17">
        <f ca="1">SUM(AN71:AN107)</f>
        <v>1.0000000000000002</v>
      </c>
      <c r="AT109" s="1" t="s">
        <v>34</v>
      </c>
      <c r="AU109" s="18">
        <f ca="1">SUMPRODUCT(AU71:AU107,AW71:AW107)/5280</f>
        <v>40.40000000000002</v>
      </c>
      <c r="AX109" s="17">
        <f ca="1">SUM(AX71:AX107)</f>
        <v>1.0000000000000002</v>
      </c>
      <c r="BD109" s="1" t="s">
        <v>34</v>
      </c>
      <c r="BE109" s="18">
        <f ca="1">SUMPRODUCT(BE71:BE107,BG71:BG107)/5280</f>
        <v>7.3999999999999986</v>
      </c>
      <c r="BH109" s="17">
        <f ca="1">SUM(BH71:BH107)</f>
        <v>0.99999999999999978</v>
      </c>
      <c r="BN109" s="1" t="s">
        <v>34</v>
      </c>
      <c r="BO109" s="18">
        <f ca="1">SUMPRODUCT(BO71:BO107,BQ71:BQ107)/5280</f>
        <v>46.500000000000156</v>
      </c>
      <c r="BR109" s="17">
        <f ca="1">SUM(BR71:BR107)</f>
        <v>1.0000000000000033</v>
      </c>
      <c r="BX109" s="1" t="s">
        <v>34</v>
      </c>
      <c r="BY109" s="18">
        <f ca="1">SUMPRODUCT(BY71:BY107,CA71:CA107)/5280</f>
        <v>15</v>
      </c>
      <c r="CB109" s="17">
        <f ca="1">SUM(CB71:CB107)</f>
        <v>0.99999999999999989</v>
      </c>
      <c r="CH109" s="1" t="s">
        <v>34</v>
      </c>
      <c r="CI109" s="18">
        <f ca="1">SUMPRODUCT(CI71:CI107,CK71:CK107)/5280</f>
        <v>8.1999999999999886</v>
      </c>
      <c r="CL109" s="17">
        <f ca="1">SUM(CL71:CL107)</f>
        <v>1</v>
      </c>
      <c r="CR109" s="1" t="s">
        <v>34</v>
      </c>
      <c r="CS109" s="18">
        <f ca="1">SUMPRODUCT(CS71:CS107,CU71:CU107)/5280</f>
        <v>19.800000000000015</v>
      </c>
      <c r="CV109" s="17">
        <f ca="1">SUM(CV71:CV107)</f>
        <v>1</v>
      </c>
      <c r="DB109" s="1" t="s">
        <v>34</v>
      </c>
      <c r="DC109" s="18">
        <f ca="1">SUMPRODUCT(DC71:DC107,DE71:DE107)/5280</f>
        <v>29.1</v>
      </c>
      <c r="DF109" s="17">
        <f ca="1">SUM(DF71:DF107)</f>
        <v>1</v>
      </c>
    </row>
    <row r="110" spans="1:110" x14ac:dyDescent="0.25">
      <c r="A110" s="1">
        <v>109</v>
      </c>
      <c r="B110" s="4">
        <v>7400</v>
      </c>
      <c r="C110" s="4">
        <v>18.3</v>
      </c>
      <c r="D110" s="4">
        <v>18.600000000000001</v>
      </c>
      <c r="E110" s="4">
        <f t="shared" si="104"/>
        <v>0.30000000000000071</v>
      </c>
      <c r="F110" s="4">
        <v>2</v>
      </c>
      <c r="G110" s="4">
        <v>0.11</v>
      </c>
      <c r="H110" s="4">
        <v>79</v>
      </c>
      <c r="I110" s="4"/>
      <c r="J110" s="4">
        <v>49</v>
      </c>
      <c r="K110"/>
      <c r="L110"/>
      <c r="M110" s="4">
        <f t="shared" si="105"/>
        <v>18.600000000000001</v>
      </c>
      <c r="N110" s="4"/>
      <c r="O110" s="1">
        <f t="shared" si="106"/>
        <v>18.3</v>
      </c>
      <c r="P110" s="1">
        <f t="shared" si="107"/>
        <v>31.680000000000074</v>
      </c>
      <c r="Q110" s="1" t="str">
        <f t="shared" si="95"/>
        <v/>
      </c>
      <c r="R110" s="1" t="str">
        <f t="shared" si="108"/>
        <v/>
      </c>
      <c r="S110" s="1">
        <f t="shared" si="109"/>
        <v>314.89440000000002</v>
      </c>
      <c r="T110" s="1">
        <f t="shared" si="110"/>
        <v>0.11</v>
      </c>
      <c r="U110" s="1">
        <f t="shared" si="111"/>
        <v>1584.0000000000036</v>
      </c>
      <c r="V110" s="1">
        <f t="shared" si="112"/>
        <v>174.24000000000041</v>
      </c>
    </row>
    <row r="111" spans="1:110" x14ac:dyDescent="0.25">
      <c r="A111" s="1">
        <v>110</v>
      </c>
      <c r="B111" s="4">
        <v>7400</v>
      </c>
      <c r="C111" s="4">
        <v>18.600000000000001</v>
      </c>
      <c r="D111" s="4">
        <v>18.8</v>
      </c>
      <c r="E111" s="4">
        <f t="shared" si="104"/>
        <v>0.19999999999999929</v>
      </c>
      <c r="F111" s="4">
        <v>0</v>
      </c>
      <c r="G111" s="4">
        <v>0.11</v>
      </c>
      <c r="H111" s="4">
        <v>79</v>
      </c>
      <c r="I111" s="4"/>
      <c r="J111" s="4">
        <v>49</v>
      </c>
      <c r="K111"/>
      <c r="L111"/>
      <c r="M111" s="4">
        <f t="shared" si="105"/>
        <v>18.8</v>
      </c>
      <c r="N111" s="4"/>
      <c r="O111" s="1">
        <f t="shared" si="106"/>
        <v>18.600000000000001</v>
      </c>
      <c r="P111" s="1">
        <f t="shared" si="107"/>
        <v>0</v>
      </c>
      <c r="Q111" s="1" t="str">
        <f t="shared" si="95"/>
        <v/>
      </c>
      <c r="R111" s="1" t="str">
        <f t="shared" si="108"/>
        <v/>
      </c>
      <c r="S111" s="1">
        <f t="shared" si="109"/>
        <v>316.63680000000005</v>
      </c>
      <c r="T111" s="1">
        <f t="shared" si="110"/>
        <v>0.11</v>
      </c>
      <c r="U111" s="1">
        <f t="shared" si="111"/>
        <v>1055.9999999999964</v>
      </c>
      <c r="V111" s="1">
        <f t="shared" si="112"/>
        <v>116.1599999999996</v>
      </c>
      <c r="AE111" s="41" t="s">
        <v>42</v>
      </c>
      <c r="AF111" s="1">
        <v>0</v>
      </c>
      <c r="AG111" s="1">
        <v>1</v>
      </c>
      <c r="AH111" s="1">
        <v>2</v>
      </c>
      <c r="AI111" s="1">
        <v>3</v>
      </c>
      <c r="AJ111" s="1">
        <v>4</v>
      </c>
      <c r="AK111" s="1">
        <v>5</v>
      </c>
      <c r="AL111" s="1">
        <v>6</v>
      </c>
      <c r="AM111" s="1">
        <v>7</v>
      </c>
      <c r="AN111" s="1">
        <v>8</v>
      </c>
    </row>
    <row r="112" spans="1:110" x14ac:dyDescent="0.25">
      <c r="A112" s="1">
        <v>111</v>
      </c>
      <c r="B112" s="4">
        <v>7400</v>
      </c>
      <c r="C112" s="4">
        <v>18.8</v>
      </c>
      <c r="D112" s="4">
        <v>19</v>
      </c>
      <c r="E112" s="4">
        <f t="shared" si="104"/>
        <v>0.19999999999999929</v>
      </c>
      <c r="F112" s="4">
        <v>0</v>
      </c>
      <c r="G112" s="4">
        <v>0.26</v>
      </c>
      <c r="H112" s="4">
        <v>79</v>
      </c>
      <c r="I112" s="4"/>
      <c r="J112" s="4">
        <v>49</v>
      </c>
      <c r="K112"/>
      <c r="L112"/>
      <c r="M112" s="4">
        <f t="shared" si="105"/>
        <v>19</v>
      </c>
      <c r="N112" s="4"/>
      <c r="O112" s="1">
        <f t="shared" si="106"/>
        <v>18.8</v>
      </c>
      <c r="P112" s="1">
        <f t="shared" si="107"/>
        <v>0</v>
      </c>
      <c r="Q112" s="1" t="str">
        <f t="shared" si="95"/>
        <v/>
      </c>
      <c r="R112" s="1" t="str">
        <f t="shared" si="108"/>
        <v/>
      </c>
      <c r="S112" s="1">
        <f t="shared" si="109"/>
        <v>317.79840000000007</v>
      </c>
      <c r="T112" s="1">
        <f t="shared" si="110"/>
        <v>0.26</v>
      </c>
      <c r="U112" s="1">
        <f t="shared" si="111"/>
        <v>1055.9999999999964</v>
      </c>
      <c r="V112" s="1">
        <f t="shared" si="112"/>
        <v>274.55999999999904</v>
      </c>
      <c r="AC112" s="1" t="s">
        <v>66</v>
      </c>
      <c r="AE112" s="35" t="s">
        <v>11</v>
      </c>
      <c r="AF112" s="36">
        <f ca="1">IF(ISNUMBER(AF2),AF2,"")</f>
        <v>0</v>
      </c>
      <c r="AG112" s="36">
        <f ca="1">IF(ISNUMBER(AF3),AF3,"")</f>
        <v>6.6999999999999993</v>
      </c>
      <c r="AH112" s="36">
        <f ca="1">IF(ISNUMBER(AF4),AF4,"")</f>
        <v>47.1</v>
      </c>
      <c r="AI112" s="36">
        <f ca="1">IF(ISNUMBER(AF5),AF5,"")</f>
        <v>54.5</v>
      </c>
      <c r="AJ112" s="37">
        <f ca="1">IF(ISNUMBER(AF6),AF6,"")</f>
        <v>101</v>
      </c>
      <c r="AK112" s="37">
        <f ca="1">IF(ISNUMBER(AF7),AF7,"")</f>
        <v>116</v>
      </c>
      <c r="AL112" s="37">
        <f ca="1">IF(ISNUMBER(AF8),AF8,"")</f>
        <v>124.19999999999999</v>
      </c>
      <c r="AM112" s="37">
        <f ca="1">IF(ISNUMBER(AF9),AF9,"")</f>
        <v>144</v>
      </c>
      <c r="AN112" s="37">
        <f ca="1">IF(ISNUMBER(AF10),AF10,"")</f>
        <v>173.1</v>
      </c>
    </row>
    <row r="113" spans="1:41" x14ac:dyDescent="0.25">
      <c r="A113" s="1">
        <v>112</v>
      </c>
      <c r="B113" s="4">
        <v>7400</v>
      </c>
      <c r="C113" s="4">
        <v>19</v>
      </c>
      <c r="D113" s="4">
        <v>19.100000000000001</v>
      </c>
      <c r="E113" s="4">
        <f t="shared" si="104"/>
        <v>0.10000000000000142</v>
      </c>
      <c r="F113" s="4">
        <v>2</v>
      </c>
      <c r="G113" s="4">
        <v>0.26</v>
      </c>
      <c r="H113" s="4">
        <v>79</v>
      </c>
      <c r="I113" s="4"/>
      <c r="J113" s="4">
        <v>49</v>
      </c>
      <c r="K113"/>
      <c r="L113"/>
      <c r="M113" s="4">
        <f t="shared" si="105"/>
        <v>19.100000000000001</v>
      </c>
      <c r="N113" s="4"/>
      <c r="O113" s="1">
        <f t="shared" si="106"/>
        <v>19</v>
      </c>
      <c r="P113" s="1">
        <f t="shared" si="107"/>
        <v>10.56000000000015</v>
      </c>
      <c r="Q113" s="1" t="str">
        <f t="shared" si="95"/>
        <v/>
      </c>
      <c r="R113" s="1" t="str">
        <f t="shared" si="108"/>
        <v/>
      </c>
      <c r="S113" s="1">
        <f t="shared" si="109"/>
        <v>320.54400000000004</v>
      </c>
      <c r="T113" s="1">
        <f t="shared" si="110"/>
        <v>0.26</v>
      </c>
      <c r="U113" s="1">
        <f t="shared" si="111"/>
        <v>528.0000000000075</v>
      </c>
      <c r="V113" s="1">
        <f t="shared" si="112"/>
        <v>137.28000000000196</v>
      </c>
      <c r="AE113" s="35" t="s">
        <v>10</v>
      </c>
      <c r="AF113" s="37">
        <f ca="1">IF(ISNUMBER(AF2),AH2,"")</f>
        <v>315</v>
      </c>
      <c r="AG113" s="37">
        <f ca="1">IF(ISNUMBER(AF3),AH3,"")</f>
        <v>476.19840000000011</v>
      </c>
      <c r="AH113" s="37">
        <f ca="1">IF(ISNUMBER(AF4),AH4,"")</f>
        <v>654.87359999999956</v>
      </c>
      <c r="AI113" s="37">
        <f ca="1">IF(ISNUMBER(AF5),AH5,"")</f>
        <v>509.14559999999943</v>
      </c>
      <c r="AJ113" s="37">
        <f ca="1">IF(ISNUMBER(AF6),AH6,"")</f>
        <v>805.88160000000107</v>
      </c>
      <c r="AK113" s="37">
        <f ca="1">IF(ISNUMBER(AF7),AH7,"")</f>
        <v>695.21280000000218</v>
      </c>
      <c r="AL113" s="37">
        <f ca="1">IF(ISNUMBER(AF8),AH8,"")</f>
        <v>561.20640000000242</v>
      </c>
      <c r="AM113" s="37">
        <f ca="1">IF(ISNUMBER(AF9),AH9,"")</f>
        <v>821.82720000000211</v>
      </c>
      <c r="AN113" s="37">
        <f ca="1">IF(ISNUMBER(AF10),AH10,"")</f>
        <v>630.90240000000244</v>
      </c>
    </row>
    <row r="114" spans="1:41" x14ac:dyDescent="0.25">
      <c r="A114" s="1">
        <v>113</v>
      </c>
      <c r="B114" s="4">
        <v>7400</v>
      </c>
      <c r="C114" s="4">
        <v>19.100000000000001</v>
      </c>
      <c r="D114" s="4">
        <v>19.5</v>
      </c>
      <c r="E114" s="4">
        <f t="shared" si="104"/>
        <v>0.39999999999999858</v>
      </c>
      <c r="F114" s="4">
        <v>0</v>
      </c>
      <c r="G114" s="4">
        <v>0.65</v>
      </c>
      <c r="H114" s="4">
        <v>79</v>
      </c>
      <c r="I114" s="4"/>
      <c r="J114" s="4">
        <v>49</v>
      </c>
      <c r="K114"/>
      <c r="L114"/>
      <c r="M114" s="4">
        <f t="shared" si="105"/>
        <v>19.5</v>
      </c>
      <c r="N114" s="4"/>
      <c r="O114" s="1">
        <f t="shared" si="106"/>
        <v>19.100000000000001</v>
      </c>
      <c r="P114" s="1">
        <f t="shared" si="107"/>
        <v>0</v>
      </c>
      <c r="Q114" s="1" t="str">
        <f t="shared" si="95"/>
        <v/>
      </c>
      <c r="R114" s="1" t="str">
        <f t="shared" si="108"/>
        <v/>
      </c>
      <c r="S114" s="1">
        <f t="shared" si="109"/>
        <v>321.91680000000008</v>
      </c>
      <c r="T114" s="1">
        <f t="shared" si="110"/>
        <v>0.65</v>
      </c>
      <c r="U114" s="1">
        <f t="shared" si="111"/>
        <v>2111.9999999999927</v>
      </c>
      <c r="V114" s="1">
        <f t="shared" si="112"/>
        <v>1372.7999999999954</v>
      </c>
      <c r="AE114" s="35" t="s">
        <v>43</v>
      </c>
      <c r="AF114" s="38">
        <v>1</v>
      </c>
      <c r="AG114" s="38">
        <f t="shared" ref="AG114:AM114" si="343">1+AF114</f>
        <v>2</v>
      </c>
      <c r="AH114" s="38">
        <f t="shared" si="343"/>
        <v>3</v>
      </c>
      <c r="AI114" s="38">
        <f t="shared" si="343"/>
        <v>4</v>
      </c>
      <c r="AJ114" s="38">
        <f t="shared" si="343"/>
        <v>5</v>
      </c>
      <c r="AK114" s="38">
        <f t="shared" si="343"/>
        <v>6</v>
      </c>
      <c r="AL114" s="38">
        <f t="shared" si="343"/>
        <v>7</v>
      </c>
      <c r="AM114" s="38">
        <f t="shared" si="343"/>
        <v>8</v>
      </c>
      <c r="AO114" s="1" t="s">
        <v>42</v>
      </c>
    </row>
    <row r="115" spans="1:41" ht="15" customHeight="1" x14ac:dyDescent="0.25">
      <c r="A115" s="1">
        <v>114</v>
      </c>
      <c r="B115" s="4">
        <v>7400</v>
      </c>
      <c r="C115" s="4">
        <v>19.5</v>
      </c>
      <c r="D115" s="4">
        <v>19.700000000000003</v>
      </c>
      <c r="E115" s="4">
        <f t="shared" si="104"/>
        <v>0.20000000000000284</v>
      </c>
      <c r="F115" s="4">
        <v>0</v>
      </c>
      <c r="G115" s="4">
        <v>-0.89</v>
      </c>
      <c r="H115" s="4">
        <v>79</v>
      </c>
      <c r="I115" s="4"/>
      <c r="J115" s="4">
        <v>49</v>
      </c>
      <c r="K115"/>
      <c r="L115"/>
      <c r="M115" s="4">
        <f t="shared" si="105"/>
        <v>19.700000000000003</v>
      </c>
      <c r="N115" s="4"/>
      <c r="O115" s="1">
        <f t="shared" si="106"/>
        <v>19.5</v>
      </c>
      <c r="P115" s="1">
        <f t="shared" si="107"/>
        <v>0</v>
      </c>
      <c r="Q115" s="1" t="str">
        <f t="shared" si="95"/>
        <v/>
      </c>
      <c r="R115" s="1" t="str">
        <f t="shared" si="108"/>
        <v/>
      </c>
      <c r="S115" s="1">
        <f t="shared" si="109"/>
        <v>335.64480000000003</v>
      </c>
      <c r="T115" s="1">
        <f t="shared" si="110"/>
        <v>-0.89</v>
      </c>
      <c r="U115" s="1">
        <f t="shared" si="111"/>
        <v>1056.000000000015</v>
      </c>
      <c r="V115" s="1">
        <f t="shared" si="112"/>
        <v>939.84000000001333</v>
      </c>
      <c r="AC115" s="129" t="s">
        <v>38</v>
      </c>
      <c r="AD115" s="129" t="s">
        <v>39</v>
      </c>
      <c r="AE115" s="33">
        <v>-0.19999999999999696</v>
      </c>
      <c r="AF115" s="34">
        <f t="shared" ref="AF115:AM115" ca="1" si="344">IF(ISNUMBER(AG112),IF(AF$114&gt;$AF$13,0,OFFSET($AL$87,$AO115,AF$111*10)),"")</f>
        <v>-0.32999999999999985</v>
      </c>
      <c r="AG115" s="34">
        <f t="shared" ca="1" si="344"/>
        <v>-0.33684210526315805</v>
      </c>
      <c r="AH115" s="34">
        <f t="shared" ca="1" si="344"/>
        <v>-0.26750000000000052</v>
      </c>
      <c r="AI115" s="34">
        <f t="shared" ca="1" si="344"/>
        <v>-0.29034482758620594</v>
      </c>
      <c r="AJ115" s="34">
        <f t="shared" ca="1" si="344"/>
        <v>-0.33428571428571408</v>
      </c>
      <c r="AK115" s="34">
        <f t="shared" ca="1" si="344"/>
        <v>-0.30181818181818398</v>
      </c>
      <c r="AL115" s="34">
        <f t="shared" ca="1" si="344"/>
        <v>-0.28181818181818108</v>
      </c>
      <c r="AM115" s="34">
        <f t="shared" ca="1" si="344"/>
        <v>-0.29769230769230709</v>
      </c>
      <c r="AO115" s="1">
        <v>0</v>
      </c>
    </row>
    <row r="116" spans="1:41" x14ac:dyDescent="0.25">
      <c r="A116" s="1">
        <v>115</v>
      </c>
      <c r="B116" s="4">
        <v>7400</v>
      </c>
      <c r="C116" s="4">
        <v>19.700000000000003</v>
      </c>
      <c r="D116" s="4">
        <v>19.900000000000002</v>
      </c>
      <c r="E116" s="4">
        <f t="shared" si="104"/>
        <v>0.19999999999999929</v>
      </c>
      <c r="F116" s="4">
        <v>0</v>
      </c>
      <c r="G116" s="4">
        <v>-0.47</v>
      </c>
      <c r="H116" s="4">
        <v>79</v>
      </c>
      <c r="I116" s="4"/>
      <c r="J116" s="4">
        <v>49</v>
      </c>
      <c r="K116"/>
      <c r="L116"/>
      <c r="M116" s="4">
        <f t="shared" si="105"/>
        <v>19.900000000000002</v>
      </c>
      <c r="N116" s="4"/>
      <c r="O116" s="1">
        <f t="shared" si="106"/>
        <v>19.700000000000003</v>
      </c>
      <c r="P116" s="1">
        <f t="shared" si="107"/>
        <v>0</v>
      </c>
      <c r="Q116" s="1" t="str">
        <f t="shared" si="95"/>
        <v/>
      </c>
      <c r="R116" s="1" t="str">
        <f t="shared" si="108"/>
        <v/>
      </c>
      <c r="S116" s="1">
        <f t="shared" si="109"/>
        <v>326.24639999999988</v>
      </c>
      <c r="T116" s="1">
        <f t="shared" si="110"/>
        <v>-0.47</v>
      </c>
      <c r="U116" s="1">
        <f t="shared" si="111"/>
        <v>1055.9999999999964</v>
      </c>
      <c r="V116" s="1">
        <f t="shared" si="112"/>
        <v>496.31999999999829</v>
      </c>
      <c r="AC116" s="130"/>
      <c r="AD116" s="130"/>
      <c r="AE116" s="33">
        <v>-0.39999999999999697</v>
      </c>
      <c r="AF116" s="34">
        <f t="shared" ref="AF116:AM116" ca="1" si="345">IF(ISNUMBER(AG112),IF(AF$114&gt;$AF$13,0,OFFSET($AL$87,$AO116,AF$111*10)),"")</f>
        <v>-0.46999999999999975</v>
      </c>
      <c r="AG116" s="34">
        <f t="shared" ca="1" si="345"/>
        <v>-0.49611111111111045</v>
      </c>
      <c r="AH116" s="34">
        <f t="shared" ca="1" si="345"/>
        <v>-0.48066666666666663</v>
      </c>
      <c r="AI116" s="34">
        <f t="shared" ca="1" si="345"/>
        <v>-0.50369565217391388</v>
      </c>
      <c r="AJ116" s="34">
        <f t="shared" ca="1" si="345"/>
        <v>-0.52421052631579024</v>
      </c>
      <c r="AK116" s="34">
        <f t="shared" ca="1" si="345"/>
        <v>-0.53785714285714326</v>
      </c>
      <c r="AL116" s="34">
        <f t="shared" ca="1" si="345"/>
        <v>-0.48750000000000293</v>
      </c>
      <c r="AM116" s="34">
        <f t="shared" ca="1" si="345"/>
        <v>-0.50638888888888933</v>
      </c>
      <c r="AO116" s="1">
        <v>-1</v>
      </c>
    </row>
    <row r="117" spans="1:41" x14ac:dyDescent="0.25">
      <c r="A117" s="1">
        <v>116</v>
      </c>
      <c r="B117" s="4">
        <v>7400</v>
      </c>
      <c r="C117" s="4">
        <v>19.900000000000002</v>
      </c>
      <c r="D117" s="4">
        <v>20.100000000000001</v>
      </c>
      <c r="E117" s="4">
        <f t="shared" si="104"/>
        <v>0.19999999999999929</v>
      </c>
      <c r="F117" s="4">
        <v>0</v>
      </c>
      <c r="G117" s="4">
        <v>0.5</v>
      </c>
      <c r="H117" s="4">
        <v>79</v>
      </c>
      <c r="I117" s="4"/>
      <c r="J117" s="4">
        <v>49</v>
      </c>
      <c r="K117"/>
      <c r="L117"/>
      <c r="M117" s="4">
        <f t="shared" si="105"/>
        <v>20.100000000000001</v>
      </c>
      <c r="N117" s="4"/>
      <c r="O117" s="1">
        <f t="shared" si="106"/>
        <v>19.900000000000002</v>
      </c>
      <c r="P117" s="1">
        <f t="shared" si="107"/>
        <v>0</v>
      </c>
      <c r="Q117" s="1" t="str">
        <f t="shared" si="95"/>
        <v/>
      </c>
      <c r="R117" s="1" t="str">
        <f t="shared" si="108"/>
        <v/>
      </c>
      <c r="S117" s="1">
        <f t="shared" si="109"/>
        <v>321.28319999999991</v>
      </c>
      <c r="T117" s="1">
        <f t="shared" si="110"/>
        <v>0.5</v>
      </c>
      <c r="U117" s="1">
        <f t="shared" si="111"/>
        <v>1055.9999999999964</v>
      </c>
      <c r="V117" s="1">
        <f t="shared" si="112"/>
        <v>527.99999999999818</v>
      </c>
      <c r="AC117" s="130"/>
      <c r="AD117" s="130"/>
      <c r="AE117" s="33">
        <v>-0.59999999999999698</v>
      </c>
      <c r="AF117" s="34">
        <f t="shared" ref="AF117:AM117" ca="1" si="346">IF(ISNUMBER(AG112),IF(AF$114&gt;$AF$13,0,OFFSET($AL$87,$AO117,AF$111*10)),"")</f>
        <v>0</v>
      </c>
      <c r="AG117" s="34">
        <f t="shared" ca="1" si="346"/>
        <v>-0.72769230769230786</v>
      </c>
      <c r="AH117" s="34">
        <f t="shared" ca="1" si="346"/>
        <v>0</v>
      </c>
      <c r="AI117" s="34">
        <f t="shared" ca="1" si="346"/>
        <v>-0.71931818181818241</v>
      </c>
      <c r="AJ117" s="34">
        <f t="shared" ca="1" si="346"/>
        <v>-0.76146341463414657</v>
      </c>
      <c r="AK117" s="34">
        <f t="shared" ca="1" si="346"/>
        <v>-0.70241379310344754</v>
      </c>
      <c r="AL117" s="34">
        <f t="shared" ca="1" si="346"/>
        <v>0</v>
      </c>
      <c r="AM117" s="34">
        <f t="shared" ca="1" si="346"/>
        <v>-0.70630434782608709</v>
      </c>
      <c r="AO117" s="1">
        <v>-2</v>
      </c>
    </row>
    <row r="118" spans="1:41" x14ac:dyDescent="0.25">
      <c r="A118" s="1">
        <v>117</v>
      </c>
      <c r="B118" s="4">
        <v>7400</v>
      </c>
      <c r="C118" s="4">
        <v>20.100000000000001</v>
      </c>
      <c r="D118" s="4">
        <v>20.3</v>
      </c>
      <c r="E118" s="4">
        <f t="shared" si="104"/>
        <v>0.19999999999999929</v>
      </c>
      <c r="F118" s="4">
        <v>0</v>
      </c>
      <c r="G118" s="4">
        <v>0.18</v>
      </c>
      <c r="H118" s="4">
        <v>79</v>
      </c>
      <c r="I118" s="4"/>
      <c r="J118" s="4">
        <v>49</v>
      </c>
      <c r="K118"/>
      <c r="L118"/>
      <c r="M118" s="4">
        <f t="shared" si="105"/>
        <v>20.3</v>
      </c>
      <c r="N118" s="4"/>
      <c r="O118" s="1">
        <f t="shared" si="106"/>
        <v>20.100000000000001</v>
      </c>
      <c r="P118" s="1">
        <f t="shared" si="107"/>
        <v>0</v>
      </c>
      <c r="Q118" s="1" t="str">
        <f t="shared" si="95"/>
        <v/>
      </c>
      <c r="R118" s="1" t="str">
        <f t="shared" si="108"/>
        <v/>
      </c>
      <c r="S118" s="1">
        <f t="shared" si="109"/>
        <v>326.56319999999988</v>
      </c>
      <c r="T118" s="1">
        <f t="shared" si="110"/>
        <v>0.18</v>
      </c>
      <c r="U118" s="1">
        <f t="shared" si="111"/>
        <v>1055.9999999999964</v>
      </c>
      <c r="V118" s="1">
        <f t="shared" si="112"/>
        <v>190.07999999999933</v>
      </c>
      <c r="AC118" s="130"/>
      <c r="AD118" s="130"/>
      <c r="AE118" s="33">
        <v>-0.79999999999999694</v>
      </c>
      <c r="AF118" s="34">
        <f t="shared" ref="AF118:AM118" ca="1" si="347">IF(ISNUMBER(AG112),IF(AF$114&gt;$AF$13,0,OFFSET($AL$87,$AO118,AF$111*10)),"")</f>
        <v>-0.96000000000000008</v>
      </c>
      <c r="AG118" s="34">
        <f t="shared" ca="1" si="347"/>
        <v>-0.9381395348837207</v>
      </c>
      <c r="AH118" s="34">
        <f t="shared" ca="1" si="347"/>
        <v>-0.8921428571428569</v>
      </c>
      <c r="AI118" s="34">
        <f t="shared" ca="1" si="347"/>
        <v>-0.91839999999999977</v>
      </c>
      <c r="AJ118" s="34">
        <f t="shared" ca="1" si="347"/>
        <v>0</v>
      </c>
      <c r="AK118" s="34">
        <f t="shared" ca="1" si="347"/>
        <v>-0.91399999999999937</v>
      </c>
      <c r="AL118" s="34">
        <f t="shared" ca="1" si="347"/>
        <v>0</v>
      </c>
      <c r="AM118" s="34">
        <f t="shared" ca="1" si="347"/>
        <v>-0.8949999999999988</v>
      </c>
      <c r="AO118" s="1">
        <v>-3</v>
      </c>
    </row>
    <row r="119" spans="1:41" x14ac:dyDescent="0.25">
      <c r="A119" s="1">
        <v>118</v>
      </c>
      <c r="B119" s="4">
        <v>7400</v>
      </c>
      <c r="C119" s="4">
        <v>20.3</v>
      </c>
      <c r="D119" s="4">
        <v>20.400000000000002</v>
      </c>
      <c r="E119" s="4">
        <f t="shared" si="104"/>
        <v>0.10000000000000142</v>
      </c>
      <c r="F119" s="4">
        <v>0</v>
      </c>
      <c r="G119" s="4">
        <v>0.46</v>
      </c>
      <c r="H119" s="4">
        <v>79</v>
      </c>
      <c r="I119" s="4"/>
      <c r="J119" s="4">
        <v>49</v>
      </c>
      <c r="K119"/>
      <c r="L119"/>
      <c r="M119" s="4">
        <f t="shared" si="105"/>
        <v>20.400000000000002</v>
      </c>
      <c r="N119" s="4"/>
      <c r="O119" s="1">
        <f t="shared" si="106"/>
        <v>20.3</v>
      </c>
      <c r="P119" s="1">
        <f t="shared" si="107"/>
        <v>0</v>
      </c>
      <c r="Q119" s="1" t="str">
        <f t="shared" si="95"/>
        <v/>
      </c>
      <c r="R119" s="1" t="str">
        <f t="shared" si="108"/>
        <v/>
      </c>
      <c r="S119" s="1">
        <f t="shared" si="109"/>
        <v>328.46399999999988</v>
      </c>
      <c r="T119" s="1">
        <f t="shared" si="110"/>
        <v>0.46</v>
      </c>
      <c r="U119" s="1">
        <f t="shared" si="111"/>
        <v>528.0000000000075</v>
      </c>
      <c r="V119" s="1">
        <f t="shared" si="112"/>
        <v>242.88000000000346</v>
      </c>
      <c r="AC119" s="130"/>
      <c r="AD119" s="130"/>
      <c r="AE119" s="33">
        <v>-0.99999999999999689</v>
      </c>
      <c r="AF119" s="34">
        <f t="shared" ref="AF119:AM119" ca="1" si="348">IF(ISNUMBER(AG112),IF(AF$114&gt;$AF$13,0,OFFSET($AL$87,$AO119,AF$111*10)),"")</f>
        <v>-1.19</v>
      </c>
      <c r="AG119" s="34">
        <f t="shared" ca="1" si="348"/>
        <v>-1.0685714285714287</v>
      </c>
      <c r="AH119" s="34">
        <f t="shared" ca="1" si="348"/>
        <v>-1.0133333333333334</v>
      </c>
      <c r="AI119" s="34">
        <f t="shared" ca="1" si="348"/>
        <v>-1.01</v>
      </c>
      <c r="AJ119" s="34">
        <f t="shared" ca="1" si="348"/>
        <v>0</v>
      </c>
      <c r="AK119" s="34">
        <f t="shared" ca="1" si="348"/>
        <v>0</v>
      </c>
      <c r="AL119" s="34">
        <f t="shared" ca="1" si="348"/>
        <v>0</v>
      </c>
      <c r="AM119" s="34">
        <f t="shared" ca="1" si="348"/>
        <v>-1.0399999999999985</v>
      </c>
      <c r="AO119" s="1">
        <v>-4</v>
      </c>
    </row>
    <row r="120" spans="1:41" x14ac:dyDescent="0.25">
      <c r="A120" s="1">
        <v>119</v>
      </c>
      <c r="B120" s="4">
        <v>7400</v>
      </c>
      <c r="C120" s="4">
        <v>20.400000000000002</v>
      </c>
      <c r="D120" s="4">
        <v>20.6</v>
      </c>
      <c r="E120" s="4">
        <f t="shared" si="104"/>
        <v>0.19999999999999929</v>
      </c>
      <c r="F120" s="4">
        <v>0</v>
      </c>
      <c r="G120" s="4">
        <v>0.31</v>
      </c>
      <c r="H120" s="4">
        <v>79</v>
      </c>
      <c r="I120" s="4"/>
      <c r="J120" s="4">
        <v>49</v>
      </c>
      <c r="K120"/>
      <c r="L120"/>
      <c r="M120" s="4">
        <f t="shared" si="105"/>
        <v>20.6</v>
      </c>
      <c r="N120" s="4"/>
      <c r="O120" s="1">
        <f t="shared" si="106"/>
        <v>20.400000000000002</v>
      </c>
      <c r="P120" s="1">
        <f t="shared" si="107"/>
        <v>0</v>
      </c>
      <c r="Q120" s="1" t="str">
        <f t="shared" si="95"/>
        <v/>
      </c>
      <c r="R120" s="1" t="str">
        <f t="shared" si="108"/>
        <v/>
      </c>
      <c r="S120" s="1">
        <f t="shared" si="109"/>
        <v>330.89279999999991</v>
      </c>
      <c r="T120" s="1">
        <f t="shared" si="110"/>
        <v>0.31</v>
      </c>
      <c r="U120" s="1">
        <f t="shared" si="111"/>
        <v>1055.9999999999964</v>
      </c>
      <c r="V120" s="1">
        <f t="shared" si="112"/>
        <v>327.35999999999888</v>
      </c>
      <c r="AC120" s="130"/>
      <c r="AD120" s="131"/>
      <c r="AE120" s="33">
        <v>-1.1999999999999968</v>
      </c>
      <c r="AF120" s="42">
        <f t="shared" ref="AF120:AM120" ca="1" si="349">IF(ISNUMBER(AG112),IF(AF$114&gt;$AF$13,0,OFFSET($AL$87,$AO120,AF$111*10+4)),"")</f>
        <v>0</v>
      </c>
      <c r="AG120" s="42">
        <f t="shared" ca="1" si="349"/>
        <v>-1.3149999999999995</v>
      </c>
      <c r="AH120" s="42">
        <f t="shared" ca="1" si="349"/>
        <v>0</v>
      </c>
      <c r="AI120" s="42">
        <f t="shared" ca="1" si="349"/>
        <v>0</v>
      </c>
      <c r="AJ120" s="42">
        <f t="shared" ca="1" si="349"/>
        <v>0</v>
      </c>
      <c r="AK120" s="42">
        <f t="shared" ca="1" si="349"/>
        <v>0</v>
      </c>
      <c r="AL120" s="42">
        <f t="shared" ca="1" si="349"/>
        <v>0</v>
      </c>
      <c r="AM120" s="42">
        <f t="shared" ca="1" si="349"/>
        <v>0</v>
      </c>
      <c r="AO120" s="1">
        <v>-5</v>
      </c>
    </row>
    <row r="121" spans="1:41" ht="15" customHeight="1" x14ac:dyDescent="0.25">
      <c r="A121" s="1">
        <v>120</v>
      </c>
      <c r="B121" s="4">
        <v>7400</v>
      </c>
      <c r="C121" s="4">
        <v>20.6</v>
      </c>
      <c r="D121" s="4">
        <v>20.700000000000003</v>
      </c>
      <c r="E121" s="4">
        <f t="shared" si="104"/>
        <v>0.10000000000000142</v>
      </c>
      <c r="F121" s="4">
        <v>0</v>
      </c>
      <c r="G121" s="4">
        <v>0.25</v>
      </c>
      <c r="H121" s="4">
        <v>79</v>
      </c>
      <c r="I121" s="4"/>
      <c r="J121" s="4">
        <v>49</v>
      </c>
      <c r="K121"/>
      <c r="L121"/>
      <c r="M121" s="4">
        <f t="shared" si="105"/>
        <v>20.700000000000003</v>
      </c>
      <c r="N121" s="4"/>
      <c r="O121" s="1">
        <f t="shared" si="106"/>
        <v>20.6</v>
      </c>
      <c r="P121" s="1">
        <f t="shared" si="107"/>
        <v>0</v>
      </c>
      <c r="Q121" s="1" t="str">
        <f t="shared" si="95"/>
        <v/>
      </c>
      <c r="R121" s="1" t="str">
        <f t="shared" si="108"/>
        <v/>
      </c>
      <c r="S121" s="1">
        <f t="shared" si="109"/>
        <v>334.1663999999999</v>
      </c>
      <c r="T121" s="1">
        <f t="shared" si="110"/>
        <v>0.25</v>
      </c>
      <c r="U121" s="1">
        <f t="shared" si="111"/>
        <v>528.0000000000075</v>
      </c>
      <c r="V121" s="1">
        <f t="shared" si="112"/>
        <v>132.00000000000188</v>
      </c>
      <c r="AC121" s="130"/>
      <c r="AD121" s="129" t="s">
        <v>40</v>
      </c>
      <c r="AE121" s="33">
        <v>-0.19999999999999696</v>
      </c>
      <c r="AF121" s="57">
        <f t="shared" ref="AF121:AM121" ca="1" si="350">IF(ISNUMBER(AG112),IF(AF$114&gt;$AF$13,0,OFFSET($AN$87,$AO121,AF$111*10)),"")</f>
        <v>1.4925373134328309E-2</v>
      </c>
      <c r="AG121" s="57">
        <f t="shared" ca="1" si="350"/>
        <v>4.7029702970297162E-2</v>
      </c>
      <c r="AH121" s="57">
        <f t="shared" ca="1" si="350"/>
        <v>5.4054054054053877E-2</v>
      </c>
      <c r="AI121" s="57">
        <f t="shared" ca="1" si="350"/>
        <v>6.2365591397849286E-2</v>
      </c>
      <c r="AJ121" s="57">
        <f t="shared" ca="1" si="350"/>
        <v>4.6666666666665885E-2</v>
      </c>
      <c r="AK121" s="57">
        <f t="shared" ca="1" si="350"/>
        <v>0.13414634146341575</v>
      </c>
      <c r="AL121" s="57">
        <f t="shared" ca="1" si="350"/>
        <v>0.11111111111111339</v>
      </c>
      <c r="AM121" s="57">
        <f t="shared" ca="1" si="350"/>
        <v>8.9347079037802507E-2</v>
      </c>
      <c r="AO121" s="1">
        <v>0</v>
      </c>
    </row>
    <row r="122" spans="1:41" x14ac:dyDescent="0.25">
      <c r="A122" s="1">
        <v>121</v>
      </c>
      <c r="B122" s="4">
        <v>7400</v>
      </c>
      <c r="C122" s="4">
        <v>20.700000000000003</v>
      </c>
      <c r="D122" s="4">
        <v>20.8</v>
      </c>
      <c r="E122" s="4">
        <f t="shared" si="104"/>
        <v>9.9999999999997868E-2</v>
      </c>
      <c r="F122" s="4">
        <v>0</v>
      </c>
      <c r="G122" s="4">
        <v>0.08</v>
      </c>
      <c r="H122" s="4">
        <v>79</v>
      </c>
      <c r="I122" s="4"/>
      <c r="J122" s="4">
        <v>49</v>
      </c>
      <c r="K122"/>
      <c r="L122"/>
      <c r="M122" s="4">
        <f t="shared" si="105"/>
        <v>20.8</v>
      </c>
      <c r="N122" s="4"/>
      <c r="O122" s="1">
        <f t="shared" si="106"/>
        <v>20.700000000000003</v>
      </c>
      <c r="P122" s="1">
        <f t="shared" si="107"/>
        <v>0</v>
      </c>
      <c r="Q122" s="1" t="str">
        <f t="shared" si="95"/>
        <v/>
      </c>
      <c r="R122" s="1" t="str">
        <f t="shared" si="108"/>
        <v/>
      </c>
      <c r="S122" s="1">
        <f t="shared" si="109"/>
        <v>335.48639999999989</v>
      </c>
      <c r="T122" s="1">
        <f t="shared" si="110"/>
        <v>0.08</v>
      </c>
      <c r="U122" s="1">
        <f t="shared" si="111"/>
        <v>527.99999999998875</v>
      </c>
      <c r="V122" s="1">
        <f t="shared" si="112"/>
        <v>42.2399999999991</v>
      </c>
      <c r="AC122" s="130"/>
      <c r="AD122" s="130"/>
      <c r="AE122" s="33">
        <v>-0.39999999999999697</v>
      </c>
      <c r="AF122" s="57">
        <f t="shared" ref="AF122:AM122" ca="1" si="351">IF(ISNUMBER(AG112),IF(AF$114&gt;$AF$13,0,OFFSET($AN$87,$AO122,AF$111*10)),"")</f>
        <v>2.9850746268656747E-2</v>
      </c>
      <c r="AG122" s="57">
        <f t="shared" ca="1" si="351"/>
        <v>8.9108910891089105E-2</v>
      </c>
      <c r="AH122" s="57">
        <f t="shared" ca="1" si="351"/>
        <v>0.20270270270270369</v>
      </c>
      <c r="AI122" s="57">
        <f t="shared" ca="1" si="351"/>
        <v>9.8924731182795309E-2</v>
      </c>
      <c r="AJ122" s="57">
        <f t="shared" ca="1" si="351"/>
        <v>0.12666666666666607</v>
      </c>
      <c r="AK122" s="57">
        <f t="shared" ca="1" si="351"/>
        <v>0.17073170731707071</v>
      </c>
      <c r="AL122" s="57">
        <f t="shared" ca="1" si="351"/>
        <v>2.0202020202020478E-2</v>
      </c>
      <c r="AM122" s="57">
        <f t="shared" ca="1" si="351"/>
        <v>0.12371134020618246</v>
      </c>
      <c r="AO122" s="1">
        <v>-1</v>
      </c>
    </row>
    <row r="123" spans="1:41" x14ac:dyDescent="0.25">
      <c r="A123" s="1">
        <v>122</v>
      </c>
      <c r="B123" s="4">
        <v>7400</v>
      </c>
      <c r="C123" s="4">
        <v>20.8</v>
      </c>
      <c r="D123" s="4">
        <v>21</v>
      </c>
      <c r="E123" s="4">
        <f t="shared" si="104"/>
        <v>0.19999999999999929</v>
      </c>
      <c r="F123" s="4">
        <v>1.3</v>
      </c>
      <c r="G123" s="4">
        <v>0.42</v>
      </c>
      <c r="H123" s="4">
        <v>79</v>
      </c>
      <c r="I123" s="4"/>
      <c r="J123" s="4">
        <v>49</v>
      </c>
      <c r="K123"/>
      <c r="L123"/>
      <c r="M123" s="4">
        <f t="shared" si="105"/>
        <v>21</v>
      </c>
      <c r="N123" s="4"/>
      <c r="O123" s="1">
        <f t="shared" si="106"/>
        <v>20.8</v>
      </c>
      <c r="P123" s="1">
        <f t="shared" si="107"/>
        <v>13.727999999999952</v>
      </c>
      <c r="Q123" s="1" t="str">
        <f t="shared" si="95"/>
        <v/>
      </c>
      <c r="R123" s="1" t="str">
        <f t="shared" si="108"/>
        <v/>
      </c>
      <c r="S123" s="1">
        <f t="shared" si="109"/>
        <v>335.90879999999987</v>
      </c>
      <c r="T123" s="1">
        <f t="shared" si="110"/>
        <v>0.42</v>
      </c>
      <c r="U123" s="1">
        <f t="shared" si="111"/>
        <v>1055.9999999999964</v>
      </c>
      <c r="V123" s="1">
        <f t="shared" si="112"/>
        <v>443.51999999999845</v>
      </c>
      <c r="AC123" s="130"/>
      <c r="AD123" s="130"/>
      <c r="AE123" s="33">
        <v>-0.59999999999999698</v>
      </c>
      <c r="AF123" s="57">
        <f t="shared" ref="AF123:AM123" ca="1" si="352">IF(ISNUMBER(AG112),IF(AF$114&gt;$AF$13,0,OFFSET($AN$87,$AO123,AF$111*10)),"")</f>
        <v>0</v>
      </c>
      <c r="AG123" s="57">
        <f t="shared" ca="1" si="352"/>
        <v>9.6534653465346704E-2</v>
      </c>
      <c r="AH123" s="57">
        <f t="shared" ca="1" si="352"/>
        <v>0</v>
      </c>
      <c r="AI123" s="57">
        <f t="shared" ca="1" si="352"/>
        <v>9.4623655913977506E-2</v>
      </c>
      <c r="AJ123" s="57">
        <f t="shared" ca="1" si="352"/>
        <v>0.27333333333333293</v>
      </c>
      <c r="AK123" s="57">
        <f t="shared" ca="1" si="352"/>
        <v>0.35365853658536528</v>
      </c>
      <c r="AL123" s="57">
        <f t="shared" ca="1" si="352"/>
        <v>0</v>
      </c>
      <c r="AM123" s="57">
        <f t="shared" ca="1" si="352"/>
        <v>0.15807560137456939</v>
      </c>
      <c r="AO123" s="1">
        <v>-2</v>
      </c>
    </row>
    <row r="124" spans="1:41" x14ac:dyDescent="0.25">
      <c r="A124" s="1">
        <v>123</v>
      </c>
      <c r="B124" s="4">
        <v>7400</v>
      </c>
      <c r="C124" s="4">
        <v>21</v>
      </c>
      <c r="D124" s="4">
        <v>21.1</v>
      </c>
      <c r="E124" s="4">
        <f t="shared" si="104"/>
        <v>0.10000000000000142</v>
      </c>
      <c r="F124" s="4">
        <v>1.3</v>
      </c>
      <c r="G124" s="4">
        <v>-0.95</v>
      </c>
      <c r="H124" s="4">
        <v>79</v>
      </c>
      <c r="I124" s="4"/>
      <c r="J124" s="4">
        <v>49</v>
      </c>
      <c r="K124"/>
      <c r="L124"/>
      <c r="M124" s="4">
        <f t="shared" si="105"/>
        <v>21.1</v>
      </c>
      <c r="N124" s="4"/>
      <c r="O124" s="1">
        <f t="shared" si="106"/>
        <v>21</v>
      </c>
      <c r="P124" s="1">
        <f t="shared" si="107"/>
        <v>6.8640000000000976</v>
      </c>
      <c r="Q124" s="1" t="str">
        <f t="shared" si="95"/>
        <v/>
      </c>
      <c r="R124" s="1" t="str">
        <f t="shared" si="108"/>
        <v/>
      </c>
      <c r="S124" s="1">
        <f t="shared" si="109"/>
        <v>340.34399999999988</v>
      </c>
      <c r="T124" s="1">
        <f t="shared" si="110"/>
        <v>-0.95</v>
      </c>
      <c r="U124" s="1">
        <f t="shared" si="111"/>
        <v>528.0000000000075</v>
      </c>
      <c r="V124" s="1">
        <f t="shared" si="112"/>
        <v>501.60000000000713</v>
      </c>
      <c r="AC124" s="130"/>
      <c r="AD124" s="130"/>
      <c r="AE124" s="33">
        <v>-0.79999999999999694</v>
      </c>
      <c r="AF124" s="57">
        <f t="shared" ref="AF124:AM124" ca="1" si="353">IF(ISNUMBER(AG112),IF(AF$114&gt;$AF$13,0,OFFSET($AN$87,$AO124,AF$111*10)),"")</f>
        <v>2.9850746268656747E-2</v>
      </c>
      <c r="AG124" s="57">
        <f t="shared" ca="1" si="353"/>
        <v>0.10643564356435654</v>
      </c>
      <c r="AH124" s="57">
        <f t="shared" ca="1" si="353"/>
        <v>0.37837837837837807</v>
      </c>
      <c r="AI124" s="57">
        <f t="shared" ca="1" si="353"/>
        <v>5.3763440860215672E-2</v>
      </c>
      <c r="AJ124" s="57">
        <f t="shared" ca="1" si="353"/>
        <v>0</v>
      </c>
      <c r="AK124" s="57">
        <f t="shared" ca="1" si="353"/>
        <v>6.0975609756099378E-2</v>
      </c>
      <c r="AL124" s="57">
        <f t="shared" ca="1" si="353"/>
        <v>0</v>
      </c>
      <c r="AM124" s="57">
        <f t="shared" ca="1" si="353"/>
        <v>0.10309278350515563</v>
      </c>
      <c r="AO124" s="1">
        <v>-3</v>
      </c>
    </row>
    <row r="125" spans="1:41" x14ac:dyDescent="0.25">
      <c r="A125" s="1">
        <v>124</v>
      </c>
      <c r="B125" s="4">
        <v>7400</v>
      </c>
      <c r="C125" s="4">
        <v>21.1</v>
      </c>
      <c r="D125" s="4">
        <v>21.200000000000003</v>
      </c>
      <c r="E125" s="4">
        <f t="shared" si="104"/>
        <v>0.10000000000000142</v>
      </c>
      <c r="F125" s="4">
        <v>1.3</v>
      </c>
      <c r="G125" s="4">
        <v>-0.48</v>
      </c>
      <c r="H125" s="4">
        <v>79</v>
      </c>
      <c r="I125" s="4"/>
      <c r="J125" s="4">
        <v>49</v>
      </c>
      <c r="K125"/>
      <c r="L125"/>
      <c r="M125" s="4">
        <f t="shared" si="105"/>
        <v>21.200000000000003</v>
      </c>
      <c r="N125" s="4"/>
      <c r="O125" s="1">
        <f t="shared" si="106"/>
        <v>21.1</v>
      </c>
      <c r="P125" s="1">
        <f t="shared" si="107"/>
        <v>6.8640000000000976</v>
      </c>
      <c r="Q125" s="1" t="str">
        <f t="shared" si="95"/>
        <v/>
      </c>
      <c r="R125" s="1" t="str">
        <f t="shared" si="108"/>
        <v/>
      </c>
      <c r="S125" s="1">
        <f t="shared" si="109"/>
        <v>335.3279999999998</v>
      </c>
      <c r="T125" s="1">
        <f t="shared" si="110"/>
        <v>-0.48</v>
      </c>
      <c r="U125" s="1">
        <f t="shared" si="111"/>
        <v>528.0000000000075</v>
      </c>
      <c r="V125" s="1">
        <f t="shared" si="112"/>
        <v>253.44000000000358</v>
      </c>
      <c r="AC125" s="130"/>
      <c r="AD125" s="130"/>
      <c r="AE125" s="33">
        <v>-0.99999999999999689</v>
      </c>
      <c r="AF125" s="57">
        <f t="shared" ref="AF125:AM125" ca="1" si="354">IF(ISNUMBER(AG112),IF(AF$114&gt;$AF$13,0,OFFSET($AN$87,$AO125,AF$111*10)),"")</f>
        <v>2.9850746268656619E-2</v>
      </c>
      <c r="AG125" s="57">
        <f t="shared" ca="1" si="354"/>
        <v>1.7326732673267217E-2</v>
      </c>
      <c r="AH125" s="57">
        <f t="shared" ca="1" si="354"/>
        <v>4.0540540540541126E-2</v>
      </c>
      <c r="AI125" s="57">
        <f t="shared" ca="1" si="354"/>
        <v>6.4516129032255922E-3</v>
      </c>
      <c r="AJ125" s="57">
        <f t="shared" ca="1" si="354"/>
        <v>0</v>
      </c>
      <c r="AK125" s="57">
        <f t="shared" ca="1" si="354"/>
        <v>0</v>
      </c>
      <c r="AL125" s="57">
        <f t="shared" ca="1" si="354"/>
        <v>0</v>
      </c>
      <c r="AM125" s="57">
        <f t="shared" ca="1" si="354"/>
        <v>6.872852233677563E-3</v>
      </c>
      <c r="AO125" s="1">
        <v>-4</v>
      </c>
    </row>
    <row r="126" spans="1:41" x14ac:dyDescent="0.25">
      <c r="A126" s="1">
        <v>125</v>
      </c>
      <c r="B126" s="4">
        <v>7400</v>
      </c>
      <c r="C126" s="4">
        <v>21.200000000000003</v>
      </c>
      <c r="D126" s="4">
        <v>21.3</v>
      </c>
      <c r="E126" s="4">
        <f t="shared" si="104"/>
        <v>9.9999999999997868E-2</v>
      </c>
      <c r="F126" s="4">
        <v>0</v>
      </c>
      <c r="G126" s="4">
        <v>0.45</v>
      </c>
      <c r="H126" s="4">
        <v>79</v>
      </c>
      <c r="I126" s="4"/>
      <c r="J126" s="4">
        <v>49</v>
      </c>
      <c r="K126"/>
      <c r="L126"/>
      <c r="M126" s="4">
        <f t="shared" si="105"/>
        <v>21.3</v>
      </c>
      <c r="N126" s="4"/>
      <c r="O126" s="1">
        <f t="shared" si="106"/>
        <v>21.200000000000003</v>
      </c>
      <c r="P126" s="1">
        <f t="shared" si="107"/>
        <v>0</v>
      </c>
      <c r="Q126" s="1" t="str">
        <f t="shared" si="95"/>
        <v/>
      </c>
      <c r="R126" s="1" t="str">
        <f t="shared" si="108"/>
        <v/>
      </c>
      <c r="S126" s="1">
        <f t="shared" si="109"/>
        <v>332.79359999999974</v>
      </c>
      <c r="T126" s="1">
        <f t="shared" si="110"/>
        <v>0.45</v>
      </c>
      <c r="U126" s="1">
        <f t="shared" si="111"/>
        <v>527.99999999998875</v>
      </c>
      <c r="V126" s="1">
        <f t="shared" si="112"/>
        <v>237.59999999999494</v>
      </c>
      <c r="AC126" s="131"/>
      <c r="AD126" s="131"/>
      <c r="AE126" s="33">
        <v>-1.1999999999999968</v>
      </c>
      <c r="AF126" s="43">
        <f t="shared" ref="AF126:AM126" ca="1" si="355">IF(ISNUMBER(AG112),IF(AF$114&gt;$AF$13,0,OFFSET($AN$87,$AO126,AF$111*10+4)),"")</f>
        <v>0</v>
      </c>
      <c r="AG126" s="43">
        <f t="shared" ca="1" si="355"/>
        <v>9.900990099009908E-3</v>
      </c>
      <c r="AH126" s="43">
        <f t="shared" ca="1" si="355"/>
        <v>0</v>
      </c>
      <c r="AI126" s="43">
        <f t="shared" ca="1" si="355"/>
        <v>0</v>
      </c>
      <c r="AJ126" s="43">
        <f t="shared" ca="1" si="355"/>
        <v>0</v>
      </c>
      <c r="AK126" s="43">
        <f t="shared" ca="1" si="355"/>
        <v>0</v>
      </c>
      <c r="AL126" s="43">
        <f t="shared" ca="1" si="355"/>
        <v>0</v>
      </c>
      <c r="AM126" s="43">
        <f t="shared" ca="1" si="355"/>
        <v>0</v>
      </c>
      <c r="AO126" s="1">
        <v>-5</v>
      </c>
    </row>
    <row r="127" spans="1:41" ht="15" customHeight="1" x14ac:dyDescent="0.25">
      <c r="A127" s="1">
        <v>126</v>
      </c>
      <c r="B127" s="4">
        <v>7400</v>
      </c>
      <c r="C127" s="4">
        <v>21.3</v>
      </c>
      <c r="D127" s="4">
        <v>21.400000000000002</v>
      </c>
      <c r="E127" s="4">
        <f t="shared" si="104"/>
        <v>0.10000000000000142</v>
      </c>
      <c r="F127" s="4">
        <v>0</v>
      </c>
      <c r="G127" s="4">
        <v>0.92</v>
      </c>
      <c r="H127" s="4">
        <v>79</v>
      </c>
      <c r="I127" s="4"/>
      <c r="J127" s="4">
        <v>49</v>
      </c>
      <c r="K127"/>
      <c r="L127"/>
      <c r="M127" s="4">
        <f t="shared" si="105"/>
        <v>21.400000000000002</v>
      </c>
      <c r="N127" s="4"/>
      <c r="O127" s="1">
        <f t="shared" si="106"/>
        <v>21.3</v>
      </c>
      <c r="P127" s="1">
        <f t="shared" si="107"/>
        <v>0</v>
      </c>
      <c r="Q127" s="1" t="str">
        <f t="shared" si="95"/>
        <v/>
      </c>
      <c r="R127" s="1" t="str">
        <f t="shared" si="108"/>
        <v/>
      </c>
      <c r="S127" s="1">
        <f t="shared" si="109"/>
        <v>335.16959999999972</v>
      </c>
      <c r="T127" s="1">
        <f t="shared" si="110"/>
        <v>0.92</v>
      </c>
      <c r="U127" s="1">
        <f t="shared" si="111"/>
        <v>528.0000000000075</v>
      </c>
      <c r="V127" s="1">
        <f t="shared" si="112"/>
        <v>485.76000000000693</v>
      </c>
      <c r="AC127" s="129" t="s">
        <v>41</v>
      </c>
      <c r="AD127" s="129" t="s">
        <v>39</v>
      </c>
      <c r="AE127" s="33">
        <v>-0.19999999999999696</v>
      </c>
      <c r="AF127" s="34">
        <f t="shared" ref="AF127:AM127" ca="1" si="356">IF(ISNUMBER(AG112),-IF(AF$114&gt;$AF$13,0,OFFSET($AL$91,$AO127,AF$111*10)),"")</f>
        <v>-0.39000000000000046</v>
      </c>
      <c r="AG127" s="34">
        <f t="shared" ca="1" si="356"/>
        <v>-0.29555555555555602</v>
      </c>
      <c r="AH127" s="34">
        <f t="shared" ca="1" si="356"/>
        <v>-0.37333333333333252</v>
      </c>
      <c r="AI127" s="34">
        <f t="shared" ca="1" si="356"/>
        <v>-0.27229166666666521</v>
      </c>
      <c r="AJ127" s="34">
        <f t="shared" ca="1" si="356"/>
        <v>-0.25599999999999962</v>
      </c>
      <c r="AK127" s="34">
        <f t="shared" ca="1" si="356"/>
        <v>-0.2599999999999934</v>
      </c>
      <c r="AL127" s="34">
        <f t="shared" ca="1" si="356"/>
        <v>-0.28160000000000046</v>
      </c>
      <c r="AM127" s="34">
        <f t="shared" ca="1" si="356"/>
        <v>-0.30111111111111077</v>
      </c>
      <c r="AO127" s="1">
        <v>0</v>
      </c>
    </row>
    <row r="128" spans="1:41" x14ac:dyDescent="0.25">
      <c r="A128" s="1">
        <v>127</v>
      </c>
      <c r="B128" s="4">
        <v>7400</v>
      </c>
      <c r="C128" s="4">
        <v>21.400000000000002</v>
      </c>
      <c r="D128" s="4">
        <v>21.6</v>
      </c>
      <c r="E128" s="4">
        <f t="shared" si="104"/>
        <v>0.19999999999999929</v>
      </c>
      <c r="F128" s="4">
        <v>2</v>
      </c>
      <c r="G128" s="4">
        <v>0.92</v>
      </c>
      <c r="H128" s="4">
        <v>79</v>
      </c>
      <c r="I128" s="4"/>
      <c r="J128" s="4">
        <v>49</v>
      </c>
      <c r="K128"/>
      <c r="L128"/>
      <c r="M128" s="4">
        <f t="shared" si="105"/>
        <v>21.6</v>
      </c>
      <c r="N128" s="4"/>
      <c r="O128" s="1">
        <f t="shared" si="106"/>
        <v>21.400000000000002</v>
      </c>
      <c r="P128" s="1">
        <f t="shared" si="107"/>
        <v>21.119999999999923</v>
      </c>
      <c r="Q128" s="1" t="str">
        <f t="shared" si="95"/>
        <v/>
      </c>
      <c r="R128" s="1" t="str">
        <f t="shared" si="108"/>
        <v/>
      </c>
      <c r="S128" s="1">
        <f t="shared" si="109"/>
        <v>340.02719999999977</v>
      </c>
      <c r="T128" s="1">
        <f t="shared" si="110"/>
        <v>0.92</v>
      </c>
      <c r="U128" s="1">
        <f t="shared" si="111"/>
        <v>1055.9999999999964</v>
      </c>
      <c r="V128" s="1">
        <f t="shared" si="112"/>
        <v>971.51999999999668</v>
      </c>
      <c r="AC128" s="130"/>
      <c r="AD128" s="130"/>
      <c r="AE128" s="33">
        <v>-0.39999999999999697</v>
      </c>
      <c r="AF128" s="34">
        <f t="shared" ref="AF128:AM128" ca="1" si="357">IF(ISNUMBER(AG112),-IF(AF$114&gt;$AF$13,0,OFFSET($AL$91,$AO128,AF$111*10)),"")</f>
        <v>-0.57999999999999963</v>
      </c>
      <c r="AG128" s="34">
        <f t="shared" ca="1" si="357"/>
        <v>-0.51697674418604633</v>
      </c>
      <c r="AH128" s="34">
        <f t="shared" ca="1" si="357"/>
        <v>0</v>
      </c>
      <c r="AI128" s="34">
        <f t="shared" ca="1" si="357"/>
        <v>-0.53340909090908772</v>
      </c>
      <c r="AJ128" s="34">
        <f t="shared" ca="1" si="357"/>
        <v>-0.49166666666666653</v>
      </c>
      <c r="AK128" s="34">
        <f t="shared" ca="1" si="357"/>
        <v>-0.49818181818181795</v>
      </c>
      <c r="AL128" s="34">
        <f t="shared" ca="1" si="357"/>
        <v>-0.45518518518518503</v>
      </c>
      <c r="AM128" s="34">
        <f t="shared" ca="1" si="357"/>
        <v>-0.48125000000000201</v>
      </c>
      <c r="AO128" s="1">
        <v>1</v>
      </c>
    </row>
    <row r="129" spans="1:41" x14ac:dyDescent="0.25">
      <c r="A129" s="1">
        <v>128</v>
      </c>
      <c r="B129" s="4">
        <v>7400</v>
      </c>
      <c r="C129" s="4">
        <v>21.6</v>
      </c>
      <c r="D129" s="4">
        <v>21.700000000000003</v>
      </c>
      <c r="E129" s="4">
        <f t="shared" si="104"/>
        <v>0.10000000000000142</v>
      </c>
      <c r="F129" s="4">
        <v>0</v>
      </c>
      <c r="G129" s="4">
        <v>0.92</v>
      </c>
      <c r="H129" s="4">
        <v>79</v>
      </c>
      <c r="I129" s="4"/>
      <c r="J129" s="4">
        <v>49</v>
      </c>
      <c r="K129"/>
      <c r="L129"/>
      <c r="M129" s="4">
        <f t="shared" si="105"/>
        <v>21.700000000000003</v>
      </c>
      <c r="N129" s="4"/>
      <c r="O129" s="1">
        <f t="shared" si="106"/>
        <v>21.6</v>
      </c>
      <c r="P129" s="1">
        <f t="shared" si="107"/>
        <v>0</v>
      </c>
      <c r="Q129" s="1" t="str">
        <f t="shared" si="95"/>
        <v/>
      </c>
      <c r="R129" s="1" t="str">
        <f t="shared" si="108"/>
        <v/>
      </c>
      <c r="S129" s="1">
        <f t="shared" si="109"/>
        <v>349.74239999999975</v>
      </c>
      <c r="T129" s="1">
        <f t="shared" si="110"/>
        <v>0.92</v>
      </c>
      <c r="U129" s="1">
        <f t="shared" si="111"/>
        <v>528.0000000000075</v>
      </c>
      <c r="V129" s="1">
        <f t="shared" si="112"/>
        <v>485.76000000000693</v>
      </c>
      <c r="AC129" s="130"/>
      <c r="AD129" s="130"/>
      <c r="AE129" s="33">
        <v>-0.59999999999999698</v>
      </c>
      <c r="AF129" s="34">
        <f t="shared" ref="AF129:AM129" ca="1" si="358">IF(ISNUMBER(AG112),-IF(AF$114&gt;$AF$13,0,OFFSET($AL$91,$AO129,AF$111*10)),"")</f>
        <v>-0.71777777777777707</v>
      </c>
      <c r="AG129" s="34">
        <f t="shared" ca="1" si="358"/>
        <v>-0.66923076923076763</v>
      </c>
      <c r="AH129" s="34">
        <f t="shared" ca="1" si="358"/>
        <v>-0.72999999999999965</v>
      </c>
      <c r="AI129" s="34">
        <f t="shared" ca="1" si="358"/>
        <v>-0.68214285714285561</v>
      </c>
      <c r="AJ129" s="34">
        <f t="shared" ca="1" si="358"/>
        <v>-0.69500000000000117</v>
      </c>
      <c r="AK129" s="34">
        <f t="shared" ca="1" si="358"/>
        <v>-0.64999999999999825</v>
      </c>
      <c r="AL129" s="34">
        <f t="shared" ca="1" si="358"/>
        <v>-0.68533333333333313</v>
      </c>
      <c r="AM129" s="34">
        <f t="shared" ca="1" si="358"/>
        <v>-0.67857142857142827</v>
      </c>
      <c r="AO129" s="1">
        <v>2</v>
      </c>
    </row>
    <row r="130" spans="1:41" x14ac:dyDescent="0.25">
      <c r="A130" s="1">
        <v>129</v>
      </c>
      <c r="B130" s="4">
        <v>7400</v>
      </c>
      <c r="C130" s="4">
        <v>21.700000000000003</v>
      </c>
      <c r="D130" s="4">
        <v>21.8</v>
      </c>
      <c r="E130" s="4">
        <f t="shared" si="104"/>
        <v>9.9999999999997868E-2</v>
      </c>
      <c r="F130" s="4">
        <v>0</v>
      </c>
      <c r="G130" s="4">
        <v>-0.4</v>
      </c>
      <c r="H130" s="4">
        <v>79</v>
      </c>
      <c r="I130" s="4"/>
      <c r="J130" s="4">
        <v>49</v>
      </c>
      <c r="K130"/>
      <c r="L130"/>
      <c r="M130" s="4">
        <f t="shared" si="105"/>
        <v>21.8</v>
      </c>
      <c r="N130" s="4"/>
      <c r="O130" s="1">
        <f t="shared" si="106"/>
        <v>21.700000000000003</v>
      </c>
      <c r="P130" s="1">
        <f t="shared" si="107"/>
        <v>0</v>
      </c>
      <c r="Q130" s="1" t="str">
        <f t="shared" si="95"/>
        <v/>
      </c>
      <c r="R130" s="1" t="str">
        <f t="shared" si="108"/>
        <v/>
      </c>
      <c r="S130" s="1">
        <f t="shared" si="109"/>
        <v>354.5999999999998</v>
      </c>
      <c r="T130" s="1">
        <f t="shared" si="110"/>
        <v>-0.4</v>
      </c>
      <c r="U130" s="1">
        <f t="shared" si="111"/>
        <v>527.99999999998875</v>
      </c>
      <c r="V130" s="1">
        <f t="shared" si="112"/>
        <v>211.1999999999955</v>
      </c>
      <c r="AC130" s="130"/>
      <c r="AD130" s="130"/>
      <c r="AE130" s="33">
        <v>-0.79999999999999694</v>
      </c>
      <c r="AF130" s="34">
        <f t="shared" ref="AF130:AM130" ca="1" si="359">IF(ISNUMBER(AG112),-IF(AF$114&gt;$AF$13,0,OFFSET($AL$91,$AO130,AF$111*10)),"")</f>
        <v>-0.85521739130434782</v>
      </c>
      <c r="AG130" s="34">
        <f t="shared" ca="1" si="359"/>
        <v>-0.90045454545454517</v>
      </c>
      <c r="AH130" s="34">
        <f t="shared" ca="1" si="359"/>
        <v>-0.99000000000000221</v>
      </c>
      <c r="AI130" s="34">
        <f t="shared" ca="1" si="359"/>
        <v>-0.92584415584414848</v>
      </c>
      <c r="AJ130" s="34">
        <f t="shared" ca="1" si="359"/>
        <v>-0.95615384615384624</v>
      </c>
      <c r="AK130" s="34">
        <f t="shared" ca="1" si="359"/>
        <v>-0.88000000000000334</v>
      </c>
      <c r="AL130" s="34">
        <f t="shared" ca="1" si="359"/>
        <v>-0.92222222222222272</v>
      </c>
      <c r="AM130" s="34">
        <f t="shared" ca="1" si="359"/>
        <v>-0.8607142857142821</v>
      </c>
      <c r="AO130" s="1">
        <v>3</v>
      </c>
    </row>
    <row r="131" spans="1:41" x14ac:dyDescent="0.25">
      <c r="A131" s="1">
        <v>130</v>
      </c>
      <c r="B131" s="4">
        <v>7400</v>
      </c>
      <c r="C131" s="4">
        <v>21.8</v>
      </c>
      <c r="D131" s="4">
        <v>21.900000000000002</v>
      </c>
      <c r="E131" s="4">
        <f t="shared" si="104"/>
        <v>0.10000000000000142</v>
      </c>
      <c r="F131" s="4">
        <v>2.2999999999999998</v>
      </c>
      <c r="G131" s="4">
        <v>-0.4</v>
      </c>
      <c r="H131" s="4">
        <v>79</v>
      </c>
      <c r="I131" s="4"/>
      <c r="J131" s="4">
        <v>49</v>
      </c>
      <c r="K131"/>
      <c r="L131"/>
      <c r="M131" s="4">
        <f t="shared" si="105"/>
        <v>21.900000000000002</v>
      </c>
      <c r="N131" s="4"/>
      <c r="O131" s="1">
        <f t="shared" si="106"/>
        <v>21.8</v>
      </c>
      <c r="P131" s="1">
        <f t="shared" si="107"/>
        <v>12.144000000000171</v>
      </c>
      <c r="Q131" s="1" t="str">
        <f t="shared" ref="Q131:Q194" si="360">IF(H131&lt;&gt;"",IF(H131=H130,"",H131),IF(H129="","",MAX(H130,Q130)))</f>
        <v/>
      </c>
      <c r="R131" s="1" t="str">
        <f t="shared" si="108"/>
        <v/>
      </c>
      <c r="S131" s="1">
        <f t="shared" si="109"/>
        <v>352.48799999999983</v>
      </c>
      <c r="T131" s="1">
        <f t="shared" si="110"/>
        <v>-0.4</v>
      </c>
      <c r="U131" s="1">
        <f t="shared" si="111"/>
        <v>528.0000000000075</v>
      </c>
      <c r="V131" s="1">
        <f t="shared" si="112"/>
        <v>211.200000000003</v>
      </c>
      <c r="AC131" s="130"/>
      <c r="AD131" s="130"/>
      <c r="AE131" s="33">
        <v>-0.99999999999999689</v>
      </c>
      <c r="AF131" s="34">
        <f t="shared" ref="AF131:AM131" ca="1" si="361">IF(ISNUMBER(AG112),-IF(AF$114&gt;$AF$13,0,OFFSET($AL$91,$AO131,AF$111*10)),"")</f>
        <v>-1.0720000000000021</v>
      </c>
      <c r="AG131" s="34">
        <f t="shared" ca="1" si="361"/>
        <v>-1.0595454545454588</v>
      </c>
      <c r="AH131" s="34">
        <f t="shared" ca="1" si="361"/>
        <v>0</v>
      </c>
      <c r="AI131" s="34">
        <f t="shared" ca="1" si="361"/>
        <v>-1.0318181818181797</v>
      </c>
      <c r="AJ131" s="34">
        <f t="shared" ca="1" si="361"/>
        <v>0</v>
      </c>
      <c r="AK131" s="34">
        <f t="shared" ca="1" si="361"/>
        <v>0</v>
      </c>
      <c r="AL131" s="34">
        <f t="shared" ca="1" si="361"/>
        <v>-1.0600000000000007</v>
      </c>
      <c r="AM131" s="34">
        <f t="shared" ca="1" si="361"/>
        <v>-1.0200000000000242</v>
      </c>
      <c r="AO131" s="1">
        <v>4</v>
      </c>
    </row>
    <row r="132" spans="1:41" x14ac:dyDescent="0.25">
      <c r="A132" s="1">
        <v>131</v>
      </c>
      <c r="B132" s="4">
        <v>7400</v>
      </c>
      <c r="C132" s="4">
        <v>21.900000000000002</v>
      </c>
      <c r="D132" s="4">
        <v>22</v>
      </c>
      <c r="E132" s="4">
        <f t="shared" si="104"/>
        <v>9.9999999999997868E-2</v>
      </c>
      <c r="F132" s="4">
        <v>2.2999999999999998</v>
      </c>
      <c r="G132" s="4">
        <v>0.45</v>
      </c>
      <c r="H132" s="4">
        <v>79</v>
      </c>
      <c r="I132" s="4"/>
      <c r="J132" s="4">
        <v>49</v>
      </c>
      <c r="K132"/>
      <c r="L132"/>
      <c r="M132" s="4">
        <f t="shared" si="105"/>
        <v>22</v>
      </c>
      <c r="N132" s="4"/>
      <c r="O132" s="1">
        <f t="shared" si="106"/>
        <v>21.900000000000002</v>
      </c>
      <c r="P132" s="1">
        <f t="shared" si="107"/>
        <v>12.143999999999739</v>
      </c>
      <c r="Q132" s="1" t="str">
        <f t="shared" si="360"/>
        <v/>
      </c>
      <c r="R132" s="1" t="str">
        <f t="shared" si="108"/>
        <v/>
      </c>
      <c r="S132" s="1">
        <f t="shared" si="109"/>
        <v>350.37599999999981</v>
      </c>
      <c r="T132" s="1">
        <f t="shared" si="110"/>
        <v>0.45</v>
      </c>
      <c r="U132" s="1">
        <f t="shared" si="111"/>
        <v>527.99999999998875</v>
      </c>
      <c r="V132" s="1">
        <f t="shared" si="112"/>
        <v>237.59999999999494</v>
      </c>
      <c r="AC132" s="130"/>
      <c r="AD132" s="131"/>
      <c r="AE132" s="33">
        <v>-1.1999999999999968</v>
      </c>
      <c r="AF132" s="42">
        <f t="shared" ref="AF132:AM132" ca="1" si="362">IF(ISNUMBER(AG112),-IF(AF$114&gt;$AF$13,0,OFFSET($AL$91,$AO132,AF$111*10+4)),"")</f>
        <v>0</v>
      </c>
      <c r="AG132" s="42">
        <f t="shared" ca="1" si="362"/>
        <v>-1.3533333333333446</v>
      </c>
      <c r="AH132" s="42">
        <f t="shared" ca="1" si="362"/>
        <v>0</v>
      </c>
      <c r="AI132" s="42">
        <f t="shared" ca="1" si="362"/>
        <v>0</v>
      </c>
      <c r="AJ132" s="42">
        <f t="shared" ca="1" si="362"/>
        <v>0</v>
      </c>
      <c r="AK132" s="42">
        <f t="shared" ca="1" si="362"/>
        <v>0</v>
      </c>
      <c r="AL132" s="42">
        <f t="shared" ca="1" si="362"/>
        <v>0</v>
      </c>
      <c r="AM132" s="42">
        <f t="shared" ca="1" si="362"/>
        <v>0</v>
      </c>
      <c r="AO132" s="1">
        <v>5</v>
      </c>
    </row>
    <row r="133" spans="1:41" ht="15" customHeight="1" x14ac:dyDescent="0.25">
      <c r="A133" s="1">
        <v>132</v>
      </c>
      <c r="B133" s="4">
        <v>7400</v>
      </c>
      <c r="C133" s="4">
        <v>22</v>
      </c>
      <c r="D133" s="4">
        <v>22.1</v>
      </c>
      <c r="E133" s="4">
        <f t="shared" si="104"/>
        <v>0.10000000000000142</v>
      </c>
      <c r="F133" s="4">
        <v>3</v>
      </c>
      <c r="G133" s="4">
        <v>0.63</v>
      </c>
      <c r="H133" s="4">
        <v>79</v>
      </c>
      <c r="I133" s="4"/>
      <c r="J133" s="4">
        <v>49</v>
      </c>
      <c r="K133"/>
      <c r="L133"/>
      <c r="M133" s="4">
        <f t="shared" si="105"/>
        <v>22.1</v>
      </c>
      <c r="N133" s="4"/>
      <c r="O133" s="1">
        <f t="shared" si="106"/>
        <v>22</v>
      </c>
      <c r="P133" s="1">
        <f t="shared" si="107"/>
        <v>15.840000000000224</v>
      </c>
      <c r="Q133" s="1" t="str">
        <f t="shared" si="360"/>
        <v/>
      </c>
      <c r="R133" s="1" t="str">
        <f t="shared" si="108"/>
        <v/>
      </c>
      <c r="S133" s="1">
        <f t="shared" si="109"/>
        <v>352.75199999999978</v>
      </c>
      <c r="T133" s="1">
        <f t="shared" si="110"/>
        <v>0.63</v>
      </c>
      <c r="U133" s="1">
        <f t="shared" si="111"/>
        <v>528.0000000000075</v>
      </c>
      <c r="V133" s="1">
        <f t="shared" si="112"/>
        <v>332.6400000000047</v>
      </c>
      <c r="AC133" s="130"/>
      <c r="AD133" s="129" t="s">
        <v>40</v>
      </c>
      <c r="AE133" s="33">
        <v>-0.19999999999999696</v>
      </c>
      <c r="AF133" s="39">
        <f t="shared" ref="AF133:AM133" ca="1" si="363">IF(ISNUMBER(AG112),IF(AF$114&gt;$AF$13,0,OFFSET($AN$91,$AO133,AF$111*10)),"")</f>
        <v>4.4776119402984975E-2</v>
      </c>
      <c r="AG133" s="39">
        <f t="shared" ca="1" si="363"/>
        <v>8.910891089108916E-2</v>
      </c>
      <c r="AH133" s="39">
        <f t="shared" ca="1" si="363"/>
        <v>4.0540540540540182E-2</v>
      </c>
      <c r="AI133" s="39">
        <f t="shared" ca="1" si="363"/>
        <v>0.10322580645161356</v>
      </c>
      <c r="AJ133" s="39">
        <f t="shared" ca="1" si="363"/>
        <v>6.6666666666667679E-2</v>
      </c>
      <c r="AK133" s="39">
        <f t="shared" ca="1" si="363"/>
        <v>1.2195121951220706E-2</v>
      </c>
      <c r="AL133" s="39">
        <f t="shared" ca="1" si="363"/>
        <v>0.12626262626262758</v>
      </c>
      <c r="AM133" s="39">
        <f t="shared" ca="1" si="363"/>
        <v>9.2783505154639762E-2</v>
      </c>
      <c r="AO133" s="1">
        <v>0</v>
      </c>
    </row>
    <row r="134" spans="1:41" x14ac:dyDescent="0.25">
      <c r="A134" s="1">
        <v>133</v>
      </c>
      <c r="B134" s="4">
        <v>7400</v>
      </c>
      <c r="C134" s="4">
        <v>22.1</v>
      </c>
      <c r="D134" s="4">
        <v>22.3</v>
      </c>
      <c r="E134" s="4">
        <f t="shared" si="104"/>
        <v>0.19999999999999929</v>
      </c>
      <c r="F134" s="4">
        <v>3</v>
      </c>
      <c r="G134" s="4">
        <v>0.32</v>
      </c>
      <c r="H134" s="4">
        <v>79</v>
      </c>
      <c r="I134" s="4"/>
      <c r="J134" s="4">
        <v>49</v>
      </c>
      <c r="K134"/>
      <c r="L134"/>
      <c r="M134" s="4">
        <f t="shared" si="105"/>
        <v>22.3</v>
      </c>
      <c r="N134" s="4"/>
      <c r="O134" s="1">
        <f t="shared" si="106"/>
        <v>22.1</v>
      </c>
      <c r="P134" s="1">
        <f t="shared" si="107"/>
        <v>31.679999999999882</v>
      </c>
      <c r="Q134" s="1" t="str">
        <f t="shared" si="360"/>
        <v/>
      </c>
      <c r="R134" s="1" t="str">
        <f t="shared" si="108"/>
        <v/>
      </c>
      <c r="S134" s="1">
        <f t="shared" si="109"/>
        <v>356.07839999999982</v>
      </c>
      <c r="T134" s="1">
        <f t="shared" si="110"/>
        <v>0.32</v>
      </c>
      <c r="U134" s="1">
        <f t="shared" si="111"/>
        <v>1055.9999999999964</v>
      </c>
      <c r="V134" s="1">
        <f t="shared" si="112"/>
        <v>337.91999999999882</v>
      </c>
      <c r="AC134" s="130"/>
      <c r="AD134" s="130"/>
      <c r="AE134" s="33">
        <v>-0.39999999999999697</v>
      </c>
      <c r="AF134" s="39">
        <f t="shared" ref="AF134:AM134" ca="1" si="364">IF(ISNUMBER(AG112),IF(AF$114&gt;$AF$13,0,OFFSET($AN$91,$AO134,AF$111*10)),"")</f>
        <v>8.9552238805970158E-2</v>
      </c>
      <c r="AG134" s="39">
        <f t="shared" ca="1" si="364"/>
        <v>0.10643564356435616</v>
      </c>
      <c r="AH134" s="39">
        <f t="shared" ca="1" si="364"/>
        <v>0</v>
      </c>
      <c r="AI134" s="39">
        <f t="shared" ca="1" si="364"/>
        <v>9.4623655913979088E-2</v>
      </c>
      <c r="AJ134" s="39">
        <f t="shared" ca="1" si="364"/>
        <v>4.0000000000001472E-2</v>
      </c>
      <c r="AK134" s="39">
        <f t="shared" ca="1" si="364"/>
        <v>0.13414634146341567</v>
      </c>
      <c r="AL134" s="39">
        <f t="shared" ca="1" si="364"/>
        <v>0.13636363636363366</v>
      </c>
      <c r="AM134" s="39">
        <f t="shared" ca="1" si="364"/>
        <v>0.13745704467353662</v>
      </c>
      <c r="AO134" s="1">
        <v>1</v>
      </c>
    </row>
    <row r="135" spans="1:41" x14ac:dyDescent="0.25">
      <c r="A135" s="1">
        <v>134</v>
      </c>
      <c r="B135" s="4">
        <v>7400</v>
      </c>
      <c r="C135" s="4">
        <v>22.3</v>
      </c>
      <c r="D135" s="4">
        <v>22.400000000000002</v>
      </c>
      <c r="E135" s="4">
        <f t="shared" si="104"/>
        <v>0.10000000000000142</v>
      </c>
      <c r="F135" s="4">
        <v>3</v>
      </c>
      <c r="G135" s="4">
        <v>0.1</v>
      </c>
      <c r="H135" s="4">
        <v>79</v>
      </c>
      <c r="I135" s="4"/>
      <c r="J135" s="4">
        <v>49</v>
      </c>
      <c r="K135"/>
      <c r="L135"/>
      <c r="M135" s="4">
        <f t="shared" si="105"/>
        <v>22.400000000000002</v>
      </c>
      <c r="N135" s="4"/>
      <c r="O135" s="1">
        <f t="shared" si="106"/>
        <v>22.3</v>
      </c>
      <c r="P135" s="1">
        <f t="shared" si="107"/>
        <v>15.840000000000224</v>
      </c>
      <c r="Q135" s="1" t="str">
        <f t="shared" si="360"/>
        <v/>
      </c>
      <c r="R135" s="1" t="str">
        <f t="shared" si="108"/>
        <v/>
      </c>
      <c r="S135" s="1">
        <f t="shared" si="109"/>
        <v>359.45759999999979</v>
      </c>
      <c r="T135" s="1">
        <f t="shared" si="110"/>
        <v>0.1</v>
      </c>
      <c r="U135" s="1">
        <f t="shared" si="111"/>
        <v>528.0000000000075</v>
      </c>
      <c r="V135" s="1">
        <f t="shared" si="112"/>
        <v>52.80000000000075</v>
      </c>
      <c r="AC135" s="130"/>
      <c r="AD135" s="130"/>
      <c r="AE135" s="33">
        <v>-0.59999999999999698</v>
      </c>
      <c r="AF135" s="39">
        <f t="shared" ref="AF135:AM135" ca="1" si="365">IF(ISNUMBER(AG112),IF(AF$114&gt;$AF$13,0,OFFSET($AN$91,$AO135,AF$111*10)),"")</f>
        <v>0.13432835820895533</v>
      </c>
      <c r="AG135" s="39">
        <f t="shared" ca="1" si="365"/>
        <v>6.4356435643564081E-2</v>
      </c>
      <c r="AH135" s="39">
        <f t="shared" ca="1" si="365"/>
        <v>4.0540540540540182E-2</v>
      </c>
      <c r="AI135" s="39">
        <f t="shared" ca="1" si="365"/>
        <v>9.0322580645161632E-2</v>
      </c>
      <c r="AJ135" s="39">
        <f t="shared" ca="1" si="365"/>
        <v>6.6666666666667582E-2</v>
      </c>
      <c r="AK135" s="39">
        <f t="shared" ca="1" si="365"/>
        <v>2.4390243902439563E-2</v>
      </c>
      <c r="AL135" s="39">
        <f t="shared" ca="1" si="365"/>
        <v>7.5757575757577106E-2</v>
      </c>
      <c r="AM135" s="39">
        <f t="shared" ca="1" si="365"/>
        <v>4.8109965635739972E-2</v>
      </c>
      <c r="AO135" s="1">
        <v>2</v>
      </c>
    </row>
    <row r="136" spans="1:41" x14ac:dyDescent="0.25">
      <c r="A136" s="1">
        <v>135</v>
      </c>
      <c r="B136" s="4">
        <v>7400</v>
      </c>
      <c r="C136" s="4">
        <v>22.400000000000002</v>
      </c>
      <c r="D136" s="4">
        <v>22.5</v>
      </c>
      <c r="E136" s="4">
        <f t="shared" ref="E136:E199" si="366">D136-C136</f>
        <v>9.9999999999997868E-2</v>
      </c>
      <c r="F136" s="4">
        <v>0</v>
      </c>
      <c r="G136" s="4">
        <v>0.1</v>
      </c>
      <c r="H136" s="4">
        <v>79</v>
      </c>
      <c r="I136" s="4"/>
      <c r="J136" s="4">
        <v>49</v>
      </c>
      <c r="K136"/>
      <c r="L136"/>
      <c r="M136" s="4">
        <f t="shared" ref="M136:M199" si="367">E136+M135</f>
        <v>22.5</v>
      </c>
      <c r="N136" s="4"/>
      <c r="O136" s="1">
        <f t="shared" ref="O136:O199" si="368">E135+O135</f>
        <v>22.400000000000002</v>
      </c>
      <c r="P136" s="1">
        <f t="shared" ref="P136:P199" si="369">F136*52.8*E136</f>
        <v>0</v>
      </c>
      <c r="Q136" s="1" t="str">
        <f t="shared" si="360"/>
        <v/>
      </c>
      <c r="R136" s="1" t="str">
        <f t="shared" ref="R136:R199" si="370">IF(I136="",Q136,IF(AND(H136=H135,I136=I135),"",I136))</f>
        <v/>
      </c>
      <c r="S136" s="1">
        <f t="shared" ref="S136:S199" si="371">S135+U135*T135/100</f>
        <v>359.98559999999981</v>
      </c>
      <c r="T136" s="1">
        <f t="shared" ref="T136:T199" si="372">IF(G136="UNK",0,G136)</f>
        <v>0.1</v>
      </c>
      <c r="U136" s="1">
        <f t="shared" ref="U136:U199" si="373">E136*5280</f>
        <v>527.99999999998875</v>
      </c>
      <c r="V136" s="1">
        <f t="shared" ref="V136:V199" si="374">ABS(T136*U136)</f>
        <v>52.799999999998875</v>
      </c>
      <c r="AC136" s="130"/>
      <c r="AD136" s="130"/>
      <c r="AE136" s="33">
        <v>-0.79999999999999694</v>
      </c>
      <c r="AF136" s="39">
        <f t="shared" ref="AF136:AM136" ca="1" si="375">IF(ISNUMBER(AG112),IF(AF$114&gt;$AF$13,0,OFFSET($AN$91,$AO136,AF$111*10)),"")</f>
        <v>0.34328358208955223</v>
      </c>
      <c r="AG136" s="39">
        <f t="shared" ca="1" si="375"/>
        <v>0.16336633663366321</v>
      </c>
      <c r="AH136" s="39">
        <f t="shared" ca="1" si="375"/>
        <v>6.7567567567567585E-2</v>
      </c>
      <c r="AI136" s="39">
        <f t="shared" ca="1" si="375"/>
        <v>0.16559139784946367</v>
      </c>
      <c r="AJ136" s="39">
        <f t="shared" ca="1" si="375"/>
        <v>8.6666666666665559E-2</v>
      </c>
      <c r="AK136" s="39">
        <f t="shared" ca="1" si="375"/>
        <v>4.8780487804877114E-2</v>
      </c>
      <c r="AL136" s="39">
        <f t="shared" ca="1" si="375"/>
        <v>9.0909090909091966E-2</v>
      </c>
      <c r="AM136" s="39">
        <f t="shared" ca="1" si="375"/>
        <v>4.8109965635739223E-2</v>
      </c>
      <c r="AO136" s="1">
        <v>3</v>
      </c>
    </row>
    <row r="137" spans="1:41" x14ac:dyDescent="0.25">
      <c r="A137" s="1">
        <v>136</v>
      </c>
      <c r="B137" s="4">
        <v>7400</v>
      </c>
      <c r="C137" s="4">
        <v>22.5</v>
      </c>
      <c r="D137" s="4">
        <v>22.6</v>
      </c>
      <c r="E137" s="4">
        <f t="shared" si="366"/>
        <v>0.10000000000000142</v>
      </c>
      <c r="F137" s="4">
        <v>3.1</v>
      </c>
      <c r="G137" s="4">
        <v>0.48</v>
      </c>
      <c r="H137" s="4">
        <v>79</v>
      </c>
      <c r="I137" s="4"/>
      <c r="J137" s="4">
        <v>49</v>
      </c>
      <c r="K137"/>
      <c r="L137"/>
      <c r="M137" s="4">
        <f t="shared" si="367"/>
        <v>22.6</v>
      </c>
      <c r="N137" s="4"/>
      <c r="O137" s="1">
        <f t="shared" si="368"/>
        <v>22.5</v>
      </c>
      <c r="P137" s="1">
        <f t="shared" si="369"/>
        <v>16.368000000000233</v>
      </c>
      <c r="Q137" s="1" t="str">
        <f t="shared" si="360"/>
        <v/>
      </c>
      <c r="R137" s="1" t="str">
        <f t="shared" si="370"/>
        <v/>
      </c>
      <c r="S137" s="1">
        <f t="shared" si="371"/>
        <v>360.51359999999977</v>
      </c>
      <c r="T137" s="1">
        <f t="shared" si="372"/>
        <v>0.48</v>
      </c>
      <c r="U137" s="1">
        <f t="shared" si="373"/>
        <v>528.0000000000075</v>
      </c>
      <c r="V137" s="1">
        <f t="shared" si="374"/>
        <v>253.44000000000358</v>
      </c>
      <c r="AC137" s="130"/>
      <c r="AD137" s="130"/>
      <c r="AE137" s="33">
        <v>-0.99999999999999689</v>
      </c>
      <c r="AF137" s="39">
        <f t="shared" ref="AF137:AM137" ca="1" si="376">IF(ISNUMBER(AG112),IF(AF$114&gt;$AF$13,0,OFFSET($AN$91,$AO137,AF$111*10)),"")</f>
        <v>7.4626865671641798E-2</v>
      </c>
      <c r="AG137" s="39">
        <f t="shared" ca="1" si="376"/>
        <v>5.4455445544554587E-2</v>
      </c>
      <c r="AH137" s="39">
        <f t="shared" ca="1" si="376"/>
        <v>0</v>
      </c>
      <c r="AI137" s="39">
        <f t="shared" ca="1" si="376"/>
        <v>2.3655913978494741E-2</v>
      </c>
      <c r="AJ137" s="39">
        <f t="shared" ca="1" si="376"/>
        <v>0</v>
      </c>
      <c r="AK137" s="39">
        <f t="shared" ca="1" si="376"/>
        <v>0</v>
      </c>
      <c r="AL137" s="39">
        <f t="shared" ca="1" si="376"/>
        <v>5.0505050505049782E-2</v>
      </c>
      <c r="AM137" s="39">
        <f t="shared" ca="1" si="376"/>
        <v>6.8728522336765976E-3</v>
      </c>
      <c r="AO137" s="1">
        <v>4</v>
      </c>
    </row>
    <row r="138" spans="1:41" x14ac:dyDescent="0.25">
      <c r="A138" s="1">
        <v>137</v>
      </c>
      <c r="B138" s="4">
        <v>7400</v>
      </c>
      <c r="C138" s="4">
        <v>22.6</v>
      </c>
      <c r="D138" s="4">
        <v>22.700000000000003</v>
      </c>
      <c r="E138" s="4">
        <f t="shared" si="366"/>
        <v>0.10000000000000142</v>
      </c>
      <c r="F138" s="4">
        <v>3.1</v>
      </c>
      <c r="G138" s="4">
        <v>-0.43</v>
      </c>
      <c r="H138" s="4">
        <v>79</v>
      </c>
      <c r="I138" s="4"/>
      <c r="J138" s="4">
        <v>49</v>
      </c>
      <c r="K138"/>
      <c r="L138"/>
      <c r="M138" s="4">
        <f t="shared" si="367"/>
        <v>22.700000000000003</v>
      </c>
      <c r="N138" s="4"/>
      <c r="O138" s="1">
        <f t="shared" si="368"/>
        <v>22.6</v>
      </c>
      <c r="P138" s="1">
        <f t="shared" si="369"/>
        <v>16.368000000000233</v>
      </c>
      <c r="Q138" s="1" t="str">
        <f t="shared" si="360"/>
        <v/>
      </c>
      <c r="R138" s="1" t="str">
        <f t="shared" si="370"/>
        <v/>
      </c>
      <c r="S138" s="1">
        <f t="shared" si="371"/>
        <v>363.04799999999983</v>
      </c>
      <c r="T138" s="1">
        <f t="shared" si="372"/>
        <v>-0.43</v>
      </c>
      <c r="U138" s="1">
        <f t="shared" si="373"/>
        <v>528.0000000000075</v>
      </c>
      <c r="V138" s="1">
        <f t="shared" si="374"/>
        <v>227.04000000000323</v>
      </c>
      <c r="AC138" s="131"/>
      <c r="AD138" s="131"/>
      <c r="AE138" s="33">
        <v>-1.1999999999999968</v>
      </c>
      <c r="AF138" s="43">
        <f t="shared" ref="AF138:AM138" ca="1" si="377">IF(ISNUMBER(AG112),IF(AF$114&gt;$AF$13,0,OFFSET($AN$91,$AO138,AF$111*10+4)),"")</f>
        <v>0</v>
      </c>
      <c r="AG138" s="43">
        <f t="shared" ca="1" si="377"/>
        <v>7.4257425742572884E-3</v>
      </c>
      <c r="AH138" s="43">
        <f t="shared" ca="1" si="377"/>
        <v>0</v>
      </c>
      <c r="AI138" s="43">
        <f t="shared" ca="1" si="377"/>
        <v>0</v>
      </c>
      <c r="AJ138" s="43">
        <f t="shared" ca="1" si="377"/>
        <v>0</v>
      </c>
      <c r="AK138" s="43">
        <f t="shared" ca="1" si="377"/>
        <v>0</v>
      </c>
      <c r="AL138" s="43">
        <f t="shared" ca="1" si="377"/>
        <v>0</v>
      </c>
      <c r="AM138" s="43">
        <f t="shared" ca="1" si="377"/>
        <v>0</v>
      </c>
      <c r="AO138" s="1">
        <v>5</v>
      </c>
    </row>
    <row r="139" spans="1:41" x14ac:dyDescent="0.25">
      <c r="A139" s="1">
        <v>138</v>
      </c>
      <c r="B139" s="4">
        <v>7400</v>
      </c>
      <c r="C139" s="4">
        <v>22.700000000000003</v>
      </c>
      <c r="D139" s="4">
        <v>22.8</v>
      </c>
      <c r="E139" s="4">
        <f t="shared" si="366"/>
        <v>9.9999999999997868E-2</v>
      </c>
      <c r="F139" s="4">
        <v>0</v>
      </c>
      <c r="G139" s="4">
        <v>-0.43</v>
      </c>
      <c r="H139" s="4">
        <v>79</v>
      </c>
      <c r="I139" s="4"/>
      <c r="J139" s="4">
        <v>49</v>
      </c>
      <c r="K139"/>
      <c r="L139"/>
      <c r="M139" s="4">
        <f t="shared" si="367"/>
        <v>22.8</v>
      </c>
      <c r="N139" s="4"/>
      <c r="O139" s="1">
        <f t="shared" si="368"/>
        <v>22.700000000000003</v>
      </c>
      <c r="P139" s="1">
        <f t="shared" si="369"/>
        <v>0</v>
      </c>
      <c r="Q139" s="1" t="str">
        <f t="shared" si="360"/>
        <v/>
      </c>
      <c r="R139" s="1" t="str">
        <f t="shared" si="370"/>
        <v/>
      </c>
      <c r="S139" s="1">
        <f t="shared" si="371"/>
        <v>360.77759999999978</v>
      </c>
      <c r="T139" s="1">
        <f t="shared" si="372"/>
        <v>-0.43</v>
      </c>
      <c r="U139" s="1">
        <f t="shared" si="373"/>
        <v>527.99999999998875</v>
      </c>
      <c r="V139" s="1">
        <f t="shared" si="374"/>
        <v>227.03999999999516</v>
      </c>
    </row>
    <row r="140" spans="1:41" x14ac:dyDescent="0.25">
      <c r="A140" s="1">
        <v>139</v>
      </c>
      <c r="B140" s="4">
        <v>7400</v>
      </c>
      <c r="C140" s="4">
        <v>22.8</v>
      </c>
      <c r="D140" s="4">
        <v>23</v>
      </c>
      <c r="E140" s="4">
        <f t="shared" si="366"/>
        <v>0.19999999999999929</v>
      </c>
      <c r="F140" s="4">
        <v>0</v>
      </c>
      <c r="G140" s="4">
        <v>0</v>
      </c>
      <c r="H140" s="4">
        <v>79</v>
      </c>
      <c r="I140" s="4"/>
      <c r="J140" s="4">
        <v>49</v>
      </c>
      <c r="K140"/>
      <c r="L140"/>
      <c r="M140" s="4">
        <f t="shared" si="367"/>
        <v>23</v>
      </c>
      <c r="N140" s="4"/>
      <c r="O140" s="1">
        <f t="shared" si="368"/>
        <v>22.8</v>
      </c>
      <c r="P140" s="1">
        <f t="shared" si="369"/>
        <v>0</v>
      </c>
      <c r="Q140" s="1" t="str">
        <f t="shared" si="360"/>
        <v/>
      </c>
      <c r="R140" s="1" t="str">
        <f t="shared" si="370"/>
        <v/>
      </c>
      <c r="S140" s="1">
        <f t="shared" si="371"/>
        <v>358.50719999999984</v>
      </c>
      <c r="T140" s="1">
        <f t="shared" si="372"/>
        <v>0</v>
      </c>
      <c r="U140" s="1">
        <f t="shared" si="373"/>
        <v>1055.9999999999964</v>
      </c>
      <c r="V140" s="1">
        <f t="shared" si="374"/>
        <v>0</v>
      </c>
      <c r="AC140" s="59"/>
      <c r="AD140" s="60" t="s">
        <v>98</v>
      </c>
      <c r="AF140" s="58">
        <f t="shared" ref="AF140:AM140" ca="1" si="378">IF(ISNUMBER(AG112),IF(AF$114&gt;$AF$13,0,SUM(AF133:AF138)+SUM(AF121:AF126)),"")</f>
        <v>0.79104477611940294</v>
      </c>
      <c r="AG140" s="58">
        <f t="shared" ca="1" si="378"/>
        <v>0.85148514851485113</v>
      </c>
      <c r="AH140" s="58">
        <f t="shared" ca="1" si="378"/>
        <v>0.82432432432432479</v>
      </c>
      <c r="AI140" s="58">
        <f t="shared" ca="1" si="378"/>
        <v>0.79354838709677611</v>
      </c>
      <c r="AJ140" s="58">
        <f t="shared" ca="1" si="378"/>
        <v>0.70666666666666722</v>
      </c>
      <c r="AK140" s="58">
        <f t="shared" ca="1" si="378"/>
        <v>0.93902439024390427</v>
      </c>
      <c r="AL140" s="58">
        <f t="shared" ca="1" si="378"/>
        <v>0.61111111111111394</v>
      </c>
      <c r="AM140" s="58">
        <f t="shared" ca="1" si="378"/>
        <v>0.81443298969071976</v>
      </c>
    </row>
    <row r="141" spans="1:41" x14ac:dyDescent="0.25">
      <c r="A141" s="1">
        <v>140</v>
      </c>
      <c r="B141" s="4">
        <v>7400</v>
      </c>
      <c r="C141" s="4">
        <v>23</v>
      </c>
      <c r="D141" s="4">
        <v>23.200000000000003</v>
      </c>
      <c r="E141" s="4">
        <f t="shared" si="366"/>
        <v>0.20000000000000284</v>
      </c>
      <c r="F141" s="4">
        <v>0</v>
      </c>
      <c r="G141" s="4">
        <v>-0.64</v>
      </c>
      <c r="H141" s="4">
        <v>79</v>
      </c>
      <c r="I141" s="4"/>
      <c r="J141" s="4">
        <v>49</v>
      </c>
      <c r="K141"/>
      <c r="L141"/>
      <c r="M141" s="4">
        <f t="shared" si="367"/>
        <v>23.200000000000003</v>
      </c>
      <c r="N141" s="4"/>
      <c r="O141" s="1">
        <f t="shared" si="368"/>
        <v>23</v>
      </c>
      <c r="P141" s="1">
        <f t="shared" si="369"/>
        <v>0</v>
      </c>
      <c r="Q141" s="1" t="str">
        <f t="shared" si="360"/>
        <v/>
      </c>
      <c r="R141" s="1" t="str">
        <f t="shared" si="370"/>
        <v/>
      </c>
      <c r="S141" s="1">
        <f t="shared" si="371"/>
        <v>358.50719999999984</v>
      </c>
      <c r="T141" s="1">
        <f t="shared" si="372"/>
        <v>-0.64</v>
      </c>
      <c r="U141" s="1">
        <f t="shared" si="373"/>
        <v>1056.000000000015</v>
      </c>
      <c r="V141" s="1">
        <f t="shared" si="374"/>
        <v>675.84000000000958</v>
      </c>
    </row>
    <row r="142" spans="1:41" x14ac:dyDescent="0.25">
      <c r="A142" s="1">
        <v>141</v>
      </c>
      <c r="B142" s="4">
        <v>7400</v>
      </c>
      <c r="C142" s="4">
        <v>23.200000000000003</v>
      </c>
      <c r="D142" s="4">
        <v>23.400000000000002</v>
      </c>
      <c r="E142" s="4">
        <f t="shared" si="366"/>
        <v>0.19999999999999929</v>
      </c>
      <c r="F142" s="4">
        <v>2.2000000000000002</v>
      </c>
      <c r="G142" s="4">
        <v>0</v>
      </c>
      <c r="H142" s="4">
        <v>79</v>
      </c>
      <c r="I142" s="4"/>
      <c r="J142" s="4">
        <v>49</v>
      </c>
      <c r="K142"/>
      <c r="L142"/>
      <c r="M142" s="4">
        <f t="shared" si="367"/>
        <v>23.400000000000002</v>
      </c>
      <c r="N142" s="4"/>
      <c r="O142" s="1">
        <f t="shared" si="368"/>
        <v>23.200000000000003</v>
      </c>
      <c r="P142" s="1">
        <f t="shared" si="369"/>
        <v>23.231999999999918</v>
      </c>
      <c r="Q142" s="1" t="str">
        <f t="shared" si="360"/>
        <v/>
      </c>
      <c r="R142" s="1" t="str">
        <f t="shared" si="370"/>
        <v/>
      </c>
      <c r="S142" s="1">
        <f t="shared" si="371"/>
        <v>351.74879999999973</v>
      </c>
      <c r="T142" s="1">
        <f t="shared" si="372"/>
        <v>0</v>
      </c>
      <c r="U142" s="1">
        <f t="shared" si="373"/>
        <v>1055.9999999999964</v>
      </c>
      <c r="V142" s="1">
        <f t="shared" si="374"/>
        <v>0</v>
      </c>
    </row>
    <row r="143" spans="1:41" x14ac:dyDescent="0.25">
      <c r="A143" s="1">
        <v>142</v>
      </c>
      <c r="B143" s="4">
        <v>7400</v>
      </c>
      <c r="C143" s="4">
        <v>23.400000000000002</v>
      </c>
      <c r="D143" s="4">
        <v>23.6</v>
      </c>
      <c r="E143" s="4">
        <f t="shared" si="366"/>
        <v>0.19999999999999929</v>
      </c>
      <c r="F143" s="4">
        <v>0</v>
      </c>
      <c r="G143" s="4">
        <v>0.56000000000000005</v>
      </c>
      <c r="H143" s="4">
        <v>79</v>
      </c>
      <c r="I143" s="4"/>
      <c r="J143" s="4">
        <v>49</v>
      </c>
      <c r="K143"/>
      <c r="L143"/>
      <c r="M143" s="4">
        <f t="shared" si="367"/>
        <v>23.6</v>
      </c>
      <c r="N143" s="4"/>
      <c r="O143" s="1">
        <f t="shared" si="368"/>
        <v>23.400000000000002</v>
      </c>
      <c r="P143" s="1">
        <f t="shared" si="369"/>
        <v>0</v>
      </c>
      <c r="Q143" s="1" t="str">
        <f t="shared" si="360"/>
        <v/>
      </c>
      <c r="R143" s="1" t="str">
        <f t="shared" si="370"/>
        <v/>
      </c>
      <c r="S143" s="1">
        <f t="shared" si="371"/>
        <v>351.74879999999973</v>
      </c>
      <c r="T143" s="1">
        <f t="shared" si="372"/>
        <v>0.56000000000000005</v>
      </c>
      <c r="U143" s="1">
        <f t="shared" si="373"/>
        <v>1055.9999999999964</v>
      </c>
      <c r="V143" s="1">
        <f t="shared" si="374"/>
        <v>591.35999999999797</v>
      </c>
    </row>
    <row r="144" spans="1:41" x14ac:dyDescent="0.25">
      <c r="A144" s="1">
        <v>143</v>
      </c>
      <c r="B144" s="4">
        <v>7400</v>
      </c>
      <c r="C144" s="4">
        <v>23.6</v>
      </c>
      <c r="D144" s="4">
        <v>23.8</v>
      </c>
      <c r="E144" s="4">
        <f t="shared" si="366"/>
        <v>0.19999999999999929</v>
      </c>
      <c r="F144" s="4">
        <v>0</v>
      </c>
      <c r="G144" s="4">
        <v>-0.46</v>
      </c>
      <c r="H144" s="4">
        <v>79</v>
      </c>
      <c r="I144" s="4"/>
      <c r="J144" s="4">
        <v>49</v>
      </c>
      <c r="K144"/>
      <c r="L144"/>
      <c r="M144" s="4">
        <f t="shared" si="367"/>
        <v>23.8</v>
      </c>
      <c r="N144" s="4"/>
      <c r="O144" s="1">
        <f t="shared" si="368"/>
        <v>23.6</v>
      </c>
      <c r="P144" s="1">
        <f t="shared" si="369"/>
        <v>0</v>
      </c>
      <c r="Q144" s="1" t="str">
        <f t="shared" si="360"/>
        <v/>
      </c>
      <c r="R144" s="1" t="str">
        <f t="shared" si="370"/>
        <v/>
      </c>
      <c r="S144" s="1">
        <f t="shared" si="371"/>
        <v>357.66239999999971</v>
      </c>
      <c r="T144" s="1">
        <f t="shared" si="372"/>
        <v>-0.46</v>
      </c>
      <c r="U144" s="1">
        <f t="shared" si="373"/>
        <v>1055.9999999999964</v>
      </c>
      <c r="V144" s="1">
        <f t="shared" si="374"/>
        <v>485.75999999999834</v>
      </c>
    </row>
    <row r="145" spans="1:22" x14ac:dyDescent="0.25">
      <c r="A145" s="1">
        <v>144</v>
      </c>
      <c r="B145" s="4">
        <v>7400</v>
      </c>
      <c r="C145" s="4">
        <v>23.8</v>
      </c>
      <c r="D145" s="4">
        <v>23.900000000000002</v>
      </c>
      <c r="E145" s="4">
        <f t="shared" si="366"/>
        <v>0.10000000000000142</v>
      </c>
      <c r="F145" s="4">
        <v>0</v>
      </c>
      <c r="G145" s="4">
        <v>0.08</v>
      </c>
      <c r="H145" s="4">
        <v>79</v>
      </c>
      <c r="I145" s="4"/>
      <c r="J145" s="4">
        <v>49</v>
      </c>
      <c r="K145"/>
      <c r="L145"/>
      <c r="M145" s="4">
        <f t="shared" si="367"/>
        <v>23.900000000000002</v>
      </c>
      <c r="N145" s="4"/>
      <c r="O145" s="1">
        <f t="shared" si="368"/>
        <v>23.8</v>
      </c>
      <c r="P145" s="1">
        <f t="shared" si="369"/>
        <v>0</v>
      </c>
      <c r="Q145" s="1" t="str">
        <f t="shared" si="360"/>
        <v/>
      </c>
      <c r="R145" s="1" t="str">
        <f t="shared" si="370"/>
        <v/>
      </c>
      <c r="S145" s="1">
        <f t="shared" si="371"/>
        <v>352.80479999999972</v>
      </c>
      <c r="T145" s="1">
        <f t="shared" si="372"/>
        <v>0.08</v>
      </c>
      <c r="U145" s="1">
        <f t="shared" si="373"/>
        <v>528.0000000000075</v>
      </c>
      <c r="V145" s="1">
        <f t="shared" si="374"/>
        <v>42.240000000000599</v>
      </c>
    </row>
    <row r="146" spans="1:22" x14ac:dyDescent="0.25">
      <c r="A146" s="1">
        <v>145</v>
      </c>
      <c r="B146" s="4">
        <v>7400</v>
      </c>
      <c r="C146" s="4">
        <v>23.900000000000002</v>
      </c>
      <c r="D146" s="4">
        <v>24</v>
      </c>
      <c r="E146" s="4">
        <f t="shared" si="366"/>
        <v>9.9999999999997868E-2</v>
      </c>
      <c r="F146" s="4">
        <v>2.1</v>
      </c>
      <c r="G146" s="4">
        <v>0.08</v>
      </c>
      <c r="H146" s="4">
        <v>79</v>
      </c>
      <c r="I146" s="4"/>
      <c r="J146" s="4">
        <v>49</v>
      </c>
      <c r="K146"/>
      <c r="L146"/>
      <c r="M146" s="4">
        <f t="shared" si="367"/>
        <v>24</v>
      </c>
      <c r="N146" s="4"/>
      <c r="O146" s="1">
        <f t="shared" si="368"/>
        <v>23.900000000000002</v>
      </c>
      <c r="P146" s="1">
        <f t="shared" si="369"/>
        <v>11.087999999999763</v>
      </c>
      <c r="Q146" s="1" t="str">
        <f t="shared" si="360"/>
        <v/>
      </c>
      <c r="R146" s="1" t="str">
        <f t="shared" si="370"/>
        <v/>
      </c>
      <c r="S146" s="1">
        <f t="shared" si="371"/>
        <v>353.2271999999997</v>
      </c>
      <c r="T146" s="1">
        <f t="shared" si="372"/>
        <v>0.08</v>
      </c>
      <c r="U146" s="1">
        <f t="shared" si="373"/>
        <v>527.99999999998875</v>
      </c>
      <c r="V146" s="1">
        <f t="shared" si="374"/>
        <v>42.2399999999991</v>
      </c>
    </row>
    <row r="147" spans="1:22" x14ac:dyDescent="0.25">
      <c r="A147" s="1">
        <v>146</v>
      </c>
      <c r="B147" s="4">
        <v>7400</v>
      </c>
      <c r="C147" s="4">
        <v>24</v>
      </c>
      <c r="D147" s="4">
        <v>24.400000000000002</v>
      </c>
      <c r="E147" s="4">
        <f t="shared" si="366"/>
        <v>0.40000000000000213</v>
      </c>
      <c r="F147" s="4">
        <v>0</v>
      </c>
      <c r="G147" s="4">
        <v>0.89</v>
      </c>
      <c r="H147" s="4">
        <v>79</v>
      </c>
      <c r="I147" s="4"/>
      <c r="J147" s="4">
        <v>49</v>
      </c>
      <c r="K147"/>
      <c r="L147"/>
      <c r="M147" s="4">
        <f t="shared" si="367"/>
        <v>24.400000000000002</v>
      </c>
      <c r="N147" s="4"/>
      <c r="O147" s="1">
        <f t="shared" si="368"/>
        <v>24</v>
      </c>
      <c r="P147" s="1">
        <f t="shared" si="369"/>
        <v>0</v>
      </c>
      <c r="Q147" s="1" t="str">
        <f t="shared" si="360"/>
        <v/>
      </c>
      <c r="R147" s="1" t="str">
        <f t="shared" si="370"/>
        <v/>
      </c>
      <c r="S147" s="1">
        <f t="shared" si="371"/>
        <v>353.64959999999968</v>
      </c>
      <c r="T147" s="1">
        <f t="shared" si="372"/>
        <v>0.89</v>
      </c>
      <c r="U147" s="1">
        <f t="shared" si="373"/>
        <v>2112.0000000000114</v>
      </c>
      <c r="V147" s="1">
        <f t="shared" si="374"/>
        <v>1879.6800000000101</v>
      </c>
    </row>
    <row r="148" spans="1:22" x14ac:dyDescent="0.25">
      <c r="A148" s="1">
        <v>147</v>
      </c>
      <c r="B148" s="4">
        <v>7400</v>
      </c>
      <c r="C148" s="4">
        <v>24.400000000000002</v>
      </c>
      <c r="D148" s="4">
        <v>24.6</v>
      </c>
      <c r="E148" s="4">
        <f t="shared" si="366"/>
        <v>0.19999999999999929</v>
      </c>
      <c r="F148" s="4">
        <v>0</v>
      </c>
      <c r="G148" s="4">
        <v>-0.46</v>
      </c>
      <c r="H148" s="4">
        <v>79</v>
      </c>
      <c r="I148" s="4"/>
      <c r="J148" s="4">
        <v>49</v>
      </c>
      <c r="K148"/>
      <c r="L148"/>
      <c r="M148" s="4">
        <f t="shared" si="367"/>
        <v>24.6</v>
      </c>
      <c r="N148" s="4"/>
      <c r="O148" s="1">
        <f t="shared" si="368"/>
        <v>24.400000000000002</v>
      </c>
      <c r="P148" s="1">
        <f t="shared" si="369"/>
        <v>0</v>
      </c>
      <c r="Q148" s="1" t="str">
        <f t="shared" si="360"/>
        <v/>
      </c>
      <c r="R148" s="1" t="str">
        <f t="shared" si="370"/>
        <v/>
      </c>
      <c r="S148" s="1">
        <f t="shared" si="371"/>
        <v>372.44639999999976</v>
      </c>
      <c r="T148" s="1">
        <f t="shared" si="372"/>
        <v>-0.46</v>
      </c>
      <c r="U148" s="1">
        <f t="shared" si="373"/>
        <v>1055.9999999999964</v>
      </c>
      <c r="V148" s="1">
        <f t="shared" si="374"/>
        <v>485.75999999999834</v>
      </c>
    </row>
    <row r="149" spans="1:22" x14ac:dyDescent="0.25">
      <c r="A149" s="1">
        <v>148</v>
      </c>
      <c r="B149" s="4">
        <v>7400</v>
      </c>
      <c r="C149" s="4">
        <v>24.6</v>
      </c>
      <c r="D149" s="4">
        <v>24.8</v>
      </c>
      <c r="E149" s="4">
        <f t="shared" si="366"/>
        <v>0.19999999999999929</v>
      </c>
      <c r="F149" s="4">
        <v>0</v>
      </c>
      <c r="G149" s="4">
        <v>-0.21</v>
      </c>
      <c r="H149" s="4">
        <v>79</v>
      </c>
      <c r="I149" s="4"/>
      <c r="J149" s="4">
        <v>49</v>
      </c>
      <c r="K149"/>
      <c r="L149"/>
      <c r="M149" s="4">
        <f t="shared" si="367"/>
        <v>24.8</v>
      </c>
      <c r="N149" s="4"/>
      <c r="O149" s="1">
        <f t="shared" si="368"/>
        <v>24.6</v>
      </c>
      <c r="P149" s="1">
        <f t="shared" si="369"/>
        <v>0</v>
      </c>
      <c r="Q149" s="1" t="str">
        <f t="shared" si="360"/>
        <v/>
      </c>
      <c r="R149" s="1" t="str">
        <f t="shared" si="370"/>
        <v/>
      </c>
      <c r="S149" s="1">
        <f t="shared" si="371"/>
        <v>367.58879999999976</v>
      </c>
      <c r="T149" s="1">
        <f t="shared" si="372"/>
        <v>-0.21</v>
      </c>
      <c r="U149" s="1">
        <f t="shared" si="373"/>
        <v>1055.9999999999964</v>
      </c>
      <c r="V149" s="1">
        <f t="shared" si="374"/>
        <v>221.75999999999922</v>
      </c>
    </row>
    <row r="150" spans="1:22" x14ac:dyDescent="0.25">
      <c r="A150" s="1">
        <v>149</v>
      </c>
      <c r="B150" s="4">
        <v>7400</v>
      </c>
      <c r="C150" s="4">
        <v>24.8</v>
      </c>
      <c r="D150" s="4">
        <v>24.900000000000002</v>
      </c>
      <c r="E150" s="4">
        <f t="shared" si="366"/>
        <v>0.10000000000000142</v>
      </c>
      <c r="F150" s="4">
        <v>2.1</v>
      </c>
      <c r="G150" s="4">
        <v>0.19</v>
      </c>
      <c r="H150" s="4">
        <v>79</v>
      </c>
      <c r="I150" s="4"/>
      <c r="J150" s="4">
        <v>49</v>
      </c>
      <c r="K150"/>
      <c r="L150"/>
      <c r="M150" s="4">
        <f t="shared" si="367"/>
        <v>24.900000000000002</v>
      </c>
      <c r="N150" s="4"/>
      <c r="O150" s="1">
        <f t="shared" si="368"/>
        <v>24.8</v>
      </c>
      <c r="P150" s="1">
        <f t="shared" si="369"/>
        <v>11.088000000000157</v>
      </c>
      <c r="Q150" s="1" t="str">
        <f t="shared" si="360"/>
        <v/>
      </c>
      <c r="R150" s="1" t="str">
        <f t="shared" si="370"/>
        <v/>
      </c>
      <c r="S150" s="1">
        <f t="shared" si="371"/>
        <v>365.37119999999976</v>
      </c>
      <c r="T150" s="1">
        <f t="shared" si="372"/>
        <v>0.19</v>
      </c>
      <c r="U150" s="1">
        <f t="shared" si="373"/>
        <v>528.0000000000075</v>
      </c>
      <c r="V150" s="1">
        <f t="shared" si="374"/>
        <v>100.32000000000143</v>
      </c>
    </row>
    <row r="151" spans="1:22" x14ac:dyDescent="0.25">
      <c r="A151" s="1">
        <v>150</v>
      </c>
      <c r="B151" s="4">
        <v>7400</v>
      </c>
      <c r="C151" s="4">
        <v>24.900000000000002</v>
      </c>
      <c r="D151" s="4">
        <v>25</v>
      </c>
      <c r="E151" s="4">
        <f t="shared" si="366"/>
        <v>9.9999999999997868E-2</v>
      </c>
      <c r="F151" s="4">
        <v>2.1</v>
      </c>
      <c r="G151" s="4">
        <v>0.65</v>
      </c>
      <c r="H151" s="4">
        <v>79</v>
      </c>
      <c r="I151" s="4"/>
      <c r="J151" s="4">
        <v>49</v>
      </c>
      <c r="K151"/>
      <c r="L151"/>
      <c r="M151" s="4">
        <f t="shared" si="367"/>
        <v>25</v>
      </c>
      <c r="N151" s="4"/>
      <c r="O151" s="1">
        <f t="shared" si="368"/>
        <v>24.900000000000002</v>
      </c>
      <c r="P151" s="1">
        <f t="shared" si="369"/>
        <v>11.087999999999763</v>
      </c>
      <c r="Q151" s="1" t="str">
        <f t="shared" si="360"/>
        <v/>
      </c>
      <c r="R151" s="1" t="str">
        <f t="shared" si="370"/>
        <v/>
      </c>
      <c r="S151" s="1">
        <f t="shared" si="371"/>
        <v>366.37439999999975</v>
      </c>
      <c r="T151" s="1">
        <f t="shared" si="372"/>
        <v>0.65</v>
      </c>
      <c r="U151" s="1">
        <f t="shared" si="373"/>
        <v>527.99999999998875</v>
      </c>
      <c r="V151" s="1">
        <f t="shared" si="374"/>
        <v>343.19999999999271</v>
      </c>
    </row>
    <row r="152" spans="1:22" x14ac:dyDescent="0.25">
      <c r="A152" s="1">
        <v>151</v>
      </c>
      <c r="B152" s="4">
        <v>7400</v>
      </c>
      <c r="C152" s="4">
        <v>25</v>
      </c>
      <c r="D152" s="4">
        <v>25.1</v>
      </c>
      <c r="E152" s="4">
        <f t="shared" si="366"/>
        <v>0.10000000000000142</v>
      </c>
      <c r="F152" s="4">
        <v>0</v>
      </c>
      <c r="G152" s="4">
        <v>0.65</v>
      </c>
      <c r="H152" s="4">
        <v>79</v>
      </c>
      <c r="I152" s="4"/>
      <c r="J152" s="4">
        <v>49</v>
      </c>
      <c r="K152"/>
      <c r="L152"/>
      <c r="M152" s="4">
        <f t="shared" si="367"/>
        <v>25.1</v>
      </c>
      <c r="N152" s="4"/>
      <c r="O152" s="1">
        <f t="shared" si="368"/>
        <v>25</v>
      </c>
      <c r="P152" s="1">
        <f t="shared" si="369"/>
        <v>0</v>
      </c>
      <c r="Q152" s="1" t="str">
        <f t="shared" si="360"/>
        <v/>
      </c>
      <c r="R152" s="1" t="str">
        <f t="shared" si="370"/>
        <v/>
      </c>
      <c r="S152" s="1">
        <f t="shared" si="371"/>
        <v>369.80639999999966</v>
      </c>
      <c r="T152" s="1">
        <f t="shared" si="372"/>
        <v>0.65</v>
      </c>
      <c r="U152" s="1">
        <f t="shared" si="373"/>
        <v>528.0000000000075</v>
      </c>
      <c r="V152" s="1">
        <f t="shared" si="374"/>
        <v>343.20000000000488</v>
      </c>
    </row>
    <row r="153" spans="1:22" x14ac:dyDescent="0.25">
      <c r="A153" s="1">
        <v>152</v>
      </c>
      <c r="B153" s="4">
        <v>7400</v>
      </c>
      <c r="C153" s="4">
        <v>25.1</v>
      </c>
      <c r="D153" s="4">
        <v>25.400000000000002</v>
      </c>
      <c r="E153" s="4">
        <f t="shared" si="366"/>
        <v>0.30000000000000071</v>
      </c>
      <c r="F153" s="4">
        <v>0</v>
      </c>
      <c r="G153" s="4">
        <v>-0.72</v>
      </c>
      <c r="H153" s="4">
        <v>79</v>
      </c>
      <c r="I153" s="4"/>
      <c r="J153" s="4">
        <v>49</v>
      </c>
      <c r="K153"/>
      <c r="L153"/>
      <c r="M153" s="4">
        <f t="shared" si="367"/>
        <v>25.400000000000002</v>
      </c>
      <c r="N153" s="4"/>
      <c r="O153" s="1">
        <f t="shared" si="368"/>
        <v>25.1</v>
      </c>
      <c r="P153" s="1">
        <f t="shared" si="369"/>
        <v>0</v>
      </c>
      <c r="Q153" s="1" t="str">
        <f t="shared" si="360"/>
        <v/>
      </c>
      <c r="R153" s="1" t="str">
        <f t="shared" si="370"/>
        <v/>
      </c>
      <c r="S153" s="1">
        <f t="shared" si="371"/>
        <v>373.23839999999973</v>
      </c>
      <c r="T153" s="1">
        <f t="shared" si="372"/>
        <v>-0.72</v>
      </c>
      <c r="U153" s="1">
        <f t="shared" si="373"/>
        <v>1584.0000000000036</v>
      </c>
      <c r="V153" s="1">
        <f t="shared" si="374"/>
        <v>1140.4800000000025</v>
      </c>
    </row>
    <row r="154" spans="1:22" x14ac:dyDescent="0.25">
      <c r="A154" s="1">
        <v>153</v>
      </c>
      <c r="B154" s="4">
        <v>7400</v>
      </c>
      <c r="C154" s="4">
        <v>25.400000000000002</v>
      </c>
      <c r="D154" s="4">
        <v>25.6</v>
      </c>
      <c r="E154" s="4">
        <f t="shared" si="366"/>
        <v>0.19999999999999929</v>
      </c>
      <c r="F154" s="4">
        <v>0</v>
      </c>
      <c r="G154" s="4">
        <v>-0.5</v>
      </c>
      <c r="H154" s="4">
        <v>79</v>
      </c>
      <c r="I154" s="4"/>
      <c r="J154" s="4">
        <v>49</v>
      </c>
      <c r="K154"/>
      <c r="L154"/>
      <c r="M154" s="4">
        <f t="shared" si="367"/>
        <v>25.6</v>
      </c>
      <c r="N154" s="4"/>
      <c r="O154" s="1">
        <f t="shared" si="368"/>
        <v>25.400000000000002</v>
      </c>
      <c r="P154" s="1">
        <f t="shared" si="369"/>
        <v>0</v>
      </c>
      <c r="Q154" s="1" t="str">
        <f t="shared" si="360"/>
        <v/>
      </c>
      <c r="R154" s="1" t="str">
        <f t="shared" si="370"/>
        <v/>
      </c>
      <c r="S154" s="1">
        <f t="shared" si="371"/>
        <v>361.83359999999971</v>
      </c>
      <c r="T154" s="1">
        <f t="shared" si="372"/>
        <v>-0.5</v>
      </c>
      <c r="U154" s="1">
        <f t="shared" si="373"/>
        <v>1055.9999999999964</v>
      </c>
      <c r="V154" s="1">
        <f t="shared" si="374"/>
        <v>527.99999999999818</v>
      </c>
    </row>
    <row r="155" spans="1:22" x14ac:dyDescent="0.25">
      <c r="A155" s="1">
        <v>154</v>
      </c>
      <c r="B155" s="4">
        <v>7400</v>
      </c>
      <c r="C155" s="4">
        <v>25.6</v>
      </c>
      <c r="D155" s="4">
        <v>26</v>
      </c>
      <c r="E155" s="4">
        <f t="shared" si="366"/>
        <v>0.39999999999999858</v>
      </c>
      <c r="F155" s="4">
        <v>0</v>
      </c>
      <c r="G155" s="4">
        <v>-0.77</v>
      </c>
      <c r="H155" s="4">
        <v>79</v>
      </c>
      <c r="I155" s="4"/>
      <c r="J155" s="4">
        <v>49</v>
      </c>
      <c r="K155"/>
      <c r="L155"/>
      <c r="M155" s="4">
        <f t="shared" si="367"/>
        <v>26</v>
      </c>
      <c r="N155" s="4"/>
      <c r="O155" s="1">
        <f t="shared" si="368"/>
        <v>25.6</v>
      </c>
      <c r="P155" s="1">
        <f t="shared" si="369"/>
        <v>0</v>
      </c>
      <c r="Q155" s="1" t="str">
        <f t="shared" si="360"/>
        <v/>
      </c>
      <c r="R155" s="1" t="str">
        <f t="shared" si="370"/>
        <v/>
      </c>
      <c r="S155" s="1">
        <f t="shared" si="371"/>
        <v>356.55359999999973</v>
      </c>
      <c r="T155" s="1">
        <f t="shared" si="372"/>
        <v>-0.77</v>
      </c>
      <c r="U155" s="1">
        <f t="shared" si="373"/>
        <v>2111.9999999999927</v>
      </c>
      <c r="V155" s="1">
        <f t="shared" si="374"/>
        <v>1626.2399999999943</v>
      </c>
    </row>
    <row r="156" spans="1:22" x14ac:dyDescent="0.25">
      <c r="A156" s="1">
        <v>155</v>
      </c>
      <c r="B156" s="4">
        <v>7400</v>
      </c>
      <c r="C156" s="4">
        <v>26</v>
      </c>
      <c r="D156" s="4">
        <v>26.1</v>
      </c>
      <c r="E156" s="4">
        <f t="shared" si="366"/>
        <v>0.10000000000000142</v>
      </c>
      <c r="F156" s="4">
        <v>0</v>
      </c>
      <c r="G156" s="4">
        <v>0</v>
      </c>
      <c r="H156" s="4">
        <v>79</v>
      </c>
      <c r="I156" s="4"/>
      <c r="J156" s="4">
        <v>49</v>
      </c>
      <c r="K156"/>
      <c r="L156"/>
      <c r="M156" s="4">
        <f t="shared" si="367"/>
        <v>26.1</v>
      </c>
      <c r="N156" s="4"/>
      <c r="O156" s="1">
        <f t="shared" si="368"/>
        <v>26</v>
      </c>
      <c r="P156" s="1">
        <f t="shared" si="369"/>
        <v>0</v>
      </c>
      <c r="Q156" s="1" t="str">
        <f t="shared" si="360"/>
        <v/>
      </c>
      <c r="R156" s="1" t="str">
        <f t="shared" si="370"/>
        <v/>
      </c>
      <c r="S156" s="1">
        <f t="shared" si="371"/>
        <v>340.29119999999978</v>
      </c>
      <c r="T156" s="1">
        <f t="shared" si="372"/>
        <v>0</v>
      </c>
      <c r="U156" s="1">
        <f t="shared" si="373"/>
        <v>528.0000000000075</v>
      </c>
      <c r="V156" s="1">
        <f t="shared" si="374"/>
        <v>0</v>
      </c>
    </row>
    <row r="157" spans="1:22" x14ac:dyDescent="0.25">
      <c r="A157" s="1">
        <v>156</v>
      </c>
      <c r="B157" s="4">
        <v>7400</v>
      </c>
      <c r="C157" s="4">
        <v>26.1</v>
      </c>
      <c r="D157" s="4">
        <v>26.200000000000003</v>
      </c>
      <c r="E157" s="4">
        <f t="shared" si="366"/>
        <v>0.10000000000000142</v>
      </c>
      <c r="F157" s="4">
        <v>3.2</v>
      </c>
      <c r="G157" s="4">
        <v>0</v>
      </c>
      <c r="H157" s="4">
        <v>79</v>
      </c>
      <c r="I157" s="4"/>
      <c r="J157" s="4">
        <v>49</v>
      </c>
      <c r="K157"/>
      <c r="L157"/>
      <c r="M157" s="4">
        <f t="shared" si="367"/>
        <v>26.200000000000003</v>
      </c>
      <c r="N157" s="4"/>
      <c r="O157" s="1">
        <f t="shared" si="368"/>
        <v>26.1</v>
      </c>
      <c r="P157" s="1">
        <f t="shared" si="369"/>
        <v>16.896000000000242</v>
      </c>
      <c r="Q157" s="1" t="str">
        <f t="shared" si="360"/>
        <v/>
      </c>
      <c r="R157" s="1" t="str">
        <f t="shared" si="370"/>
        <v/>
      </c>
      <c r="S157" s="1">
        <f t="shared" si="371"/>
        <v>340.29119999999978</v>
      </c>
      <c r="T157" s="1">
        <f t="shared" si="372"/>
        <v>0</v>
      </c>
      <c r="U157" s="1">
        <f t="shared" si="373"/>
        <v>528.0000000000075</v>
      </c>
      <c r="V157" s="1">
        <f t="shared" si="374"/>
        <v>0</v>
      </c>
    </row>
    <row r="158" spans="1:22" x14ac:dyDescent="0.25">
      <c r="A158" s="1">
        <v>157</v>
      </c>
      <c r="B158" s="4">
        <v>7400</v>
      </c>
      <c r="C158" s="4">
        <v>26.200000000000003</v>
      </c>
      <c r="D158" s="4">
        <v>26.3</v>
      </c>
      <c r="E158" s="4">
        <f t="shared" si="366"/>
        <v>9.9999999999997868E-2</v>
      </c>
      <c r="F158" s="4">
        <v>3.2</v>
      </c>
      <c r="G158" s="4">
        <v>-0.32</v>
      </c>
      <c r="H158" s="4">
        <v>79</v>
      </c>
      <c r="I158" s="4"/>
      <c r="J158" s="4">
        <v>49</v>
      </c>
      <c r="K158"/>
      <c r="L158"/>
      <c r="M158" s="4">
        <f t="shared" si="367"/>
        <v>26.3</v>
      </c>
      <c r="N158" s="4"/>
      <c r="O158" s="1">
        <f t="shared" si="368"/>
        <v>26.200000000000003</v>
      </c>
      <c r="P158" s="1">
        <f t="shared" si="369"/>
        <v>16.895999999999642</v>
      </c>
      <c r="Q158" s="1" t="str">
        <f t="shared" si="360"/>
        <v/>
      </c>
      <c r="R158" s="1" t="str">
        <f t="shared" si="370"/>
        <v/>
      </c>
      <c r="S158" s="1">
        <f t="shared" si="371"/>
        <v>340.29119999999978</v>
      </c>
      <c r="T158" s="1">
        <f t="shared" si="372"/>
        <v>-0.32</v>
      </c>
      <c r="U158" s="1">
        <f t="shared" si="373"/>
        <v>527.99999999998875</v>
      </c>
      <c r="V158" s="1">
        <f t="shared" si="374"/>
        <v>168.9599999999964</v>
      </c>
    </row>
    <row r="159" spans="1:22" x14ac:dyDescent="0.25">
      <c r="A159" s="1">
        <v>158</v>
      </c>
      <c r="B159" s="4">
        <v>7400</v>
      </c>
      <c r="C159" s="4">
        <v>26.3</v>
      </c>
      <c r="D159" s="4">
        <v>26.400000000000002</v>
      </c>
      <c r="E159" s="4">
        <f t="shared" si="366"/>
        <v>0.10000000000000142</v>
      </c>
      <c r="F159" s="4">
        <v>0</v>
      </c>
      <c r="G159" s="4">
        <v>-0.32</v>
      </c>
      <c r="H159" s="4">
        <v>79</v>
      </c>
      <c r="I159" s="4"/>
      <c r="J159" s="4">
        <v>49</v>
      </c>
      <c r="K159"/>
      <c r="L159"/>
      <c r="M159" s="4">
        <f t="shared" si="367"/>
        <v>26.400000000000002</v>
      </c>
      <c r="N159" s="4"/>
      <c r="O159" s="1">
        <f t="shared" si="368"/>
        <v>26.3</v>
      </c>
      <c r="P159" s="1">
        <f t="shared" si="369"/>
        <v>0</v>
      </c>
      <c r="Q159" s="1" t="str">
        <f t="shared" si="360"/>
        <v/>
      </c>
      <c r="R159" s="1" t="str">
        <f t="shared" si="370"/>
        <v/>
      </c>
      <c r="S159" s="1">
        <f t="shared" si="371"/>
        <v>338.60159999999979</v>
      </c>
      <c r="T159" s="1">
        <f t="shared" si="372"/>
        <v>-0.32</v>
      </c>
      <c r="U159" s="1">
        <f t="shared" si="373"/>
        <v>528.0000000000075</v>
      </c>
      <c r="V159" s="1">
        <f t="shared" si="374"/>
        <v>168.9600000000024</v>
      </c>
    </row>
    <row r="160" spans="1:22" x14ac:dyDescent="0.25">
      <c r="A160" s="1">
        <v>159</v>
      </c>
      <c r="B160" s="4">
        <v>7400</v>
      </c>
      <c r="C160" s="4">
        <v>26.400000000000002</v>
      </c>
      <c r="D160" s="4">
        <v>26.5</v>
      </c>
      <c r="E160" s="4">
        <f t="shared" si="366"/>
        <v>9.9999999999997868E-2</v>
      </c>
      <c r="F160" s="4">
        <v>0</v>
      </c>
      <c r="G160" s="4">
        <v>0.9</v>
      </c>
      <c r="H160" s="4">
        <v>79</v>
      </c>
      <c r="I160" s="4"/>
      <c r="J160" s="4">
        <v>49</v>
      </c>
      <c r="K160"/>
      <c r="L160"/>
      <c r="M160" s="4">
        <f t="shared" si="367"/>
        <v>26.5</v>
      </c>
      <c r="N160" s="4"/>
      <c r="O160" s="1">
        <f t="shared" si="368"/>
        <v>26.400000000000002</v>
      </c>
      <c r="P160" s="1">
        <f t="shared" si="369"/>
        <v>0</v>
      </c>
      <c r="Q160" s="1" t="str">
        <f t="shared" si="360"/>
        <v/>
      </c>
      <c r="R160" s="1" t="str">
        <f t="shared" si="370"/>
        <v/>
      </c>
      <c r="S160" s="1">
        <f t="shared" si="371"/>
        <v>336.91199999999975</v>
      </c>
      <c r="T160" s="1">
        <f t="shared" si="372"/>
        <v>0.9</v>
      </c>
      <c r="U160" s="1">
        <f t="shared" si="373"/>
        <v>527.99999999998875</v>
      </c>
      <c r="V160" s="1">
        <f t="shared" si="374"/>
        <v>475.19999999998987</v>
      </c>
    </row>
    <row r="161" spans="1:22" x14ac:dyDescent="0.25">
      <c r="A161" s="1">
        <v>160</v>
      </c>
      <c r="B161" s="4">
        <v>7400</v>
      </c>
      <c r="C161" s="4">
        <v>26.5</v>
      </c>
      <c r="D161" s="4">
        <v>26.6</v>
      </c>
      <c r="E161" s="4">
        <f t="shared" si="366"/>
        <v>0.10000000000000142</v>
      </c>
      <c r="F161" s="4">
        <v>2</v>
      </c>
      <c r="G161" s="4">
        <v>0.53</v>
      </c>
      <c r="H161" s="4">
        <v>79</v>
      </c>
      <c r="I161" s="4"/>
      <c r="J161" s="4">
        <v>49</v>
      </c>
      <c r="K161"/>
      <c r="L161"/>
      <c r="M161" s="4">
        <f t="shared" si="367"/>
        <v>26.6</v>
      </c>
      <c r="N161" s="4"/>
      <c r="O161" s="1">
        <f t="shared" si="368"/>
        <v>26.5</v>
      </c>
      <c r="P161" s="1">
        <f t="shared" si="369"/>
        <v>10.56000000000015</v>
      </c>
      <c r="Q161" s="1" t="str">
        <f t="shared" si="360"/>
        <v/>
      </c>
      <c r="R161" s="1" t="str">
        <f t="shared" si="370"/>
        <v/>
      </c>
      <c r="S161" s="1">
        <f t="shared" si="371"/>
        <v>341.66399999999965</v>
      </c>
      <c r="T161" s="1">
        <f t="shared" si="372"/>
        <v>0.53</v>
      </c>
      <c r="U161" s="1">
        <f t="shared" si="373"/>
        <v>528.0000000000075</v>
      </c>
      <c r="V161" s="1">
        <f t="shared" si="374"/>
        <v>279.84000000000401</v>
      </c>
    </row>
    <row r="162" spans="1:22" x14ac:dyDescent="0.25">
      <c r="A162" s="1">
        <v>161</v>
      </c>
      <c r="B162" s="4">
        <v>7400</v>
      </c>
      <c r="C162" s="4">
        <v>26.6</v>
      </c>
      <c r="D162" s="4">
        <v>26.700000000000003</v>
      </c>
      <c r="E162" s="4">
        <f t="shared" si="366"/>
        <v>0.10000000000000142</v>
      </c>
      <c r="F162" s="4">
        <v>3</v>
      </c>
      <c r="G162" s="4">
        <v>0.53</v>
      </c>
      <c r="H162" s="4">
        <v>79</v>
      </c>
      <c r="I162" s="4"/>
      <c r="J162" s="4">
        <v>49</v>
      </c>
      <c r="K162"/>
      <c r="L162"/>
      <c r="M162" s="4">
        <f t="shared" si="367"/>
        <v>26.700000000000003</v>
      </c>
      <c r="N162" s="4"/>
      <c r="O162" s="1">
        <f t="shared" si="368"/>
        <v>26.6</v>
      </c>
      <c r="P162" s="1">
        <f t="shared" si="369"/>
        <v>15.840000000000224</v>
      </c>
      <c r="Q162" s="1" t="str">
        <f t="shared" si="360"/>
        <v/>
      </c>
      <c r="R162" s="1" t="str">
        <f t="shared" si="370"/>
        <v/>
      </c>
      <c r="S162" s="1">
        <f t="shared" si="371"/>
        <v>344.46239999999966</v>
      </c>
      <c r="T162" s="1">
        <f t="shared" si="372"/>
        <v>0.53</v>
      </c>
      <c r="U162" s="1">
        <f t="shared" si="373"/>
        <v>528.0000000000075</v>
      </c>
      <c r="V162" s="1">
        <f t="shared" si="374"/>
        <v>279.84000000000401</v>
      </c>
    </row>
    <row r="163" spans="1:22" x14ac:dyDescent="0.25">
      <c r="A163" s="1">
        <v>162</v>
      </c>
      <c r="B163" s="4">
        <v>7400</v>
      </c>
      <c r="C163" s="4">
        <v>26.700000000000003</v>
      </c>
      <c r="D163" s="4">
        <v>26.8</v>
      </c>
      <c r="E163" s="4">
        <f t="shared" si="366"/>
        <v>9.9999999999997868E-2</v>
      </c>
      <c r="F163" s="4">
        <v>2.1</v>
      </c>
      <c r="G163" s="4">
        <v>0.77</v>
      </c>
      <c r="H163" s="4">
        <v>79</v>
      </c>
      <c r="I163" s="4"/>
      <c r="J163" s="4">
        <v>49</v>
      </c>
      <c r="K163"/>
      <c r="L163"/>
      <c r="M163" s="4">
        <f t="shared" si="367"/>
        <v>26.8</v>
      </c>
      <c r="N163" s="4"/>
      <c r="O163" s="1">
        <f t="shared" si="368"/>
        <v>26.700000000000003</v>
      </c>
      <c r="P163" s="1">
        <f t="shared" si="369"/>
        <v>11.087999999999763</v>
      </c>
      <c r="Q163" s="1" t="str">
        <f t="shared" si="360"/>
        <v/>
      </c>
      <c r="R163" s="1" t="str">
        <f t="shared" si="370"/>
        <v/>
      </c>
      <c r="S163" s="1">
        <f t="shared" si="371"/>
        <v>347.26079999999968</v>
      </c>
      <c r="T163" s="1">
        <f t="shared" si="372"/>
        <v>0.77</v>
      </c>
      <c r="U163" s="1">
        <f t="shared" si="373"/>
        <v>527.99999999998875</v>
      </c>
      <c r="V163" s="1">
        <f t="shared" si="374"/>
        <v>406.55999999999136</v>
      </c>
    </row>
    <row r="164" spans="1:22" x14ac:dyDescent="0.25">
      <c r="A164" s="1">
        <v>163</v>
      </c>
      <c r="B164" s="4">
        <v>7400</v>
      </c>
      <c r="C164" s="4">
        <v>26.8</v>
      </c>
      <c r="D164" s="4">
        <v>27</v>
      </c>
      <c r="E164" s="4">
        <f t="shared" si="366"/>
        <v>0.19999999999999929</v>
      </c>
      <c r="F164" s="4">
        <v>0</v>
      </c>
      <c r="G164" s="4">
        <v>0.59</v>
      </c>
      <c r="H164" s="4">
        <v>79</v>
      </c>
      <c r="I164" s="4"/>
      <c r="J164" s="4">
        <v>49</v>
      </c>
      <c r="K164"/>
      <c r="L164"/>
      <c r="M164" s="4">
        <f t="shared" si="367"/>
        <v>27</v>
      </c>
      <c r="N164" s="4"/>
      <c r="O164" s="1">
        <f t="shared" si="368"/>
        <v>26.8</v>
      </c>
      <c r="P164" s="1">
        <f t="shared" si="369"/>
        <v>0</v>
      </c>
      <c r="Q164" s="1" t="str">
        <f t="shared" si="360"/>
        <v/>
      </c>
      <c r="R164" s="1" t="str">
        <f t="shared" si="370"/>
        <v/>
      </c>
      <c r="S164" s="1">
        <f t="shared" si="371"/>
        <v>351.32639999999958</v>
      </c>
      <c r="T164" s="1">
        <f t="shared" si="372"/>
        <v>0.59</v>
      </c>
      <c r="U164" s="1">
        <f t="shared" si="373"/>
        <v>1055.9999999999964</v>
      </c>
      <c r="V164" s="1">
        <f t="shared" si="374"/>
        <v>623.0399999999978</v>
      </c>
    </row>
    <row r="165" spans="1:22" x14ac:dyDescent="0.25">
      <c r="A165" s="1">
        <v>164</v>
      </c>
      <c r="B165" s="4">
        <v>7400</v>
      </c>
      <c r="C165" s="4">
        <v>27</v>
      </c>
      <c r="D165" s="4">
        <v>27.1</v>
      </c>
      <c r="E165" s="4">
        <f t="shared" si="366"/>
        <v>0.10000000000000142</v>
      </c>
      <c r="F165" s="4">
        <v>0</v>
      </c>
      <c r="G165" s="4">
        <v>0.26</v>
      </c>
      <c r="H165" s="4">
        <v>79</v>
      </c>
      <c r="I165" s="4"/>
      <c r="J165" s="4">
        <v>49</v>
      </c>
      <c r="K165"/>
      <c r="L165"/>
      <c r="M165" s="4">
        <f t="shared" si="367"/>
        <v>27.1</v>
      </c>
      <c r="N165" s="4"/>
      <c r="O165" s="1">
        <f t="shared" si="368"/>
        <v>27</v>
      </c>
      <c r="P165" s="1">
        <f t="shared" si="369"/>
        <v>0</v>
      </c>
      <c r="Q165" s="1" t="str">
        <f t="shared" si="360"/>
        <v/>
      </c>
      <c r="R165" s="1" t="str">
        <f t="shared" si="370"/>
        <v/>
      </c>
      <c r="S165" s="1">
        <f t="shared" si="371"/>
        <v>357.55679999999955</v>
      </c>
      <c r="T165" s="1">
        <f t="shared" si="372"/>
        <v>0.26</v>
      </c>
      <c r="U165" s="1">
        <f t="shared" si="373"/>
        <v>528.0000000000075</v>
      </c>
      <c r="V165" s="1">
        <f t="shared" si="374"/>
        <v>137.28000000000196</v>
      </c>
    </row>
    <row r="166" spans="1:22" x14ac:dyDescent="0.25">
      <c r="A166" s="1">
        <v>165</v>
      </c>
      <c r="B166" s="4">
        <v>7500</v>
      </c>
      <c r="C166" s="4">
        <v>27.1</v>
      </c>
      <c r="D166" s="4">
        <v>27.200000000000003</v>
      </c>
      <c r="E166" s="4">
        <f t="shared" si="366"/>
        <v>0.10000000000000142</v>
      </c>
      <c r="F166" s="4">
        <v>0</v>
      </c>
      <c r="G166" s="4">
        <v>-0.05</v>
      </c>
      <c r="H166" s="4">
        <v>79</v>
      </c>
      <c r="I166" s="4"/>
      <c r="J166" s="4">
        <v>49</v>
      </c>
      <c r="K166"/>
      <c r="L166"/>
      <c r="M166" s="4">
        <f t="shared" si="367"/>
        <v>27.200000000000003</v>
      </c>
      <c r="N166" s="4"/>
      <c r="O166" s="1">
        <f t="shared" si="368"/>
        <v>27.1</v>
      </c>
      <c r="P166" s="1">
        <f t="shared" si="369"/>
        <v>0</v>
      </c>
      <c r="Q166" s="1" t="str">
        <f t="shared" si="360"/>
        <v/>
      </c>
      <c r="R166" s="1" t="str">
        <f t="shared" si="370"/>
        <v/>
      </c>
      <c r="S166" s="1">
        <f t="shared" si="371"/>
        <v>358.9295999999996</v>
      </c>
      <c r="T166" s="1">
        <f t="shared" si="372"/>
        <v>-0.05</v>
      </c>
      <c r="U166" s="1">
        <f t="shared" si="373"/>
        <v>528.0000000000075</v>
      </c>
      <c r="V166" s="1">
        <f t="shared" si="374"/>
        <v>26.400000000000375</v>
      </c>
    </row>
    <row r="167" spans="1:22" x14ac:dyDescent="0.25">
      <c r="A167" s="1">
        <v>166</v>
      </c>
      <c r="B167" s="4">
        <v>7500</v>
      </c>
      <c r="C167" s="4">
        <v>27.200000000000003</v>
      </c>
      <c r="D167" s="4">
        <v>27.400000000000002</v>
      </c>
      <c r="E167" s="4">
        <f t="shared" si="366"/>
        <v>0.19999999999999929</v>
      </c>
      <c r="F167" s="4">
        <v>0</v>
      </c>
      <c r="G167" s="4">
        <v>0.27</v>
      </c>
      <c r="H167" s="4">
        <v>79</v>
      </c>
      <c r="I167" s="4"/>
      <c r="J167" s="4">
        <v>49</v>
      </c>
      <c r="K167"/>
      <c r="L167"/>
      <c r="M167" s="4">
        <f t="shared" si="367"/>
        <v>27.400000000000002</v>
      </c>
      <c r="N167" s="4"/>
      <c r="O167" s="1">
        <f t="shared" si="368"/>
        <v>27.200000000000003</v>
      </c>
      <c r="P167" s="1">
        <f t="shared" si="369"/>
        <v>0</v>
      </c>
      <c r="Q167" s="1" t="str">
        <f t="shared" si="360"/>
        <v/>
      </c>
      <c r="R167" s="1" t="str">
        <f t="shared" si="370"/>
        <v/>
      </c>
      <c r="S167" s="1">
        <f t="shared" si="371"/>
        <v>358.66559999999959</v>
      </c>
      <c r="T167" s="1">
        <f t="shared" si="372"/>
        <v>0.27</v>
      </c>
      <c r="U167" s="1">
        <f t="shared" si="373"/>
        <v>1055.9999999999964</v>
      </c>
      <c r="V167" s="1">
        <f t="shared" si="374"/>
        <v>285.11999999999904</v>
      </c>
    </row>
    <row r="168" spans="1:22" x14ac:dyDescent="0.25">
      <c r="A168" s="1">
        <v>167</v>
      </c>
      <c r="B168" s="4">
        <v>7500</v>
      </c>
      <c r="C168" s="4">
        <v>27.400000000000002</v>
      </c>
      <c r="D168" s="4">
        <v>27.6</v>
      </c>
      <c r="E168" s="4">
        <f t="shared" si="366"/>
        <v>0.19999999999999929</v>
      </c>
      <c r="F168" s="4">
        <v>2.2000000000000002</v>
      </c>
      <c r="G168" s="4">
        <v>0.27</v>
      </c>
      <c r="H168" s="4">
        <v>79</v>
      </c>
      <c r="I168" s="4"/>
      <c r="J168" s="4">
        <v>49</v>
      </c>
      <c r="K168"/>
      <c r="L168"/>
      <c r="M168" s="4">
        <f t="shared" si="367"/>
        <v>27.6</v>
      </c>
      <c r="N168" s="4"/>
      <c r="O168" s="1">
        <f t="shared" si="368"/>
        <v>27.400000000000002</v>
      </c>
      <c r="P168" s="1">
        <f t="shared" si="369"/>
        <v>23.231999999999918</v>
      </c>
      <c r="Q168" s="1" t="str">
        <f t="shared" si="360"/>
        <v/>
      </c>
      <c r="R168" s="1" t="str">
        <f t="shared" si="370"/>
        <v/>
      </c>
      <c r="S168" s="1">
        <f t="shared" si="371"/>
        <v>361.51679999999959</v>
      </c>
      <c r="T168" s="1">
        <f t="shared" si="372"/>
        <v>0.27</v>
      </c>
      <c r="U168" s="1">
        <f t="shared" si="373"/>
        <v>1055.9999999999964</v>
      </c>
      <c r="V168" s="1">
        <f t="shared" si="374"/>
        <v>285.11999999999904</v>
      </c>
    </row>
    <row r="169" spans="1:22" x14ac:dyDescent="0.25">
      <c r="A169" s="1">
        <v>168</v>
      </c>
      <c r="B169" s="4">
        <v>7500</v>
      </c>
      <c r="C169" s="4">
        <v>27.6</v>
      </c>
      <c r="D169" s="4">
        <v>27.700000000000003</v>
      </c>
      <c r="E169" s="4">
        <f t="shared" si="366"/>
        <v>0.10000000000000142</v>
      </c>
      <c r="F169" s="4">
        <v>0</v>
      </c>
      <c r="G169" s="4">
        <v>0.57999999999999996</v>
      </c>
      <c r="H169" s="4">
        <v>79</v>
      </c>
      <c r="I169" s="4"/>
      <c r="J169" s="4">
        <v>49</v>
      </c>
      <c r="K169"/>
      <c r="L169"/>
      <c r="M169" s="4">
        <f t="shared" si="367"/>
        <v>27.700000000000003</v>
      </c>
      <c r="N169" s="4"/>
      <c r="O169" s="1">
        <f t="shared" si="368"/>
        <v>27.6</v>
      </c>
      <c r="P169" s="1">
        <f t="shared" si="369"/>
        <v>0</v>
      </c>
      <c r="Q169" s="1" t="str">
        <f t="shared" si="360"/>
        <v/>
      </c>
      <c r="R169" s="1" t="str">
        <f t="shared" si="370"/>
        <v/>
      </c>
      <c r="S169" s="1">
        <f t="shared" si="371"/>
        <v>364.3679999999996</v>
      </c>
      <c r="T169" s="1">
        <f t="shared" si="372"/>
        <v>0.57999999999999996</v>
      </c>
      <c r="U169" s="1">
        <f t="shared" si="373"/>
        <v>528.0000000000075</v>
      </c>
      <c r="V169" s="1">
        <f t="shared" si="374"/>
        <v>306.24000000000433</v>
      </c>
    </row>
    <row r="170" spans="1:22" x14ac:dyDescent="0.25">
      <c r="A170" s="1">
        <v>169</v>
      </c>
      <c r="B170" s="4">
        <v>7500</v>
      </c>
      <c r="C170" s="4">
        <v>27.700000000000003</v>
      </c>
      <c r="D170" s="4">
        <v>27.8</v>
      </c>
      <c r="E170" s="4">
        <f t="shared" si="366"/>
        <v>9.9999999999997868E-2</v>
      </c>
      <c r="F170" s="4">
        <v>3.2</v>
      </c>
      <c r="G170" s="4">
        <v>0.57999999999999996</v>
      </c>
      <c r="H170" s="4">
        <v>79</v>
      </c>
      <c r="I170" s="4"/>
      <c r="J170" s="4">
        <v>49</v>
      </c>
      <c r="K170"/>
      <c r="L170"/>
      <c r="M170" s="4">
        <f t="shared" si="367"/>
        <v>27.8</v>
      </c>
      <c r="N170" s="4"/>
      <c r="O170" s="1">
        <f t="shared" si="368"/>
        <v>27.700000000000003</v>
      </c>
      <c r="P170" s="1">
        <f t="shared" si="369"/>
        <v>16.895999999999642</v>
      </c>
      <c r="Q170" s="1" t="str">
        <f t="shared" si="360"/>
        <v/>
      </c>
      <c r="R170" s="1" t="str">
        <f t="shared" si="370"/>
        <v/>
      </c>
      <c r="S170" s="1">
        <f t="shared" si="371"/>
        <v>367.43039999999962</v>
      </c>
      <c r="T170" s="1">
        <f t="shared" si="372"/>
        <v>0.57999999999999996</v>
      </c>
      <c r="U170" s="1">
        <f t="shared" si="373"/>
        <v>527.99999999998875</v>
      </c>
      <c r="V170" s="1">
        <f t="shared" si="374"/>
        <v>306.23999999999347</v>
      </c>
    </row>
    <row r="171" spans="1:22" x14ac:dyDescent="0.25">
      <c r="A171" s="1">
        <v>170</v>
      </c>
      <c r="B171" s="4">
        <v>7500</v>
      </c>
      <c r="C171" s="4">
        <v>27.8</v>
      </c>
      <c r="D171" s="4">
        <v>28</v>
      </c>
      <c r="E171" s="4">
        <f t="shared" si="366"/>
        <v>0.19999999999999929</v>
      </c>
      <c r="F171" s="4">
        <v>0</v>
      </c>
      <c r="G171" s="4">
        <v>-0.39</v>
      </c>
      <c r="H171" s="4">
        <v>79</v>
      </c>
      <c r="I171" s="4"/>
      <c r="J171" s="4">
        <v>49</v>
      </c>
      <c r="K171"/>
      <c r="L171"/>
      <c r="M171" s="4">
        <f t="shared" si="367"/>
        <v>28</v>
      </c>
      <c r="N171" s="4"/>
      <c r="O171" s="1">
        <f t="shared" si="368"/>
        <v>27.8</v>
      </c>
      <c r="P171" s="1">
        <f t="shared" si="369"/>
        <v>0</v>
      </c>
      <c r="Q171" s="1" t="str">
        <f t="shared" si="360"/>
        <v/>
      </c>
      <c r="R171" s="1" t="str">
        <f t="shared" si="370"/>
        <v/>
      </c>
      <c r="S171" s="1">
        <f t="shared" si="371"/>
        <v>370.49279999999953</v>
      </c>
      <c r="T171" s="1">
        <f t="shared" si="372"/>
        <v>-0.39</v>
      </c>
      <c r="U171" s="1">
        <f t="shared" si="373"/>
        <v>1055.9999999999964</v>
      </c>
      <c r="V171" s="1">
        <f t="shared" si="374"/>
        <v>411.83999999999861</v>
      </c>
    </row>
    <row r="172" spans="1:22" x14ac:dyDescent="0.25">
      <c r="A172" s="1">
        <v>171</v>
      </c>
      <c r="B172" s="4">
        <v>7500</v>
      </c>
      <c r="C172" s="4">
        <v>28</v>
      </c>
      <c r="D172" s="4">
        <v>28.1</v>
      </c>
      <c r="E172" s="4">
        <f t="shared" si="366"/>
        <v>0.10000000000000142</v>
      </c>
      <c r="F172" s="4">
        <v>0</v>
      </c>
      <c r="G172" s="4">
        <v>0.56999999999999995</v>
      </c>
      <c r="H172" s="4">
        <v>79</v>
      </c>
      <c r="I172" s="4"/>
      <c r="J172" s="4">
        <v>49</v>
      </c>
      <c r="K172"/>
      <c r="L172"/>
      <c r="M172" s="4">
        <f t="shared" si="367"/>
        <v>28.1</v>
      </c>
      <c r="N172" s="4"/>
      <c r="O172" s="1">
        <f t="shared" si="368"/>
        <v>28</v>
      </c>
      <c r="P172" s="1">
        <f t="shared" si="369"/>
        <v>0</v>
      </c>
      <c r="Q172" s="1" t="str">
        <f t="shared" si="360"/>
        <v/>
      </c>
      <c r="R172" s="1" t="str">
        <f t="shared" si="370"/>
        <v/>
      </c>
      <c r="S172" s="1">
        <f t="shared" si="371"/>
        <v>366.37439999999953</v>
      </c>
      <c r="T172" s="1">
        <f t="shared" si="372"/>
        <v>0.56999999999999995</v>
      </c>
      <c r="U172" s="1">
        <f t="shared" si="373"/>
        <v>528.0000000000075</v>
      </c>
      <c r="V172" s="1">
        <f t="shared" si="374"/>
        <v>300.96000000000424</v>
      </c>
    </row>
    <row r="173" spans="1:22" x14ac:dyDescent="0.25">
      <c r="A173" s="1">
        <v>172</v>
      </c>
      <c r="B173" s="4">
        <v>7500</v>
      </c>
      <c r="C173" s="4">
        <v>28.1</v>
      </c>
      <c r="D173" s="4">
        <v>28.200000000000003</v>
      </c>
      <c r="E173" s="4">
        <f t="shared" si="366"/>
        <v>0.10000000000000142</v>
      </c>
      <c r="F173" s="4">
        <v>2</v>
      </c>
      <c r="G173" s="4">
        <v>1.1000000000000001</v>
      </c>
      <c r="H173" s="4">
        <v>79</v>
      </c>
      <c r="I173" s="4"/>
      <c r="J173" s="4">
        <v>49</v>
      </c>
      <c r="K173"/>
      <c r="L173"/>
      <c r="M173" s="4">
        <f t="shared" si="367"/>
        <v>28.200000000000003</v>
      </c>
      <c r="N173" s="4"/>
      <c r="O173" s="1">
        <f t="shared" si="368"/>
        <v>28.1</v>
      </c>
      <c r="P173" s="1">
        <f t="shared" si="369"/>
        <v>10.56000000000015</v>
      </c>
      <c r="Q173" s="1" t="str">
        <f t="shared" si="360"/>
        <v/>
      </c>
      <c r="R173" s="1" t="str">
        <f t="shared" si="370"/>
        <v/>
      </c>
      <c r="S173" s="1">
        <f t="shared" si="371"/>
        <v>369.38399999999956</v>
      </c>
      <c r="T173" s="1">
        <f t="shared" si="372"/>
        <v>1.1000000000000001</v>
      </c>
      <c r="U173" s="1">
        <f t="shared" si="373"/>
        <v>528.0000000000075</v>
      </c>
      <c r="V173" s="1">
        <f t="shared" si="374"/>
        <v>580.80000000000825</v>
      </c>
    </row>
    <row r="174" spans="1:22" x14ac:dyDescent="0.25">
      <c r="A174" s="1">
        <v>173</v>
      </c>
      <c r="B174" s="4">
        <v>7500</v>
      </c>
      <c r="C174" s="4">
        <v>28.200000000000003</v>
      </c>
      <c r="D174" s="4">
        <v>28.3</v>
      </c>
      <c r="E174" s="4">
        <f t="shared" si="366"/>
        <v>9.9999999999997868E-2</v>
      </c>
      <c r="F174" s="4">
        <v>2</v>
      </c>
      <c r="G174" s="4">
        <v>0.53</v>
      </c>
      <c r="H174" s="4">
        <v>79</v>
      </c>
      <c r="I174" s="4"/>
      <c r="J174" s="4">
        <v>49</v>
      </c>
      <c r="K174"/>
      <c r="L174"/>
      <c r="M174" s="4">
        <f t="shared" si="367"/>
        <v>28.3</v>
      </c>
      <c r="N174" s="4"/>
      <c r="O174" s="1">
        <f t="shared" si="368"/>
        <v>28.200000000000003</v>
      </c>
      <c r="P174" s="1">
        <f t="shared" si="369"/>
        <v>10.559999999999775</v>
      </c>
      <c r="Q174" s="1" t="str">
        <f t="shared" si="360"/>
        <v/>
      </c>
      <c r="R174" s="1" t="str">
        <f t="shared" si="370"/>
        <v/>
      </c>
      <c r="S174" s="1">
        <f t="shared" si="371"/>
        <v>375.19199999999967</v>
      </c>
      <c r="T174" s="1">
        <f t="shared" si="372"/>
        <v>0.53</v>
      </c>
      <c r="U174" s="1">
        <f t="shared" si="373"/>
        <v>527.99999999998875</v>
      </c>
      <c r="V174" s="1">
        <f t="shared" si="374"/>
        <v>279.83999999999406</v>
      </c>
    </row>
    <row r="175" spans="1:22" x14ac:dyDescent="0.25">
      <c r="A175" s="1">
        <v>174</v>
      </c>
      <c r="B175" s="4">
        <v>7500</v>
      </c>
      <c r="C175" s="4">
        <v>28.3</v>
      </c>
      <c r="D175" s="4">
        <v>28.5</v>
      </c>
      <c r="E175" s="4">
        <f t="shared" si="366"/>
        <v>0.19999999999999929</v>
      </c>
      <c r="F175" s="4">
        <v>0</v>
      </c>
      <c r="G175" s="4">
        <v>0.17</v>
      </c>
      <c r="H175" s="4">
        <v>79</v>
      </c>
      <c r="I175" s="4"/>
      <c r="J175" s="4">
        <v>49</v>
      </c>
      <c r="K175"/>
      <c r="L175"/>
      <c r="M175" s="4">
        <f t="shared" si="367"/>
        <v>28.5</v>
      </c>
      <c r="N175" s="4"/>
      <c r="O175" s="1">
        <f t="shared" si="368"/>
        <v>28.3</v>
      </c>
      <c r="P175" s="1">
        <f t="shared" si="369"/>
        <v>0</v>
      </c>
      <c r="Q175" s="1" t="str">
        <f t="shared" si="360"/>
        <v/>
      </c>
      <c r="R175" s="1" t="str">
        <f t="shared" si="370"/>
        <v/>
      </c>
      <c r="S175" s="1">
        <f t="shared" si="371"/>
        <v>377.99039999999962</v>
      </c>
      <c r="T175" s="1">
        <f t="shared" si="372"/>
        <v>0.17</v>
      </c>
      <c r="U175" s="1">
        <f t="shared" si="373"/>
        <v>1055.9999999999964</v>
      </c>
      <c r="V175" s="1">
        <f t="shared" si="374"/>
        <v>179.51999999999938</v>
      </c>
    </row>
    <row r="176" spans="1:22" x14ac:dyDescent="0.25">
      <c r="A176" s="1">
        <v>175</v>
      </c>
      <c r="B176" s="4">
        <v>7500</v>
      </c>
      <c r="C176" s="4">
        <v>28.5</v>
      </c>
      <c r="D176" s="4">
        <v>28.700000000000003</v>
      </c>
      <c r="E176" s="4">
        <f t="shared" si="366"/>
        <v>0.20000000000000284</v>
      </c>
      <c r="F176" s="4">
        <v>2.2000000000000002</v>
      </c>
      <c r="G176" s="4">
        <v>-0.45</v>
      </c>
      <c r="H176" s="4">
        <v>79</v>
      </c>
      <c r="I176" s="4"/>
      <c r="J176" s="4">
        <v>49</v>
      </c>
      <c r="K176"/>
      <c r="L176"/>
      <c r="M176" s="4">
        <f t="shared" si="367"/>
        <v>28.700000000000003</v>
      </c>
      <c r="N176" s="4"/>
      <c r="O176" s="1">
        <f t="shared" si="368"/>
        <v>28.5</v>
      </c>
      <c r="P176" s="1">
        <f t="shared" si="369"/>
        <v>23.23200000000033</v>
      </c>
      <c r="Q176" s="1" t="str">
        <f t="shared" si="360"/>
        <v/>
      </c>
      <c r="R176" s="1" t="str">
        <f t="shared" si="370"/>
        <v/>
      </c>
      <c r="S176" s="1">
        <f t="shared" si="371"/>
        <v>379.78559999999959</v>
      </c>
      <c r="T176" s="1">
        <f t="shared" si="372"/>
        <v>-0.45</v>
      </c>
      <c r="U176" s="1">
        <f t="shared" si="373"/>
        <v>1056.000000000015</v>
      </c>
      <c r="V176" s="1">
        <f t="shared" si="374"/>
        <v>475.20000000000675</v>
      </c>
    </row>
    <row r="177" spans="1:22" x14ac:dyDescent="0.25">
      <c r="A177" s="1">
        <v>176</v>
      </c>
      <c r="B177" s="4">
        <v>7500</v>
      </c>
      <c r="C177" s="4">
        <v>28.700000000000003</v>
      </c>
      <c r="D177" s="4">
        <v>29</v>
      </c>
      <c r="E177" s="4">
        <f t="shared" si="366"/>
        <v>0.29999999999999716</v>
      </c>
      <c r="F177" s="4">
        <v>2.2000000000000002</v>
      </c>
      <c r="G177" s="4">
        <v>0.02</v>
      </c>
      <c r="H177" s="4">
        <v>79</v>
      </c>
      <c r="I177" s="4"/>
      <c r="J177" s="4">
        <v>49</v>
      </c>
      <c r="K177"/>
      <c r="L177"/>
      <c r="M177" s="4">
        <f t="shared" si="367"/>
        <v>29</v>
      </c>
      <c r="N177" s="4"/>
      <c r="O177" s="1">
        <f t="shared" si="368"/>
        <v>28.700000000000003</v>
      </c>
      <c r="P177" s="1">
        <f t="shared" si="369"/>
        <v>34.847999999999672</v>
      </c>
      <c r="Q177" s="1" t="str">
        <f t="shared" si="360"/>
        <v/>
      </c>
      <c r="R177" s="1" t="str">
        <f t="shared" si="370"/>
        <v/>
      </c>
      <c r="S177" s="1">
        <f t="shared" si="371"/>
        <v>375.03359999999952</v>
      </c>
      <c r="T177" s="1">
        <f t="shared" si="372"/>
        <v>0.02</v>
      </c>
      <c r="U177" s="1">
        <f t="shared" si="373"/>
        <v>1583.999999999985</v>
      </c>
      <c r="V177" s="1">
        <f t="shared" si="374"/>
        <v>31.679999999999701</v>
      </c>
    </row>
    <row r="178" spans="1:22" x14ac:dyDescent="0.25">
      <c r="A178" s="1">
        <v>177</v>
      </c>
      <c r="B178" s="4">
        <v>7500</v>
      </c>
      <c r="C178" s="4">
        <v>29</v>
      </c>
      <c r="D178" s="4">
        <v>29.2</v>
      </c>
      <c r="E178" s="4">
        <f t="shared" si="366"/>
        <v>0.19999999999999929</v>
      </c>
      <c r="F178" s="4">
        <v>0</v>
      </c>
      <c r="G178" s="4">
        <v>-0.52</v>
      </c>
      <c r="H178" s="4">
        <v>79</v>
      </c>
      <c r="I178" s="4"/>
      <c r="J178" s="4">
        <v>49</v>
      </c>
      <c r="K178"/>
      <c r="L178"/>
      <c r="M178" s="4">
        <f t="shared" si="367"/>
        <v>29.2</v>
      </c>
      <c r="N178" s="4"/>
      <c r="O178" s="1">
        <f t="shared" si="368"/>
        <v>29</v>
      </c>
      <c r="P178" s="1">
        <f t="shared" si="369"/>
        <v>0</v>
      </c>
      <c r="Q178" s="1" t="str">
        <f t="shared" si="360"/>
        <v/>
      </c>
      <c r="R178" s="1" t="str">
        <f t="shared" si="370"/>
        <v/>
      </c>
      <c r="S178" s="1">
        <f t="shared" si="371"/>
        <v>375.35039999999952</v>
      </c>
      <c r="T178" s="1">
        <f t="shared" si="372"/>
        <v>-0.52</v>
      </c>
      <c r="U178" s="1">
        <f t="shared" si="373"/>
        <v>1055.9999999999964</v>
      </c>
      <c r="V178" s="1">
        <f t="shared" si="374"/>
        <v>549.11999999999807</v>
      </c>
    </row>
    <row r="179" spans="1:22" x14ac:dyDescent="0.25">
      <c r="A179" s="1">
        <v>178</v>
      </c>
      <c r="B179" s="4">
        <v>7500</v>
      </c>
      <c r="C179" s="4">
        <v>29.2</v>
      </c>
      <c r="D179" s="4">
        <v>29.400000000000002</v>
      </c>
      <c r="E179" s="4">
        <f t="shared" si="366"/>
        <v>0.20000000000000284</v>
      </c>
      <c r="F179" s="4">
        <v>3.1</v>
      </c>
      <c r="G179" s="4">
        <v>-0.52</v>
      </c>
      <c r="H179" s="4">
        <v>79</v>
      </c>
      <c r="I179" s="4"/>
      <c r="J179" s="4">
        <v>49</v>
      </c>
      <c r="K179"/>
      <c r="L179"/>
      <c r="M179" s="4">
        <f t="shared" si="367"/>
        <v>29.400000000000002</v>
      </c>
      <c r="N179" s="4"/>
      <c r="O179" s="1">
        <f t="shared" si="368"/>
        <v>29.2</v>
      </c>
      <c r="P179" s="1">
        <f t="shared" si="369"/>
        <v>32.736000000000466</v>
      </c>
      <c r="Q179" s="1" t="str">
        <f t="shared" si="360"/>
        <v/>
      </c>
      <c r="R179" s="1" t="str">
        <f t="shared" si="370"/>
        <v/>
      </c>
      <c r="S179" s="1">
        <f t="shared" si="371"/>
        <v>369.85919999999953</v>
      </c>
      <c r="T179" s="1">
        <f t="shared" si="372"/>
        <v>-0.52</v>
      </c>
      <c r="U179" s="1">
        <f t="shared" si="373"/>
        <v>1056.000000000015</v>
      </c>
      <c r="V179" s="1">
        <f t="shared" si="374"/>
        <v>549.12000000000785</v>
      </c>
    </row>
    <row r="180" spans="1:22" x14ac:dyDescent="0.25">
      <c r="A180" s="1">
        <v>179</v>
      </c>
      <c r="B180" s="4">
        <v>7500</v>
      </c>
      <c r="C180" s="4">
        <v>29.400000000000002</v>
      </c>
      <c r="D180" s="4">
        <v>29.5</v>
      </c>
      <c r="E180" s="4">
        <f t="shared" si="366"/>
        <v>9.9999999999997868E-2</v>
      </c>
      <c r="F180" s="4">
        <v>3.1</v>
      </c>
      <c r="G180" s="4">
        <v>0.6</v>
      </c>
      <c r="H180" s="4">
        <v>79</v>
      </c>
      <c r="I180" s="4"/>
      <c r="J180" s="4">
        <v>49</v>
      </c>
      <c r="K180"/>
      <c r="L180"/>
      <c r="M180" s="4">
        <f t="shared" si="367"/>
        <v>29.5</v>
      </c>
      <c r="N180" s="4"/>
      <c r="O180" s="1">
        <f t="shared" si="368"/>
        <v>29.400000000000002</v>
      </c>
      <c r="P180" s="1">
        <f t="shared" si="369"/>
        <v>16.36799999999965</v>
      </c>
      <c r="Q180" s="1" t="str">
        <f t="shared" si="360"/>
        <v/>
      </c>
      <c r="R180" s="1" t="str">
        <f t="shared" si="370"/>
        <v/>
      </c>
      <c r="S180" s="1">
        <f t="shared" si="371"/>
        <v>364.36799999999943</v>
      </c>
      <c r="T180" s="1">
        <f t="shared" si="372"/>
        <v>0.6</v>
      </c>
      <c r="U180" s="1">
        <f t="shared" si="373"/>
        <v>527.99999999998875</v>
      </c>
      <c r="V180" s="1">
        <f t="shared" si="374"/>
        <v>316.79999999999325</v>
      </c>
    </row>
    <row r="181" spans="1:22" x14ac:dyDescent="0.25">
      <c r="A181" s="1">
        <v>180</v>
      </c>
      <c r="B181" s="4">
        <v>7500</v>
      </c>
      <c r="C181" s="4">
        <v>29.5</v>
      </c>
      <c r="D181" s="4">
        <v>29.6</v>
      </c>
      <c r="E181" s="4">
        <f t="shared" si="366"/>
        <v>0.10000000000000142</v>
      </c>
      <c r="F181" s="4">
        <v>0</v>
      </c>
      <c r="G181" s="4">
        <v>0.6</v>
      </c>
      <c r="H181" s="4">
        <v>79</v>
      </c>
      <c r="I181" s="4"/>
      <c r="J181" s="4">
        <v>49</v>
      </c>
      <c r="K181"/>
      <c r="L181"/>
      <c r="M181" s="4">
        <f t="shared" si="367"/>
        <v>29.6</v>
      </c>
      <c r="N181" s="4"/>
      <c r="O181" s="1">
        <f t="shared" si="368"/>
        <v>29.5</v>
      </c>
      <c r="P181" s="1">
        <f t="shared" si="369"/>
        <v>0</v>
      </c>
      <c r="Q181" s="1" t="str">
        <f t="shared" si="360"/>
        <v/>
      </c>
      <c r="R181" s="1" t="str">
        <f t="shared" si="370"/>
        <v/>
      </c>
      <c r="S181" s="1">
        <f t="shared" si="371"/>
        <v>367.53599999999938</v>
      </c>
      <c r="T181" s="1">
        <f t="shared" si="372"/>
        <v>0.6</v>
      </c>
      <c r="U181" s="1">
        <f t="shared" si="373"/>
        <v>528.0000000000075</v>
      </c>
      <c r="V181" s="1">
        <f t="shared" si="374"/>
        <v>316.8000000000045</v>
      </c>
    </row>
    <row r="182" spans="1:22" x14ac:dyDescent="0.25">
      <c r="A182" s="1">
        <v>181</v>
      </c>
      <c r="B182" s="4">
        <v>7500</v>
      </c>
      <c r="C182" s="4">
        <v>29.6</v>
      </c>
      <c r="D182" s="4">
        <v>29.900000000000002</v>
      </c>
      <c r="E182" s="4">
        <f t="shared" si="366"/>
        <v>0.30000000000000071</v>
      </c>
      <c r="F182" s="4">
        <v>0</v>
      </c>
      <c r="G182" s="4">
        <v>0.69</v>
      </c>
      <c r="H182" s="4">
        <v>79</v>
      </c>
      <c r="I182" s="4"/>
      <c r="J182" s="4">
        <v>49</v>
      </c>
      <c r="K182"/>
      <c r="L182"/>
      <c r="M182" s="4">
        <f t="shared" si="367"/>
        <v>29.900000000000002</v>
      </c>
      <c r="N182" s="4"/>
      <c r="O182" s="1">
        <f t="shared" si="368"/>
        <v>29.6</v>
      </c>
      <c r="P182" s="1">
        <f t="shared" si="369"/>
        <v>0</v>
      </c>
      <c r="Q182" s="1" t="str">
        <f t="shared" si="360"/>
        <v/>
      </c>
      <c r="R182" s="1" t="str">
        <f t="shared" si="370"/>
        <v/>
      </c>
      <c r="S182" s="1">
        <f t="shared" si="371"/>
        <v>370.70399999999944</v>
      </c>
      <c r="T182" s="1">
        <f t="shared" si="372"/>
        <v>0.69</v>
      </c>
      <c r="U182" s="1">
        <f t="shared" si="373"/>
        <v>1584.0000000000036</v>
      </c>
      <c r="V182" s="1">
        <f t="shared" si="374"/>
        <v>1092.9600000000025</v>
      </c>
    </row>
    <row r="183" spans="1:22" x14ac:dyDescent="0.25">
      <c r="A183" s="1">
        <v>182</v>
      </c>
      <c r="B183" s="4">
        <v>7500</v>
      </c>
      <c r="C183" s="4">
        <v>29.900000000000002</v>
      </c>
      <c r="D183" s="4">
        <v>30</v>
      </c>
      <c r="E183" s="4">
        <f t="shared" si="366"/>
        <v>9.9999999999997868E-2</v>
      </c>
      <c r="F183" s="4">
        <v>0</v>
      </c>
      <c r="G183" s="4">
        <v>0.87</v>
      </c>
      <c r="H183" s="4">
        <v>79</v>
      </c>
      <c r="I183" s="4"/>
      <c r="J183" s="4">
        <v>49</v>
      </c>
      <c r="K183"/>
      <c r="L183"/>
      <c r="M183" s="4">
        <f t="shared" si="367"/>
        <v>30</v>
      </c>
      <c r="N183" s="4"/>
      <c r="O183" s="1">
        <f t="shared" si="368"/>
        <v>29.900000000000002</v>
      </c>
      <c r="P183" s="1">
        <f t="shared" si="369"/>
        <v>0</v>
      </c>
      <c r="Q183" s="1" t="str">
        <f t="shared" si="360"/>
        <v/>
      </c>
      <c r="R183" s="1" t="str">
        <f t="shared" si="370"/>
        <v/>
      </c>
      <c r="S183" s="1">
        <f t="shared" si="371"/>
        <v>381.63359999999949</v>
      </c>
      <c r="T183" s="1">
        <f t="shared" si="372"/>
        <v>0.87</v>
      </c>
      <c r="U183" s="1">
        <f t="shared" si="373"/>
        <v>527.99999999998875</v>
      </c>
      <c r="V183" s="1">
        <f t="shared" si="374"/>
        <v>459.35999999999018</v>
      </c>
    </row>
    <row r="184" spans="1:22" x14ac:dyDescent="0.25">
      <c r="A184" s="1">
        <v>183</v>
      </c>
      <c r="B184" s="4">
        <v>7500</v>
      </c>
      <c r="C184" s="4">
        <v>30</v>
      </c>
      <c r="D184" s="4">
        <v>30.1</v>
      </c>
      <c r="E184" s="4">
        <f t="shared" si="366"/>
        <v>0.10000000000000142</v>
      </c>
      <c r="F184" s="4">
        <v>3.2</v>
      </c>
      <c r="G184" s="4">
        <v>0.87</v>
      </c>
      <c r="H184" s="4">
        <v>79</v>
      </c>
      <c r="I184" s="4"/>
      <c r="J184" s="4">
        <v>49</v>
      </c>
      <c r="K184"/>
      <c r="L184"/>
      <c r="M184" s="4">
        <f t="shared" si="367"/>
        <v>30.1</v>
      </c>
      <c r="N184" s="4"/>
      <c r="O184" s="1">
        <f t="shared" si="368"/>
        <v>30</v>
      </c>
      <c r="P184" s="1">
        <f t="shared" si="369"/>
        <v>16.896000000000242</v>
      </c>
      <c r="Q184" s="1" t="str">
        <f t="shared" si="360"/>
        <v/>
      </c>
      <c r="R184" s="1" t="str">
        <f t="shared" si="370"/>
        <v/>
      </c>
      <c r="S184" s="1">
        <f t="shared" si="371"/>
        <v>386.22719999999941</v>
      </c>
      <c r="T184" s="1">
        <f t="shared" si="372"/>
        <v>0.87</v>
      </c>
      <c r="U184" s="1">
        <f t="shared" si="373"/>
        <v>528.0000000000075</v>
      </c>
      <c r="V184" s="1">
        <f t="shared" si="374"/>
        <v>459.36000000000655</v>
      </c>
    </row>
    <row r="185" spans="1:22" x14ac:dyDescent="0.25">
      <c r="A185" s="1">
        <v>184</v>
      </c>
      <c r="B185" s="4">
        <v>7500</v>
      </c>
      <c r="C185" s="4">
        <v>30.1</v>
      </c>
      <c r="D185" s="4">
        <v>30.5</v>
      </c>
      <c r="E185" s="4">
        <f t="shared" si="366"/>
        <v>0.39999999999999858</v>
      </c>
      <c r="F185" s="4">
        <v>0</v>
      </c>
      <c r="G185" s="4">
        <v>0.96</v>
      </c>
      <c r="H185" s="4">
        <v>79</v>
      </c>
      <c r="I185" s="4"/>
      <c r="J185" s="4">
        <v>49</v>
      </c>
      <c r="K185"/>
      <c r="L185"/>
      <c r="M185" s="4">
        <f t="shared" si="367"/>
        <v>30.5</v>
      </c>
      <c r="N185" s="4"/>
      <c r="O185" s="1">
        <f t="shared" si="368"/>
        <v>30.1</v>
      </c>
      <c r="P185" s="1">
        <f t="shared" si="369"/>
        <v>0</v>
      </c>
      <c r="Q185" s="1" t="str">
        <f t="shared" si="360"/>
        <v/>
      </c>
      <c r="R185" s="1" t="str">
        <f t="shared" si="370"/>
        <v/>
      </c>
      <c r="S185" s="1">
        <f t="shared" si="371"/>
        <v>390.82079999999945</v>
      </c>
      <c r="T185" s="1">
        <f t="shared" si="372"/>
        <v>0.96</v>
      </c>
      <c r="U185" s="1">
        <f t="shared" si="373"/>
        <v>2111.9999999999927</v>
      </c>
      <c r="V185" s="1">
        <f t="shared" si="374"/>
        <v>2027.5199999999929</v>
      </c>
    </row>
    <row r="186" spans="1:22" x14ac:dyDescent="0.25">
      <c r="A186" s="1">
        <v>185</v>
      </c>
      <c r="B186" s="4">
        <v>7500</v>
      </c>
      <c r="C186" s="4">
        <v>30.5</v>
      </c>
      <c r="D186" s="4">
        <v>30.700000000000003</v>
      </c>
      <c r="E186" s="4">
        <f t="shared" si="366"/>
        <v>0.20000000000000284</v>
      </c>
      <c r="F186" s="4">
        <v>3.2</v>
      </c>
      <c r="G186" s="4">
        <v>0.32</v>
      </c>
      <c r="H186" s="4">
        <v>79</v>
      </c>
      <c r="I186" s="4"/>
      <c r="J186" s="4">
        <v>49</v>
      </c>
      <c r="K186"/>
      <c r="L186"/>
      <c r="M186" s="4">
        <f t="shared" si="367"/>
        <v>30.700000000000003</v>
      </c>
      <c r="N186" s="4"/>
      <c r="O186" s="1">
        <f t="shared" si="368"/>
        <v>30.5</v>
      </c>
      <c r="P186" s="1">
        <f t="shared" si="369"/>
        <v>33.792000000000485</v>
      </c>
      <c r="Q186" s="1" t="str">
        <f t="shared" si="360"/>
        <v/>
      </c>
      <c r="R186" s="1" t="str">
        <f t="shared" si="370"/>
        <v/>
      </c>
      <c r="S186" s="1">
        <f t="shared" si="371"/>
        <v>411.09599999999938</v>
      </c>
      <c r="T186" s="1">
        <f t="shared" si="372"/>
        <v>0.32</v>
      </c>
      <c r="U186" s="1">
        <f t="shared" si="373"/>
        <v>1056.000000000015</v>
      </c>
      <c r="V186" s="1">
        <f t="shared" si="374"/>
        <v>337.92000000000479</v>
      </c>
    </row>
    <row r="187" spans="1:22" x14ac:dyDescent="0.25">
      <c r="A187" s="1">
        <v>186</v>
      </c>
      <c r="B187" s="4">
        <v>7500</v>
      </c>
      <c r="C187" s="4">
        <v>30.700000000000003</v>
      </c>
      <c r="D187" s="4">
        <v>31</v>
      </c>
      <c r="E187" s="4">
        <f t="shared" si="366"/>
        <v>0.29999999999999716</v>
      </c>
      <c r="F187" s="4">
        <v>0</v>
      </c>
      <c r="G187" s="4">
        <v>0.88</v>
      </c>
      <c r="H187" s="4">
        <v>79</v>
      </c>
      <c r="I187" s="4"/>
      <c r="J187" s="4">
        <v>49</v>
      </c>
      <c r="K187"/>
      <c r="L187"/>
      <c r="M187" s="4">
        <f t="shared" si="367"/>
        <v>31</v>
      </c>
      <c r="N187" s="4"/>
      <c r="O187" s="1">
        <f t="shared" si="368"/>
        <v>30.700000000000003</v>
      </c>
      <c r="P187" s="1">
        <f t="shared" si="369"/>
        <v>0</v>
      </c>
      <c r="Q187" s="1" t="str">
        <f t="shared" si="360"/>
        <v/>
      </c>
      <c r="R187" s="1" t="str">
        <f t="shared" si="370"/>
        <v/>
      </c>
      <c r="S187" s="1">
        <f t="shared" si="371"/>
        <v>414.4751999999994</v>
      </c>
      <c r="T187" s="1">
        <f t="shared" si="372"/>
        <v>0.88</v>
      </c>
      <c r="U187" s="1">
        <f t="shared" si="373"/>
        <v>1583.999999999985</v>
      </c>
      <c r="V187" s="1">
        <f t="shared" si="374"/>
        <v>1393.9199999999869</v>
      </c>
    </row>
    <row r="188" spans="1:22" x14ac:dyDescent="0.25">
      <c r="A188" s="1">
        <v>187</v>
      </c>
      <c r="B188" s="4">
        <v>7500</v>
      </c>
      <c r="C188" s="4">
        <v>31</v>
      </c>
      <c r="D188" s="4">
        <v>31.3</v>
      </c>
      <c r="E188" s="4">
        <f t="shared" si="366"/>
        <v>0.30000000000000071</v>
      </c>
      <c r="F188" s="4">
        <v>4</v>
      </c>
      <c r="G188" s="4">
        <v>0.64</v>
      </c>
      <c r="H188" s="4">
        <v>79</v>
      </c>
      <c r="I188" s="4"/>
      <c r="J188" s="4">
        <v>49</v>
      </c>
      <c r="K188"/>
      <c r="L188"/>
      <c r="M188" s="4">
        <f t="shared" si="367"/>
        <v>31.3</v>
      </c>
      <c r="N188" s="4"/>
      <c r="O188" s="1">
        <f t="shared" si="368"/>
        <v>31</v>
      </c>
      <c r="P188" s="1">
        <f t="shared" si="369"/>
        <v>63.360000000000149</v>
      </c>
      <c r="Q188" s="1" t="str">
        <f t="shared" si="360"/>
        <v/>
      </c>
      <c r="R188" s="1" t="str">
        <f t="shared" si="370"/>
        <v/>
      </c>
      <c r="S188" s="1">
        <f t="shared" si="371"/>
        <v>428.41439999999926</v>
      </c>
      <c r="T188" s="1">
        <f t="shared" si="372"/>
        <v>0.64</v>
      </c>
      <c r="U188" s="1">
        <f t="shared" si="373"/>
        <v>1584.0000000000036</v>
      </c>
      <c r="V188" s="1">
        <f t="shared" si="374"/>
        <v>1013.7600000000024</v>
      </c>
    </row>
    <row r="189" spans="1:22" x14ac:dyDescent="0.25">
      <c r="A189" s="1">
        <v>188</v>
      </c>
      <c r="B189" s="4">
        <v>7500</v>
      </c>
      <c r="C189" s="4">
        <v>31.3</v>
      </c>
      <c r="D189" s="4">
        <v>31.5</v>
      </c>
      <c r="E189" s="4">
        <f t="shared" si="366"/>
        <v>0.19999999999999929</v>
      </c>
      <c r="F189" s="4">
        <v>4</v>
      </c>
      <c r="G189" s="4">
        <v>0.86</v>
      </c>
      <c r="H189" s="4">
        <v>79</v>
      </c>
      <c r="I189" s="4"/>
      <c r="J189" s="4">
        <v>49</v>
      </c>
      <c r="K189"/>
      <c r="L189"/>
      <c r="M189" s="4">
        <f t="shared" si="367"/>
        <v>31.5</v>
      </c>
      <c r="N189" s="4"/>
      <c r="O189" s="1">
        <f t="shared" si="368"/>
        <v>31.3</v>
      </c>
      <c r="P189" s="1">
        <f t="shared" si="369"/>
        <v>42.239999999999846</v>
      </c>
      <c r="Q189" s="1" t="str">
        <f t="shared" si="360"/>
        <v/>
      </c>
      <c r="R189" s="1" t="str">
        <f t="shared" si="370"/>
        <v/>
      </c>
      <c r="S189" s="1">
        <f t="shared" si="371"/>
        <v>438.55199999999928</v>
      </c>
      <c r="T189" s="1">
        <f t="shared" si="372"/>
        <v>0.86</v>
      </c>
      <c r="U189" s="1">
        <f t="shared" si="373"/>
        <v>1055.9999999999964</v>
      </c>
      <c r="V189" s="1">
        <f t="shared" si="374"/>
        <v>908.1599999999969</v>
      </c>
    </row>
    <row r="190" spans="1:22" x14ac:dyDescent="0.25">
      <c r="A190" s="1">
        <v>189</v>
      </c>
      <c r="B190" s="4">
        <v>7500</v>
      </c>
      <c r="C190" s="4">
        <v>31.5</v>
      </c>
      <c r="D190" s="4">
        <v>31.6</v>
      </c>
      <c r="E190" s="4">
        <f t="shared" si="366"/>
        <v>0.10000000000000142</v>
      </c>
      <c r="F190" s="4">
        <v>0</v>
      </c>
      <c r="G190" s="4">
        <v>0.86</v>
      </c>
      <c r="H190" s="4">
        <v>79</v>
      </c>
      <c r="I190" s="4"/>
      <c r="J190" s="4">
        <v>49</v>
      </c>
      <c r="K190"/>
      <c r="L190"/>
      <c r="M190" s="4">
        <f t="shared" si="367"/>
        <v>31.6</v>
      </c>
      <c r="N190" s="4"/>
      <c r="O190" s="1">
        <f t="shared" si="368"/>
        <v>31.5</v>
      </c>
      <c r="P190" s="1">
        <f t="shared" si="369"/>
        <v>0</v>
      </c>
      <c r="Q190" s="1" t="str">
        <f t="shared" si="360"/>
        <v/>
      </c>
      <c r="R190" s="1" t="str">
        <f t="shared" si="370"/>
        <v/>
      </c>
      <c r="S190" s="1">
        <f t="shared" si="371"/>
        <v>447.63359999999926</v>
      </c>
      <c r="T190" s="1">
        <f t="shared" si="372"/>
        <v>0.86</v>
      </c>
      <c r="U190" s="1">
        <f t="shared" si="373"/>
        <v>528.0000000000075</v>
      </c>
      <c r="V190" s="1">
        <f t="shared" si="374"/>
        <v>454.08000000000646</v>
      </c>
    </row>
    <row r="191" spans="1:22" x14ac:dyDescent="0.25">
      <c r="A191" s="1">
        <v>190</v>
      </c>
      <c r="B191" s="4">
        <v>7500</v>
      </c>
      <c r="C191" s="4">
        <v>31.6</v>
      </c>
      <c r="D191" s="4">
        <v>31.700000000000003</v>
      </c>
      <c r="E191" s="4">
        <f t="shared" si="366"/>
        <v>0.10000000000000142</v>
      </c>
      <c r="F191" s="4">
        <v>2</v>
      </c>
      <c r="G191" s="4">
        <v>0.86</v>
      </c>
      <c r="H191" s="4">
        <v>79</v>
      </c>
      <c r="I191" s="4"/>
      <c r="J191" s="4">
        <v>49</v>
      </c>
      <c r="K191"/>
      <c r="L191"/>
      <c r="M191" s="4">
        <f t="shared" si="367"/>
        <v>31.700000000000003</v>
      </c>
      <c r="N191" s="4"/>
      <c r="O191" s="1">
        <f t="shared" si="368"/>
        <v>31.6</v>
      </c>
      <c r="P191" s="1">
        <f t="shared" si="369"/>
        <v>10.56000000000015</v>
      </c>
      <c r="Q191" s="1" t="str">
        <f t="shared" si="360"/>
        <v/>
      </c>
      <c r="R191" s="1" t="str">
        <f t="shared" si="370"/>
        <v/>
      </c>
      <c r="S191" s="1">
        <f t="shared" si="371"/>
        <v>452.17439999999931</v>
      </c>
      <c r="T191" s="1">
        <f t="shared" si="372"/>
        <v>0.86</v>
      </c>
      <c r="U191" s="1">
        <f t="shared" si="373"/>
        <v>528.0000000000075</v>
      </c>
      <c r="V191" s="1">
        <f t="shared" si="374"/>
        <v>454.08000000000646</v>
      </c>
    </row>
    <row r="192" spans="1:22" x14ac:dyDescent="0.25">
      <c r="A192" s="1">
        <v>191</v>
      </c>
      <c r="B192" s="4">
        <v>7500</v>
      </c>
      <c r="C192" s="4">
        <v>31.700000000000003</v>
      </c>
      <c r="D192" s="4">
        <v>31.900000000000002</v>
      </c>
      <c r="E192" s="4">
        <f t="shared" si="366"/>
        <v>0.19999999999999929</v>
      </c>
      <c r="F192" s="4">
        <v>2</v>
      </c>
      <c r="G192" s="4">
        <v>-0.52</v>
      </c>
      <c r="H192" s="4">
        <v>79</v>
      </c>
      <c r="I192" s="4"/>
      <c r="J192" s="4">
        <v>49</v>
      </c>
      <c r="K192"/>
      <c r="L192"/>
      <c r="M192" s="4">
        <f t="shared" si="367"/>
        <v>31.900000000000002</v>
      </c>
      <c r="N192" s="4"/>
      <c r="O192" s="1">
        <f t="shared" si="368"/>
        <v>31.700000000000003</v>
      </c>
      <c r="P192" s="1">
        <f t="shared" si="369"/>
        <v>21.119999999999923</v>
      </c>
      <c r="Q192" s="1" t="str">
        <f t="shared" si="360"/>
        <v/>
      </c>
      <c r="R192" s="1" t="str">
        <f t="shared" si="370"/>
        <v/>
      </c>
      <c r="S192" s="1">
        <f t="shared" si="371"/>
        <v>456.71519999999936</v>
      </c>
      <c r="T192" s="1">
        <f t="shared" si="372"/>
        <v>-0.52</v>
      </c>
      <c r="U192" s="1">
        <f t="shared" si="373"/>
        <v>1055.9999999999964</v>
      </c>
      <c r="V192" s="1">
        <f t="shared" si="374"/>
        <v>549.11999999999807</v>
      </c>
    </row>
    <row r="193" spans="1:22" x14ac:dyDescent="0.25">
      <c r="A193" s="1">
        <v>192</v>
      </c>
      <c r="B193" s="4">
        <v>7500</v>
      </c>
      <c r="C193" s="4">
        <v>31.900000000000002</v>
      </c>
      <c r="D193" s="4">
        <v>32.1</v>
      </c>
      <c r="E193" s="4">
        <f t="shared" si="366"/>
        <v>0.19999999999999929</v>
      </c>
      <c r="F193" s="4">
        <v>2</v>
      </c>
      <c r="G193" s="4">
        <v>-0.56999999999999995</v>
      </c>
      <c r="H193" s="4">
        <v>79</v>
      </c>
      <c r="I193" s="4"/>
      <c r="J193" s="4">
        <v>49</v>
      </c>
      <c r="K193"/>
      <c r="L193"/>
      <c r="M193" s="4">
        <f t="shared" si="367"/>
        <v>32.1</v>
      </c>
      <c r="N193" s="4"/>
      <c r="O193" s="1">
        <f t="shared" si="368"/>
        <v>31.900000000000002</v>
      </c>
      <c r="P193" s="1">
        <f t="shared" si="369"/>
        <v>21.119999999999923</v>
      </c>
      <c r="Q193" s="1" t="str">
        <f t="shared" si="360"/>
        <v/>
      </c>
      <c r="R193" s="1" t="str">
        <f t="shared" si="370"/>
        <v/>
      </c>
      <c r="S193" s="1">
        <f t="shared" si="371"/>
        <v>451.22399999999936</v>
      </c>
      <c r="T193" s="1">
        <f t="shared" si="372"/>
        <v>-0.56999999999999995</v>
      </c>
      <c r="U193" s="1">
        <f t="shared" si="373"/>
        <v>1055.9999999999964</v>
      </c>
      <c r="V193" s="1">
        <f t="shared" si="374"/>
        <v>601.91999999999791</v>
      </c>
    </row>
    <row r="194" spans="1:22" x14ac:dyDescent="0.25">
      <c r="A194" s="1">
        <v>193</v>
      </c>
      <c r="B194" s="4">
        <v>7500</v>
      </c>
      <c r="C194" s="4">
        <v>32.1</v>
      </c>
      <c r="D194" s="4">
        <v>32.200000000000003</v>
      </c>
      <c r="E194" s="4">
        <f t="shared" si="366"/>
        <v>0.10000000000000142</v>
      </c>
      <c r="F194" s="4">
        <v>0</v>
      </c>
      <c r="G194" s="4">
        <v>-0.56999999999999995</v>
      </c>
      <c r="H194" s="4">
        <v>79</v>
      </c>
      <c r="I194" s="4"/>
      <c r="J194" s="4">
        <v>49</v>
      </c>
      <c r="K194"/>
      <c r="L194"/>
      <c r="M194" s="4">
        <f t="shared" si="367"/>
        <v>32.200000000000003</v>
      </c>
      <c r="N194" s="4"/>
      <c r="O194" s="1">
        <f t="shared" si="368"/>
        <v>32.1</v>
      </c>
      <c r="P194" s="1">
        <f t="shared" si="369"/>
        <v>0</v>
      </c>
      <c r="Q194" s="1" t="str">
        <f t="shared" si="360"/>
        <v/>
      </c>
      <c r="R194" s="1" t="str">
        <f t="shared" si="370"/>
        <v/>
      </c>
      <c r="S194" s="1">
        <f t="shared" si="371"/>
        <v>445.20479999999941</v>
      </c>
      <c r="T194" s="1">
        <f t="shared" si="372"/>
        <v>-0.56999999999999995</v>
      </c>
      <c r="U194" s="1">
        <f t="shared" si="373"/>
        <v>528.0000000000075</v>
      </c>
      <c r="V194" s="1">
        <f t="shared" si="374"/>
        <v>300.96000000000424</v>
      </c>
    </row>
    <row r="195" spans="1:22" x14ac:dyDescent="0.25">
      <c r="A195" s="1">
        <v>194</v>
      </c>
      <c r="B195" s="4">
        <v>7500</v>
      </c>
      <c r="C195" s="4">
        <v>32.200000000000003</v>
      </c>
      <c r="D195" s="4">
        <v>32.300000000000004</v>
      </c>
      <c r="E195" s="4">
        <f t="shared" si="366"/>
        <v>0.10000000000000142</v>
      </c>
      <c r="F195" s="4">
        <v>0</v>
      </c>
      <c r="G195" s="4">
        <v>-0.61</v>
      </c>
      <c r="H195" s="4">
        <v>79</v>
      </c>
      <c r="I195" s="4"/>
      <c r="J195" s="4">
        <v>49</v>
      </c>
      <c r="K195"/>
      <c r="L195"/>
      <c r="M195" s="4">
        <f t="shared" si="367"/>
        <v>32.300000000000004</v>
      </c>
      <c r="N195" s="4"/>
      <c r="O195" s="1">
        <f t="shared" si="368"/>
        <v>32.200000000000003</v>
      </c>
      <c r="P195" s="1">
        <f t="shared" si="369"/>
        <v>0</v>
      </c>
      <c r="Q195" s="1" t="str">
        <f t="shared" ref="Q195:Q258" si="379">IF(H195&lt;&gt;"",IF(H195=H194,"",H195),IF(H193="","",MAX(H194,Q194)))</f>
        <v/>
      </c>
      <c r="R195" s="1" t="str">
        <f t="shared" si="370"/>
        <v/>
      </c>
      <c r="S195" s="1">
        <f t="shared" si="371"/>
        <v>442.19519999999937</v>
      </c>
      <c r="T195" s="1">
        <f t="shared" si="372"/>
        <v>-0.61</v>
      </c>
      <c r="U195" s="1">
        <f t="shared" si="373"/>
        <v>528.0000000000075</v>
      </c>
      <c r="V195" s="1">
        <f t="shared" si="374"/>
        <v>322.08000000000459</v>
      </c>
    </row>
    <row r="196" spans="1:22" x14ac:dyDescent="0.25">
      <c r="A196" s="1">
        <v>195</v>
      </c>
      <c r="B196" s="4">
        <v>7500</v>
      </c>
      <c r="C196" s="4">
        <v>32.300000000000004</v>
      </c>
      <c r="D196" s="4">
        <v>32.4</v>
      </c>
      <c r="E196" s="4">
        <f t="shared" si="366"/>
        <v>9.9999999999994316E-2</v>
      </c>
      <c r="F196" s="4">
        <v>0</v>
      </c>
      <c r="G196" s="4">
        <v>-0.71</v>
      </c>
      <c r="H196" s="4">
        <v>79</v>
      </c>
      <c r="I196" s="4"/>
      <c r="J196" s="4">
        <v>49</v>
      </c>
      <c r="K196"/>
      <c r="L196"/>
      <c r="M196" s="4">
        <f t="shared" si="367"/>
        <v>32.4</v>
      </c>
      <c r="N196" s="4"/>
      <c r="O196" s="1">
        <f t="shared" si="368"/>
        <v>32.300000000000004</v>
      </c>
      <c r="P196" s="1">
        <f t="shared" si="369"/>
        <v>0</v>
      </c>
      <c r="Q196" s="1" t="str">
        <f t="shared" si="379"/>
        <v/>
      </c>
      <c r="R196" s="1" t="str">
        <f t="shared" si="370"/>
        <v/>
      </c>
      <c r="S196" s="1">
        <f t="shared" si="371"/>
        <v>438.97439999999932</v>
      </c>
      <c r="T196" s="1">
        <f t="shared" si="372"/>
        <v>-0.71</v>
      </c>
      <c r="U196" s="1">
        <f t="shared" si="373"/>
        <v>527.99999999996999</v>
      </c>
      <c r="V196" s="1">
        <f t="shared" si="374"/>
        <v>374.87999999997868</v>
      </c>
    </row>
    <row r="197" spans="1:22" x14ac:dyDescent="0.25">
      <c r="A197" s="1">
        <v>196</v>
      </c>
      <c r="B197" s="4">
        <v>7500</v>
      </c>
      <c r="C197" s="4">
        <v>32.4</v>
      </c>
      <c r="D197" s="4">
        <v>32.800000000000004</v>
      </c>
      <c r="E197" s="4">
        <f t="shared" si="366"/>
        <v>0.40000000000000568</v>
      </c>
      <c r="F197" s="4">
        <v>0</v>
      </c>
      <c r="G197" s="4">
        <v>-0.75</v>
      </c>
      <c r="H197" s="4">
        <v>79</v>
      </c>
      <c r="I197" s="4"/>
      <c r="J197" s="4">
        <v>49</v>
      </c>
      <c r="K197"/>
      <c r="L197"/>
      <c r="M197" s="4">
        <f t="shared" si="367"/>
        <v>32.800000000000004</v>
      </c>
      <c r="N197" s="4"/>
      <c r="O197" s="1">
        <f t="shared" si="368"/>
        <v>32.4</v>
      </c>
      <c r="P197" s="1">
        <f t="shared" si="369"/>
        <v>0</v>
      </c>
      <c r="Q197" s="1" t="str">
        <f t="shared" si="379"/>
        <v/>
      </c>
      <c r="R197" s="1" t="str">
        <f t="shared" si="370"/>
        <v/>
      </c>
      <c r="S197" s="1">
        <f t="shared" si="371"/>
        <v>435.22559999999953</v>
      </c>
      <c r="T197" s="1">
        <f t="shared" si="372"/>
        <v>-0.75</v>
      </c>
      <c r="U197" s="1">
        <f t="shared" si="373"/>
        <v>2112.00000000003</v>
      </c>
      <c r="V197" s="1">
        <f t="shared" si="374"/>
        <v>1584.0000000000225</v>
      </c>
    </row>
    <row r="198" spans="1:22" x14ac:dyDescent="0.25">
      <c r="A198" s="1">
        <v>197</v>
      </c>
      <c r="B198" s="4">
        <v>7500</v>
      </c>
      <c r="C198" s="4">
        <v>32.800000000000004</v>
      </c>
      <c r="D198" s="4">
        <v>33</v>
      </c>
      <c r="E198" s="4">
        <f t="shared" si="366"/>
        <v>0.19999999999999574</v>
      </c>
      <c r="F198" s="4">
        <v>0</v>
      </c>
      <c r="G198" s="4">
        <v>-0.73</v>
      </c>
      <c r="H198" s="4">
        <v>79</v>
      </c>
      <c r="I198" s="4"/>
      <c r="J198" s="4">
        <v>49</v>
      </c>
      <c r="K198"/>
      <c r="L198"/>
      <c r="M198" s="4">
        <f t="shared" si="367"/>
        <v>33</v>
      </c>
      <c r="N198" s="4"/>
      <c r="O198" s="1">
        <f t="shared" si="368"/>
        <v>32.800000000000004</v>
      </c>
      <c r="P198" s="1">
        <f t="shared" si="369"/>
        <v>0</v>
      </c>
      <c r="Q198" s="1" t="str">
        <f t="shared" si="379"/>
        <v/>
      </c>
      <c r="R198" s="1" t="str">
        <f t="shared" si="370"/>
        <v/>
      </c>
      <c r="S198" s="1">
        <f t="shared" si="371"/>
        <v>419.38559999999933</v>
      </c>
      <c r="T198" s="1">
        <f t="shared" si="372"/>
        <v>-0.73</v>
      </c>
      <c r="U198" s="1">
        <f t="shared" si="373"/>
        <v>1055.9999999999775</v>
      </c>
      <c r="V198" s="1">
        <f t="shared" si="374"/>
        <v>770.87999999998351</v>
      </c>
    </row>
    <row r="199" spans="1:22" x14ac:dyDescent="0.25">
      <c r="A199" s="1">
        <v>198</v>
      </c>
      <c r="B199" s="4">
        <v>7500</v>
      </c>
      <c r="C199" s="4">
        <v>33</v>
      </c>
      <c r="D199" s="4">
        <v>33.200000000000003</v>
      </c>
      <c r="E199" s="4">
        <f t="shared" si="366"/>
        <v>0.20000000000000284</v>
      </c>
      <c r="F199" s="4">
        <v>2.1</v>
      </c>
      <c r="G199" s="4">
        <v>-0.73</v>
      </c>
      <c r="H199" s="4">
        <v>79</v>
      </c>
      <c r="I199" s="4"/>
      <c r="J199" s="4">
        <v>49</v>
      </c>
      <c r="K199"/>
      <c r="L199"/>
      <c r="M199" s="4">
        <f t="shared" si="367"/>
        <v>33.200000000000003</v>
      </c>
      <c r="N199" s="4"/>
      <c r="O199" s="1">
        <f t="shared" si="368"/>
        <v>33</v>
      </c>
      <c r="P199" s="1">
        <f t="shared" si="369"/>
        <v>22.176000000000315</v>
      </c>
      <c r="Q199" s="1" t="str">
        <f t="shared" si="379"/>
        <v/>
      </c>
      <c r="R199" s="1" t="str">
        <f t="shared" si="370"/>
        <v/>
      </c>
      <c r="S199" s="1">
        <f t="shared" si="371"/>
        <v>411.6767999999995</v>
      </c>
      <c r="T199" s="1">
        <f t="shared" si="372"/>
        <v>-0.73</v>
      </c>
      <c r="U199" s="1">
        <f t="shared" si="373"/>
        <v>1056.000000000015</v>
      </c>
      <c r="V199" s="1">
        <f t="shared" si="374"/>
        <v>770.88000000001091</v>
      </c>
    </row>
    <row r="200" spans="1:22" x14ac:dyDescent="0.25">
      <c r="A200" s="1">
        <v>199</v>
      </c>
      <c r="B200" s="4">
        <v>7500</v>
      </c>
      <c r="C200" s="4">
        <v>33.200000000000003</v>
      </c>
      <c r="D200" s="4">
        <v>33.300000000000004</v>
      </c>
      <c r="E200" s="4">
        <f t="shared" ref="E200:E263" si="380">D200-C200</f>
        <v>0.10000000000000142</v>
      </c>
      <c r="F200" s="4">
        <v>2.1</v>
      </c>
      <c r="G200" s="4">
        <v>-0.33</v>
      </c>
      <c r="H200" s="4">
        <v>79</v>
      </c>
      <c r="I200" s="4"/>
      <c r="J200" s="4">
        <v>49</v>
      </c>
      <c r="K200"/>
      <c r="L200"/>
      <c r="M200" s="4">
        <f t="shared" ref="M200:M263" si="381">E200+M199</f>
        <v>33.300000000000004</v>
      </c>
      <c r="N200" s="4"/>
      <c r="O200" s="1">
        <f t="shared" ref="O200:O263" si="382">E199+O199</f>
        <v>33.200000000000003</v>
      </c>
      <c r="P200" s="1">
        <f t="shared" ref="P200:P263" si="383">F200*52.8*E200</f>
        <v>11.088000000000157</v>
      </c>
      <c r="Q200" s="1" t="str">
        <f t="shared" si="379"/>
        <v/>
      </c>
      <c r="R200" s="1" t="str">
        <f t="shared" ref="R200:R263" si="384">IF(I200="",Q200,IF(AND(H200=H199,I200=I199),"",I200))</f>
        <v/>
      </c>
      <c r="S200" s="1">
        <f t="shared" ref="S200:S263" si="385">S199+U199*T199/100</f>
        <v>403.96799999999939</v>
      </c>
      <c r="T200" s="1">
        <f t="shared" ref="T200:T263" si="386">IF(G200="UNK",0,G200)</f>
        <v>-0.33</v>
      </c>
      <c r="U200" s="1">
        <f t="shared" ref="U200:U263" si="387">E200*5280</f>
        <v>528.0000000000075</v>
      </c>
      <c r="V200" s="1">
        <f t="shared" ref="V200:V263" si="388">ABS(T200*U200)</f>
        <v>174.24000000000248</v>
      </c>
    </row>
    <row r="201" spans="1:22" x14ac:dyDescent="0.25">
      <c r="A201" s="1">
        <v>200</v>
      </c>
      <c r="B201" s="4">
        <v>7500</v>
      </c>
      <c r="C201" s="4">
        <v>33.300000000000004</v>
      </c>
      <c r="D201" s="4">
        <v>33.5</v>
      </c>
      <c r="E201" s="4">
        <f t="shared" si="380"/>
        <v>0.19999999999999574</v>
      </c>
      <c r="F201" s="4">
        <v>0</v>
      </c>
      <c r="G201" s="4">
        <v>-0.33</v>
      </c>
      <c r="H201" s="4">
        <v>79</v>
      </c>
      <c r="I201" s="4"/>
      <c r="J201" s="4">
        <v>49</v>
      </c>
      <c r="K201"/>
      <c r="L201"/>
      <c r="M201" s="4">
        <f t="shared" si="381"/>
        <v>33.5</v>
      </c>
      <c r="N201" s="4"/>
      <c r="O201" s="1">
        <f t="shared" si="382"/>
        <v>33.300000000000004</v>
      </c>
      <c r="P201" s="1">
        <f t="shared" si="383"/>
        <v>0</v>
      </c>
      <c r="Q201" s="1" t="str">
        <f t="shared" si="379"/>
        <v/>
      </c>
      <c r="R201" s="1" t="str">
        <f t="shared" si="384"/>
        <v/>
      </c>
      <c r="S201" s="1">
        <f t="shared" si="385"/>
        <v>402.22559999999936</v>
      </c>
      <c r="T201" s="1">
        <f t="shared" si="386"/>
        <v>-0.33</v>
      </c>
      <c r="U201" s="1">
        <f t="shared" si="387"/>
        <v>1055.9999999999775</v>
      </c>
      <c r="V201" s="1">
        <f t="shared" si="388"/>
        <v>348.47999999999257</v>
      </c>
    </row>
    <row r="202" spans="1:22" x14ac:dyDescent="0.25">
      <c r="A202" s="1">
        <v>201</v>
      </c>
      <c r="B202" s="4">
        <v>7500</v>
      </c>
      <c r="C202" s="4">
        <v>33.5</v>
      </c>
      <c r="D202" s="4">
        <v>33.6</v>
      </c>
      <c r="E202" s="4">
        <f t="shared" si="380"/>
        <v>0.10000000000000142</v>
      </c>
      <c r="F202" s="4">
        <v>0</v>
      </c>
      <c r="G202" s="4">
        <v>0.48</v>
      </c>
      <c r="H202" s="4">
        <v>79</v>
      </c>
      <c r="I202" s="4"/>
      <c r="J202" s="4">
        <v>49</v>
      </c>
      <c r="K202"/>
      <c r="L202"/>
      <c r="M202" s="4">
        <f t="shared" si="381"/>
        <v>33.6</v>
      </c>
      <c r="N202" s="4"/>
      <c r="O202" s="1">
        <f t="shared" si="382"/>
        <v>33.5</v>
      </c>
      <c r="P202" s="1">
        <f t="shared" si="383"/>
        <v>0</v>
      </c>
      <c r="Q202" s="1" t="str">
        <f t="shared" si="379"/>
        <v/>
      </c>
      <c r="R202" s="1" t="str">
        <f t="shared" si="384"/>
        <v/>
      </c>
      <c r="S202" s="1">
        <f t="shared" si="385"/>
        <v>398.74079999999941</v>
      </c>
      <c r="T202" s="1">
        <f t="shared" si="386"/>
        <v>0.48</v>
      </c>
      <c r="U202" s="1">
        <f t="shared" si="387"/>
        <v>528.0000000000075</v>
      </c>
      <c r="V202" s="1">
        <f t="shared" si="388"/>
        <v>253.44000000000358</v>
      </c>
    </row>
    <row r="203" spans="1:22" x14ac:dyDescent="0.25">
      <c r="A203" s="1">
        <v>202</v>
      </c>
      <c r="B203" s="4">
        <v>7500</v>
      </c>
      <c r="C203" s="4">
        <v>33.6</v>
      </c>
      <c r="D203" s="4">
        <v>33.700000000000003</v>
      </c>
      <c r="E203" s="4">
        <f t="shared" si="380"/>
        <v>0.10000000000000142</v>
      </c>
      <c r="F203" s="4">
        <v>4.2</v>
      </c>
      <c r="G203" s="4">
        <v>-0.8</v>
      </c>
      <c r="H203" s="4">
        <v>79</v>
      </c>
      <c r="I203" s="4"/>
      <c r="J203" s="4">
        <v>49</v>
      </c>
      <c r="K203"/>
      <c r="L203"/>
      <c r="M203" s="4">
        <f t="shared" si="381"/>
        <v>33.700000000000003</v>
      </c>
      <c r="N203" s="4"/>
      <c r="O203" s="1">
        <f t="shared" si="382"/>
        <v>33.6</v>
      </c>
      <c r="P203" s="1">
        <f t="shared" si="383"/>
        <v>22.176000000000315</v>
      </c>
      <c r="Q203" s="1" t="str">
        <f t="shared" si="379"/>
        <v/>
      </c>
      <c r="R203" s="1" t="str">
        <f t="shared" si="384"/>
        <v/>
      </c>
      <c r="S203" s="1">
        <f t="shared" si="385"/>
        <v>401.27519999999947</v>
      </c>
      <c r="T203" s="1">
        <f t="shared" si="386"/>
        <v>-0.8</v>
      </c>
      <c r="U203" s="1">
        <f t="shared" si="387"/>
        <v>528.0000000000075</v>
      </c>
      <c r="V203" s="1">
        <f t="shared" si="388"/>
        <v>422.400000000006</v>
      </c>
    </row>
    <row r="204" spans="1:22" x14ac:dyDescent="0.25">
      <c r="A204" s="1">
        <v>203</v>
      </c>
      <c r="B204" s="4">
        <v>7500</v>
      </c>
      <c r="C204" s="4">
        <v>33.700000000000003</v>
      </c>
      <c r="D204" s="4">
        <v>33.800000000000004</v>
      </c>
      <c r="E204" s="4">
        <f t="shared" si="380"/>
        <v>0.10000000000000142</v>
      </c>
      <c r="F204" s="4">
        <v>4.2</v>
      </c>
      <c r="G204" s="4">
        <v>-0.37</v>
      </c>
      <c r="H204" s="4">
        <v>79</v>
      </c>
      <c r="I204" s="4"/>
      <c r="J204" s="4">
        <v>49</v>
      </c>
      <c r="K204"/>
      <c r="L204"/>
      <c r="M204" s="4">
        <f t="shared" si="381"/>
        <v>33.800000000000004</v>
      </c>
      <c r="N204" s="4"/>
      <c r="O204" s="1">
        <f t="shared" si="382"/>
        <v>33.700000000000003</v>
      </c>
      <c r="P204" s="1">
        <f t="shared" si="383"/>
        <v>22.176000000000315</v>
      </c>
      <c r="Q204" s="1" t="str">
        <f t="shared" si="379"/>
        <v/>
      </c>
      <c r="R204" s="1" t="str">
        <f t="shared" si="384"/>
        <v/>
      </c>
      <c r="S204" s="1">
        <f t="shared" si="385"/>
        <v>397.05119999999943</v>
      </c>
      <c r="T204" s="1">
        <f t="shared" si="386"/>
        <v>-0.37</v>
      </c>
      <c r="U204" s="1">
        <f t="shared" si="387"/>
        <v>528.0000000000075</v>
      </c>
      <c r="V204" s="1">
        <f t="shared" si="388"/>
        <v>195.36000000000277</v>
      </c>
    </row>
    <row r="205" spans="1:22" x14ac:dyDescent="0.25">
      <c r="A205" s="1">
        <v>204</v>
      </c>
      <c r="B205" s="4">
        <v>7500</v>
      </c>
      <c r="C205" s="4">
        <v>33.800000000000004</v>
      </c>
      <c r="D205" s="4">
        <v>34</v>
      </c>
      <c r="E205" s="4">
        <f t="shared" si="380"/>
        <v>0.19999999999999574</v>
      </c>
      <c r="F205" s="4">
        <v>0</v>
      </c>
      <c r="G205" s="4">
        <v>0.51</v>
      </c>
      <c r="H205" s="4">
        <v>79</v>
      </c>
      <c r="I205" s="4"/>
      <c r="J205" s="4">
        <v>49</v>
      </c>
      <c r="K205"/>
      <c r="L205"/>
      <c r="M205" s="4">
        <f t="shared" si="381"/>
        <v>34</v>
      </c>
      <c r="N205" s="4"/>
      <c r="O205" s="1">
        <f t="shared" si="382"/>
        <v>33.800000000000004</v>
      </c>
      <c r="P205" s="1">
        <f t="shared" si="383"/>
        <v>0</v>
      </c>
      <c r="Q205" s="1" t="str">
        <f t="shared" si="379"/>
        <v/>
      </c>
      <c r="R205" s="1" t="str">
        <f t="shared" si="384"/>
        <v/>
      </c>
      <c r="S205" s="1">
        <f t="shared" si="385"/>
        <v>395.09759999999937</v>
      </c>
      <c r="T205" s="1">
        <f t="shared" si="386"/>
        <v>0.51</v>
      </c>
      <c r="U205" s="1">
        <f t="shared" si="387"/>
        <v>1055.9999999999775</v>
      </c>
      <c r="V205" s="1">
        <f t="shared" si="388"/>
        <v>538.55999999998858</v>
      </c>
    </row>
    <row r="206" spans="1:22" x14ac:dyDescent="0.25">
      <c r="A206" s="1">
        <v>205</v>
      </c>
      <c r="B206" s="4">
        <v>7500</v>
      </c>
      <c r="C206" s="4">
        <v>34</v>
      </c>
      <c r="D206" s="4">
        <v>34.4</v>
      </c>
      <c r="E206" s="4">
        <f t="shared" si="380"/>
        <v>0.39999999999999858</v>
      </c>
      <c r="F206" s="4">
        <v>0</v>
      </c>
      <c r="G206" s="4">
        <v>0.94</v>
      </c>
      <c r="H206" s="4">
        <v>79</v>
      </c>
      <c r="I206" s="4"/>
      <c r="J206" s="4">
        <v>49</v>
      </c>
      <c r="K206"/>
      <c r="L206"/>
      <c r="M206" s="4">
        <f t="shared" si="381"/>
        <v>34.4</v>
      </c>
      <c r="N206" s="4"/>
      <c r="O206" s="1">
        <f t="shared" si="382"/>
        <v>34</v>
      </c>
      <c r="P206" s="1">
        <f t="shared" si="383"/>
        <v>0</v>
      </c>
      <c r="Q206" s="1" t="str">
        <f t="shared" si="379"/>
        <v/>
      </c>
      <c r="R206" s="1" t="str">
        <f t="shared" si="384"/>
        <v/>
      </c>
      <c r="S206" s="1">
        <f t="shared" si="385"/>
        <v>400.48319999999927</v>
      </c>
      <c r="T206" s="1">
        <f t="shared" si="386"/>
        <v>0.94</v>
      </c>
      <c r="U206" s="1">
        <f t="shared" si="387"/>
        <v>2111.9999999999927</v>
      </c>
      <c r="V206" s="1">
        <f t="shared" si="388"/>
        <v>1985.2799999999932</v>
      </c>
    </row>
    <row r="207" spans="1:22" x14ac:dyDescent="0.25">
      <c r="A207" s="1">
        <v>206</v>
      </c>
      <c r="B207" s="4">
        <v>7500</v>
      </c>
      <c r="C207" s="4">
        <v>34.4</v>
      </c>
      <c r="D207" s="4">
        <v>34.6</v>
      </c>
      <c r="E207" s="4">
        <f t="shared" si="380"/>
        <v>0.20000000000000284</v>
      </c>
      <c r="F207" s="4">
        <v>0</v>
      </c>
      <c r="G207" s="4">
        <v>-0.74</v>
      </c>
      <c r="H207" s="4">
        <v>79</v>
      </c>
      <c r="I207" s="4"/>
      <c r="J207" s="4">
        <v>49</v>
      </c>
      <c r="K207"/>
      <c r="L207"/>
      <c r="M207" s="4">
        <f t="shared" si="381"/>
        <v>34.6</v>
      </c>
      <c r="N207" s="4"/>
      <c r="O207" s="1">
        <f t="shared" si="382"/>
        <v>34.4</v>
      </c>
      <c r="P207" s="1">
        <f t="shared" si="383"/>
        <v>0</v>
      </c>
      <c r="Q207" s="1" t="str">
        <f t="shared" si="379"/>
        <v/>
      </c>
      <c r="R207" s="1" t="str">
        <f t="shared" si="384"/>
        <v/>
      </c>
      <c r="S207" s="1">
        <f t="shared" si="385"/>
        <v>420.33599999999922</v>
      </c>
      <c r="T207" s="1">
        <f t="shared" si="386"/>
        <v>-0.74</v>
      </c>
      <c r="U207" s="1">
        <f t="shared" si="387"/>
        <v>1056.000000000015</v>
      </c>
      <c r="V207" s="1">
        <f t="shared" si="388"/>
        <v>781.44000000001108</v>
      </c>
    </row>
    <row r="208" spans="1:22" x14ac:dyDescent="0.25">
      <c r="A208" s="1">
        <v>207</v>
      </c>
      <c r="B208" s="4">
        <v>7500</v>
      </c>
      <c r="C208" s="4">
        <v>34.6</v>
      </c>
      <c r="D208" s="4">
        <v>34.700000000000003</v>
      </c>
      <c r="E208" s="4">
        <f t="shared" si="380"/>
        <v>0.10000000000000142</v>
      </c>
      <c r="F208" s="4">
        <v>0</v>
      </c>
      <c r="G208" s="4">
        <v>-0.97</v>
      </c>
      <c r="H208" s="4">
        <v>79</v>
      </c>
      <c r="I208" s="4"/>
      <c r="J208" s="4">
        <v>49</v>
      </c>
      <c r="K208"/>
      <c r="L208"/>
      <c r="M208" s="4">
        <f t="shared" si="381"/>
        <v>34.700000000000003</v>
      </c>
      <c r="N208" s="4"/>
      <c r="O208" s="1">
        <f t="shared" si="382"/>
        <v>34.6</v>
      </c>
      <c r="P208" s="1">
        <f t="shared" si="383"/>
        <v>0</v>
      </c>
      <c r="Q208" s="1" t="str">
        <f t="shared" si="379"/>
        <v/>
      </c>
      <c r="R208" s="1" t="str">
        <f t="shared" si="384"/>
        <v/>
      </c>
      <c r="S208" s="1">
        <f t="shared" si="385"/>
        <v>412.52159999999913</v>
      </c>
      <c r="T208" s="1">
        <f t="shared" si="386"/>
        <v>-0.97</v>
      </c>
      <c r="U208" s="1">
        <f t="shared" si="387"/>
        <v>528.0000000000075</v>
      </c>
      <c r="V208" s="1">
        <f t="shared" si="388"/>
        <v>512.16000000000724</v>
      </c>
    </row>
    <row r="209" spans="1:22" x14ac:dyDescent="0.25">
      <c r="A209" s="1">
        <v>208</v>
      </c>
      <c r="B209" s="4">
        <v>7500</v>
      </c>
      <c r="C209" s="4">
        <v>34.700000000000003</v>
      </c>
      <c r="D209" s="4">
        <v>34.800000000000004</v>
      </c>
      <c r="E209" s="4">
        <f t="shared" si="380"/>
        <v>0.10000000000000142</v>
      </c>
      <c r="F209" s="4">
        <v>3.1</v>
      </c>
      <c r="G209" s="4">
        <v>0.57999999999999996</v>
      </c>
      <c r="H209" s="4">
        <v>79</v>
      </c>
      <c r="I209" s="4"/>
      <c r="J209" s="4">
        <v>49</v>
      </c>
      <c r="K209"/>
      <c r="L209"/>
      <c r="M209" s="4">
        <f t="shared" si="381"/>
        <v>34.800000000000004</v>
      </c>
      <c r="N209" s="4"/>
      <c r="O209" s="1">
        <f t="shared" si="382"/>
        <v>34.700000000000003</v>
      </c>
      <c r="P209" s="1">
        <f t="shared" si="383"/>
        <v>16.368000000000233</v>
      </c>
      <c r="Q209" s="1" t="str">
        <f t="shared" si="379"/>
        <v/>
      </c>
      <c r="R209" s="1" t="str">
        <f t="shared" si="384"/>
        <v/>
      </c>
      <c r="S209" s="1">
        <f t="shared" si="385"/>
        <v>407.39999999999907</v>
      </c>
      <c r="T209" s="1">
        <f t="shared" si="386"/>
        <v>0.57999999999999996</v>
      </c>
      <c r="U209" s="1">
        <f t="shared" si="387"/>
        <v>528.0000000000075</v>
      </c>
      <c r="V209" s="1">
        <f t="shared" si="388"/>
        <v>306.24000000000433</v>
      </c>
    </row>
    <row r="210" spans="1:22" x14ac:dyDescent="0.25">
      <c r="A210" s="1">
        <v>209</v>
      </c>
      <c r="B210" s="4">
        <v>7500</v>
      </c>
      <c r="C210" s="4">
        <v>34.800000000000004</v>
      </c>
      <c r="D210" s="4">
        <v>34.9</v>
      </c>
      <c r="E210" s="4">
        <f t="shared" si="380"/>
        <v>9.9999999999994316E-2</v>
      </c>
      <c r="F210" s="4">
        <v>0</v>
      </c>
      <c r="G210" s="4">
        <v>0.57999999999999996</v>
      </c>
      <c r="H210" s="4">
        <v>79</v>
      </c>
      <c r="I210" s="4"/>
      <c r="J210" s="4">
        <v>49</v>
      </c>
      <c r="K210"/>
      <c r="L210"/>
      <c r="M210" s="4">
        <f t="shared" si="381"/>
        <v>34.9</v>
      </c>
      <c r="N210" s="4"/>
      <c r="O210" s="1">
        <f t="shared" si="382"/>
        <v>34.800000000000004</v>
      </c>
      <c r="P210" s="1">
        <f t="shared" si="383"/>
        <v>0</v>
      </c>
      <c r="Q210" s="1" t="str">
        <f t="shared" si="379"/>
        <v/>
      </c>
      <c r="R210" s="1" t="str">
        <f t="shared" si="384"/>
        <v/>
      </c>
      <c r="S210" s="1">
        <f t="shared" si="385"/>
        <v>410.46239999999909</v>
      </c>
      <c r="T210" s="1">
        <f t="shared" si="386"/>
        <v>0.57999999999999996</v>
      </c>
      <c r="U210" s="1">
        <f t="shared" si="387"/>
        <v>527.99999999996999</v>
      </c>
      <c r="V210" s="1">
        <f t="shared" si="388"/>
        <v>306.23999999998256</v>
      </c>
    </row>
    <row r="211" spans="1:22" x14ac:dyDescent="0.25">
      <c r="A211" s="1">
        <v>210</v>
      </c>
      <c r="B211" s="4">
        <v>7500</v>
      </c>
      <c r="C211" s="4">
        <v>34.9</v>
      </c>
      <c r="D211" s="4">
        <v>35.1</v>
      </c>
      <c r="E211" s="4">
        <f t="shared" si="380"/>
        <v>0.20000000000000284</v>
      </c>
      <c r="F211" s="4">
        <v>2.1</v>
      </c>
      <c r="G211" s="4">
        <v>0.88</v>
      </c>
      <c r="H211" s="4">
        <v>79</v>
      </c>
      <c r="I211" s="4"/>
      <c r="J211" s="4">
        <v>49</v>
      </c>
      <c r="K211"/>
      <c r="L211"/>
      <c r="M211" s="4">
        <f t="shared" si="381"/>
        <v>35.1</v>
      </c>
      <c r="N211" s="4"/>
      <c r="O211" s="1">
        <f t="shared" si="382"/>
        <v>34.9</v>
      </c>
      <c r="P211" s="1">
        <f t="shared" si="383"/>
        <v>22.176000000000315</v>
      </c>
      <c r="Q211" s="1" t="str">
        <f t="shared" si="379"/>
        <v/>
      </c>
      <c r="R211" s="1" t="str">
        <f t="shared" si="384"/>
        <v/>
      </c>
      <c r="S211" s="1">
        <f t="shared" si="385"/>
        <v>413.52479999999889</v>
      </c>
      <c r="T211" s="1">
        <f t="shared" si="386"/>
        <v>0.88</v>
      </c>
      <c r="U211" s="1">
        <f t="shared" si="387"/>
        <v>1056.000000000015</v>
      </c>
      <c r="V211" s="1">
        <f t="shared" si="388"/>
        <v>929.28000000001316</v>
      </c>
    </row>
    <row r="212" spans="1:22" x14ac:dyDescent="0.25">
      <c r="A212" s="1">
        <v>211</v>
      </c>
      <c r="B212" s="4">
        <v>7500</v>
      </c>
      <c r="C212" s="4">
        <v>35.1</v>
      </c>
      <c r="D212" s="4">
        <v>35.200000000000003</v>
      </c>
      <c r="E212" s="4">
        <f t="shared" si="380"/>
        <v>0.10000000000000142</v>
      </c>
      <c r="F212" s="4">
        <v>2.1</v>
      </c>
      <c r="G212" s="4">
        <v>0.72</v>
      </c>
      <c r="H212" s="4">
        <v>79</v>
      </c>
      <c r="I212" s="4"/>
      <c r="J212" s="4">
        <v>49</v>
      </c>
      <c r="K212"/>
      <c r="L212"/>
      <c r="M212" s="4">
        <f t="shared" si="381"/>
        <v>35.200000000000003</v>
      </c>
      <c r="N212" s="4"/>
      <c r="O212" s="1">
        <f t="shared" si="382"/>
        <v>35.1</v>
      </c>
      <c r="P212" s="1">
        <f t="shared" si="383"/>
        <v>11.088000000000157</v>
      </c>
      <c r="Q212" s="1" t="str">
        <f t="shared" si="379"/>
        <v/>
      </c>
      <c r="R212" s="1" t="str">
        <f t="shared" si="384"/>
        <v/>
      </c>
      <c r="S212" s="1">
        <f t="shared" si="385"/>
        <v>422.817599999999</v>
      </c>
      <c r="T212" s="1">
        <f t="shared" si="386"/>
        <v>0.72</v>
      </c>
      <c r="U212" s="1">
        <f t="shared" si="387"/>
        <v>528.0000000000075</v>
      </c>
      <c r="V212" s="1">
        <f t="shared" si="388"/>
        <v>380.16000000000537</v>
      </c>
    </row>
    <row r="213" spans="1:22" x14ac:dyDescent="0.25">
      <c r="A213" s="1">
        <v>212</v>
      </c>
      <c r="B213" s="4">
        <v>7500</v>
      </c>
      <c r="C213" s="4">
        <v>35.200000000000003</v>
      </c>
      <c r="D213" s="4">
        <v>35.300000000000004</v>
      </c>
      <c r="E213" s="4">
        <f t="shared" si="380"/>
        <v>0.10000000000000142</v>
      </c>
      <c r="F213" s="4">
        <v>0</v>
      </c>
      <c r="G213" s="4">
        <v>1.1499999999999999</v>
      </c>
      <c r="H213" s="4">
        <v>79</v>
      </c>
      <c r="I213" s="4"/>
      <c r="J213" s="4">
        <v>49</v>
      </c>
      <c r="K213"/>
      <c r="L213"/>
      <c r="M213" s="4">
        <f t="shared" si="381"/>
        <v>35.300000000000004</v>
      </c>
      <c r="N213" s="4"/>
      <c r="O213" s="1">
        <f t="shared" si="382"/>
        <v>35.200000000000003</v>
      </c>
      <c r="P213" s="1">
        <f t="shared" si="383"/>
        <v>0</v>
      </c>
      <c r="Q213" s="1" t="str">
        <f t="shared" si="379"/>
        <v/>
      </c>
      <c r="R213" s="1" t="str">
        <f t="shared" si="384"/>
        <v/>
      </c>
      <c r="S213" s="1">
        <f t="shared" si="385"/>
        <v>426.61919999999907</v>
      </c>
      <c r="T213" s="1">
        <f t="shared" si="386"/>
        <v>1.1499999999999999</v>
      </c>
      <c r="U213" s="1">
        <f t="shared" si="387"/>
        <v>528.0000000000075</v>
      </c>
      <c r="V213" s="1">
        <f t="shared" si="388"/>
        <v>607.20000000000857</v>
      </c>
    </row>
    <row r="214" spans="1:22" x14ac:dyDescent="0.25">
      <c r="A214" s="1">
        <v>213</v>
      </c>
      <c r="B214" s="4">
        <v>7500</v>
      </c>
      <c r="C214" s="4">
        <v>35.300000000000004</v>
      </c>
      <c r="D214" s="4">
        <v>35.5</v>
      </c>
      <c r="E214" s="4">
        <f t="shared" si="380"/>
        <v>0.19999999999999574</v>
      </c>
      <c r="F214" s="4">
        <v>3</v>
      </c>
      <c r="G214" s="4">
        <v>0.78</v>
      </c>
      <c r="H214" s="4">
        <v>79</v>
      </c>
      <c r="I214" s="4"/>
      <c r="J214" s="4">
        <v>49</v>
      </c>
      <c r="K214"/>
      <c r="L214"/>
      <c r="M214" s="4">
        <f t="shared" si="381"/>
        <v>35.5</v>
      </c>
      <c r="N214" s="4"/>
      <c r="O214" s="1">
        <f t="shared" si="382"/>
        <v>35.300000000000004</v>
      </c>
      <c r="P214" s="1">
        <f t="shared" si="383"/>
        <v>31.679999999999321</v>
      </c>
      <c r="Q214" s="1" t="str">
        <f t="shared" si="379"/>
        <v/>
      </c>
      <c r="R214" s="1" t="str">
        <f t="shared" si="384"/>
        <v/>
      </c>
      <c r="S214" s="1">
        <f t="shared" si="385"/>
        <v>432.69119999999913</v>
      </c>
      <c r="T214" s="1">
        <f t="shared" si="386"/>
        <v>0.78</v>
      </c>
      <c r="U214" s="1">
        <f t="shared" si="387"/>
        <v>1055.9999999999775</v>
      </c>
      <c r="V214" s="1">
        <f t="shared" si="388"/>
        <v>823.67999999998244</v>
      </c>
    </row>
    <row r="215" spans="1:22" x14ac:dyDescent="0.25">
      <c r="A215" s="1">
        <v>214</v>
      </c>
      <c r="B215" s="4">
        <v>7500</v>
      </c>
      <c r="C215" s="4">
        <v>35.5</v>
      </c>
      <c r="D215" s="4">
        <v>35.6</v>
      </c>
      <c r="E215" s="4">
        <f t="shared" si="380"/>
        <v>0.10000000000000142</v>
      </c>
      <c r="F215" s="4">
        <v>3</v>
      </c>
      <c r="G215" s="4">
        <v>1.08</v>
      </c>
      <c r="H215" s="4">
        <v>79</v>
      </c>
      <c r="I215" s="4"/>
      <c r="J215" s="4">
        <v>49</v>
      </c>
      <c r="K215"/>
      <c r="L215"/>
      <c r="M215" s="4">
        <f t="shared" si="381"/>
        <v>35.6</v>
      </c>
      <c r="N215" s="4"/>
      <c r="O215" s="1">
        <f t="shared" si="382"/>
        <v>35.5</v>
      </c>
      <c r="P215" s="1">
        <f t="shared" si="383"/>
        <v>15.840000000000224</v>
      </c>
      <c r="Q215" s="1" t="str">
        <f t="shared" si="379"/>
        <v/>
      </c>
      <c r="R215" s="1" t="str">
        <f t="shared" si="384"/>
        <v/>
      </c>
      <c r="S215" s="1">
        <f t="shared" si="385"/>
        <v>440.92799999999897</v>
      </c>
      <c r="T215" s="1">
        <f t="shared" si="386"/>
        <v>1.08</v>
      </c>
      <c r="U215" s="1">
        <f t="shared" si="387"/>
        <v>528.0000000000075</v>
      </c>
      <c r="V215" s="1">
        <f t="shared" si="388"/>
        <v>570.24000000000819</v>
      </c>
    </row>
    <row r="216" spans="1:22" x14ac:dyDescent="0.25">
      <c r="A216" s="1">
        <v>215</v>
      </c>
      <c r="B216" s="4">
        <v>7500</v>
      </c>
      <c r="C216" s="4">
        <v>35.6</v>
      </c>
      <c r="D216" s="4">
        <v>35.700000000000003</v>
      </c>
      <c r="E216" s="4">
        <f t="shared" si="380"/>
        <v>0.10000000000000142</v>
      </c>
      <c r="F216" s="4">
        <v>0</v>
      </c>
      <c r="G216" s="4">
        <v>1.08</v>
      </c>
      <c r="H216" s="4">
        <v>79</v>
      </c>
      <c r="I216" s="4"/>
      <c r="J216" s="4">
        <v>49</v>
      </c>
      <c r="K216"/>
      <c r="L216"/>
      <c r="M216" s="4">
        <f t="shared" si="381"/>
        <v>35.700000000000003</v>
      </c>
      <c r="N216" s="4"/>
      <c r="O216" s="1">
        <f t="shared" si="382"/>
        <v>35.6</v>
      </c>
      <c r="P216" s="1">
        <f t="shared" si="383"/>
        <v>0</v>
      </c>
      <c r="Q216" s="1" t="str">
        <f t="shared" si="379"/>
        <v/>
      </c>
      <c r="R216" s="1" t="str">
        <f t="shared" si="384"/>
        <v/>
      </c>
      <c r="S216" s="1">
        <f t="shared" si="385"/>
        <v>446.63039999999904</v>
      </c>
      <c r="T216" s="1">
        <f t="shared" si="386"/>
        <v>1.08</v>
      </c>
      <c r="U216" s="1">
        <f t="shared" si="387"/>
        <v>528.0000000000075</v>
      </c>
      <c r="V216" s="1">
        <f t="shared" si="388"/>
        <v>570.24000000000819</v>
      </c>
    </row>
    <row r="217" spans="1:22" x14ac:dyDescent="0.25">
      <c r="A217" s="1">
        <v>216</v>
      </c>
      <c r="B217" s="4">
        <v>7500</v>
      </c>
      <c r="C217" s="4">
        <v>35.700000000000003</v>
      </c>
      <c r="D217" s="4">
        <v>36</v>
      </c>
      <c r="E217" s="4">
        <f t="shared" si="380"/>
        <v>0.29999999999999716</v>
      </c>
      <c r="F217" s="4">
        <v>3</v>
      </c>
      <c r="G217" s="4">
        <v>1.1000000000000001</v>
      </c>
      <c r="H217" s="4">
        <v>79</v>
      </c>
      <c r="I217" s="4"/>
      <c r="J217" s="4">
        <v>49</v>
      </c>
      <c r="K217"/>
      <c r="L217"/>
      <c r="M217" s="4">
        <f t="shared" si="381"/>
        <v>36</v>
      </c>
      <c r="N217" s="4"/>
      <c r="O217" s="1">
        <f t="shared" si="382"/>
        <v>35.700000000000003</v>
      </c>
      <c r="P217" s="1">
        <f t="shared" si="383"/>
        <v>47.519999999999541</v>
      </c>
      <c r="Q217" s="1" t="str">
        <f t="shared" si="379"/>
        <v/>
      </c>
      <c r="R217" s="1" t="str">
        <f t="shared" si="384"/>
        <v/>
      </c>
      <c r="S217" s="1">
        <f t="shared" si="385"/>
        <v>452.33279999999911</v>
      </c>
      <c r="T217" s="1">
        <f t="shared" si="386"/>
        <v>1.1000000000000001</v>
      </c>
      <c r="U217" s="1">
        <f t="shared" si="387"/>
        <v>1583.999999999985</v>
      </c>
      <c r="V217" s="1">
        <f t="shared" si="388"/>
        <v>1742.3999999999837</v>
      </c>
    </row>
    <row r="218" spans="1:22" x14ac:dyDescent="0.25">
      <c r="A218" s="1">
        <v>217</v>
      </c>
      <c r="B218" s="4">
        <v>7500</v>
      </c>
      <c r="C218" s="4">
        <v>36</v>
      </c>
      <c r="D218" s="4">
        <v>36.200000000000003</v>
      </c>
      <c r="E218" s="4">
        <f t="shared" si="380"/>
        <v>0.20000000000000284</v>
      </c>
      <c r="F218" s="4">
        <v>3</v>
      </c>
      <c r="G218" s="4">
        <v>0.96</v>
      </c>
      <c r="H218" s="4">
        <v>79</v>
      </c>
      <c r="I218" s="4"/>
      <c r="J218" s="4">
        <v>49</v>
      </c>
      <c r="K218"/>
      <c r="L218"/>
      <c r="M218" s="4">
        <f t="shared" si="381"/>
        <v>36.200000000000003</v>
      </c>
      <c r="N218" s="4"/>
      <c r="O218" s="1">
        <f t="shared" si="382"/>
        <v>36</v>
      </c>
      <c r="P218" s="1">
        <f t="shared" si="383"/>
        <v>31.680000000000447</v>
      </c>
      <c r="Q218" s="1" t="str">
        <f t="shared" si="379"/>
        <v/>
      </c>
      <c r="R218" s="1" t="str">
        <f t="shared" si="384"/>
        <v/>
      </c>
      <c r="S218" s="1">
        <f t="shared" si="385"/>
        <v>469.75679999999898</v>
      </c>
      <c r="T218" s="1">
        <f t="shared" si="386"/>
        <v>0.96</v>
      </c>
      <c r="U218" s="1">
        <f t="shared" si="387"/>
        <v>1056.000000000015</v>
      </c>
      <c r="V218" s="1">
        <f t="shared" si="388"/>
        <v>1013.7600000000143</v>
      </c>
    </row>
    <row r="219" spans="1:22" x14ac:dyDescent="0.25">
      <c r="A219" s="1">
        <v>218</v>
      </c>
      <c r="B219" s="4">
        <v>7500</v>
      </c>
      <c r="C219" s="4">
        <v>36.200000000000003</v>
      </c>
      <c r="D219" s="4">
        <v>36.300000000000004</v>
      </c>
      <c r="E219" s="4">
        <f t="shared" si="380"/>
        <v>0.10000000000000142</v>
      </c>
      <c r="F219" s="4">
        <v>0</v>
      </c>
      <c r="G219" s="4">
        <v>0.84</v>
      </c>
      <c r="H219" s="4">
        <v>79</v>
      </c>
      <c r="I219" s="4"/>
      <c r="J219" s="4">
        <v>49</v>
      </c>
      <c r="K219"/>
      <c r="L219"/>
      <c r="M219" s="4">
        <f t="shared" si="381"/>
        <v>36.300000000000004</v>
      </c>
      <c r="N219" s="4"/>
      <c r="O219" s="1">
        <f t="shared" si="382"/>
        <v>36.200000000000003</v>
      </c>
      <c r="P219" s="1">
        <f t="shared" si="383"/>
        <v>0</v>
      </c>
      <c r="Q219" s="1" t="str">
        <f t="shared" si="379"/>
        <v/>
      </c>
      <c r="R219" s="1" t="str">
        <f t="shared" si="384"/>
        <v/>
      </c>
      <c r="S219" s="1">
        <f t="shared" si="385"/>
        <v>479.89439999999911</v>
      </c>
      <c r="T219" s="1">
        <f t="shared" si="386"/>
        <v>0.84</v>
      </c>
      <c r="U219" s="1">
        <f t="shared" si="387"/>
        <v>528.0000000000075</v>
      </c>
      <c r="V219" s="1">
        <f t="shared" si="388"/>
        <v>443.52000000000629</v>
      </c>
    </row>
    <row r="220" spans="1:22" x14ac:dyDescent="0.25">
      <c r="A220" s="1">
        <v>219</v>
      </c>
      <c r="B220" s="4">
        <v>7500</v>
      </c>
      <c r="C220" s="4">
        <v>36.300000000000004</v>
      </c>
      <c r="D220" s="4">
        <v>36.4</v>
      </c>
      <c r="E220" s="4">
        <f t="shared" si="380"/>
        <v>9.9999999999994316E-2</v>
      </c>
      <c r="F220" s="4">
        <v>4.0999999999999996</v>
      </c>
      <c r="G220" s="4">
        <v>0.84</v>
      </c>
      <c r="H220" s="4">
        <v>79</v>
      </c>
      <c r="I220" s="4"/>
      <c r="J220" s="4">
        <v>49</v>
      </c>
      <c r="K220"/>
      <c r="L220"/>
      <c r="M220" s="4">
        <f t="shared" si="381"/>
        <v>36.4</v>
      </c>
      <c r="N220" s="4"/>
      <c r="O220" s="1">
        <f t="shared" si="382"/>
        <v>36.300000000000004</v>
      </c>
      <c r="P220" s="1">
        <f t="shared" si="383"/>
        <v>21.647999999998767</v>
      </c>
      <c r="Q220" s="1" t="str">
        <f t="shared" si="379"/>
        <v/>
      </c>
      <c r="R220" s="1" t="str">
        <f t="shared" si="384"/>
        <v/>
      </c>
      <c r="S220" s="1">
        <f t="shared" si="385"/>
        <v>484.32959999999917</v>
      </c>
      <c r="T220" s="1">
        <f t="shared" si="386"/>
        <v>0.84</v>
      </c>
      <c r="U220" s="1">
        <f t="shared" si="387"/>
        <v>527.99999999996999</v>
      </c>
      <c r="V220" s="1">
        <f t="shared" si="388"/>
        <v>443.5199999999748</v>
      </c>
    </row>
    <row r="221" spans="1:22" x14ac:dyDescent="0.25">
      <c r="A221" s="1">
        <v>220</v>
      </c>
      <c r="B221" s="4">
        <v>7500</v>
      </c>
      <c r="C221" s="4">
        <v>36.4</v>
      </c>
      <c r="D221" s="4">
        <v>36.5</v>
      </c>
      <c r="E221" s="4">
        <f t="shared" si="380"/>
        <v>0.10000000000000142</v>
      </c>
      <c r="F221" s="4">
        <v>4.0999999999999996</v>
      </c>
      <c r="G221" s="4">
        <v>-0.34</v>
      </c>
      <c r="H221" s="4">
        <v>79</v>
      </c>
      <c r="I221" s="4"/>
      <c r="J221" s="4">
        <v>49</v>
      </c>
      <c r="K221"/>
      <c r="L221"/>
      <c r="M221" s="4">
        <f t="shared" si="381"/>
        <v>36.5</v>
      </c>
      <c r="N221" s="4"/>
      <c r="O221" s="1">
        <f t="shared" si="382"/>
        <v>36.4</v>
      </c>
      <c r="P221" s="1">
        <f t="shared" si="383"/>
        <v>21.648000000000305</v>
      </c>
      <c r="Q221" s="1" t="str">
        <f t="shared" si="379"/>
        <v/>
      </c>
      <c r="R221" s="1" t="str">
        <f t="shared" si="384"/>
        <v/>
      </c>
      <c r="S221" s="1">
        <f t="shared" si="385"/>
        <v>488.7647999999989</v>
      </c>
      <c r="T221" s="1">
        <f t="shared" si="386"/>
        <v>-0.34</v>
      </c>
      <c r="U221" s="1">
        <f t="shared" si="387"/>
        <v>528.0000000000075</v>
      </c>
      <c r="V221" s="1">
        <f t="shared" si="388"/>
        <v>179.52000000000257</v>
      </c>
    </row>
    <row r="222" spans="1:22" x14ac:dyDescent="0.25">
      <c r="A222" s="1">
        <v>221</v>
      </c>
      <c r="B222" s="4">
        <v>7500</v>
      </c>
      <c r="C222" s="4">
        <v>36.5</v>
      </c>
      <c r="D222" s="4">
        <v>36.700000000000003</v>
      </c>
      <c r="E222" s="4">
        <f t="shared" si="380"/>
        <v>0.20000000000000284</v>
      </c>
      <c r="F222" s="4">
        <v>4.0999999999999996</v>
      </c>
      <c r="G222" s="4">
        <v>0.9</v>
      </c>
      <c r="H222" s="4">
        <v>79</v>
      </c>
      <c r="I222" s="4"/>
      <c r="J222" s="4">
        <v>49</v>
      </c>
      <c r="K222"/>
      <c r="L222"/>
      <c r="M222" s="4">
        <f t="shared" si="381"/>
        <v>36.700000000000003</v>
      </c>
      <c r="N222" s="4"/>
      <c r="O222" s="1">
        <f t="shared" si="382"/>
        <v>36.5</v>
      </c>
      <c r="P222" s="1">
        <f t="shared" si="383"/>
        <v>43.29600000000061</v>
      </c>
      <c r="Q222" s="1" t="str">
        <f t="shared" si="379"/>
        <v/>
      </c>
      <c r="R222" s="1" t="str">
        <f t="shared" si="384"/>
        <v/>
      </c>
      <c r="S222" s="1">
        <f t="shared" si="385"/>
        <v>486.96959999999888</v>
      </c>
      <c r="T222" s="1">
        <f t="shared" si="386"/>
        <v>0.9</v>
      </c>
      <c r="U222" s="1">
        <f t="shared" si="387"/>
        <v>1056.000000000015</v>
      </c>
      <c r="V222" s="1">
        <f t="shared" si="388"/>
        <v>950.40000000001351</v>
      </c>
    </row>
    <row r="223" spans="1:22" x14ac:dyDescent="0.25">
      <c r="A223" s="1">
        <v>222</v>
      </c>
      <c r="B223" s="4">
        <v>7500</v>
      </c>
      <c r="C223" s="4">
        <v>36.700000000000003</v>
      </c>
      <c r="D223" s="4">
        <v>37</v>
      </c>
      <c r="E223" s="4">
        <f t="shared" si="380"/>
        <v>0.29999999999999716</v>
      </c>
      <c r="F223" s="4">
        <v>4.0999999999999996</v>
      </c>
      <c r="G223" s="4">
        <v>0.93</v>
      </c>
      <c r="H223" s="4">
        <v>79</v>
      </c>
      <c r="I223" s="4"/>
      <c r="J223" s="4">
        <v>49</v>
      </c>
      <c r="K223"/>
      <c r="L223"/>
      <c r="M223" s="4">
        <f t="shared" si="381"/>
        <v>37</v>
      </c>
      <c r="N223" s="4"/>
      <c r="O223" s="1">
        <f t="shared" si="382"/>
        <v>36.700000000000003</v>
      </c>
      <c r="P223" s="1">
        <f t="shared" si="383"/>
        <v>64.943999999999377</v>
      </c>
      <c r="Q223" s="1" t="str">
        <f t="shared" si="379"/>
        <v/>
      </c>
      <c r="R223" s="1" t="str">
        <f t="shared" si="384"/>
        <v/>
      </c>
      <c r="S223" s="1">
        <f t="shared" si="385"/>
        <v>496.47359999999901</v>
      </c>
      <c r="T223" s="1">
        <f t="shared" si="386"/>
        <v>0.93</v>
      </c>
      <c r="U223" s="1">
        <f t="shared" si="387"/>
        <v>1583.999999999985</v>
      </c>
      <c r="V223" s="1">
        <f t="shared" si="388"/>
        <v>1473.119999999986</v>
      </c>
    </row>
    <row r="224" spans="1:22" x14ac:dyDescent="0.25">
      <c r="A224" s="1">
        <v>223</v>
      </c>
      <c r="B224" s="4">
        <v>7500</v>
      </c>
      <c r="C224" s="4">
        <v>37</v>
      </c>
      <c r="D224" s="4">
        <v>37.1</v>
      </c>
      <c r="E224" s="4">
        <f t="shared" si="380"/>
        <v>0.10000000000000142</v>
      </c>
      <c r="F224" s="4">
        <v>0</v>
      </c>
      <c r="G224" s="4">
        <v>0.93</v>
      </c>
      <c r="H224" s="4">
        <v>79</v>
      </c>
      <c r="I224" s="4"/>
      <c r="J224" s="4">
        <v>49</v>
      </c>
      <c r="K224"/>
      <c r="L224"/>
      <c r="M224" s="4">
        <f t="shared" si="381"/>
        <v>37.1</v>
      </c>
      <c r="N224" s="4"/>
      <c r="O224" s="1">
        <f t="shared" si="382"/>
        <v>37</v>
      </c>
      <c r="P224" s="1">
        <f t="shared" si="383"/>
        <v>0</v>
      </c>
      <c r="Q224" s="1" t="str">
        <f t="shared" si="379"/>
        <v/>
      </c>
      <c r="R224" s="1" t="str">
        <f t="shared" si="384"/>
        <v/>
      </c>
      <c r="S224" s="1">
        <f t="shared" si="385"/>
        <v>511.2047999999989</v>
      </c>
      <c r="T224" s="1">
        <f t="shared" si="386"/>
        <v>0.93</v>
      </c>
      <c r="U224" s="1">
        <f t="shared" si="387"/>
        <v>528.0000000000075</v>
      </c>
      <c r="V224" s="1">
        <f t="shared" si="388"/>
        <v>491.04000000000701</v>
      </c>
    </row>
    <row r="225" spans="1:22" x14ac:dyDescent="0.25">
      <c r="A225" s="1">
        <v>224</v>
      </c>
      <c r="B225" s="4">
        <v>7500</v>
      </c>
      <c r="C225" s="4">
        <v>37.1</v>
      </c>
      <c r="D225" s="4">
        <v>37.4</v>
      </c>
      <c r="E225" s="4">
        <f t="shared" si="380"/>
        <v>0.29999999999999716</v>
      </c>
      <c r="F225" s="4">
        <v>0</v>
      </c>
      <c r="G225" s="4">
        <v>0.57999999999999996</v>
      </c>
      <c r="H225" s="4">
        <v>79</v>
      </c>
      <c r="I225" s="4"/>
      <c r="J225" s="4">
        <v>49</v>
      </c>
      <c r="K225"/>
      <c r="L225"/>
      <c r="M225" s="4">
        <f t="shared" si="381"/>
        <v>37.4</v>
      </c>
      <c r="N225" s="4"/>
      <c r="O225" s="1">
        <f t="shared" si="382"/>
        <v>37.1</v>
      </c>
      <c r="P225" s="1">
        <f t="shared" si="383"/>
        <v>0</v>
      </c>
      <c r="Q225" s="1" t="str">
        <f t="shared" si="379"/>
        <v/>
      </c>
      <c r="R225" s="1" t="str">
        <f t="shared" si="384"/>
        <v/>
      </c>
      <c r="S225" s="1">
        <f t="shared" si="385"/>
        <v>516.11519999999894</v>
      </c>
      <c r="T225" s="1">
        <f t="shared" si="386"/>
        <v>0.57999999999999996</v>
      </c>
      <c r="U225" s="1">
        <f t="shared" si="387"/>
        <v>1583.999999999985</v>
      </c>
      <c r="V225" s="1">
        <f t="shared" si="388"/>
        <v>918.71999999999127</v>
      </c>
    </row>
    <row r="226" spans="1:22" x14ac:dyDescent="0.25">
      <c r="A226" s="1">
        <v>225</v>
      </c>
      <c r="B226" s="4">
        <v>7500</v>
      </c>
      <c r="C226" s="4">
        <v>37.4</v>
      </c>
      <c r="D226" s="4">
        <v>37.700000000000003</v>
      </c>
      <c r="E226" s="4">
        <f t="shared" si="380"/>
        <v>0.30000000000000426</v>
      </c>
      <c r="F226" s="4">
        <v>0</v>
      </c>
      <c r="G226" s="4">
        <v>1.01</v>
      </c>
      <c r="H226" s="4">
        <v>79</v>
      </c>
      <c r="I226" s="4"/>
      <c r="J226" s="4">
        <v>49</v>
      </c>
      <c r="K226"/>
      <c r="L226"/>
      <c r="M226" s="4">
        <f t="shared" si="381"/>
        <v>37.700000000000003</v>
      </c>
      <c r="N226" s="4"/>
      <c r="O226" s="1">
        <f t="shared" si="382"/>
        <v>37.4</v>
      </c>
      <c r="P226" s="1">
        <f t="shared" si="383"/>
        <v>0</v>
      </c>
      <c r="Q226" s="1" t="str">
        <f t="shared" si="379"/>
        <v/>
      </c>
      <c r="R226" s="1" t="str">
        <f t="shared" si="384"/>
        <v/>
      </c>
      <c r="S226" s="1">
        <f t="shared" si="385"/>
        <v>525.3023999999989</v>
      </c>
      <c r="T226" s="1">
        <f t="shared" si="386"/>
        <v>1.01</v>
      </c>
      <c r="U226" s="1">
        <f t="shared" si="387"/>
        <v>1584.0000000000225</v>
      </c>
      <c r="V226" s="1">
        <f t="shared" si="388"/>
        <v>1599.8400000000227</v>
      </c>
    </row>
    <row r="227" spans="1:22" x14ac:dyDescent="0.25">
      <c r="A227" s="1">
        <v>226</v>
      </c>
      <c r="B227" s="4">
        <v>7500</v>
      </c>
      <c r="C227" s="4">
        <v>37.700000000000003</v>
      </c>
      <c r="D227" s="4">
        <v>37.800000000000004</v>
      </c>
      <c r="E227" s="4">
        <f t="shared" si="380"/>
        <v>0.10000000000000142</v>
      </c>
      <c r="F227" s="4">
        <v>2.2000000000000002</v>
      </c>
      <c r="G227" s="4">
        <v>1.01</v>
      </c>
      <c r="H227" s="4">
        <v>79</v>
      </c>
      <c r="I227" s="4"/>
      <c r="J227" s="4">
        <v>49</v>
      </c>
      <c r="K227"/>
      <c r="L227"/>
      <c r="M227" s="4">
        <f t="shared" si="381"/>
        <v>37.800000000000004</v>
      </c>
      <c r="N227" s="4"/>
      <c r="O227" s="1">
        <f t="shared" si="382"/>
        <v>37.700000000000003</v>
      </c>
      <c r="P227" s="1">
        <f t="shared" si="383"/>
        <v>11.616000000000165</v>
      </c>
      <c r="Q227" s="1" t="str">
        <f t="shared" si="379"/>
        <v/>
      </c>
      <c r="R227" s="1" t="str">
        <f t="shared" si="384"/>
        <v/>
      </c>
      <c r="S227" s="1">
        <f t="shared" si="385"/>
        <v>541.30079999999907</v>
      </c>
      <c r="T227" s="1">
        <f t="shared" si="386"/>
        <v>1.01</v>
      </c>
      <c r="U227" s="1">
        <f t="shared" si="387"/>
        <v>528.0000000000075</v>
      </c>
      <c r="V227" s="1">
        <f t="shared" si="388"/>
        <v>533.28000000000759</v>
      </c>
    </row>
    <row r="228" spans="1:22" x14ac:dyDescent="0.25">
      <c r="A228" s="1">
        <v>227</v>
      </c>
      <c r="B228" s="4">
        <v>7500</v>
      </c>
      <c r="C228" s="4">
        <v>37.800000000000004</v>
      </c>
      <c r="D228" s="4">
        <v>37.9</v>
      </c>
      <c r="E228" s="4">
        <f t="shared" si="380"/>
        <v>9.9999999999994316E-2</v>
      </c>
      <c r="F228" s="4">
        <v>0</v>
      </c>
      <c r="G228" s="4">
        <v>0.52</v>
      </c>
      <c r="H228" s="4">
        <v>79</v>
      </c>
      <c r="I228" s="4"/>
      <c r="J228" s="4">
        <v>49</v>
      </c>
      <c r="K228"/>
      <c r="L228"/>
      <c r="M228" s="4">
        <f t="shared" si="381"/>
        <v>37.9</v>
      </c>
      <c r="N228" s="4"/>
      <c r="O228" s="1">
        <f t="shared" si="382"/>
        <v>37.800000000000004</v>
      </c>
      <c r="P228" s="1">
        <f t="shared" si="383"/>
        <v>0</v>
      </c>
      <c r="Q228" s="1" t="str">
        <f t="shared" si="379"/>
        <v/>
      </c>
      <c r="R228" s="1" t="str">
        <f t="shared" si="384"/>
        <v/>
      </c>
      <c r="S228" s="1">
        <f t="shared" si="385"/>
        <v>546.63359999999909</v>
      </c>
      <c r="T228" s="1">
        <f t="shared" si="386"/>
        <v>0.52</v>
      </c>
      <c r="U228" s="1">
        <f t="shared" si="387"/>
        <v>527.99999999996999</v>
      </c>
      <c r="V228" s="1">
        <f t="shared" si="388"/>
        <v>274.55999999998443</v>
      </c>
    </row>
    <row r="229" spans="1:22" x14ac:dyDescent="0.25">
      <c r="A229" s="1">
        <v>228</v>
      </c>
      <c r="B229" s="4">
        <v>7500</v>
      </c>
      <c r="C229" s="4">
        <v>37.9</v>
      </c>
      <c r="D229" s="4">
        <v>38.200000000000003</v>
      </c>
      <c r="E229" s="4">
        <f t="shared" si="380"/>
        <v>0.30000000000000426</v>
      </c>
      <c r="F229" s="4">
        <v>0</v>
      </c>
      <c r="G229" s="4">
        <v>-0.45</v>
      </c>
      <c r="H229" s="4">
        <v>79</v>
      </c>
      <c r="I229" s="4"/>
      <c r="J229" s="4">
        <v>49</v>
      </c>
      <c r="K229"/>
      <c r="L229"/>
      <c r="M229" s="4">
        <f t="shared" si="381"/>
        <v>38.200000000000003</v>
      </c>
      <c r="N229" s="4"/>
      <c r="O229" s="1">
        <f t="shared" si="382"/>
        <v>37.9</v>
      </c>
      <c r="P229" s="1">
        <f t="shared" si="383"/>
        <v>0</v>
      </c>
      <c r="Q229" s="1" t="str">
        <f t="shared" si="379"/>
        <v/>
      </c>
      <c r="R229" s="1" t="str">
        <f t="shared" si="384"/>
        <v/>
      </c>
      <c r="S229" s="1">
        <f t="shared" si="385"/>
        <v>549.37919999999895</v>
      </c>
      <c r="T229" s="1">
        <f t="shared" si="386"/>
        <v>-0.45</v>
      </c>
      <c r="U229" s="1">
        <f t="shared" si="387"/>
        <v>1584.0000000000225</v>
      </c>
      <c r="V229" s="1">
        <f t="shared" si="388"/>
        <v>712.80000000001019</v>
      </c>
    </row>
    <row r="230" spans="1:22" x14ac:dyDescent="0.25">
      <c r="A230" s="1">
        <v>229</v>
      </c>
      <c r="B230" s="4">
        <v>7500</v>
      </c>
      <c r="C230" s="4">
        <v>38.200000000000003</v>
      </c>
      <c r="D230" s="4">
        <v>38.300000000000004</v>
      </c>
      <c r="E230" s="4">
        <f t="shared" si="380"/>
        <v>0.10000000000000142</v>
      </c>
      <c r="F230" s="4">
        <v>0</v>
      </c>
      <c r="G230" s="4">
        <v>-0.94</v>
      </c>
      <c r="H230" s="4">
        <v>79</v>
      </c>
      <c r="I230" s="4"/>
      <c r="J230" s="4">
        <v>49</v>
      </c>
      <c r="K230"/>
      <c r="L230"/>
      <c r="M230" s="4">
        <f t="shared" si="381"/>
        <v>38.300000000000004</v>
      </c>
      <c r="N230" s="4"/>
      <c r="O230" s="1">
        <f t="shared" si="382"/>
        <v>38.200000000000003</v>
      </c>
      <c r="P230" s="1">
        <f t="shared" si="383"/>
        <v>0</v>
      </c>
      <c r="Q230" s="1" t="str">
        <f t="shared" si="379"/>
        <v/>
      </c>
      <c r="R230" s="1" t="str">
        <f t="shared" si="384"/>
        <v/>
      </c>
      <c r="S230" s="1">
        <f t="shared" si="385"/>
        <v>542.25119999999879</v>
      </c>
      <c r="T230" s="1">
        <f t="shared" si="386"/>
        <v>-0.94</v>
      </c>
      <c r="U230" s="1">
        <f t="shared" si="387"/>
        <v>528.0000000000075</v>
      </c>
      <c r="V230" s="1">
        <f t="shared" si="388"/>
        <v>496.32000000000704</v>
      </c>
    </row>
    <row r="231" spans="1:22" x14ac:dyDescent="0.25">
      <c r="A231" s="1">
        <v>230</v>
      </c>
      <c r="B231" s="4">
        <v>7500</v>
      </c>
      <c r="C231" s="4">
        <v>38.300000000000004</v>
      </c>
      <c r="D231" s="4">
        <v>38.5</v>
      </c>
      <c r="E231" s="4">
        <f t="shared" si="380"/>
        <v>0.19999999999999574</v>
      </c>
      <c r="F231" s="4">
        <v>3.1</v>
      </c>
      <c r="G231" s="4">
        <v>-0.94</v>
      </c>
      <c r="H231" s="4">
        <v>79</v>
      </c>
      <c r="I231" s="4"/>
      <c r="J231" s="4">
        <v>49</v>
      </c>
      <c r="K231"/>
      <c r="L231"/>
      <c r="M231" s="4">
        <f t="shared" si="381"/>
        <v>38.5</v>
      </c>
      <c r="N231" s="4"/>
      <c r="O231" s="1">
        <f t="shared" si="382"/>
        <v>38.300000000000004</v>
      </c>
      <c r="P231" s="1">
        <f t="shared" si="383"/>
        <v>32.735999999999301</v>
      </c>
      <c r="Q231" s="1" t="str">
        <f t="shared" si="379"/>
        <v/>
      </c>
      <c r="R231" s="1" t="str">
        <f t="shared" si="384"/>
        <v/>
      </c>
      <c r="S231" s="1">
        <f t="shared" si="385"/>
        <v>537.28799999999876</v>
      </c>
      <c r="T231" s="1">
        <f t="shared" si="386"/>
        <v>-0.94</v>
      </c>
      <c r="U231" s="1">
        <f t="shared" si="387"/>
        <v>1055.9999999999775</v>
      </c>
      <c r="V231" s="1">
        <f t="shared" si="388"/>
        <v>992.63999999997884</v>
      </c>
    </row>
    <row r="232" spans="1:22" x14ac:dyDescent="0.25">
      <c r="A232" s="1">
        <v>231</v>
      </c>
      <c r="B232" s="4">
        <v>7500</v>
      </c>
      <c r="C232" s="4">
        <v>38.5</v>
      </c>
      <c r="D232" s="4">
        <v>38.700000000000003</v>
      </c>
      <c r="E232" s="4">
        <f t="shared" si="380"/>
        <v>0.20000000000000284</v>
      </c>
      <c r="F232" s="4">
        <v>0</v>
      </c>
      <c r="G232" s="4">
        <v>-0.71</v>
      </c>
      <c r="H232" s="4">
        <v>79</v>
      </c>
      <c r="I232" s="4"/>
      <c r="J232" s="4">
        <v>49</v>
      </c>
      <c r="K232"/>
      <c r="L232"/>
      <c r="M232" s="4">
        <f t="shared" si="381"/>
        <v>38.700000000000003</v>
      </c>
      <c r="N232" s="4"/>
      <c r="O232" s="1">
        <f t="shared" si="382"/>
        <v>38.5</v>
      </c>
      <c r="P232" s="1">
        <f t="shared" si="383"/>
        <v>0</v>
      </c>
      <c r="Q232" s="1" t="str">
        <f t="shared" si="379"/>
        <v/>
      </c>
      <c r="R232" s="1" t="str">
        <f t="shared" si="384"/>
        <v/>
      </c>
      <c r="S232" s="1">
        <f t="shared" si="385"/>
        <v>527.36159999999893</v>
      </c>
      <c r="T232" s="1">
        <f t="shared" si="386"/>
        <v>-0.71</v>
      </c>
      <c r="U232" s="1">
        <f t="shared" si="387"/>
        <v>1056.000000000015</v>
      </c>
      <c r="V232" s="1">
        <f t="shared" si="388"/>
        <v>749.76000000001056</v>
      </c>
    </row>
    <row r="233" spans="1:22" x14ac:dyDescent="0.25">
      <c r="A233" s="1">
        <v>232</v>
      </c>
      <c r="B233" s="4">
        <v>7500</v>
      </c>
      <c r="C233" s="4">
        <v>38.700000000000003</v>
      </c>
      <c r="D233" s="4">
        <v>38.9</v>
      </c>
      <c r="E233" s="4">
        <f t="shared" si="380"/>
        <v>0.19999999999999574</v>
      </c>
      <c r="F233" s="4">
        <v>1.9</v>
      </c>
      <c r="G233" s="4">
        <v>-0.16</v>
      </c>
      <c r="H233" s="4">
        <v>79</v>
      </c>
      <c r="I233" s="4"/>
      <c r="J233" s="4">
        <v>49</v>
      </c>
      <c r="K233"/>
      <c r="L233"/>
      <c r="M233" s="4">
        <f t="shared" si="381"/>
        <v>38.9</v>
      </c>
      <c r="N233" s="4"/>
      <c r="O233" s="1">
        <f t="shared" si="382"/>
        <v>38.700000000000003</v>
      </c>
      <c r="P233" s="1">
        <f t="shared" si="383"/>
        <v>20.06399999999957</v>
      </c>
      <c r="Q233" s="1" t="str">
        <f t="shared" si="379"/>
        <v/>
      </c>
      <c r="R233" s="1" t="str">
        <f t="shared" si="384"/>
        <v/>
      </c>
      <c r="S233" s="1">
        <f t="shared" si="385"/>
        <v>519.86399999999878</v>
      </c>
      <c r="T233" s="1">
        <f t="shared" si="386"/>
        <v>-0.16</v>
      </c>
      <c r="U233" s="1">
        <f t="shared" si="387"/>
        <v>1055.9999999999775</v>
      </c>
      <c r="V233" s="1">
        <f t="shared" si="388"/>
        <v>168.9599999999964</v>
      </c>
    </row>
    <row r="234" spans="1:22" x14ac:dyDescent="0.25">
      <c r="A234" s="1">
        <v>233</v>
      </c>
      <c r="B234" s="4">
        <v>7500</v>
      </c>
      <c r="C234" s="4">
        <v>38.9</v>
      </c>
      <c r="D234" s="4">
        <v>39</v>
      </c>
      <c r="E234" s="4">
        <f t="shared" si="380"/>
        <v>0.10000000000000142</v>
      </c>
      <c r="F234" s="4">
        <v>0</v>
      </c>
      <c r="G234" s="4">
        <v>0.09</v>
      </c>
      <c r="H234" s="4">
        <v>79</v>
      </c>
      <c r="I234" s="4"/>
      <c r="J234" s="4">
        <v>49</v>
      </c>
      <c r="K234"/>
      <c r="L234"/>
      <c r="M234" s="4">
        <f t="shared" si="381"/>
        <v>39</v>
      </c>
      <c r="N234" s="4"/>
      <c r="O234" s="1">
        <f t="shared" si="382"/>
        <v>38.9</v>
      </c>
      <c r="P234" s="1">
        <f t="shared" si="383"/>
        <v>0</v>
      </c>
      <c r="Q234" s="1" t="str">
        <f t="shared" si="379"/>
        <v/>
      </c>
      <c r="R234" s="1" t="str">
        <f t="shared" si="384"/>
        <v/>
      </c>
      <c r="S234" s="1">
        <f t="shared" si="385"/>
        <v>518.17439999999885</v>
      </c>
      <c r="T234" s="1">
        <f t="shared" si="386"/>
        <v>0.09</v>
      </c>
      <c r="U234" s="1">
        <f t="shared" si="387"/>
        <v>528.0000000000075</v>
      </c>
      <c r="V234" s="1">
        <f t="shared" si="388"/>
        <v>47.520000000000671</v>
      </c>
    </row>
    <row r="235" spans="1:22" x14ac:dyDescent="0.25">
      <c r="A235" s="1">
        <v>234</v>
      </c>
      <c r="B235" s="4">
        <v>7500</v>
      </c>
      <c r="C235" s="4">
        <v>39</v>
      </c>
      <c r="D235" s="4">
        <v>39.200000000000003</v>
      </c>
      <c r="E235" s="4">
        <f t="shared" si="380"/>
        <v>0.20000000000000284</v>
      </c>
      <c r="F235" s="4">
        <v>3.2</v>
      </c>
      <c r="G235" s="4">
        <v>0.09</v>
      </c>
      <c r="H235" s="4">
        <v>79</v>
      </c>
      <c r="I235" s="4"/>
      <c r="J235" s="4">
        <v>49</v>
      </c>
      <c r="K235"/>
      <c r="L235"/>
      <c r="M235" s="4">
        <f t="shared" si="381"/>
        <v>39.200000000000003</v>
      </c>
      <c r="N235" s="4"/>
      <c r="O235" s="1">
        <f t="shared" si="382"/>
        <v>39</v>
      </c>
      <c r="P235" s="1">
        <f t="shared" si="383"/>
        <v>33.792000000000485</v>
      </c>
      <c r="Q235" s="1" t="str">
        <f t="shared" si="379"/>
        <v/>
      </c>
      <c r="R235" s="1" t="str">
        <f t="shared" si="384"/>
        <v/>
      </c>
      <c r="S235" s="1">
        <f t="shared" si="385"/>
        <v>518.64959999999883</v>
      </c>
      <c r="T235" s="1">
        <f t="shared" si="386"/>
        <v>0.09</v>
      </c>
      <c r="U235" s="1">
        <f t="shared" si="387"/>
        <v>1056.000000000015</v>
      </c>
      <c r="V235" s="1">
        <f t="shared" si="388"/>
        <v>95.040000000001342</v>
      </c>
    </row>
    <row r="236" spans="1:22" x14ac:dyDescent="0.25">
      <c r="A236" s="1">
        <v>235</v>
      </c>
      <c r="B236" s="4">
        <v>7500</v>
      </c>
      <c r="C236" s="4">
        <v>39.200000000000003</v>
      </c>
      <c r="D236" s="4">
        <v>39.4</v>
      </c>
      <c r="E236" s="4">
        <f t="shared" si="380"/>
        <v>0.19999999999999574</v>
      </c>
      <c r="F236" s="4">
        <v>3.2</v>
      </c>
      <c r="G236" s="4">
        <v>-1.1000000000000001</v>
      </c>
      <c r="H236" s="4">
        <v>79</v>
      </c>
      <c r="I236" s="4"/>
      <c r="J236" s="4">
        <v>49</v>
      </c>
      <c r="K236"/>
      <c r="L236"/>
      <c r="M236" s="4">
        <f t="shared" si="381"/>
        <v>39.4</v>
      </c>
      <c r="N236" s="4"/>
      <c r="O236" s="1">
        <f t="shared" si="382"/>
        <v>39.200000000000003</v>
      </c>
      <c r="P236" s="1">
        <f t="shared" si="383"/>
        <v>33.791999999999284</v>
      </c>
      <c r="Q236" s="1" t="str">
        <f t="shared" si="379"/>
        <v/>
      </c>
      <c r="R236" s="1" t="str">
        <f t="shared" si="384"/>
        <v/>
      </c>
      <c r="S236" s="1">
        <f t="shared" si="385"/>
        <v>519.59999999999889</v>
      </c>
      <c r="T236" s="1">
        <f t="shared" si="386"/>
        <v>-1.1000000000000001</v>
      </c>
      <c r="U236" s="1">
        <f t="shared" si="387"/>
        <v>1055.9999999999775</v>
      </c>
      <c r="V236" s="1">
        <f t="shared" si="388"/>
        <v>1161.5999999999754</v>
      </c>
    </row>
    <row r="237" spans="1:22" x14ac:dyDescent="0.25">
      <c r="A237" s="1">
        <v>236</v>
      </c>
      <c r="B237" s="4">
        <v>7500</v>
      </c>
      <c r="C237" s="4">
        <v>39.4</v>
      </c>
      <c r="D237" s="4">
        <v>39.5</v>
      </c>
      <c r="E237" s="4">
        <f t="shared" si="380"/>
        <v>0.10000000000000142</v>
      </c>
      <c r="F237" s="4">
        <v>0</v>
      </c>
      <c r="G237" s="4">
        <v>-1.04</v>
      </c>
      <c r="H237" s="4">
        <v>79</v>
      </c>
      <c r="I237" s="4"/>
      <c r="J237" s="4">
        <v>49</v>
      </c>
      <c r="K237"/>
      <c r="L237"/>
      <c r="M237" s="4">
        <f t="shared" si="381"/>
        <v>39.5</v>
      </c>
      <c r="N237" s="4"/>
      <c r="O237" s="1">
        <f t="shared" si="382"/>
        <v>39.4</v>
      </c>
      <c r="P237" s="1">
        <f t="shared" si="383"/>
        <v>0</v>
      </c>
      <c r="Q237" s="1" t="str">
        <f t="shared" si="379"/>
        <v/>
      </c>
      <c r="R237" s="1" t="str">
        <f t="shared" si="384"/>
        <v/>
      </c>
      <c r="S237" s="1">
        <f t="shared" si="385"/>
        <v>507.98399999999913</v>
      </c>
      <c r="T237" s="1">
        <f t="shared" si="386"/>
        <v>-1.04</v>
      </c>
      <c r="U237" s="1">
        <f t="shared" si="387"/>
        <v>528.0000000000075</v>
      </c>
      <c r="V237" s="1">
        <f t="shared" si="388"/>
        <v>549.12000000000785</v>
      </c>
    </row>
    <row r="238" spans="1:22" x14ac:dyDescent="0.25">
      <c r="A238" s="1">
        <v>237</v>
      </c>
      <c r="B238" s="4">
        <v>7500</v>
      </c>
      <c r="C238" s="4">
        <v>39.5</v>
      </c>
      <c r="D238" s="4">
        <v>39.6</v>
      </c>
      <c r="E238" s="4">
        <f t="shared" si="380"/>
        <v>0.10000000000000142</v>
      </c>
      <c r="F238" s="4">
        <v>0</v>
      </c>
      <c r="G238" s="4">
        <v>-0.94</v>
      </c>
      <c r="H238" s="4">
        <v>79</v>
      </c>
      <c r="I238" s="4"/>
      <c r="J238" s="4">
        <v>49</v>
      </c>
      <c r="K238"/>
      <c r="L238"/>
      <c r="M238" s="4">
        <f t="shared" si="381"/>
        <v>39.6</v>
      </c>
      <c r="N238" s="4"/>
      <c r="O238" s="1">
        <f t="shared" si="382"/>
        <v>39.5</v>
      </c>
      <c r="P238" s="1">
        <f t="shared" si="383"/>
        <v>0</v>
      </c>
      <c r="Q238" s="1" t="str">
        <f t="shared" si="379"/>
        <v/>
      </c>
      <c r="R238" s="1" t="str">
        <f t="shared" si="384"/>
        <v/>
      </c>
      <c r="S238" s="1">
        <f t="shared" si="385"/>
        <v>502.49279999999902</v>
      </c>
      <c r="T238" s="1">
        <f t="shared" si="386"/>
        <v>-0.94</v>
      </c>
      <c r="U238" s="1">
        <f t="shared" si="387"/>
        <v>528.0000000000075</v>
      </c>
      <c r="V238" s="1">
        <f t="shared" si="388"/>
        <v>496.32000000000704</v>
      </c>
    </row>
    <row r="239" spans="1:22" x14ac:dyDescent="0.25">
      <c r="A239" s="1">
        <v>238</v>
      </c>
      <c r="B239" s="4">
        <v>7500</v>
      </c>
      <c r="C239" s="4">
        <v>39.6</v>
      </c>
      <c r="D239" s="4">
        <v>39.800000000000004</v>
      </c>
      <c r="E239" s="4">
        <f t="shared" si="380"/>
        <v>0.20000000000000284</v>
      </c>
      <c r="F239" s="4">
        <v>4.3</v>
      </c>
      <c r="G239" s="4">
        <v>-0.88</v>
      </c>
      <c r="H239" s="4">
        <v>79</v>
      </c>
      <c r="I239" s="4"/>
      <c r="J239" s="4">
        <v>49</v>
      </c>
      <c r="K239"/>
      <c r="L239"/>
      <c r="M239" s="4">
        <f t="shared" si="381"/>
        <v>39.800000000000004</v>
      </c>
      <c r="N239" s="4"/>
      <c r="O239" s="1">
        <f t="shared" si="382"/>
        <v>39.6</v>
      </c>
      <c r="P239" s="1">
        <f t="shared" si="383"/>
        <v>45.408000000000641</v>
      </c>
      <c r="Q239" s="1" t="str">
        <f t="shared" si="379"/>
        <v/>
      </c>
      <c r="R239" s="1" t="str">
        <f t="shared" si="384"/>
        <v/>
      </c>
      <c r="S239" s="1">
        <f t="shared" si="385"/>
        <v>497.52959999999894</v>
      </c>
      <c r="T239" s="1">
        <f t="shared" si="386"/>
        <v>-0.88</v>
      </c>
      <c r="U239" s="1">
        <f t="shared" si="387"/>
        <v>1056.000000000015</v>
      </c>
      <c r="V239" s="1">
        <f t="shared" si="388"/>
        <v>929.28000000001316</v>
      </c>
    </row>
    <row r="240" spans="1:22" x14ac:dyDescent="0.25">
      <c r="A240" s="1">
        <v>239</v>
      </c>
      <c r="B240" s="4">
        <v>7500</v>
      </c>
      <c r="C240" s="4">
        <v>39.800000000000004</v>
      </c>
      <c r="D240" s="4">
        <v>40.1</v>
      </c>
      <c r="E240" s="4">
        <f t="shared" si="380"/>
        <v>0.29999999999999716</v>
      </c>
      <c r="F240" s="4">
        <v>3.5</v>
      </c>
      <c r="G240" s="4">
        <v>-0.85</v>
      </c>
      <c r="H240" s="4">
        <v>79</v>
      </c>
      <c r="I240" s="4"/>
      <c r="J240" s="4">
        <v>49</v>
      </c>
      <c r="K240"/>
      <c r="L240"/>
      <c r="M240" s="4">
        <f t="shared" si="381"/>
        <v>40.1</v>
      </c>
      <c r="N240" s="4"/>
      <c r="O240" s="1">
        <f t="shared" si="382"/>
        <v>39.800000000000004</v>
      </c>
      <c r="P240" s="1">
        <f t="shared" si="383"/>
        <v>55.439999999999472</v>
      </c>
      <c r="Q240" s="1" t="str">
        <f t="shared" si="379"/>
        <v/>
      </c>
      <c r="R240" s="1" t="str">
        <f t="shared" si="384"/>
        <v/>
      </c>
      <c r="S240" s="1">
        <f t="shared" si="385"/>
        <v>488.23679999999882</v>
      </c>
      <c r="T240" s="1">
        <f t="shared" si="386"/>
        <v>-0.85</v>
      </c>
      <c r="U240" s="1">
        <f t="shared" si="387"/>
        <v>1583.999999999985</v>
      </c>
      <c r="V240" s="1">
        <f t="shared" si="388"/>
        <v>1346.3999999999871</v>
      </c>
    </row>
    <row r="241" spans="1:22" x14ac:dyDescent="0.25">
      <c r="A241" s="1">
        <v>240</v>
      </c>
      <c r="B241" s="4">
        <v>7500</v>
      </c>
      <c r="C241" s="4">
        <v>40.1</v>
      </c>
      <c r="D241" s="4">
        <v>40.4</v>
      </c>
      <c r="E241" s="4">
        <f t="shared" si="380"/>
        <v>0.29999999999999716</v>
      </c>
      <c r="F241" s="4">
        <v>0</v>
      </c>
      <c r="G241" s="4">
        <v>-0.11</v>
      </c>
      <c r="H241" s="4">
        <v>79</v>
      </c>
      <c r="I241" s="4"/>
      <c r="J241" s="4">
        <v>49</v>
      </c>
      <c r="K241"/>
      <c r="L241"/>
      <c r="M241" s="4">
        <f t="shared" si="381"/>
        <v>40.4</v>
      </c>
      <c r="N241" s="4"/>
      <c r="O241" s="1">
        <f t="shared" si="382"/>
        <v>40.1</v>
      </c>
      <c r="P241" s="1">
        <f t="shared" si="383"/>
        <v>0</v>
      </c>
      <c r="Q241" s="1" t="str">
        <f t="shared" si="379"/>
        <v/>
      </c>
      <c r="R241" s="1" t="str">
        <f t="shared" si="384"/>
        <v/>
      </c>
      <c r="S241" s="1">
        <f t="shared" si="385"/>
        <v>474.77279999999894</v>
      </c>
      <c r="T241" s="1">
        <f t="shared" si="386"/>
        <v>-0.11</v>
      </c>
      <c r="U241" s="1">
        <f t="shared" si="387"/>
        <v>1583.999999999985</v>
      </c>
      <c r="V241" s="1">
        <f t="shared" si="388"/>
        <v>174.23999999999836</v>
      </c>
    </row>
    <row r="242" spans="1:22" x14ac:dyDescent="0.25">
      <c r="A242" s="1">
        <v>241</v>
      </c>
      <c r="B242" s="4">
        <v>7500</v>
      </c>
      <c r="C242" s="4">
        <v>40.4</v>
      </c>
      <c r="D242" s="4">
        <v>40.5</v>
      </c>
      <c r="E242" s="4">
        <f t="shared" si="380"/>
        <v>0.10000000000000142</v>
      </c>
      <c r="F242" s="4">
        <v>0</v>
      </c>
      <c r="G242" s="4">
        <v>0.24</v>
      </c>
      <c r="H242" s="4">
        <v>79</v>
      </c>
      <c r="I242" s="4"/>
      <c r="J242" s="4">
        <v>49</v>
      </c>
      <c r="K242"/>
      <c r="L242"/>
      <c r="M242" s="4">
        <f t="shared" si="381"/>
        <v>40.5</v>
      </c>
      <c r="N242" s="4"/>
      <c r="O242" s="1">
        <f t="shared" si="382"/>
        <v>40.4</v>
      </c>
      <c r="P242" s="1">
        <f t="shared" si="383"/>
        <v>0</v>
      </c>
      <c r="Q242" s="1" t="str">
        <f t="shared" si="379"/>
        <v/>
      </c>
      <c r="R242" s="1" t="str">
        <f t="shared" si="384"/>
        <v/>
      </c>
      <c r="S242" s="1">
        <f t="shared" si="385"/>
        <v>473.03039999999896</v>
      </c>
      <c r="T242" s="1">
        <f t="shared" si="386"/>
        <v>0.24</v>
      </c>
      <c r="U242" s="1">
        <f t="shared" si="387"/>
        <v>528.0000000000075</v>
      </c>
      <c r="V242" s="1">
        <f t="shared" si="388"/>
        <v>126.72000000000179</v>
      </c>
    </row>
    <row r="243" spans="1:22" x14ac:dyDescent="0.25">
      <c r="A243" s="1">
        <v>242</v>
      </c>
      <c r="B243" s="4">
        <v>7500</v>
      </c>
      <c r="C243" s="4">
        <v>40.5</v>
      </c>
      <c r="D243" s="4">
        <v>40.6</v>
      </c>
      <c r="E243" s="4">
        <f t="shared" si="380"/>
        <v>0.10000000000000142</v>
      </c>
      <c r="F243" s="4">
        <v>0</v>
      </c>
      <c r="G243" s="4">
        <v>0.61</v>
      </c>
      <c r="H243" s="4">
        <v>79</v>
      </c>
      <c r="I243" s="4"/>
      <c r="J243" s="4">
        <v>49</v>
      </c>
      <c r="K243"/>
      <c r="L243"/>
      <c r="M243" s="4">
        <f t="shared" si="381"/>
        <v>40.6</v>
      </c>
      <c r="N243" s="4"/>
      <c r="O243" s="1">
        <f t="shared" si="382"/>
        <v>40.5</v>
      </c>
      <c r="P243" s="1">
        <f t="shared" si="383"/>
        <v>0</v>
      </c>
      <c r="Q243" s="1" t="str">
        <f t="shared" si="379"/>
        <v/>
      </c>
      <c r="R243" s="1" t="str">
        <f t="shared" si="384"/>
        <v/>
      </c>
      <c r="S243" s="1">
        <f t="shared" si="385"/>
        <v>474.29759999999897</v>
      </c>
      <c r="T243" s="1">
        <f t="shared" si="386"/>
        <v>0.61</v>
      </c>
      <c r="U243" s="1">
        <f t="shared" si="387"/>
        <v>528.0000000000075</v>
      </c>
      <c r="V243" s="1">
        <f t="shared" si="388"/>
        <v>322.08000000000459</v>
      </c>
    </row>
    <row r="244" spans="1:22" x14ac:dyDescent="0.25">
      <c r="A244" s="1">
        <v>243</v>
      </c>
      <c r="B244" s="4">
        <v>7500</v>
      </c>
      <c r="C244" s="4">
        <v>40.6</v>
      </c>
      <c r="D244" s="4">
        <v>40.700000000000003</v>
      </c>
      <c r="E244" s="4">
        <f t="shared" si="380"/>
        <v>0.10000000000000142</v>
      </c>
      <c r="F244" s="4">
        <v>2.1</v>
      </c>
      <c r="G244" s="4">
        <v>0.61</v>
      </c>
      <c r="H244" s="4">
        <v>79</v>
      </c>
      <c r="I244" s="4"/>
      <c r="J244" s="4">
        <v>49</v>
      </c>
      <c r="K244"/>
      <c r="L244"/>
      <c r="M244" s="4">
        <f t="shared" si="381"/>
        <v>40.700000000000003</v>
      </c>
      <c r="N244" s="4"/>
      <c r="O244" s="1">
        <f t="shared" si="382"/>
        <v>40.6</v>
      </c>
      <c r="P244" s="1">
        <f t="shared" si="383"/>
        <v>11.088000000000157</v>
      </c>
      <c r="Q244" s="1" t="str">
        <f t="shared" si="379"/>
        <v/>
      </c>
      <c r="R244" s="1" t="str">
        <f t="shared" si="384"/>
        <v/>
      </c>
      <c r="S244" s="1">
        <f t="shared" si="385"/>
        <v>477.51839999999902</v>
      </c>
      <c r="T244" s="1">
        <f t="shared" si="386"/>
        <v>0.61</v>
      </c>
      <c r="U244" s="1">
        <f t="shared" si="387"/>
        <v>528.0000000000075</v>
      </c>
      <c r="V244" s="1">
        <f t="shared" si="388"/>
        <v>322.08000000000459</v>
      </c>
    </row>
    <row r="245" spans="1:22" x14ac:dyDescent="0.25">
      <c r="A245" s="1">
        <v>244</v>
      </c>
      <c r="B245" s="4">
        <v>7500</v>
      </c>
      <c r="C245" s="4">
        <v>40.700000000000003</v>
      </c>
      <c r="D245" s="4">
        <v>40.9</v>
      </c>
      <c r="E245" s="4">
        <f t="shared" si="380"/>
        <v>0.19999999999999574</v>
      </c>
      <c r="F245" s="4">
        <v>2.1</v>
      </c>
      <c r="G245" s="4">
        <v>0.93</v>
      </c>
      <c r="H245" s="4">
        <v>79</v>
      </c>
      <c r="I245" s="4"/>
      <c r="J245" s="4">
        <v>49</v>
      </c>
      <c r="K245"/>
      <c r="L245"/>
      <c r="M245" s="4">
        <f t="shared" si="381"/>
        <v>40.9</v>
      </c>
      <c r="N245" s="4"/>
      <c r="O245" s="1">
        <f t="shared" si="382"/>
        <v>40.700000000000003</v>
      </c>
      <c r="P245" s="1">
        <f t="shared" si="383"/>
        <v>22.175999999999526</v>
      </c>
      <c r="Q245" s="1" t="str">
        <f t="shared" si="379"/>
        <v/>
      </c>
      <c r="R245" s="1" t="str">
        <f t="shared" si="384"/>
        <v/>
      </c>
      <c r="S245" s="1">
        <f t="shared" si="385"/>
        <v>480.73919999999907</v>
      </c>
      <c r="T245" s="1">
        <f t="shared" si="386"/>
        <v>0.93</v>
      </c>
      <c r="U245" s="1">
        <f t="shared" si="387"/>
        <v>1055.9999999999775</v>
      </c>
      <c r="V245" s="1">
        <f t="shared" si="388"/>
        <v>982.07999999997912</v>
      </c>
    </row>
    <row r="246" spans="1:22" x14ac:dyDescent="0.25">
      <c r="A246" s="1">
        <v>245</v>
      </c>
      <c r="B246" s="4">
        <v>7500</v>
      </c>
      <c r="C246" s="4">
        <v>40.9</v>
      </c>
      <c r="D246" s="4">
        <v>41</v>
      </c>
      <c r="E246" s="4">
        <f t="shared" si="380"/>
        <v>0.10000000000000142</v>
      </c>
      <c r="F246" s="4">
        <v>0</v>
      </c>
      <c r="G246" s="4">
        <v>0.93</v>
      </c>
      <c r="H246" s="4">
        <v>79</v>
      </c>
      <c r="I246" s="4"/>
      <c r="J246" s="4">
        <v>49</v>
      </c>
      <c r="K246"/>
      <c r="L246"/>
      <c r="M246" s="4">
        <f t="shared" si="381"/>
        <v>41</v>
      </c>
      <c r="N246" s="4"/>
      <c r="O246" s="1">
        <f t="shared" si="382"/>
        <v>40.9</v>
      </c>
      <c r="P246" s="1">
        <f t="shared" si="383"/>
        <v>0</v>
      </c>
      <c r="Q246" s="1" t="str">
        <f t="shared" si="379"/>
        <v/>
      </c>
      <c r="R246" s="1" t="str">
        <f t="shared" si="384"/>
        <v/>
      </c>
      <c r="S246" s="1">
        <f t="shared" si="385"/>
        <v>490.55999999999887</v>
      </c>
      <c r="T246" s="1">
        <f t="shared" si="386"/>
        <v>0.93</v>
      </c>
      <c r="U246" s="1">
        <f t="shared" si="387"/>
        <v>528.0000000000075</v>
      </c>
      <c r="V246" s="1">
        <f t="shared" si="388"/>
        <v>491.04000000000701</v>
      </c>
    </row>
    <row r="247" spans="1:22" x14ac:dyDescent="0.25">
      <c r="A247" s="1">
        <v>246</v>
      </c>
      <c r="B247" s="4">
        <v>7500</v>
      </c>
      <c r="C247" s="4">
        <v>41</v>
      </c>
      <c r="D247" s="4">
        <v>41.1</v>
      </c>
      <c r="E247" s="4">
        <f t="shared" si="380"/>
        <v>0.10000000000000142</v>
      </c>
      <c r="F247" s="4">
        <v>2.1</v>
      </c>
      <c r="G247" s="4">
        <v>0.93</v>
      </c>
      <c r="H247" s="4">
        <v>79</v>
      </c>
      <c r="I247" s="4"/>
      <c r="J247" s="4">
        <v>49</v>
      </c>
      <c r="K247"/>
      <c r="L247"/>
      <c r="M247" s="4">
        <f t="shared" si="381"/>
        <v>41.1</v>
      </c>
      <c r="N247" s="4"/>
      <c r="O247" s="1">
        <f t="shared" si="382"/>
        <v>41</v>
      </c>
      <c r="P247" s="1">
        <f t="shared" si="383"/>
        <v>11.088000000000157</v>
      </c>
      <c r="Q247" s="1" t="str">
        <f t="shared" si="379"/>
        <v/>
      </c>
      <c r="R247" s="1" t="str">
        <f t="shared" si="384"/>
        <v/>
      </c>
      <c r="S247" s="1">
        <f t="shared" si="385"/>
        <v>495.47039999999896</v>
      </c>
      <c r="T247" s="1">
        <f t="shared" si="386"/>
        <v>0.93</v>
      </c>
      <c r="U247" s="1">
        <f t="shared" si="387"/>
        <v>528.0000000000075</v>
      </c>
      <c r="V247" s="1">
        <f t="shared" si="388"/>
        <v>491.04000000000701</v>
      </c>
    </row>
    <row r="248" spans="1:22" x14ac:dyDescent="0.25">
      <c r="A248" s="1">
        <v>247</v>
      </c>
      <c r="B248" s="4">
        <v>7500</v>
      </c>
      <c r="C248" s="4">
        <v>41.1</v>
      </c>
      <c r="D248" s="4">
        <v>41.2</v>
      </c>
      <c r="E248" s="4">
        <f t="shared" si="380"/>
        <v>0.10000000000000142</v>
      </c>
      <c r="F248" s="4">
        <v>2.1</v>
      </c>
      <c r="G248" s="4">
        <v>0.56000000000000005</v>
      </c>
      <c r="H248" s="4">
        <v>79</v>
      </c>
      <c r="I248" s="4"/>
      <c r="J248" s="4">
        <v>49</v>
      </c>
      <c r="K248"/>
      <c r="L248"/>
      <c r="M248" s="4">
        <f t="shared" si="381"/>
        <v>41.2</v>
      </c>
      <c r="N248" s="4"/>
      <c r="O248" s="1">
        <f t="shared" si="382"/>
        <v>41.1</v>
      </c>
      <c r="P248" s="1">
        <f t="shared" si="383"/>
        <v>11.088000000000157</v>
      </c>
      <c r="Q248" s="1" t="str">
        <f t="shared" si="379"/>
        <v/>
      </c>
      <c r="R248" s="1" t="str">
        <f t="shared" si="384"/>
        <v/>
      </c>
      <c r="S248" s="1">
        <f t="shared" si="385"/>
        <v>500.38079999999906</v>
      </c>
      <c r="T248" s="1">
        <f t="shared" si="386"/>
        <v>0.56000000000000005</v>
      </c>
      <c r="U248" s="1">
        <f t="shared" si="387"/>
        <v>528.0000000000075</v>
      </c>
      <c r="V248" s="1">
        <f t="shared" si="388"/>
        <v>295.68000000000421</v>
      </c>
    </row>
    <row r="249" spans="1:22" x14ac:dyDescent="0.25">
      <c r="A249" s="1">
        <v>248</v>
      </c>
      <c r="B249" s="4">
        <v>7500</v>
      </c>
      <c r="C249" s="4">
        <v>41.2</v>
      </c>
      <c r="D249" s="4">
        <v>41.300000000000004</v>
      </c>
      <c r="E249" s="4">
        <f t="shared" si="380"/>
        <v>0.10000000000000142</v>
      </c>
      <c r="F249" s="4">
        <v>0</v>
      </c>
      <c r="G249" s="4">
        <v>-0.17</v>
      </c>
      <c r="H249" s="4">
        <v>79</v>
      </c>
      <c r="I249" s="4"/>
      <c r="J249" s="4">
        <v>49</v>
      </c>
      <c r="K249"/>
      <c r="L249"/>
      <c r="M249" s="4">
        <f t="shared" si="381"/>
        <v>41.300000000000004</v>
      </c>
      <c r="N249" s="4"/>
      <c r="O249" s="1">
        <f t="shared" si="382"/>
        <v>41.2</v>
      </c>
      <c r="P249" s="1">
        <f t="shared" si="383"/>
        <v>0</v>
      </c>
      <c r="Q249" s="1" t="str">
        <f t="shared" si="379"/>
        <v/>
      </c>
      <c r="R249" s="1" t="str">
        <f t="shared" si="384"/>
        <v/>
      </c>
      <c r="S249" s="1">
        <f t="shared" si="385"/>
        <v>503.3375999999991</v>
      </c>
      <c r="T249" s="1">
        <f t="shared" si="386"/>
        <v>-0.17</v>
      </c>
      <c r="U249" s="1">
        <f t="shared" si="387"/>
        <v>528.0000000000075</v>
      </c>
      <c r="V249" s="1">
        <f t="shared" si="388"/>
        <v>89.760000000001284</v>
      </c>
    </row>
    <row r="250" spans="1:22" x14ac:dyDescent="0.25">
      <c r="A250" s="1">
        <v>249</v>
      </c>
      <c r="B250" s="4">
        <v>7500</v>
      </c>
      <c r="C250" s="4">
        <v>41.300000000000004</v>
      </c>
      <c r="D250" s="4">
        <v>41.4</v>
      </c>
      <c r="E250" s="4">
        <f t="shared" si="380"/>
        <v>9.9999999999994316E-2</v>
      </c>
      <c r="F250" s="4">
        <v>0</v>
      </c>
      <c r="G250" s="4">
        <v>-0.53</v>
      </c>
      <c r="H250" s="4">
        <v>79</v>
      </c>
      <c r="I250" s="4"/>
      <c r="J250" s="4">
        <v>49</v>
      </c>
      <c r="K250"/>
      <c r="L250"/>
      <c r="M250" s="4">
        <f t="shared" si="381"/>
        <v>41.4</v>
      </c>
      <c r="N250" s="4"/>
      <c r="O250" s="1">
        <f t="shared" si="382"/>
        <v>41.300000000000004</v>
      </c>
      <c r="P250" s="1">
        <f t="shared" si="383"/>
        <v>0</v>
      </c>
      <c r="Q250" s="1" t="str">
        <f t="shared" si="379"/>
        <v/>
      </c>
      <c r="R250" s="1" t="str">
        <f t="shared" si="384"/>
        <v/>
      </c>
      <c r="S250" s="1">
        <f t="shared" si="385"/>
        <v>502.43999999999909</v>
      </c>
      <c r="T250" s="1">
        <f t="shared" si="386"/>
        <v>-0.53</v>
      </c>
      <c r="U250" s="1">
        <f t="shared" si="387"/>
        <v>527.99999999996999</v>
      </c>
      <c r="V250" s="1">
        <f t="shared" si="388"/>
        <v>279.83999999998412</v>
      </c>
    </row>
    <row r="251" spans="1:22" x14ac:dyDescent="0.25">
      <c r="A251" s="1">
        <v>250</v>
      </c>
      <c r="B251" s="4">
        <v>7500</v>
      </c>
      <c r="C251" s="4">
        <v>41.4</v>
      </c>
      <c r="D251" s="4">
        <v>41.5</v>
      </c>
      <c r="E251" s="4">
        <f t="shared" si="380"/>
        <v>0.10000000000000142</v>
      </c>
      <c r="F251" s="4">
        <v>0</v>
      </c>
      <c r="G251" s="4">
        <v>-0.16</v>
      </c>
      <c r="H251" s="4">
        <v>79</v>
      </c>
      <c r="I251" s="4"/>
      <c r="J251" s="4">
        <v>49</v>
      </c>
      <c r="K251"/>
      <c r="L251"/>
      <c r="M251" s="4">
        <f t="shared" si="381"/>
        <v>41.5</v>
      </c>
      <c r="N251" s="4"/>
      <c r="O251" s="1">
        <f t="shared" si="382"/>
        <v>41.4</v>
      </c>
      <c r="P251" s="1">
        <f t="shared" si="383"/>
        <v>0</v>
      </c>
      <c r="Q251" s="1" t="str">
        <f t="shared" si="379"/>
        <v/>
      </c>
      <c r="R251" s="1" t="str">
        <f t="shared" si="384"/>
        <v/>
      </c>
      <c r="S251" s="1">
        <f t="shared" si="385"/>
        <v>499.64159999999924</v>
      </c>
      <c r="T251" s="1">
        <f t="shared" si="386"/>
        <v>-0.16</v>
      </c>
      <c r="U251" s="1">
        <f t="shared" si="387"/>
        <v>528.0000000000075</v>
      </c>
      <c r="V251" s="1">
        <f t="shared" si="388"/>
        <v>84.480000000001198</v>
      </c>
    </row>
    <row r="252" spans="1:22" x14ac:dyDescent="0.25">
      <c r="A252" s="1">
        <v>251</v>
      </c>
      <c r="B252" s="4">
        <v>7500</v>
      </c>
      <c r="C252" s="4">
        <v>41.5</v>
      </c>
      <c r="D252" s="4">
        <v>41.6</v>
      </c>
      <c r="E252" s="4">
        <f t="shared" si="380"/>
        <v>0.10000000000000142</v>
      </c>
      <c r="F252" s="4">
        <v>0</v>
      </c>
      <c r="G252" s="4">
        <v>0.56999999999999995</v>
      </c>
      <c r="H252" s="4">
        <v>79</v>
      </c>
      <c r="I252" s="4"/>
      <c r="J252" s="4">
        <v>49</v>
      </c>
      <c r="K252"/>
      <c r="L252"/>
      <c r="M252" s="4">
        <f t="shared" si="381"/>
        <v>41.6</v>
      </c>
      <c r="N252" s="4"/>
      <c r="O252" s="1">
        <f t="shared" si="382"/>
        <v>41.5</v>
      </c>
      <c r="P252" s="1">
        <f t="shared" si="383"/>
        <v>0</v>
      </c>
      <c r="Q252" s="1" t="str">
        <f t="shared" si="379"/>
        <v/>
      </c>
      <c r="R252" s="1" t="str">
        <f t="shared" si="384"/>
        <v/>
      </c>
      <c r="S252" s="1">
        <f t="shared" si="385"/>
        <v>498.79679999999922</v>
      </c>
      <c r="T252" s="1">
        <f t="shared" si="386"/>
        <v>0.56999999999999995</v>
      </c>
      <c r="U252" s="1">
        <f t="shared" si="387"/>
        <v>528.0000000000075</v>
      </c>
      <c r="V252" s="1">
        <f t="shared" si="388"/>
        <v>300.96000000000424</v>
      </c>
    </row>
    <row r="253" spans="1:22" x14ac:dyDescent="0.25">
      <c r="A253" s="1">
        <v>252</v>
      </c>
      <c r="B253" s="4">
        <v>7500</v>
      </c>
      <c r="C253" s="4">
        <v>41.6</v>
      </c>
      <c r="D253" s="4">
        <v>41.7</v>
      </c>
      <c r="E253" s="4">
        <f t="shared" si="380"/>
        <v>0.10000000000000142</v>
      </c>
      <c r="F253" s="4">
        <v>0</v>
      </c>
      <c r="G253" s="4">
        <v>0.94</v>
      </c>
      <c r="H253" s="4">
        <v>79</v>
      </c>
      <c r="I253" s="4"/>
      <c r="J253" s="4">
        <v>49</v>
      </c>
      <c r="K253"/>
      <c r="L253"/>
      <c r="M253" s="4">
        <f t="shared" si="381"/>
        <v>41.7</v>
      </c>
      <c r="N253" s="4"/>
      <c r="O253" s="1">
        <f t="shared" si="382"/>
        <v>41.6</v>
      </c>
      <c r="P253" s="1">
        <f t="shared" si="383"/>
        <v>0</v>
      </c>
      <c r="Q253" s="1" t="str">
        <f t="shared" si="379"/>
        <v/>
      </c>
      <c r="R253" s="1" t="str">
        <f t="shared" si="384"/>
        <v/>
      </c>
      <c r="S253" s="1">
        <f t="shared" si="385"/>
        <v>501.80639999999926</v>
      </c>
      <c r="T253" s="1">
        <f t="shared" si="386"/>
        <v>0.94</v>
      </c>
      <c r="U253" s="1">
        <f t="shared" si="387"/>
        <v>528.0000000000075</v>
      </c>
      <c r="V253" s="1">
        <f t="shared" si="388"/>
        <v>496.32000000000704</v>
      </c>
    </row>
    <row r="254" spans="1:22" x14ac:dyDescent="0.25">
      <c r="A254" s="1">
        <v>253</v>
      </c>
      <c r="B254" s="4">
        <v>7500</v>
      </c>
      <c r="C254" s="4">
        <v>41.7</v>
      </c>
      <c r="D254" s="4">
        <v>41.9</v>
      </c>
      <c r="E254" s="4">
        <f t="shared" si="380"/>
        <v>0.19999999999999574</v>
      </c>
      <c r="F254" s="4">
        <v>4</v>
      </c>
      <c r="G254" s="4">
        <v>0.69</v>
      </c>
      <c r="H254" s="4">
        <v>79</v>
      </c>
      <c r="I254" s="4"/>
      <c r="J254" s="4">
        <v>49</v>
      </c>
      <c r="K254"/>
      <c r="L254"/>
      <c r="M254" s="4">
        <f t="shared" si="381"/>
        <v>41.9</v>
      </c>
      <c r="N254" s="4"/>
      <c r="O254" s="1">
        <f t="shared" si="382"/>
        <v>41.7</v>
      </c>
      <c r="P254" s="1">
        <f t="shared" si="383"/>
        <v>42.2399999999991</v>
      </c>
      <c r="Q254" s="1" t="str">
        <f t="shared" si="379"/>
        <v/>
      </c>
      <c r="R254" s="1" t="str">
        <f t="shared" si="384"/>
        <v/>
      </c>
      <c r="S254" s="1">
        <f t="shared" si="385"/>
        <v>506.76959999999934</v>
      </c>
      <c r="T254" s="1">
        <f t="shared" si="386"/>
        <v>0.69</v>
      </c>
      <c r="U254" s="1">
        <f t="shared" si="387"/>
        <v>1055.9999999999775</v>
      </c>
      <c r="V254" s="1">
        <f t="shared" si="388"/>
        <v>728.63999999998441</v>
      </c>
    </row>
    <row r="255" spans="1:22" x14ac:dyDescent="0.25">
      <c r="A255" s="1">
        <v>254</v>
      </c>
      <c r="B255" s="4">
        <v>7500</v>
      </c>
      <c r="C255" s="4">
        <v>41.9</v>
      </c>
      <c r="D255" s="4">
        <v>42</v>
      </c>
      <c r="E255" s="4">
        <f t="shared" si="380"/>
        <v>0.10000000000000142</v>
      </c>
      <c r="F255" s="4">
        <v>4</v>
      </c>
      <c r="G255" s="4">
        <v>0.87</v>
      </c>
      <c r="H255" s="4">
        <v>79</v>
      </c>
      <c r="I255" s="4"/>
      <c r="J255" s="4">
        <v>49</v>
      </c>
      <c r="K255"/>
      <c r="L255"/>
      <c r="M255" s="4">
        <f t="shared" si="381"/>
        <v>42</v>
      </c>
      <c r="N255" s="4"/>
      <c r="O255" s="1">
        <f t="shared" si="382"/>
        <v>41.9</v>
      </c>
      <c r="P255" s="1">
        <f t="shared" si="383"/>
        <v>21.120000000000299</v>
      </c>
      <c r="Q255" s="1" t="str">
        <f t="shared" si="379"/>
        <v/>
      </c>
      <c r="R255" s="1" t="str">
        <f t="shared" si="384"/>
        <v/>
      </c>
      <c r="S255" s="1">
        <f t="shared" si="385"/>
        <v>514.05599999999913</v>
      </c>
      <c r="T255" s="1">
        <f t="shared" si="386"/>
        <v>0.87</v>
      </c>
      <c r="U255" s="1">
        <f t="shared" si="387"/>
        <v>528.0000000000075</v>
      </c>
      <c r="V255" s="1">
        <f t="shared" si="388"/>
        <v>459.36000000000655</v>
      </c>
    </row>
    <row r="256" spans="1:22" x14ac:dyDescent="0.25">
      <c r="A256" s="1">
        <v>255</v>
      </c>
      <c r="B256" s="4">
        <v>7500</v>
      </c>
      <c r="C256" s="4">
        <v>42</v>
      </c>
      <c r="D256" s="4">
        <v>42.2</v>
      </c>
      <c r="E256" s="4">
        <f t="shared" si="380"/>
        <v>0.20000000000000284</v>
      </c>
      <c r="F256" s="4">
        <v>0</v>
      </c>
      <c r="G256" s="4">
        <v>0.87</v>
      </c>
      <c r="H256" s="4">
        <v>79</v>
      </c>
      <c r="I256" s="4"/>
      <c r="J256" s="4">
        <v>49</v>
      </c>
      <c r="K256"/>
      <c r="L256"/>
      <c r="M256" s="4">
        <f t="shared" si="381"/>
        <v>42.2</v>
      </c>
      <c r="N256" s="4"/>
      <c r="O256" s="1">
        <f t="shared" si="382"/>
        <v>42</v>
      </c>
      <c r="P256" s="1">
        <f t="shared" si="383"/>
        <v>0</v>
      </c>
      <c r="Q256" s="1" t="str">
        <f t="shared" si="379"/>
        <v/>
      </c>
      <c r="R256" s="1" t="str">
        <f t="shared" si="384"/>
        <v/>
      </c>
      <c r="S256" s="1">
        <f t="shared" si="385"/>
        <v>518.64959999999917</v>
      </c>
      <c r="T256" s="1">
        <f t="shared" si="386"/>
        <v>0.87</v>
      </c>
      <c r="U256" s="1">
        <f t="shared" si="387"/>
        <v>1056.000000000015</v>
      </c>
      <c r="V256" s="1">
        <f t="shared" si="388"/>
        <v>918.7200000000131</v>
      </c>
    </row>
    <row r="257" spans="1:22" x14ac:dyDescent="0.25">
      <c r="A257" s="1">
        <v>256</v>
      </c>
      <c r="B257" s="4">
        <v>7500</v>
      </c>
      <c r="C257" s="4">
        <v>42.2</v>
      </c>
      <c r="D257" s="4">
        <v>42.5</v>
      </c>
      <c r="E257" s="4">
        <f t="shared" si="380"/>
        <v>0.29999999999999716</v>
      </c>
      <c r="F257" s="4">
        <v>3</v>
      </c>
      <c r="G257" s="4">
        <v>1.04</v>
      </c>
      <c r="H257" s="4">
        <v>79</v>
      </c>
      <c r="I257" s="4"/>
      <c r="J257" s="4">
        <v>49</v>
      </c>
      <c r="K257"/>
      <c r="L257"/>
      <c r="M257" s="4">
        <f t="shared" si="381"/>
        <v>42.5</v>
      </c>
      <c r="N257" s="4"/>
      <c r="O257" s="1">
        <f t="shared" si="382"/>
        <v>42.2</v>
      </c>
      <c r="P257" s="1">
        <f t="shared" si="383"/>
        <v>47.519999999999541</v>
      </c>
      <c r="Q257" s="1" t="str">
        <f t="shared" si="379"/>
        <v/>
      </c>
      <c r="R257" s="1" t="str">
        <f t="shared" si="384"/>
        <v/>
      </c>
      <c r="S257" s="1">
        <f t="shared" si="385"/>
        <v>527.83679999999924</v>
      </c>
      <c r="T257" s="1">
        <f t="shared" si="386"/>
        <v>1.04</v>
      </c>
      <c r="U257" s="1">
        <f t="shared" si="387"/>
        <v>1583.999999999985</v>
      </c>
      <c r="V257" s="1">
        <f t="shared" si="388"/>
        <v>1647.3599999999844</v>
      </c>
    </row>
    <row r="258" spans="1:22" x14ac:dyDescent="0.25">
      <c r="A258" s="1">
        <v>257</v>
      </c>
      <c r="B258" s="4">
        <v>7500</v>
      </c>
      <c r="C258" s="4">
        <v>42.5</v>
      </c>
      <c r="D258" s="4">
        <v>43</v>
      </c>
      <c r="E258" s="4">
        <f t="shared" si="380"/>
        <v>0.5</v>
      </c>
      <c r="F258" s="4">
        <v>0</v>
      </c>
      <c r="G258" s="4">
        <v>1.04</v>
      </c>
      <c r="H258" s="4">
        <v>79</v>
      </c>
      <c r="I258" s="4"/>
      <c r="J258" s="4">
        <v>49</v>
      </c>
      <c r="K258"/>
      <c r="L258"/>
      <c r="M258" s="4">
        <f t="shared" si="381"/>
        <v>43</v>
      </c>
      <c r="N258" s="4"/>
      <c r="O258" s="1">
        <f t="shared" si="382"/>
        <v>42.5</v>
      </c>
      <c r="P258" s="1">
        <f t="shared" si="383"/>
        <v>0</v>
      </c>
      <c r="Q258" s="1" t="str">
        <f t="shared" si="379"/>
        <v/>
      </c>
      <c r="R258" s="1" t="str">
        <f t="shared" si="384"/>
        <v/>
      </c>
      <c r="S258" s="1">
        <f t="shared" si="385"/>
        <v>544.31039999999905</v>
      </c>
      <c r="T258" s="1">
        <f t="shared" si="386"/>
        <v>1.04</v>
      </c>
      <c r="U258" s="1">
        <f t="shared" si="387"/>
        <v>2640</v>
      </c>
      <c r="V258" s="1">
        <f t="shared" si="388"/>
        <v>2745.6</v>
      </c>
    </row>
    <row r="259" spans="1:22" x14ac:dyDescent="0.25">
      <c r="A259" s="1">
        <v>258</v>
      </c>
      <c r="B259" s="4">
        <v>7500</v>
      </c>
      <c r="C259" s="4">
        <v>43</v>
      </c>
      <c r="D259" s="4">
        <v>43.2</v>
      </c>
      <c r="E259" s="4">
        <f t="shared" si="380"/>
        <v>0.20000000000000284</v>
      </c>
      <c r="F259" s="4">
        <v>3.2</v>
      </c>
      <c r="G259" s="4">
        <v>1.04</v>
      </c>
      <c r="H259" s="4">
        <v>79</v>
      </c>
      <c r="I259" s="4"/>
      <c r="J259" s="4">
        <v>49</v>
      </c>
      <c r="K259"/>
      <c r="L259"/>
      <c r="M259" s="4">
        <f t="shared" si="381"/>
        <v>43.2</v>
      </c>
      <c r="N259" s="4"/>
      <c r="O259" s="1">
        <f t="shared" si="382"/>
        <v>43</v>
      </c>
      <c r="P259" s="1">
        <f t="shared" si="383"/>
        <v>33.792000000000485</v>
      </c>
      <c r="Q259" s="1" t="str">
        <f t="shared" ref="Q259:Q322" si="389">IF(H259&lt;&gt;"",IF(H259=H258,"",H259),IF(H257="","",MAX(H258,Q258)))</f>
        <v/>
      </c>
      <c r="R259" s="1" t="str">
        <f t="shared" si="384"/>
        <v/>
      </c>
      <c r="S259" s="1">
        <f t="shared" si="385"/>
        <v>571.76639999999907</v>
      </c>
      <c r="T259" s="1">
        <f t="shared" si="386"/>
        <v>1.04</v>
      </c>
      <c r="U259" s="1">
        <f t="shared" si="387"/>
        <v>1056.000000000015</v>
      </c>
      <c r="V259" s="1">
        <f t="shared" si="388"/>
        <v>1098.2400000000157</v>
      </c>
    </row>
    <row r="260" spans="1:22" x14ac:dyDescent="0.25">
      <c r="A260" s="1">
        <v>259</v>
      </c>
      <c r="B260" s="4">
        <v>7500</v>
      </c>
      <c r="C260" s="4">
        <v>43.2</v>
      </c>
      <c r="D260" s="4">
        <v>43.300000000000004</v>
      </c>
      <c r="E260" s="4">
        <f t="shared" si="380"/>
        <v>0.10000000000000142</v>
      </c>
      <c r="F260" s="4">
        <v>3.2</v>
      </c>
      <c r="G260" s="4">
        <v>0.56000000000000005</v>
      </c>
      <c r="H260" s="4">
        <v>79</v>
      </c>
      <c r="I260" s="4"/>
      <c r="J260" s="4">
        <v>49</v>
      </c>
      <c r="K260"/>
      <c r="L260"/>
      <c r="M260" s="4">
        <f t="shared" si="381"/>
        <v>43.300000000000004</v>
      </c>
      <c r="N260" s="4"/>
      <c r="O260" s="1">
        <f t="shared" si="382"/>
        <v>43.2</v>
      </c>
      <c r="P260" s="1">
        <f t="shared" si="383"/>
        <v>16.896000000000242</v>
      </c>
      <c r="Q260" s="1" t="str">
        <f t="shared" si="389"/>
        <v/>
      </c>
      <c r="R260" s="1" t="str">
        <f t="shared" si="384"/>
        <v/>
      </c>
      <c r="S260" s="1">
        <f t="shared" si="385"/>
        <v>582.74879999999928</v>
      </c>
      <c r="T260" s="1">
        <f t="shared" si="386"/>
        <v>0.56000000000000005</v>
      </c>
      <c r="U260" s="1">
        <f t="shared" si="387"/>
        <v>528.0000000000075</v>
      </c>
      <c r="V260" s="1">
        <f t="shared" si="388"/>
        <v>295.68000000000421</v>
      </c>
    </row>
    <row r="261" spans="1:22" x14ac:dyDescent="0.25">
      <c r="A261" s="1">
        <v>260</v>
      </c>
      <c r="B261" s="4">
        <v>7500</v>
      </c>
      <c r="C261" s="4">
        <v>43.300000000000004</v>
      </c>
      <c r="D261" s="4">
        <v>43.4</v>
      </c>
      <c r="E261" s="4">
        <f t="shared" si="380"/>
        <v>9.9999999999994316E-2</v>
      </c>
      <c r="F261" s="4">
        <v>0</v>
      </c>
      <c r="G261" s="4">
        <v>0.56000000000000005</v>
      </c>
      <c r="H261" s="4">
        <v>79</v>
      </c>
      <c r="I261" s="4"/>
      <c r="J261" s="4">
        <v>49</v>
      </c>
      <c r="K261"/>
      <c r="L261"/>
      <c r="M261" s="4">
        <f t="shared" si="381"/>
        <v>43.4</v>
      </c>
      <c r="N261" s="4"/>
      <c r="O261" s="1">
        <f t="shared" si="382"/>
        <v>43.300000000000004</v>
      </c>
      <c r="P261" s="1">
        <f t="shared" si="383"/>
        <v>0</v>
      </c>
      <c r="Q261" s="1" t="str">
        <f t="shared" si="389"/>
        <v/>
      </c>
      <c r="R261" s="1" t="str">
        <f t="shared" si="384"/>
        <v/>
      </c>
      <c r="S261" s="1">
        <f t="shared" si="385"/>
        <v>585.70559999999932</v>
      </c>
      <c r="T261" s="1">
        <f t="shared" si="386"/>
        <v>0.56000000000000005</v>
      </c>
      <c r="U261" s="1">
        <f t="shared" si="387"/>
        <v>527.99999999996999</v>
      </c>
      <c r="V261" s="1">
        <f t="shared" si="388"/>
        <v>295.67999999998324</v>
      </c>
    </row>
    <row r="262" spans="1:22" x14ac:dyDescent="0.25">
      <c r="A262" s="1">
        <v>261</v>
      </c>
      <c r="B262" s="4">
        <v>7500</v>
      </c>
      <c r="C262" s="4">
        <v>43.4</v>
      </c>
      <c r="D262" s="4">
        <v>43.6</v>
      </c>
      <c r="E262" s="4">
        <f t="shared" si="380"/>
        <v>0.20000000000000284</v>
      </c>
      <c r="F262" s="4">
        <v>3.1</v>
      </c>
      <c r="G262" s="4">
        <v>0.56000000000000005</v>
      </c>
      <c r="H262" s="4">
        <v>79</v>
      </c>
      <c r="I262" s="4"/>
      <c r="J262" s="4">
        <v>49</v>
      </c>
      <c r="K262"/>
      <c r="L262"/>
      <c r="M262" s="4">
        <f t="shared" si="381"/>
        <v>43.6</v>
      </c>
      <c r="N262" s="4"/>
      <c r="O262" s="1">
        <f t="shared" si="382"/>
        <v>43.4</v>
      </c>
      <c r="P262" s="1">
        <f t="shared" si="383"/>
        <v>32.736000000000466</v>
      </c>
      <c r="Q262" s="1" t="str">
        <f t="shared" si="389"/>
        <v/>
      </c>
      <c r="R262" s="1" t="str">
        <f t="shared" si="384"/>
        <v/>
      </c>
      <c r="S262" s="1">
        <f t="shared" si="385"/>
        <v>588.66239999999914</v>
      </c>
      <c r="T262" s="1">
        <f t="shared" si="386"/>
        <v>0.56000000000000005</v>
      </c>
      <c r="U262" s="1">
        <f t="shared" si="387"/>
        <v>1056.000000000015</v>
      </c>
      <c r="V262" s="1">
        <f t="shared" si="388"/>
        <v>591.36000000000843</v>
      </c>
    </row>
    <row r="263" spans="1:22" x14ac:dyDescent="0.25">
      <c r="A263" s="1">
        <v>262</v>
      </c>
      <c r="B263" s="4">
        <v>7500</v>
      </c>
      <c r="C263" s="4">
        <v>43.6</v>
      </c>
      <c r="D263" s="4">
        <v>43.7</v>
      </c>
      <c r="E263" s="4">
        <f t="shared" si="380"/>
        <v>0.10000000000000142</v>
      </c>
      <c r="F263" s="4">
        <v>0</v>
      </c>
      <c r="G263" s="4">
        <v>1.1599999999999999</v>
      </c>
      <c r="H263" s="4">
        <v>79</v>
      </c>
      <c r="I263" s="4"/>
      <c r="J263" s="4">
        <v>49</v>
      </c>
      <c r="K263"/>
      <c r="L263"/>
      <c r="M263" s="4">
        <f t="shared" si="381"/>
        <v>43.7</v>
      </c>
      <c r="N263" s="4"/>
      <c r="O263" s="1">
        <f t="shared" si="382"/>
        <v>43.6</v>
      </c>
      <c r="P263" s="1">
        <f t="shared" si="383"/>
        <v>0</v>
      </c>
      <c r="Q263" s="1" t="str">
        <f t="shared" si="389"/>
        <v/>
      </c>
      <c r="R263" s="1" t="str">
        <f t="shared" si="384"/>
        <v/>
      </c>
      <c r="S263" s="1">
        <f t="shared" si="385"/>
        <v>594.57599999999923</v>
      </c>
      <c r="T263" s="1">
        <f t="shared" si="386"/>
        <v>1.1599999999999999</v>
      </c>
      <c r="U263" s="1">
        <f t="shared" si="387"/>
        <v>528.0000000000075</v>
      </c>
      <c r="V263" s="1">
        <f t="shared" si="388"/>
        <v>612.48000000000866</v>
      </c>
    </row>
    <row r="264" spans="1:22" x14ac:dyDescent="0.25">
      <c r="A264" s="1">
        <v>263</v>
      </c>
      <c r="B264" s="4">
        <v>7500</v>
      </c>
      <c r="C264" s="4">
        <v>43.7</v>
      </c>
      <c r="D264" s="4">
        <v>43.9</v>
      </c>
      <c r="E264" s="4">
        <f t="shared" ref="E264:E327" si="390">D264-C264</f>
        <v>0.19999999999999574</v>
      </c>
      <c r="F264" s="4">
        <v>3.2</v>
      </c>
      <c r="G264" s="4">
        <v>-0.77</v>
      </c>
      <c r="H264" s="4">
        <v>79</v>
      </c>
      <c r="I264" s="4"/>
      <c r="J264" s="4">
        <v>49</v>
      </c>
      <c r="K264"/>
      <c r="L264"/>
      <c r="M264" s="4">
        <f t="shared" ref="M264:M327" si="391">E264+M263</f>
        <v>43.9</v>
      </c>
      <c r="N264" s="4"/>
      <c r="O264" s="1">
        <f t="shared" ref="O264:O327" si="392">E263+O263</f>
        <v>43.7</v>
      </c>
      <c r="P264" s="1">
        <f t="shared" ref="P264:P327" si="393">F264*52.8*E264</f>
        <v>33.791999999999284</v>
      </c>
      <c r="Q264" s="1" t="str">
        <f t="shared" si="389"/>
        <v/>
      </c>
      <c r="R264" s="1" t="str">
        <f t="shared" ref="R264:R327" si="394">IF(I264="",Q264,IF(AND(H264=H263,I264=I263),"",I264))</f>
        <v/>
      </c>
      <c r="S264" s="1">
        <f t="shared" ref="S264:S327" si="395">S263+U263*T263/100</f>
        <v>600.70079999999928</v>
      </c>
      <c r="T264" s="1">
        <f t="shared" ref="T264:T327" si="396">IF(G264="UNK",0,G264)</f>
        <v>-0.77</v>
      </c>
      <c r="U264" s="1">
        <f t="shared" ref="U264:U327" si="397">E264*5280</f>
        <v>1055.9999999999775</v>
      </c>
      <c r="V264" s="1">
        <f t="shared" ref="V264:V327" si="398">ABS(T264*U264)</f>
        <v>813.11999999998272</v>
      </c>
    </row>
    <row r="265" spans="1:22" x14ac:dyDescent="0.25">
      <c r="A265" s="1">
        <v>264</v>
      </c>
      <c r="B265" s="4">
        <v>7500</v>
      </c>
      <c r="C265" s="4">
        <v>43.9</v>
      </c>
      <c r="D265" s="4">
        <v>44</v>
      </c>
      <c r="E265" s="4">
        <f t="shared" si="390"/>
        <v>0.10000000000000142</v>
      </c>
      <c r="F265" s="4">
        <v>3.2</v>
      </c>
      <c r="G265" s="4">
        <v>0.01</v>
      </c>
      <c r="H265" s="4">
        <v>79</v>
      </c>
      <c r="I265" s="4"/>
      <c r="J265" s="4">
        <v>49</v>
      </c>
      <c r="K265"/>
      <c r="L265"/>
      <c r="M265" s="4">
        <f t="shared" si="391"/>
        <v>44</v>
      </c>
      <c r="N265" s="4"/>
      <c r="O265" s="1">
        <f t="shared" si="392"/>
        <v>43.9</v>
      </c>
      <c r="P265" s="1">
        <f t="shared" si="393"/>
        <v>16.896000000000242</v>
      </c>
      <c r="Q265" s="1" t="str">
        <f t="shared" si="389"/>
        <v/>
      </c>
      <c r="R265" s="1" t="str">
        <f t="shared" si="394"/>
        <v/>
      </c>
      <c r="S265" s="1">
        <f t="shared" si="395"/>
        <v>592.56959999999947</v>
      </c>
      <c r="T265" s="1">
        <f t="shared" si="396"/>
        <v>0.01</v>
      </c>
      <c r="U265" s="1">
        <f t="shared" si="397"/>
        <v>528.0000000000075</v>
      </c>
      <c r="V265" s="1">
        <f t="shared" si="398"/>
        <v>5.2800000000000749</v>
      </c>
    </row>
    <row r="266" spans="1:22" x14ac:dyDescent="0.25">
      <c r="A266" s="1">
        <v>265</v>
      </c>
      <c r="B266" s="4">
        <v>7500</v>
      </c>
      <c r="C266" s="4">
        <v>44</v>
      </c>
      <c r="D266" s="4">
        <v>44.1</v>
      </c>
      <c r="E266" s="4">
        <f t="shared" si="390"/>
        <v>0.10000000000000142</v>
      </c>
      <c r="F266" s="4">
        <v>3.2</v>
      </c>
      <c r="G266" s="4">
        <v>0.01</v>
      </c>
      <c r="H266" s="4">
        <v>79</v>
      </c>
      <c r="I266" s="4"/>
      <c r="J266" s="4">
        <v>49</v>
      </c>
      <c r="K266"/>
      <c r="L266"/>
      <c r="M266" s="4">
        <f t="shared" si="391"/>
        <v>44.1</v>
      </c>
      <c r="N266" s="4"/>
      <c r="O266" s="1">
        <f t="shared" si="392"/>
        <v>44</v>
      </c>
      <c r="P266" s="1">
        <f t="shared" si="393"/>
        <v>16.896000000000242</v>
      </c>
      <c r="Q266" s="1" t="str">
        <f t="shared" si="389"/>
        <v/>
      </c>
      <c r="R266" s="1" t="str">
        <f t="shared" si="394"/>
        <v/>
      </c>
      <c r="S266" s="1">
        <f t="shared" si="395"/>
        <v>592.62239999999952</v>
      </c>
      <c r="T266" s="1">
        <f t="shared" si="396"/>
        <v>0.01</v>
      </c>
      <c r="U266" s="1">
        <f t="shared" si="397"/>
        <v>528.0000000000075</v>
      </c>
      <c r="V266" s="1">
        <f t="shared" si="398"/>
        <v>5.2800000000000749</v>
      </c>
    </row>
    <row r="267" spans="1:22" x14ac:dyDescent="0.25">
      <c r="A267" s="1">
        <v>266</v>
      </c>
      <c r="B267" s="4">
        <v>7500</v>
      </c>
      <c r="C267" s="4">
        <v>44.1</v>
      </c>
      <c r="D267" s="4">
        <v>44.300000000000004</v>
      </c>
      <c r="E267" s="4">
        <f t="shared" si="390"/>
        <v>0.20000000000000284</v>
      </c>
      <c r="F267" s="4">
        <v>3.2</v>
      </c>
      <c r="G267" s="4">
        <v>0.37</v>
      </c>
      <c r="H267" s="4">
        <v>79</v>
      </c>
      <c r="I267" s="4"/>
      <c r="J267" s="4">
        <v>49</v>
      </c>
      <c r="K267"/>
      <c r="L267"/>
      <c r="M267" s="4">
        <f t="shared" si="391"/>
        <v>44.300000000000004</v>
      </c>
      <c r="N267" s="4"/>
      <c r="O267" s="1">
        <f t="shared" si="392"/>
        <v>44.1</v>
      </c>
      <c r="P267" s="1">
        <f t="shared" si="393"/>
        <v>33.792000000000485</v>
      </c>
      <c r="Q267" s="1" t="str">
        <f t="shared" si="389"/>
        <v/>
      </c>
      <c r="R267" s="1" t="str">
        <f t="shared" si="394"/>
        <v/>
      </c>
      <c r="S267" s="1">
        <f t="shared" si="395"/>
        <v>592.67519999999956</v>
      </c>
      <c r="T267" s="1">
        <f t="shared" si="396"/>
        <v>0.37</v>
      </c>
      <c r="U267" s="1">
        <f t="shared" si="397"/>
        <v>1056.000000000015</v>
      </c>
      <c r="V267" s="1">
        <f t="shared" si="398"/>
        <v>390.72000000000554</v>
      </c>
    </row>
    <row r="268" spans="1:22" x14ac:dyDescent="0.25">
      <c r="A268" s="1">
        <v>267</v>
      </c>
      <c r="B268" s="4">
        <v>7500</v>
      </c>
      <c r="C268" s="4">
        <v>44.300000000000004</v>
      </c>
      <c r="D268" s="4">
        <v>44.4</v>
      </c>
      <c r="E268" s="4">
        <f t="shared" si="390"/>
        <v>9.9999999999994316E-2</v>
      </c>
      <c r="F268" s="4">
        <v>0</v>
      </c>
      <c r="G268" s="4">
        <v>0.31</v>
      </c>
      <c r="H268" s="4">
        <v>79</v>
      </c>
      <c r="I268" s="4"/>
      <c r="J268" s="4">
        <v>49</v>
      </c>
      <c r="K268"/>
      <c r="L268"/>
      <c r="M268" s="4">
        <f t="shared" si="391"/>
        <v>44.4</v>
      </c>
      <c r="N268" s="4"/>
      <c r="O268" s="1">
        <f t="shared" si="392"/>
        <v>44.300000000000004</v>
      </c>
      <c r="P268" s="1">
        <f t="shared" si="393"/>
        <v>0</v>
      </c>
      <c r="Q268" s="1" t="str">
        <f t="shared" si="389"/>
        <v/>
      </c>
      <c r="R268" s="1" t="str">
        <f t="shared" si="394"/>
        <v/>
      </c>
      <c r="S268" s="1">
        <f t="shared" si="395"/>
        <v>596.58239999999967</v>
      </c>
      <c r="T268" s="1">
        <f t="shared" si="396"/>
        <v>0.31</v>
      </c>
      <c r="U268" s="1">
        <f t="shared" si="397"/>
        <v>527.99999999996999</v>
      </c>
      <c r="V268" s="1">
        <f t="shared" si="398"/>
        <v>163.67999999999068</v>
      </c>
    </row>
    <row r="269" spans="1:22" x14ac:dyDescent="0.25">
      <c r="A269" s="1">
        <v>268</v>
      </c>
      <c r="B269" s="4">
        <v>7500</v>
      </c>
      <c r="C269" s="4">
        <v>44.4</v>
      </c>
      <c r="D269" s="4">
        <v>44.6</v>
      </c>
      <c r="E269" s="4">
        <f t="shared" si="390"/>
        <v>0.20000000000000284</v>
      </c>
      <c r="F269" s="4">
        <v>0</v>
      </c>
      <c r="G269" s="4">
        <v>0.19</v>
      </c>
      <c r="H269" s="4">
        <v>79</v>
      </c>
      <c r="I269" s="4"/>
      <c r="J269" s="4">
        <v>49</v>
      </c>
      <c r="K269"/>
      <c r="L269"/>
      <c r="M269" s="4">
        <f t="shared" si="391"/>
        <v>44.6</v>
      </c>
      <c r="N269" s="4"/>
      <c r="O269" s="1">
        <f t="shared" si="392"/>
        <v>44.4</v>
      </c>
      <c r="P269" s="1">
        <f t="shared" si="393"/>
        <v>0</v>
      </c>
      <c r="Q269" s="1" t="str">
        <f t="shared" si="389"/>
        <v/>
      </c>
      <c r="R269" s="1" t="str">
        <f t="shared" si="394"/>
        <v/>
      </c>
      <c r="S269" s="1">
        <f t="shared" si="395"/>
        <v>598.21919999999955</v>
      </c>
      <c r="T269" s="1">
        <f t="shared" si="396"/>
        <v>0.19</v>
      </c>
      <c r="U269" s="1">
        <f t="shared" si="397"/>
        <v>1056.000000000015</v>
      </c>
      <c r="V269" s="1">
        <f t="shared" si="398"/>
        <v>200.64000000000286</v>
      </c>
    </row>
    <row r="270" spans="1:22" x14ac:dyDescent="0.25">
      <c r="A270" s="1">
        <v>269</v>
      </c>
      <c r="B270" s="4">
        <v>7500</v>
      </c>
      <c r="C270" s="4">
        <v>44.6</v>
      </c>
      <c r="D270" s="4">
        <v>44.9</v>
      </c>
      <c r="E270" s="4">
        <f t="shared" si="390"/>
        <v>0.29999999999999716</v>
      </c>
      <c r="F270" s="4">
        <v>0</v>
      </c>
      <c r="G270" s="4">
        <v>0.13</v>
      </c>
      <c r="H270" s="4">
        <v>79</v>
      </c>
      <c r="I270" s="4"/>
      <c r="J270" s="4">
        <v>49</v>
      </c>
      <c r="K270"/>
      <c r="L270"/>
      <c r="M270" s="4">
        <f t="shared" si="391"/>
        <v>44.9</v>
      </c>
      <c r="N270" s="4"/>
      <c r="O270" s="1">
        <f t="shared" si="392"/>
        <v>44.6</v>
      </c>
      <c r="P270" s="1">
        <f t="shared" si="393"/>
        <v>0</v>
      </c>
      <c r="Q270" s="1" t="str">
        <f t="shared" si="389"/>
        <v/>
      </c>
      <c r="R270" s="1" t="str">
        <f t="shared" si="394"/>
        <v/>
      </c>
      <c r="S270" s="1">
        <f t="shared" si="395"/>
        <v>600.22559999999953</v>
      </c>
      <c r="T270" s="1">
        <f t="shared" si="396"/>
        <v>0.13</v>
      </c>
      <c r="U270" s="1">
        <f t="shared" si="397"/>
        <v>1583.999999999985</v>
      </c>
      <c r="V270" s="1">
        <f t="shared" si="398"/>
        <v>205.91999999999805</v>
      </c>
    </row>
    <row r="271" spans="1:22" x14ac:dyDescent="0.25">
      <c r="A271" s="1">
        <v>270</v>
      </c>
      <c r="B271" s="4">
        <v>7500</v>
      </c>
      <c r="C271" s="4">
        <v>44.9</v>
      </c>
      <c r="D271" s="4">
        <v>45.1</v>
      </c>
      <c r="E271" s="4">
        <f t="shared" si="390"/>
        <v>0.20000000000000284</v>
      </c>
      <c r="F271" s="4">
        <v>2</v>
      </c>
      <c r="G271" s="4">
        <v>0.45</v>
      </c>
      <c r="H271" s="4">
        <v>79</v>
      </c>
      <c r="I271" s="4"/>
      <c r="J271" s="4">
        <v>49</v>
      </c>
      <c r="K271"/>
      <c r="L271"/>
      <c r="M271" s="4">
        <f t="shared" si="391"/>
        <v>45.1</v>
      </c>
      <c r="N271" s="4"/>
      <c r="O271" s="1">
        <f t="shared" si="392"/>
        <v>44.9</v>
      </c>
      <c r="P271" s="1">
        <f t="shared" si="393"/>
        <v>21.120000000000299</v>
      </c>
      <c r="Q271" s="1" t="str">
        <f t="shared" si="389"/>
        <v/>
      </c>
      <c r="R271" s="1" t="str">
        <f t="shared" si="394"/>
        <v/>
      </c>
      <c r="S271" s="1">
        <f t="shared" si="395"/>
        <v>602.28479999999956</v>
      </c>
      <c r="T271" s="1">
        <f t="shared" si="396"/>
        <v>0.45</v>
      </c>
      <c r="U271" s="1">
        <f t="shared" si="397"/>
        <v>1056.000000000015</v>
      </c>
      <c r="V271" s="1">
        <f t="shared" si="398"/>
        <v>475.20000000000675</v>
      </c>
    </row>
    <row r="272" spans="1:22" x14ac:dyDescent="0.25">
      <c r="A272" s="1">
        <v>271</v>
      </c>
      <c r="B272" s="4">
        <v>7500</v>
      </c>
      <c r="C272" s="4">
        <v>45.1</v>
      </c>
      <c r="D272" s="4">
        <v>45.300000000000004</v>
      </c>
      <c r="E272" s="4">
        <f t="shared" si="390"/>
        <v>0.20000000000000284</v>
      </c>
      <c r="F272" s="4">
        <v>0</v>
      </c>
      <c r="G272" s="4">
        <v>0.9</v>
      </c>
      <c r="H272" s="4">
        <v>79</v>
      </c>
      <c r="I272" s="4"/>
      <c r="J272" s="4">
        <v>49</v>
      </c>
      <c r="K272"/>
      <c r="L272"/>
      <c r="M272" s="4">
        <f t="shared" si="391"/>
        <v>45.300000000000004</v>
      </c>
      <c r="N272" s="4"/>
      <c r="O272" s="1">
        <f t="shared" si="392"/>
        <v>45.1</v>
      </c>
      <c r="P272" s="1">
        <f t="shared" si="393"/>
        <v>0</v>
      </c>
      <c r="Q272" s="1" t="str">
        <f t="shared" si="389"/>
        <v/>
      </c>
      <c r="R272" s="1" t="str">
        <f t="shared" si="394"/>
        <v/>
      </c>
      <c r="S272" s="1">
        <f t="shared" si="395"/>
        <v>607.03679999999963</v>
      </c>
      <c r="T272" s="1">
        <f t="shared" si="396"/>
        <v>0.9</v>
      </c>
      <c r="U272" s="1">
        <f t="shared" si="397"/>
        <v>1056.000000000015</v>
      </c>
      <c r="V272" s="1">
        <f t="shared" si="398"/>
        <v>950.40000000001351</v>
      </c>
    </row>
    <row r="273" spans="1:22" x14ac:dyDescent="0.25">
      <c r="A273" s="1">
        <v>272</v>
      </c>
      <c r="B273" s="4">
        <v>7500</v>
      </c>
      <c r="C273" s="4">
        <v>45.300000000000004</v>
      </c>
      <c r="D273" s="4">
        <v>45.4</v>
      </c>
      <c r="E273" s="4">
        <f t="shared" si="390"/>
        <v>9.9999999999994316E-2</v>
      </c>
      <c r="F273" s="4">
        <v>3.1</v>
      </c>
      <c r="G273" s="4">
        <v>0.92</v>
      </c>
      <c r="H273" s="4">
        <v>79</v>
      </c>
      <c r="I273" s="4"/>
      <c r="J273" s="4">
        <v>49</v>
      </c>
      <c r="K273"/>
      <c r="L273"/>
      <c r="M273" s="4">
        <f t="shared" si="391"/>
        <v>45.4</v>
      </c>
      <c r="N273" s="4"/>
      <c r="O273" s="1">
        <f t="shared" si="392"/>
        <v>45.300000000000004</v>
      </c>
      <c r="P273" s="1">
        <f t="shared" si="393"/>
        <v>16.367999999999071</v>
      </c>
      <c r="Q273" s="1" t="str">
        <f t="shared" si="389"/>
        <v/>
      </c>
      <c r="R273" s="1" t="str">
        <f t="shared" si="394"/>
        <v/>
      </c>
      <c r="S273" s="1">
        <f t="shared" si="395"/>
        <v>616.54079999999976</v>
      </c>
      <c r="T273" s="1">
        <f t="shared" si="396"/>
        <v>0.92</v>
      </c>
      <c r="U273" s="1">
        <f t="shared" si="397"/>
        <v>527.99999999996999</v>
      </c>
      <c r="V273" s="1">
        <f t="shared" si="398"/>
        <v>485.75999999997242</v>
      </c>
    </row>
    <row r="274" spans="1:22" x14ac:dyDescent="0.25">
      <c r="A274" s="1">
        <v>273</v>
      </c>
      <c r="B274" s="4">
        <v>7500</v>
      </c>
      <c r="C274" s="4">
        <v>45.4</v>
      </c>
      <c r="D274" s="4">
        <v>45.5</v>
      </c>
      <c r="E274" s="4">
        <f t="shared" si="390"/>
        <v>0.10000000000000142</v>
      </c>
      <c r="F274" s="4">
        <v>3.1</v>
      </c>
      <c r="G274" s="4">
        <v>0.95</v>
      </c>
      <c r="H274" s="4">
        <v>79</v>
      </c>
      <c r="I274" s="4"/>
      <c r="J274" s="4">
        <v>49</v>
      </c>
      <c r="K274"/>
      <c r="L274"/>
      <c r="M274" s="4">
        <f t="shared" si="391"/>
        <v>45.5</v>
      </c>
      <c r="N274" s="4"/>
      <c r="O274" s="1">
        <f t="shared" si="392"/>
        <v>45.4</v>
      </c>
      <c r="P274" s="1">
        <f t="shared" si="393"/>
        <v>16.368000000000233</v>
      </c>
      <c r="Q274" s="1" t="str">
        <f t="shared" si="389"/>
        <v/>
      </c>
      <c r="R274" s="1" t="str">
        <f t="shared" si="394"/>
        <v/>
      </c>
      <c r="S274" s="1">
        <f t="shared" si="395"/>
        <v>621.39839999999947</v>
      </c>
      <c r="T274" s="1">
        <f t="shared" si="396"/>
        <v>0.95</v>
      </c>
      <c r="U274" s="1">
        <f t="shared" si="397"/>
        <v>528.0000000000075</v>
      </c>
      <c r="V274" s="1">
        <f t="shared" si="398"/>
        <v>501.60000000000713</v>
      </c>
    </row>
    <row r="275" spans="1:22" x14ac:dyDescent="0.25">
      <c r="A275" s="1">
        <v>274</v>
      </c>
      <c r="B275" s="4">
        <v>7500</v>
      </c>
      <c r="C275" s="4">
        <v>45.5</v>
      </c>
      <c r="D275" s="4">
        <v>45.6</v>
      </c>
      <c r="E275" s="4">
        <f t="shared" si="390"/>
        <v>0.10000000000000142</v>
      </c>
      <c r="F275" s="4">
        <v>3.1</v>
      </c>
      <c r="G275" s="4">
        <v>0.97</v>
      </c>
      <c r="H275" s="4">
        <v>79</v>
      </c>
      <c r="I275" s="4"/>
      <c r="J275" s="4">
        <v>49</v>
      </c>
      <c r="K275"/>
      <c r="L275"/>
      <c r="M275" s="4">
        <f t="shared" si="391"/>
        <v>45.6</v>
      </c>
      <c r="N275" s="4"/>
      <c r="O275" s="1">
        <f t="shared" si="392"/>
        <v>45.5</v>
      </c>
      <c r="P275" s="1">
        <f t="shared" si="393"/>
        <v>16.368000000000233</v>
      </c>
      <c r="Q275" s="1" t="str">
        <f t="shared" si="389"/>
        <v/>
      </c>
      <c r="R275" s="1" t="str">
        <f t="shared" si="394"/>
        <v/>
      </c>
      <c r="S275" s="1">
        <f t="shared" si="395"/>
        <v>626.41439999999955</v>
      </c>
      <c r="T275" s="1">
        <f t="shared" si="396"/>
        <v>0.97</v>
      </c>
      <c r="U275" s="1">
        <f t="shared" si="397"/>
        <v>528.0000000000075</v>
      </c>
      <c r="V275" s="1">
        <f t="shared" si="398"/>
        <v>512.16000000000724</v>
      </c>
    </row>
    <row r="276" spans="1:22" x14ac:dyDescent="0.25">
      <c r="A276" s="1">
        <v>275</v>
      </c>
      <c r="B276" s="4">
        <v>7500</v>
      </c>
      <c r="C276" s="4">
        <v>45.6</v>
      </c>
      <c r="D276" s="4">
        <v>45.7</v>
      </c>
      <c r="E276" s="4">
        <f t="shared" si="390"/>
        <v>0.10000000000000142</v>
      </c>
      <c r="F276" s="4">
        <v>0</v>
      </c>
      <c r="G276" s="4">
        <v>0.97</v>
      </c>
      <c r="H276" s="4">
        <v>79</v>
      </c>
      <c r="I276" s="4"/>
      <c r="J276" s="4">
        <v>49</v>
      </c>
      <c r="K276"/>
      <c r="L276"/>
      <c r="M276" s="4">
        <f t="shared" si="391"/>
        <v>45.7</v>
      </c>
      <c r="N276" s="4"/>
      <c r="O276" s="1">
        <f t="shared" si="392"/>
        <v>45.6</v>
      </c>
      <c r="P276" s="1">
        <f t="shared" si="393"/>
        <v>0</v>
      </c>
      <c r="Q276" s="1" t="str">
        <f t="shared" si="389"/>
        <v/>
      </c>
      <c r="R276" s="1" t="str">
        <f t="shared" si="394"/>
        <v/>
      </c>
      <c r="S276" s="1">
        <f t="shared" si="395"/>
        <v>631.5359999999996</v>
      </c>
      <c r="T276" s="1">
        <f t="shared" si="396"/>
        <v>0.97</v>
      </c>
      <c r="U276" s="1">
        <f t="shared" si="397"/>
        <v>528.0000000000075</v>
      </c>
      <c r="V276" s="1">
        <f t="shared" si="398"/>
        <v>512.16000000000724</v>
      </c>
    </row>
    <row r="277" spans="1:22" x14ac:dyDescent="0.25">
      <c r="A277" s="1">
        <v>276</v>
      </c>
      <c r="B277" s="4">
        <v>7500</v>
      </c>
      <c r="C277" s="4">
        <v>45.7</v>
      </c>
      <c r="D277" s="4">
        <v>45.9</v>
      </c>
      <c r="E277" s="4">
        <f t="shared" si="390"/>
        <v>0.19999999999999574</v>
      </c>
      <c r="F277" s="4">
        <v>1.2</v>
      </c>
      <c r="G277" s="4">
        <v>0.24</v>
      </c>
      <c r="H277" s="4">
        <v>79</v>
      </c>
      <c r="I277" s="4"/>
      <c r="J277" s="4">
        <v>49</v>
      </c>
      <c r="K277"/>
      <c r="L277"/>
      <c r="M277" s="4">
        <f t="shared" si="391"/>
        <v>45.9</v>
      </c>
      <c r="N277" s="4"/>
      <c r="O277" s="1">
        <f t="shared" si="392"/>
        <v>45.7</v>
      </c>
      <c r="P277" s="1">
        <f t="shared" si="393"/>
        <v>12.671999999999729</v>
      </c>
      <c r="Q277" s="1" t="str">
        <f t="shared" si="389"/>
        <v/>
      </c>
      <c r="R277" s="1" t="str">
        <f t="shared" si="394"/>
        <v/>
      </c>
      <c r="S277" s="1">
        <f t="shared" si="395"/>
        <v>636.65759999999966</v>
      </c>
      <c r="T277" s="1">
        <f t="shared" si="396"/>
        <v>0.24</v>
      </c>
      <c r="U277" s="1">
        <f t="shared" si="397"/>
        <v>1055.9999999999775</v>
      </c>
      <c r="V277" s="1">
        <f t="shared" si="398"/>
        <v>253.4399999999946</v>
      </c>
    </row>
    <row r="278" spans="1:22" x14ac:dyDescent="0.25">
      <c r="A278" s="1">
        <v>277</v>
      </c>
      <c r="B278" s="4">
        <v>7500</v>
      </c>
      <c r="C278" s="4">
        <v>45.9</v>
      </c>
      <c r="D278" s="4">
        <v>46.1</v>
      </c>
      <c r="E278" s="4">
        <f t="shared" si="390"/>
        <v>0.20000000000000284</v>
      </c>
      <c r="F278" s="4">
        <v>1.2</v>
      </c>
      <c r="G278" s="4">
        <v>-0.41</v>
      </c>
      <c r="H278" s="4">
        <v>79</v>
      </c>
      <c r="I278" s="4"/>
      <c r="J278" s="4">
        <v>49</v>
      </c>
      <c r="K278"/>
      <c r="L278"/>
      <c r="M278" s="4">
        <f t="shared" si="391"/>
        <v>46.1</v>
      </c>
      <c r="N278" s="4"/>
      <c r="O278" s="1">
        <f t="shared" si="392"/>
        <v>45.9</v>
      </c>
      <c r="P278" s="1">
        <f t="shared" si="393"/>
        <v>12.672000000000178</v>
      </c>
      <c r="Q278" s="1" t="str">
        <f t="shared" si="389"/>
        <v/>
      </c>
      <c r="R278" s="1" t="str">
        <f t="shared" si="394"/>
        <v/>
      </c>
      <c r="S278" s="1">
        <f t="shared" si="395"/>
        <v>639.19199999999955</v>
      </c>
      <c r="T278" s="1">
        <f t="shared" si="396"/>
        <v>-0.41</v>
      </c>
      <c r="U278" s="1">
        <f t="shared" si="397"/>
        <v>1056.000000000015</v>
      </c>
      <c r="V278" s="1">
        <f t="shared" si="398"/>
        <v>432.96000000000612</v>
      </c>
    </row>
    <row r="279" spans="1:22" x14ac:dyDescent="0.25">
      <c r="A279" s="1">
        <v>278</v>
      </c>
      <c r="B279" s="4">
        <v>7500</v>
      </c>
      <c r="C279" s="4">
        <v>46.1</v>
      </c>
      <c r="D279" s="4">
        <v>46.4</v>
      </c>
      <c r="E279" s="4">
        <f t="shared" si="390"/>
        <v>0.29999999999999716</v>
      </c>
      <c r="F279" s="4">
        <v>0</v>
      </c>
      <c r="G279" s="4">
        <v>0.36</v>
      </c>
      <c r="H279" s="4">
        <v>79</v>
      </c>
      <c r="I279" s="4"/>
      <c r="J279" s="4">
        <v>49</v>
      </c>
      <c r="K279"/>
      <c r="L279"/>
      <c r="M279" s="4">
        <f t="shared" si="391"/>
        <v>46.4</v>
      </c>
      <c r="N279" s="4"/>
      <c r="O279" s="1">
        <f t="shared" si="392"/>
        <v>46.1</v>
      </c>
      <c r="P279" s="1">
        <f t="shared" si="393"/>
        <v>0</v>
      </c>
      <c r="Q279" s="1" t="str">
        <f t="shared" si="389"/>
        <v/>
      </c>
      <c r="R279" s="1" t="str">
        <f t="shared" si="394"/>
        <v/>
      </c>
      <c r="S279" s="1">
        <f t="shared" si="395"/>
        <v>634.86239999999952</v>
      </c>
      <c r="T279" s="1">
        <f t="shared" si="396"/>
        <v>0.36</v>
      </c>
      <c r="U279" s="1">
        <f t="shared" si="397"/>
        <v>1583.999999999985</v>
      </c>
      <c r="V279" s="1">
        <f t="shared" si="398"/>
        <v>570.23999999999455</v>
      </c>
    </row>
    <row r="280" spans="1:22" x14ac:dyDescent="0.25">
      <c r="A280" s="1">
        <v>279</v>
      </c>
      <c r="B280" s="4">
        <v>7500</v>
      </c>
      <c r="C280" s="4">
        <v>46.4</v>
      </c>
      <c r="D280" s="4">
        <v>46.6</v>
      </c>
      <c r="E280" s="4">
        <f t="shared" si="390"/>
        <v>0.20000000000000284</v>
      </c>
      <c r="F280" s="4">
        <v>0</v>
      </c>
      <c r="G280" s="4">
        <v>0.48</v>
      </c>
      <c r="H280" s="4">
        <v>79</v>
      </c>
      <c r="I280" s="4"/>
      <c r="J280" s="4">
        <v>49</v>
      </c>
      <c r="K280"/>
      <c r="L280"/>
      <c r="M280" s="4">
        <f t="shared" si="391"/>
        <v>46.6</v>
      </c>
      <c r="N280" s="4"/>
      <c r="O280" s="1">
        <f t="shared" si="392"/>
        <v>46.4</v>
      </c>
      <c r="P280" s="1">
        <f t="shared" si="393"/>
        <v>0</v>
      </c>
      <c r="Q280" s="1" t="str">
        <f t="shared" si="389"/>
        <v/>
      </c>
      <c r="R280" s="1" t="str">
        <f t="shared" si="394"/>
        <v/>
      </c>
      <c r="S280" s="1">
        <f t="shared" si="395"/>
        <v>640.56479999999942</v>
      </c>
      <c r="T280" s="1">
        <f t="shared" si="396"/>
        <v>0.48</v>
      </c>
      <c r="U280" s="1">
        <f t="shared" si="397"/>
        <v>1056.000000000015</v>
      </c>
      <c r="V280" s="1">
        <f t="shared" si="398"/>
        <v>506.88000000000716</v>
      </c>
    </row>
    <row r="281" spans="1:22" x14ac:dyDescent="0.25">
      <c r="A281" s="1">
        <v>280</v>
      </c>
      <c r="B281" s="4">
        <v>7500</v>
      </c>
      <c r="C281" s="4">
        <v>46.6</v>
      </c>
      <c r="D281" s="4">
        <v>47.1</v>
      </c>
      <c r="E281" s="4">
        <f t="shared" si="390"/>
        <v>0.5</v>
      </c>
      <c r="F281" s="4">
        <v>0</v>
      </c>
      <c r="G281" s="4">
        <v>0.35</v>
      </c>
      <c r="H281" s="4">
        <v>79</v>
      </c>
      <c r="I281" s="4"/>
      <c r="J281" s="4">
        <v>49</v>
      </c>
      <c r="K281"/>
      <c r="L281"/>
      <c r="M281" s="4">
        <f t="shared" si="391"/>
        <v>47.1</v>
      </c>
      <c r="N281" s="4"/>
      <c r="O281" s="1">
        <f t="shared" si="392"/>
        <v>46.6</v>
      </c>
      <c r="P281" s="1">
        <f t="shared" si="393"/>
        <v>0</v>
      </c>
      <c r="Q281" s="1" t="str">
        <f t="shared" si="389"/>
        <v/>
      </c>
      <c r="R281" s="1" t="str">
        <f t="shared" si="394"/>
        <v/>
      </c>
      <c r="S281" s="1">
        <f t="shared" si="395"/>
        <v>645.63359999999955</v>
      </c>
      <c r="T281" s="1">
        <f t="shared" si="396"/>
        <v>0.35</v>
      </c>
      <c r="U281" s="1">
        <f t="shared" si="397"/>
        <v>2640</v>
      </c>
      <c r="V281" s="1">
        <f t="shared" si="398"/>
        <v>923.99999999999989</v>
      </c>
    </row>
    <row r="282" spans="1:22" x14ac:dyDescent="0.25">
      <c r="A282" s="1">
        <v>281</v>
      </c>
      <c r="B282" s="4">
        <v>7500</v>
      </c>
      <c r="C282" s="4">
        <v>47.1</v>
      </c>
      <c r="D282" s="4">
        <v>47.2</v>
      </c>
      <c r="E282" s="4">
        <f t="shared" si="390"/>
        <v>0.10000000000000142</v>
      </c>
      <c r="F282" s="4">
        <v>0</v>
      </c>
      <c r="G282" s="4">
        <v>-0.46</v>
      </c>
      <c r="H282" s="4">
        <v>79</v>
      </c>
      <c r="I282" s="4"/>
      <c r="J282" s="4">
        <v>49</v>
      </c>
      <c r="K282"/>
      <c r="L282"/>
      <c r="M282" s="4">
        <f t="shared" si="391"/>
        <v>47.2</v>
      </c>
      <c r="N282" s="4"/>
      <c r="O282" s="1">
        <f t="shared" si="392"/>
        <v>47.1</v>
      </c>
      <c r="P282" s="1">
        <f t="shared" si="393"/>
        <v>0</v>
      </c>
      <c r="Q282" s="1" t="str">
        <f t="shared" si="389"/>
        <v/>
      </c>
      <c r="R282" s="1" t="str">
        <f t="shared" si="394"/>
        <v/>
      </c>
      <c r="S282" s="1">
        <f t="shared" si="395"/>
        <v>654.87359999999956</v>
      </c>
      <c r="T282" s="1">
        <f t="shared" si="396"/>
        <v>-0.46</v>
      </c>
      <c r="U282" s="1">
        <f t="shared" si="397"/>
        <v>528.0000000000075</v>
      </c>
      <c r="V282" s="1">
        <f t="shared" si="398"/>
        <v>242.88000000000346</v>
      </c>
    </row>
    <row r="283" spans="1:22" x14ac:dyDescent="0.25">
      <c r="A283" s="1">
        <v>282</v>
      </c>
      <c r="B283" s="4">
        <v>7500</v>
      </c>
      <c r="C283" s="4">
        <v>47.2</v>
      </c>
      <c r="D283" s="4">
        <v>47.300000000000004</v>
      </c>
      <c r="E283" s="4">
        <f t="shared" si="390"/>
        <v>0.10000000000000142</v>
      </c>
      <c r="F283" s="4">
        <v>0</v>
      </c>
      <c r="G283" s="4">
        <v>-0.25</v>
      </c>
      <c r="H283" s="4">
        <v>79</v>
      </c>
      <c r="I283" s="4"/>
      <c r="J283" s="4">
        <v>49</v>
      </c>
      <c r="K283"/>
      <c r="L283"/>
      <c r="M283" s="4">
        <f t="shared" si="391"/>
        <v>47.300000000000004</v>
      </c>
      <c r="N283" s="4"/>
      <c r="O283" s="1">
        <f t="shared" si="392"/>
        <v>47.2</v>
      </c>
      <c r="P283" s="1">
        <f t="shared" si="393"/>
        <v>0</v>
      </c>
      <c r="Q283" s="1" t="str">
        <f t="shared" si="389"/>
        <v/>
      </c>
      <c r="R283" s="1" t="str">
        <f t="shared" si="394"/>
        <v/>
      </c>
      <c r="S283" s="1">
        <f t="shared" si="395"/>
        <v>652.44479999999953</v>
      </c>
      <c r="T283" s="1">
        <f t="shared" si="396"/>
        <v>-0.25</v>
      </c>
      <c r="U283" s="1">
        <f t="shared" si="397"/>
        <v>528.0000000000075</v>
      </c>
      <c r="V283" s="1">
        <f t="shared" si="398"/>
        <v>132.00000000000188</v>
      </c>
    </row>
    <row r="284" spans="1:22" x14ac:dyDescent="0.25">
      <c r="A284" s="1">
        <v>283</v>
      </c>
      <c r="B284" s="4">
        <v>7500</v>
      </c>
      <c r="C284" s="4">
        <v>47.300000000000004</v>
      </c>
      <c r="D284" s="4">
        <v>47.4</v>
      </c>
      <c r="E284" s="4">
        <f t="shared" si="390"/>
        <v>9.9999999999994316E-2</v>
      </c>
      <c r="F284" s="4">
        <v>0</v>
      </c>
      <c r="G284" s="4">
        <v>0.17</v>
      </c>
      <c r="H284" s="4">
        <v>79</v>
      </c>
      <c r="I284" s="4"/>
      <c r="J284" s="4">
        <v>49</v>
      </c>
      <c r="K284"/>
      <c r="L284"/>
      <c r="M284" s="4">
        <f t="shared" si="391"/>
        <v>47.4</v>
      </c>
      <c r="N284" s="4"/>
      <c r="O284" s="1">
        <f t="shared" si="392"/>
        <v>47.300000000000004</v>
      </c>
      <c r="P284" s="1">
        <f t="shared" si="393"/>
        <v>0</v>
      </c>
      <c r="Q284" s="1" t="str">
        <f t="shared" si="389"/>
        <v/>
      </c>
      <c r="R284" s="1" t="str">
        <f t="shared" si="394"/>
        <v/>
      </c>
      <c r="S284" s="1">
        <f t="shared" si="395"/>
        <v>651.12479999999948</v>
      </c>
      <c r="T284" s="1">
        <f t="shared" si="396"/>
        <v>0.17</v>
      </c>
      <c r="U284" s="1">
        <f t="shared" si="397"/>
        <v>527.99999999996999</v>
      </c>
      <c r="V284" s="1">
        <f t="shared" si="398"/>
        <v>89.759999999994903</v>
      </c>
    </row>
    <row r="285" spans="1:22" x14ac:dyDescent="0.25">
      <c r="A285" s="1">
        <v>284</v>
      </c>
      <c r="B285" s="4">
        <v>7500</v>
      </c>
      <c r="C285" s="4">
        <v>47.4</v>
      </c>
      <c r="D285" s="4">
        <v>47.6</v>
      </c>
      <c r="E285" s="4">
        <f t="shared" si="390"/>
        <v>0.20000000000000284</v>
      </c>
      <c r="F285" s="4">
        <v>0</v>
      </c>
      <c r="G285" s="4">
        <v>0.38</v>
      </c>
      <c r="H285" s="4">
        <v>79</v>
      </c>
      <c r="I285" s="4"/>
      <c r="J285" s="4">
        <v>49</v>
      </c>
      <c r="K285"/>
      <c r="L285"/>
      <c r="M285" s="4">
        <f t="shared" si="391"/>
        <v>47.6</v>
      </c>
      <c r="N285" s="4"/>
      <c r="O285" s="1">
        <f t="shared" si="392"/>
        <v>47.4</v>
      </c>
      <c r="P285" s="1">
        <f t="shared" si="393"/>
        <v>0</v>
      </c>
      <c r="Q285" s="1" t="str">
        <f t="shared" si="389"/>
        <v/>
      </c>
      <c r="R285" s="1" t="str">
        <f t="shared" si="394"/>
        <v/>
      </c>
      <c r="S285" s="1">
        <f t="shared" si="395"/>
        <v>652.02239999999938</v>
      </c>
      <c r="T285" s="1">
        <f t="shared" si="396"/>
        <v>0.38</v>
      </c>
      <c r="U285" s="1">
        <f t="shared" si="397"/>
        <v>1056.000000000015</v>
      </c>
      <c r="V285" s="1">
        <f t="shared" si="398"/>
        <v>401.28000000000571</v>
      </c>
    </row>
    <row r="286" spans="1:22" x14ac:dyDescent="0.25">
      <c r="A286" s="1">
        <v>285</v>
      </c>
      <c r="B286" s="4">
        <v>7500</v>
      </c>
      <c r="C286" s="4">
        <v>47.6</v>
      </c>
      <c r="D286" s="4">
        <v>47.800000000000004</v>
      </c>
      <c r="E286" s="4">
        <f t="shared" si="390"/>
        <v>0.20000000000000284</v>
      </c>
      <c r="F286" s="4">
        <v>0</v>
      </c>
      <c r="G286" s="4">
        <v>-0.45</v>
      </c>
      <c r="H286" s="4">
        <v>79</v>
      </c>
      <c r="I286" s="4"/>
      <c r="J286" s="4">
        <v>49</v>
      </c>
      <c r="K286"/>
      <c r="L286"/>
      <c r="M286" s="4">
        <f t="shared" si="391"/>
        <v>47.800000000000004</v>
      </c>
      <c r="N286" s="4"/>
      <c r="O286" s="1">
        <f t="shared" si="392"/>
        <v>47.6</v>
      </c>
      <c r="P286" s="1">
        <f t="shared" si="393"/>
        <v>0</v>
      </c>
      <c r="Q286" s="1" t="str">
        <f t="shared" si="389"/>
        <v/>
      </c>
      <c r="R286" s="1" t="str">
        <f t="shared" si="394"/>
        <v/>
      </c>
      <c r="S286" s="1">
        <f t="shared" si="395"/>
        <v>656.03519999999946</v>
      </c>
      <c r="T286" s="1">
        <f t="shared" si="396"/>
        <v>-0.45</v>
      </c>
      <c r="U286" s="1">
        <f t="shared" si="397"/>
        <v>1056.000000000015</v>
      </c>
      <c r="V286" s="1">
        <f t="shared" si="398"/>
        <v>475.20000000000675</v>
      </c>
    </row>
    <row r="287" spans="1:22" x14ac:dyDescent="0.25">
      <c r="A287" s="1">
        <v>286</v>
      </c>
      <c r="B287" s="4">
        <v>7500</v>
      </c>
      <c r="C287" s="4">
        <v>47.800000000000004</v>
      </c>
      <c r="D287" s="4">
        <v>48</v>
      </c>
      <c r="E287" s="4">
        <f t="shared" si="390"/>
        <v>0.19999999999999574</v>
      </c>
      <c r="F287" s="4">
        <v>0</v>
      </c>
      <c r="G287" s="4">
        <v>-0.26</v>
      </c>
      <c r="H287" s="4">
        <v>79</v>
      </c>
      <c r="I287" s="4"/>
      <c r="J287" s="4">
        <v>49</v>
      </c>
      <c r="K287"/>
      <c r="L287"/>
      <c r="M287" s="4">
        <f t="shared" si="391"/>
        <v>48</v>
      </c>
      <c r="N287" s="4"/>
      <c r="O287" s="1">
        <f t="shared" si="392"/>
        <v>47.800000000000004</v>
      </c>
      <c r="P287" s="1">
        <f t="shared" si="393"/>
        <v>0</v>
      </c>
      <c r="Q287" s="1" t="str">
        <f t="shared" si="389"/>
        <v/>
      </c>
      <c r="R287" s="1" t="str">
        <f t="shared" si="394"/>
        <v/>
      </c>
      <c r="S287" s="1">
        <f t="shared" si="395"/>
        <v>651.2831999999994</v>
      </c>
      <c r="T287" s="1">
        <f t="shared" si="396"/>
        <v>-0.26</v>
      </c>
      <c r="U287" s="1">
        <f t="shared" si="397"/>
        <v>1055.9999999999775</v>
      </c>
      <c r="V287" s="1">
        <f t="shared" si="398"/>
        <v>274.55999999999415</v>
      </c>
    </row>
    <row r="288" spans="1:22" x14ac:dyDescent="0.25">
      <c r="A288" s="1">
        <v>287</v>
      </c>
      <c r="B288" s="4">
        <v>7500</v>
      </c>
      <c r="C288" s="4">
        <v>48</v>
      </c>
      <c r="D288" s="4">
        <v>48.2</v>
      </c>
      <c r="E288" s="4">
        <f t="shared" si="390"/>
        <v>0.20000000000000284</v>
      </c>
      <c r="F288" s="4">
        <v>0</v>
      </c>
      <c r="G288" s="4">
        <v>-0.81</v>
      </c>
      <c r="H288" s="4">
        <v>79</v>
      </c>
      <c r="I288" s="4"/>
      <c r="J288" s="4">
        <v>49</v>
      </c>
      <c r="K288"/>
      <c r="L288"/>
      <c r="M288" s="4">
        <f t="shared" si="391"/>
        <v>48.2</v>
      </c>
      <c r="N288" s="4"/>
      <c r="O288" s="1">
        <f t="shared" si="392"/>
        <v>48</v>
      </c>
      <c r="P288" s="1">
        <f t="shared" si="393"/>
        <v>0</v>
      </c>
      <c r="Q288" s="1" t="str">
        <f t="shared" si="389"/>
        <v/>
      </c>
      <c r="R288" s="1" t="str">
        <f t="shared" si="394"/>
        <v/>
      </c>
      <c r="S288" s="1">
        <f t="shared" si="395"/>
        <v>648.53759999999943</v>
      </c>
      <c r="T288" s="1">
        <f t="shared" si="396"/>
        <v>-0.81</v>
      </c>
      <c r="U288" s="1">
        <f t="shared" si="397"/>
        <v>1056.000000000015</v>
      </c>
      <c r="V288" s="1">
        <f t="shared" si="398"/>
        <v>855.36000000001218</v>
      </c>
    </row>
    <row r="289" spans="1:22" x14ac:dyDescent="0.25">
      <c r="A289" s="1">
        <v>288</v>
      </c>
      <c r="B289" s="4">
        <v>7500</v>
      </c>
      <c r="C289" s="4">
        <v>48.2</v>
      </c>
      <c r="D289" s="4">
        <v>48.300000000000004</v>
      </c>
      <c r="E289" s="4">
        <f t="shared" si="390"/>
        <v>0.10000000000000142</v>
      </c>
      <c r="F289" s="4">
        <v>1.3</v>
      </c>
      <c r="G289" s="4">
        <v>-0.81</v>
      </c>
      <c r="H289" s="4">
        <v>79</v>
      </c>
      <c r="I289" s="4"/>
      <c r="J289" s="4">
        <v>49</v>
      </c>
      <c r="K289"/>
      <c r="L289"/>
      <c r="M289" s="4">
        <f t="shared" si="391"/>
        <v>48.300000000000004</v>
      </c>
      <c r="N289" s="4"/>
      <c r="O289" s="1">
        <f t="shared" si="392"/>
        <v>48.2</v>
      </c>
      <c r="P289" s="1">
        <f t="shared" si="393"/>
        <v>6.8640000000000976</v>
      </c>
      <c r="Q289" s="1" t="str">
        <f t="shared" si="389"/>
        <v/>
      </c>
      <c r="R289" s="1" t="str">
        <f t="shared" si="394"/>
        <v/>
      </c>
      <c r="S289" s="1">
        <f t="shared" si="395"/>
        <v>639.98399999999936</v>
      </c>
      <c r="T289" s="1">
        <f t="shared" si="396"/>
        <v>-0.81</v>
      </c>
      <c r="U289" s="1">
        <f t="shared" si="397"/>
        <v>528.0000000000075</v>
      </c>
      <c r="V289" s="1">
        <f t="shared" si="398"/>
        <v>427.68000000000609</v>
      </c>
    </row>
    <row r="290" spans="1:22" x14ac:dyDescent="0.25">
      <c r="A290" s="1">
        <v>289</v>
      </c>
      <c r="B290" s="4">
        <v>7500</v>
      </c>
      <c r="C290" s="4">
        <v>48.300000000000004</v>
      </c>
      <c r="D290" s="4">
        <v>48.6</v>
      </c>
      <c r="E290" s="4">
        <f t="shared" si="390"/>
        <v>0.29999999999999716</v>
      </c>
      <c r="F290" s="4">
        <v>1.3</v>
      </c>
      <c r="G290" s="4">
        <v>-0.56000000000000005</v>
      </c>
      <c r="H290" s="4">
        <v>79</v>
      </c>
      <c r="I290" s="4"/>
      <c r="J290" s="4">
        <v>49</v>
      </c>
      <c r="K290"/>
      <c r="L290"/>
      <c r="M290" s="4">
        <f t="shared" si="391"/>
        <v>48.6</v>
      </c>
      <c r="N290" s="4"/>
      <c r="O290" s="1">
        <f t="shared" si="392"/>
        <v>48.300000000000004</v>
      </c>
      <c r="P290" s="1">
        <f t="shared" si="393"/>
        <v>20.591999999999803</v>
      </c>
      <c r="Q290" s="1" t="str">
        <f t="shared" si="389"/>
        <v/>
      </c>
      <c r="R290" s="1" t="str">
        <f t="shared" si="394"/>
        <v/>
      </c>
      <c r="S290" s="1">
        <f t="shared" si="395"/>
        <v>635.70719999999926</v>
      </c>
      <c r="T290" s="1">
        <f t="shared" si="396"/>
        <v>-0.56000000000000005</v>
      </c>
      <c r="U290" s="1">
        <f t="shared" si="397"/>
        <v>1583.999999999985</v>
      </c>
      <c r="V290" s="1">
        <f t="shared" si="398"/>
        <v>887.03999999999166</v>
      </c>
    </row>
    <row r="291" spans="1:22" x14ac:dyDescent="0.25">
      <c r="A291" s="1">
        <v>290</v>
      </c>
      <c r="B291" s="4">
        <v>7500</v>
      </c>
      <c r="C291" s="4">
        <v>48.6</v>
      </c>
      <c r="D291" s="4">
        <v>48.800000000000004</v>
      </c>
      <c r="E291" s="4">
        <f t="shared" si="390"/>
        <v>0.20000000000000284</v>
      </c>
      <c r="F291" s="4">
        <v>0</v>
      </c>
      <c r="G291" s="4">
        <v>-0.49</v>
      </c>
      <c r="H291" s="4">
        <v>79</v>
      </c>
      <c r="I291" s="4"/>
      <c r="J291" s="4">
        <v>49</v>
      </c>
      <c r="K291"/>
      <c r="L291"/>
      <c r="M291" s="4">
        <f t="shared" si="391"/>
        <v>48.800000000000004</v>
      </c>
      <c r="N291" s="4"/>
      <c r="O291" s="1">
        <f t="shared" si="392"/>
        <v>48.6</v>
      </c>
      <c r="P291" s="1">
        <f t="shared" si="393"/>
        <v>0</v>
      </c>
      <c r="Q291" s="1" t="str">
        <f t="shared" si="389"/>
        <v/>
      </c>
      <c r="R291" s="1" t="str">
        <f t="shared" si="394"/>
        <v/>
      </c>
      <c r="S291" s="1">
        <f t="shared" si="395"/>
        <v>626.83679999999936</v>
      </c>
      <c r="T291" s="1">
        <f t="shared" si="396"/>
        <v>-0.49</v>
      </c>
      <c r="U291" s="1">
        <f t="shared" si="397"/>
        <v>1056.000000000015</v>
      </c>
      <c r="V291" s="1">
        <f t="shared" si="398"/>
        <v>517.44000000000733</v>
      </c>
    </row>
    <row r="292" spans="1:22" x14ac:dyDescent="0.25">
      <c r="A292" s="1">
        <v>291</v>
      </c>
      <c r="B292" s="4">
        <v>7500</v>
      </c>
      <c r="C292" s="4">
        <v>48.800000000000004</v>
      </c>
      <c r="D292" s="4">
        <v>49</v>
      </c>
      <c r="E292" s="4">
        <f t="shared" si="390"/>
        <v>0.19999999999999574</v>
      </c>
      <c r="F292" s="4">
        <v>0</v>
      </c>
      <c r="G292" s="4">
        <v>0.04</v>
      </c>
      <c r="H292" s="4">
        <v>79</v>
      </c>
      <c r="I292" s="4"/>
      <c r="J292" s="4">
        <v>49</v>
      </c>
      <c r="K292"/>
      <c r="L292"/>
      <c r="M292" s="4">
        <f t="shared" si="391"/>
        <v>49</v>
      </c>
      <c r="N292" s="4"/>
      <c r="O292" s="1">
        <f t="shared" si="392"/>
        <v>48.800000000000004</v>
      </c>
      <c r="P292" s="1">
        <f t="shared" si="393"/>
        <v>0</v>
      </c>
      <c r="Q292" s="1" t="str">
        <f t="shared" si="389"/>
        <v/>
      </c>
      <c r="R292" s="1" t="str">
        <f t="shared" si="394"/>
        <v/>
      </c>
      <c r="S292" s="1">
        <f t="shared" si="395"/>
        <v>621.66239999999925</v>
      </c>
      <c r="T292" s="1">
        <f t="shared" si="396"/>
        <v>0.04</v>
      </c>
      <c r="U292" s="1">
        <f t="shared" si="397"/>
        <v>1055.9999999999775</v>
      </c>
      <c r="V292" s="1">
        <f t="shared" si="398"/>
        <v>42.2399999999991</v>
      </c>
    </row>
    <row r="293" spans="1:22" x14ac:dyDescent="0.25">
      <c r="A293" s="1">
        <v>292</v>
      </c>
      <c r="B293" s="4">
        <v>7500</v>
      </c>
      <c r="C293" s="4">
        <v>49</v>
      </c>
      <c r="D293" s="4">
        <v>49.2</v>
      </c>
      <c r="E293" s="4">
        <f t="shared" si="390"/>
        <v>0.20000000000000284</v>
      </c>
      <c r="F293" s="4">
        <v>0</v>
      </c>
      <c r="G293" s="4">
        <v>-0.47</v>
      </c>
      <c r="H293" s="4">
        <v>79</v>
      </c>
      <c r="I293" s="4"/>
      <c r="J293" s="4">
        <v>49</v>
      </c>
      <c r="K293"/>
      <c r="L293"/>
      <c r="M293" s="4">
        <f t="shared" si="391"/>
        <v>49.2</v>
      </c>
      <c r="N293" s="4"/>
      <c r="O293" s="1">
        <f t="shared" si="392"/>
        <v>49</v>
      </c>
      <c r="P293" s="1">
        <f t="shared" si="393"/>
        <v>0</v>
      </c>
      <c r="Q293" s="1" t="str">
        <f t="shared" si="389"/>
        <v/>
      </c>
      <c r="R293" s="1" t="str">
        <f t="shared" si="394"/>
        <v/>
      </c>
      <c r="S293" s="1">
        <f t="shared" si="395"/>
        <v>622.08479999999929</v>
      </c>
      <c r="T293" s="1">
        <f t="shared" si="396"/>
        <v>-0.47</v>
      </c>
      <c r="U293" s="1">
        <f t="shared" si="397"/>
        <v>1056.000000000015</v>
      </c>
      <c r="V293" s="1">
        <f t="shared" si="398"/>
        <v>496.32000000000704</v>
      </c>
    </row>
    <row r="294" spans="1:22" x14ac:dyDescent="0.25">
      <c r="A294" s="1">
        <v>293</v>
      </c>
      <c r="B294" s="4">
        <v>7500</v>
      </c>
      <c r="C294" s="4">
        <v>49.2</v>
      </c>
      <c r="D294" s="4">
        <v>49.300000000000004</v>
      </c>
      <c r="E294" s="4">
        <f t="shared" si="390"/>
        <v>0.10000000000000142</v>
      </c>
      <c r="F294" s="4">
        <v>1</v>
      </c>
      <c r="G294" s="4">
        <v>-0.47</v>
      </c>
      <c r="H294" s="4">
        <v>79</v>
      </c>
      <c r="I294" s="4"/>
      <c r="J294" s="4">
        <v>49</v>
      </c>
      <c r="K294"/>
      <c r="L294"/>
      <c r="M294" s="4">
        <f t="shared" si="391"/>
        <v>49.300000000000004</v>
      </c>
      <c r="N294" s="4"/>
      <c r="O294" s="1">
        <f t="shared" si="392"/>
        <v>49.2</v>
      </c>
      <c r="P294" s="1">
        <f t="shared" si="393"/>
        <v>5.2800000000000749</v>
      </c>
      <c r="Q294" s="1" t="str">
        <f t="shared" si="389"/>
        <v/>
      </c>
      <c r="R294" s="1" t="str">
        <f t="shared" si="394"/>
        <v/>
      </c>
      <c r="S294" s="1">
        <f t="shared" si="395"/>
        <v>617.12159999999926</v>
      </c>
      <c r="T294" s="1">
        <f t="shared" si="396"/>
        <v>-0.47</v>
      </c>
      <c r="U294" s="1">
        <f t="shared" si="397"/>
        <v>528.0000000000075</v>
      </c>
      <c r="V294" s="1">
        <f t="shared" si="398"/>
        <v>248.16000000000352</v>
      </c>
    </row>
    <row r="295" spans="1:22" x14ac:dyDescent="0.25">
      <c r="A295" s="1">
        <v>294</v>
      </c>
      <c r="B295" s="4">
        <v>7500</v>
      </c>
      <c r="C295" s="4">
        <v>49.300000000000004</v>
      </c>
      <c r="D295" s="4">
        <v>49.5</v>
      </c>
      <c r="E295" s="4">
        <f t="shared" si="390"/>
        <v>0.19999999999999574</v>
      </c>
      <c r="F295" s="4">
        <v>1</v>
      </c>
      <c r="G295" s="4">
        <v>-0.11</v>
      </c>
      <c r="H295" s="4">
        <v>79</v>
      </c>
      <c r="I295" s="4"/>
      <c r="J295" s="4">
        <v>49</v>
      </c>
      <c r="K295"/>
      <c r="L295"/>
      <c r="M295" s="4">
        <f t="shared" si="391"/>
        <v>49.5</v>
      </c>
      <c r="N295" s="4"/>
      <c r="O295" s="1">
        <f t="shared" si="392"/>
        <v>49.300000000000004</v>
      </c>
      <c r="P295" s="1">
        <f t="shared" si="393"/>
        <v>10.559999999999775</v>
      </c>
      <c r="Q295" s="1" t="str">
        <f t="shared" si="389"/>
        <v/>
      </c>
      <c r="R295" s="1" t="str">
        <f t="shared" si="394"/>
        <v/>
      </c>
      <c r="S295" s="1">
        <f t="shared" si="395"/>
        <v>614.63999999999919</v>
      </c>
      <c r="T295" s="1">
        <f t="shared" si="396"/>
        <v>-0.11</v>
      </c>
      <c r="U295" s="1">
        <f t="shared" si="397"/>
        <v>1055.9999999999775</v>
      </c>
      <c r="V295" s="1">
        <f t="shared" si="398"/>
        <v>116.15999999999752</v>
      </c>
    </row>
    <row r="296" spans="1:22" x14ac:dyDescent="0.25">
      <c r="A296" s="1">
        <v>295</v>
      </c>
      <c r="B296" s="4">
        <v>7500</v>
      </c>
      <c r="C296" s="4">
        <v>49.5</v>
      </c>
      <c r="D296" s="4">
        <v>49.6</v>
      </c>
      <c r="E296" s="4">
        <f t="shared" si="390"/>
        <v>0.10000000000000142</v>
      </c>
      <c r="F296" s="4">
        <v>0</v>
      </c>
      <c r="G296" s="4">
        <v>-0.11</v>
      </c>
      <c r="H296" s="4">
        <v>79</v>
      </c>
      <c r="I296" s="4"/>
      <c r="J296" s="4">
        <v>49</v>
      </c>
      <c r="K296"/>
      <c r="L296"/>
      <c r="M296" s="4">
        <f t="shared" si="391"/>
        <v>49.6</v>
      </c>
      <c r="N296" s="4"/>
      <c r="O296" s="1">
        <f t="shared" si="392"/>
        <v>49.5</v>
      </c>
      <c r="P296" s="1">
        <f t="shared" si="393"/>
        <v>0</v>
      </c>
      <c r="Q296" s="1" t="str">
        <f t="shared" si="389"/>
        <v/>
      </c>
      <c r="R296" s="1" t="str">
        <f t="shared" si="394"/>
        <v/>
      </c>
      <c r="S296" s="1">
        <f t="shared" si="395"/>
        <v>613.47839999999917</v>
      </c>
      <c r="T296" s="1">
        <f t="shared" si="396"/>
        <v>-0.11</v>
      </c>
      <c r="U296" s="1">
        <f t="shared" si="397"/>
        <v>528.0000000000075</v>
      </c>
      <c r="V296" s="1">
        <f t="shared" si="398"/>
        <v>58.080000000000823</v>
      </c>
    </row>
    <row r="297" spans="1:22" x14ac:dyDescent="0.25">
      <c r="A297" s="1">
        <v>296</v>
      </c>
      <c r="B297" s="4">
        <v>7500</v>
      </c>
      <c r="C297" s="4">
        <v>49.6</v>
      </c>
      <c r="D297" s="4">
        <v>49.800000000000004</v>
      </c>
      <c r="E297" s="4">
        <f t="shared" si="390"/>
        <v>0.20000000000000284</v>
      </c>
      <c r="F297" s="4">
        <v>0</v>
      </c>
      <c r="G297" s="4">
        <v>0.09</v>
      </c>
      <c r="H297" s="4">
        <v>79</v>
      </c>
      <c r="I297" s="4"/>
      <c r="J297" s="4">
        <v>49</v>
      </c>
      <c r="K297"/>
      <c r="L297"/>
      <c r="M297" s="4">
        <f t="shared" si="391"/>
        <v>49.800000000000004</v>
      </c>
      <c r="N297" s="4"/>
      <c r="O297" s="1">
        <f t="shared" si="392"/>
        <v>49.6</v>
      </c>
      <c r="P297" s="1">
        <f t="shared" si="393"/>
        <v>0</v>
      </c>
      <c r="Q297" s="1" t="str">
        <f t="shared" si="389"/>
        <v/>
      </c>
      <c r="R297" s="1" t="str">
        <f t="shared" si="394"/>
        <v/>
      </c>
      <c r="S297" s="1">
        <f t="shared" si="395"/>
        <v>612.89759999999922</v>
      </c>
      <c r="T297" s="1">
        <f t="shared" si="396"/>
        <v>0.09</v>
      </c>
      <c r="U297" s="1">
        <f t="shared" si="397"/>
        <v>1056.000000000015</v>
      </c>
      <c r="V297" s="1">
        <f t="shared" si="398"/>
        <v>95.040000000001342</v>
      </c>
    </row>
    <row r="298" spans="1:22" x14ac:dyDescent="0.25">
      <c r="A298" s="1">
        <v>297</v>
      </c>
      <c r="B298" s="4">
        <v>7500</v>
      </c>
      <c r="C298" s="4">
        <v>49.800000000000004</v>
      </c>
      <c r="D298" s="4">
        <v>49.9</v>
      </c>
      <c r="E298" s="4">
        <f t="shared" si="390"/>
        <v>9.9999999999994316E-2</v>
      </c>
      <c r="F298" s="4">
        <v>0</v>
      </c>
      <c r="G298" s="4">
        <v>-0.42</v>
      </c>
      <c r="H298" s="4">
        <v>79</v>
      </c>
      <c r="I298" s="4"/>
      <c r="J298" s="4">
        <v>49</v>
      </c>
      <c r="K298"/>
      <c r="L298"/>
      <c r="M298" s="4">
        <f t="shared" si="391"/>
        <v>49.9</v>
      </c>
      <c r="N298" s="4"/>
      <c r="O298" s="1">
        <f t="shared" si="392"/>
        <v>49.800000000000004</v>
      </c>
      <c r="P298" s="1">
        <f t="shared" si="393"/>
        <v>0</v>
      </c>
      <c r="Q298" s="1" t="str">
        <f t="shared" si="389"/>
        <v/>
      </c>
      <c r="R298" s="1" t="str">
        <f t="shared" si="394"/>
        <v/>
      </c>
      <c r="S298" s="1">
        <f t="shared" si="395"/>
        <v>613.84799999999927</v>
      </c>
      <c r="T298" s="1">
        <f t="shared" si="396"/>
        <v>-0.42</v>
      </c>
      <c r="U298" s="1">
        <f t="shared" si="397"/>
        <v>527.99999999996999</v>
      </c>
      <c r="V298" s="1">
        <f t="shared" si="398"/>
        <v>221.7599999999874</v>
      </c>
    </row>
    <row r="299" spans="1:22" x14ac:dyDescent="0.25">
      <c r="A299" s="1">
        <v>298</v>
      </c>
      <c r="B299" s="4">
        <v>7500</v>
      </c>
      <c r="C299" s="4">
        <v>49.9</v>
      </c>
      <c r="D299" s="4">
        <v>50</v>
      </c>
      <c r="E299" s="4">
        <f t="shared" si="390"/>
        <v>0.10000000000000142</v>
      </c>
      <c r="F299" s="4">
        <v>0</v>
      </c>
      <c r="G299" s="4">
        <v>-0.3</v>
      </c>
      <c r="H299" s="4">
        <v>79</v>
      </c>
      <c r="I299" s="4"/>
      <c r="J299" s="4">
        <v>49</v>
      </c>
      <c r="K299"/>
      <c r="L299"/>
      <c r="M299" s="4">
        <f t="shared" si="391"/>
        <v>50</v>
      </c>
      <c r="N299" s="4"/>
      <c r="O299" s="1">
        <f t="shared" si="392"/>
        <v>49.9</v>
      </c>
      <c r="P299" s="1">
        <f t="shared" si="393"/>
        <v>0</v>
      </c>
      <c r="Q299" s="1" t="str">
        <f t="shared" si="389"/>
        <v/>
      </c>
      <c r="R299" s="1" t="str">
        <f t="shared" si="394"/>
        <v/>
      </c>
      <c r="S299" s="1">
        <f t="shared" si="395"/>
        <v>611.63039999999944</v>
      </c>
      <c r="T299" s="1">
        <f t="shared" si="396"/>
        <v>-0.3</v>
      </c>
      <c r="U299" s="1">
        <f t="shared" si="397"/>
        <v>528.0000000000075</v>
      </c>
      <c r="V299" s="1">
        <f t="shared" si="398"/>
        <v>158.40000000000225</v>
      </c>
    </row>
    <row r="300" spans="1:22" x14ac:dyDescent="0.25">
      <c r="A300" s="1">
        <v>299</v>
      </c>
      <c r="B300" s="4">
        <v>7500</v>
      </c>
      <c r="C300" s="4">
        <v>50</v>
      </c>
      <c r="D300" s="4">
        <v>50.1</v>
      </c>
      <c r="E300" s="4">
        <f t="shared" si="390"/>
        <v>0.10000000000000142</v>
      </c>
      <c r="F300" s="4">
        <v>1.3</v>
      </c>
      <c r="G300" s="4">
        <v>-0.04</v>
      </c>
      <c r="H300" s="4">
        <v>79</v>
      </c>
      <c r="I300" s="4"/>
      <c r="J300" s="4">
        <v>49</v>
      </c>
      <c r="K300"/>
      <c r="L300"/>
      <c r="M300" s="4">
        <f t="shared" si="391"/>
        <v>50.1</v>
      </c>
      <c r="N300" s="4"/>
      <c r="O300" s="1">
        <f t="shared" si="392"/>
        <v>50</v>
      </c>
      <c r="P300" s="1">
        <f t="shared" si="393"/>
        <v>6.8640000000000976</v>
      </c>
      <c r="Q300" s="1" t="str">
        <f t="shared" si="389"/>
        <v/>
      </c>
      <c r="R300" s="1" t="str">
        <f t="shared" si="394"/>
        <v/>
      </c>
      <c r="S300" s="1">
        <f t="shared" si="395"/>
        <v>610.04639999999938</v>
      </c>
      <c r="T300" s="1">
        <f t="shared" si="396"/>
        <v>-0.04</v>
      </c>
      <c r="U300" s="1">
        <f t="shared" si="397"/>
        <v>528.0000000000075</v>
      </c>
      <c r="V300" s="1">
        <f t="shared" si="398"/>
        <v>21.120000000000299</v>
      </c>
    </row>
    <row r="301" spans="1:22" x14ac:dyDescent="0.25">
      <c r="A301" s="1">
        <v>300</v>
      </c>
      <c r="B301" s="4">
        <v>7500</v>
      </c>
      <c r="C301" s="4">
        <v>50.1</v>
      </c>
      <c r="D301" s="4">
        <v>50.2</v>
      </c>
      <c r="E301" s="4">
        <f t="shared" si="390"/>
        <v>0.10000000000000142</v>
      </c>
      <c r="F301" s="4">
        <v>0</v>
      </c>
      <c r="G301" s="4">
        <v>0.08</v>
      </c>
      <c r="H301" s="4">
        <v>79</v>
      </c>
      <c r="I301" s="4"/>
      <c r="J301" s="4">
        <v>49</v>
      </c>
      <c r="K301"/>
      <c r="L301"/>
      <c r="M301" s="4">
        <f t="shared" si="391"/>
        <v>50.2</v>
      </c>
      <c r="N301" s="4"/>
      <c r="O301" s="1">
        <f t="shared" si="392"/>
        <v>50.1</v>
      </c>
      <c r="P301" s="1">
        <f t="shared" si="393"/>
        <v>0</v>
      </c>
      <c r="Q301" s="1" t="str">
        <f t="shared" si="389"/>
        <v/>
      </c>
      <c r="R301" s="1" t="str">
        <f t="shared" si="394"/>
        <v/>
      </c>
      <c r="S301" s="1">
        <f t="shared" si="395"/>
        <v>609.83519999999942</v>
      </c>
      <c r="T301" s="1">
        <f t="shared" si="396"/>
        <v>0.08</v>
      </c>
      <c r="U301" s="1">
        <f t="shared" si="397"/>
        <v>528.0000000000075</v>
      </c>
      <c r="V301" s="1">
        <f t="shared" si="398"/>
        <v>42.240000000000599</v>
      </c>
    </row>
    <row r="302" spans="1:22" x14ac:dyDescent="0.25">
      <c r="A302" s="1">
        <v>301</v>
      </c>
      <c r="B302" s="4">
        <v>7500</v>
      </c>
      <c r="C302" s="4">
        <v>50.2</v>
      </c>
      <c r="D302" s="4">
        <v>50.300000000000004</v>
      </c>
      <c r="E302" s="4">
        <f t="shared" si="390"/>
        <v>0.10000000000000142</v>
      </c>
      <c r="F302" s="4">
        <v>0</v>
      </c>
      <c r="G302" s="4">
        <v>0.15</v>
      </c>
      <c r="H302" s="4">
        <v>79</v>
      </c>
      <c r="I302" s="4"/>
      <c r="J302" s="4">
        <v>49</v>
      </c>
      <c r="K302"/>
      <c r="L302"/>
      <c r="M302" s="4">
        <f t="shared" si="391"/>
        <v>50.300000000000004</v>
      </c>
      <c r="N302" s="4"/>
      <c r="O302" s="1">
        <f t="shared" si="392"/>
        <v>50.2</v>
      </c>
      <c r="P302" s="1">
        <f t="shared" si="393"/>
        <v>0</v>
      </c>
      <c r="Q302" s="1" t="str">
        <f t="shared" si="389"/>
        <v/>
      </c>
      <c r="R302" s="1" t="str">
        <f t="shared" si="394"/>
        <v/>
      </c>
      <c r="S302" s="1">
        <f t="shared" si="395"/>
        <v>610.25759999999946</v>
      </c>
      <c r="T302" s="1">
        <f t="shared" si="396"/>
        <v>0.15</v>
      </c>
      <c r="U302" s="1">
        <f t="shared" si="397"/>
        <v>528.0000000000075</v>
      </c>
      <c r="V302" s="1">
        <f t="shared" si="398"/>
        <v>79.200000000001125</v>
      </c>
    </row>
    <row r="303" spans="1:22" x14ac:dyDescent="0.25">
      <c r="A303" s="1">
        <v>302</v>
      </c>
      <c r="B303" s="4">
        <v>7500</v>
      </c>
      <c r="C303" s="4">
        <v>50.300000000000004</v>
      </c>
      <c r="D303" s="4">
        <v>50.4</v>
      </c>
      <c r="E303" s="4">
        <f t="shared" si="390"/>
        <v>9.9999999999994316E-2</v>
      </c>
      <c r="F303" s="4">
        <v>0</v>
      </c>
      <c r="G303" s="4">
        <v>0.36</v>
      </c>
      <c r="H303" s="4">
        <v>79</v>
      </c>
      <c r="I303" s="4"/>
      <c r="J303" s="4">
        <v>49</v>
      </c>
      <c r="K303"/>
      <c r="L303"/>
      <c r="M303" s="4">
        <f t="shared" si="391"/>
        <v>50.4</v>
      </c>
      <c r="N303" s="4"/>
      <c r="O303" s="1">
        <f t="shared" si="392"/>
        <v>50.300000000000004</v>
      </c>
      <c r="P303" s="1">
        <f t="shared" si="393"/>
        <v>0</v>
      </c>
      <c r="Q303" s="1" t="str">
        <f t="shared" si="389"/>
        <v/>
      </c>
      <c r="R303" s="1" t="str">
        <f t="shared" si="394"/>
        <v/>
      </c>
      <c r="S303" s="1">
        <f t="shared" si="395"/>
        <v>611.04959999999949</v>
      </c>
      <c r="T303" s="1">
        <f t="shared" si="396"/>
        <v>0.36</v>
      </c>
      <c r="U303" s="1">
        <f t="shared" si="397"/>
        <v>527.99999999996999</v>
      </c>
      <c r="V303" s="1">
        <f t="shared" si="398"/>
        <v>190.07999999998918</v>
      </c>
    </row>
    <row r="304" spans="1:22" x14ac:dyDescent="0.25">
      <c r="A304" s="1">
        <v>303</v>
      </c>
      <c r="B304" s="4">
        <v>7500</v>
      </c>
      <c r="C304" s="4">
        <v>50.4</v>
      </c>
      <c r="D304" s="4">
        <v>50.5</v>
      </c>
      <c r="E304" s="4">
        <f t="shared" si="390"/>
        <v>0.10000000000000142</v>
      </c>
      <c r="F304" s="4">
        <v>0</v>
      </c>
      <c r="G304" s="4">
        <v>0.06</v>
      </c>
      <c r="H304" s="4">
        <v>79</v>
      </c>
      <c r="I304" s="4"/>
      <c r="J304" s="4">
        <v>49</v>
      </c>
      <c r="K304"/>
      <c r="L304"/>
      <c r="M304" s="4">
        <f t="shared" si="391"/>
        <v>50.5</v>
      </c>
      <c r="N304" s="4"/>
      <c r="O304" s="1">
        <f t="shared" si="392"/>
        <v>50.4</v>
      </c>
      <c r="P304" s="1">
        <f t="shared" si="393"/>
        <v>0</v>
      </c>
      <c r="Q304" s="1" t="str">
        <f t="shared" si="389"/>
        <v/>
      </c>
      <c r="R304" s="1" t="str">
        <f t="shared" si="394"/>
        <v/>
      </c>
      <c r="S304" s="1">
        <f t="shared" si="395"/>
        <v>612.95039999999938</v>
      </c>
      <c r="T304" s="1">
        <f t="shared" si="396"/>
        <v>0.06</v>
      </c>
      <c r="U304" s="1">
        <f t="shared" si="397"/>
        <v>528.0000000000075</v>
      </c>
      <c r="V304" s="1">
        <f t="shared" si="398"/>
        <v>31.680000000000447</v>
      </c>
    </row>
    <row r="305" spans="1:22" x14ac:dyDescent="0.25">
      <c r="A305" s="1">
        <v>304</v>
      </c>
      <c r="B305" s="4">
        <v>7500</v>
      </c>
      <c r="C305" s="4">
        <v>50.5</v>
      </c>
      <c r="D305" s="4">
        <v>50.6</v>
      </c>
      <c r="E305" s="4">
        <f t="shared" si="390"/>
        <v>0.10000000000000142</v>
      </c>
      <c r="F305" s="4">
        <v>0</v>
      </c>
      <c r="G305" s="4">
        <v>-0.54</v>
      </c>
      <c r="H305" s="4">
        <v>79</v>
      </c>
      <c r="I305" s="4"/>
      <c r="J305" s="4">
        <v>49</v>
      </c>
      <c r="K305"/>
      <c r="L305"/>
      <c r="M305" s="4">
        <f t="shared" si="391"/>
        <v>50.6</v>
      </c>
      <c r="N305" s="4"/>
      <c r="O305" s="1">
        <f t="shared" si="392"/>
        <v>50.5</v>
      </c>
      <c r="P305" s="1">
        <f t="shared" si="393"/>
        <v>0</v>
      </c>
      <c r="Q305" s="1" t="str">
        <f t="shared" si="389"/>
        <v/>
      </c>
      <c r="R305" s="1" t="str">
        <f t="shared" si="394"/>
        <v/>
      </c>
      <c r="S305" s="1">
        <f t="shared" si="395"/>
        <v>613.26719999999943</v>
      </c>
      <c r="T305" s="1">
        <f t="shared" si="396"/>
        <v>-0.54</v>
      </c>
      <c r="U305" s="1">
        <f t="shared" si="397"/>
        <v>528.0000000000075</v>
      </c>
      <c r="V305" s="1">
        <f t="shared" si="398"/>
        <v>285.1200000000041</v>
      </c>
    </row>
    <row r="306" spans="1:22" x14ac:dyDescent="0.25">
      <c r="A306" s="1">
        <v>305</v>
      </c>
      <c r="B306" s="4">
        <v>7500</v>
      </c>
      <c r="C306" s="4">
        <v>50.6</v>
      </c>
      <c r="D306" s="4">
        <v>50.9</v>
      </c>
      <c r="E306" s="4">
        <f t="shared" si="390"/>
        <v>0.29999999999999716</v>
      </c>
      <c r="F306" s="4">
        <v>1.1000000000000001</v>
      </c>
      <c r="G306" s="4">
        <v>-0.84</v>
      </c>
      <c r="H306" s="4">
        <v>79</v>
      </c>
      <c r="I306" s="4"/>
      <c r="J306" s="4">
        <v>49</v>
      </c>
      <c r="K306"/>
      <c r="L306"/>
      <c r="M306" s="4">
        <f t="shared" si="391"/>
        <v>50.9</v>
      </c>
      <c r="N306" s="4"/>
      <c r="O306" s="1">
        <f t="shared" si="392"/>
        <v>50.6</v>
      </c>
      <c r="P306" s="1">
        <f t="shared" si="393"/>
        <v>17.423999999999836</v>
      </c>
      <c r="Q306" s="1" t="str">
        <f t="shared" si="389"/>
        <v/>
      </c>
      <c r="R306" s="1" t="str">
        <f t="shared" si="394"/>
        <v/>
      </c>
      <c r="S306" s="1">
        <f t="shared" si="395"/>
        <v>610.41599999999937</v>
      </c>
      <c r="T306" s="1">
        <f t="shared" si="396"/>
        <v>-0.84</v>
      </c>
      <c r="U306" s="1">
        <f t="shared" si="397"/>
        <v>1583.999999999985</v>
      </c>
      <c r="V306" s="1">
        <f t="shared" si="398"/>
        <v>1330.5599999999874</v>
      </c>
    </row>
    <row r="307" spans="1:22" x14ac:dyDescent="0.25">
      <c r="A307" s="1">
        <v>306</v>
      </c>
      <c r="B307" s="4">
        <v>7500</v>
      </c>
      <c r="C307" s="4">
        <v>50.9</v>
      </c>
      <c r="D307" s="4">
        <v>51.1</v>
      </c>
      <c r="E307" s="4">
        <f t="shared" si="390"/>
        <v>0.20000000000000284</v>
      </c>
      <c r="F307" s="4">
        <v>0</v>
      </c>
      <c r="G307" s="4">
        <v>-1.01</v>
      </c>
      <c r="H307" s="4">
        <v>79</v>
      </c>
      <c r="I307" s="4"/>
      <c r="J307" s="4">
        <v>49</v>
      </c>
      <c r="K307"/>
      <c r="L307"/>
      <c r="M307" s="4">
        <f t="shared" si="391"/>
        <v>51.1</v>
      </c>
      <c r="N307" s="4"/>
      <c r="O307" s="1">
        <f t="shared" si="392"/>
        <v>50.9</v>
      </c>
      <c r="P307" s="1">
        <f t="shared" si="393"/>
        <v>0</v>
      </c>
      <c r="Q307" s="1" t="str">
        <f t="shared" si="389"/>
        <v/>
      </c>
      <c r="R307" s="1" t="str">
        <f t="shared" si="394"/>
        <v/>
      </c>
      <c r="S307" s="1">
        <f t="shared" si="395"/>
        <v>597.11039999999946</v>
      </c>
      <c r="T307" s="1">
        <f t="shared" si="396"/>
        <v>-1.01</v>
      </c>
      <c r="U307" s="1">
        <f t="shared" si="397"/>
        <v>1056.000000000015</v>
      </c>
      <c r="V307" s="1">
        <f t="shared" si="398"/>
        <v>1066.5600000000152</v>
      </c>
    </row>
    <row r="308" spans="1:22" x14ac:dyDescent="0.25">
      <c r="A308" s="1">
        <v>307</v>
      </c>
      <c r="B308" s="4">
        <v>7500</v>
      </c>
      <c r="C308" s="4">
        <v>51.1</v>
      </c>
      <c r="D308" s="4">
        <v>51.800000000000004</v>
      </c>
      <c r="E308" s="4">
        <f t="shared" si="390"/>
        <v>0.70000000000000284</v>
      </c>
      <c r="F308" s="4">
        <v>0</v>
      </c>
      <c r="G308" s="4">
        <v>-0.86</v>
      </c>
      <c r="H308" s="4">
        <v>79</v>
      </c>
      <c r="I308" s="4"/>
      <c r="J308" s="4">
        <v>49</v>
      </c>
      <c r="K308"/>
      <c r="L308"/>
      <c r="M308" s="4">
        <f t="shared" si="391"/>
        <v>51.800000000000004</v>
      </c>
      <c r="N308" s="4"/>
      <c r="O308" s="1">
        <f t="shared" si="392"/>
        <v>51.1</v>
      </c>
      <c r="P308" s="1">
        <f t="shared" si="393"/>
        <v>0</v>
      </c>
      <c r="Q308" s="1" t="str">
        <f t="shared" si="389"/>
        <v/>
      </c>
      <c r="R308" s="1" t="str">
        <f t="shared" si="394"/>
        <v/>
      </c>
      <c r="S308" s="1">
        <f t="shared" si="395"/>
        <v>586.4447999999993</v>
      </c>
      <c r="T308" s="1">
        <f t="shared" si="396"/>
        <v>-0.86</v>
      </c>
      <c r="U308" s="1">
        <f t="shared" si="397"/>
        <v>3696.000000000015</v>
      </c>
      <c r="V308" s="1">
        <f t="shared" si="398"/>
        <v>3178.5600000000127</v>
      </c>
    </row>
    <row r="309" spans="1:22" x14ac:dyDescent="0.25">
      <c r="A309" s="1">
        <v>308</v>
      </c>
      <c r="B309" s="4">
        <v>7500</v>
      </c>
      <c r="C309" s="4">
        <v>51.800000000000004</v>
      </c>
      <c r="D309" s="4">
        <v>52</v>
      </c>
      <c r="E309" s="4">
        <f t="shared" si="390"/>
        <v>0.19999999999999574</v>
      </c>
      <c r="F309" s="4">
        <v>0</v>
      </c>
      <c r="G309" s="4">
        <v>-0.9</v>
      </c>
      <c r="H309" s="4">
        <v>79</v>
      </c>
      <c r="I309" s="4"/>
      <c r="J309" s="4">
        <v>49</v>
      </c>
      <c r="K309"/>
      <c r="L309"/>
      <c r="M309" s="4">
        <f t="shared" si="391"/>
        <v>52</v>
      </c>
      <c r="N309" s="4"/>
      <c r="O309" s="1">
        <f t="shared" si="392"/>
        <v>51.800000000000004</v>
      </c>
      <c r="P309" s="1">
        <f t="shared" si="393"/>
        <v>0</v>
      </c>
      <c r="Q309" s="1" t="str">
        <f t="shared" si="389"/>
        <v/>
      </c>
      <c r="R309" s="1" t="str">
        <f t="shared" si="394"/>
        <v/>
      </c>
      <c r="S309" s="1">
        <f t="shared" si="395"/>
        <v>554.65919999999915</v>
      </c>
      <c r="T309" s="1">
        <f t="shared" si="396"/>
        <v>-0.9</v>
      </c>
      <c r="U309" s="1">
        <f t="shared" si="397"/>
        <v>1055.9999999999775</v>
      </c>
      <c r="V309" s="1">
        <f t="shared" si="398"/>
        <v>950.39999999997974</v>
      </c>
    </row>
    <row r="310" spans="1:22" x14ac:dyDescent="0.25">
      <c r="A310" s="1">
        <v>309</v>
      </c>
      <c r="B310" s="4">
        <v>7500</v>
      </c>
      <c r="C310" s="4">
        <v>52</v>
      </c>
      <c r="D310" s="4">
        <v>52.1</v>
      </c>
      <c r="E310" s="4">
        <f t="shared" si="390"/>
        <v>0.10000000000000142</v>
      </c>
      <c r="F310" s="4">
        <v>1.2</v>
      </c>
      <c r="G310" s="4">
        <v>-1.02</v>
      </c>
      <c r="H310" s="4">
        <v>79</v>
      </c>
      <c r="I310" s="4"/>
      <c r="J310" s="4">
        <v>49</v>
      </c>
      <c r="K310"/>
      <c r="L310"/>
      <c r="M310" s="4">
        <f t="shared" si="391"/>
        <v>52.1</v>
      </c>
      <c r="N310" s="4"/>
      <c r="O310" s="1">
        <f t="shared" si="392"/>
        <v>52</v>
      </c>
      <c r="P310" s="1">
        <f t="shared" si="393"/>
        <v>6.3360000000000891</v>
      </c>
      <c r="Q310" s="1" t="str">
        <f t="shared" si="389"/>
        <v/>
      </c>
      <c r="R310" s="1" t="str">
        <f t="shared" si="394"/>
        <v/>
      </c>
      <c r="S310" s="1">
        <f t="shared" si="395"/>
        <v>545.15519999999935</v>
      </c>
      <c r="T310" s="1">
        <f t="shared" si="396"/>
        <v>-1.02</v>
      </c>
      <c r="U310" s="1">
        <f t="shared" si="397"/>
        <v>528.0000000000075</v>
      </c>
      <c r="V310" s="1">
        <f t="shared" si="398"/>
        <v>538.56000000000768</v>
      </c>
    </row>
    <row r="311" spans="1:22" x14ac:dyDescent="0.25">
      <c r="A311" s="1">
        <v>310</v>
      </c>
      <c r="B311" s="4">
        <v>7500</v>
      </c>
      <c r="C311" s="4">
        <v>52.1</v>
      </c>
      <c r="D311" s="4">
        <v>52.4</v>
      </c>
      <c r="E311" s="4">
        <f t="shared" si="390"/>
        <v>0.29999999999999716</v>
      </c>
      <c r="F311" s="4">
        <v>1.2</v>
      </c>
      <c r="G311" s="4">
        <v>-0.98</v>
      </c>
      <c r="H311" s="4">
        <v>79</v>
      </c>
      <c r="I311" s="4"/>
      <c r="J311" s="4">
        <v>49</v>
      </c>
      <c r="K311"/>
      <c r="L311"/>
      <c r="M311" s="4">
        <f t="shared" si="391"/>
        <v>52.4</v>
      </c>
      <c r="N311" s="4"/>
      <c r="O311" s="1">
        <f t="shared" si="392"/>
        <v>52.1</v>
      </c>
      <c r="P311" s="1">
        <f t="shared" si="393"/>
        <v>19.007999999999818</v>
      </c>
      <c r="Q311" s="1" t="str">
        <f t="shared" si="389"/>
        <v/>
      </c>
      <c r="R311" s="1" t="str">
        <f t="shared" si="394"/>
        <v/>
      </c>
      <c r="S311" s="1">
        <f t="shared" si="395"/>
        <v>539.76959999999929</v>
      </c>
      <c r="T311" s="1">
        <f t="shared" si="396"/>
        <v>-0.98</v>
      </c>
      <c r="U311" s="1">
        <f t="shared" si="397"/>
        <v>1583.999999999985</v>
      </c>
      <c r="V311" s="1">
        <f t="shared" si="398"/>
        <v>1552.3199999999852</v>
      </c>
    </row>
    <row r="312" spans="1:22" x14ac:dyDescent="0.25">
      <c r="A312" s="1">
        <v>311</v>
      </c>
      <c r="B312" s="4">
        <v>7500</v>
      </c>
      <c r="C312" s="4">
        <v>52.4</v>
      </c>
      <c r="D312" s="4">
        <v>52.5</v>
      </c>
      <c r="E312" s="4">
        <f t="shared" si="390"/>
        <v>0.10000000000000142</v>
      </c>
      <c r="F312" s="4">
        <v>1.2</v>
      </c>
      <c r="G312" s="4">
        <v>-0.99</v>
      </c>
      <c r="H312" s="4">
        <v>79</v>
      </c>
      <c r="I312" s="4"/>
      <c r="J312" s="4">
        <v>49</v>
      </c>
      <c r="K312"/>
      <c r="L312"/>
      <c r="M312" s="4">
        <f t="shared" si="391"/>
        <v>52.5</v>
      </c>
      <c r="N312" s="4"/>
      <c r="O312" s="1">
        <f t="shared" si="392"/>
        <v>52.4</v>
      </c>
      <c r="P312" s="1">
        <f t="shared" si="393"/>
        <v>6.3360000000000891</v>
      </c>
      <c r="Q312" s="1" t="str">
        <f t="shared" si="389"/>
        <v/>
      </c>
      <c r="R312" s="1" t="str">
        <f t="shared" si="394"/>
        <v/>
      </c>
      <c r="S312" s="1">
        <f t="shared" si="395"/>
        <v>524.24639999999943</v>
      </c>
      <c r="T312" s="1">
        <f t="shared" si="396"/>
        <v>-0.99</v>
      </c>
      <c r="U312" s="1">
        <f t="shared" si="397"/>
        <v>528.0000000000075</v>
      </c>
      <c r="V312" s="1">
        <f t="shared" si="398"/>
        <v>522.72000000000742</v>
      </c>
    </row>
    <row r="313" spans="1:22" x14ac:dyDescent="0.25">
      <c r="A313" s="1">
        <v>312</v>
      </c>
      <c r="B313" s="4">
        <v>7500</v>
      </c>
      <c r="C313" s="4">
        <v>52.5</v>
      </c>
      <c r="D313" s="4">
        <v>52.7</v>
      </c>
      <c r="E313" s="4">
        <f t="shared" si="390"/>
        <v>0.20000000000000284</v>
      </c>
      <c r="F313" s="4">
        <v>1.2</v>
      </c>
      <c r="G313" s="4">
        <v>-0.94</v>
      </c>
      <c r="H313" s="4">
        <v>79</v>
      </c>
      <c r="I313" s="4"/>
      <c r="J313" s="4">
        <v>49</v>
      </c>
      <c r="K313"/>
      <c r="L313"/>
      <c r="M313" s="4">
        <f t="shared" si="391"/>
        <v>52.7</v>
      </c>
      <c r="N313" s="4"/>
      <c r="O313" s="1">
        <f t="shared" si="392"/>
        <v>52.5</v>
      </c>
      <c r="P313" s="1">
        <f t="shared" si="393"/>
        <v>12.672000000000178</v>
      </c>
      <c r="Q313" s="1" t="str">
        <f t="shared" si="389"/>
        <v/>
      </c>
      <c r="R313" s="1" t="str">
        <f t="shared" si="394"/>
        <v/>
      </c>
      <c r="S313" s="1">
        <f t="shared" si="395"/>
        <v>519.01919999999939</v>
      </c>
      <c r="T313" s="1">
        <f t="shared" si="396"/>
        <v>-0.94</v>
      </c>
      <c r="U313" s="1">
        <f t="shared" si="397"/>
        <v>1056.000000000015</v>
      </c>
      <c r="V313" s="1">
        <f t="shared" si="398"/>
        <v>992.64000000001408</v>
      </c>
    </row>
    <row r="314" spans="1:22" x14ac:dyDescent="0.25">
      <c r="A314" s="1">
        <v>313</v>
      </c>
      <c r="B314" s="4">
        <v>7500</v>
      </c>
      <c r="C314" s="4">
        <v>52.7</v>
      </c>
      <c r="D314" s="4">
        <v>52.800000000000004</v>
      </c>
      <c r="E314" s="4">
        <f t="shared" si="390"/>
        <v>0.10000000000000142</v>
      </c>
      <c r="F314" s="4">
        <v>0</v>
      </c>
      <c r="G314" s="4">
        <v>-0.94</v>
      </c>
      <c r="H314" s="4">
        <v>79</v>
      </c>
      <c r="I314" s="4"/>
      <c r="J314" s="4">
        <v>49</v>
      </c>
      <c r="K314"/>
      <c r="L314"/>
      <c r="M314" s="4">
        <f t="shared" si="391"/>
        <v>52.800000000000004</v>
      </c>
      <c r="N314" s="4"/>
      <c r="O314" s="1">
        <f t="shared" si="392"/>
        <v>52.7</v>
      </c>
      <c r="P314" s="1">
        <f t="shared" si="393"/>
        <v>0</v>
      </c>
      <c r="Q314" s="1" t="str">
        <f t="shared" si="389"/>
        <v/>
      </c>
      <c r="R314" s="1" t="str">
        <f t="shared" si="394"/>
        <v/>
      </c>
      <c r="S314" s="1">
        <f t="shared" si="395"/>
        <v>509.09279999999927</v>
      </c>
      <c r="T314" s="1">
        <f t="shared" si="396"/>
        <v>-0.94</v>
      </c>
      <c r="U314" s="1">
        <f t="shared" si="397"/>
        <v>528.0000000000075</v>
      </c>
      <c r="V314" s="1">
        <f t="shared" si="398"/>
        <v>496.32000000000704</v>
      </c>
    </row>
    <row r="315" spans="1:22" x14ac:dyDescent="0.25">
      <c r="A315" s="1">
        <v>314</v>
      </c>
      <c r="B315" s="4">
        <v>7500</v>
      </c>
      <c r="C315" s="4">
        <v>52.800000000000004</v>
      </c>
      <c r="D315" s="4">
        <v>53.1</v>
      </c>
      <c r="E315" s="4">
        <f t="shared" si="390"/>
        <v>0.29999999999999716</v>
      </c>
      <c r="F315" s="4">
        <v>2</v>
      </c>
      <c r="G315" s="4">
        <v>-0.91</v>
      </c>
      <c r="H315" s="4">
        <v>79</v>
      </c>
      <c r="I315" s="4"/>
      <c r="J315" s="4">
        <v>49</v>
      </c>
      <c r="K315"/>
      <c r="L315"/>
      <c r="M315" s="4">
        <f t="shared" si="391"/>
        <v>53.1</v>
      </c>
      <c r="N315" s="4"/>
      <c r="O315" s="1">
        <f t="shared" si="392"/>
        <v>52.800000000000004</v>
      </c>
      <c r="P315" s="1">
        <f t="shared" si="393"/>
        <v>31.679999999999698</v>
      </c>
      <c r="Q315" s="1" t="str">
        <f t="shared" si="389"/>
        <v/>
      </c>
      <c r="R315" s="1" t="str">
        <f t="shared" si="394"/>
        <v/>
      </c>
      <c r="S315" s="1">
        <f t="shared" si="395"/>
        <v>504.12959999999919</v>
      </c>
      <c r="T315" s="1">
        <f t="shared" si="396"/>
        <v>-0.91</v>
      </c>
      <c r="U315" s="1">
        <f t="shared" si="397"/>
        <v>1583.999999999985</v>
      </c>
      <c r="V315" s="1">
        <f t="shared" si="398"/>
        <v>1441.4399999999864</v>
      </c>
    </row>
    <row r="316" spans="1:22" x14ac:dyDescent="0.25">
      <c r="A316" s="1">
        <v>315</v>
      </c>
      <c r="B316" s="4">
        <v>7500</v>
      </c>
      <c r="C316" s="4">
        <v>53.1</v>
      </c>
      <c r="D316" s="4">
        <v>53.2</v>
      </c>
      <c r="E316" s="4">
        <f t="shared" si="390"/>
        <v>0.10000000000000142</v>
      </c>
      <c r="F316" s="4">
        <v>0.5</v>
      </c>
      <c r="G316" s="4">
        <v>-0.91</v>
      </c>
      <c r="H316" s="4">
        <v>79</v>
      </c>
      <c r="I316" s="4"/>
      <c r="J316" s="4">
        <v>49</v>
      </c>
      <c r="K316"/>
      <c r="L316"/>
      <c r="M316" s="4">
        <f t="shared" si="391"/>
        <v>53.2</v>
      </c>
      <c r="N316" s="4"/>
      <c r="O316" s="1">
        <f t="shared" si="392"/>
        <v>53.1</v>
      </c>
      <c r="P316" s="1">
        <f t="shared" si="393"/>
        <v>2.6400000000000374</v>
      </c>
      <c r="Q316" s="1" t="str">
        <f t="shared" si="389"/>
        <v/>
      </c>
      <c r="R316" s="1" t="str">
        <f t="shared" si="394"/>
        <v/>
      </c>
      <c r="S316" s="1">
        <f t="shared" si="395"/>
        <v>489.7151999999993</v>
      </c>
      <c r="T316" s="1">
        <f t="shared" si="396"/>
        <v>-0.91</v>
      </c>
      <c r="U316" s="1">
        <f t="shared" si="397"/>
        <v>528.0000000000075</v>
      </c>
      <c r="V316" s="1">
        <f t="shared" si="398"/>
        <v>480.48000000000684</v>
      </c>
    </row>
    <row r="317" spans="1:22" x14ac:dyDescent="0.25">
      <c r="A317" s="1">
        <v>316</v>
      </c>
      <c r="B317" s="4">
        <v>7500</v>
      </c>
      <c r="C317" s="4">
        <v>53.2</v>
      </c>
      <c r="D317" s="4">
        <v>53.300000000000004</v>
      </c>
      <c r="E317" s="4">
        <f t="shared" si="390"/>
        <v>0.10000000000000142</v>
      </c>
      <c r="F317" s="4">
        <v>2.2000000000000002</v>
      </c>
      <c r="G317" s="4">
        <v>-0.91</v>
      </c>
      <c r="H317" s="4">
        <v>79</v>
      </c>
      <c r="I317" s="4"/>
      <c r="J317" s="4">
        <v>49</v>
      </c>
      <c r="K317"/>
      <c r="L317"/>
      <c r="M317" s="4">
        <f t="shared" si="391"/>
        <v>53.300000000000004</v>
      </c>
      <c r="N317" s="4"/>
      <c r="O317" s="1">
        <f t="shared" si="392"/>
        <v>53.2</v>
      </c>
      <c r="P317" s="1">
        <f t="shared" si="393"/>
        <v>11.616000000000165</v>
      </c>
      <c r="Q317" s="1" t="str">
        <f t="shared" si="389"/>
        <v/>
      </c>
      <c r="R317" s="1" t="str">
        <f t="shared" si="394"/>
        <v/>
      </c>
      <c r="S317" s="1">
        <f t="shared" si="395"/>
        <v>484.91039999999924</v>
      </c>
      <c r="T317" s="1">
        <f t="shared" si="396"/>
        <v>-0.91</v>
      </c>
      <c r="U317" s="1">
        <f t="shared" si="397"/>
        <v>528.0000000000075</v>
      </c>
      <c r="V317" s="1">
        <f t="shared" si="398"/>
        <v>480.48000000000684</v>
      </c>
    </row>
    <row r="318" spans="1:22" x14ac:dyDescent="0.25">
      <c r="A318" s="1">
        <v>317</v>
      </c>
      <c r="B318" s="4">
        <v>7500</v>
      </c>
      <c r="C318" s="4">
        <v>53.300000000000004</v>
      </c>
      <c r="D318" s="4">
        <v>53.4</v>
      </c>
      <c r="E318" s="4">
        <f t="shared" si="390"/>
        <v>9.9999999999994316E-2</v>
      </c>
      <c r="F318" s="4">
        <v>0</v>
      </c>
      <c r="G318" s="4">
        <v>-0.91</v>
      </c>
      <c r="H318" s="4">
        <v>79</v>
      </c>
      <c r="I318" s="4"/>
      <c r="J318" s="4">
        <v>49</v>
      </c>
      <c r="K318"/>
      <c r="L318"/>
      <c r="M318" s="4">
        <f t="shared" si="391"/>
        <v>53.4</v>
      </c>
      <c r="N318" s="4"/>
      <c r="O318" s="1">
        <f t="shared" si="392"/>
        <v>53.300000000000004</v>
      </c>
      <c r="P318" s="1">
        <f t="shared" si="393"/>
        <v>0</v>
      </c>
      <c r="Q318" s="1" t="str">
        <f t="shared" si="389"/>
        <v/>
      </c>
      <c r="R318" s="1" t="str">
        <f t="shared" si="394"/>
        <v/>
      </c>
      <c r="S318" s="1">
        <f t="shared" si="395"/>
        <v>480.10559999999919</v>
      </c>
      <c r="T318" s="1">
        <f t="shared" si="396"/>
        <v>-0.91</v>
      </c>
      <c r="U318" s="1">
        <f t="shared" si="397"/>
        <v>527.99999999996999</v>
      </c>
      <c r="V318" s="1">
        <f t="shared" si="398"/>
        <v>480.47999999997268</v>
      </c>
    </row>
    <row r="319" spans="1:22" x14ac:dyDescent="0.25">
      <c r="A319" s="1">
        <v>318</v>
      </c>
      <c r="B319" s="4">
        <v>7500</v>
      </c>
      <c r="C319" s="4">
        <v>53.4</v>
      </c>
      <c r="D319" s="4">
        <v>53.5</v>
      </c>
      <c r="E319" s="4">
        <f t="shared" si="390"/>
        <v>0.10000000000000142</v>
      </c>
      <c r="F319" s="4">
        <v>0</v>
      </c>
      <c r="G319" s="4">
        <v>-0.41</v>
      </c>
      <c r="H319" s="4">
        <v>79</v>
      </c>
      <c r="I319" s="4"/>
      <c r="J319" s="4">
        <v>49</v>
      </c>
      <c r="K319"/>
      <c r="L319"/>
      <c r="M319" s="4">
        <f t="shared" si="391"/>
        <v>53.5</v>
      </c>
      <c r="N319" s="4"/>
      <c r="O319" s="1">
        <f t="shared" si="392"/>
        <v>53.4</v>
      </c>
      <c r="P319" s="1">
        <f t="shared" si="393"/>
        <v>0</v>
      </c>
      <c r="Q319" s="1" t="str">
        <f t="shared" si="389"/>
        <v/>
      </c>
      <c r="R319" s="1" t="str">
        <f t="shared" si="394"/>
        <v/>
      </c>
      <c r="S319" s="1">
        <f t="shared" si="395"/>
        <v>475.30079999999947</v>
      </c>
      <c r="T319" s="1">
        <f t="shared" si="396"/>
        <v>-0.41</v>
      </c>
      <c r="U319" s="1">
        <f t="shared" si="397"/>
        <v>528.0000000000075</v>
      </c>
      <c r="V319" s="1">
        <f t="shared" si="398"/>
        <v>216.48000000000306</v>
      </c>
    </row>
    <row r="320" spans="1:22" x14ac:dyDescent="0.25">
      <c r="A320" s="1">
        <v>319</v>
      </c>
      <c r="B320" s="4">
        <v>7500</v>
      </c>
      <c r="C320" s="4">
        <v>53.5</v>
      </c>
      <c r="D320" s="4">
        <v>53.6</v>
      </c>
      <c r="E320" s="4">
        <f t="shared" si="390"/>
        <v>0.10000000000000142</v>
      </c>
      <c r="F320" s="4">
        <v>4.2</v>
      </c>
      <c r="G320" s="4">
        <v>-0.41</v>
      </c>
      <c r="H320" s="4">
        <v>79</v>
      </c>
      <c r="I320" s="4"/>
      <c r="J320" s="4">
        <v>49</v>
      </c>
      <c r="K320"/>
      <c r="L320"/>
      <c r="M320" s="4">
        <f t="shared" si="391"/>
        <v>53.6</v>
      </c>
      <c r="N320" s="4"/>
      <c r="O320" s="1">
        <f t="shared" si="392"/>
        <v>53.5</v>
      </c>
      <c r="P320" s="1">
        <f t="shared" si="393"/>
        <v>22.176000000000315</v>
      </c>
      <c r="Q320" s="1" t="str">
        <f t="shared" si="389"/>
        <v/>
      </c>
      <c r="R320" s="1" t="str">
        <f t="shared" si="394"/>
        <v/>
      </c>
      <c r="S320" s="1">
        <f t="shared" si="395"/>
        <v>473.13599999999946</v>
      </c>
      <c r="T320" s="1">
        <f t="shared" si="396"/>
        <v>-0.41</v>
      </c>
      <c r="U320" s="1">
        <f t="shared" si="397"/>
        <v>528.0000000000075</v>
      </c>
      <c r="V320" s="1">
        <f t="shared" si="398"/>
        <v>216.48000000000306</v>
      </c>
    </row>
    <row r="321" spans="1:22" x14ac:dyDescent="0.25">
      <c r="A321" s="1">
        <v>320</v>
      </c>
      <c r="B321" s="4">
        <v>7500</v>
      </c>
      <c r="C321" s="4">
        <v>53.6</v>
      </c>
      <c r="D321" s="4">
        <v>53.7</v>
      </c>
      <c r="E321" s="4">
        <f t="shared" si="390"/>
        <v>0.10000000000000142</v>
      </c>
      <c r="F321" s="4">
        <v>4.2</v>
      </c>
      <c r="G321" s="4">
        <v>0.61</v>
      </c>
      <c r="H321" s="4">
        <v>79</v>
      </c>
      <c r="I321" s="4"/>
      <c r="J321" s="4">
        <v>49</v>
      </c>
      <c r="K321"/>
      <c r="L321"/>
      <c r="M321" s="4">
        <f t="shared" si="391"/>
        <v>53.7</v>
      </c>
      <c r="N321" s="4"/>
      <c r="O321" s="1">
        <f t="shared" si="392"/>
        <v>53.6</v>
      </c>
      <c r="P321" s="1">
        <f t="shared" si="393"/>
        <v>22.176000000000315</v>
      </c>
      <c r="Q321" s="1" t="str">
        <f t="shared" si="389"/>
        <v/>
      </c>
      <c r="R321" s="1" t="str">
        <f t="shared" si="394"/>
        <v/>
      </c>
      <c r="S321" s="1">
        <f t="shared" si="395"/>
        <v>470.97119999999944</v>
      </c>
      <c r="T321" s="1">
        <f t="shared" si="396"/>
        <v>0.61</v>
      </c>
      <c r="U321" s="1">
        <f t="shared" si="397"/>
        <v>528.0000000000075</v>
      </c>
      <c r="V321" s="1">
        <f t="shared" si="398"/>
        <v>322.08000000000459</v>
      </c>
    </row>
    <row r="322" spans="1:22" x14ac:dyDescent="0.25">
      <c r="A322" s="1">
        <v>321</v>
      </c>
      <c r="B322" s="4">
        <v>7500</v>
      </c>
      <c r="C322" s="4">
        <v>53.7</v>
      </c>
      <c r="D322" s="4">
        <v>53.800000000000004</v>
      </c>
      <c r="E322" s="4">
        <f t="shared" si="390"/>
        <v>0.10000000000000142</v>
      </c>
      <c r="F322" s="4">
        <v>0</v>
      </c>
      <c r="G322" s="4">
        <v>0.79</v>
      </c>
      <c r="H322" s="4">
        <v>79</v>
      </c>
      <c r="I322" s="4"/>
      <c r="J322" s="4">
        <v>49</v>
      </c>
      <c r="K322"/>
      <c r="L322"/>
      <c r="M322" s="4">
        <f t="shared" si="391"/>
        <v>53.800000000000004</v>
      </c>
      <c r="N322" s="4"/>
      <c r="O322" s="1">
        <f t="shared" si="392"/>
        <v>53.7</v>
      </c>
      <c r="P322" s="1">
        <f t="shared" si="393"/>
        <v>0</v>
      </c>
      <c r="Q322" s="1" t="str">
        <f t="shared" si="389"/>
        <v/>
      </c>
      <c r="R322" s="1" t="str">
        <f t="shared" si="394"/>
        <v/>
      </c>
      <c r="S322" s="1">
        <f t="shared" si="395"/>
        <v>474.1919999999995</v>
      </c>
      <c r="T322" s="1">
        <f t="shared" si="396"/>
        <v>0.79</v>
      </c>
      <c r="U322" s="1">
        <f t="shared" si="397"/>
        <v>528.0000000000075</v>
      </c>
      <c r="V322" s="1">
        <f t="shared" si="398"/>
        <v>417.12000000000597</v>
      </c>
    </row>
    <row r="323" spans="1:22" x14ac:dyDescent="0.25">
      <c r="A323" s="1">
        <v>322</v>
      </c>
      <c r="B323" s="4">
        <v>7500</v>
      </c>
      <c r="C323" s="4">
        <v>53.800000000000004</v>
      </c>
      <c r="D323" s="4">
        <v>53.9</v>
      </c>
      <c r="E323" s="4">
        <f t="shared" si="390"/>
        <v>9.9999999999994316E-2</v>
      </c>
      <c r="F323" s="4">
        <v>4.0999999999999996</v>
      </c>
      <c r="G323" s="4">
        <v>0.79</v>
      </c>
      <c r="H323" s="4">
        <v>79</v>
      </c>
      <c r="I323" s="4"/>
      <c r="J323" s="4">
        <v>49</v>
      </c>
      <c r="K323"/>
      <c r="L323"/>
      <c r="M323" s="4">
        <f t="shared" si="391"/>
        <v>53.9</v>
      </c>
      <c r="N323" s="4"/>
      <c r="O323" s="1">
        <f t="shared" si="392"/>
        <v>53.800000000000004</v>
      </c>
      <c r="P323" s="1">
        <f t="shared" si="393"/>
        <v>21.647999999998767</v>
      </c>
      <c r="Q323" s="1" t="str">
        <f t="shared" ref="Q323:Q386" si="399">IF(H323&lt;&gt;"",IF(H323=H322,"",H323),IF(H321="","",MAX(H322,Q322)))</f>
        <v/>
      </c>
      <c r="R323" s="1" t="str">
        <f t="shared" si="394"/>
        <v/>
      </c>
      <c r="S323" s="1">
        <f t="shared" si="395"/>
        <v>478.36319999999955</v>
      </c>
      <c r="T323" s="1">
        <f t="shared" si="396"/>
        <v>0.79</v>
      </c>
      <c r="U323" s="1">
        <f t="shared" si="397"/>
        <v>527.99999999996999</v>
      </c>
      <c r="V323" s="1">
        <f t="shared" si="398"/>
        <v>417.1199999999763</v>
      </c>
    </row>
    <row r="324" spans="1:22" x14ac:dyDescent="0.25">
      <c r="A324" s="1">
        <v>323</v>
      </c>
      <c r="B324" s="4">
        <v>7500</v>
      </c>
      <c r="C324" s="4">
        <v>53.9</v>
      </c>
      <c r="D324" s="4">
        <v>54</v>
      </c>
      <c r="E324" s="4">
        <f t="shared" si="390"/>
        <v>0.10000000000000142</v>
      </c>
      <c r="F324" s="4">
        <v>4.0999999999999996</v>
      </c>
      <c r="G324" s="4">
        <v>0.99</v>
      </c>
      <c r="H324" s="4">
        <v>79</v>
      </c>
      <c r="I324" s="4"/>
      <c r="J324" s="4">
        <v>49</v>
      </c>
      <c r="K324"/>
      <c r="L324"/>
      <c r="M324" s="4">
        <f t="shared" si="391"/>
        <v>54</v>
      </c>
      <c r="N324" s="4"/>
      <c r="O324" s="1">
        <f t="shared" si="392"/>
        <v>53.9</v>
      </c>
      <c r="P324" s="1">
        <f t="shared" si="393"/>
        <v>21.648000000000305</v>
      </c>
      <c r="Q324" s="1" t="str">
        <f t="shared" si="399"/>
        <v/>
      </c>
      <c r="R324" s="1" t="str">
        <f t="shared" si="394"/>
        <v/>
      </c>
      <c r="S324" s="1">
        <f t="shared" si="395"/>
        <v>482.53439999999932</v>
      </c>
      <c r="T324" s="1">
        <f t="shared" si="396"/>
        <v>0.99</v>
      </c>
      <c r="U324" s="1">
        <f t="shared" si="397"/>
        <v>528.0000000000075</v>
      </c>
      <c r="V324" s="1">
        <f t="shared" si="398"/>
        <v>522.72000000000742</v>
      </c>
    </row>
    <row r="325" spans="1:22" x14ac:dyDescent="0.25">
      <c r="A325" s="1">
        <v>324</v>
      </c>
      <c r="B325" s="4">
        <v>7500</v>
      </c>
      <c r="C325" s="4">
        <v>54</v>
      </c>
      <c r="D325" s="4">
        <v>54.1</v>
      </c>
      <c r="E325" s="4">
        <f t="shared" si="390"/>
        <v>0.10000000000000142</v>
      </c>
      <c r="F325" s="4">
        <v>0</v>
      </c>
      <c r="G325" s="4">
        <v>0.99</v>
      </c>
      <c r="H325" s="4">
        <v>79</v>
      </c>
      <c r="I325" s="4"/>
      <c r="J325" s="4">
        <v>49</v>
      </c>
      <c r="K325"/>
      <c r="L325"/>
      <c r="M325" s="4">
        <f t="shared" si="391"/>
        <v>54.1</v>
      </c>
      <c r="N325" s="4"/>
      <c r="O325" s="1">
        <f t="shared" si="392"/>
        <v>54</v>
      </c>
      <c r="P325" s="1">
        <f t="shared" si="393"/>
        <v>0</v>
      </c>
      <c r="Q325" s="1" t="str">
        <f t="shared" si="399"/>
        <v/>
      </c>
      <c r="R325" s="1" t="str">
        <f t="shared" si="394"/>
        <v/>
      </c>
      <c r="S325" s="1">
        <f t="shared" si="395"/>
        <v>487.76159999999942</v>
      </c>
      <c r="T325" s="1">
        <f t="shared" si="396"/>
        <v>0.99</v>
      </c>
      <c r="U325" s="1">
        <f t="shared" si="397"/>
        <v>528.0000000000075</v>
      </c>
      <c r="V325" s="1">
        <f t="shared" si="398"/>
        <v>522.72000000000742</v>
      </c>
    </row>
    <row r="326" spans="1:22" x14ac:dyDescent="0.25">
      <c r="A326" s="1">
        <v>325</v>
      </c>
      <c r="B326" s="4">
        <v>7500</v>
      </c>
      <c r="C326" s="4">
        <v>54.1</v>
      </c>
      <c r="D326" s="4">
        <v>54.2</v>
      </c>
      <c r="E326" s="4">
        <f t="shared" si="390"/>
        <v>0.10000000000000142</v>
      </c>
      <c r="F326" s="4">
        <v>3.9</v>
      </c>
      <c r="G326" s="4">
        <v>0.99</v>
      </c>
      <c r="H326" s="4">
        <v>79</v>
      </c>
      <c r="I326" s="4"/>
      <c r="J326" s="4">
        <v>49</v>
      </c>
      <c r="K326"/>
      <c r="L326"/>
      <c r="M326" s="4">
        <f t="shared" si="391"/>
        <v>54.2</v>
      </c>
      <c r="N326" s="4"/>
      <c r="O326" s="1">
        <f t="shared" si="392"/>
        <v>54.1</v>
      </c>
      <c r="P326" s="1">
        <f t="shared" si="393"/>
        <v>20.59200000000029</v>
      </c>
      <c r="Q326" s="1" t="str">
        <f t="shared" si="399"/>
        <v/>
      </c>
      <c r="R326" s="1" t="str">
        <f t="shared" si="394"/>
        <v/>
      </c>
      <c r="S326" s="1">
        <f t="shared" si="395"/>
        <v>492.98879999999951</v>
      </c>
      <c r="T326" s="1">
        <f t="shared" si="396"/>
        <v>0.99</v>
      </c>
      <c r="U326" s="1">
        <f t="shared" si="397"/>
        <v>528.0000000000075</v>
      </c>
      <c r="V326" s="1">
        <f t="shared" si="398"/>
        <v>522.72000000000742</v>
      </c>
    </row>
    <row r="327" spans="1:22" x14ac:dyDescent="0.25">
      <c r="A327" s="1">
        <v>326</v>
      </c>
      <c r="B327" s="4">
        <v>7500</v>
      </c>
      <c r="C327" s="4">
        <v>54.2</v>
      </c>
      <c r="D327" s="4">
        <v>54.300000000000004</v>
      </c>
      <c r="E327" s="4">
        <f t="shared" si="390"/>
        <v>0.10000000000000142</v>
      </c>
      <c r="F327" s="4">
        <v>0</v>
      </c>
      <c r="G327" s="4">
        <v>0.99</v>
      </c>
      <c r="H327" s="4">
        <v>79</v>
      </c>
      <c r="I327" s="4"/>
      <c r="J327" s="4">
        <v>49</v>
      </c>
      <c r="K327"/>
      <c r="L327"/>
      <c r="M327" s="4">
        <f t="shared" si="391"/>
        <v>54.300000000000004</v>
      </c>
      <c r="N327" s="4"/>
      <c r="O327" s="1">
        <f t="shared" si="392"/>
        <v>54.2</v>
      </c>
      <c r="P327" s="1">
        <f t="shared" si="393"/>
        <v>0</v>
      </c>
      <c r="Q327" s="1" t="str">
        <f t="shared" si="399"/>
        <v/>
      </c>
      <c r="R327" s="1" t="str">
        <f t="shared" si="394"/>
        <v/>
      </c>
      <c r="S327" s="1">
        <f t="shared" si="395"/>
        <v>498.21599999999961</v>
      </c>
      <c r="T327" s="1">
        <f t="shared" si="396"/>
        <v>0.99</v>
      </c>
      <c r="U327" s="1">
        <f t="shared" si="397"/>
        <v>528.0000000000075</v>
      </c>
      <c r="V327" s="1">
        <f t="shared" si="398"/>
        <v>522.72000000000742</v>
      </c>
    </row>
    <row r="328" spans="1:22" x14ac:dyDescent="0.25">
      <c r="A328" s="1">
        <v>327</v>
      </c>
      <c r="B328" s="4">
        <v>7500</v>
      </c>
      <c r="C328" s="4">
        <v>54.300000000000004</v>
      </c>
      <c r="D328" s="4">
        <v>54.4</v>
      </c>
      <c r="E328" s="4">
        <f t="shared" ref="E328:E391" si="400">D328-C328</f>
        <v>9.9999999999994316E-2</v>
      </c>
      <c r="F328" s="4">
        <v>3.1</v>
      </c>
      <c r="G328" s="4">
        <v>0.99</v>
      </c>
      <c r="H328" s="4">
        <v>79</v>
      </c>
      <c r="I328" s="4"/>
      <c r="J328" s="4">
        <v>49</v>
      </c>
      <c r="K328"/>
      <c r="L328"/>
      <c r="M328" s="4">
        <f t="shared" ref="M328:M391" si="401">E328+M327</f>
        <v>54.4</v>
      </c>
      <c r="N328" s="4"/>
      <c r="O328" s="1">
        <f t="shared" ref="O328:O391" si="402">E327+O327</f>
        <v>54.300000000000004</v>
      </c>
      <c r="P328" s="1">
        <f t="shared" ref="P328:P391" si="403">F328*52.8*E328</f>
        <v>16.367999999999071</v>
      </c>
      <c r="Q328" s="1" t="str">
        <f t="shared" si="399"/>
        <v/>
      </c>
      <c r="R328" s="1" t="str">
        <f t="shared" ref="R328:R391" si="404">IF(I328="",Q328,IF(AND(H328=H327,I328=I327),"",I328))</f>
        <v/>
      </c>
      <c r="S328" s="1">
        <f t="shared" ref="S328:S391" si="405">S327+U327*T327/100</f>
        <v>503.44319999999971</v>
      </c>
      <c r="T328" s="1">
        <f t="shared" ref="T328:T391" si="406">IF(G328="UNK",0,G328)</f>
        <v>0.99</v>
      </c>
      <c r="U328" s="1">
        <f t="shared" ref="U328:U391" si="407">E328*5280</f>
        <v>527.99999999996999</v>
      </c>
      <c r="V328" s="1">
        <f t="shared" ref="V328:V391" si="408">ABS(T328*U328)</f>
        <v>522.71999999997024</v>
      </c>
    </row>
    <row r="329" spans="1:22" x14ac:dyDescent="0.25">
      <c r="A329" s="1">
        <v>328</v>
      </c>
      <c r="B329" s="4">
        <v>7500</v>
      </c>
      <c r="C329" s="4">
        <v>54.4</v>
      </c>
      <c r="D329" s="4">
        <v>54.5</v>
      </c>
      <c r="E329" s="4">
        <f t="shared" si="400"/>
        <v>0.10000000000000142</v>
      </c>
      <c r="F329" s="4">
        <v>0</v>
      </c>
      <c r="G329" s="4">
        <v>0.09</v>
      </c>
      <c r="H329" s="4">
        <v>79</v>
      </c>
      <c r="I329" s="4"/>
      <c r="J329" s="4">
        <v>49</v>
      </c>
      <c r="K329"/>
      <c r="L329"/>
      <c r="M329" s="4">
        <f t="shared" si="401"/>
        <v>54.5</v>
      </c>
      <c r="N329" s="4"/>
      <c r="O329" s="1">
        <f t="shared" si="402"/>
        <v>54.4</v>
      </c>
      <c r="P329" s="1">
        <f t="shared" si="403"/>
        <v>0</v>
      </c>
      <c r="Q329" s="1" t="str">
        <f t="shared" si="399"/>
        <v/>
      </c>
      <c r="R329" s="1" t="str">
        <f t="shared" si="404"/>
        <v/>
      </c>
      <c r="S329" s="1">
        <f t="shared" si="405"/>
        <v>508.6703999999994</v>
      </c>
      <c r="T329" s="1">
        <f t="shared" si="406"/>
        <v>0.09</v>
      </c>
      <c r="U329" s="1">
        <f t="shared" si="407"/>
        <v>528.0000000000075</v>
      </c>
      <c r="V329" s="1">
        <f t="shared" si="408"/>
        <v>47.520000000000671</v>
      </c>
    </row>
    <row r="330" spans="1:22" x14ac:dyDescent="0.25">
      <c r="A330" s="1">
        <v>329</v>
      </c>
      <c r="B330" s="4">
        <v>7500</v>
      </c>
      <c r="C330" s="4">
        <v>54.5</v>
      </c>
      <c r="D330" s="4">
        <v>54.7</v>
      </c>
      <c r="E330" s="4">
        <f t="shared" si="400"/>
        <v>0.20000000000000284</v>
      </c>
      <c r="F330" s="4">
        <v>0</v>
      </c>
      <c r="G330" s="4">
        <v>-0.79</v>
      </c>
      <c r="H330" s="4">
        <v>79</v>
      </c>
      <c r="I330" s="4"/>
      <c r="J330" s="4">
        <v>49</v>
      </c>
      <c r="K330"/>
      <c r="L330"/>
      <c r="M330" s="4">
        <f t="shared" si="401"/>
        <v>54.7</v>
      </c>
      <c r="N330" s="4"/>
      <c r="O330" s="1">
        <f t="shared" si="402"/>
        <v>54.5</v>
      </c>
      <c r="P330" s="1">
        <f t="shared" si="403"/>
        <v>0</v>
      </c>
      <c r="Q330" s="1" t="str">
        <f t="shared" si="399"/>
        <v/>
      </c>
      <c r="R330" s="1" t="str">
        <f t="shared" si="404"/>
        <v/>
      </c>
      <c r="S330" s="1">
        <f t="shared" si="405"/>
        <v>509.14559999999943</v>
      </c>
      <c r="T330" s="1">
        <f t="shared" si="406"/>
        <v>-0.79</v>
      </c>
      <c r="U330" s="1">
        <f t="shared" si="407"/>
        <v>1056.000000000015</v>
      </c>
      <c r="V330" s="1">
        <f t="shared" si="408"/>
        <v>834.24000000001195</v>
      </c>
    </row>
    <row r="331" spans="1:22" x14ac:dyDescent="0.25">
      <c r="A331" s="1">
        <v>330</v>
      </c>
      <c r="B331" s="4">
        <v>7500</v>
      </c>
      <c r="C331" s="4">
        <v>54.7</v>
      </c>
      <c r="D331" s="4">
        <v>54.9</v>
      </c>
      <c r="E331" s="4">
        <f t="shared" si="400"/>
        <v>0.19999999999999574</v>
      </c>
      <c r="F331" s="4">
        <v>0</v>
      </c>
      <c r="G331" s="4">
        <v>-1.01</v>
      </c>
      <c r="H331" s="4">
        <v>79</v>
      </c>
      <c r="I331" s="4"/>
      <c r="J331" s="4">
        <v>49</v>
      </c>
      <c r="K331"/>
      <c r="L331"/>
      <c r="M331" s="4">
        <f t="shared" si="401"/>
        <v>54.9</v>
      </c>
      <c r="N331" s="4"/>
      <c r="O331" s="1">
        <f t="shared" si="402"/>
        <v>54.7</v>
      </c>
      <c r="P331" s="1">
        <f t="shared" si="403"/>
        <v>0</v>
      </c>
      <c r="Q331" s="1" t="str">
        <f t="shared" si="399"/>
        <v/>
      </c>
      <c r="R331" s="1" t="str">
        <f t="shared" si="404"/>
        <v/>
      </c>
      <c r="S331" s="1">
        <f t="shared" si="405"/>
        <v>500.80319999999932</v>
      </c>
      <c r="T331" s="1">
        <f t="shared" si="406"/>
        <v>-1.01</v>
      </c>
      <c r="U331" s="1">
        <f t="shared" si="407"/>
        <v>1055.9999999999775</v>
      </c>
      <c r="V331" s="1">
        <f t="shared" si="408"/>
        <v>1066.5599999999772</v>
      </c>
    </row>
    <row r="332" spans="1:22" x14ac:dyDescent="0.25">
      <c r="A332" s="1">
        <v>331</v>
      </c>
      <c r="B332" s="4">
        <v>7500</v>
      </c>
      <c r="C332" s="4">
        <v>54.9</v>
      </c>
      <c r="D332" s="4">
        <v>55.1</v>
      </c>
      <c r="E332" s="4">
        <f t="shared" si="400"/>
        <v>0.20000000000000284</v>
      </c>
      <c r="F332" s="4">
        <v>4</v>
      </c>
      <c r="G332" s="4">
        <v>-0.95</v>
      </c>
      <c r="H332" s="4">
        <v>79</v>
      </c>
      <c r="I332" s="4"/>
      <c r="J332" s="4">
        <v>49</v>
      </c>
      <c r="K332"/>
      <c r="L332"/>
      <c r="M332" s="4">
        <f t="shared" si="401"/>
        <v>55.1</v>
      </c>
      <c r="N332" s="4"/>
      <c r="O332" s="1">
        <f t="shared" si="402"/>
        <v>54.9</v>
      </c>
      <c r="P332" s="1">
        <f t="shared" si="403"/>
        <v>42.240000000000599</v>
      </c>
      <c r="Q332" s="1" t="str">
        <f t="shared" si="399"/>
        <v/>
      </c>
      <c r="R332" s="1" t="str">
        <f t="shared" si="404"/>
        <v/>
      </c>
      <c r="S332" s="1">
        <f t="shared" si="405"/>
        <v>490.13759999999957</v>
      </c>
      <c r="T332" s="1">
        <f t="shared" si="406"/>
        <v>-0.95</v>
      </c>
      <c r="U332" s="1">
        <f t="shared" si="407"/>
        <v>1056.000000000015</v>
      </c>
      <c r="V332" s="1">
        <f t="shared" si="408"/>
        <v>1003.2000000000143</v>
      </c>
    </row>
    <row r="333" spans="1:22" x14ac:dyDescent="0.25">
      <c r="A333" s="1">
        <v>332</v>
      </c>
      <c r="B333" s="4">
        <v>7500</v>
      </c>
      <c r="C333" s="4">
        <v>55.1</v>
      </c>
      <c r="D333" s="4">
        <v>55.2</v>
      </c>
      <c r="E333" s="4">
        <f t="shared" si="400"/>
        <v>0.10000000000000142</v>
      </c>
      <c r="F333" s="4">
        <v>0</v>
      </c>
      <c r="G333" s="4">
        <v>-0.95</v>
      </c>
      <c r="H333" s="4">
        <v>79</v>
      </c>
      <c r="I333" s="4"/>
      <c r="J333" s="4">
        <v>49</v>
      </c>
      <c r="K333"/>
      <c r="L333"/>
      <c r="M333" s="4">
        <f t="shared" si="401"/>
        <v>55.2</v>
      </c>
      <c r="N333" s="4"/>
      <c r="O333" s="1">
        <f t="shared" si="402"/>
        <v>55.1</v>
      </c>
      <c r="P333" s="1">
        <f t="shared" si="403"/>
        <v>0</v>
      </c>
      <c r="Q333" s="1" t="str">
        <f t="shared" si="399"/>
        <v/>
      </c>
      <c r="R333" s="1" t="str">
        <f t="shared" si="404"/>
        <v/>
      </c>
      <c r="S333" s="1">
        <f t="shared" si="405"/>
        <v>480.10559999999941</v>
      </c>
      <c r="T333" s="1">
        <f t="shared" si="406"/>
        <v>-0.95</v>
      </c>
      <c r="U333" s="1">
        <f t="shared" si="407"/>
        <v>528.0000000000075</v>
      </c>
      <c r="V333" s="1">
        <f t="shared" si="408"/>
        <v>501.60000000000713</v>
      </c>
    </row>
    <row r="334" spans="1:22" x14ac:dyDescent="0.25">
      <c r="A334" s="1">
        <v>333</v>
      </c>
      <c r="B334" s="4">
        <v>7500</v>
      </c>
      <c r="C334" s="4">
        <v>55.2</v>
      </c>
      <c r="D334" s="4">
        <v>55.300000000000004</v>
      </c>
      <c r="E334" s="4">
        <f t="shared" si="400"/>
        <v>0.10000000000000142</v>
      </c>
      <c r="F334" s="4">
        <v>3.2</v>
      </c>
      <c r="G334" s="4">
        <v>-0.95</v>
      </c>
      <c r="H334" s="4">
        <v>79</v>
      </c>
      <c r="I334" s="4"/>
      <c r="J334" s="4">
        <v>49</v>
      </c>
      <c r="K334"/>
      <c r="L334"/>
      <c r="M334" s="4">
        <f t="shared" si="401"/>
        <v>55.300000000000004</v>
      </c>
      <c r="N334" s="4"/>
      <c r="O334" s="1">
        <f t="shared" si="402"/>
        <v>55.2</v>
      </c>
      <c r="P334" s="1">
        <f t="shared" si="403"/>
        <v>16.896000000000242</v>
      </c>
      <c r="Q334" s="1" t="str">
        <f t="shared" si="399"/>
        <v/>
      </c>
      <c r="R334" s="1" t="str">
        <f t="shared" si="404"/>
        <v/>
      </c>
      <c r="S334" s="1">
        <f t="shared" si="405"/>
        <v>475.08959999999934</v>
      </c>
      <c r="T334" s="1">
        <f t="shared" si="406"/>
        <v>-0.95</v>
      </c>
      <c r="U334" s="1">
        <f t="shared" si="407"/>
        <v>528.0000000000075</v>
      </c>
      <c r="V334" s="1">
        <f t="shared" si="408"/>
        <v>501.60000000000713</v>
      </c>
    </row>
    <row r="335" spans="1:22" x14ac:dyDescent="0.25">
      <c r="A335" s="1">
        <v>334</v>
      </c>
      <c r="B335" s="4">
        <v>7500</v>
      </c>
      <c r="C335" s="4">
        <v>55.300000000000004</v>
      </c>
      <c r="D335" s="4">
        <v>55.4</v>
      </c>
      <c r="E335" s="4">
        <f t="shared" si="400"/>
        <v>9.9999999999994316E-2</v>
      </c>
      <c r="F335" s="4">
        <v>0</v>
      </c>
      <c r="G335" s="4">
        <v>-0.72</v>
      </c>
      <c r="H335" s="4">
        <v>79</v>
      </c>
      <c r="I335" s="4"/>
      <c r="J335" s="4">
        <v>49</v>
      </c>
      <c r="K335"/>
      <c r="L335"/>
      <c r="M335" s="4">
        <f t="shared" si="401"/>
        <v>55.4</v>
      </c>
      <c r="N335" s="4"/>
      <c r="O335" s="1">
        <f t="shared" si="402"/>
        <v>55.300000000000004</v>
      </c>
      <c r="P335" s="1">
        <f t="shared" si="403"/>
        <v>0</v>
      </c>
      <c r="Q335" s="1" t="str">
        <f t="shared" si="399"/>
        <v/>
      </c>
      <c r="R335" s="1" t="str">
        <f t="shared" si="404"/>
        <v/>
      </c>
      <c r="S335" s="1">
        <f t="shared" si="405"/>
        <v>470.07359999999926</v>
      </c>
      <c r="T335" s="1">
        <f t="shared" si="406"/>
        <v>-0.72</v>
      </c>
      <c r="U335" s="1">
        <f t="shared" si="407"/>
        <v>527.99999999996999</v>
      </c>
      <c r="V335" s="1">
        <f t="shared" si="408"/>
        <v>380.15999999997837</v>
      </c>
    </row>
    <row r="336" spans="1:22" x14ac:dyDescent="0.25">
      <c r="A336" s="1">
        <v>335</v>
      </c>
      <c r="B336" s="4">
        <v>7500</v>
      </c>
      <c r="C336" s="4">
        <v>55.4</v>
      </c>
      <c r="D336" s="4">
        <v>55.5</v>
      </c>
      <c r="E336" s="4">
        <f t="shared" si="400"/>
        <v>0.10000000000000142</v>
      </c>
      <c r="F336" s="4">
        <v>0</v>
      </c>
      <c r="G336" s="4">
        <v>-0.26</v>
      </c>
      <c r="H336" s="4">
        <v>79</v>
      </c>
      <c r="I336" s="4"/>
      <c r="J336" s="4">
        <v>49</v>
      </c>
      <c r="K336"/>
      <c r="L336"/>
      <c r="M336" s="4">
        <f t="shared" si="401"/>
        <v>55.5</v>
      </c>
      <c r="N336" s="4"/>
      <c r="O336" s="1">
        <f t="shared" si="402"/>
        <v>55.4</v>
      </c>
      <c r="P336" s="1">
        <f t="shared" si="403"/>
        <v>0</v>
      </c>
      <c r="Q336" s="1" t="str">
        <f t="shared" si="399"/>
        <v/>
      </c>
      <c r="R336" s="1" t="str">
        <f t="shared" si="404"/>
        <v/>
      </c>
      <c r="S336" s="1">
        <f t="shared" si="405"/>
        <v>466.27199999999948</v>
      </c>
      <c r="T336" s="1">
        <f t="shared" si="406"/>
        <v>-0.26</v>
      </c>
      <c r="U336" s="1">
        <f t="shared" si="407"/>
        <v>528.0000000000075</v>
      </c>
      <c r="V336" s="1">
        <f t="shared" si="408"/>
        <v>137.28000000000196</v>
      </c>
    </row>
    <row r="337" spans="1:22" x14ac:dyDescent="0.25">
      <c r="A337" s="1">
        <v>336</v>
      </c>
      <c r="B337" s="4">
        <v>7500</v>
      </c>
      <c r="C337" s="4">
        <v>55.5</v>
      </c>
      <c r="D337" s="4">
        <v>55.6</v>
      </c>
      <c r="E337" s="4">
        <f t="shared" si="400"/>
        <v>0.10000000000000142</v>
      </c>
      <c r="F337" s="4">
        <v>0</v>
      </c>
      <c r="G337" s="4">
        <v>-0.03</v>
      </c>
      <c r="H337" s="4">
        <v>79</v>
      </c>
      <c r="I337" s="4"/>
      <c r="J337" s="4">
        <v>49</v>
      </c>
      <c r="K337"/>
      <c r="L337"/>
      <c r="M337" s="4">
        <f t="shared" si="401"/>
        <v>55.6</v>
      </c>
      <c r="N337" s="4"/>
      <c r="O337" s="1">
        <f t="shared" si="402"/>
        <v>55.5</v>
      </c>
      <c r="P337" s="1">
        <f t="shared" si="403"/>
        <v>0</v>
      </c>
      <c r="Q337" s="1" t="str">
        <f t="shared" si="399"/>
        <v/>
      </c>
      <c r="R337" s="1" t="str">
        <f t="shared" si="404"/>
        <v/>
      </c>
      <c r="S337" s="1">
        <f t="shared" si="405"/>
        <v>464.89919999999944</v>
      </c>
      <c r="T337" s="1">
        <f t="shared" si="406"/>
        <v>-0.03</v>
      </c>
      <c r="U337" s="1">
        <f t="shared" si="407"/>
        <v>528.0000000000075</v>
      </c>
      <c r="V337" s="1">
        <f t="shared" si="408"/>
        <v>15.840000000000224</v>
      </c>
    </row>
    <row r="338" spans="1:22" x14ac:dyDescent="0.25">
      <c r="A338" s="1">
        <v>337</v>
      </c>
      <c r="B338" s="4">
        <v>7500</v>
      </c>
      <c r="C338" s="4">
        <v>55.6</v>
      </c>
      <c r="D338" s="4">
        <v>55.7</v>
      </c>
      <c r="E338" s="4">
        <f t="shared" si="400"/>
        <v>0.10000000000000142</v>
      </c>
      <c r="F338" s="4">
        <v>0</v>
      </c>
      <c r="G338" s="4">
        <v>-0.03</v>
      </c>
      <c r="H338" s="4">
        <v>79</v>
      </c>
      <c r="I338" s="4"/>
      <c r="J338" s="4">
        <v>49</v>
      </c>
      <c r="K338"/>
      <c r="L338"/>
      <c r="M338" s="4">
        <f t="shared" si="401"/>
        <v>55.7</v>
      </c>
      <c r="N338" s="4"/>
      <c r="O338" s="1">
        <f t="shared" si="402"/>
        <v>55.6</v>
      </c>
      <c r="P338" s="1">
        <f t="shared" si="403"/>
        <v>0</v>
      </c>
      <c r="Q338" s="1" t="str">
        <f t="shared" si="399"/>
        <v/>
      </c>
      <c r="R338" s="1" t="str">
        <f t="shared" si="404"/>
        <v/>
      </c>
      <c r="S338" s="1">
        <f t="shared" si="405"/>
        <v>464.74079999999941</v>
      </c>
      <c r="T338" s="1">
        <f t="shared" si="406"/>
        <v>-0.03</v>
      </c>
      <c r="U338" s="1">
        <f t="shared" si="407"/>
        <v>528.0000000000075</v>
      </c>
      <c r="V338" s="1">
        <f t="shared" si="408"/>
        <v>15.840000000000224</v>
      </c>
    </row>
    <row r="339" spans="1:22" x14ac:dyDescent="0.25">
      <c r="A339" s="1">
        <v>338</v>
      </c>
      <c r="B339" s="4">
        <v>7500</v>
      </c>
      <c r="C339" s="4">
        <v>55.7</v>
      </c>
      <c r="D339" s="4">
        <v>55.800000000000004</v>
      </c>
      <c r="E339" s="4">
        <f t="shared" si="400"/>
        <v>0.10000000000000142</v>
      </c>
      <c r="F339" s="4">
        <v>0</v>
      </c>
      <c r="G339" s="4">
        <v>1.19</v>
      </c>
      <c r="H339" s="4">
        <v>79</v>
      </c>
      <c r="I339" s="4"/>
      <c r="J339" s="4">
        <v>49</v>
      </c>
      <c r="K339"/>
      <c r="L339"/>
      <c r="M339" s="4">
        <f t="shared" si="401"/>
        <v>55.800000000000004</v>
      </c>
      <c r="N339" s="4"/>
      <c r="O339" s="1">
        <f t="shared" si="402"/>
        <v>55.7</v>
      </c>
      <c r="P339" s="1">
        <f t="shared" si="403"/>
        <v>0</v>
      </c>
      <c r="Q339" s="1" t="str">
        <f t="shared" si="399"/>
        <v/>
      </c>
      <c r="R339" s="1" t="str">
        <f t="shared" si="404"/>
        <v/>
      </c>
      <c r="S339" s="1">
        <f t="shared" si="405"/>
        <v>464.58239999999938</v>
      </c>
      <c r="T339" s="1">
        <f t="shared" si="406"/>
        <v>1.19</v>
      </c>
      <c r="U339" s="1">
        <f t="shared" si="407"/>
        <v>528.0000000000075</v>
      </c>
      <c r="V339" s="1">
        <f t="shared" si="408"/>
        <v>628.32000000000892</v>
      </c>
    </row>
    <row r="340" spans="1:22" x14ac:dyDescent="0.25">
      <c r="A340" s="1">
        <v>339</v>
      </c>
      <c r="B340" s="4">
        <v>7500</v>
      </c>
      <c r="C340" s="4">
        <v>55.800000000000004</v>
      </c>
      <c r="D340" s="4">
        <v>55.9</v>
      </c>
      <c r="E340" s="4">
        <f t="shared" si="400"/>
        <v>9.9999999999994316E-2</v>
      </c>
      <c r="F340" s="4">
        <v>0</v>
      </c>
      <c r="G340" s="4">
        <v>0.67</v>
      </c>
      <c r="H340" s="4">
        <v>79</v>
      </c>
      <c r="I340" s="4"/>
      <c r="J340" s="4">
        <v>49</v>
      </c>
      <c r="K340"/>
      <c r="L340"/>
      <c r="M340" s="4">
        <f t="shared" si="401"/>
        <v>55.9</v>
      </c>
      <c r="N340" s="4"/>
      <c r="O340" s="1">
        <f t="shared" si="402"/>
        <v>55.800000000000004</v>
      </c>
      <c r="P340" s="1">
        <f t="shared" si="403"/>
        <v>0</v>
      </c>
      <c r="Q340" s="1" t="str">
        <f t="shared" si="399"/>
        <v/>
      </c>
      <c r="R340" s="1" t="str">
        <f t="shared" si="404"/>
        <v/>
      </c>
      <c r="S340" s="1">
        <f t="shared" si="405"/>
        <v>470.86559999999946</v>
      </c>
      <c r="T340" s="1">
        <f t="shared" si="406"/>
        <v>0.67</v>
      </c>
      <c r="U340" s="1">
        <f t="shared" si="407"/>
        <v>527.99999999996999</v>
      </c>
      <c r="V340" s="1">
        <f t="shared" si="408"/>
        <v>353.75999999997993</v>
      </c>
    </row>
    <row r="341" spans="1:22" x14ac:dyDescent="0.25">
      <c r="A341" s="1">
        <v>340</v>
      </c>
      <c r="B341" s="4">
        <v>7500</v>
      </c>
      <c r="C341" s="4">
        <v>55.9</v>
      </c>
      <c r="D341" s="4">
        <v>56</v>
      </c>
      <c r="E341" s="4">
        <f t="shared" si="400"/>
        <v>0.10000000000000142</v>
      </c>
      <c r="F341" s="4">
        <v>2</v>
      </c>
      <c r="G341" s="4">
        <v>0.67</v>
      </c>
      <c r="H341" s="4">
        <v>79</v>
      </c>
      <c r="I341" s="4"/>
      <c r="J341" s="4">
        <v>49</v>
      </c>
      <c r="K341"/>
      <c r="L341"/>
      <c r="M341" s="4">
        <f t="shared" si="401"/>
        <v>56</v>
      </c>
      <c r="N341" s="4"/>
      <c r="O341" s="1">
        <f t="shared" si="402"/>
        <v>55.9</v>
      </c>
      <c r="P341" s="1">
        <f t="shared" si="403"/>
        <v>10.56000000000015</v>
      </c>
      <c r="Q341" s="1" t="str">
        <f t="shared" si="399"/>
        <v/>
      </c>
      <c r="R341" s="1" t="str">
        <f t="shared" si="404"/>
        <v/>
      </c>
      <c r="S341" s="1">
        <f t="shared" si="405"/>
        <v>474.40319999999929</v>
      </c>
      <c r="T341" s="1">
        <f t="shared" si="406"/>
        <v>0.67</v>
      </c>
      <c r="U341" s="1">
        <f t="shared" si="407"/>
        <v>528.0000000000075</v>
      </c>
      <c r="V341" s="1">
        <f t="shared" si="408"/>
        <v>353.76000000000505</v>
      </c>
    </row>
    <row r="342" spans="1:22" x14ac:dyDescent="0.25">
      <c r="A342" s="1">
        <v>341</v>
      </c>
      <c r="B342" s="4">
        <v>7500</v>
      </c>
      <c r="C342" s="4">
        <v>56</v>
      </c>
      <c r="D342" s="4">
        <v>56.1</v>
      </c>
      <c r="E342" s="4">
        <f t="shared" si="400"/>
        <v>0.10000000000000142</v>
      </c>
      <c r="F342" s="4">
        <v>2</v>
      </c>
      <c r="G342" s="4">
        <v>0.97</v>
      </c>
      <c r="H342" s="4">
        <v>79</v>
      </c>
      <c r="I342" s="4"/>
      <c r="J342" s="4">
        <v>49</v>
      </c>
      <c r="K342"/>
      <c r="L342"/>
      <c r="M342" s="4">
        <f t="shared" si="401"/>
        <v>56.1</v>
      </c>
      <c r="N342" s="4"/>
      <c r="O342" s="1">
        <f t="shared" si="402"/>
        <v>56</v>
      </c>
      <c r="P342" s="1">
        <f t="shared" si="403"/>
        <v>10.56000000000015</v>
      </c>
      <c r="Q342" s="1" t="str">
        <f t="shared" si="399"/>
        <v/>
      </c>
      <c r="R342" s="1" t="str">
        <f t="shared" si="404"/>
        <v/>
      </c>
      <c r="S342" s="1">
        <f t="shared" si="405"/>
        <v>477.94079999999934</v>
      </c>
      <c r="T342" s="1">
        <f t="shared" si="406"/>
        <v>0.97</v>
      </c>
      <c r="U342" s="1">
        <f t="shared" si="407"/>
        <v>528.0000000000075</v>
      </c>
      <c r="V342" s="1">
        <f t="shared" si="408"/>
        <v>512.16000000000724</v>
      </c>
    </row>
    <row r="343" spans="1:22" x14ac:dyDescent="0.25">
      <c r="A343" s="1">
        <v>342</v>
      </c>
      <c r="B343" s="4">
        <v>7500</v>
      </c>
      <c r="C343" s="4">
        <v>56.1</v>
      </c>
      <c r="D343" s="4">
        <v>56.300000000000004</v>
      </c>
      <c r="E343" s="4">
        <f t="shared" si="400"/>
        <v>0.20000000000000284</v>
      </c>
      <c r="F343" s="4">
        <v>0</v>
      </c>
      <c r="G343" s="4">
        <v>0.97</v>
      </c>
      <c r="H343" s="4">
        <v>79</v>
      </c>
      <c r="I343" s="4"/>
      <c r="J343" s="4">
        <v>49</v>
      </c>
      <c r="K343"/>
      <c r="L343"/>
      <c r="M343" s="4">
        <f t="shared" si="401"/>
        <v>56.300000000000004</v>
      </c>
      <c r="N343" s="4"/>
      <c r="O343" s="1">
        <f t="shared" si="402"/>
        <v>56.1</v>
      </c>
      <c r="P343" s="1">
        <f t="shared" si="403"/>
        <v>0</v>
      </c>
      <c r="Q343" s="1" t="str">
        <f t="shared" si="399"/>
        <v/>
      </c>
      <c r="R343" s="1" t="str">
        <f t="shared" si="404"/>
        <v/>
      </c>
      <c r="S343" s="1">
        <f t="shared" si="405"/>
        <v>483.0623999999994</v>
      </c>
      <c r="T343" s="1">
        <f t="shared" si="406"/>
        <v>0.97</v>
      </c>
      <c r="U343" s="1">
        <f t="shared" si="407"/>
        <v>1056.000000000015</v>
      </c>
      <c r="V343" s="1">
        <f t="shared" si="408"/>
        <v>1024.3200000000145</v>
      </c>
    </row>
    <row r="344" spans="1:22" x14ac:dyDescent="0.25">
      <c r="A344" s="1">
        <v>343</v>
      </c>
      <c r="B344" s="4">
        <v>7500</v>
      </c>
      <c r="C344" s="4">
        <v>56.300000000000004</v>
      </c>
      <c r="D344" s="4">
        <v>56.4</v>
      </c>
      <c r="E344" s="4">
        <f t="shared" si="400"/>
        <v>9.9999999999994316E-2</v>
      </c>
      <c r="F344" s="4">
        <v>0</v>
      </c>
      <c r="G344" s="4">
        <v>0.97</v>
      </c>
      <c r="H344" s="4">
        <v>79</v>
      </c>
      <c r="I344" s="4"/>
      <c r="J344" s="4">
        <v>49</v>
      </c>
      <c r="K344"/>
      <c r="L344"/>
      <c r="M344" s="4">
        <f t="shared" si="401"/>
        <v>56.4</v>
      </c>
      <c r="N344" s="4"/>
      <c r="O344" s="1">
        <f t="shared" si="402"/>
        <v>56.300000000000004</v>
      </c>
      <c r="P344" s="1">
        <f t="shared" si="403"/>
        <v>0</v>
      </c>
      <c r="Q344" s="1" t="str">
        <f t="shared" si="399"/>
        <v/>
      </c>
      <c r="R344" s="1" t="str">
        <f t="shared" si="404"/>
        <v/>
      </c>
      <c r="S344" s="1">
        <f t="shared" si="405"/>
        <v>493.30559999999957</v>
      </c>
      <c r="T344" s="1">
        <f t="shared" si="406"/>
        <v>0.97</v>
      </c>
      <c r="U344" s="1">
        <f t="shared" si="407"/>
        <v>527.99999999996999</v>
      </c>
      <c r="V344" s="1">
        <f t="shared" si="408"/>
        <v>512.15999999997086</v>
      </c>
    </row>
    <row r="345" spans="1:22" x14ac:dyDescent="0.25">
      <c r="A345" s="1">
        <v>344</v>
      </c>
      <c r="B345" s="4">
        <v>7500</v>
      </c>
      <c r="C345" s="4">
        <v>56.4</v>
      </c>
      <c r="D345" s="4">
        <v>56.5</v>
      </c>
      <c r="E345" s="4">
        <f t="shared" si="400"/>
        <v>0.10000000000000142</v>
      </c>
      <c r="F345" s="4">
        <v>3.1</v>
      </c>
      <c r="G345" s="4">
        <v>0.97</v>
      </c>
      <c r="H345" s="4">
        <v>79</v>
      </c>
      <c r="I345" s="4"/>
      <c r="J345" s="4">
        <v>49</v>
      </c>
      <c r="K345"/>
      <c r="L345"/>
      <c r="M345" s="4">
        <f t="shared" si="401"/>
        <v>56.5</v>
      </c>
      <c r="N345" s="4"/>
      <c r="O345" s="1">
        <f t="shared" si="402"/>
        <v>56.4</v>
      </c>
      <c r="P345" s="1">
        <f t="shared" si="403"/>
        <v>16.368000000000233</v>
      </c>
      <c r="Q345" s="1" t="str">
        <f t="shared" si="399"/>
        <v/>
      </c>
      <c r="R345" s="1" t="str">
        <f t="shared" si="404"/>
        <v/>
      </c>
      <c r="S345" s="1">
        <f t="shared" si="405"/>
        <v>498.42719999999929</v>
      </c>
      <c r="T345" s="1">
        <f t="shared" si="406"/>
        <v>0.97</v>
      </c>
      <c r="U345" s="1">
        <f t="shared" si="407"/>
        <v>528.0000000000075</v>
      </c>
      <c r="V345" s="1">
        <f t="shared" si="408"/>
        <v>512.16000000000724</v>
      </c>
    </row>
    <row r="346" spans="1:22" x14ac:dyDescent="0.25">
      <c r="A346" s="1">
        <v>345</v>
      </c>
      <c r="B346" s="4">
        <v>7500</v>
      </c>
      <c r="C346" s="4">
        <v>56.5</v>
      </c>
      <c r="D346" s="4">
        <v>56.7</v>
      </c>
      <c r="E346" s="4">
        <f t="shared" si="400"/>
        <v>0.20000000000000284</v>
      </c>
      <c r="F346" s="4">
        <v>0</v>
      </c>
      <c r="G346" s="4">
        <v>0.97</v>
      </c>
      <c r="H346" s="4">
        <v>79</v>
      </c>
      <c r="I346" s="4"/>
      <c r="J346" s="4">
        <v>49</v>
      </c>
      <c r="K346"/>
      <c r="L346"/>
      <c r="M346" s="4">
        <f t="shared" si="401"/>
        <v>56.7</v>
      </c>
      <c r="N346" s="4"/>
      <c r="O346" s="1">
        <f t="shared" si="402"/>
        <v>56.5</v>
      </c>
      <c r="P346" s="1">
        <f t="shared" si="403"/>
        <v>0</v>
      </c>
      <c r="Q346" s="1" t="str">
        <f t="shared" si="399"/>
        <v/>
      </c>
      <c r="R346" s="1" t="str">
        <f t="shared" si="404"/>
        <v/>
      </c>
      <c r="S346" s="1">
        <f t="shared" si="405"/>
        <v>503.54879999999935</v>
      </c>
      <c r="T346" s="1">
        <f t="shared" si="406"/>
        <v>0.97</v>
      </c>
      <c r="U346" s="1">
        <f t="shared" si="407"/>
        <v>1056.000000000015</v>
      </c>
      <c r="V346" s="1">
        <f t="shared" si="408"/>
        <v>1024.3200000000145</v>
      </c>
    </row>
    <row r="347" spans="1:22" x14ac:dyDescent="0.25">
      <c r="A347" s="1">
        <v>346</v>
      </c>
      <c r="B347" s="4">
        <v>7500</v>
      </c>
      <c r="C347" s="4">
        <v>56.7</v>
      </c>
      <c r="D347" s="4">
        <v>57</v>
      </c>
      <c r="E347" s="4">
        <f t="shared" si="400"/>
        <v>0.29999999999999716</v>
      </c>
      <c r="F347" s="4">
        <v>3.2</v>
      </c>
      <c r="G347" s="4">
        <v>0.97</v>
      </c>
      <c r="H347" s="4">
        <v>79</v>
      </c>
      <c r="I347" s="4"/>
      <c r="J347" s="4">
        <v>49</v>
      </c>
      <c r="K347"/>
      <c r="L347"/>
      <c r="M347" s="4">
        <f t="shared" si="401"/>
        <v>57</v>
      </c>
      <c r="N347" s="4"/>
      <c r="O347" s="1">
        <f t="shared" si="402"/>
        <v>56.7</v>
      </c>
      <c r="P347" s="1">
        <f t="shared" si="403"/>
        <v>50.687999999999519</v>
      </c>
      <c r="Q347" s="1" t="str">
        <f t="shared" si="399"/>
        <v/>
      </c>
      <c r="R347" s="1" t="str">
        <f t="shared" si="404"/>
        <v/>
      </c>
      <c r="S347" s="1">
        <f t="shared" si="405"/>
        <v>513.79199999999946</v>
      </c>
      <c r="T347" s="1">
        <f t="shared" si="406"/>
        <v>0.97</v>
      </c>
      <c r="U347" s="1">
        <f t="shared" si="407"/>
        <v>1583.999999999985</v>
      </c>
      <c r="V347" s="1">
        <f t="shared" si="408"/>
        <v>1536.4799999999855</v>
      </c>
    </row>
    <row r="348" spans="1:22" x14ac:dyDescent="0.25">
      <c r="A348" s="1">
        <v>347</v>
      </c>
      <c r="B348" s="4">
        <v>7500</v>
      </c>
      <c r="C348" s="4">
        <v>57</v>
      </c>
      <c r="D348" s="4">
        <v>57.300000000000004</v>
      </c>
      <c r="E348" s="4">
        <f t="shared" si="400"/>
        <v>0.30000000000000426</v>
      </c>
      <c r="F348" s="4">
        <v>3</v>
      </c>
      <c r="G348" s="4">
        <v>0.97</v>
      </c>
      <c r="H348" s="4">
        <v>79</v>
      </c>
      <c r="I348" s="4"/>
      <c r="J348" s="4">
        <v>49</v>
      </c>
      <c r="K348"/>
      <c r="L348"/>
      <c r="M348" s="4">
        <f t="shared" si="401"/>
        <v>57.300000000000004</v>
      </c>
      <c r="N348" s="4"/>
      <c r="O348" s="1">
        <f t="shared" si="402"/>
        <v>57</v>
      </c>
      <c r="P348" s="1">
        <f t="shared" si="403"/>
        <v>47.520000000000671</v>
      </c>
      <c r="Q348" s="1" t="str">
        <f t="shared" si="399"/>
        <v/>
      </c>
      <c r="R348" s="1" t="str">
        <f t="shared" si="404"/>
        <v/>
      </c>
      <c r="S348" s="1">
        <f t="shared" si="405"/>
        <v>529.15679999999929</v>
      </c>
      <c r="T348" s="1">
        <f t="shared" si="406"/>
        <v>0.97</v>
      </c>
      <c r="U348" s="1">
        <f t="shared" si="407"/>
        <v>1584.0000000000225</v>
      </c>
      <c r="V348" s="1">
        <f t="shared" si="408"/>
        <v>1536.4800000000218</v>
      </c>
    </row>
    <row r="349" spans="1:22" x14ac:dyDescent="0.25">
      <c r="A349" s="1">
        <v>348</v>
      </c>
      <c r="B349" s="4">
        <v>7500</v>
      </c>
      <c r="C349" s="4">
        <v>57.300000000000004</v>
      </c>
      <c r="D349" s="4">
        <v>57.800000000000004</v>
      </c>
      <c r="E349" s="4">
        <f t="shared" si="400"/>
        <v>0.5</v>
      </c>
      <c r="F349" s="4">
        <v>0</v>
      </c>
      <c r="G349" s="4">
        <v>0.97</v>
      </c>
      <c r="H349" s="4">
        <v>79</v>
      </c>
      <c r="I349" s="4"/>
      <c r="J349" s="4">
        <v>49</v>
      </c>
      <c r="K349"/>
      <c r="L349"/>
      <c r="M349" s="4">
        <f t="shared" si="401"/>
        <v>57.800000000000004</v>
      </c>
      <c r="N349" s="4"/>
      <c r="O349" s="1">
        <f t="shared" si="402"/>
        <v>57.300000000000004</v>
      </c>
      <c r="P349" s="1">
        <f t="shared" si="403"/>
        <v>0</v>
      </c>
      <c r="Q349" s="1" t="str">
        <f t="shared" si="399"/>
        <v/>
      </c>
      <c r="R349" s="1" t="str">
        <f t="shared" si="404"/>
        <v/>
      </c>
      <c r="S349" s="1">
        <f t="shared" si="405"/>
        <v>544.52159999999947</v>
      </c>
      <c r="T349" s="1">
        <f t="shared" si="406"/>
        <v>0.97</v>
      </c>
      <c r="U349" s="1">
        <f t="shared" si="407"/>
        <v>2640</v>
      </c>
      <c r="V349" s="1">
        <f t="shared" si="408"/>
        <v>2560.7999999999997</v>
      </c>
    </row>
    <row r="350" spans="1:22" x14ac:dyDescent="0.25">
      <c r="A350" s="1">
        <v>349</v>
      </c>
      <c r="B350" s="4">
        <v>7500</v>
      </c>
      <c r="C350" s="4">
        <v>57.800000000000004</v>
      </c>
      <c r="D350" s="4">
        <v>58</v>
      </c>
      <c r="E350" s="4">
        <f t="shared" si="400"/>
        <v>0.19999999999999574</v>
      </c>
      <c r="F350" s="4">
        <v>0</v>
      </c>
      <c r="G350" s="4">
        <v>0.7</v>
      </c>
      <c r="H350" s="4">
        <v>79</v>
      </c>
      <c r="I350" s="4"/>
      <c r="J350" s="4">
        <v>49</v>
      </c>
      <c r="K350"/>
      <c r="L350"/>
      <c r="M350" s="4">
        <f t="shared" si="401"/>
        <v>58</v>
      </c>
      <c r="N350" s="4"/>
      <c r="O350" s="1">
        <f t="shared" si="402"/>
        <v>57.800000000000004</v>
      </c>
      <c r="P350" s="1">
        <f t="shared" si="403"/>
        <v>0</v>
      </c>
      <c r="Q350" s="1" t="str">
        <f t="shared" si="399"/>
        <v/>
      </c>
      <c r="R350" s="1" t="str">
        <f t="shared" si="404"/>
        <v/>
      </c>
      <c r="S350" s="1">
        <f t="shared" si="405"/>
        <v>570.12959999999941</v>
      </c>
      <c r="T350" s="1">
        <f t="shared" si="406"/>
        <v>0.7</v>
      </c>
      <c r="U350" s="1">
        <f t="shared" si="407"/>
        <v>1055.9999999999775</v>
      </c>
      <c r="V350" s="1">
        <f t="shared" si="408"/>
        <v>739.19999999998424</v>
      </c>
    </row>
    <row r="351" spans="1:22" x14ac:dyDescent="0.25">
      <c r="A351" s="1">
        <v>350</v>
      </c>
      <c r="B351" s="4">
        <v>7500</v>
      </c>
      <c r="C351" s="4">
        <v>58</v>
      </c>
      <c r="D351" s="4">
        <v>58.2</v>
      </c>
      <c r="E351" s="4">
        <f t="shared" si="400"/>
        <v>0.20000000000000284</v>
      </c>
      <c r="F351" s="4">
        <v>3.2</v>
      </c>
      <c r="G351" s="4">
        <v>0.7</v>
      </c>
      <c r="H351" s="4">
        <v>79</v>
      </c>
      <c r="I351" s="4"/>
      <c r="J351" s="4">
        <v>49</v>
      </c>
      <c r="K351"/>
      <c r="L351"/>
      <c r="M351" s="4">
        <f t="shared" si="401"/>
        <v>58.2</v>
      </c>
      <c r="N351" s="4"/>
      <c r="O351" s="1">
        <f t="shared" si="402"/>
        <v>58</v>
      </c>
      <c r="P351" s="1">
        <f t="shared" si="403"/>
        <v>33.792000000000485</v>
      </c>
      <c r="Q351" s="1" t="str">
        <f t="shared" si="399"/>
        <v/>
      </c>
      <c r="R351" s="1" t="str">
        <f t="shared" si="404"/>
        <v/>
      </c>
      <c r="S351" s="1">
        <f t="shared" si="405"/>
        <v>577.52159999999924</v>
      </c>
      <c r="T351" s="1">
        <f t="shared" si="406"/>
        <v>0.7</v>
      </c>
      <c r="U351" s="1">
        <f t="shared" si="407"/>
        <v>1056.000000000015</v>
      </c>
      <c r="V351" s="1">
        <f t="shared" si="408"/>
        <v>739.2000000000105</v>
      </c>
    </row>
    <row r="352" spans="1:22" x14ac:dyDescent="0.25">
      <c r="A352" s="1">
        <v>351</v>
      </c>
      <c r="B352" s="4">
        <v>7500</v>
      </c>
      <c r="C352" s="4">
        <v>58.2</v>
      </c>
      <c r="D352" s="4">
        <v>58.5</v>
      </c>
      <c r="E352" s="4">
        <f t="shared" si="400"/>
        <v>0.29999999999999716</v>
      </c>
      <c r="F352" s="4">
        <v>0</v>
      </c>
      <c r="G352" s="4">
        <v>0.17</v>
      </c>
      <c r="H352" s="4">
        <v>79</v>
      </c>
      <c r="I352" s="4"/>
      <c r="J352" s="4">
        <v>49</v>
      </c>
      <c r="K352"/>
      <c r="L352"/>
      <c r="M352" s="4">
        <f t="shared" si="401"/>
        <v>58.5</v>
      </c>
      <c r="N352" s="4"/>
      <c r="O352" s="1">
        <f t="shared" si="402"/>
        <v>58.2</v>
      </c>
      <c r="P352" s="1">
        <f t="shared" si="403"/>
        <v>0</v>
      </c>
      <c r="Q352" s="1" t="str">
        <f t="shared" si="399"/>
        <v/>
      </c>
      <c r="R352" s="1" t="str">
        <f t="shared" si="404"/>
        <v/>
      </c>
      <c r="S352" s="1">
        <f t="shared" si="405"/>
        <v>584.91359999999929</v>
      </c>
      <c r="T352" s="1">
        <f t="shared" si="406"/>
        <v>0.17</v>
      </c>
      <c r="U352" s="1">
        <f t="shared" si="407"/>
        <v>1583.999999999985</v>
      </c>
      <c r="V352" s="1">
        <f t="shared" si="408"/>
        <v>269.27999999999747</v>
      </c>
    </row>
    <row r="353" spans="1:22" x14ac:dyDescent="0.25">
      <c r="A353" s="1">
        <v>352</v>
      </c>
      <c r="B353" s="4">
        <v>7500</v>
      </c>
      <c r="C353" s="4">
        <v>58.5</v>
      </c>
      <c r="D353" s="4">
        <v>58.800000000000004</v>
      </c>
      <c r="E353" s="4">
        <f t="shared" si="400"/>
        <v>0.30000000000000426</v>
      </c>
      <c r="F353" s="4">
        <v>0</v>
      </c>
      <c r="G353" s="4">
        <v>-0.51</v>
      </c>
      <c r="H353" s="4">
        <v>79</v>
      </c>
      <c r="I353" s="4"/>
      <c r="J353" s="4">
        <v>49</v>
      </c>
      <c r="K353"/>
      <c r="L353"/>
      <c r="M353" s="4">
        <f t="shared" si="401"/>
        <v>58.800000000000004</v>
      </c>
      <c r="N353" s="4"/>
      <c r="O353" s="1">
        <f t="shared" si="402"/>
        <v>58.5</v>
      </c>
      <c r="P353" s="1">
        <f t="shared" si="403"/>
        <v>0</v>
      </c>
      <c r="Q353" s="1" t="str">
        <f t="shared" si="399"/>
        <v/>
      </c>
      <c r="R353" s="1" t="str">
        <f t="shared" si="404"/>
        <v/>
      </c>
      <c r="S353" s="1">
        <f t="shared" si="405"/>
        <v>587.60639999999921</v>
      </c>
      <c r="T353" s="1">
        <f t="shared" si="406"/>
        <v>-0.51</v>
      </c>
      <c r="U353" s="1">
        <f t="shared" si="407"/>
        <v>1584.0000000000225</v>
      </c>
      <c r="V353" s="1">
        <f t="shared" si="408"/>
        <v>807.84000000001151</v>
      </c>
    </row>
    <row r="354" spans="1:22" x14ac:dyDescent="0.25">
      <c r="A354" s="1">
        <v>353</v>
      </c>
      <c r="B354" s="4">
        <v>7500</v>
      </c>
      <c r="C354" s="4">
        <v>58.800000000000004</v>
      </c>
      <c r="D354" s="4">
        <v>58.9</v>
      </c>
      <c r="E354" s="4">
        <f t="shared" si="400"/>
        <v>9.9999999999994316E-2</v>
      </c>
      <c r="F354" s="4">
        <v>0</v>
      </c>
      <c r="G354" s="4">
        <v>-0.01</v>
      </c>
      <c r="H354" s="4">
        <v>79</v>
      </c>
      <c r="I354" s="4"/>
      <c r="J354" s="4">
        <v>49</v>
      </c>
      <c r="K354"/>
      <c r="L354"/>
      <c r="M354" s="4">
        <f t="shared" si="401"/>
        <v>58.9</v>
      </c>
      <c r="N354" s="4"/>
      <c r="O354" s="1">
        <f t="shared" si="402"/>
        <v>58.800000000000004</v>
      </c>
      <c r="P354" s="1">
        <f t="shared" si="403"/>
        <v>0</v>
      </c>
      <c r="Q354" s="1" t="str">
        <f t="shared" si="399"/>
        <v/>
      </c>
      <c r="R354" s="1" t="str">
        <f t="shared" si="404"/>
        <v/>
      </c>
      <c r="S354" s="1">
        <f t="shared" si="405"/>
        <v>579.52799999999911</v>
      </c>
      <c r="T354" s="1">
        <f t="shared" si="406"/>
        <v>-0.01</v>
      </c>
      <c r="U354" s="1">
        <f t="shared" si="407"/>
        <v>527.99999999996999</v>
      </c>
      <c r="V354" s="1">
        <f t="shared" si="408"/>
        <v>5.2799999999997</v>
      </c>
    </row>
    <row r="355" spans="1:22" x14ac:dyDescent="0.25">
      <c r="A355" s="1">
        <v>354</v>
      </c>
      <c r="B355" s="4">
        <v>7500</v>
      </c>
      <c r="C355" s="4">
        <v>58.9</v>
      </c>
      <c r="D355" s="4">
        <v>59</v>
      </c>
      <c r="E355" s="4">
        <f t="shared" si="400"/>
        <v>0.10000000000000142</v>
      </c>
      <c r="F355" s="4">
        <v>0</v>
      </c>
      <c r="G355" s="4">
        <v>-0.51</v>
      </c>
      <c r="H355" s="4">
        <v>79</v>
      </c>
      <c r="I355" s="4"/>
      <c r="J355" s="4">
        <v>49</v>
      </c>
      <c r="K355"/>
      <c r="L355"/>
      <c r="M355" s="4">
        <f t="shared" si="401"/>
        <v>59</v>
      </c>
      <c r="N355" s="4"/>
      <c r="O355" s="1">
        <f t="shared" si="402"/>
        <v>58.9</v>
      </c>
      <c r="P355" s="1">
        <f t="shared" si="403"/>
        <v>0</v>
      </c>
      <c r="Q355" s="1" t="str">
        <f t="shared" si="399"/>
        <v/>
      </c>
      <c r="R355" s="1" t="str">
        <f t="shared" si="404"/>
        <v/>
      </c>
      <c r="S355" s="1">
        <f t="shared" si="405"/>
        <v>579.47519999999906</v>
      </c>
      <c r="T355" s="1">
        <f t="shared" si="406"/>
        <v>-0.51</v>
      </c>
      <c r="U355" s="1">
        <f t="shared" si="407"/>
        <v>528.0000000000075</v>
      </c>
      <c r="V355" s="1">
        <f t="shared" si="408"/>
        <v>269.28000000000384</v>
      </c>
    </row>
    <row r="356" spans="1:22" x14ac:dyDescent="0.25">
      <c r="A356" s="1">
        <v>355</v>
      </c>
      <c r="B356" s="4">
        <v>7500</v>
      </c>
      <c r="C356" s="4">
        <v>59</v>
      </c>
      <c r="D356" s="4">
        <v>59.1</v>
      </c>
      <c r="E356" s="4">
        <f t="shared" si="400"/>
        <v>0.10000000000000142</v>
      </c>
      <c r="F356" s="4">
        <v>0</v>
      </c>
      <c r="G356" s="4">
        <v>-0.77</v>
      </c>
      <c r="H356" s="4">
        <v>79</v>
      </c>
      <c r="I356" s="4"/>
      <c r="J356" s="4">
        <v>49</v>
      </c>
      <c r="K356"/>
      <c r="L356"/>
      <c r="M356" s="4">
        <f t="shared" si="401"/>
        <v>59.1</v>
      </c>
      <c r="N356" s="4"/>
      <c r="O356" s="1">
        <f t="shared" si="402"/>
        <v>59</v>
      </c>
      <c r="P356" s="1">
        <f t="shared" si="403"/>
        <v>0</v>
      </c>
      <c r="Q356" s="1" t="str">
        <f t="shared" si="399"/>
        <v/>
      </c>
      <c r="R356" s="1" t="str">
        <f t="shared" si="404"/>
        <v/>
      </c>
      <c r="S356" s="1">
        <f t="shared" si="405"/>
        <v>576.78239999999903</v>
      </c>
      <c r="T356" s="1">
        <f t="shared" si="406"/>
        <v>-0.77</v>
      </c>
      <c r="U356" s="1">
        <f t="shared" si="407"/>
        <v>528.0000000000075</v>
      </c>
      <c r="V356" s="1">
        <f t="shared" si="408"/>
        <v>406.5600000000058</v>
      </c>
    </row>
    <row r="357" spans="1:22" x14ac:dyDescent="0.25">
      <c r="A357" s="1">
        <v>356</v>
      </c>
      <c r="B357" s="4">
        <v>7500</v>
      </c>
      <c r="C357" s="4">
        <v>59.1</v>
      </c>
      <c r="D357" s="4">
        <v>59.2</v>
      </c>
      <c r="E357" s="4">
        <f t="shared" si="400"/>
        <v>0.10000000000000142</v>
      </c>
      <c r="F357" s="4">
        <v>0</v>
      </c>
      <c r="G357" s="4">
        <v>0.31</v>
      </c>
      <c r="H357" s="4">
        <v>79</v>
      </c>
      <c r="I357" s="4"/>
      <c r="J357" s="4">
        <v>49</v>
      </c>
      <c r="K357"/>
      <c r="L357"/>
      <c r="M357" s="4">
        <f t="shared" si="401"/>
        <v>59.2</v>
      </c>
      <c r="N357" s="4"/>
      <c r="O357" s="1">
        <f t="shared" si="402"/>
        <v>59.1</v>
      </c>
      <c r="P357" s="1">
        <f t="shared" si="403"/>
        <v>0</v>
      </c>
      <c r="Q357" s="1" t="str">
        <f t="shared" si="399"/>
        <v/>
      </c>
      <c r="R357" s="1" t="str">
        <f t="shared" si="404"/>
        <v/>
      </c>
      <c r="S357" s="1">
        <f t="shared" si="405"/>
        <v>572.71679999999901</v>
      </c>
      <c r="T357" s="1">
        <f t="shared" si="406"/>
        <v>0.31</v>
      </c>
      <c r="U357" s="1">
        <f t="shared" si="407"/>
        <v>528.0000000000075</v>
      </c>
      <c r="V357" s="1">
        <f t="shared" si="408"/>
        <v>163.68000000000234</v>
      </c>
    </row>
    <row r="358" spans="1:22" x14ac:dyDescent="0.25">
      <c r="A358" s="1">
        <v>357</v>
      </c>
      <c r="B358" s="4">
        <v>7500</v>
      </c>
      <c r="C358" s="4">
        <v>59.2</v>
      </c>
      <c r="D358" s="4">
        <v>59.300000000000004</v>
      </c>
      <c r="E358" s="4">
        <f t="shared" si="400"/>
        <v>0.10000000000000142</v>
      </c>
      <c r="F358" s="4">
        <v>0</v>
      </c>
      <c r="G358" s="4">
        <v>0.67</v>
      </c>
      <c r="H358" s="4">
        <v>79</v>
      </c>
      <c r="I358" s="4"/>
      <c r="J358" s="4">
        <v>49</v>
      </c>
      <c r="K358"/>
      <c r="L358"/>
      <c r="M358" s="4">
        <f t="shared" si="401"/>
        <v>59.300000000000004</v>
      </c>
      <c r="N358" s="4"/>
      <c r="O358" s="1">
        <f t="shared" si="402"/>
        <v>59.2</v>
      </c>
      <c r="P358" s="1">
        <f t="shared" si="403"/>
        <v>0</v>
      </c>
      <c r="Q358" s="1" t="str">
        <f t="shared" si="399"/>
        <v/>
      </c>
      <c r="R358" s="1" t="str">
        <f t="shared" si="404"/>
        <v/>
      </c>
      <c r="S358" s="1">
        <f t="shared" si="405"/>
        <v>574.35359999999901</v>
      </c>
      <c r="T358" s="1">
        <f t="shared" si="406"/>
        <v>0.67</v>
      </c>
      <c r="U358" s="1">
        <f t="shared" si="407"/>
        <v>528.0000000000075</v>
      </c>
      <c r="V358" s="1">
        <f t="shared" si="408"/>
        <v>353.76000000000505</v>
      </c>
    </row>
    <row r="359" spans="1:22" x14ac:dyDescent="0.25">
      <c r="A359" s="1">
        <v>358</v>
      </c>
      <c r="B359" s="4">
        <v>7500</v>
      </c>
      <c r="C359" s="4">
        <v>59.300000000000004</v>
      </c>
      <c r="D359" s="4">
        <v>59.4</v>
      </c>
      <c r="E359" s="4">
        <f t="shared" si="400"/>
        <v>9.9999999999994316E-2</v>
      </c>
      <c r="F359" s="4">
        <v>2.1</v>
      </c>
      <c r="G359" s="4">
        <v>0.67</v>
      </c>
      <c r="H359" s="4">
        <v>79</v>
      </c>
      <c r="I359" s="4"/>
      <c r="J359" s="4">
        <v>49</v>
      </c>
      <c r="K359"/>
      <c r="L359"/>
      <c r="M359" s="4">
        <f t="shared" si="401"/>
        <v>59.4</v>
      </c>
      <c r="N359" s="4"/>
      <c r="O359" s="1">
        <f t="shared" si="402"/>
        <v>59.300000000000004</v>
      </c>
      <c r="P359" s="1">
        <f t="shared" si="403"/>
        <v>11.087999999999369</v>
      </c>
      <c r="Q359" s="1" t="str">
        <f t="shared" si="399"/>
        <v/>
      </c>
      <c r="R359" s="1" t="str">
        <f t="shared" si="404"/>
        <v/>
      </c>
      <c r="S359" s="1">
        <f t="shared" si="405"/>
        <v>577.891199999999</v>
      </c>
      <c r="T359" s="1">
        <f t="shared" si="406"/>
        <v>0.67</v>
      </c>
      <c r="U359" s="1">
        <f t="shared" si="407"/>
        <v>527.99999999996999</v>
      </c>
      <c r="V359" s="1">
        <f t="shared" si="408"/>
        <v>353.75999999997993</v>
      </c>
    </row>
    <row r="360" spans="1:22" x14ac:dyDescent="0.25">
      <c r="A360" s="1">
        <v>359</v>
      </c>
      <c r="B360" s="4">
        <v>7500</v>
      </c>
      <c r="C360" s="4">
        <v>59.4</v>
      </c>
      <c r="D360" s="4">
        <v>59.5</v>
      </c>
      <c r="E360" s="4">
        <f t="shared" si="400"/>
        <v>0.10000000000000142</v>
      </c>
      <c r="F360" s="4">
        <v>2.1</v>
      </c>
      <c r="G360" s="4">
        <v>0.56999999999999995</v>
      </c>
      <c r="H360" s="4">
        <v>79</v>
      </c>
      <c r="I360" s="4"/>
      <c r="J360" s="4">
        <v>49</v>
      </c>
      <c r="K360"/>
      <c r="L360"/>
      <c r="M360" s="4">
        <f t="shared" si="401"/>
        <v>59.5</v>
      </c>
      <c r="N360" s="4"/>
      <c r="O360" s="1">
        <f t="shared" si="402"/>
        <v>59.4</v>
      </c>
      <c r="P360" s="1">
        <f t="shared" si="403"/>
        <v>11.088000000000157</v>
      </c>
      <c r="Q360" s="1" t="str">
        <f t="shared" si="399"/>
        <v/>
      </c>
      <c r="R360" s="1" t="str">
        <f t="shared" si="404"/>
        <v/>
      </c>
      <c r="S360" s="1">
        <f t="shared" si="405"/>
        <v>581.42879999999877</v>
      </c>
      <c r="T360" s="1">
        <f t="shared" si="406"/>
        <v>0.56999999999999995</v>
      </c>
      <c r="U360" s="1">
        <f t="shared" si="407"/>
        <v>528.0000000000075</v>
      </c>
      <c r="V360" s="1">
        <f t="shared" si="408"/>
        <v>300.96000000000424</v>
      </c>
    </row>
    <row r="361" spans="1:22" x14ac:dyDescent="0.25">
      <c r="A361" s="1">
        <v>360</v>
      </c>
      <c r="B361" s="4">
        <v>7500</v>
      </c>
      <c r="C361" s="4">
        <v>59.5</v>
      </c>
      <c r="D361" s="4">
        <v>59.7</v>
      </c>
      <c r="E361" s="4">
        <f t="shared" si="400"/>
        <v>0.20000000000000284</v>
      </c>
      <c r="F361" s="4">
        <v>0</v>
      </c>
      <c r="G361" s="4">
        <v>0.38</v>
      </c>
      <c r="H361" s="4">
        <v>79</v>
      </c>
      <c r="I361" s="4"/>
      <c r="J361" s="4">
        <v>49</v>
      </c>
      <c r="K361"/>
      <c r="L361"/>
      <c r="M361" s="4">
        <f t="shared" si="401"/>
        <v>59.7</v>
      </c>
      <c r="N361" s="4"/>
      <c r="O361" s="1">
        <f t="shared" si="402"/>
        <v>59.5</v>
      </c>
      <c r="P361" s="1">
        <f t="shared" si="403"/>
        <v>0</v>
      </c>
      <c r="Q361" s="1" t="str">
        <f t="shared" si="399"/>
        <v/>
      </c>
      <c r="R361" s="1" t="str">
        <f t="shared" si="404"/>
        <v/>
      </c>
      <c r="S361" s="1">
        <f t="shared" si="405"/>
        <v>584.43839999999886</v>
      </c>
      <c r="T361" s="1">
        <f t="shared" si="406"/>
        <v>0.38</v>
      </c>
      <c r="U361" s="1">
        <f t="shared" si="407"/>
        <v>1056.000000000015</v>
      </c>
      <c r="V361" s="1">
        <f t="shared" si="408"/>
        <v>401.28000000000571</v>
      </c>
    </row>
    <row r="362" spans="1:22" x14ac:dyDescent="0.25">
      <c r="A362" s="1">
        <v>361</v>
      </c>
      <c r="B362" s="4">
        <v>7500</v>
      </c>
      <c r="C362" s="4">
        <v>59.7</v>
      </c>
      <c r="D362" s="4">
        <v>59.800000000000004</v>
      </c>
      <c r="E362" s="4">
        <f t="shared" si="400"/>
        <v>0.10000000000000142</v>
      </c>
      <c r="F362" s="4">
        <v>3.1</v>
      </c>
      <c r="G362" s="4">
        <v>0.38</v>
      </c>
      <c r="H362" s="4">
        <v>79</v>
      </c>
      <c r="I362" s="4"/>
      <c r="J362" s="4">
        <v>49</v>
      </c>
      <c r="K362"/>
      <c r="L362"/>
      <c r="M362" s="4">
        <f t="shared" si="401"/>
        <v>59.800000000000004</v>
      </c>
      <c r="N362" s="4"/>
      <c r="O362" s="1">
        <f t="shared" si="402"/>
        <v>59.7</v>
      </c>
      <c r="P362" s="1">
        <f t="shared" si="403"/>
        <v>16.368000000000233</v>
      </c>
      <c r="Q362" s="1" t="str">
        <f t="shared" si="399"/>
        <v/>
      </c>
      <c r="R362" s="1" t="str">
        <f t="shared" si="404"/>
        <v/>
      </c>
      <c r="S362" s="1">
        <f t="shared" si="405"/>
        <v>588.45119999999895</v>
      </c>
      <c r="T362" s="1">
        <f t="shared" si="406"/>
        <v>0.38</v>
      </c>
      <c r="U362" s="1">
        <f t="shared" si="407"/>
        <v>528.0000000000075</v>
      </c>
      <c r="V362" s="1">
        <f t="shared" si="408"/>
        <v>200.64000000000286</v>
      </c>
    </row>
    <row r="363" spans="1:22" x14ac:dyDescent="0.25">
      <c r="A363" s="1">
        <v>362</v>
      </c>
      <c r="B363" s="4">
        <v>7500</v>
      </c>
      <c r="C363" s="4">
        <v>59.800000000000004</v>
      </c>
      <c r="D363" s="4">
        <v>60</v>
      </c>
      <c r="E363" s="4">
        <f t="shared" si="400"/>
        <v>0.19999999999999574</v>
      </c>
      <c r="F363" s="4">
        <v>3.1</v>
      </c>
      <c r="G363" s="4">
        <v>0.28000000000000003</v>
      </c>
      <c r="H363" s="4">
        <v>79</v>
      </c>
      <c r="I363" s="4"/>
      <c r="J363" s="4">
        <v>49</v>
      </c>
      <c r="K363"/>
      <c r="L363"/>
      <c r="M363" s="4">
        <f t="shared" si="401"/>
        <v>60</v>
      </c>
      <c r="N363" s="4"/>
      <c r="O363" s="1">
        <f t="shared" si="402"/>
        <v>59.800000000000004</v>
      </c>
      <c r="P363" s="1">
        <f t="shared" si="403"/>
        <v>32.735999999999301</v>
      </c>
      <c r="Q363" s="1" t="str">
        <f t="shared" si="399"/>
        <v/>
      </c>
      <c r="R363" s="1" t="str">
        <f t="shared" si="404"/>
        <v/>
      </c>
      <c r="S363" s="1">
        <f t="shared" si="405"/>
        <v>590.45759999999893</v>
      </c>
      <c r="T363" s="1">
        <f t="shared" si="406"/>
        <v>0.28000000000000003</v>
      </c>
      <c r="U363" s="1">
        <f t="shared" si="407"/>
        <v>1055.9999999999775</v>
      </c>
      <c r="V363" s="1">
        <f t="shared" si="408"/>
        <v>295.6799999999937</v>
      </c>
    </row>
    <row r="364" spans="1:22" x14ac:dyDescent="0.25">
      <c r="A364" s="1">
        <v>363</v>
      </c>
      <c r="B364" s="4">
        <v>7500</v>
      </c>
      <c r="C364" s="4">
        <v>60</v>
      </c>
      <c r="D364" s="4">
        <v>60.2</v>
      </c>
      <c r="E364" s="4">
        <f t="shared" si="400"/>
        <v>0.20000000000000284</v>
      </c>
      <c r="F364" s="4">
        <v>0</v>
      </c>
      <c r="G364" s="4">
        <v>0.28000000000000003</v>
      </c>
      <c r="H364" s="4">
        <v>79</v>
      </c>
      <c r="I364" s="4"/>
      <c r="J364" s="4">
        <v>49</v>
      </c>
      <c r="K364"/>
      <c r="L364"/>
      <c r="M364" s="4">
        <f t="shared" si="401"/>
        <v>60.2</v>
      </c>
      <c r="N364" s="4"/>
      <c r="O364" s="1">
        <f t="shared" si="402"/>
        <v>60</v>
      </c>
      <c r="P364" s="1">
        <f t="shared" si="403"/>
        <v>0</v>
      </c>
      <c r="Q364" s="1" t="str">
        <f t="shared" si="399"/>
        <v/>
      </c>
      <c r="R364" s="1" t="str">
        <f t="shared" si="404"/>
        <v/>
      </c>
      <c r="S364" s="1">
        <f t="shared" si="405"/>
        <v>593.41439999999886</v>
      </c>
      <c r="T364" s="1">
        <f t="shared" si="406"/>
        <v>0.28000000000000003</v>
      </c>
      <c r="U364" s="1">
        <f t="shared" si="407"/>
        <v>1056.000000000015</v>
      </c>
      <c r="V364" s="1">
        <f t="shared" si="408"/>
        <v>295.68000000000421</v>
      </c>
    </row>
    <row r="365" spans="1:22" x14ac:dyDescent="0.25">
      <c r="A365" s="1">
        <v>364</v>
      </c>
      <c r="B365" s="4">
        <v>7500</v>
      </c>
      <c r="C365" s="4">
        <v>60.2</v>
      </c>
      <c r="D365" s="4">
        <v>60.300000000000004</v>
      </c>
      <c r="E365" s="4">
        <f t="shared" si="400"/>
        <v>0.10000000000000142</v>
      </c>
      <c r="F365" s="4">
        <v>1.8</v>
      </c>
      <c r="G365" s="4">
        <v>0.28000000000000003</v>
      </c>
      <c r="H365" s="4">
        <v>79</v>
      </c>
      <c r="I365" s="4"/>
      <c r="J365" s="4">
        <v>49</v>
      </c>
      <c r="K365"/>
      <c r="L365"/>
      <c r="M365" s="4">
        <f t="shared" si="401"/>
        <v>60.300000000000004</v>
      </c>
      <c r="N365" s="4"/>
      <c r="O365" s="1">
        <f t="shared" si="402"/>
        <v>60.2</v>
      </c>
      <c r="P365" s="1">
        <f t="shared" si="403"/>
        <v>9.5040000000001346</v>
      </c>
      <c r="Q365" s="1" t="str">
        <f t="shared" si="399"/>
        <v/>
      </c>
      <c r="R365" s="1" t="str">
        <f t="shared" si="404"/>
        <v/>
      </c>
      <c r="S365" s="1">
        <f t="shared" si="405"/>
        <v>596.37119999999891</v>
      </c>
      <c r="T365" s="1">
        <f t="shared" si="406"/>
        <v>0.28000000000000003</v>
      </c>
      <c r="U365" s="1">
        <f t="shared" si="407"/>
        <v>528.0000000000075</v>
      </c>
      <c r="V365" s="1">
        <f t="shared" si="408"/>
        <v>147.84000000000211</v>
      </c>
    </row>
    <row r="366" spans="1:22" x14ac:dyDescent="0.25">
      <c r="A366" s="1">
        <v>365</v>
      </c>
      <c r="B366" s="4">
        <v>7500</v>
      </c>
      <c r="C366" s="4">
        <v>60.300000000000004</v>
      </c>
      <c r="D366" s="4">
        <v>60.6</v>
      </c>
      <c r="E366" s="4">
        <f t="shared" si="400"/>
        <v>0.29999999999999716</v>
      </c>
      <c r="F366" s="4">
        <v>0</v>
      </c>
      <c r="G366" s="4">
        <v>-0.16</v>
      </c>
      <c r="H366" s="4">
        <v>79</v>
      </c>
      <c r="I366" s="4"/>
      <c r="J366" s="4">
        <v>49</v>
      </c>
      <c r="K366"/>
      <c r="L366"/>
      <c r="M366" s="4">
        <f t="shared" si="401"/>
        <v>60.6</v>
      </c>
      <c r="N366" s="4"/>
      <c r="O366" s="1">
        <f t="shared" si="402"/>
        <v>60.300000000000004</v>
      </c>
      <c r="P366" s="1">
        <f t="shared" si="403"/>
        <v>0</v>
      </c>
      <c r="Q366" s="1" t="str">
        <f t="shared" si="399"/>
        <v/>
      </c>
      <c r="R366" s="1" t="str">
        <f t="shared" si="404"/>
        <v/>
      </c>
      <c r="S366" s="1">
        <f t="shared" si="405"/>
        <v>597.84959999999887</v>
      </c>
      <c r="T366" s="1">
        <f t="shared" si="406"/>
        <v>-0.16</v>
      </c>
      <c r="U366" s="1">
        <f t="shared" si="407"/>
        <v>1583.999999999985</v>
      </c>
      <c r="V366" s="1">
        <f t="shared" si="408"/>
        <v>253.43999999999761</v>
      </c>
    </row>
    <row r="367" spans="1:22" x14ac:dyDescent="0.25">
      <c r="A367" s="1">
        <v>366</v>
      </c>
      <c r="B367" s="4">
        <v>7500</v>
      </c>
      <c r="C367" s="4">
        <v>60.6</v>
      </c>
      <c r="D367" s="4">
        <v>60.7</v>
      </c>
      <c r="E367" s="4">
        <f t="shared" si="400"/>
        <v>0.10000000000000142</v>
      </c>
      <c r="F367" s="4">
        <v>0</v>
      </c>
      <c r="G367" s="4">
        <v>-0.35</v>
      </c>
      <c r="H367" s="4">
        <v>79</v>
      </c>
      <c r="I367" s="4"/>
      <c r="J367" s="4">
        <v>49</v>
      </c>
      <c r="K367"/>
      <c r="L367"/>
      <c r="M367" s="4">
        <f t="shared" si="401"/>
        <v>60.7</v>
      </c>
      <c r="N367" s="4"/>
      <c r="O367" s="1">
        <f t="shared" si="402"/>
        <v>60.6</v>
      </c>
      <c r="P367" s="1">
        <f t="shared" si="403"/>
        <v>0</v>
      </c>
      <c r="Q367" s="1" t="str">
        <f t="shared" si="399"/>
        <v/>
      </c>
      <c r="R367" s="1" t="str">
        <f t="shared" si="404"/>
        <v/>
      </c>
      <c r="S367" s="1">
        <f t="shared" si="405"/>
        <v>595.31519999999887</v>
      </c>
      <c r="T367" s="1">
        <f t="shared" si="406"/>
        <v>-0.35</v>
      </c>
      <c r="U367" s="1">
        <f t="shared" si="407"/>
        <v>528.0000000000075</v>
      </c>
      <c r="V367" s="1">
        <f t="shared" si="408"/>
        <v>184.80000000000263</v>
      </c>
    </row>
    <row r="368" spans="1:22" x14ac:dyDescent="0.25">
      <c r="A368" s="1">
        <v>367</v>
      </c>
      <c r="B368" s="4">
        <v>7500</v>
      </c>
      <c r="C368" s="4">
        <v>60.7</v>
      </c>
      <c r="D368" s="4">
        <v>60.800000000000004</v>
      </c>
      <c r="E368" s="4">
        <f t="shared" si="400"/>
        <v>0.10000000000000142</v>
      </c>
      <c r="F368" s="4">
        <v>2.2999999999999998</v>
      </c>
      <c r="G368" s="4">
        <v>-0.35</v>
      </c>
      <c r="H368" s="4">
        <v>79</v>
      </c>
      <c r="I368" s="4"/>
      <c r="J368" s="4">
        <v>49</v>
      </c>
      <c r="K368"/>
      <c r="L368"/>
      <c r="M368" s="4">
        <f t="shared" si="401"/>
        <v>60.800000000000004</v>
      </c>
      <c r="N368" s="4"/>
      <c r="O368" s="1">
        <f t="shared" si="402"/>
        <v>60.7</v>
      </c>
      <c r="P368" s="1">
        <f t="shared" si="403"/>
        <v>12.144000000000171</v>
      </c>
      <c r="Q368" s="1" t="str">
        <f t="shared" si="399"/>
        <v/>
      </c>
      <c r="R368" s="1" t="str">
        <f t="shared" si="404"/>
        <v/>
      </c>
      <c r="S368" s="1">
        <f t="shared" si="405"/>
        <v>593.4671999999988</v>
      </c>
      <c r="T368" s="1">
        <f t="shared" si="406"/>
        <v>-0.35</v>
      </c>
      <c r="U368" s="1">
        <f t="shared" si="407"/>
        <v>528.0000000000075</v>
      </c>
      <c r="V368" s="1">
        <f t="shared" si="408"/>
        <v>184.80000000000263</v>
      </c>
    </row>
    <row r="369" spans="1:22" x14ac:dyDescent="0.25">
      <c r="A369" s="1">
        <v>368</v>
      </c>
      <c r="B369" s="4">
        <v>7500</v>
      </c>
      <c r="C369" s="4">
        <v>60.800000000000004</v>
      </c>
      <c r="D369" s="4">
        <v>60.9</v>
      </c>
      <c r="E369" s="4">
        <f t="shared" si="400"/>
        <v>9.9999999999994316E-2</v>
      </c>
      <c r="F369" s="4">
        <v>2.2999999999999998</v>
      </c>
      <c r="G369" s="4">
        <v>0.59</v>
      </c>
      <c r="H369" s="4">
        <v>79</v>
      </c>
      <c r="I369" s="4"/>
      <c r="J369" s="4">
        <v>49</v>
      </c>
      <c r="K369"/>
      <c r="L369"/>
      <c r="M369" s="4">
        <f t="shared" si="401"/>
        <v>60.9</v>
      </c>
      <c r="N369" s="4"/>
      <c r="O369" s="1">
        <f t="shared" si="402"/>
        <v>60.800000000000004</v>
      </c>
      <c r="P369" s="1">
        <f t="shared" si="403"/>
        <v>12.143999999999307</v>
      </c>
      <c r="Q369" s="1" t="str">
        <f t="shared" si="399"/>
        <v/>
      </c>
      <c r="R369" s="1" t="str">
        <f t="shared" si="404"/>
        <v/>
      </c>
      <c r="S369" s="1">
        <f t="shared" si="405"/>
        <v>591.61919999999873</v>
      </c>
      <c r="T369" s="1">
        <f t="shared" si="406"/>
        <v>0.59</v>
      </c>
      <c r="U369" s="1">
        <f t="shared" si="407"/>
        <v>527.99999999996999</v>
      </c>
      <c r="V369" s="1">
        <f t="shared" si="408"/>
        <v>311.5199999999823</v>
      </c>
    </row>
    <row r="370" spans="1:22" x14ac:dyDescent="0.25">
      <c r="A370" s="1">
        <v>369</v>
      </c>
      <c r="B370" s="4">
        <v>7500</v>
      </c>
      <c r="C370" s="4">
        <v>60.9</v>
      </c>
      <c r="D370" s="4">
        <v>61.4</v>
      </c>
      <c r="E370" s="4">
        <f t="shared" si="400"/>
        <v>0.5</v>
      </c>
      <c r="F370" s="4">
        <v>1.1000000000000001</v>
      </c>
      <c r="G370" s="4">
        <v>0.59</v>
      </c>
      <c r="H370" s="4">
        <v>79</v>
      </c>
      <c r="I370" s="4"/>
      <c r="J370" s="4">
        <v>49</v>
      </c>
      <c r="K370"/>
      <c r="L370"/>
      <c r="M370" s="4">
        <f t="shared" si="401"/>
        <v>61.4</v>
      </c>
      <c r="N370" s="4"/>
      <c r="O370" s="1">
        <f t="shared" si="402"/>
        <v>60.9</v>
      </c>
      <c r="P370" s="1">
        <f t="shared" si="403"/>
        <v>29.04</v>
      </c>
      <c r="Q370" s="1" t="str">
        <f t="shared" si="399"/>
        <v/>
      </c>
      <c r="R370" s="1" t="str">
        <f t="shared" si="404"/>
        <v/>
      </c>
      <c r="S370" s="1">
        <f t="shared" si="405"/>
        <v>594.73439999999857</v>
      </c>
      <c r="T370" s="1">
        <f t="shared" si="406"/>
        <v>0.59</v>
      </c>
      <c r="U370" s="1">
        <f t="shared" si="407"/>
        <v>2640</v>
      </c>
      <c r="V370" s="1">
        <f t="shared" si="408"/>
        <v>1557.6</v>
      </c>
    </row>
    <row r="371" spans="1:22" x14ac:dyDescent="0.25">
      <c r="A371" s="1">
        <v>370</v>
      </c>
      <c r="B371" s="4">
        <v>7500</v>
      </c>
      <c r="C371" s="4">
        <v>61.4</v>
      </c>
      <c r="D371" s="4">
        <v>61.5</v>
      </c>
      <c r="E371" s="4">
        <f t="shared" si="400"/>
        <v>0.10000000000000142</v>
      </c>
      <c r="F371" s="4">
        <v>0</v>
      </c>
      <c r="G371" s="4">
        <v>0.59</v>
      </c>
      <c r="H371" s="4">
        <v>79</v>
      </c>
      <c r="I371" s="4"/>
      <c r="J371" s="4">
        <v>49</v>
      </c>
      <c r="K371"/>
      <c r="L371"/>
      <c r="M371" s="4">
        <f t="shared" si="401"/>
        <v>61.5</v>
      </c>
      <c r="N371" s="4"/>
      <c r="O371" s="1">
        <f t="shared" si="402"/>
        <v>61.4</v>
      </c>
      <c r="P371" s="1">
        <f t="shared" si="403"/>
        <v>0</v>
      </c>
      <c r="Q371" s="1" t="str">
        <f t="shared" si="399"/>
        <v/>
      </c>
      <c r="R371" s="1" t="str">
        <f t="shared" si="404"/>
        <v/>
      </c>
      <c r="S371" s="1">
        <f t="shared" si="405"/>
        <v>610.31039999999859</v>
      </c>
      <c r="T371" s="1">
        <f t="shared" si="406"/>
        <v>0.59</v>
      </c>
      <c r="U371" s="1">
        <f t="shared" si="407"/>
        <v>528.0000000000075</v>
      </c>
      <c r="V371" s="1">
        <f t="shared" si="408"/>
        <v>311.52000000000442</v>
      </c>
    </row>
    <row r="372" spans="1:22" x14ac:dyDescent="0.25">
      <c r="A372" s="1">
        <v>371</v>
      </c>
      <c r="B372" s="4">
        <v>7500</v>
      </c>
      <c r="C372" s="4">
        <v>61.5</v>
      </c>
      <c r="D372" s="4">
        <v>61.7</v>
      </c>
      <c r="E372" s="4">
        <f t="shared" si="400"/>
        <v>0.20000000000000284</v>
      </c>
      <c r="F372" s="4">
        <v>1.2</v>
      </c>
      <c r="G372" s="4">
        <v>-0.05</v>
      </c>
      <c r="H372" s="4">
        <v>79</v>
      </c>
      <c r="I372" s="4"/>
      <c r="J372" s="4">
        <v>49</v>
      </c>
      <c r="K372"/>
      <c r="L372"/>
      <c r="M372" s="4">
        <f t="shared" si="401"/>
        <v>61.7</v>
      </c>
      <c r="N372" s="4"/>
      <c r="O372" s="1">
        <f t="shared" si="402"/>
        <v>61.5</v>
      </c>
      <c r="P372" s="1">
        <f t="shared" si="403"/>
        <v>12.672000000000178</v>
      </c>
      <c r="Q372" s="1" t="str">
        <f t="shared" si="399"/>
        <v/>
      </c>
      <c r="R372" s="1" t="str">
        <f t="shared" si="404"/>
        <v/>
      </c>
      <c r="S372" s="1">
        <f t="shared" si="405"/>
        <v>613.42559999999867</v>
      </c>
      <c r="T372" s="1">
        <f t="shared" si="406"/>
        <v>-0.05</v>
      </c>
      <c r="U372" s="1">
        <f t="shared" si="407"/>
        <v>1056.000000000015</v>
      </c>
      <c r="V372" s="1">
        <f t="shared" si="408"/>
        <v>52.80000000000075</v>
      </c>
    </row>
    <row r="373" spans="1:22" x14ac:dyDescent="0.25">
      <c r="A373" s="1">
        <v>372</v>
      </c>
      <c r="B373" s="4">
        <v>7500</v>
      </c>
      <c r="C373" s="4">
        <v>61.7</v>
      </c>
      <c r="D373" s="4">
        <v>61.800000000000004</v>
      </c>
      <c r="E373" s="4">
        <f t="shared" si="400"/>
        <v>0.10000000000000142</v>
      </c>
      <c r="F373" s="4">
        <v>0</v>
      </c>
      <c r="G373" s="4">
        <v>-0.05</v>
      </c>
      <c r="H373" s="4">
        <v>79</v>
      </c>
      <c r="I373" s="4"/>
      <c r="J373" s="4">
        <v>49</v>
      </c>
      <c r="K373"/>
      <c r="L373"/>
      <c r="M373" s="4">
        <f t="shared" si="401"/>
        <v>61.800000000000004</v>
      </c>
      <c r="N373" s="4"/>
      <c r="O373" s="1">
        <f t="shared" si="402"/>
        <v>61.7</v>
      </c>
      <c r="P373" s="1">
        <f t="shared" si="403"/>
        <v>0</v>
      </c>
      <c r="Q373" s="1" t="str">
        <f t="shared" si="399"/>
        <v/>
      </c>
      <c r="R373" s="1" t="str">
        <f t="shared" si="404"/>
        <v/>
      </c>
      <c r="S373" s="1">
        <f t="shared" si="405"/>
        <v>612.89759999999865</v>
      </c>
      <c r="T373" s="1">
        <f t="shared" si="406"/>
        <v>-0.05</v>
      </c>
      <c r="U373" s="1">
        <f t="shared" si="407"/>
        <v>528.0000000000075</v>
      </c>
      <c r="V373" s="1">
        <f t="shared" si="408"/>
        <v>26.400000000000375</v>
      </c>
    </row>
    <row r="374" spans="1:22" x14ac:dyDescent="0.25">
      <c r="A374" s="1">
        <v>373</v>
      </c>
      <c r="B374" s="4">
        <v>7500</v>
      </c>
      <c r="C374" s="4">
        <v>61.800000000000004</v>
      </c>
      <c r="D374" s="4">
        <v>61.9</v>
      </c>
      <c r="E374" s="4">
        <f t="shared" si="400"/>
        <v>9.9999999999994316E-2</v>
      </c>
      <c r="F374" s="4">
        <v>0</v>
      </c>
      <c r="G374" s="4">
        <v>0.04</v>
      </c>
      <c r="H374" s="4">
        <v>79</v>
      </c>
      <c r="I374" s="4"/>
      <c r="J374" s="4">
        <v>49</v>
      </c>
      <c r="K374"/>
      <c r="L374"/>
      <c r="M374" s="4">
        <f t="shared" si="401"/>
        <v>61.9</v>
      </c>
      <c r="N374" s="4"/>
      <c r="O374" s="1">
        <f t="shared" si="402"/>
        <v>61.800000000000004</v>
      </c>
      <c r="P374" s="1">
        <f t="shared" si="403"/>
        <v>0</v>
      </c>
      <c r="Q374" s="1" t="str">
        <f t="shared" si="399"/>
        <v/>
      </c>
      <c r="R374" s="1" t="str">
        <f t="shared" si="404"/>
        <v/>
      </c>
      <c r="S374" s="1">
        <f t="shared" si="405"/>
        <v>612.63359999999864</v>
      </c>
      <c r="T374" s="1">
        <f t="shared" si="406"/>
        <v>0.04</v>
      </c>
      <c r="U374" s="1">
        <f t="shared" si="407"/>
        <v>527.99999999996999</v>
      </c>
      <c r="V374" s="1">
        <f t="shared" si="408"/>
        <v>21.1199999999988</v>
      </c>
    </row>
    <row r="375" spans="1:22" x14ac:dyDescent="0.25">
      <c r="A375" s="1">
        <v>374</v>
      </c>
      <c r="B375" s="4">
        <v>7500</v>
      </c>
      <c r="C375" s="4">
        <v>61.9</v>
      </c>
      <c r="D375" s="4">
        <v>62</v>
      </c>
      <c r="E375" s="4">
        <f t="shared" si="400"/>
        <v>0.10000000000000142</v>
      </c>
      <c r="F375" s="4">
        <v>0</v>
      </c>
      <c r="G375" s="4">
        <v>0.33</v>
      </c>
      <c r="H375" s="4">
        <v>79</v>
      </c>
      <c r="I375" s="4"/>
      <c r="J375" s="4">
        <v>49</v>
      </c>
      <c r="K375"/>
      <c r="L375"/>
      <c r="M375" s="4">
        <f t="shared" si="401"/>
        <v>62</v>
      </c>
      <c r="N375" s="4"/>
      <c r="O375" s="1">
        <f t="shared" si="402"/>
        <v>61.9</v>
      </c>
      <c r="P375" s="1">
        <f t="shared" si="403"/>
        <v>0</v>
      </c>
      <c r="Q375" s="1" t="str">
        <f t="shared" si="399"/>
        <v/>
      </c>
      <c r="R375" s="1" t="str">
        <f t="shared" si="404"/>
        <v/>
      </c>
      <c r="S375" s="1">
        <f t="shared" si="405"/>
        <v>612.8447999999986</v>
      </c>
      <c r="T375" s="1">
        <f t="shared" si="406"/>
        <v>0.33</v>
      </c>
      <c r="U375" s="1">
        <f t="shared" si="407"/>
        <v>528.0000000000075</v>
      </c>
      <c r="V375" s="1">
        <f t="shared" si="408"/>
        <v>174.24000000000248</v>
      </c>
    </row>
    <row r="376" spans="1:22" x14ac:dyDescent="0.25">
      <c r="A376" s="1">
        <v>375</v>
      </c>
      <c r="B376" s="4">
        <v>7500</v>
      </c>
      <c r="C376" s="4">
        <v>62</v>
      </c>
      <c r="D376" s="4">
        <v>62.2</v>
      </c>
      <c r="E376" s="4">
        <f t="shared" si="400"/>
        <v>0.20000000000000284</v>
      </c>
      <c r="F376" s="4">
        <v>0</v>
      </c>
      <c r="G376" s="4">
        <v>-7.0000000000000007E-2</v>
      </c>
      <c r="H376" s="4">
        <v>79</v>
      </c>
      <c r="I376" s="4"/>
      <c r="J376" s="4">
        <v>49</v>
      </c>
      <c r="K376"/>
      <c r="L376"/>
      <c r="M376" s="4">
        <f t="shared" si="401"/>
        <v>62.2</v>
      </c>
      <c r="N376" s="4"/>
      <c r="O376" s="1">
        <f t="shared" si="402"/>
        <v>62</v>
      </c>
      <c r="P376" s="1">
        <f t="shared" si="403"/>
        <v>0</v>
      </c>
      <c r="Q376" s="1" t="str">
        <f t="shared" si="399"/>
        <v/>
      </c>
      <c r="R376" s="1" t="str">
        <f t="shared" si="404"/>
        <v/>
      </c>
      <c r="S376" s="1">
        <f t="shared" si="405"/>
        <v>614.58719999999857</v>
      </c>
      <c r="T376" s="1">
        <f t="shared" si="406"/>
        <v>-7.0000000000000007E-2</v>
      </c>
      <c r="U376" s="1">
        <f t="shared" si="407"/>
        <v>1056.000000000015</v>
      </c>
      <c r="V376" s="1">
        <f t="shared" si="408"/>
        <v>73.920000000001053</v>
      </c>
    </row>
    <row r="377" spans="1:22" x14ac:dyDescent="0.25">
      <c r="A377" s="1">
        <v>376</v>
      </c>
      <c r="B377" s="4">
        <v>7500</v>
      </c>
      <c r="C377" s="4">
        <v>62.2</v>
      </c>
      <c r="D377" s="4">
        <v>62.5</v>
      </c>
      <c r="E377" s="4">
        <f t="shared" si="400"/>
        <v>0.29999999999999716</v>
      </c>
      <c r="F377" s="4">
        <v>0</v>
      </c>
      <c r="G377" s="4">
        <v>-0.28999999999999998</v>
      </c>
      <c r="H377" s="4">
        <v>79</v>
      </c>
      <c r="I377" s="4"/>
      <c r="J377" s="4">
        <v>49</v>
      </c>
      <c r="K377"/>
      <c r="L377"/>
      <c r="M377" s="4">
        <f t="shared" si="401"/>
        <v>62.5</v>
      </c>
      <c r="N377" s="4"/>
      <c r="O377" s="1">
        <f t="shared" si="402"/>
        <v>62.2</v>
      </c>
      <c r="P377" s="1">
        <f t="shared" si="403"/>
        <v>0</v>
      </c>
      <c r="Q377" s="1" t="str">
        <f t="shared" si="399"/>
        <v/>
      </c>
      <c r="R377" s="1" t="str">
        <f t="shared" si="404"/>
        <v/>
      </c>
      <c r="S377" s="1">
        <f t="shared" si="405"/>
        <v>613.84799999999859</v>
      </c>
      <c r="T377" s="1">
        <f t="shared" si="406"/>
        <v>-0.28999999999999998</v>
      </c>
      <c r="U377" s="1">
        <f t="shared" si="407"/>
        <v>1583.999999999985</v>
      </c>
      <c r="V377" s="1">
        <f t="shared" si="408"/>
        <v>459.35999999999564</v>
      </c>
    </row>
    <row r="378" spans="1:22" x14ac:dyDescent="0.25">
      <c r="A378" s="1">
        <v>377</v>
      </c>
      <c r="B378" s="4">
        <v>7500</v>
      </c>
      <c r="C378" s="4">
        <v>62.5</v>
      </c>
      <c r="D378" s="4">
        <v>62.6</v>
      </c>
      <c r="E378" s="4">
        <f t="shared" si="400"/>
        <v>0.10000000000000142</v>
      </c>
      <c r="F378" s="4">
        <v>0</v>
      </c>
      <c r="G378" s="4">
        <v>-0.01</v>
      </c>
      <c r="H378" s="4">
        <v>79</v>
      </c>
      <c r="I378" s="4"/>
      <c r="J378" s="4">
        <v>49</v>
      </c>
      <c r="K378"/>
      <c r="L378"/>
      <c r="M378" s="4">
        <f t="shared" si="401"/>
        <v>62.6</v>
      </c>
      <c r="N378" s="4"/>
      <c r="O378" s="1">
        <f t="shared" si="402"/>
        <v>62.5</v>
      </c>
      <c r="P378" s="1">
        <f t="shared" si="403"/>
        <v>0</v>
      </c>
      <c r="Q378" s="1" t="str">
        <f t="shared" si="399"/>
        <v/>
      </c>
      <c r="R378" s="1" t="str">
        <f t="shared" si="404"/>
        <v/>
      </c>
      <c r="S378" s="1">
        <f t="shared" si="405"/>
        <v>609.25439999999867</v>
      </c>
      <c r="T378" s="1">
        <f t="shared" si="406"/>
        <v>-0.01</v>
      </c>
      <c r="U378" s="1">
        <f t="shared" si="407"/>
        <v>528.0000000000075</v>
      </c>
      <c r="V378" s="1">
        <f t="shared" si="408"/>
        <v>5.2800000000000749</v>
      </c>
    </row>
    <row r="379" spans="1:22" x14ac:dyDescent="0.25">
      <c r="A379" s="1">
        <v>378</v>
      </c>
      <c r="B379" s="4">
        <v>7500</v>
      </c>
      <c r="C379" s="4">
        <v>62.6</v>
      </c>
      <c r="D379" s="4">
        <v>62.7</v>
      </c>
      <c r="E379" s="4">
        <f t="shared" si="400"/>
        <v>0.10000000000000142</v>
      </c>
      <c r="F379" s="4">
        <v>1.6</v>
      </c>
      <c r="G379" s="4">
        <v>-0.01</v>
      </c>
      <c r="H379" s="4">
        <v>79</v>
      </c>
      <c r="I379" s="4"/>
      <c r="J379" s="4">
        <v>49</v>
      </c>
      <c r="K379"/>
      <c r="L379"/>
      <c r="M379" s="4">
        <f t="shared" si="401"/>
        <v>62.7</v>
      </c>
      <c r="N379" s="4"/>
      <c r="O379" s="1">
        <f t="shared" si="402"/>
        <v>62.6</v>
      </c>
      <c r="P379" s="1">
        <f t="shared" si="403"/>
        <v>8.4480000000001212</v>
      </c>
      <c r="Q379" s="1" t="str">
        <f t="shared" si="399"/>
        <v/>
      </c>
      <c r="R379" s="1" t="str">
        <f t="shared" si="404"/>
        <v/>
      </c>
      <c r="S379" s="1">
        <f t="shared" si="405"/>
        <v>609.20159999999862</v>
      </c>
      <c r="T379" s="1">
        <f t="shared" si="406"/>
        <v>-0.01</v>
      </c>
      <c r="U379" s="1">
        <f t="shared" si="407"/>
        <v>528.0000000000075</v>
      </c>
      <c r="V379" s="1">
        <f t="shared" si="408"/>
        <v>5.2800000000000749</v>
      </c>
    </row>
    <row r="380" spans="1:22" x14ac:dyDescent="0.25">
      <c r="A380" s="1">
        <v>379</v>
      </c>
      <c r="B380" s="4">
        <v>7500</v>
      </c>
      <c r="C380" s="4">
        <v>62.7</v>
      </c>
      <c r="D380" s="4">
        <v>62.800000000000004</v>
      </c>
      <c r="E380" s="4">
        <f t="shared" si="400"/>
        <v>0.10000000000000142</v>
      </c>
      <c r="F380" s="4">
        <v>1.6</v>
      </c>
      <c r="G380" s="4">
        <v>-0.13</v>
      </c>
      <c r="H380" s="4">
        <v>79</v>
      </c>
      <c r="I380" s="4"/>
      <c r="J380" s="4">
        <v>49</v>
      </c>
      <c r="K380"/>
      <c r="L380"/>
      <c r="M380" s="4">
        <f t="shared" si="401"/>
        <v>62.800000000000004</v>
      </c>
      <c r="N380" s="4"/>
      <c r="O380" s="1">
        <f t="shared" si="402"/>
        <v>62.7</v>
      </c>
      <c r="P380" s="1">
        <f t="shared" si="403"/>
        <v>8.4480000000001212</v>
      </c>
      <c r="Q380" s="1" t="str">
        <f t="shared" si="399"/>
        <v/>
      </c>
      <c r="R380" s="1" t="str">
        <f t="shared" si="404"/>
        <v/>
      </c>
      <c r="S380" s="1">
        <f t="shared" si="405"/>
        <v>609.14879999999857</v>
      </c>
      <c r="T380" s="1">
        <f t="shared" si="406"/>
        <v>-0.13</v>
      </c>
      <c r="U380" s="1">
        <f t="shared" si="407"/>
        <v>528.0000000000075</v>
      </c>
      <c r="V380" s="1">
        <f t="shared" si="408"/>
        <v>68.640000000000981</v>
      </c>
    </row>
    <row r="381" spans="1:22" x14ac:dyDescent="0.25">
      <c r="A381" s="1">
        <v>380</v>
      </c>
      <c r="B381" s="4">
        <v>7500</v>
      </c>
      <c r="C381" s="4">
        <v>62.800000000000004</v>
      </c>
      <c r="D381" s="4">
        <v>62.9</v>
      </c>
      <c r="E381" s="4">
        <f t="shared" si="400"/>
        <v>9.9999999999994316E-2</v>
      </c>
      <c r="F381" s="4">
        <v>1.6</v>
      </c>
      <c r="G381" s="4">
        <v>-0.62</v>
      </c>
      <c r="H381" s="4">
        <v>79</v>
      </c>
      <c r="I381" s="4"/>
      <c r="J381" s="4">
        <v>49</v>
      </c>
      <c r="K381"/>
      <c r="L381"/>
      <c r="M381" s="4">
        <f t="shared" si="401"/>
        <v>62.9</v>
      </c>
      <c r="N381" s="4"/>
      <c r="O381" s="1">
        <f t="shared" si="402"/>
        <v>62.800000000000004</v>
      </c>
      <c r="P381" s="1">
        <f t="shared" si="403"/>
        <v>8.4479999999995208</v>
      </c>
      <c r="Q381" s="1" t="str">
        <f t="shared" si="399"/>
        <v/>
      </c>
      <c r="R381" s="1" t="str">
        <f t="shared" si="404"/>
        <v/>
      </c>
      <c r="S381" s="1">
        <f t="shared" si="405"/>
        <v>608.46239999999852</v>
      </c>
      <c r="T381" s="1">
        <f t="shared" si="406"/>
        <v>-0.62</v>
      </c>
      <c r="U381" s="1">
        <f t="shared" si="407"/>
        <v>527.99999999996999</v>
      </c>
      <c r="V381" s="1">
        <f t="shared" si="408"/>
        <v>327.35999999998137</v>
      </c>
    </row>
    <row r="382" spans="1:22" x14ac:dyDescent="0.25">
      <c r="A382" s="1">
        <v>381</v>
      </c>
      <c r="B382" s="4">
        <v>7500</v>
      </c>
      <c r="C382" s="4">
        <v>62.9</v>
      </c>
      <c r="D382" s="4">
        <v>63</v>
      </c>
      <c r="E382" s="4">
        <f t="shared" si="400"/>
        <v>0.10000000000000142</v>
      </c>
      <c r="F382" s="4">
        <v>1.6</v>
      </c>
      <c r="G382" s="4">
        <v>-0.24</v>
      </c>
      <c r="H382" s="4">
        <v>79</v>
      </c>
      <c r="I382" s="4"/>
      <c r="J382" s="4">
        <v>49</v>
      </c>
      <c r="K382"/>
      <c r="L382"/>
      <c r="M382" s="4">
        <f t="shared" si="401"/>
        <v>63</v>
      </c>
      <c r="N382" s="4"/>
      <c r="O382" s="1">
        <f t="shared" si="402"/>
        <v>62.9</v>
      </c>
      <c r="P382" s="1">
        <f t="shared" si="403"/>
        <v>8.4480000000001212</v>
      </c>
      <c r="Q382" s="1" t="str">
        <f t="shared" si="399"/>
        <v/>
      </c>
      <c r="R382" s="1" t="str">
        <f t="shared" si="404"/>
        <v/>
      </c>
      <c r="S382" s="1">
        <f t="shared" si="405"/>
        <v>605.18879999999876</v>
      </c>
      <c r="T382" s="1">
        <f t="shared" si="406"/>
        <v>-0.24</v>
      </c>
      <c r="U382" s="1">
        <f t="shared" si="407"/>
        <v>528.0000000000075</v>
      </c>
      <c r="V382" s="1">
        <f t="shared" si="408"/>
        <v>126.72000000000179</v>
      </c>
    </row>
    <row r="383" spans="1:22" x14ac:dyDescent="0.25">
      <c r="A383" s="1">
        <v>382</v>
      </c>
      <c r="B383" s="4">
        <v>7500</v>
      </c>
      <c r="C383" s="4">
        <v>63</v>
      </c>
      <c r="D383" s="4">
        <v>63.1</v>
      </c>
      <c r="E383" s="4">
        <f t="shared" si="400"/>
        <v>0.10000000000000142</v>
      </c>
      <c r="F383" s="4">
        <v>1.6</v>
      </c>
      <c r="G383" s="4">
        <v>-0.01</v>
      </c>
      <c r="H383" s="4">
        <v>79</v>
      </c>
      <c r="I383" s="4"/>
      <c r="J383" s="4">
        <v>49</v>
      </c>
      <c r="K383"/>
      <c r="L383"/>
      <c r="M383" s="4">
        <f t="shared" si="401"/>
        <v>63.1</v>
      </c>
      <c r="N383" s="4"/>
      <c r="O383" s="1">
        <f t="shared" si="402"/>
        <v>63</v>
      </c>
      <c r="P383" s="1">
        <f t="shared" si="403"/>
        <v>8.4480000000001212</v>
      </c>
      <c r="Q383" s="1" t="str">
        <f t="shared" si="399"/>
        <v/>
      </c>
      <c r="R383" s="1" t="str">
        <f t="shared" si="404"/>
        <v/>
      </c>
      <c r="S383" s="1">
        <f t="shared" si="405"/>
        <v>603.92159999999876</v>
      </c>
      <c r="T383" s="1">
        <f t="shared" si="406"/>
        <v>-0.01</v>
      </c>
      <c r="U383" s="1">
        <f t="shared" si="407"/>
        <v>528.0000000000075</v>
      </c>
      <c r="V383" s="1">
        <f t="shared" si="408"/>
        <v>5.2800000000000749</v>
      </c>
    </row>
    <row r="384" spans="1:22" x14ac:dyDescent="0.25">
      <c r="A384" s="1">
        <v>383</v>
      </c>
      <c r="B384" s="4">
        <v>7500</v>
      </c>
      <c r="C384" s="4">
        <v>63.1</v>
      </c>
      <c r="D384" s="4">
        <v>63.4</v>
      </c>
      <c r="E384" s="4">
        <f t="shared" si="400"/>
        <v>0.29999999999999716</v>
      </c>
      <c r="F384" s="4">
        <v>1.6</v>
      </c>
      <c r="G384" s="4">
        <v>0.27</v>
      </c>
      <c r="H384" s="4">
        <v>79</v>
      </c>
      <c r="I384" s="4"/>
      <c r="J384" s="4">
        <v>49</v>
      </c>
      <c r="K384"/>
      <c r="L384"/>
      <c r="M384" s="4">
        <f t="shared" si="401"/>
        <v>63.4</v>
      </c>
      <c r="N384" s="4"/>
      <c r="O384" s="1">
        <f t="shared" si="402"/>
        <v>63.1</v>
      </c>
      <c r="P384" s="1">
        <f t="shared" si="403"/>
        <v>25.34399999999976</v>
      </c>
      <c r="Q384" s="1" t="str">
        <f t="shared" si="399"/>
        <v/>
      </c>
      <c r="R384" s="1" t="str">
        <f t="shared" si="404"/>
        <v/>
      </c>
      <c r="S384" s="1">
        <f t="shared" si="405"/>
        <v>603.86879999999871</v>
      </c>
      <c r="T384" s="1">
        <f t="shared" si="406"/>
        <v>0.27</v>
      </c>
      <c r="U384" s="1">
        <f t="shared" si="407"/>
        <v>1583.999999999985</v>
      </c>
      <c r="V384" s="1">
        <f t="shared" si="408"/>
        <v>427.67999999999597</v>
      </c>
    </row>
    <row r="385" spans="1:22" x14ac:dyDescent="0.25">
      <c r="A385" s="1">
        <v>384</v>
      </c>
      <c r="B385" s="4">
        <v>7500</v>
      </c>
      <c r="C385" s="4">
        <v>63.4</v>
      </c>
      <c r="D385" s="4">
        <v>63.5</v>
      </c>
      <c r="E385" s="4">
        <f t="shared" si="400"/>
        <v>0.10000000000000142</v>
      </c>
      <c r="F385" s="4">
        <v>1.6</v>
      </c>
      <c r="G385" s="4">
        <v>0.21</v>
      </c>
      <c r="H385" s="4">
        <v>79</v>
      </c>
      <c r="I385" s="4"/>
      <c r="J385" s="4">
        <v>49</v>
      </c>
      <c r="K385"/>
      <c r="L385"/>
      <c r="M385" s="4">
        <f t="shared" si="401"/>
        <v>63.5</v>
      </c>
      <c r="N385" s="4"/>
      <c r="O385" s="1">
        <f t="shared" si="402"/>
        <v>63.4</v>
      </c>
      <c r="P385" s="1">
        <f t="shared" si="403"/>
        <v>8.4480000000001212</v>
      </c>
      <c r="Q385" s="1" t="str">
        <f t="shared" si="399"/>
        <v/>
      </c>
      <c r="R385" s="1" t="str">
        <f t="shared" si="404"/>
        <v/>
      </c>
      <c r="S385" s="1">
        <f t="shared" si="405"/>
        <v>608.14559999999869</v>
      </c>
      <c r="T385" s="1">
        <f t="shared" si="406"/>
        <v>0.21</v>
      </c>
      <c r="U385" s="1">
        <f t="shared" si="407"/>
        <v>528.0000000000075</v>
      </c>
      <c r="V385" s="1">
        <f t="shared" si="408"/>
        <v>110.88000000000157</v>
      </c>
    </row>
    <row r="386" spans="1:22" x14ac:dyDescent="0.25">
      <c r="A386" s="1">
        <v>385</v>
      </c>
      <c r="B386" s="4">
        <v>7500</v>
      </c>
      <c r="C386" s="4">
        <v>63.5</v>
      </c>
      <c r="D386" s="4">
        <v>63.6</v>
      </c>
      <c r="E386" s="4">
        <f t="shared" si="400"/>
        <v>0.10000000000000142</v>
      </c>
      <c r="F386" s="4">
        <v>1.6</v>
      </c>
      <c r="G386" s="4">
        <v>7.0000000000000007E-2</v>
      </c>
      <c r="H386" s="4">
        <v>79</v>
      </c>
      <c r="I386" s="4"/>
      <c r="J386" s="4">
        <v>49</v>
      </c>
      <c r="K386"/>
      <c r="L386"/>
      <c r="M386" s="4">
        <f t="shared" si="401"/>
        <v>63.6</v>
      </c>
      <c r="N386" s="4"/>
      <c r="O386" s="1">
        <f t="shared" si="402"/>
        <v>63.5</v>
      </c>
      <c r="P386" s="1">
        <f t="shared" si="403"/>
        <v>8.4480000000001212</v>
      </c>
      <c r="Q386" s="1" t="str">
        <f t="shared" si="399"/>
        <v/>
      </c>
      <c r="R386" s="1" t="str">
        <f t="shared" si="404"/>
        <v/>
      </c>
      <c r="S386" s="1">
        <f t="shared" si="405"/>
        <v>609.25439999999867</v>
      </c>
      <c r="T386" s="1">
        <f t="shared" si="406"/>
        <v>7.0000000000000007E-2</v>
      </c>
      <c r="U386" s="1">
        <f t="shared" si="407"/>
        <v>528.0000000000075</v>
      </c>
      <c r="V386" s="1">
        <f t="shared" si="408"/>
        <v>36.960000000000527</v>
      </c>
    </row>
    <row r="387" spans="1:22" x14ac:dyDescent="0.25">
      <c r="A387" s="1">
        <v>386</v>
      </c>
      <c r="B387" s="4">
        <v>7500</v>
      </c>
      <c r="C387" s="4">
        <v>63.6</v>
      </c>
      <c r="D387" s="4">
        <v>63.7</v>
      </c>
      <c r="E387" s="4">
        <f t="shared" si="400"/>
        <v>0.10000000000000142</v>
      </c>
      <c r="F387" s="4">
        <v>0</v>
      </c>
      <c r="G387" s="4">
        <v>0.01</v>
      </c>
      <c r="H387" s="4">
        <v>79</v>
      </c>
      <c r="I387" s="4"/>
      <c r="J387" s="4">
        <v>49</v>
      </c>
      <c r="K387"/>
      <c r="L387"/>
      <c r="M387" s="4">
        <f t="shared" si="401"/>
        <v>63.7</v>
      </c>
      <c r="N387" s="4"/>
      <c r="O387" s="1">
        <f t="shared" si="402"/>
        <v>63.6</v>
      </c>
      <c r="P387" s="1">
        <f t="shared" si="403"/>
        <v>0</v>
      </c>
      <c r="Q387" s="1" t="str">
        <f t="shared" ref="Q387:Q450" si="409">IF(H387&lt;&gt;"",IF(H387=H386,"",H387),IF(H385="","",MAX(H386,Q386)))</f>
        <v/>
      </c>
      <c r="R387" s="1" t="str">
        <f t="shared" si="404"/>
        <v/>
      </c>
      <c r="S387" s="1">
        <f t="shared" si="405"/>
        <v>609.62399999999866</v>
      </c>
      <c r="T387" s="1">
        <f t="shared" si="406"/>
        <v>0.01</v>
      </c>
      <c r="U387" s="1">
        <f t="shared" si="407"/>
        <v>528.0000000000075</v>
      </c>
      <c r="V387" s="1">
        <f t="shared" si="408"/>
        <v>5.2800000000000749</v>
      </c>
    </row>
    <row r="388" spans="1:22" x14ac:dyDescent="0.25">
      <c r="A388" s="1">
        <v>387</v>
      </c>
      <c r="B388" s="4">
        <v>7500</v>
      </c>
      <c r="C388" s="4">
        <v>63.7</v>
      </c>
      <c r="D388" s="4">
        <v>63.800000000000004</v>
      </c>
      <c r="E388" s="4">
        <f t="shared" si="400"/>
        <v>0.10000000000000142</v>
      </c>
      <c r="F388" s="4">
        <v>0</v>
      </c>
      <c r="G388" s="4">
        <v>0.37</v>
      </c>
      <c r="H388" s="4">
        <v>79</v>
      </c>
      <c r="I388" s="4"/>
      <c r="J388" s="4">
        <v>49</v>
      </c>
      <c r="K388"/>
      <c r="L388"/>
      <c r="M388" s="4">
        <f t="shared" si="401"/>
        <v>63.800000000000004</v>
      </c>
      <c r="N388" s="4"/>
      <c r="O388" s="1">
        <f t="shared" si="402"/>
        <v>63.7</v>
      </c>
      <c r="P388" s="1">
        <f t="shared" si="403"/>
        <v>0</v>
      </c>
      <c r="Q388" s="1" t="str">
        <f t="shared" si="409"/>
        <v/>
      </c>
      <c r="R388" s="1" t="str">
        <f t="shared" si="404"/>
        <v/>
      </c>
      <c r="S388" s="1">
        <f t="shared" si="405"/>
        <v>609.67679999999871</v>
      </c>
      <c r="T388" s="1">
        <f t="shared" si="406"/>
        <v>0.37</v>
      </c>
      <c r="U388" s="1">
        <f t="shared" si="407"/>
        <v>528.0000000000075</v>
      </c>
      <c r="V388" s="1">
        <f t="shared" si="408"/>
        <v>195.36000000000277</v>
      </c>
    </row>
    <row r="389" spans="1:22" x14ac:dyDescent="0.25">
      <c r="A389" s="1">
        <v>388</v>
      </c>
      <c r="B389" s="4">
        <v>7500</v>
      </c>
      <c r="C389" s="4">
        <v>63.800000000000004</v>
      </c>
      <c r="D389" s="4">
        <v>63.9</v>
      </c>
      <c r="E389" s="4">
        <f t="shared" si="400"/>
        <v>9.9999999999994316E-2</v>
      </c>
      <c r="F389" s="4">
        <v>0</v>
      </c>
      <c r="G389" s="4">
        <v>0.49</v>
      </c>
      <c r="H389" s="4">
        <v>79</v>
      </c>
      <c r="I389" s="4"/>
      <c r="J389" s="4">
        <v>49</v>
      </c>
      <c r="K389"/>
      <c r="L389"/>
      <c r="M389" s="4">
        <f t="shared" si="401"/>
        <v>63.9</v>
      </c>
      <c r="N389" s="4"/>
      <c r="O389" s="1">
        <f t="shared" si="402"/>
        <v>63.800000000000004</v>
      </c>
      <c r="P389" s="1">
        <f t="shared" si="403"/>
        <v>0</v>
      </c>
      <c r="Q389" s="1" t="str">
        <f t="shared" si="409"/>
        <v/>
      </c>
      <c r="R389" s="1" t="str">
        <f t="shared" si="404"/>
        <v/>
      </c>
      <c r="S389" s="1">
        <f t="shared" si="405"/>
        <v>611.63039999999876</v>
      </c>
      <c r="T389" s="1">
        <f t="shared" si="406"/>
        <v>0.49</v>
      </c>
      <c r="U389" s="1">
        <f t="shared" si="407"/>
        <v>527.99999999996999</v>
      </c>
      <c r="V389" s="1">
        <f t="shared" si="408"/>
        <v>258.7199999999853</v>
      </c>
    </row>
    <row r="390" spans="1:22" x14ac:dyDescent="0.25">
      <c r="A390" s="1">
        <v>389</v>
      </c>
      <c r="B390" s="4">
        <v>7500</v>
      </c>
      <c r="C390" s="4">
        <v>63.9</v>
      </c>
      <c r="D390" s="4">
        <v>64.099999999999994</v>
      </c>
      <c r="E390" s="4">
        <f t="shared" si="400"/>
        <v>0.19999999999999574</v>
      </c>
      <c r="F390" s="4">
        <v>0</v>
      </c>
      <c r="G390" s="4">
        <v>0.57999999999999996</v>
      </c>
      <c r="H390" s="4">
        <v>79</v>
      </c>
      <c r="I390" s="4"/>
      <c r="J390" s="4">
        <v>49</v>
      </c>
      <c r="K390"/>
      <c r="L390"/>
      <c r="M390" s="4">
        <f t="shared" si="401"/>
        <v>64.099999999999994</v>
      </c>
      <c r="N390" s="4"/>
      <c r="O390" s="1">
        <f t="shared" si="402"/>
        <v>63.9</v>
      </c>
      <c r="P390" s="1">
        <f t="shared" si="403"/>
        <v>0</v>
      </c>
      <c r="Q390" s="1" t="str">
        <f t="shared" si="409"/>
        <v/>
      </c>
      <c r="R390" s="1" t="str">
        <f t="shared" si="404"/>
        <v/>
      </c>
      <c r="S390" s="1">
        <f t="shared" si="405"/>
        <v>614.21759999999858</v>
      </c>
      <c r="T390" s="1">
        <f t="shared" si="406"/>
        <v>0.57999999999999996</v>
      </c>
      <c r="U390" s="1">
        <f t="shared" si="407"/>
        <v>1055.9999999999775</v>
      </c>
      <c r="V390" s="1">
        <f t="shared" si="408"/>
        <v>612.47999999998694</v>
      </c>
    </row>
    <row r="391" spans="1:22" x14ac:dyDescent="0.25">
      <c r="A391" s="1">
        <v>390</v>
      </c>
      <c r="B391" s="4">
        <v>7500</v>
      </c>
      <c r="C391" s="4">
        <v>64.099999999999994</v>
      </c>
      <c r="D391" s="4">
        <v>64.199999999999989</v>
      </c>
      <c r="E391" s="4">
        <f t="shared" si="400"/>
        <v>9.9999999999994316E-2</v>
      </c>
      <c r="F391" s="4">
        <v>2.1</v>
      </c>
      <c r="G391" s="4">
        <v>0.61</v>
      </c>
      <c r="H391" s="4">
        <v>79</v>
      </c>
      <c r="I391" s="4"/>
      <c r="J391" s="4">
        <v>49</v>
      </c>
      <c r="K391"/>
      <c r="L391"/>
      <c r="M391" s="4">
        <f t="shared" si="401"/>
        <v>64.199999999999989</v>
      </c>
      <c r="N391" s="4"/>
      <c r="O391" s="1">
        <f t="shared" si="402"/>
        <v>64.099999999999994</v>
      </c>
      <c r="P391" s="1">
        <f t="shared" si="403"/>
        <v>11.087999999999369</v>
      </c>
      <c r="Q391" s="1" t="str">
        <f t="shared" si="409"/>
        <v/>
      </c>
      <c r="R391" s="1" t="str">
        <f t="shared" si="404"/>
        <v/>
      </c>
      <c r="S391" s="1">
        <f t="shared" si="405"/>
        <v>620.34239999999841</v>
      </c>
      <c r="T391" s="1">
        <f t="shared" si="406"/>
        <v>0.61</v>
      </c>
      <c r="U391" s="1">
        <f t="shared" si="407"/>
        <v>527.99999999996999</v>
      </c>
      <c r="V391" s="1">
        <f t="shared" si="408"/>
        <v>322.07999999998168</v>
      </c>
    </row>
    <row r="392" spans="1:22" x14ac:dyDescent="0.25">
      <c r="A392" s="1">
        <v>391</v>
      </c>
      <c r="B392" s="4">
        <v>7500</v>
      </c>
      <c r="C392" s="4">
        <v>64.199999999999989</v>
      </c>
      <c r="D392" s="4">
        <v>64.5</v>
      </c>
      <c r="E392" s="4">
        <f t="shared" ref="E392:E455" si="410">D392-C392</f>
        <v>0.30000000000001137</v>
      </c>
      <c r="F392" s="4">
        <v>2.1</v>
      </c>
      <c r="G392" s="4">
        <v>0.61</v>
      </c>
      <c r="H392" s="4">
        <v>55</v>
      </c>
      <c r="I392" s="4"/>
      <c r="J392" s="4">
        <v>35</v>
      </c>
      <c r="K392"/>
      <c r="L392"/>
      <c r="M392" s="4">
        <f t="shared" ref="M392:M455" si="411">E392+M391</f>
        <v>64.5</v>
      </c>
      <c r="N392" s="4"/>
      <c r="O392" s="1">
        <f t="shared" ref="O392:O455" si="412">E391+O391</f>
        <v>64.199999999999989</v>
      </c>
      <c r="P392" s="1">
        <f t="shared" ref="P392:P455" si="413">F392*52.8*E392</f>
        <v>33.264000000001261</v>
      </c>
      <c r="Q392" s="1">
        <f t="shared" si="409"/>
        <v>55</v>
      </c>
      <c r="R392" s="1">
        <f t="shared" ref="R392:R455" si="414">IF(I392="",Q392,IF(AND(H392=H391,I392=I391),"",I392))</f>
        <v>55</v>
      </c>
      <c r="S392" s="1">
        <f t="shared" ref="S392:S455" si="415">S391+U391*T391/100</f>
        <v>623.56319999999823</v>
      </c>
      <c r="T392" s="1">
        <f t="shared" ref="T392:T455" si="416">IF(G392="UNK",0,G392)</f>
        <v>0.61</v>
      </c>
      <c r="U392" s="1">
        <f t="shared" ref="U392:U455" si="417">E392*5280</f>
        <v>1584.00000000006</v>
      </c>
      <c r="V392" s="1">
        <f t="shared" ref="V392:V455" si="418">ABS(T392*U392)</f>
        <v>966.24000000003662</v>
      </c>
    </row>
    <row r="393" spans="1:22" x14ac:dyDescent="0.25">
      <c r="A393" s="1">
        <v>392</v>
      </c>
      <c r="B393" s="4">
        <v>7500</v>
      </c>
      <c r="C393" s="4">
        <v>64.5</v>
      </c>
      <c r="D393" s="4">
        <v>64.8</v>
      </c>
      <c r="E393" s="4">
        <f t="shared" si="410"/>
        <v>0.29999999999999716</v>
      </c>
      <c r="F393" s="4">
        <v>0</v>
      </c>
      <c r="G393" s="4">
        <v>-0.46</v>
      </c>
      <c r="H393" s="4">
        <v>55</v>
      </c>
      <c r="I393" s="4"/>
      <c r="J393" s="4">
        <v>35</v>
      </c>
      <c r="K393"/>
      <c r="L393"/>
      <c r="M393" s="4">
        <f t="shared" si="411"/>
        <v>64.8</v>
      </c>
      <c r="N393" s="4"/>
      <c r="O393" s="1">
        <f t="shared" si="412"/>
        <v>64.5</v>
      </c>
      <c r="P393" s="1">
        <f t="shared" si="413"/>
        <v>0</v>
      </c>
      <c r="Q393" s="1" t="str">
        <f t="shared" si="409"/>
        <v/>
      </c>
      <c r="R393" s="1" t="str">
        <f t="shared" si="414"/>
        <v/>
      </c>
      <c r="S393" s="1">
        <f t="shared" si="415"/>
        <v>633.22559999999862</v>
      </c>
      <c r="T393" s="1">
        <f t="shared" si="416"/>
        <v>-0.46</v>
      </c>
      <c r="U393" s="1">
        <f t="shared" si="417"/>
        <v>1583.999999999985</v>
      </c>
      <c r="V393" s="1">
        <f t="shared" si="418"/>
        <v>728.63999999999317</v>
      </c>
    </row>
    <row r="394" spans="1:22" x14ac:dyDescent="0.25">
      <c r="A394" s="1">
        <v>393</v>
      </c>
      <c r="B394" s="4">
        <v>7500</v>
      </c>
      <c r="C394" s="4">
        <v>64.8</v>
      </c>
      <c r="D394" s="4">
        <v>64.899999999999991</v>
      </c>
      <c r="E394" s="4">
        <f t="shared" si="410"/>
        <v>9.9999999999994316E-2</v>
      </c>
      <c r="F394" s="4">
        <v>0</v>
      </c>
      <c r="G394" s="4">
        <v>-0.17</v>
      </c>
      <c r="H394" s="4">
        <v>55</v>
      </c>
      <c r="I394" s="4"/>
      <c r="J394" s="4">
        <v>35</v>
      </c>
      <c r="K394"/>
      <c r="L394"/>
      <c r="M394" s="4">
        <f t="shared" si="411"/>
        <v>64.899999999999991</v>
      </c>
      <c r="N394" s="4"/>
      <c r="O394" s="1">
        <f t="shared" si="412"/>
        <v>64.8</v>
      </c>
      <c r="P394" s="1">
        <f t="shared" si="413"/>
        <v>0</v>
      </c>
      <c r="Q394" s="1" t="str">
        <f t="shared" si="409"/>
        <v/>
      </c>
      <c r="R394" s="1" t="str">
        <f t="shared" si="414"/>
        <v/>
      </c>
      <c r="S394" s="1">
        <f t="shared" si="415"/>
        <v>625.93919999999866</v>
      </c>
      <c r="T394" s="1">
        <f t="shared" si="416"/>
        <v>-0.17</v>
      </c>
      <c r="U394" s="1">
        <f t="shared" si="417"/>
        <v>527.99999999996999</v>
      </c>
      <c r="V394" s="1">
        <f t="shared" si="418"/>
        <v>89.759999999994903</v>
      </c>
    </row>
    <row r="395" spans="1:22" x14ac:dyDescent="0.25">
      <c r="A395" s="1">
        <v>394</v>
      </c>
      <c r="B395" s="4">
        <v>7500</v>
      </c>
      <c r="C395" s="4">
        <v>64.899999999999991</v>
      </c>
      <c r="D395" s="4">
        <v>65</v>
      </c>
      <c r="E395" s="4">
        <f t="shared" si="410"/>
        <v>0.10000000000000853</v>
      </c>
      <c r="F395" s="4">
        <v>0</v>
      </c>
      <c r="G395" s="4">
        <v>0.4</v>
      </c>
      <c r="H395" s="4">
        <v>79</v>
      </c>
      <c r="I395" s="4"/>
      <c r="J395" s="4">
        <v>49</v>
      </c>
      <c r="K395"/>
      <c r="L395"/>
      <c r="M395" s="4">
        <f t="shared" si="411"/>
        <v>65</v>
      </c>
      <c r="N395" s="4"/>
      <c r="O395" s="1">
        <f t="shared" si="412"/>
        <v>64.899999999999991</v>
      </c>
      <c r="P395" s="1">
        <f t="shared" si="413"/>
        <v>0</v>
      </c>
      <c r="Q395" s="1">
        <f t="shared" si="409"/>
        <v>79</v>
      </c>
      <c r="R395" s="1">
        <f t="shared" si="414"/>
        <v>79</v>
      </c>
      <c r="S395" s="1">
        <f t="shared" si="415"/>
        <v>625.04159999999877</v>
      </c>
      <c r="T395" s="1">
        <f t="shared" si="416"/>
        <v>0.4</v>
      </c>
      <c r="U395" s="1">
        <f t="shared" si="417"/>
        <v>528.00000000004502</v>
      </c>
      <c r="V395" s="1">
        <f t="shared" si="418"/>
        <v>211.20000000001801</v>
      </c>
    </row>
    <row r="396" spans="1:22" x14ac:dyDescent="0.25">
      <c r="A396" s="1">
        <v>395</v>
      </c>
      <c r="B396" s="4">
        <v>7500</v>
      </c>
      <c r="C396" s="4">
        <v>65</v>
      </c>
      <c r="D396" s="4">
        <v>65.099999999999994</v>
      </c>
      <c r="E396" s="4">
        <f t="shared" si="410"/>
        <v>9.9999999999994316E-2</v>
      </c>
      <c r="F396" s="4">
        <v>0</v>
      </c>
      <c r="G396" s="4">
        <v>0.69</v>
      </c>
      <c r="H396" s="4">
        <v>79</v>
      </c>
      <c r="I396" s="4"/>
      <c r="J396" s="4">
        <v>49</v>
      </c>
      <c r="K396"/>
      <c r="L396"/>
      <c r="M396" s="4">
        <f t="shared" si="411"/>
        <v>65.099999999999994</v>
      </c>
      <c r="N396" s="4"/>
      <c r="O396" s="1">
        <f t="shared" si="412"/>
        <v>65</v>
      </c>
      <c r="P396" s="1">
        <f t="shared" si="413"/>
        <v>0</v>
      </c>
      <c r="Q396" s="1" t="str">
        <f t="shared" si="409"/>
        <v/>
      </c>
      <c r="R396" s="1" t="str">
        <f t="shared" si="414"/>
        <v/>
      </c>
      <c r="S396" s="1">
        <f t="shared" si="415"/>
        <v>627.15359999999896</v>
      </c>
      <c r="T396" s="1">
        <f t="shared" si="416"/>
        <v>0.69</v>
      </c>
      <c r="U396" s="1">
        <f t="shared" si="417"/>
        <v>527.99999999996999</v>
      </c>
      <c r="V396" s="1">
        <f t="shared" si="418"/>
        <v>364.31999999997925</v>
      </c>
    </row>
    <row r="397" spans="1:22" x14ac:dyDescent="0.25">
      <c r="A397" s="1">
        <v>396</v>
      </c>
      <c r="B397" s="4">
        <v>7500</v>
      </c>
      <c r="C397" s="4">
        <v>65.099999999999994</v>
      </c>
      <c r="D397" s="4">
        <v>65.199999999999989</v>
      </c>
      <c r="E397" s="4">
        <f t="shared" si="410"/>
        <v>9.9999999999994316E-2</v>
      </c>
      <c r="F397" s="4">
        <v>0</v>
      </c>
      <c r="G397" s="4">
        <v>-0.74</v>
      </c>
      <c r="H397" s="4">
        <v>79</v>
      </c>
      <c r="I397" s="4"/>
      <c r="J397" s="4">
        <v>49</v>
      </c>
      <c r="K397"/>
      <c r="L397"/>
      <c r="M397" s="4">
        <f t="shared" si="411"/>
        <v>65.199999999999989</v>
      </c>
      <c r="N397" s="4"/>
      <c r="O397" s="1">
        <f t="shared" si="412"/>
        <v>65.099999999999994</v>
      </c>
      <c r="P397" s="1">
        <f t="shared" si="413"/>
        <v>0</v>
      </c>
      <c r="Q397" s="1" t="str">
        <f t="shared" si="409"/>
        <v/>
      </c>
      <c r="R397" s="1" t="str">
        <f t="shared" si="414"/>
        <v/>
      </c>
      <c r="S397" s="1">
        <f t="shared" si="415"/>
        <v>630.79679999999871</v>
      </c>
      <c r="T397" s="1">
        <f t="shared" si="416"/>
        <v>-0.74</v>
      </c>
      <c r="U397" s="1">
        <f t="shared" si="417"/>
        <v>527.99999999996999</v>
      </c>
      <c r="V397" s="1">
        <f t="shared" si="418"/>
        <v>390.7199999999778</v>
      </c>
    </row>
    <row r="398" spans="1:22" x14ac:dyDescent="0.25">
      <c r="A398" s="1">
        <v>397</v>
      </c>
      <c r="B398" s="4">
        <v>7500</v>
      </c>
      <c r="C398" s="4">
        <v>65.199999999999989</v>
      </c>
      <c r="D398" s="4">
        <v>65.3</v>
      </c>
      <c r="E398" s="4">
        <f t="shared" si="410"/>
        <v>0.10000000000000853</v>
      </c>
      <c r="F398" s="4">
        <v>0</v>
      </c>
      <c r="G398" s="4">
        <v>-0.04</v>
      </c>
      <c r="H398" s="4">
        <v>79</v>
      </c>
      <c r="I398" s="4"/>
      <c r="J398" s="4">
        <v>49</v>
      </c>
      <c r="K398"/>
      <c r="L398"/>
      <c r="M398" s="4">
        <f t="shared" si="411"/>
        <v>65.3</v>
      </c>
      <c r="N398" s="4"/>
      <c r="O398" s="1">
        <f t="shared" si="412"/>
        <v>65.199999999999989</v>
      </c>
      <c r="P398" s="1">
        <f t="shared" si="413"/>
        <v>0</v>
      </c>
      <c r="Q398" s="1" t="str">
        <f t="shared" si="409"/>
        <v/>
      </c>
      <c r="R398" s="1" t="str">
        <f t="shared" si="414"/>
        <v/>
      </c>
      <c r="S398" s="1">
        <f t="shared" si="415"/>
        <v>626.88959999999895</v>
      </c>
      <c r="T398" s="1">
        <f t="shared" si="416"/>
        <v>-0.04</v>
      </c>
      <c r="U398" s="1">
        <f t="shared" si="417"/>
        <v>528.00000000004502</v>
      </c>
      <c r="V398" s="1">
        <f t="shared" si="418"/>
        <v>21.120000000001802</v>
      </c>
    </row>
    <row r="399" spans="1:22" x14ac:dyDescent="0.25">
      <c r="A399" s="1">
        <v>398</v>
      </c>
      <c r="B399" s="4">
        <v>7500</v>
      </c>
      <c r="C399" s="4">
        <v>65.3</v>
      </c>
      <c r="D399" s="4">
        <v>65.399999999999991</v>
      </c>
      <c r="E399" s="4">
        <f t="shared" si="410"/>
        <v>9.9999999999994316E-2</v>
      </c>
      <c r="F399" s="4">
        <v>0</v>
      </c>
      <c r="G399" s="4">
        <v>-0.45</v>
      </c>
      <c r="H399" s="4">
        <v>79</v>
      </c>
      <c r="I399" s="4"/>
      <c r="J399" s="4">
        <v>49</v>
      </c>
      <c r="K399"/>
      <c r="L399"/>
      <c r="M399" s="4">
        <f t="shared" si="411"/>
        <v>65.399999999999991</v>
      </c>
      <c r="N399" s="4"/>
      <c r="O399" s="1">
        <f t="shared" si="412"/>
        <v>65.3</v>
      </c>
      <c r="P399" s="1">
        <f t="shared" si="413"/>
        <v>0</v>
      </c>
      <c r="Q399" s="1" t="str">
        <f t="shared" si="409"/>
        <v/>
      </c>
      <c r="R399" s="1" t="str">
        <f t="shared" si="414"/>
        <v/>
      </c>
      <c r="S399" s="1">
        <f t="shared" si="415"/>
        <v>626.67839999999899</v>
      </c>
      <c r="T399" s="1">
        <f t="shared" si="416"/>
        <v>-0.45</v>
      </c>
      <c r="U399" s="1">
        <f t="shared" si="417"/>
        <v>527.99999999996999</v>
      </c>
      <c r="V399" s="1">
        <f t="shared" si="418"/>
        <v>237.59999999998649</v>
      </c>
    </row>
    <row r="400" spans="1:22" x14ac:dyDescent="0.25">
      <c r="A400" s="1">
        <v>399</v>
      </c>
      <c r="B400" s="4">
        <v>7500</v>
      </c>
      <c r="C400" s="4">
        <v>65.399999999999991</v>
      </c>
      <c r="D400" s="4">
        <v>65.599999999999994</v>
      </c>
      <c r="E400" s="4">
        <f t="shared" si="410"/>
        <v>0.20000000000000284</v>
      </c>
      <c r="F400" s="4">
        <v>0</v>
      </c>
      <c r="G400" s="4">
        <v>-0.8</v>
      </c>
      <c r="H400" s="4">
        <v>79</v>
      </c>
      <c r="I400" s="4"/>
      <c r="J400" s="4">
        <v>49</v>
      </c>
      <c r="K400"/>
      <c r="L400"/>
      <c r="M400" s="4">
        <f t="shared" si="411"/>
        <v>65.599999999999994</v>
      </c>
      <c r="N400" s="4"/>
      <c r="O400" s="1">
        <f t="shared" si="412"/>
        <v>65.399999999999991</v>
      </c>
      <c r="P400" s="1">
        <f t="shared" si="413"/>
        <v>0</v>
      </c>
      <c r="Q400" s="1" t="str">
        <f t="shared" si="409"/>
        <v/>
      </c>
      <c r="R400" s="1" t="str">
        <f t="shared" si="414"/>
        <v/>
      </c>
      <c r="S400" s="1">
        <f t="shared" si="415"/>
        <v>624.30239999999912</v>
      </c>
      <c r="T400" s="1">
        <f t="shared" si="416"/>
        <v>-0.8</v>
      </c>
      <c r="U400" s="1">
        <f t="shared" si="417"/>
        <v>1056.000000000015</v>
      </c>
      <c r="V400" s="1">
        <f t="shared" si="418"/>
        <v>844.80000000001201</v>
      </c>
    </row>
    <row r="401" spans="1:22" x14ac:dyDescent="0.25">
      <c r="A401" s="1">
        <v>400</v>
      </c>
      <c r="B401" s="4">
        <v>7500</v>
      </c>
      <c r="C401" s="4">
        <v>65.599999999999994</v>
      </c>
      <c r="D401" s="4">
        <v>65.699999999999989</v>
      </c>
      <c r="E401" s="4">
        <f t="shared" si="410"/>
        <v>9.9999999999994316E-2</v>
      </c>
      <c r="F401" s="4">
        <v>2.1</v>
      </c>
      <c r="G401" s="4">
        <v>-0.8</v>
      </c>
      <c r="H401" s="4">
        <v>79</v>
      </c>
      <c r="I401" s="4"/>
      <c r="J401" s="4">
        <v>49</v>
      </c>
      <c r="K401"/>
      <c r="L401"/>
      <c r="M401" s="4">
        <f t="shared" si="411"/>
        <v>65.699999999999989</v>
      </c>
      <c r="N401" s="4"/>
      <c r="O401" s="1">
        <f t="shared" si="412"/>
        <v>65.599999999999994</v>
      </c>
      <c r="P401" s="1">
        <f t="shared" si="413"/>
        <v>11.087999999999369</v>
      </c>
      <c r="Q401" s="1" t="str">
        <f t="shared" si="409"/>
        <v/>
      </c>
      <c r="R401" s="1" t="str">
        <f t="shared" si="414"/>
        <v/>
      </c>
      <c r="S401" s="1">
        <f t="shared" si="415"/>
        <v>615.85439999999903</v>
      </c>
      <c r="T401" s="1">
        <f t="shared" si="416"/>
        <v>-0.8</v>
      </c>
      <c r="U401" s="1">
        <f t="shared" si="417"/>
        <v>527.99999999996999</v>
      </c>
      <c r="V401" s="1">
        <f t="shared" si="418"/>
        <v>422.39999999997599</v>
      </c>
    </row>
    <row r="402" spans="1:22" x14ac:dyDescent="0.25">
      <c r="A402" s="1">
        <v>401</v>
      </c>
      <c r="B402" s="4">
        <v>7500</v>
      </c>
      <c r="C402" s="4">
        <v>65.699999999999989</v>
      </c>
      <c r="D402" s="4">
        <v>65.899999999999991</v>
      </c>
      <c r="E402" s="4">
        <f t="shared" si="410"/>
        <v>0.20000000000000284</v>
      </c>
      <c r="F402" s="4">
        <v>2.1</v>
      </c>
      <c r="G402" s="4">
        <v>0.66</v>
      </c>
      <c r="H402" s="4">
        <v>79</v>
      </c>
      <c r="I402" s="4"/>
      <c r="J402" s="4">
        <v>49</v>
      </c>
      <c r="K402"/>
      <c r="L402"/>
      <c r="M402" s="4">
        <f t="shared" si="411"/>
        <v>65.899999999999991</v>
      </c>
      <c r="N402" s="4"/>
      <c r="O402" s="1">
        <f t="shared" si="412"/>
        <v>65.699999999999989</v>
      </c>
      <c r="P402" s="1">
        <f t="shared" si="413"/>
        <v>22.176000000000315</v>
      </c>
      <c r="Q402" s="1" t="str">
        <f t="shared" si="409"/>
        <v/>
      </c>
      <c r="R402" s="1" t="str">
        <f t="shared" si="414"/>
        <v/>
      </c>
      <c r="S402" s="1">
        <f t="shared" si="415"/>
        <v>611.63039999999933</v>
      </c>
      <c r="T402" s="1">
        <f t="shared" si="416"/>
        <v>0.66</v>
      </c>
      <c r="U402" s="1">
        <f t="shared" si="417"/>
        <v>1056.000000000015</v>
      </c>
      <c r="V402" s="1">
        <f t="shared" si="418"/>
        <v>696.96000000000993</v>
      </c>
    </row>
    <row r="403" spans="1:22" x14ac:dyDescent="0.25">
      <c r="A403" s="1">
        <v>402</v>
      </c>
      <c r="B403" s="4">
        <v>7500</v>
      </c>
      <c r="C403" s="4">
        <v>65.899999999999991</v>
      </c>
      <c r="D403" s="4">
        <v>66.099999999999994</v>
      </c>
      <c r="E403" s="4">
        <f t="shared" si="410"/>
        <v>0.20000000000000284</v>
      </c>
      <c r="F403" s="4">
        <v>0</v>
      </c>
      <c r="G403" s="4">
        <v>-0.44</v>
      </c>
      <c r="H403" s="4">
        <v>79</v>
      </c>
      <c r="I403" s="4"/>
      <c r="J403" s="4">
        <v>49</v>
      </c>
      <c r="K403"/>
      <c r="L403"/>
      <c r="M403" s="4">
        <f t="shared" si="411"/>
        <v>66.099999999999994</v>
      </c>
      <c r="N403" s="4"/>
      <c r="O403" s="1">
        <f t="shared" si="412"/>
        <v>65.899999999999991</v>
      </c>
      <c r="P403" s="1">
        <f t="shared" si="413"/>
        <v>0</v>
      </c>
      <c r="Q403" s="1" t="str">
        <f t="shared" si="409"/>
        <v/>
      </c>
      <c r="R403" s="1" t="str">
        <f t="shared" si="414"/>
        <v/>
      </c>
      <c r="S403" s="1">
        <f t="shared" si="415"/>
        <v>618.59999999999945</v>
      </c>
      <c r="T403" s="1">
        <f t="shared" si="416"/>
        <v>-0.44</v>
      </c>
      <c r="U403" s="1">
        <f t="shared" si="417"/>
        <v>1056.000000000015</v>
      </c>
      <c r="V403" s="1">
        <f t="shared" si="418"/>
        <v>464.64000000000658</v>
      </c>
    </row>
    <row r="404" spans="1:22" x14ac:dyDescent="0.25">
      <c r="A404" s="1">
        <v>403</v>
      </c>
      <c r="B404" s="4">
        <v>7500</v>
      </c>
      <c r="C404" s="4">
        <v>66.099999999999994</v>
      </c>
      <c r="D404" s="4">
        <v>66.199999999999989</v>
      </c>
      <c r="E404" s="4">
        <f t="shared" si="410"/>
        <v>9.9999999999994316E-2</v>
      </c>
      <c r="F404" s="4">
        <v>0</v>
      </c>
      <c r="G404" s="4">
        <v>0.59</v>
      </c>
      <c r="H404" s="4">
        <v>79</v>
      </c>
      <c r="I404" s="4"/>
      <c r="J404" s="4">
        <v>49</v>
      </c>
      <c r="K404"/>
      <c r="L404"/>
      <c r="M404" s="4">
        <f t="shared" si="411"/>
        <v>66.199999999999989</v>
      </c>
      <c r="N404" s="4"/>
      <c r="O404" s="1">
        <f t="shared" si="412"/>
        <v>66.099999999999994</v>
      </c>
      <c r="P404" s="1">
        <f t="shared" si="413"/>
        <v>0</v>
      </c>
      <c r="Q404" s="1" t="str">
        <f t="shared" si="409"/>
        <v/>
      </c>
      <c r="R404" s="1" t="str">
        <f t="shared" si="414"/>
        <v/>
      </c>
      <c r="S404" s="1">
        <f t="shared" si="415"/>
        <v>613.95359999999937</v>
      </c>
      <c r="T404" s="1">
        <f t="shared" si="416"/>
        <v>0.59</v>
      </c>
      <c r="U404" s="1">
        <f t="shared" si="417"/>
        <v>527.99999999996999</v>
      </c>
      <c r="V404" s="1">
        <f t="shared" si="418"/>
        <v>311.5199999999823</v>
      </c>
    </row>
    <row r="405" spans="1:22" x14ac:dyDescent="0.25">
      <c r="A405" s="1">
        <v>404</v>
      </c>
      <c r="B405" s="4">
        <v>7500</v>
      </c>
      <c r="C405" s="4">
        <v>66.199999999999989</v>
      </c>
      <c r="D405" s="4">
        <v>66.3</v>
      </c>
      <c r="E405" s="4">
        <f t="shared" si="410"/>
        <v>0.10000000000000853</v>
      </c>
      <c r="F405" s="4">
        <v>2.2000000000000002</v>
      </c>
      <c r="G405" s="4">
        <v>0.59</v>
      </c>
      <c r="H405" s="4">
        <v>79</v>
      </c>
      <c r="I405" s="4"/>
      <c r="J405" s="4">
        <v>49</v>
      </c>
      <c r="K405"/>
      <c r="L405"/>
      <c r="M405" s="4">
        <f t="shared" si="411"/>
        <v>66.3</v>
      </c>
      <c r="N405" s="4"/>
      <c r="O405" s="1">
        <f t="shared" si="412"/>
        <v>66.199999999999989</v>
      </c>
      <c r="P405" s="1">
        <f t="shared" si="413"/>
        <v>11.616000000000991</v>
      </c>
      <c r="Q405" s="1" t="str">
        <f t="shared" si="409"/>
        <v/>
      </c>
      <c r="R405" s="1" t="str">
        <f t="shared" si="414"/>
        <v/>
      </c>
      <c r="S405" s="1">
        <f t="shared" si="415"/>
        <v>617.06879999999921</v>
      </c>
      <c r="T405" s="1">
        <f t="shared" si="416"/>
        <v>0.59</v>
      </c>
      <c r="U405" s="1">
        <f t="shared" si="417"/>
        <v>528.00000000004502</v>
      </c>
      <c r="V405" s="1">
        <f t="shared" si="418"/>
        <v>311.52000000002653</v>
      </c>
    </row>
    <row r="406" spans="1:22" x14ac:dyDescent="0.25">
      <c r="A406" s="1">
        <v>405</v>
      </c>
      <c r="B406" s="4">
        <v>7500</v>
      </c>
      <c r="C406" s="4">
        <v>66.3</v>
      </c>
      <c r="D406" s="4">
        <v>66.399999999999991</v>
      </c>
      <c r="E406" s="4">
        <f t="shared" si="410"/>
        <v>9.9999999999994316E-2</v>
      </c>
      <c r="F406" s="4">
        <v>0</v>
      </c>
      <c r="G406" s="4">
        <v>0.85</v>
      </c>
      <c r="H406" s="4">
        <v>79</v>
      </c>
      <c r="I406" s="4"/>
      <c r="J406" s="4">
        <v>49</v>
      </c>
      <c r="K406"/>
      <c r="L406"/>
      <c r="M406" s="4">
        <f t="shared" si="411"/>
        <v>66.399999999999991</v>
      </c>
      <c r="N406" s="4"/>
      <c r="O406" s="1">
        <f t="shared" si="412"/>
        <v>66.3</v>
      </c>
      <c r="P406" s="1">
        <f t="shared" si="413"/>
        <v>0</v>
      </c>
      <c r="Q406" s="1" t="str">
        <f t="shared" si="409"/>
        <v/>
      </c>
      <c r="R406" s="1" t="str">
        <f t="shared" si="414"/>
        <v/>
      </c>
      <c r="S406" s="1">
        <f t="shared" si="415"/>
        <v>620.18399999999951</v>
      </c>
      <c r="T406" s="1">
        <f t="shared" si="416"/>
        <v>0.85</v>
      </c>
      <c r="U406" s="1">
        <f t="shared" si="417"/>
        <v>527.99999999996999</v>
      </c>
      <c r="V406" s="1">
        <f t="shared" si="418"/>
        <v>448.79999999997449</v>
      </c>
    </row>
    <row r="407" spans="1:22" x14ac:dyDescent="0.25">
      <c r="A407" s="1">
        <v>406</v>
      </c>
      <c r="B407" s="4">
        <v>7500</v>
      </c>
      <c r="C407" s="4">
        <v>66.399999999999991</v>
      </c>
      <c r="D407" s="4">
        <v>66.5</v>
      </c>
      <c r="E407" s="4">
        <f t="shared" si="410"/>
        <v>0.10000000000000853</v>
      </c>
      <c r="F407" s="4">
        <v>0</v>
      </c>
      <c r="G407" s="4">
        <v>0.71</v>
      </c>
      <c r="H407" s="4">
        <v>55</v>
      </c>
      <c r="I407" s="4"/>
      <c r="J407" s="4">
        <v>35</v>
      </c>
      <c r="K407"/>
      <c r="L407"/>
      <c r="M407" s="4">
        <f t="shared" si="411"/>
        <v>66.5</v>
      </c>
      <c r="N407" s="4"/>
      <c r="O407" s="1">
        <f t="shared" si="412"/>
        <v>66.399999999999991</v>
      </c>
      <c r="P407" s="1">
        <f t="shared" si="413"/>
        <v>0</v>
      </c>
      <c r="Q407" s="1">
        <f t="shared" si="409"/>
        <v>55</v>
      </c>
      <c r="R407" s="1">
        <f t="shared" si="414"/>
        <v>55</v>
      </c>
      <c r="S407" s="1">
        <f t="shared" si="415"/>
        <v>624.67199999999923</v>
      </c>
      <c r="T407" s="1">
        <f t="shared" si="416"/>
        <v>0.71</v>
      </c>
      <c r="U407" s="1">
        <f t="shared" si="417"/>
        <v>528.00000000004502</v>
      </c>
      <c r="V407" s="1">
        <f t="shared" si="418"/>
        <v>374.88000000003194</v>
      </c>
    </row>
    <row r="408" spans="1:22" x14ac:dyDescent="0.25">
      <c r="A408" s="1">
        <v>407</v>
      </c>
      <c r="B408" s="4">
        <v>7500</v>
      </c>
      <c r="C408" s="4">
        <v>66.5</v>
      </c>
      <c r="D408" s="4">
        <v>66.599999999999994</v>
      </c>
      <c r="E408" s="4">
        <f t="shared" si="410"/>
        <v>9.9999999999994316E-2</v>
      </c>
      <c r="F408" s="4">
        <v>1.5</v>
      </c>
      <c r="G408" s="4">
        <v>0.71</v>
      </c>
      <c r="H408" s="4">
        <v>55</v>
      </c>
      <c r="I408" s="4"/>
      <c r="J408" s="4">
        <v>35</v>
      </c>
      <c r="K408"/>
      <c r="L408"/>
      <c r="M408" s="4">
        <f t="shared" si="411"/>
        <v>66.599999999999994</v>
      </c>
      <c r="N408" s="4"/>
      <c r="O408" s="1">
        <f t="shared" si="412"/>
        <v>66.5</v>
      </c>
      <c r="P408" s="1">
        <f t="shared" si="413"/>
        <v>7.9199999999995487</v>
      </c>
      <c r="Q408" s="1" t="str">
        <f t="shared" si="409"/>
        <v/>
      </c>
      <c r="R408" s="1" t="str">
        <f t="shared" si="414"/>
        <v/>
      </c>
      <c r="S408" s="1">
        <f t="shared" si="415"/>
        <v>628.42079999999953</v>
      </c>
      <c r="T408" s="1">
        <f t="shared" si="416"/>
        <v>0.71</v>
      </c>
      <c r="U408" s="1">
        <f t="shared" si="417"/>
        <v>527.99999999996999</v>
      </c>
      <c r="V408" s="1">
        <f t="shared" si="418"/>
        <v>374.87999999997868</v>
      </c>
    </row>
    <row r="409" spans="1:22" x14ac:dyDescent="0.25">
      <c r="A409" s="1">
        <v>408</v>
      </c>
      <c r="B409" s="4">
        <v>7500</v>
      </c>
      <c r="C409" s="4">
        <v>66.599999999999994</v>
      </c>
      <c r="D409" s="4">
        <v>66.699999999999989</v>
      </c>
      <c r="E409" s="4">
        <f t="shared" si="410"/>
        <v>9.9999999999994316E-2</v>
      </c>
      <c r="F409" s="4">
        <v>1.5</v>
      </c>
      <c r="G409" s="4">
        <v>0.3</v>
      </c>
      <c r="H409" s="4">
        <v>55</v>
      </c>
      <c r="I409" s="4"/>
      <c r="J409" s="4">
        <v>35</v>
      </c>
      <c r="K409"/>
      <c r="L409"/>
      <c r="M409" s="4">
        <f t="shared" si="411"/>
        <v>66.699999999999989</v>
      </c>
      <c r="N409" s="4"/>
      <c r="O409" s="1">
        <f t="shared" si="412"/>
        <v>66.599999999999994</v>
      </c>
      <c r="P409" s="1">
        <f t="shared" si="413"/>
        <v>7.9199999999995487</v>
      </c>
      <c r="Q409" s="1" t="str">
        <f t="shared" si="409"/>
        <v/>
      </c>
      <c r="R409" s="1" t="str">
        <f t="shared" si="414"/>
        <v/>
      </c>
      <c r="S409" s="1">
        <f t="shared" si="415"/>
        <v>632.16959999999926</v>
      </c>
      <c r="T409" s="1">
        <f t="shared" si="416"/>
        <v>0.3</v>
      </c>
      <c r="U409" s="1">
        <f t="shared" si="417"/>
        <v>527.99999999996999</v>
      </c>
      <c r="V409" s="1">
        <f t="shared" si="418"/>
        <v>158.399999999991</v>
      </c>
    </row>
    <row r="410" spans="1:22" x14ac:dyDescent="0.25">
      <c r="A410" s="1">
        <v>409</v>
      </c>
      <c r="B410" s="4">
        <v>7500</v>
      </c>
      <c r="C410" s="4">
        <v>66.699999999999989</v>
      </c>
      <c r="D410" s="4">
        <v>66.8</v>
      </c>
      <c r="E410" s="4">
        <f t="shared" si="410"/>
        <v>0.10000000000000853</v>
      </c>
      <c r="F410" s="4">
        <v>1.5</v>
      </c>
      <c r="G410" s="4">
        <v>0.59</v>
      </c>
      <c r="H410" s="4">
        <v>55</v>
      </c>
      <c r="I410" s="4"/>
      <c r="J410" s="4">
        <v>35</v>
      </c>
      <c r="K410"/>
      <c r="L410"/>
      <c r="M410" s="4">
        <f t="shared" si="411"/>
        <v>66.8</v>
      </c>
      <c r="N410" s="4"/>
      <c r="O410" s="1">
        <f t="shared" si="412"/>
        <v>66.699999999999989</v>
      </c>
      <c r="P410" s="1">
        <f t="shared" si="413"/>
        <v>7.9200000000006741</v>
      </c>
      <c r="Q410" s="1" t="str">
        <f t="shared" si="409"/>
        <v/>
      </c>
      <c r="R410" s="1" t="str">
        <f t="shared" si="414"/>
        <v/>
      </c>
      <c r="S410" s="1">
        <f t="shared" si="415"/>
        <v>633.75359999999921</v>
      </c>
      <c r="T410" s="1">
        <f t="shared" si="416"/>
        <v>0.59</v>
      </c>
      <c r="U410" s="1">
        <f t="shared" si="417"/>
        <v>528.00000000004502</v>
      </c>
      <c r="V410" s="1">
        <f t="shared" si="418"/>
        <v>311.52000000002653</v>
      </c>
    </row>
    <row r="411" spans="1:22" x14ac:dyDescent="0.25">
      <c r="A411" s="1">
        <v>410</v>
      </c>
      <c r="B411" s="4">
        <v>7500</v>
      </c>
      <c r="C411" s="4">
        <v>66.8</v>
      </c>
      <c r="D411" s="4">
        <v>66.899999999999991</v>
      </c>
      <c r="E411" s="4">
        <f t="shared" si="410"/>
        <v>9.9999999999994316E-2</v>
      </c>
      <c r="F411" s="4">
        <v>1.5</v>
      </c>
      <c r="G411" s="4">
        <v>0.69</v>
      </c>
      <c r="H411" s="4">
        <v>79</v>
      </c>
      <c r="I411" s="4"/>
      <c r="J411" s="4">
        <v>49</v>
      </c>
      <c r="K411"/>
      <c r="L411"/>
      <c r="M411" s="4">
        <f t="shared" si="411"/>
        <v>66.899999999999991</v>
      </c>
      <c r="N411" s="4"/>
      <c r="O411" s="1">
        <f t="shared" si="412"/>
        <v>66.8</v>
      </c>
      <c r="P411" s="1">
        <f t="shared" si="413"/>
        <v>7.9199999999995487</v>
      </c>
      <c r="Q411" s="1">
        <f t="shared" si="409"/>
        <v>79</v>
      </c>
      <c r="R411" s="1">
        <f t="shared" si="414"/>
        <v>79</v>
      </c>
      <c r="S411" s="1">
        <f t="shared" si="415"/>
        <v>636.86879999999951</v>
      </c>
      <c r="T411" s="1">
        <f t="shared" si="416"/>
        <v>0.69</v>
      </c>
      <c r="U411" s="1">
        <f t="shared" si="417"/>
        <v>527.99999999996999</v>
      </c>
      <c r="V411" s="1">
        <f t="shared" si="418"/>
        <v>364.31999999997925</v>
      </c>
    </row>
    <row r="412" spans="1:22" x14ac:dyDescent="0.25">
      <c r="A412" s="1">
        <v>411</v>
      </c>
      <c r="B412" s="4">
        <v>7500</v>
      </c>
      <c r="C412" s="4">
        <v>66.899999999999991</v>
      </c>
      <c r="D412" s="4">
        <v>67</v>
      </c>
      <c r="E412" s="4">
        <f t="shared" si="410"/>
        <v>0.10000000000000853</v>
      </c>
      <c r="F412" s="4">
        <v>1.5</v>
      </c>
      <c r="G412" s="4">
        <v>0.28000000000000003</v>
      </c>
      <c r="H412" s="4">
        <v>79</v>
      </c>
      <c r="I412" s="4"/>
      <c r="J412" s="4">
        <v>49</v>
      </c>
      <c r="K412"/>
      <c r="L412"/>
      <c r="M412" s="4">
        <f t="shared" si="411"/>
        <v>67</v>
      </c>
      <c r="N412" s="4"/>
      <c r="O412" s="1">
        <f t="shared" si="412"/>
        <v>66.899999999999991</v>
      </c>
      <c r="P412" s="1">
        <f t="shared" si="413"/>
        <v>7.9200000000006741</v>
      </c>
      <c r="Q412" s="1" t="str">
        <f t="shared" si="409"/>
        <v/>
      </c>
      <c r="R412" s="1" t="str">
        <f t="shared" si="414"/>
        <v/>
      </c>
      <c r="S412" s="1">
        <f t="shared" si="415"/>
        <v>640.51199999999926</v>
      </c>
      <c r="T412" s="1">
        <f t="shared" si="416"/>
        <v>0.28000000000000003</v>
      </c>
      <c r="U412" s="1">
        <f t="shared" si="417"/>
        <v>528.00000000004502</v>
      </c>
      <c r="V412" s="1">
        <f t="shared" si="418"/>
        <v>147.84000000001262</v>
      </c>
    </row>
    <row r="413" spans="1:22" x14ac:dyDescent="0.25">
      <c r="A413" s="1">
        <v>412</v>
      </c>
      <c r="B413" s="4">
        <v>7500</v>
      </c>
      <c r="C413" s="4">
        <v>67</v>
      </c>
      <c r="D413" s="4">
        <v>67.099999999999994</v>
      </c>
      <c r="E413" s="4">
        <f t="shared" si="410"/>
        <v>9.9999999999994316E-2</v>
      </c>
      <c r="F413" s="4">
        <v>0</v>
      </c>
      <c r="G413" s="4">
        <v>-0.53</v>
      </c>
      <c r="H413" s="4">
        <v>79</v>
      </c>
      <c r="I413" s="4"/>
      <c r="J413" s="4">
        <v>49</v>
      </c>
      <c r="K413"/>
      <c r="L413"/>
      <c r="M413" s="4">
        <f t="shared" si="411"/>
        <v>67.099999999999994</v>
      </c>
      <c r="N413" s="4"/>
      <c r="O413" s="1">
        <f t="shared" si="412"/>
        <v>67</v>
      </c>
      <c r="P413" s="1">
        <f t="shared" si="413"/>
        <v>0</v>
      </c>
      <c r="Q413" s="1" t="str">
        <f t="shared" si="409"/>
        <v/>
      </c>
      <c r="R413" s="1" t="str">
        <f t="shared" si="414"/>
        <v/>
      </c>
      <c r="S413" s="1">
        <f t="shared" si="415"/>
        <v>641.99039999999934</v>
      </c>
      <c r="T413" s="1">
        <f t="shared" si="416"/>
        <v>-0.53</v>
      </c>
      <c r="U413" s="1">
        <f t="shared" si="417"/>
        <v>527.99999999996999</v>
      </c>
      <c r="V413" s="1">
        <f t="shared" si="418"/>
        <v>279.83999999998412</v>
      </c>
    </row>
    <row r="414" spans="1:22" x14ac:dyDescent="0.25">
      <c r="A414" s="1">
        <v>413</v>
      </c>
      <c r="B414" s="4">
        <v>7500</v>
      </c>
      <c r="C414" s="4">
        <v>67.099999999999994</v>
      </c>
      <c r="D414" s="4">
        <v>67.199999999999989</v>
      </c>
      <c r="E414" s="4">
        <f t="shared" si="410"/>
        <v>9.9999999999994316E-2</v>
      </c>
      <c r="F414" s="4">
        <v>0</v>
      </c>
      <c r="G414" s="4">
        <v>-0.94</v>
      </c>
      <c r="H414" s="4">
        <v>79</v>
      </c>
      <c r="I414" s="4"/>
      <c r="J414" s="4">
        <v>49</v>
      </c>
      <c r="K414"/>
      <c r="L414"/>
      <c r="M414" s="4">
        <f t="shared" si="411"/>
        <v>67.199999999999989</v>
      </c>
      <c r="N414" s="4"/>
      <c r="O414" s="1">
        <f t="shared" si="412"/>
        <v>67.099999999999994</v>
      </c>
      <c r="P414" s="1">
        <f t="shared" si="413"/>
        <v>0</v>
      </c>
      <c r="Q414" s="1" t="str">
        <f t="shared" si="409"/>
        <v/>
      </c>
      <c r="R414" s="1" t="str">
        <f t="shared" si="414"/>
        <v/>
      </c>
      <c r="S414" s="1">
        <f t="shared" si="415"/>
        <v>639.19199999999955</v>
      </c>
      <c r="T414" s="1">
        <f t="shared" si="416"/>
        <v>-0.94</v>
      </c>
      <c r="U414" s="1">
        <f t="shared" si="417"/>
        <v>527.99999999996999</v>
      </c>
      <c r="V414" s="1">
        <f t="shared" si="418"/>
        <v>496.31999999997174</v>
      </c>
    </row>
    <row r="415" spans="1:22" x14ac:dyDescent="0.25">
      <c r="A415" s="1">
        <v>414</v>
      </c>
      <c r="B415" s="4">
        <v>7500</v>
      </c>
      <c r="C415" s="4">
        <v>67.199999999999989</v>
      </c>
      <c r="D415" s="4">
        <v>67.3</v>
      </c>
      <c r="E415" s="4">
        <f t="shared" si="410"/>
        <v>0.10000000000000853</v>
      </c>
      <c r="F415" s="4">
        <v>0</v>
      </c>
      <c r="G415" s="4">
        <v>0.44</v>
      </c>
      <c r="H415" s="4">
        <v>79</v>
      </c>
      <c r="I415" s="4"/>
      <c r="J415" s="4">
        <v>49</v>
      </c>
      <c r="K415"/>
      <c r="L415"/>
      <c r="M415" s="4">
        <f t="shared" si="411"/>
        <v>67.3</v>
      </c>
      <c r="N415" s="4"/>
      <c r="O415" s="1">
        <f t="shared" si="412"/>
        <v>67.199999999999989</v>
      </c>
      <c r="P415" s="1">
        <f t="shared" si="413"/>
        <v>0</v>
      </c>
      <c r="Q415" s="1" t="str">
        <f t="shared" si="409"/>
        <v/>
      </c>
      <c r="R415" s="1" t="str">
        <f t="shared" si="414"/>
        <v/>
      </c>
      <c r="S415" s="1">
        <f t="shared" si="415"/>
        <v>634.22879999999986</v>
      </c>
      <c r="T415" s="1">
        <f t="shared" si="416"/>
        <v>0.44</v>
      </c>
      <c r="U415" s="1">
        <f t="shared" si="417"/>
        <v>528.00000000004502</v>
      </c>
      <c r="V415" s="1">
        <f t="shared" si="418"/>
        <v>232.3200000000198</v>
      </c>
    </row>
    <row r="416" spans="1:22" x14ac:dyDescent="0.25">
      <c r="A416" s="1">
        <v>415</v>
      </c>
      <c r="B416" s="4">
        <v>7500</v>
      </c>
      <c r="C416" s="4">
        <v>67.3</v>
      </c>
      <c r="D416" s="4">
        <v>67.399999999999991</v>
      </c>
      <c r="E416" s="4">
        <f t="shared" si="410"/>
        <v>9.9999999999994316E-2</v>
      </c>
      <c r="F416" s="4">
        <v>0</v>
      </c>
      <c r="G416" s="4">
        <v>-0.69</v>
      </c>
      <c r="H416" s="4">
        <v>79</v>
      </c>
      <c r="I416" s="4"/>
      <c r="J416" s="4">
        <v>49</v>
      </c>
      <c r="K416"/>
      <c r="L416"/>
      <c r="M416" s="4">
        <f t="shared" si="411"/>
        <v>67.399999999999991</v>
      </c>
      <c r="N416" s="4"/>
      <c r="O416" s="1">
        <f t="shared" si="412"/>
        <v>67.3</v>
      </c>
      <c r="P416" s="1">
        <f t="shared" si="413"/>
        <v>0</v>
      </c>
      <c r="Q416" s="1" t="str">
        <f t="shared" si="409"/>
        <v/>
      </c>
      <c r="R416" s="1" t="str">
        <f t="shared" si="414"/>
        <v/>
      </c>
      <c r="S416" s="1">
        <f t="shared" si="415"/>
        <v>636.55200000000002</v>
      </c>
      <c r="T416" s="1">
        <f t="shared" si="416"/>
        <v>-0.69</v>
      </c>
      <c r="U416" s="1">
        <f t="shared" si="417"/>
        <v>527.99999999996999</v>
      </c>
      <c r="V416" s="1">
        <f t="shared" si="418"/>
        <v>364.31999999997925</v>
      </c>
    </row>
    <row r="417" spans="1:22" x14ac:dyDescent="0.25">
      <c r="A417" s="1">
        <v>416</v>
      </c>
      <c r="B417" s="4">
        <v>7500</v>
      </c>
      <c r="C417" s="4">
        <v>67.399999999999991</v>
      </c>
      <c r="D417" s="4">
        <v>67.5</v>
      </c>
      <c r="E417" s="4">
        <f t="shared" si="410"/>
        <v>0.10000000000000853</v>
      </c>
      <c r="F417" s="4">
        <v>0</v>
      </c>
      <c r="G417" s="4">
        <v>0.49</v>
      </c>
      <c r="H417" s="4">
        <v>79</v>
      </c>
      <c r="I417" s="4"/>
      <c r="J417" s="4">
        <v>49</v>
      </c>
      <c r="K417"/>
      <c r="L417"/>
      <c r="M417" s="4">
        <f t="shared" si="411"/>
        <v>67.5</v>
      </c>
      <c r="N417" s="4"/>
      <c r="O417" s="1">
        <f t="shared" si="412"/>
        <v>67.399999999999991</v>
      </c>
      <c r="P417" s="1">
        <f t="shared" si="413"/>
        <v>0</v>
      </c>
      <c r="Q417" s="1" t="str">
        <f t="shared" si="409"/>
        <v/>
      </c>
      <c r="R417" s="1" t="str">
        <f t="shared" si="414"/>
        <v/>
      </c>
      <c r="S417" s="1">
        <f t="shared" si="415"/>
        <v>632.90880000000027</v>
      </c>
      <c r="T417" s="1">
        <f t="shared" si="416"/>
        <v>0.49</v>
      </c>
      <c r="U417" s="1">
        <f t="shared" si="417"/>
        <v>528.00000000004502</v>
      </c>
      <c r="V417" s="1">
        <f t="shared" si="418"/>
        <v>258.72000000002208</v>
      </c>
    </row>
    <row r="418" spans="1:22" x14ac:dyDescent="0.25">
      <c r="A418" s="1">
        <v>417</v>
      </c>
      <c r="B418" s="4">
        <v>7500</v>
      </c>
      <c r="C418" s="4">
        <v>67.5</v>
      </c>
      <c r="D418" s="4">
        <v>67.8</v>
      </c>
      <c r="E418" s="4">
        <f t="shared" si="410"/>
        <v>0.29999999999999716</v>
      </c>
      <c r="F418" s="4">
        <v>0</v>
      </c>
      <c r="G418" s="4">
        <v>0.88</v>
      </c>
      <c r="H418" s="4">
        <v>79</v>
      </c>
      <c r="I418" s="4"/>
      <c r="J418" s="4">
        <v>49</v>
      </c>
      <c r="K418"/>
      <c r="L418"/>
      <c r="M418" s="4">
        <f t="shared" si="411"/>
        <v>67.8</v>
      </c>
      <c r="N418" s="4"/>
      <c r="O418" s="1">
        <f t="shared" si="412"/>
        <v>67.5</v>
      </c>
      <c r="P418" s="1">
        <f t="shared" si="413"/>
        <v>0</v>
      </c>
      <c r="Q418" s="1" t="str">
        <f t="shared" si="409"/>
        <v/>
      </c>
      <c r="R418" s="1" t="str">
        <f t="shared" si="414"/>
        <v/>
      </c>
      <c r="S418" s="1">
        <f t="shared" si="415"/>
        <v>635.49600000000044</v>
      </c>
      <c r="T418" s="1">
        <f t="shared" si="416"/>
        <v>0.88</v>
      </c>
      <c r="U418" s="1">
        <f t="shared" si="417"/>
        <v>1583.999999999985</v>
      </c>
      <c r="V418" s="1">
        <f t="shared" si="418"/>
        <v>1393.9199999999869</v>
      </c>
    </row>
    <row r="419" spans="1:22" x14ac:dyDescent="0.25">
      <c r="A419" s="1">
        <v>418</v>
      </c>
      <c r="B419" s="4">
        <v>7500</v>
      </c>
      <c r="C419" s="4">
        <v>67.8</v>
      </c>
      <c r="D419" s="4">
        <v>67.899999999999991</v>
      </c>
      <c r="E419" s="4">
        <f t="shared" si="410"/>
        <v>9.9999999999994316E-2</v>
      </c>
      <c r="F419" s="4">
        <v>0</v>
      </c>
      <c r="G419" s="4">
        <v>0.56999999999999995</v>
      </c>
      <c r="H419" s="4">
        <v>79</v>
      </c>
      <c r="I419" s="4"/>
      <c r="J419" s="4">
        <v>49</v>
      </c>
      <c r="K419"/>
      <c r="L419"/>
      <c r="M419" s="4">
        <f t="shared" si="411"/>
        <v>67.899999999999991</v>
      </c>
      <c r="N419" s="4"/>
      <c r="O419" s="1">
        <f t="shared" si="412"/>
        <v>67.8</v>
      </c>
      <c r="P419" s="1">
        <f t="shared" si="413"/>
        <v>0</v>
      </c>
      <c r="Q419" s="1" t="str">
        <f t="shared" si="409"/>
        <v/>
      </c>
      <c r="R419" s="1" t="str">
        <f t="shared" si="414"/>
        <v/>
      </c>
      <c r="S419" s="1">
        <f t="shared" si="415"/>
        <v>649.43520000000035</v>
      </c>
      <c r="T419" s="1">
        <f t="shared" si="416"/>
        <v>0.56999999999999995</v>
      </c>
      <c r="U419" s="1">
        <f t="shared" si="417"/>
        <v>527.99999999996999</v>
      </c>
      <c r="V419" s="1">
        <f t="shared" si="418"/>
        <v>300.95999999998287</v>
      </c>
    </row>
    <row r="420" spans="1:22" x14ac:dyDescent="0.25">
      <c r="A420" s="1">
        <v>419</v>
      </c>
      <c r="B420" s="4">
        <v>7500</v>
      </c>
      <c r="C420" s="4">
        <v>67.899999999999991</v>
      </c>
      <c r="D420" s="4">
        <v>68</v>
      </c>
      <c r="E420" s="4">
        <f t="shared" si="410"/>
        <v>0.10000000000000853</v>
      </c>
      <c r="F420" s="4">
        <v>0</v>
      </c>
      <c r="G420" s="4">
        <v>-7.0000000000000007E-2</v>
      </c>
      <c r="H420" s="4">
        <v>79</v>
      </c>
      <c r="I420" s="4"/>
      <c r="J420" s="4">
        <v>49</v>
      </c>
      <c r="K420"/>
      <c r="L420"/>
      <c r="M420" s="4">
        <f t="shared" si="411"/>
        <v>68</v>
      </c>
      <c r="N420" s="4"/>
      <c r="O420" s="1">
        <f t="shared" si="412"/>
        <v>67.899999999999991</v>
      </c>
      <c r="P420" s="1">
        <f t="shared" si="413"/>
        <v>0</v>
      </c>
      <c r="Q420" s="1" t="str">
        <f t="shared" si="409"/>
        <v/>
      </c>
      <c r="R420" s="1" t="str">
        <f t="shared" si="414"/>
        <v/>
      </c>
      <c r="S420" s="1">
        <f t="shared" si="415"/>
        <v>652.44480000000021</v>
      </c>
      <c r="T420" s="1">
        <f t="shared" si="416"/>
        <v>-7.0000000000000007E-2</v>
      </c>
      <c r="U420" s="1">
        <f t="shared" si="417"/>
        <v>528.00000000004502</v>
      </c>
      <c r="V420" s="1">
        <f t="shared" si="418"/>
        <v>36.960000000003156</v>
      </c>
    </row>
    <row r="421" spans="1:22" x14ac:dyDescent="0.25">
      <c r="A421" s="1">
        <v>420</v>
      </c>
      <c r="B421" s="4">
        <v>7500</v>
      </c>
      <c r="C421" s="4">
        <v>68</v>
      </c>
      <c r="D421" s="4">
        <v>68.099999999999994</v>
      </c>
      <c r="E421" s="4">
        <f t="shared" si="410"/>
        <v>9.9999999999994316E-2</v>
      </c>
      <c r="F421" s="4">
        <v>2</v>
      </c>
      <c r="G421" s="4">
        <v>-0.38</v>
      </c>
      <c r="H421" s="4">
        <v>79</v>
      </c>
      <c r="I421" s="4"/>
      <c r="J421" s="4">
        <v>49</v>
      </c>
      <c r="K421"/>
      <c r="L421"/>
      <c r="M421" s="4">
        <f t="shared" si="411"/>
        <v>68.099999999999994</v>
      </c>
      <c r="N421" s="4"/>
      <c r="O421" s="1">
        <f t="shared" si="412"/>
        <v>68</v>
      </c>
      <c r="P421" s="1">
        <f t="shared" si="413"/>
        <v>10.559999999999398</v>
      </c>
      <c r="Q421" s="1" t="str">
        <f t="shared" si="409"/>
        <v/>
      </c>
      <c r="R421" s="1" t="str">
        <f t="shared" si="414"/>
        <v/>
      </c>
      <c r="S421" s="1">
        <f t="shared" si="415"/>
        <v>652.07520000000022</v>
      </c>
      <c r="T421" s="1">
        <f t="shared" si="416"/>
        <v>-0.38</v>
      </c>
      <c r="U421" s="1">
        <f t="shared" si="417"/>
        <v>527.99999999996999</v>
      </c>
      <c r="V421" s="1">
        <f t="shared" si="418"/>
        <v>200.63999999998859</v>
      </c>
    </row>
    <row r="422" spans="1:22" x14ac:dyDescent="0.25">
      <c r="A422" s="1">
        <v>421</v>
      </c>
      <c r="B422" s="4">
        <v>7500</v>
      </c>
      <c r="C422" s="4">
        <v>68.099999999999994</v>
      </c>
      <c r="D422" s="4">
        <v>68.199999999999989</v>
      </c>
      <c r="E422" s="4">
        <f t="shared" si="410"/>
        <v>9.9999999999994316E-2</v>
      </c>
      <c r="F422" s="4">
        <v>0</v>
      </c>
      <c r="G422" s="4">
        <v>-0.38</v>
      </c>
      <c r="H422" s="4">
        <v>79</v>
      </c>
      <c r="I422" s="4"/>
      <c r="J422" s="4">
        <v>49</v>
      </c>
      <c r="K422"/>
      <c r="L422"/>
      <c r="M422" s="4">
        <f t="shared" si="411"/>
        <v>68.199999999999989</v>
      </c>
      <c r="N422" s="4"/>
      <c r="O422" s="1">
        <f t="shared" si="412"/>
        <v>68.099999999999994</v>
      </c>
      <c r="P422" s="1">
        <f t="shared" si="413"/>
        <v>0</v>
      </c>
      <c r="Q422" s="1" t="str">
        <f t="shared" si="409"/>
        <v/>
      </c>
      <c r="R422" s="1" t="str">
        <f t="shared" si="414"/>
        <v/>
      </c>
      <c r="S422" s="1">
        <f t="shared" si="415"/>
        <v>650.06880000000035</v>
      </c>
      <c r="T422" s="1">
        <f t="shared" si="416"/>
        <v>-0.38</v>
      </c>
      <c r="U422" s="1">
        <f t="shared" si="417"/>
        <v>527.99999999996999</v>
      </c>
      <c r="V422" s="1">
        <f t="shared" si="418"/>
        <v>200.63999999998859</v>
      </c>
    </row>
    <row r="423" spans="1:22" x14ac:dyDescent="0.25">
      <c r="A423" s="1">
        <v>422</v>
      </c>
      <c r="B423" s="4">
        <v>7500</v>
      </c>
      <c r="C423" s="4">
        <v>68.199999999999989</v>
      </c>
      <c r="D423" s="4">
        <v>68.399999999999991</v>
      </c>
      <c r="E423" s="4">
        <f t="shared" si="410"/>
        <v>0.20000000000000284</v>
      </c>
      <c r="F423" s="4">
        <v>0</v>
      </c>
      <c r="G423" s="4">
        <v>0.28000000000000003</v>
      </c>
      <c r="H423" s="4">
        <v>79</v>
      </c>
      <c r="I423" s="4"/>
      <c r="J423" s="4">
        <v>49</v>
      </c>
      <c r="K423"/>
      <c r="L423"/>
      <c r="M423" s="4">
        <f t="shared" si="411"/>
        <v>68.399999999999991</v>
      </c>
      <c r="N423" s="4"/>
      <c r="O423" s="1">
        <f t="shared" si="412"/>
        <v>68.199999999999989</v>
      </c>
      <c r="P423" s="1">
        <f t="shared" si="413"/>
        <v>0</v>
      </c>
      <c r="Q423" s="1" t="str">
        <f t="shared" si="409"/>
        <v/>
      </c>
      <c r="R423" s="1" t="str">
        <f t="shared" si="414"/>
        <v/>
      </c>
      <c r="S423" s="1">
        <f t="shared" si="415"/>
        <v>648.06240000000048</v>
      </c>
      <c r="T423" s="1">
        <f t="shared" si="416"/>
        <v>0.28000000000000003</v>
      </c>
      <c r="U423" s="1">
        <f t="shared" si="417"/>
        <v>1056.000000000015</v>
      </c>
      <c r="V423" s="1">
        <f t="shared" si="418"/>
        <v>295.68000000000421</v>
      </c>
    </row>
    <row r="424" spans="1:22" x14ac:dyDescent="0.25">
      <c r="A424" s="1">
        <v>423</v>
      </c>
      <c r="B424" s="4">
        <v>7500</v>
      </c>
      <c r="C424" s="4">
        <v>68.399999999999991</v>
      </c>
      <c r="D424" s="4">
        <v>68.5</v>
      </c>
      <c r="E424" s="4">
        <f t="shared" si="410"/>
        <v>0.10000000000000853</v>
      </c>
      <c r="F424" s="4">
        <v>0</v>
      </c>
      <c r="G424" s="4">
        <v>-0.63</v>
      </c>
      <c r="H424" s="4">
        <v>79</v>
      </c>
      <c r="I424" s="4"/>
      <c r="J424" s="4">
        <v>49</v>
      </c>
      <c r="K424"/>
      <c r="L424"/>
      <c r="M424" s="4">
        <f t="shared" si="411"/>
        <v>68.5</v>
      </c>
      <c r="N424" s="4"/>
      <c r="O424" s="1">
        <f t="shared" si="412"/>
        <v>68.399999999999991</v>
      </c>
      <c r="P424" s="1">
        <f t="shared" si="413"/>
        <v>0</v>
      </c>
      <c r="Q424" s="1" t="str">
        <f t="shared" si="409"/>
        <v/>
      </c>
      <c r="R424" s="1" t="str">
        <f t="shared" si="414"/>
        <v/>
      </c>
      <c r="S424" s="1">
        <f t="shared" si="415"/>
        <v>651.01920000000052</v>
      </c>
      <c r="T424" s="1">
        <f t="shared" si="416"/>
        <v>-0.63</v>
      </c>
      <c r="U424" s="1">
        <f t="shared" si="417"/>
        <v>528.00000000004502</v>
      </c>
      <c r="V424" s="1">
        <f t="shared" si="418"/>
        <v>332.64000000002835</v>
      </c>
    </row>
    <row r="425" spans="1:22" x14ac:dyDescent="0.25">
      <c r="A425" s="1">
        <v>424</v>
      </c>
      <c r="B425" s="4">
        <v>7500</v>
      </c>
      <c r="C425" s="4">
        <v>68.5</v>
      </c>
      <c r="D425" s="4">
        <v>68.599999999999994</v>
      </c>
      <c r="E425" s="4">
        <f t="shared" si="410"/>
        <v>9.9999999999994316E-2</v>
      </c>
      <c r="F425" s="4">
        <v>0.7</v>
      </c>
      <c r="G425" s="4">
        <v>-0.63</v>
      </c>
      <c r="H425" s="4">
        <v>79</v>
      </c>
      <c r="I425" s="4"/>
      <c r="J425" s="4">
        <v>49</v>
      </c>
      <c r="K425"/>
      <c r="L425"/>
      <c r="M425" s="4">
        <f t="shared" si="411"/>
        <v>68.599999999999994</v>
      </c>
      <c r="N425" s="4"/>
      <c r="O425" s="1">
        <f t="shared" si="412"/>
        <v>68.5</v>
      </c>
      <c r="P425" s="1">
        <f t="shared" si="413"/>
        <v>3.6959999999997892</v>
      </c>
      <c r="Q425" s="1" t="str">
        <f t="shared" si="409"/>
        <v/>
      </c>
      <c r="R425" s="1" t="str">
        <f t="shared" si="414"/>
        <v/>
      </c>
      <c r="S425" s="1">
        <f t="shared" si="415"/>
        <v>647.69280000000026</v>
      </c>
      <c r="T425" s="1">
        <f t="shared" si="416"/>
        <v>-0.63</v>
      </c>
      <c r="U425" s="1">
        <f t="shared" si="417"/>
        <v>527.99999999996999</v>
      </c>
      <c r="V425" s="1">
        <f t="shared" si="418"/>
        <v>332.63999999998111</v>
      </c>
    </row>
    <row r="426" spans="1:22" x14ac:dyDescent="0.25">
      <c r="A426" s="1">
        <v>425</v>
      </c>
      <c r="B426" s="4">
        <v>7500</v>
      </c>
      <c r="C426" s="4">
        <v>68.599999999999994</v>
      </c>
      <c r="D426" s="4">
        <v>68.699999999999989</v>
      </c>
      <c r="E426" s="4">
        <f t="shared" si="410"/>
        <v>9.9999999999994316E-2</v>
      </c>
      <c r="F426" s="4">
        <v>0</v>
      </c>
      <c r="G426" s="4">
        <v>-0.63</v>
      </c>
      <c r="H426" s="4">
        <v>79</v>
      </c>
      <c r="I426" s="4"/>
      <c r="J426" s="4">
        <v>49</v>
      </c>
      <c r="K426"/>
      <c r="L426"/>
      <c r="M426" s="4">
        <f t="shared" si="411"/>
        <v>68.699999999999989</v>
      </c>
      <c r="N426" s="4"/>
      <c r="O426" s="1">
        <f t="shared" si="412"/>
        <v>68.599999999999994</v>
      </c>
      <c r="P426" s="1">
        <f t="shared" si="413"/>
        <v>0</v>
      </c>
      <c r="Q426" s="1" t="str">
        <f t="shared" si="409"/>
        <v/>
      </c>
      <c r="R426" s="1" t="str">
        <f t="shared" si="414"/>
        <v/>
      </c>
      <c r="S426" s="1">
        <f t="shared" si="415"/>
        <v>644.36640000000045</v>
      </c>
      <c r="T426" s="1">
        <f t="shared" si="416"/>
        <v>-0.63</v>
      </c>
      <c r="U426" s="1">
        <f t="shared" si="417"/>
        <v>527.99999999996999</v>
      </c>
      <c r="V426" s="1">
        <f t="shared" si="418"/>
        <v>332.63999999998111</v>
      </c>
    </row>
    <row r="427" spans="1:22" x14ac:dyDescent="0.25">
      <c r="A427" s="1">
        <v>426</v>
      </c>
      <c r="B427" s="4">
        <v>7500</v>
      </c>
      <c r="C427" s="4">
        <v>68.699999999999989</v>
      </c>
      <c r="D427" s="4">
        <v>69.199999999999989</v>
      </c>
      <c r="E427" s="4">
        <f t="shared" si="410"/>
        <v>0.5</v>
      </c>
      <c r="F427" s="4">
        <v>0</v>
      </c>
      <c r="G427" s="4">
        <v>-0.93</v>
      </c>
      <c r="H427" s="4">
        <v>79</v>
      </c>
      <c r="I427" s="4"/>
      <c r="J427" s="4">
        <v>49</v>
      </c>
      <c r="K427"/>
      <c r="L427"/>
      <c r="M427" s="4">
        <f t="shared" si="411"/>
        <v>69.199999999999989</v>
      </c>
      <c r="N427" s="4"/>
      <c r="O427" s="1">
        <f t="shared" si="412"/>
        <v>68.699999999999989</v>
      </c>
      <c r="P427" s="1">
        <f t="shared" si="413"/>
        <v>0</v>
      </c>
      <c r="Q427" s="1" t="str">
        <f t="shared" si="409"/>
        <v/>
      </c>
      <c r="R427" s="1" t="str">
        <f t="shared" si="414"/>
        <v/>
      </c>
      <c r="S427" s="1">
        <f t="shared" si="415"/>
        <v>641.04000000000065</v>
      </c>
      <c r="T427" s="1">
        <f t="shared" si="416"/>
        <v>-0.93</v>
      </c>
      <c r="U427" s="1">
        <f t="shared" si="417"/>
        <v>2640</v>
      </c>
      <c r="V427" s="1">
        <f t="shared" si="418"/>
        <v>2455.2000000000003</v>
      </c>
    </row>
    <row r="428" spans="1:22" x14ac:dyDescent="0.25">
      <c r="A428" s="1">
        <v>427</v>
      </c>
      <c r="B428" s="4">
        <v>7500</v>
      </c>
      <c r="C428" s="4">
        <v>69.199999999999989</v>
      </c>
      <c r="D428" s="4">
        <v>69.399999999999991</v>
      </c>
      <c r="E428" s="4">
        <f t="shared" si="410"/>
        <v>0.20000000000000284</v>
      </c>
      <c r="F428" s="4">
        <v>0</v>
      </c>
      <c r="G428" s="4">
        <v>-0.93</v>
      </c>
      <c r="H428" s="4">
        <v>79</v>
      </c>
      <c r="I428" s="4"/>
      <c r="J428" s="4">
        <v>49</v>
      </c>
      <c r="K428"/>
      <c r="L428"/>
      <c r="M428" s="4">
        <f t="shared" si="411"/>
        <v>69.399999999999991</v>
      </c>
      <c r="N428" s="4"/>
      <c r="O428" s="1">
        <f t="shared" si="412"/>
        <v>69.199999999999989</v>
      </c>
      <c r="P428" s="1">
        <f t="shared" si="413"/>
        <v>0</v>
      </c>
      <c r="Q428" s="1" t="str">
        <f t="shared" si="409"/>
        <v/>
      </c>
      <c r="R428" s="1" t="str">
        <f t="shared" si="414"/>
        <v/>
      </c>
      <c r="S428" s="1">
        <f t="shared" si="415"/>
        <v>616.48800000000062</v>
      </c>
      <c r="T428" s="1">
        <f t="shared" si="416"/>
        <v>-0.93</v>
      </c>
      <c r="U428" s="1">
        <f t="shared" si="417"/>
        <v>1056.000000000015</v>
      </c>
      <c r="V428" s="1">
        <f t="shared" si="418"/>
        <v>982.08000000001402</v>
      </c>
    </row>
    <row r="429" spans="1:22" x14ac:dyDescent="0.25">
      <c r="A429" s="1">
        <v>428</v>
      </c>
      <c r="B429" s="4">
        <v>7500</v>
      </c>
      <c r="C429" s="4">
        <v>69.399999999999991</v>
      </c>
      <c r="D429" s="4">
        <v>69.5</v>
      </c>
      <c r="E429" s="4">
        <f t="shared" si="410"/>
        <v>0.10000000000000853</v>
      </c>
      <c r="F429" s="4">
        <v>0.7</v>
      </c>
      <c r="G429" s="4">
        <v>-0.93</v>
      </c>
      <c r="H429" s="4">
        <v>79</v>
      </c>
      <c r="I429" s="4"/>
      <c r="J429" s="4">
        <v>49</v>
      </c>
      <c r="K429"/>
      <c r="L429"/>
      <c r="M429" s="4">
        <f t="shared" si="411"/>
        <v>69.5</v>
      </c>
      <c r="N429" s="4"/>
      <c r="O429" s="1">
        <f t="shared" si="412"/>
        <v>69.399999999999991</v>
      </c>
      <c r="P429" s="1">
        <f t="shared" si="413"/>
        <v>3.6960000000003146</v>
      </c>
      <c r="Q429" s="1" t="str">
        <f t="shared" si="409"/>
        <v/>
      </c>
      <c r="R429" s="1" t="str">
        <f t="shared" si="414"/>
        <v/>
      </c>
      <c r="S429" s="1">
        <f t="shared" si="415"/>
        <v>606.66720000000043</v>
      </c>
      <c r="T429" s="1">
        <f t="shared" si="416"/>
        <v>-0.93</v>
      </c>
      <c r="U429" s="1">
        <f t="shared" si="417"/>
        <v>528.00000000004502</v>
      </c>
      <c r="V429" s="1">
        <f t="shared" si="418"/>
        <v>491.04000000004191</v>
      </c>
    </row>
    <row r="430" spans="1:22" x14ac:dyDescent="0.25">
      <c r="A430" s="1">
        <v>429</v>
      </c>
      <c r="B430" s="4">
        <v>7500</v>
      </c>
      <c r="C430" s="4">
        <v>69.5</v>
      </c>
      <c r="D430" s="4">
        <v>69.699999999999989</v>
      </c>
      <c r="E430" s="4">
        <f t="shared" si="410"/>
        <v>0.19999999999998863</v>
      </c>
      <c r="F430" s="4">
        <v>0.7</v>
      </c>
      <c r="G430" s="4">
        <v>-0.46</v>
      </c>
      <c r="H430" s="4">
        <v>79</v>
      </c>
      <c r="I430" s="4"/>
      <c r="J430" s="4">
        <v>49</v>
      </c>
      <c r="K430"/>
      <c r="L430"/>
      <c r="M430" s="4">
        <f t="shared" si="411"/>
        <v>69.699999999999989</v>
      </c>
      <c r="N430" s="4"/>
      <c r="O430" s="1">
        <f t="shared" si="412"/>
        <v>69.5</v>
      </c>
      <c r="P430" s="1">
        <f t="shared" si="413"/>
        <v>7.3919999999995785</v>
      </c>
      <c r="Q430" s="1" t="str">
        <f t="shared" si="409"/>
        <v/>
      </c>
      <c r="R430" s="1" t="str">
        <f t="shared" si="414"/>
        <v/>
      </c>
      <c r="S430" s="1">
        <f t="shared" si="415"/>
        <v>601.7568</v>
      </c>
      <c r="T430" s="1">
        <f t="shared" si="416"/>
        <v>-0.46</v>
      </c>
      <c r="U430" s="1">
        <f t="shared" si="417"/>
        <v>1055.99999999994</v>
      </c>
      <c r="V430" s="1">
        <f t="shared" si="418"/>
        <v>485.75999999997242</v>
      </c>
    </row>
    <row r="431" spans="1:22" x14ac:dyDescent="0.25">
      <c r="A431" s="1">
        <v>430</v>
      </c>
      <c r="B431" s="4">
        <v>7500</v>
      </c>
      <c r="C431" s="4">
        <v>69.699999999999989</v>
      </c>
      <c r="D431" s="4">
        <v>70.099999999999994</v>
      </c>
      <c r="E431" s="4">
        <f t="shared" si="410"/>
        <v>0.40000000000000568</v>
      </c>
      <c r="F431" s="4">
        <v>0</v>
      </c>
      <c r="G431" s="4">
        <v>-0.46</v>
      </c>
      <c r="H431" s="4">
        <v>79</v>
      </c>
      <c r="I431" s="4"/>
      <c r="J431" s="4">
        <v>49</v>
      </c>
      <c r="K431"/>
      <c r="L431"/>
      <c r="M431" s="4">
        <f t="shared" si="411"/>
        <v>70.099999999999994</v>
      </c>
      <c r="N431" s="4"/>
      <c r="O431" s="1">
        <f t="shared" si="412"/>
        <v>69.699999999999989</v>
      </c>
      <c r="P431" s="1">
        <f t="shared" si="413"/>
        <v>0</v>
      </c>
      <c r="Q431" s="1" t="str">
        <f t="shared" si="409"/>
        <v/>
      </c>
      <c r="R431" s="1" t="str">
        <f t="shared" si="414"/>
        <v/>
      </c>
      <c r="S431" s="1">
        <f t="shared" si="415"/>
        <v>596.89920000000029</v>
      </c>
      <c r="T431" s="1">
        <f t="shared" si="416"/>
        <v>-0.46</v>
      </c>
      <c r="U431" s="1">
        <f t="shared" si="417"/>
        <v>2112.00000000003</v>
      </c>
      <c r="V431" s="1">
        <f t="shared" si="418"/>
        <v>971.52000000001385</v>
      </c>
    </row>
    <row r="432" spans="1:22" x14ac:dyDescent="0.25">
      <c r="A432" s="1">
        <v>431</v>
      </c>
      <c r="B432" s="4">
        <v>7500</v>
      </c>
      <c r="C432" s="4">
        <v>70.099999999999994</v>
      </c>
      <c r="D432" s="4">
        <v>70.199999999999989</v>
      </c>
      <c r="E432" s="4">
        <f t="shared" si="410"/>
        <v>9.9999999999994316E-2</v>
      </c>
      <c r="F432" s="4">
        <v>0</v>
      </c>
      <c r="G432" s="4">
        <v>0.48</v>
      </c>
      <c r="H432" s="4">
        <v>79</v>
      </c>
      <c r="I432" s="4"/>
      <c r="J432" s="4">
        <v>49</v>
      </c>
      <c r="K432"/>
      <c r="L432"/>
      <c r="M432" s="4">
        <f t="shared" si="411"/>
        <v>70.199999999999989</v>
      </c>
      <c r="N432" s="4"/>
      <c r="O432" s="1">
        <f t="shared" si="412"/>
        <v>70.099999999999994</v>
      </c>
      <c r="P432" s="1">
        <f t="shared" si="413"/>
        <v>0</v>
      </c>
      <c r="Q432" s="1" t="str">
        <f t="shared" si="409"/>
        <v/>
      </c>
      <c r="R432" s="1" t="str">
        <f t="shared" si="414"/>
        <v/>
      </c>
      <c r="S432" s="1">
        <f t="shared" si="415"/>
        <v>587.1840000000002</v>
      </c>
      <c r="T432" s="1">
        <f t="shared" si="416"/>
        <v>0.48</v>
      </c>
      <c r="U432" s="1">
        <f t="shared" si="417"/>
        <v>527.99999999996999</v>
      </c>
      <c r="V432" s="1">
        <f t="shared" si="418"/>
        <v>253.43999999998559</v>
      </c>
    </row>
    <row r="433" spans="1:22" x14ac:dyDescent="0.25">
      <c r="A433" s="1">
        <v>432</v>
      </c>
      <c r="B433" s="4">
        <v>7500</v>
      </c>
      <c r="C433" s="4">
        <v>70.199999999999989</v>
      </c>
      <c r="D433" s="4">
        <v>70.399999999999991</v>
      </c>
      <c r="E433" s="4">
        <f t="shared" si="410"/>
        <v>0.20000000000000284</v>
      </c>
      <c r="F433" s="4">
        <v>0</v>
      </c>
      <c r="G433" s="4">
        <v>0.48</v>
      </c>
      <c r="H433" s="4">
        <v>79</v>
      </c>
      <c r="I433" s="4"/>
      <c r="J433" s="4">
        <v>49</v>
      </c>
      <c r="K433"/>
      <c r="L433"/>
      <c r="M433" s="4">
        <f t="shared" si="411"/>
        <v>70.399999999999991</v>
      </c>
      <c r="N433" s="4"/>
      <c r="O433" s="1">
        <f t="shared" si="412"/>
        <v>70.199999999999989</v>
      </c>
      <c r="P433" s="1">
        <f t="shared" si="413"/>
        <v>0</v>
      </c>
      <c r="Q433" s="1" t="str">
        <f t="shared" si="409"/>
        <v/>
      </c>
      <c r="R433" s="1" t="str">
        <f t="shared" si="414"/>
        <v/>
      </c>
      <c r="S433" s="1">
        <f t="shared" si="415"/>
        <v>589.71840000000009</v>
      </c>
      <c r="T433" s="1">
        <f t="shared" si="416"/>
        <v>0.48</v>
      </c>
      <c r="U433" s="1">
        <f t="shared" si="417"/>
        <v>1056.000000000015</v>
      </c>
      <c r="V433" s="1">
        <f t="shared" si="418"/>
        <v>506.88000000000716</v>
      </c>
    </row>
    <row r="434" spans="1:22" x14ac:dyDescent="0.25">
      <c r="A434" s="1">
        <v>433</v>
      </c>
      <c r="B434" s="4">
        <v>7500</v>
      </c>
      <c r="C434" s="4">
        <v>70.399999999999991</v>
      </c>
      <c r="D434" s="4">
        <v>70.5</v>
      </c>
      <c r="E434" s="4">
        <f t="shared" si="410"/>
        <v>0.10000000000000853</v>
      </c>
      <c r="F434" s="4">
        <v>1.2</v>
      </c>
      <c r="G434" s="4">
        <v>0.48</v>
      </c>
      <c r="H434" s="4">
        <v>79</v>
      </c>
      <c r="I434" s="4"/>
      <c r="J434" s="4">
        <v>49</v>
      </c>
      <c r="K434"/>
      <c r="L434"/>
      <c r="M434" s="4">
        <f t="shared" si="411"/>
        <v>70.5</v>
      </c>
      <c r="N434" s="4"/>
      <c r="O434" s="1">
        <f t="shared" si="412"/>
        <v>70.399999999999991</v>
      </c>
      <c r="P434" s="1">
        <f t="shared" si="413"/>
        <v>6.3360000000005394</v>
      </c>
      <c r="Q434" s="1" t="str">
        <f t="shared" si="409"/>
        <v/>
      </c>
      <c r="R434" s="1" t="str">
        <f t="shared" si="414"/>
        <v/>
      </c>
      <c r="S434" s="1">
        <f t="shared" si="415"/>
        <v>594.78720000000021</v>
      </c>
      <c r="T434" s="1">
        <f t="shared" si="416"/>
        <v>0.48</v>
      </c>
      <c r="U434" s="1">
        <f t="shared" si="417"/>
        <v>528.00000000004502</v>
      </c>
      <c r="V434" s="1">
        <f t="shared" si="418"/>
        <v>253.4400000000216</v>
      </c>
    </row>
    <row r="435" spans="1:22" x14ac:dyDescent="0.25">
      <c r="A435" s="1">
        <v>434</v>
      </c>
      <c r="B435" s="4">
        <v>7500</v>
      </c>
      <c r="C435" s="4">
        <v>70.5</v>
      </c>
      <c r="D435" s="4">
        <v>70.599999999999994</v>
      </c>
      <c r="E435" s="4">
        <f t="shared" si="410"/>
        <v>9.9999999999994316E-2</v>
      </c>
      <c r="F435" s="4">
        <v>0</v>
      </c>
      <c r="G435" s="4">
        <v>0.48</v>
      </c>
      <c r="H435" s="4">
        <v>79</v>
      </c>
      <c r="I435" s="4"/>
      <c r="J435" s="4">
        <v>49</v>
      </c>
      <c r="K435"/>
      <c r="L435"/>
      <c r="M435" s="4">
        <f t="shared" si="411"/>
        <v>70.599999999999994</v>
      </c>
      <c r="N435" s="4"/>
      <c r="O435" s="1">
        <f t="shared" si="412"/>
        <v>70.5</v>
      </c>
      <c r="P435" s="1">
        <f t="shared" si="413"/>
        <v>0</v>
      </c>
      <c r="Q435" s="1" t="str">
        <f t="shared" si="409"/>
        <v/>
      </c>
      <c r="R435" s="1" t="str">
        <f t="shared" si="414"/>
        <v/>
      </c>
      <c r="S435" s="1">
        <f t="shared" si="415"/>
        <v>597.32160000000044</v>
      </c>
      <c r="T435" s="1">
        <f t="shared" si="416"/>
        <v>0.48</v>
      </c>
      <c r="U435" s="1">
        <f t="shared" si="417"/>
        <v>527.99999999996999</v>
      </c>
      <c r="V435" s="1">
        <f t="shared" si="418"/>
        <v>253.43999999998559</v>
      </c>
    </row>
    <row r="436" spans="1:22" x14ac:dyDescent="0.25">
      <c r="A436" s="1">
        <v>435</v>
      </c>
      <c r="B436" s="4">
        <v>7500</v>
      </c>
      <c r="C436" s="4">
        <v>70.599999999999994</v>
      </c>
      <c r="D436" s="4">
        <v>70.899999999999991</v>
      </c>
      <c r="E436" s="4">
        <f t="shared" si="410"/>
        <v>0.29999999999999716</v>
      </c>
      <c r="F436" s="4">
        <v>0</v>
      </c>
      <c r="G436" s="4">
        <v>0.95</v>
      </c>
      <c r="H436" s="4">
        <v>79</v>
      </c>
      <c r="I436" s="4"/>
      <c r="J436" s="4">
        <v>49</v>
      </c>
      <c r="K436"/>
      <c r="L436"/>
      <c r="M436" s="4">
        <f t="shared" si="411"/>
        <v>70.899999999999991</v>
      </c>
      <c r="N436" s="4"/>
      <c r="O436" s="1">
        <f t="shared" si="412"/>
        <v>70.599999999999994</v>
      </c>
      <c r="P436" s="1">
        <f t="shared" si="413"/>
        <v>0</v>
      </c>
      <c r="Q436" s="1" t="str">
        <f t="shared" si="409"/>
        <v/>
      </c>
      <c r="R436" s="1" t="str">
        <f t="shared" si="414"/>
        <v/>
      </c>
      <c r="S436" s="1">
        <f t="shared" si="415"/>
        <v>599.85600000000034</v>
      </c>
      <c r="T436" s="1">
        <f t="shared" si="416"/>
        <v>0.95</v>
      </c>
      <c r="U436" s="1">
        <f t="shared" si="417"/>
        <v>1583.999999999985</v>
      </c>
      <c r="V436" s="1">
        <f t="shared" si="418"/>
        <v>1504.7999999999856</v>
      </c>
    </row>
    <row r="437" spans="1:22" x14ac:dyDescent="0.25">
      <c r="A437" s="1">
        <v>436</v>
      </c>
      <c r="B437" s="4">
        <v>7500</v>
      </c>
      <c r="C437" s="4">
        <v>70.899999999999991</v>
      </c>
      <c r="D437" s="4">
        <v>71.199999999999989</v>
      </c>
      <c r="E437" s="4">
        <f t="shared" si="410"/>
        <v>0.29999999999999716</v>
      </c>
      <c r="F437" s="4">
        <v>1.2</v>
      </c>
      <c r="G437" s="4">
        <v>0.95</v>
      </c>
      <c r="H437" s="4">
        <v>79</v>
      </c>
      <c r="I437" s="4"/>
      <c r="J437" s="4">
        <v>49</v>
      </c>
      <c r="K437"/>
      <c r="L437"/>
      <c r="M437" s="4">
        <f t="shared" si="411"/>
        <v>71.199999999999989</v>
      </c>
      <c r="N437" s="4"/>
      <c r="O437" s="1">
        <f t="shared" si="412"/>
        <v>70.899999999999991</v>
      </c>
      <c r="P437" s="1">
        <f t="shared" si="413"/>
        <v>19.007999999999818</v>
      </c>
      <c r="Q437" s="1" t="str">
        <f t="shared" si="409"/>
        <v/>
      </c>
      <c r="R437" s="1" t="str">
        <f t="shared" si="414"/>
        <v/>
      </c>
      <c r="S437" s="1">
        <f t="shared" si="415"/>
        <v>614.90400000000022</v>
      </c>
      <c r="T437" s="1">
        <f t="shared" si="416"/>
        <v>0.95</v>
      </c>
      <c r="U437" s="1">
        <f t="shared" si="417"/>
        <v>1583.999999999985</v>
      </c>
      <c r="V437" s="1">
        <f t="shared" si="418"/>
        <v>1504.7999999999856</v>
      </c>
    </row>
    <row r="438" spans="1:22" x14ac:dyDescent="0.25">
      <c r="A438" s="1">
        <v>437</v>
      </c>
      <c r="B438" s="4">
        <v>7500</v>
      </c>
      <c r="C438" s="4">
        <v>71.199999999999989</v>
      </c>
      <c r="D438" s="4">
        <v>71.3</v>
      </c>
      <c r="E438" s="4">
        <f t="shared" si="410"/>
        <v>0.10000000000000853</v>
      </c>
      <c r="F438" s="4">
        <v>0</v>
      </c>
      <c r="G438" s="4">
        <v>0.95</v>
      </c>
      <c r="H438" s="4">
        <v>79</v>
      </c>
      <c r="I438" s="4"/>
      <c r="J438" s="4">
        <v>49</v>
      </c>
      <c r="K438"/>
      <c r="L438"/>
      <c r="M438" s="4">
        <f t="shared" si="411"/>
        <v>71.3</v>
      </c>
      <c r="N438" s="4"/>
      <c r="O438" s="1">
        <f t="shared" si="412"/>
        <v>71.199999999999989</v>
      </c>
      <c r="P438" s="1">
        <f t="shared" si="413"/>
        <v>0</v>
      </c>
      <c r="Q438" s="1" t="str">
        <f t="shared" si="409"/>
        <v/>
      </c>
      <c r="R438" s="1" t="str">
        <f t="shared" si="414"/>
        <v/>
      </c>
      <c r="S438" s="1">
        <f t="shared" si="415"/>
        <v>629.95200000000011</v>
      </c>
      <c r="T438" s="1">
        <f t="shared" si="416"/>
        <v>0.95</v>
      </c>
      <c r="U438" s="1">
        <f t="shared" si="417"/>
        <v>528.00000000004502</v>
      </c>
      <c r="V438" s="1">
        <f t="shared" si="418"/>
        <v>501.60000000004277</v>
      </c>
    </row>
    <row r="439" spans="1:22" x14ac:dyDescent="0.25">
      <c r="A439" s="1">
        <v>438</v>
      </c>
      <c r="B439" s="4">
        <v>7500</v>
      </c>
      <c r="C439" s="4">
        <v>71.3</v>
      </c>
      <c r="D439" s="4">
        <v>71.699999999999989</v>
      </c>
      <c r="E439" s="4">
        <f t="shared" si="410"/>
        <v>0.39999999999999147</v>
      </c>
      <c r="F439" s="4">
        <v>2.2000000000000002</v>
      </c>
      <c r="G439" s="4">
        <v>0.95</v>
      </c>
      <c r="H439" s="4">
        <v>79</v>
      </c>
      <c r="I439" s="4"/>
      <c r="J439" s="4">
        <v>49</v>
      </c>
      <c r="K439"/>
      <c r="L439"/>
      <c r="M439" s="4">
        <f t="shared" si="411"/>
        <v>71.699999999999989</v>
      </c>
      <c r="N439" s="4"/>
      <c r="O439" s="1">
        <f t="shared" si="412"/>
        <v>71.3</v>
      </c>
      <c r="P439" s="1">
        <f t="shared" si="413"/>
        <v>46.463999999999011</v>
      </c>
      <c r="Q439" s="1" t="str">
        <f t="shared" si="409"/>
        <v/>
      </c>
      <c r="R439" s="1" t="str">
        <f t="shared" si="414"/>
        <v/>
      </c>
      <c r="S439" s="1">
        <f t="shared" si="415"/>
        <v>634.96800000000053</v>
      </c>
      <c r="T439" s="1">
        <f t="shared" si="416"/>
        <v>0.95</v>
      </c>
      <c r="U439" s="1">
        <f t="shared" si="417"/>
        <v>2111.999999999955</v>
      </c>
      <c r="V439" s="1">
        <f t="shared" si="418"/>
        <v>2006.3999999999571</v>
      </c>
    </row>
    <row r="440" spans="1:22" x14ac:dyDescent="0.25">
      <c r="A440" s="1">
        <v>439</v>
      </c>
      <c r="B440" s="4">
        <v>7500</v>
      </c>
      <c r="C440" s="4">
        <v>71.699999999999989</v>
      </c>
      <c r="D440" s="4">
        <v>71.8</v>
      </c>
      <c r="E440" s="4">
        <f t="shared" si="410"/>
        <v>0.10000000000000853</v>
      </c>
      <c r="F440" s="4">
        <v>0</v>
      </c>
      <c r="G440" s="4">
        <v>0.98</v>
      </c>
      <c r="H440" s="4">
        <v>79</v>
      </c>
      <c r="I440" s="4"/>
      <c r="J440" s="4">
        <v>49</v>
      </c>
      <c r="K440"/>
      <c r="L440"/>
      <c r="M440" s="4">
        <f t="shared" si="411"/>
        <v>71.8</v>
      </c>
      <c r="N440" s="4"/>
      <c r="O440" s="1">
        <f t="shared" si="412"/>
        <v>71.699999999999989</v>
      </c>
      <c r="P440" s="1">
        <f t="shared" si="413"/>
        <v>0</v>
      </c>
      <c r="Q440" s="1" t="str">
        <f t="shared" si="409"/>
        <v/>
      </c>
      <c r="R440" s="1" t="str">
        <f t="shared" si="414"/>
        <v/>
      </c>
      <c r="S440" s="1">
        <f t="shared" si="415"/>
        <v>655.03200000000015</v>
      </c>
      <c r="T440" s="1">
        <f t="shared" si="416"/>
        <v>0.98</v>
      </c>
      <c r="U440" s="1">
        <f t="shared" si="417"/>
        <v>528.00000000004502</v>
      </c>
      <c r="V440" s="1">
        <f t="shared" si="418"/>
        <v>517.44000000004417</v>
      </c>
    </row>
    <row r="441" spans="1:22" x14ac:dyDescent="0.25">
      <c r="A441" s="1">
        <v>440</v>
      </c>
      <c r="B441" s="4">
        <v>7500</v>
      </c>
      <c r="C441" s="4">
        <v>71.8</v>
      </c>
      <c r="D441" s="4">
        <v>71.899999999999991</v>
      </c>
      <c r="E441" s="4">
        <f t="shared" si="410"/>
        <v>9.9999999999994316E-2</v>
      </c>
      <c r="F441" s="4">
        <v>0.5</v>
      </c>
      <c r="G441" s="4">
        <v>1.08</v>
      </c>
      <c r="H441" s="4">
        <v>79</v>
      </c>
      <c r="I441" s="4"/>
      <c r="J441" s="4">
        <v>49</v>
      </c>
      <c r="K441"/>
      <c r="L441"/>
      <c r="M441" s="4">
        <f t="shared" si="411"/>
        <v>71.899999999999991</v>
      </c>
      <c r="N441" s="4"/>
      <c r="O441" s="1">
        <f t="shared" si="412"/>
        <v>71.8</v>
      </c>
      <c r="P441" s="1">
        <f t="shared" si="413"/>
        <v>2.6399999999998496</v>
      </c>
      <c r="Q441" s="1" t="str">
        <f t="shared" si="409"/>
        <v/>
      </c>
      <c r="R441" s="1" t="str">
        <f t="shared" si="414"/>
        <v/>
      </c>
      <c r="S441" s="1">
        <f t="shared" si="415"/>
        <v>660.2064000000006</v>
      </c>
      <c r="T441" s="1">
        <f t="shared" si="416"/>
        <v>1.08</v>
      </c>
      <c r="U441" s="1">
        <f t="shared" si="417"/>
        <v>527.99999999996999</v>
      </c>
      <c r="V441" s="1">
        <f t="shared" si="418"/>
        <v>570.23999999996761</v>
      </c>
    </row>
    <row r="442" spans="1:22" x14ac:dyDescent="0.25">
      <c r="A442" s="1">
        <v>441</v>
      </c>
      <c r="B442" s="4">
        <v>7500</v>
      </c>
      <c r="C442" s="4">
        <v>71.899999999999991</v>
      </c>
      <c r="D442" s="4">
        <v>72</v>
      </c>
      <c r="E442" s="4">
        <f t="shared" si="410"/>
        <v>0.10000000000000853</v>
      </c>
      <c r="F442" s="4">
        <v>0</v>
      </c>
      <c r="G442" s="4">
        <v>0.66</v>
      </c>
      <c r="H442" s="4">
        <v>79</v>
      </c>
      <c r="I442" s="4"/>
      <c r="J442" s="4">
        <v>49</v>
      </c>
      <c r="K442"/>
      <c r="L442"/>
      <c r="M442" s="4">
        <f t="shared" si="411"/>
        <v>72</v>
      </c>
      <c r="N442" s="4"/>
      <c r="O442" s="1">
        <f t="shared" si="412"/>
        <v>71.899999999999991</v>
      </c>
      <c r="P442" s="1">
        <f t="shared" si="413"/>
        <v>0</v>
      </c>
      <c r="Q442" s="1" t="str">
        <f t="shared" si="409"/>
        <v/>
      </c>
      <c r="R442" s="1" t="str">
        <f t="shared" si="414"/>
        <v/>
      </c>
      <c r="S442" s="1">
        <f t="shared" si="415"/>
        <v>665.90880000000027</v>
      </c>
      <c r="T442" s="1">
        <f t="shared" si="416"/>
        <v>0.66</v>
      </c>
      <c r="U442" s="1">
        <f t="shared" si="417"/>
        <v>528.00000000004502</v>
      </c>
      <c r="V442" s="1">
        <f t="shared" si="418"/>
        <v>348.48000000002975</v>
      </c>
    </row>
    <row r="443" spans="1:22" x14ac:dyDescent="0.25">
      <c r="A443" s="1">
        <v>442</v>
      </c>
      <c r="B443" s="4">
        <v>7500</v>
      </c>
      <c r="C443" s="4">
        <v>72</v>
      </c>
      <c r="D443" s="4">
        <v>72.099999999999994</v>
      </c>
      <c r="E443" s="4">
        <f t="shared" si="410"/>
        <v>9.9999999999994316E-2</v>
      </c>
      <c r="F443" s="4">
        <v>0</v>
      </c>
      <c r="G443" s="4">
        <v>-0.17</v>
      </c>
      <c r="H443" s="4">
        <v>79</v>
      </c>
      <c r="I443" s="4"/>
      <c r="J443" s="4">
        <v>49</v>
      </c>
      <c r="K443"/>
      <c r="L443"/>
      <c r="M443" s="4">
        <f t="shared" si="411"/>
        <v>72.099999999999994</v>
      </c>
      <c r="N443" s="4"/>
      <c r="O443" s="1">
        <f t="shared" si="412"/>
        <v>72</v>
      </c>
      <c r="P443" s="1">
        <f t="shared" si="413"/>
        <v>0</v>
      </c>
      <c r="Q443" s="1" t="str">
        <f t="shared" si="409"/>
        <v/>
      </c>
      <c r="R443" s="1" t="str">
        <f t="shared" si="414"/>
        <v/>
      </c>
      <c r="S443" s="1">
        <f t="shared" si="415"/>
        <v>669.39360000000056</v>
      </c>
      <c r="T443" s="1">
        <f t="shared" si="416"/>
        <v>-0.17</v>
      </c>
      <c r="U443" s="1">
        <f t="shared" si="417"/>
        <v>527.99999999996999</v>
      </c>
      <c r="V443" s="1">
        <f t="shared" si="418"/>
        <v>89.759999999994903</v>
      </c>
    </row>
    <row r="444" spans="1:22" x14ac:dyDescent="0.25">
      <c r="A444" s="1">
        <v>443</v>
      </c>
      <c r="B444" s="4">
        <v>7500</v>
      </c>
      <c r="C444" s="4">
        <v>72.099999999999994</v>
      </c>
      <c r="D444" s="4">
        <v>72.199999999999989</v>
      </c>
      <c r="E444" s="4">
        <f t="shared" si="410"/>
        <v>9.9999999999994316E-2</v>
      </c>
      <c r="F444" s="4">
        <v>0</v>
      </c>
      <c r="G444" s="4">
        <v>-0.59</v>
      </c>
      <c r="H444" s="4">
        <v>79</v>
      </c>
      <c r="I444" s="4"/>
      <c r="J444" s="4">
        <v>49</v>
      </c>
      <c r="K444"/>
      <c r="L444"/>
      <c r="M444" s="4">
        <f t="shared" si="411"/>
        <v>72.199999999999989</v>
      </c>
      <c r="N444" s="4"/>
      <c r="O444" s="1">
        <f t="shared" si="412"/>
        <v>72.099999999999994</v>
      </c>
      <c r="P444" s="1">
        <f t="shared" si="413"/>
        <v>0</v>
      </c>
      <c r="Q444" s="1" t="str">
        <f t="shared" si="409"/>
        <v/>
      </c>
      <c r="R444" s="1" t="str">
        <f t="shared" si="414"/>
        <v/>
      </c>
      <c r="S444" s="1">
        <f t="shared" si="415"/>
        <v>668.49600000000066</v>
      </c>
      <c r="T444" s="1">
        <f t="shared" si="416"/>
        <v>-0.59</v>
      </c>
      <c r="U444" s="1">
        <f t="shared" si="417"/>
        <v>527.99999999996999</v>
      </c>
      <c r="V444" s="1">
        <f t="shared" si="418"/>
        <v>311.5199999999823</v>
      </c>
    </row>
    <row r="445" spans="1:22" x14ac:dyDescent="0.25">
      <c r="A445" s="1">
        <v>444</v>
      </c>
      <c r="B445" s="4">
        <v>7500</v>
      </c>
      <c r="C445" s="4">
        <v>72.199999999999989</v>
      </c>
      <c r="D445" s="4">
        <v>72.399999999999991</v>
      </c>
      <c r="E445" s="4">
        <f t="shared" si="410"/>
        <v>0.20000000000000284</v>
      </c>
      <c r="F445" s="4">
        <v>2</v>
      </c>
      <c r="G445" s="4">
        <v>-0.57999999999999996</v>
      </c>
      <c r="H445" s="4">
        <v>79</v>
      </c>
      <c r="I445" s="4"/>
      <c r="J445" s="4">
        <v>49</v>
      </c>
      <c r="K445"/>
      <c r="L445"/>
      <c r="M445" s="4">
        <f t="shared" si="411"/>
        <v>72.399999999999991</v>
      </c>
      <c r="N445" s="4"/>
      <c r="O445" s="1">
        <f t="shared" si="412"/>
        <v>72.199999999999989</v>
      </c>
      <c r="P445" s="1">
        <f t="shared" si="413"/>
        <v>21.120000000000299</v>
      </c>
      <c r="Q445" s="1" t="str">
        <f t="shared" si="409"/>
        <v/>
      </c>
      <c r="R445" s="1" t="str">
        <f t="shared" si="414"/>
        <v/>
      </c>
      <c r="S445" s="1">
        <f t="shared" si="415"/>
        <v>665.38080000000082</v>
      </c>
      <c r="T445" s="1">
        <f t="shared" si="416"/>
        <v>-0.57999999999999996</v>
      </c>
      <c r="U445" s="1">
        <f t="shared" si="417"/>
        <v>1056.000000000015</v>
      </c>
      <c r="V445" s="1">
        <f t="shared" si="418"/>
        <v>612.48000000000866</v>
      </c>
    </row>
    <row r="446" spans="1:22" x14ac:dyDescent="0.25">
      <c r="A446" s="1">
        <v>445</v>
      </c>
      <c r="B446" s="4">
        <v>7500</v>
      </c>
      <c r="C446" s="4">
        <v>72.399999999999991</v>
      </c>
      <c r="D446" s="4">
        <v>72.5</v>
      </c>
      <c r="E446" s="4">
        <f t="shared" si="410"/>
        <v>0.10000000000000853</v>
      </c>
      <c r="F446" s="4">
        <v>2</v>
      </c>
      <c r="G446" s="4">
        <v>-0.08</v>
      </c>
      <c r="H446" s="4">
        <v>79</v>
      </c>
      <c r="I446" s="4"/>
      <c r="J446" s="4">
        <v>49</v>
      </c>
      <c r="K446"/>
      <c r="L446"/>
      <c r="M446" s="4">
        <f t="shared" si="411"/>
        <v>72.5</v>
      </c>
      <c r="N446" s="4"/>
      <c r="O446" s="1">
        <f t="shared" si="412"/>
        <v>72.399999999999991</v>
      </c>
      <c r="P446" s="1">
        <f t="shared" si="413"/>
        <v>10.560000000000899</v>
      </c>
      <c r="Q446" s="1" t="str">
        <f t="shared" si="409"/>
        <v/>
      </c>
      <c r="R446" s="1" t="str">
        <f t="shared" si="414"/>
        <v/>
      </c>
      <c r="S446" s="1">
        <f t="shared" si="415"/>
        <v>659.25600000000077</v>
      </c>
      <c r="T446" s="1">
        <f t="shared" si="416"/>
        <v>-0.08</v>
      </c>
      <c r="U446" s="1">
        <f t="shared" si="417"/>
        <v>528.00000000004502</v>
      </c>
      <c r="V446" s="1">
        <f t="shared" si="418"/>
        <v>42.240000000003604</v>
      </c>
    </row>
    <row r="447" spans="1:22" x14ac:dyDescent="0.25">
      <c r="A447" s="1">
        <v>446</v>
      </c>
      <c r="B447" s="4">
        <v>7500</v>
      </c>
      <c r="C447" s="4">
        <v>72.5</v>
      </c>
      <c r="D447" s="4">
        <v>72.599999999999994</v>
      </c>
      <c r="E447" s="4">
        <f t="shared" si="410"/>
        <v>9.9999999999994316E-2</v>
      </c>
      <c r="F447" s="4">
        <v>0</v>
      </c>
      <c r="G447" s="4">
        <v>-0.08</v>
      </c>
      <c r="H447" s="4">
        <v>79</v>
      </c>
      <c r="I447" s="4"/>
      <c r="J447" s="4">
        <v>49</v>
      </c>
      <c r="K447"/>
      <c r="L447"/>
      <c r="M447" s="4">
        <f t="shared" si="411"/>
        <v>72.599999999999994</v>
      </c>
      <c r="N447" s="4"/>
      <c r="O447" s="1">
        <f t="shared" si="412"/>
        <v>72.5</v>
      </c>
      <c r="P447" s="1">
        <f t="shared" si="413"/>
        <v>0</v>
      </c>
      <c r="Q447" s="1" t="str">
        <f t="shared" si="409"/>
        <v/>
      </c>
      <c r="R447" s="1" t="str">
        <f t="shared" si="414"/>
        <v/>
      </c>
      <c r="S447" s="1">
        <f t="shared" si="415"/>
        <v>658.83360000000073</v>
      </c>
      <c r="T447" s="1">
        <f t="shared" si="416"/>
        <v>-0.08</v>
      </c>
      <c r="U447" s="1">
        <f t="shared" si="417"/>
        <v>527.99999999996999</v>
      </c>
      <c r="V447" s="1">
        <f t="shared" si="418"/>
        <v>42.2399999999976</v>
      </c>
    </row>
    <row r="448" spans="1:22" x14ac:dyDescent="0.25">
      <c r="A448" s="1">
        <v>447</v>
      </c>
      <c r="B448" s="4">
        <v>7500</v>
      </c>
      <c r="C448" s="4">
        <v>72.599999999999994</v>
      </c>
      <c r="D448" s="4">
        <v>72.8</v>
      </c>
      <c r="E448" s="4">
        <f t="shared" si="410"/>
        <v>0.20000000000000284</v>
      </c>
      <c r="F448" s="4">
        <v>0</v>
      </c>
      <c r="G448" s="4">
        <v>0.35</v>
      </c>
      <c r="H448" s="4">
        <v>79</v>
      </c>
      <c r="I448" s="4"/>
      <c r="J448" s="4">
        <v>49</v>
      </c>
      <c r="K448"/>
      <c r="L448"/>
      <c r="M448" s="4">
        <f t="shared" si="411"/>
        <v>72.8</v>
      </c>
      <c r="N448" s="4"/>
      <c r="O448" s="1">
        <f t="shared" si="412"/>
        <v>72.599999999999994</v>
      </c>
      <c r="P448" s="1">
        <f t="shared" si="413"/>
        <v>0</v>
      </c>
      <c r="Q448" s="1" t="str">
        <f t="shared" si="409"/>
        <v/>
      </c>
      <c r="R448" s="1" t="str">
        <f t="shared" si="414"/>
        <v/>
      </c>
      <c r="S448" s="1">
        <f t="shared" si="415"/>
        <v>658.4112000000008</v>
      </c>
      <c r="T448" s="1">
        <f t="shared" si="416"/>
        <v>0.35</v>
      </c>
      <c r="U448" s="1">
        <f t="shared" si="417"/>
        <v>1056.000000000015</v>
      </c>
      <c r="V448" s="1">
        <f t="shared" si="418"/>
        <v>369.60000000000525</v>
      </c>
    </row>
    <row r="449" spans="1:22" x14ac:dyDescent="0.25">
      <c r="A449" s="1">
        <v>448</v>
      </c>
      <c r="B449" s="4">
        <v>7500</v>
      </c>
      <c r="C449" s="4">
        <v>72.8</v>
      </c>
      <c r="D449" s="4">
        <v>72.899999999999991</v>
      </c>
      <c r="E449" s="4">
        <f t="shared" si="410"/>
        <v>9.9999999999994316E-2</v>
      </c>
      <c r="F449" s="4">
        <v>0</v>
      </c>
      <c r="G449" s="4">
        <v>0.12</v>
      </c>
      <c r="H449" s="4">
        <v>79</v>
      </c>
      <c r="I449" s="4"/>
      <c r="J449" s="4">
        <v>49</v>
      </c>
      <c r="K449"/>
      <c r="L449"/>
      <c r="M449" s="4">
        <f t="shared" si="411"/>
        <v>72.899999999999991</v>
      </c>
      <c r="N449" s="4"/>
      <c r="O449" s="1">
        <f t="shared" si="412"/>
        <v>72.8</v>
      </c>
      <c r="P449" s="1">
        <f t="shared" si="413"/>
        <v>0</v>
      </c>
      <c r="Q449" s="1" t="str">
        <f t="shared" si="409"/>
        <v/>
      </c>
      <c r="R449" s="1" t="str">
        <f t="shared" si="414"/>
        <v/>
      </c>
      <c r="S449" s="1">
        <f t="shared" si="415"/>
        <v>662.10720000000083</v>
      </c>
      <c r="T449" s="1">
        <f t="shared" si="416"/>
        <v>0.12</v>
      </c>
      <c r="U449" s="1">
        <f t="shared" si="417"/>
        <v>527.99999999996999</v>
      </c>
      <c r="V449" s="1">
        <f t="shared" si="418"/>
        <v>63.359999999996397</v>
      </c>
    </row>
    <row r="450" spans="1:22" x14ac:dyDescent="0.25">
      <c r="A450" s="1">
        <v>449</v>
      </c>
      <c r="B450" s="4">
        <v>7500</v>
      </c>
      <c r="C450" s="4">
        <v>72.899999999999991</v>
      </c>
      <c r="D450" s="4">
        <v>73.099999999999994</v>
      </c>
      <c r="E450" s="4">
        <f t="shared" si="410"/>
        <v>0.20000000000000284</v>
      </c>
      <c r="F450" s="4">
        <v>0</v>
      </c>
      <c r="G450" s="4">
        <v>0.56999999999999995</v>
      </c>
      <c r="H450" s="4">
        <v>79</v>
      </c>
      <c r="I450" s="4"/>
      <c r="J450" s="4">
        <v>49</v>
      </c>
      <c r="K450"/>
      <c r="L450"/>
      <c r="M450" s="4">
        <f t="shared" si="411"/>
        <v>73.099999999999994</v>
      </c>
      <c r="N450" s="4"/>
      <c r="O450" s="1">
        <f t="shared" si="412"/>
        <v>72.899999999999991</v>
      </c>
      <c r="P450" s="1">
        <f t="shared" si="413"/>
        <v>0</v>
      </c>
      <c r="Q450" s="1" t="str">
        <f t="shared" si="409"/>
        <v/>
      </c>
      <c r="R450" s="1" t="str">
        <f t="shared" si="414"/>
        <v/>
      </c>
      <c r="S450" s="1">
        <f t="shared" si="415"/>
        <v>662.74080000000083</v>
      </c>
      <c r="T450" s="1">
        <f t="shared" si="416"/>
        <v>0.56999999999999995</v>
      </c>
      <c r="U450" s="1">
        <f t="shared" si="417"/>
        <v>1056.000000000015</v>
      </c>
      <c r="V450" s="1">
        <f t="shared" si="418"/>
        <v>601.92000000000849</v>
      </c>
    </row>
    <row r="451" spans="1:22" x14ac:dyDescent="0.25">
      <c r="A451" s="1">
        <v>450</v>
      </c>
      <c r="B451" s="4">
        <v>7500</v>
      </c>
      <c r="C451" s="4">
        <v>73.099999999999994</v>
      </c>
      <c r="D451" s="4">
        <v>73.199999999999989</v>
      </c>
      <c r="E451" s="4">
        <f t="shared" si="410"/>
        <v>9.9999999999994316E-2</v>
      </c>
      <c r="F451" s="4">
        <v>0</v>
      </c>
      <c r="G451" s="4">
        <v>-0.18</v>
      </c>
      <c r="H451" s="4">
        <v>79</v>
      </c>
      <c r="I451" s="4"/>
      <c r="J451" s="4">
        <v>49</v>
      </c>
      <c r="K451"/>
      <c r="L451"/>
      <c r="M451" s="4">
        <f t="shared" si="411"/>
        <v>73.199999999999989</v>
      </c>
      <c r="N451" s="4"/>
      <c r="O451" s="1">
        <f t="shared" si="412"/>
        <v>73.099999999999994</v>
      </c>
      <c r="P451" s="1">
        <f t="shared" si="413"/>
        <v>0</v>
      </c>
      <c r="Q451" s="1" t="str">
        <f t="shared" ref="Q451:Q514" si="419">IF(H451&lt;&gt;"",IF(H451=H450,"",H451),IF(H449="","",MAX(H450,Q450)))</f>
        <v/>
      </c>
      <c r="R451" s="1" t="str">
        <f t="shared" si="414"/>
        <v/>
      </c>
      <c r="S451" s="1">
        <f t="shared" si="415"/>
        <v>668.7600000000009</v>
      </c>
      <c r="T451" s="1">
        <f t="shared" si="416"/>
        <v>-0.18</v>
      </c>
      <c r="U451" s="1">
        <f t="shared" si="417"/>
        <v>527.99999999996999</v>
      </c>
      <c r="V451" s="1">
        <f t="shared" si="418"/>
        <v>95.039999999994592</v>
      </c>
    </row>
    <row r="452" spans="1:22" x14ac:dyDescent="0.25">
      <c r="A452" s="1">
        <v>451</v>
      </c>
      <c r="B452" s="4">
        <v>7500</v>
      </c>
      <c r="C452" s="4">
        <v>73.199999999999989</v>
      </c>
      <c r="D452" s="4">
        <v>73.5</v>
      </c>
      <c r="E452" s="4">
        <f t="shared" si="410"/>
        <v>0.30000000000001137</v>
      </c>
      <c r="F452" s="4">
        <v>1.1000000000000001</v>
      </c>
      <c r="G452" s="4">
        <v>-0.18</v>
      </c>
      <c r="H452" s="4">
        <v>79</v>
      </c>
      <c r="I452" s="4"/>
      <c r="J452" s="4">
        <v>49</v>
      </c>
      <c r="K452"/>
      <c r="L452"/>
      <c r="M452" s="4">
        <f t="shared" si="411"/>
        <v>73.5</v>
      </c>
      <c r="N452" s="4"/>
      <c r="O452" s="1">
        <f t="shared" si="412"/>
        <v>73.199999999999989</v>
      </c>
      <c r="P452" s="1">
        <f t="shared" si="413"/>
        <v>17.42400000000066</v>
      </c>
      <c r="Q452" s="1" t="str">
        <f t="shared" si="419"/>
        <v/>
      </c>
      <c r="R452" s="1" t="str">
        <f t="shared" si="414"/>
        <v/>
      </c>
      <c r="S452" s="1">
        <f t="shared" si="415"/>
        <v>667.80960000000096</v>
      </c>
      <c r="T452" s="1">
        <f t="shared" si="416"/>
        <v>-0.18</v>
      </c>
      <c r="U452" s="1">
        <f t="shared" si="417"/>
        <v>1584.00000000006</v>
      </c>
      <c r="V452" s="1">
        <f t="shared" si="418"/>
        <v>285.1200000000108</v>
      </c>
    </row>
    <row r="453" spans="1:22" x14ac:dyDescent="0.25">
      <c r="A453" s="1">
        <v>452</v>
      </c>
      <c r="B453" s="4">
        <v>7500</v>
      </c>
      <c r="C453" s="4">
        <v>73.5</v>
      </c>
      <c r="D453" s="4">
        <v>73.8</v>
      </c>
      <c r="E453" s="4">
        <f t="shared" si="410"/>
        <v>0.29999999999999716</v>
      </c>
      <c r="F453" s="4">
        <v>1.1000000000000001</v>
      </c>
      <c r="G453" s="4">
        <v>-0.71</v>
      </c>
      <c r="H453" s="4">
        <v>79</v>
      </c>
      <c r="I453" s="4"/>
      <c r="J453" s="4">
        <v>49</v>
      </c>
      <c r="K453"/>
      <c r="L453"/>
      <c r="M453" s="4">
        <f t="shared" si="411"/>
        <v>73.8</v>
      </c>
      <c r="N453" s="4"/>
      <c r="O453" s="1">
        <f t="shared" si="412"/>
        <v>73.5</v>
      </c>
      <c r="P453" s="1">
        <f t="shared" si="413"/>
        <v>17.423999999999836</v>
      </c>
      <c r="Q453" s="1" t="str">
        <f t="shared" si="419"/>
        <v/>
      </c>
      <c r="R453" s="1" t="str">
        <f t="shared" si="414"/>
        <v/>
      </c>
      <c r="S453" s="1">
        <f t="shared" si="415"/>
        <v>664.95840000000089</v>
      </c>
      <c r="T453" s="1">
        <f t="shared" si="416"/>
        <v>-0.71</v>
      </c>
      <c r="U453" s="1">
        <f t="shared" si="417"/>
        <v>1583.999999999985</v>
      </c>
      <c r="V453" s="1">
        <f t="shared" si="418"/>
        <v>1124.6399999999892</v>
      </c>
    </row>
    <row r="454" spans="1:22" x14ac:dyDescent="0.25">
      <c r="A454" s="1">
        <v>453</v>
      </c>
      <c r="B454" s="4">
        <v>7500</v>
      </c>
      <c r="C454" s="4">
        <v>73.8</v>
      </c>
      <c r="D454" s="4">
        <v>73.899999999999991</v>
      </c>
      <c r="E454" s="4">
        <f t="shared" si="410"/>
        <v>9.9999999999994316E-2</v>
      </c>
      <c r="F454" s="4">
        <v>1.1000000000000001</v>
      </c>
      <c r="G454" s="4">
        <v>0.1</v>
      </c>
      <c r="H454" s="4">
        <v>79</v>
      </c>
      <c r="I454" s="4"/>
      <c r="J454" s="4">
        <v>49</v>
      </c>
      <c r="K454"/>
      <c r="L454"/>
      <c r="M454" s="4">
        <f t="shared" si="411"/>
        <v>73.899999999999991</v>
      </c>
      <c r="N454" s="4"/>
      <c r="O454" s="1">
        <f t="shared" si="412"/>
        <v>73.8</v>
      </c>
      <c r="P454" s="1">
        <f t="shared" si="413"/>
        <v>5.8079999999996694</v>
      </c>
      <c r="Q454" s="1" t="str">
        <f t="shared" si="419"/>
        <v/>
      </c>
      <c r="R454" s="1" t="str">
        <f t="shared" si="414"/>
        <v/>
      </c>
      <c r="S454" s="1">
        <f t="shared" si="415"/>
        <v>653.71200000000101</v>
      </c>
      <c r="T454" s="1">
        <f t="shared" si="416"/>
        <v>0.1</v>
      </c>
      <c r="U454" s="1">
        <f t="shared" si="417"/>
        <v>527.99999999996999</v>
      </c>
      <c r="V454" s="1">
        <f t="shared" si="418"/>
        <v>52.799999999996999</v>
      </c>
    </row>
    <row r="455" spans="1:22" x14ac:dyDescent="0.25">
      <c r="A455" s="1">
        <v>454</v>
      </c>
      <c r="B455" s="4">
        <v>7500</v>
      </c>
      <c r="C455" s="4">
        <v>73.899999999999991</v>
      </c>
      <c r="D455" s="4">
        <v>74</v>
      </c>
      <c r="E455" s="4">
        <f t="shared" si="410"/>
        <v>0.10000000000000853</v>
      </c>
      <c r="F455" s="4">
        <v>1.1000000000000001</v>
      </c>
      <c r="G455" s="4">
        <v>0.01</v>
      </c>
      <c r="H455" s="4">
        <v>79</v>
      </c>
      <c r="I455" s="4"/>
      <c r="J455" s="4">
        <v>49</v>
      </c>
      <c r="K455"/>
      <c r="L455"/>
      <c r="M455" s="4">
        <f t="shared" si="411"/>
        <v>74</v>
      </c>
      <c r="N455" s="4"/>
      <c r="O455" s="1">
        <f t="shared" si="412"/>
        <v>73.899999999999991</v>
      </c>
      <c r="P455" s="1">
        <f t="shared" si="413"/>
        <v>5.8080000000004954</v>
      </c>
      <c r="Q455" s="1" t="str">
        <f t="shared" si="419"/>
        <v/>
      </c>
      <c r="R455" s="1" t="str">
        <f t="shared" si="414"/>
        <v/>
      </c>
      <c r="S455" s="1">
        <f t="shared" si="415"/>
        <v>654.24000000000103</v>
      </c>
      <c r="T455" s="1">
        <f t="shared" si="416"/>
        <v>0.01</v>
      </c>
      <c r="U455" s="1">
        <f t="shared" si="417"/>
        <v>528.00000000004502</v>
      </c>
      <c r="V455" s="1">
        <f t="shared" si="418"/>
        <v>5.2800000000004506</v>
      </c>
    </row>
    <row r="456" spans="1:22" x14ac:dyDescent="0.25">
      <c r="A456" s="1">
        <v>455</v>
      </c>
      <c r="B456" s="4">
        <v>7500</v>
      </c>
      <c r="C456" s="4">
        <v>74</v>
      </c>
      <c r="D456" s="4">
        <v>74.099999999999994</v>
      </c>
      <c r="E456" s="4">
        <f t="shared" ref="E456:E519" si="420">D456-C456</f>
        <v>9.9999999999994316E-2</v>
      </c>
      <c r="F456" s="4">
        <v>1.1000000000000001</v>
      </c>
      <c r="G456" s="4">
        <v>-0.17</v>
      </c>
      <c r="H456" s="4">
        <v>79</v>
      </c>
      <c r="I456" s="4"/>
      <c r="J456" s="4">
        <v>49</v>
      </c>
      <c r="K456"/>
      <c r="L456"/>
      <c r="M456" s="4">
        <f t="shared" ref="M456:M519" si="421">E456+M455</f>
        <v>74.099999999999994</v>
      </c>
      <c r="N456" s="4"/>
      <c r="O456" s="1">
        <f t="shared" ref="O456:O519" si="422">E455+O455</f>
        <v>74</v>
      </c>
      <c r="P456" s="1">
        <f t="shared" ref="P456:P519" si="423">F456*52.8*E456</f>
        <v>5.8079999999996694</v>
      </c>
      <c r="Q456" s="1" t="str">
        <f t="shared" si="419"/>
        <v/>
      </c>
      <c r="R456" s="1" t="str">
        <f t="shared" ref="R456:R519" si="424">IF(I456="",Q456,IF(AND(H456=H455,I456=I455),"",I456))</f>
        <v/>
      </c>
      <c r="S456" s="1">
        <f t="shared" ref="S456:S519" si="425">S455+U455*T455/100</f>
        <v>654.29280000000108</v>
      </c>
      <c r="T456" s="1">
        <f t="shared" ref="T456:T519" si="426">IF(G456="UNK",0,G456)</f>
        <v>-0.17</v>
      </c>
      <c r="U456" s="1">
        <f t="shared" ref="U456:U519" si="427">E456*5280</f>
        <v>527.99999999996999</v>
      </c>
      <c r="V456" s="1">
        <f t="shared" ref="V456:V519" si="428">ABS(T456*U456)</f>
        <v>89.759999999994903</v>
      </c>
    </row>
    <row r="457" spans="1:22" x14ac:dyDescent="0.25">
      <c r="A457" s="1">
        <v>456</v>
      </c>
      <c r="B457" s="4">
        <v>7500</v>
      </c>
      <c r="C457" s="4">
        <v>74.099999999999994</v>
      </c>
      <c r="D457" s="4">
        <v>74.199999999999989</v>
      </c>
      <c r="E457" s="4">
        <f t="shared" si="420"/>
        <v>9.9999999999994316E-2</v>
      </c>
      <c r="F457" s="4">
        <v>0</v>
      </c>
      <c r="G457" s="4">
        <v>-0.17</v>
      </c>
      <c r="H457" s="4">
        <v>79</v>
      </c>
      <c r="I457" s="4"/>
      <c r="J457" s="4">
        <v>49</v>
      </c>
      <c r="K457"/>
      <c r="L457"/>
      <c r="M457" s="4">
        <f t="shared" si="421"/>
        <v>74.199999999999989</v>
      </c>
      <c r="N457" s="4"/>
      <c r="O457" s="1">
        <f t="shared" si="422"/>
        <v>74.099999999999994</v>
      </c>
      <c r="P457" s="1">
        <f t="shared" si="423"/>
        <v>0</v>
      </c>
      <c r="Q457" s="1" t="str">
        <f t="shared" si="419"/>
        <v/>
      </c>
      <c r="R457" s="1" t="str">
        <f t="shared" si="424"/>
        <v/>
      </c>
      <c r="S457" s="1">
        <f t="shared" si="425"/>
        <v>653.39520000000118</v>
      </c>
      <c r="T457" s="1">
        <f t="shared" si="426"/>
        <v>-0.17</v>
      </c>
      <c r="U457" s="1">
        <f t="shared" si="427"/>
        <v>527.99999999996999</v>
      </c>
      <c r="V457" s="1">
        <f t="shared" si="428"/>
        <v>89.759999999994903</v>
      </c>
    </row>
    <row r="458" spans="1:22" x14ac:dyDescent="0.25">
      <c r="A458" s="1">
        <v>457</v>
      </c>
      <c r="B458" s="4">
        <v>7500</v>
      </c>
      <c r="C458" s="4">
        <v>74.199999999999989</v>
      </c>
      <c r="D458" s="4">
        <v>74.3</v>
      </c>
      <c r="E458" s="4">
        <f t="shared" si="420"/>
        <v>0.10000000000000853</v>
      </c>
      <c r="F458" s="4">
        <v>0</v>
      </c>
      <c r="G458" s="4">
        <v>-0.26</v>
      </c>
      <c r="H458" s="4">
        <v>79</v>
      </c>
      <c r="I458" s="4"/>
      <c r="J458" s="4">
        <v>49</v>
      </c>
      <c r="K458"/>
      <c r="L458"/>
      <c r="M458" s="4">
        <f t="shared" si="421"/>
        <v>74.3</v>
      </c>
      <c r="N458" s="4"/>
      <c r="O458" s="1">
        <f t="shared" si="422"/>
        <v>74.199999999999989</v>
      </c>
      <c r="P458" s="1">
        <f t="shared" si="423"/>
        <v>0</v>
      </c>
      <c r="Q458" s="1" t="str">
        <f t="shared" si="419"/>
        <v/>
      </c>
      <c r="R458" s="1" t="str">
        <f t="shared" si="424"/>
        <v/>
      </c>
      <c r="S458" s="1">
        <f t="shared" si="425"/>
        <v>652.49760000000128</v>
      </c>
      <c r="T458" s="1">
        <f t="shared" si="426"/>
        <v>-0.26</v>
      </c>
      <c r="U458" s="1">
        <f t="shared" si="427"/>
        <v>528.00000000004502</v>
      </c>
      <c r="V458" s="1">
        <f t="shared" si="428"/>
        <v>137.28000000001171</v>
      </c>
    </row>
    <row r="459" spans="1:22" x14ac:dyDescent="0.25">
      <c r="A459" s="1">
        <v>458</v>
      </c>
      <c r="B459" s="4">
        <v>7500</v>
      </c>
      <c r="C459" s="4">
        <v>74.3</v>
      </c>
      <c r="D459" s="4">
        <v>74.399999999999991</v>
      </c>
      <c r="E459" s="4">
        <f t="shared" si="420"/>
        <v>9.9999999999994316E-2</v>
      </c>
      <c r="F459" s="4">
        <v>0</v>
      </c>
      <c r="G459" s="4">
        <v>-0.26</v>
      </c>
      <c r="H459" s="4">
        <v>79</v>
      </c>
      <c r="I459" s="4"/>
      <c r="J459" s="4">
        <v>49</v>
      </c>
      <c r="K459"/>
      <c r="L459"/>
      <c r="M459" s="4">
        <f t="shared" si="421"/>
        <v>74.399999999999991</v>
      </c>
      <c r="N459" s="4"/>
      <c r="O459" s="1">
        <f t="shared" si="422"/>
        <v>74.3</v>
      </c>
      <c r="P459" s="1">
        <f t="shared" si="423"/>
        <v>0</v>
      </c>
      <c r="Q459" s="1" t="str">
        <f t="shared" si="419"/>
        <v/>
      </c>
      <c r="R459" s="1" t="str">
        <f t="shared" si="424"/>
        <v/>
      </c>
      <c r="S459" s="1">
        <f t="shared" si="425"/>
        <v>651.12480000000119</v>
      </c>
      <c r="T459" s="1">
        <f t="shared" si="426"/>
        <v>-0.26</v>
      </c>
      <c r="U459" s="1">
        <f t="shared" si="427"/>
        <v>527.99999999996999</v>
      </c>
      <c r="V459" s="1">
        <f t="shared" si="428"/>
        <v>137.27999999999221</v>
      </c>
    </row>
    <row r="460" spans="1:22" x14ac:dyDescent="0.25">
      <c r="A460" s="1">
        <v>459</v>
      </c>
      <c r="B460" s="4">
        <v>7500</v>
      </c>
      <c r="C460" s="4">
        <v>74.399999999999991</v>
      </c>
      <c r="D460" s="4">
        <v>74.699999999999989</v>
      </c>
      <c r="E460" s="4">
        <f t="shared" si="420"/>
        <v>0.29999999999999716</v>
      </c>
      <c r="F460" s="4">
        <v>0</v>
      </c>
      <c r="G460" s="4">
        <v>-0.89</v>
      </c>
      <c r="H460" s="4">
        <v>79</v>
      </c>
      <c r="I460" s="4"/>
      <c r="J460" s="4">
        <v>49</v>
      </c>
      <c r="K460"/>
      <c r="L460"/>
      <c r="M460" s="4">
        <f t="shared" si="421"/>
        <v>74.699999999999989</v>
      </c>
      <c r="N460" s="4"/>
      <c r="O460" s="1">
        <f t="shared" si="422"/>
        <v>74.399999999999991</v>
      </c>
      <c r="P460" s="1">
        <f t="shared" si="423"/>
        <v>0</v>
      </c>
      <c r="Q460" s="1" t="str">
        <f t="shared" si="419"/>
        <v/>
      </c>
      <c r="R460" s="1" t="str">
        <f t="shared" si="424"/>
        <v/>
      </c>
      <c r="S460" s="1">
        <f t="shared" si="425"/>
        <v>649.75200000000132</v>
      </c>
      <c r="T460" s="1">
        <f t="shared" si="426"/>
        <v>-0.89</v>
      </c>
      <c r="U460" s="1">
        <f t="shared" si="427"/>
        <v>1583.999999999985</v>
      </c>
      <c r="V460" s="1">
        <f t="shared" si="428"/>
        <v>1409.7599999999866</v>
      </c>
    </row>
    <row r="461" spans="1:22" x14ac:dyDescent="0.25">
      <c r="A461" s="1">
        <v>460</v>
      </c>
      <c r="B461" s="4">
        <v>7500</v>
      </c>
      <c r="C461" s="4">
        <v>74.699999999999989</v>
      </c>
      <c r="D461" s="4">
        <v>74.8</v>
      </c>
      <c r="E461" s="4">
        <f t="shared" si="420"/>
        <v>0.10000000000000853</v>
      </c>
      <c r="F461" s="4">
        <v>1.5</v>
      </c>
      <c r="G461" s="4">
        <v>-0.89</v>
      </c>
      <c r="H461" s="4">
        <v>79</v>
      </c>
      <c r="I461" s="4"/>
      <c r="J461" s="4">
        <v>49</v>
      </c>
      <c r="K461"/>
      <c r="L461"/>
      <c r="M461" s="4">
        <f t="shared" si="421"/>
        <v>74.8</v>
      </c>
      <c r="N461" s="4"/>
      <c r="O461" s="1">
        <f t="shared" si="422"/>
        <v>74.699999999999989</v>
      </c>
      <c r="P461" s="1">
        <f t="shared" si="423"/>
        <v>7.9200000000006741</v>
      </c>
      <c r="Q461" s="1" t="str">
        <f t="shared" si="419"/>
        <v/>
      </c>
      <c r="R461" s="1" t="str">
        <f t="shared" si="424"/>
        <v/>
      </c>
      <c r="S461" s="1">
        <f t="shared" si="425"/>
        <v>635.65440000000149</v>
      </c>
      <c r="T461" s="1">
        <f t="shared" si="426"/>
        <v>-0.89</v>
      </c>
      <c r="U461" s="1">
        <f t="shared" si="427"/>
        <v>528.00000000004502</v>
      </c>
      <c r="V461" s="1">
        <f t="shared" si="428"/>
        <v>469.92000000004009</v>
      </c>
    </row>
    <row r="462" spans="1:22" x14ac:dyDescent="0.25">
      <c r="A462" s="1">
        <v>461</v>
      </c>
      <c r="B462" s="4">
        <v>7500</v>
      </c>
      <c r="C462" s="4">
        <v>74.8</v>
      </c>
      <c r="D462" s="4">
        <v>75</v>
      </c>
      <c r="E462" s="4">
        <f t="shared" si="420"/>
        <v>0.20000000000000284</v>
      </c>
      <c r="F462" s="4">
        <v>1.5</v>
      </c>
      <c r="G462" s="4">
        <v>0.02</v>
      </c>
      <c r="H462" s="4">
        <v>79</v>
      </c>
      <c r="I462" s="4"/>
      <c r="J462" s="4">
        <v>49</v>
      </c>
      <c r="K462"/>
      <c r="L462"/>
      <c r="M462" s="4">
        <f t="shared" si="421"/>
        <v>75</v>
      </c>
      <c r="N462" s="4"/>
      <c r="O462" s="1">
        <f t="shared" si="422"/>
        <v>74.8</v>
      </c>
      <c r="P462" s="1">
        <f t="shared" si="423"/>
        <v>15.840000000000224</v>
      </c>
      <c r="Q462" s="1" t="str">
        <f t="shared" si="419"/>
        <v/>
      </c>
      <c r="R462" s="1" t="str">
        <f t="shared" si="424"/>
        <v/>
      </c>
      <c r="S462" s="1">
        <f t="shared" si="425"/>
        <v>630.95520000000113</v>
      </c>
      <c r="T462" s="1">
        <f t="shared" si="426"/>
        <v>0.02</v>
      </c>
      <c r="U462" s="1">
        <f t="shared" si="427"/>
        <v>1056.000000000015</v>
      </c>
      <c r="V462" s="1">
        <f t="shared" si="428"/>
        <v>21.120000000000299</v>
      </c>
    </row>
    <row r="463" spans="1:22" x14ac:dyDescent="0.25">
      <c r="A463" s="1">
        <v>462</v>
      </c>
      <c r="B463" s="4">
        <v>7500</v>
      </c>
      <c r="C463" s="4">
        <v>75</v>
      </c>
      <c r="D463" s="4">
        <v>75.3</v>
      </c>
      <c r="E463" s="4">
        <f t="shared" si="420"/>
        <v>0.29999999999999716</v>
      </c>
      <c r="F463" s="4">
        <v>1.5</v>
      </c>
      <c r="G463" s="4">
        <v>1</v>
      </c>
      <c r="H463" s="4">
        <v>79</v>
      </c>
      <c r="I463" s="4"/>
      <c r="J463" s="4">
        <v>49</v>
      </c>
      <c r="K463"/>
      <c r="L463"/>
      <c r="M463" s="4">
        <f t="shared" si="421"/>
        <v>75.3</v>
      </c>
      <c r="N463" s="4"/>
      <c r="O463" s="1">
        <f t="shared" si="422"/>
        <v>75</v>
      </c>
      <c r="P463" s="1">
        <f t="shared" si="423"/>
        <v>23.759999999999771</v>
      </c>
      <c r="Q463" s="1" t="str">
        <f t="shared" si="419"/>
        <v/>
      </c>
      <c r="R463" s="1" t="str">
        <f t="shared" si="424"/>
        <v/>
      </c>
      <c r="S463" s="1">
        <f t="shared" si="425"/>
        <v>631.16640000000109</v>
      </c>
      <c r="T463" s="1">
        <f t="shared" si="426"/>
        <v>1</v>
      </c>
      <c r="U463" s="1">
        <f t="shared" si="427"/>
        <v>1583.999999999985</v>
      </c>
      <c r="V463" s="1">
        <f t="shared" si="428"/>
        <v>1583.999999999985</v>
      </c>
    </row>
    <row r="464" spans="1:22" x14ac:dyDescent="0.25">
      <c r="A464" s="1">
        <v>463</v>
      </c>
      <c r="B464" s="4">
        <v>7500</v>
      </c>
      <c r="C464" s="4">
        <v>75.3</v>
      </c>
      <c r="D464" s="4">
        <v>75.5</v>
      </c>
      <c r="E464" s="4">
        <f t="shared" si="420"/>
        <v>0.20000000000000284</v>
      </c>
      <c r="F464" s="4">
        <v>1.5</v>
      </c>
      <c r="G464" s="4">
        <v>0.95</v>
      </c>
      <c r="H464" s="4">
        <v>79</v>
      </c>
      <c r="I464" s="4"/>
      <c r="J464" s="4">
        <v>49</v>
      </c>
      <c r="K464"/>
      <c r="L464"/>
      <c r="M464" s="4">
        <f t="shared" si="421"/>
        <v>75.5</v>
      </c>
      <c r="N464" s="4"/>
      <c r="O464" s="1">
        <f t="shared" si="422"/>
        <v>75.3</v>
      </c>
      <c r="P464" s="1">
        <f t="shared" si="423"/>
        <v>15.840000000000224</v>
      </c>
      <c r="Q464" s="1" t="str">
        <f t="shared" si="419"/>
        <v/>
      </c>
      <c r="R464" s="1" t="str">
        <f t="shared" si="424"/>
        <v/>
      </c>
      <c r="S464" s="1">
        <f t="shared" si="425"/>
        <v>647.00640000000089</v>
      </c>
      <c r="T464" s="1">
        <f t="shared" si="426"/>
        <v>0.95</v>
      </c>
      <c r="U464" s="1">
        <f t="shared" si="427"/>
        <v>1056.000000000015</v>
      </c>
      <c r="V464" s="1">
        <f t="shared" si="428"/>
        <v>1003.2000000000143</v>
      </c>
    </row>
    <row r="465" spans="1:22" x14ac:dyDescent="0.25">
      <c r="A465" s="1">
        <v>464</v>
      </c>
      <c r="B465" s="4">
        <v>7500</v>
      </c>
      <c r="C465" s="4">
        <v>75.5</v>
      </c>
      <c r="D465" s="4">
        <v>75.599999999999994</v>
      </c>
      <c r="E465" s="4">
        <f t="shared" si="420"/>
        <v>9.9999999999994316E-2</v>
      </c>
      <c r="F465" s="4">
        <v>1.5</v>
      </c>
      <c r="G465" s="4">
        <v>0.79</v>
      </c>
      <c r="H465" s="4">
        <v>79</v>
      </c>
      <c r="I465" s="4"/>
      <c r="J465" s="4">
        <v>49</v>
      </c>
      <c r="K465"/>
      <c r="L465"/>
      <c r="M465" s="4">
        <f t="shared" si="421"/>
        <v>75.599999999999994</v>
      </c>
      <c r="N465" s="4"/>
      <c r="O465" s="1">
        <f t="shared" si="422"/>
        <v>75.5</v>
      </c>
      <c r="P465" s="1">
        <f t="shared" si="423"/>
        <v>7.9199999999995487</v>
      </c>
      <c r="Q465" s="1" t="str">
        <f t="shared" si="419"/>
        <v/>
      </c>
      <c r="R465" s="1" t="str">
        <f t="shared" si="424"/>
        <v/>
      </c>
      <c r="S465" s="1">
        <f t="shared" si="425"/>
        <v>657.03840000000105</v>
      </c>
      <c r="T465" s="1">
        <f t="shared" si="426"/>
        <v>0.79</v>
      </c>
      <c r="U465" s="1">
        <f t="shared" si="427"/>
        <v>527.99999999996999</v>
      </c>
      <c r="V465" s="1">
        <f t="shared" si="428"/>
        <v>417.1199999999763</v>
      </c>
    </row>
    <row r="466" spans="1:22" x14ac:dyDescent="0.25">
      <c r="A466" s="1">
        <v>465</v>
      </c>
      <c r="B466" s="4">
        <v>7500</v>
      </c>
      <c r="C466" s="4">
        <v>75.599999999999994</v>
      </c>
      <c r="D466" s="4">
        <v>75.699999999999989</v>
      </c>
      <c r="E466" s="4">
        <f t="shared" si="420"/>
        <v>9.9999999999994316E-2</v>
      </c>
      <c r="F466" s="4">
        <v>1.5</v>
      </c>
      <c r="G466" s="4">
        <v>0.56000000000000005</v>
      </c>
      <c r="H466" s="4">
        <v>79</v>
      </c>
      <c r="I466" s="4"/>
      <c r="J466" s="4">
        <v>49</v>
      </c>
      <c r="K466"/>
      <c r="L466"/>
      <c r="M466" s="4">
        <f t="shared" si="421"/>
        <v>75.699999999999989</v>
      </c>
      <c r="N466" s="4"/>
      <c r="O466" s="1">
        <f t="shared" si="422"/>
        <v>75.599999999999994</v>
      </c>
      <c r="P466" s="1">
        <f t="shared" si="423"/>
        <v>7.9199999999995487</v>
      </c>
      <c r="Q466" s="1" t="str">
        <f t="shared" si="419"/>
        <v/>
      </c>
      <c r="R466" s="1" t="str">
        <f t="shared" si="424"/>
        <v/>
      </c>
      <c r="S466" s="1">
        <f t="shared" si="425"/>
        <v>661.20960000000082</v>
      </c>
      <c r="T466" s="1">
        <f t="shared" si="426"/>
        <v>0.56000000000000005</v>
      </c>
      <c r="U466" s="1">
        <f t="shared" si="427"/>
        <v>527.99999999996999</v>
      </c>
      <c r="V466" s="1">
        <f t="shared" si="428"/>
        <v>295.67999999998324</v>
      </c>
    </row>
    <row r="467" spans="1:22" x14ac:dyDescent="0.25">
      <c r="A467" s="1">
        <v>466</v>
      </c>
      <c r="B467" s="4">
        <v>7500</v>
      </c>
      <c r="C467" s="4">
        <v>75.699999999999989</v>
      </c>
      <c r="D467" s="4">
        <v>75.8</v>
      </c>
      <c r="E467" s="4">
        <f t="shared" si="420"/>
        <v>0.10000000000000853</v>
      </c>
      <c r="F467" s="4">
        <v>1.1000000000000001</v>
      </c>
      <c r="G467" s="4">
        <v>0.56000000000000005</v>
      </c>
      <c r="H467" s="4">
        <v>79</v>
      </c>
      <c r="I467" s="4"/>
      <c r="J467" s="4">
        <v>49</v>
      </c>
      <c r="K467"/>
      <c r="L467"/>
      <c r="M467" s="4">
        <f t="shared" si="421"/>
        <v>75.8</v>
      </c>
      <c r="N467" s="4"/>
      <c r="O467" s="1">
        <f t="shared" si="422"/>
        <v>75.699999999999989</v>
      </c>
      <c r="P467" s="1">
        <f t="shared" si="423"/>
        <v>5.8080000000004954</v>
      </c>
      <c r="Q467" s="1" t="str">
        <f t="shared" si="419"/>
        <v/>
      </c>
      <c r="R467" s="1" t="str">
        <f t="shared" si="424"/>
        <v/>
      </c>
      <c r="S467" s="1">
        <f t="shared" si="425"/>
        <v>664.16640000000064</v>
      </c>
      <c r="T467" s="1">
        <f t="shared" si="426"/>
        <v>0.56000000000000005</v>
      </c>
      <c r="U467" s="1">
        <f t="shared" si="427"/>
        <v>528.00000000004502</v>
      </c>
      <c r="V467" s="1">
        <f t="shared" si="428"/>
        <v>295.68000000002525</v>
      </c>
    </row>
    <row r="468" spans="1:22" x14ac:dyDescent="0.25">
      <c r="A468" s="1">
        <v>467</v>
      </c>
      <c r="B468" s="4">
        <v>7500</v>
      </c>
      <c r="C468" s="4">
        <v>75.8</v>
      </c>
      <c r="D468" s="4">
        <v>75.899999999999991</v>
      </c>
      <c r="E468" s="4">
        <f t="shared" si="420"/>
        <v>9.9999999999994316E-2</v>
      </c>
      <c r="F468" s="4">
        <v>1.1000000000000001</v>
      </c>
      <c r="G468" s="4">
        <v>0.64</v>
      </c>
      <c r="H468" s="4">
        <v>79</v>
      </c>
      <c r="I468" s="4"/>
      <c r="J468" s="4">
        <v>49</v>
      </c>
      <c r="K468"/>
      <c r="L468"/>
      <c r="M468" s="4">
        <f t="shared" si="421"/>
        <v>75.899999999999991</v>
      </c>
      <c r="N468" s="4"/>
      <c r="O468" s="1">
        <f t="shared" si="422"/>
        <v>75.8</v>
      </c>
      <c r="P468" s="1">
        <f t="shared" si="423"/>
        <v>5.8079999999996694</v>
      </c>
      <c r="Q468" s="1" t="str">
        <f t="shared" si="419"/>
        <v/>
      </c>
      <c r="R468" s="1" t="str">
        <f t="shared" si="424"/>
        <v/>
      </c>
      <c r="S468" s="1">
        <f t="shared" si="425"/>
        <v>667.12320000000091</v>
      </c>
      <c r="T468" s="1">
        <f t="shared" si="426"/>
        <v>0.64</v>
      </c>
      <c r="U468" s="1">
        <f t="shared" si="427"/>
        <v>527.99999999996999</v>
      </c>
      <c r="V468" s="1">
        <f t="shared" si="428"/>
        <v>337.9199999999808</v>
      </c>
    </row>
    <row r="469" spans="1:22" x14ac:dyDescent="0.25">
      <c r="A469" s="1">
        <v>468</v>
      </c>
      <c r="B469" s="4">
        <v>7500</v>
      </c>
      <c r="C469" s="4">
        <v>75.899999999999991</v>
      </c>
      <c r="D469" s="4">
        <v>76</v>
      </c>
      <c r="E469" s="4">
        <f t="shared" si="420"/>
        <v>0.10000000000000853</v>
      </c>
      <c r="F469" s="4">
        <v>0</v>
      </c>
      <c r="G469" s="4">
        <v>0.64</v>
      </c>
      <c r="H469" s="4">
        <v>79</v>
      </c>
      <c r="I469" s="4"/>
      <c r="J469" s="4">
        <v>49</v>
      </c>
      <c r="K469"/>
      <c r="L469"/>
      <c r="M469" s="4">
        <f t="shared" si="421"/>
        <v>76</v>
      </c>
      <c r="N469" s="4"/>
      <c r="O469" s="1">
        <f t="shared" si="422"/>
        <v>75.899999999999991</v>
      </c>
      <c r="P469" s="1">
        <f t="shared" si="423"/>
        <v>0</v>
      </c>
      <c r="Q469" s="1" t="str">
        <f t="shared" si="419"/>
        <v/>
      </c>
      <c r="R469" s="1" t="str">
        <f t="shared" si="424"/>
        <v/>
      </c>
      <c r="S469" s="1">
        <f t="shared" si="425"/>
        <v>670.50240000000076</v>
      </c>
      <c r="T469" s="1">
        <f t="shared" si="426"/>
        <v>0.64</v>
      </c>
      <c r="U469" s="1">
        <f t="shared" si="427"/>
        <v>528.00000000004502</v>
      </c>
      <c r="V469" s="1">
        <f t="shared" si="428"/>
        <v>337.92000000002884</v>
      </c>
    </row>
    <row r="470" spans="1:22" x14ac:dyDescent="0.25">
      <c r="A470" s="1">
        <v>469</v>
      </c>
      <c r="B470" s="4">
        <v>7500</v>
      </c>
      <c r="C470" s="4">
        <v>76</v>
      </c>
      <c r="D470" s="4">
        <v>76.099999999999994</v>
      </c>
      <c r="E470" s="4">
        <f t="shared" si="420"/>
        <v>9.9999999999994316E-2</v>
      </c>
      <c r="F470" s="4">
        <v>2.7</v>
      </c>
      <c r="G470" s="4">
        <v>0.93</v>
      </c>
      <c r="H470" s="4">
        <v>79</v>
      </c>
      <c r="I470" s="4"/>
      <c r="J470" s="4">
        <v>49</v>
      </c>
      <c r="K470"/>
      <c r="L470"/>
      <c r="M470" s="4">
        <f t="shared" si="421"/>
        <v>76.099999999999994</v>
      </c>
      <c r="N470" s="4"/>
      <c r="O470" s="1">
        <f t="shared" si="422"/>
        <v>76</v>
      </c>
      <c r="P470" s="1">
        <f t="shared" si="423"/>
        <v>14.25599999999919</v>
      </c>
      <c r="Q470" s="1" t="str">
        <f t="shared" si="419"/>
        <v/>
      </c>
      <c r="R470" s="1" t="str">
        <f t="shared" si="424"/>
        <v/>
      </c>
      <c r="S470" s="1">
        <f t="shared" si="425"/>
        <v>673.88160000000107</v>
      </c>
      <c r="T470" s="1">
        <f t="shared" si="426"/>
        <v>0.93</v>
      </c>
      <c r="U470" s="1">
        <f t="shared" si="427"/>
        <v>527.99999999996999</v>
      </c>
      <c r="V470" s="1">
        <f t="shared" si="428"/>
        <v>491.03999999997211</v>
      </c>
    </row>
    <row r="471" spans="1:22" x14ac:dyDescent="0.25">
      <c r="A471" s="1">
        <v>470</v>
      </c>
      <c r="B471" s="4">
        <v>7500</v>
      </c>
      <c r="C471" s="4">
        <v>76.099999999999994</v>
      </c>
      <c r="D471" s="4">
        <v>76.199999999999989</v>
      </c>
      <c r="E471" s="4">
        <f t="shared" si="420"/>
        <v>9.9999999999994316E-2</v>
      </c>
      <c r="F471" s="4">
        <v>0</v>
      </c>
      <c r="G471" s="4">
        <v>0.93</v>
      </c>
      <c r="H471" s="4">
        <v>79</v>
      </c>
      <c r="I471" s="4"/>
      <c r="J471" s="4">
        <v>49</v>
      </c>
      <c r="K471"/>
      <c r="L471"/>
      <c r="M471" s="4">
        <f t="shared" si="421"/>
        <v>76.199999999999989</v>
      </c>
      <c r="N471" s="4"/>
      <c r="O471" s="1">
        <f t="shared" si="422"/>
        <v>76.099999999999994</v>
      </c>
      <c r="P471" s="1">
        <f t="shared" si="423"/>
        <v>0</v>
      </c>
      <c r="Q471" s="1" t="str">
        <f t="shared" si="419"/>
        <v/>
      </c>
      <c r="R471" s="1" t="str">
        <f t="shared" si="424"/>
        <v/>
      </c>
      <c r="S471" s="1">
        <f t="shared" si="425"/>
        <v>678.79200000000083</v>
      </c>
      <c r="T471" s="1">
        <f t="shared" si="426"/>
        <v>0.93</v>
      </c>
      <c r="U471" s="1">
        <f t="shared" si="427"/>
        <v>527.99999999996999</v>
      </c>
      <c r="V471" s="1">
        <f t="shared" si="428"/>
        <v>491.03999999997211</v>
      </c>
    </row>
    <row r="472" spans="1:22" x14ac:dyDescent="0.25">
      <c r="A472" s="1">
        <v>471</v>
      </c>
      <c r="B472" s="4">
        <v>7500</v>
      </c>
      <c r="C472" s="4">
        <v>76.199999999999989</v>
      </c>
      <c r="D472" s="4">
        <v>76.3</v>
      </c>
      <c r="E472" s="4">
        <f t="shared" si="420"/>
        <v>0.10000000000000853</v>
      </c>
      <c r="F472" s="4">
        <v>1.7</v>
      </c>
      <c r="G472" s="4">
        <v>0.79</v>
      </c>
      <c r="H472" s="4">
        <v>79</v>
      </c>
      <c r="I472" s="4"/>
      <c r="J472" s="4">
        <v>49</v>
      </c>
      <c r="K472"/>
      <c r="L472"/>
      <c r="M472" s="4">
        <f t="shared" si="421"/>
        <v>76.3</v>
      </c>
      <c r="N472" s="4"/>
      <c r="O472" s="1">
        <f t="shared" si="422"/>
        <v>76.199999999999989</v>
      </c>
      <c r="P472" s="1">
        <f t="shared" si="423"/>
        <v>8.9760000000007647</v>
      </c>
      <c r="Q472" s="1" t="str">
        <f t="shared" si="419"/>
        <v/>
      </c>
      <c r="R472" s="1" t="str">
        <f t="shared" si="424"/>
        <v/>
      </c>
      <c r="S472" s="1">
        <f t="shared" si="425"/>
        <v>683.70240000000058</v>
      </c>
      <c r="T472" s="1">
        <f t="shared" si="426"/>
        <v>0.79</v>
      </c>
      <c r="U472" s="1">
        <f t="shared" si="427"/>
        <v>528.00000000004502</v>
      </c>
      <c r="V472" s="1">
        <f t="shared" si="428"/>
        <v>417.12000000003559</v>
      </c>
    </row>
    <row r="473" spans="1:22" x14ac:dyDescent="0.25">
      <c r="A473" s="1">
        <v>472</v>
      </c>
      <c r="B473" s="4">
        <v>7500</v>
      </c>
      <c r="C473" s="4">
        <v>76.3</v>
      </c>
      <c r="D473" s="4">
        <v>76.5</v>
      </c>
      <c r="E473" s="4">
        <f t="shared" si="420"/>
        <v>0.20000000000000284</v>
      </c>
      <c r="F473" s="4">
        <v>1.7</v>
      </c>
      <c r="G473" s="4">
        <v>0.51</v>
      </c>
      <c r="H473" s="4">
        <v>79</v>
      </c>
      <c r="I473" s="4"/>
      <c r="J473" s="4">
        <v>49</v>
      </c>
      <c r="K473"/>
      <c r="L473"/>
      <c r="M473" s="4">
        <f t="shared" si="421"/>
        <v>76.5</v>
      </c>
      <c r="N473" s="4"/>
      <c r="O473" s="1">
        <f t="shared" si="422"/>
        <v>76.3</v>
      </c>
      <c r="P473" s="1">
        <f t="shared" si="423"/>
        <v>17.952000000000254</v>
      </c>
      <c r="Q473" s="1" t="str">
        <f t="shared" si="419"/>
        <v/>
      </c>
      <c r="R473" s="1" t="str">
        <f t="shared" si="424"/>
        <v/>
      </c>
      <c r="S473" s="1">
        <f t="shared" si="425"/>
        <v>687.87360000000092</v>
      </c>
      <c r="T473" s="1">
        <f t="shared" si="426"/>
        <v>0.51</v>
      </c>
      <c r="U473" s="1">
        <f t="shared" si="427"/>
        <v>1056.000000000015</v>
      </c>
      <c r="V473" s="1">
        <f t="shared" si="428"/>
        <v>538.56000000000768</v>
      </c>
    </row>
    <row r="474" spans="1:22" x14ac:dyDescent="0.25">
      <c r="A474" s="1">
        <v>473</v>
      </c>
      <c r="B474" s="4">
        <v>7500</v>
      </c>
      <c r="C474" s="4">
        <v>76.5</v>
      </c>
      <c r="D474" s="4">
        <v>76.699999999999989</v>
      </c>
      <c r="E474" s="4">
        <f t="shared" si="420"/>
        <v>0.19999999999998863</v>
      </c>
      <c r="F474" s="4">
        <v>0</v>
      </c>
      <c r="G474" s="4">
        <v>0.76</v>
      </c>
      <c r="H474" s="4">
        <v>79</v>
      </c>
      <c r="I474" s="4"/>
      <c r="J474" s="4">
        <v>49</v>
      </c>
      <c r="K474"/>
      <c r="L474"/>
      <c r="M474" s="4">
        <f t="shared" si="421"/>
        <v>76.699999999999989</v>
      </c>
      <c r="N474" s="4"/>
      <c r="O474" s="1">
        <f t="shared" si="422"/>
        <v>76.5</v>
      </c>
      <c r="P474" s="1">
        <f t="shared" si="423"/>
        <v>0</v>
      </c>
      <c r="Q474" s="1" t="str">
        <f t="shared" si="419"/>
        <v/>
      </c>
      <c r="R474" s="1" t="str">
        <f t="shared" si="424"/>
        <v/>
      </c>
      <c r="S474" s="1">
        <f t="shared" si="425"/>
        <v>693.25920000000099</v>
      </c>
      <c r="T474" s="1">
        <f t="shared" si="426"/>
        <v>0.76</v>
      </c>
      <c r="U474" s="1">
        <f t="shared" si="427"/>
        <v>1055.99999999994</v>
      </c>
      <c r="V474" s="1">
        <f t="shared" si="428"/>
        <v>802.55999999995436</v>
      </c>
    </row>
    <row r="475" spans="1:22" x14ac:dyDescent="0.25">
      <c r="A475" s="1">
        <v>474</v>
      </c>
      <c r="B475" s="4">
        <v>7500</v>
      </c>
      <c r="C475" s="4">
        <v>76.699999999999989</v>
      </c>
      <c r="D475" s="4">
        <v>76.899999999999991</v>
      </c>
      <c r="E475" s="4">
        <f t="shared" si="420"/>
        <v>0.20000000000000284</v>
      </c>
      <c r="F475" s="4">
        <v>0</v>
      </c>
      <c r="G475" s="4">
        <v>0.89</v>
      </c>
      <c r="H475" s="4">
        <v>79</v>
      </c>
      <c r="I475" s="4"/>
      <c r="J475" s="4">
        <v>49</v>
      </c>
      <c r="K475"/>
      <c r="L475"/>
      <c r="M475" s="4">
        <f t="shared" si="421"/>
        <v>76.899999999999991</v>
      </c>
      <c r="N475" s="4"/>
      <c r="O475" s="1">
        <f t="shared" si="422"/>
        <v>76.699999999999989</v>
      </c>
      <c r="P475" s="1">
        <f t="shared" si="423"/>
        <v>0</v>
      </c>
      <c r="Q475" s="1" t="str">
        <f t="shared" si="419"/>
        <v/>
      </c>
      <c r="R475" s="1" t="str">
        <f t="shared" si="424"/>
        <v/>
      </c>
      <c r="S475" s="1">
        <f t="shared" si="425"/>
        <v>701.28480000000059</v>
      </c>
      <c r="T475" s="1">
        <f t="shared" si="426"/>
        <v>0.89</v>
      </c>
      <c r="U475" s="1">
        <f t="shared" si="427"/>
        <v>1056.000000000015</v>
      </c>
      <c r="V475" s="1">
        <f t="shared" si="428"/>
        <v>939.84000000001333</v>
      </c>
    </row>
    <row r="476" spans="1:22" x14ac:dyDescent="0.25">
      <c r="A476" s="1">
        <v>475</v>
      </c>
      <c r="B476" s="4">
        <v>7500</v>
      </c>
      <c r="C476" s="4">
        <v>76.899999999999991</v>
      </c>
      <c r="D476" s="4">
        <v>77</v>
      </c>
      <c r="E476" s="4">
        <f t="shared" si="420"/>
        <v>0.10000000000000853</v>
      </c>
      <c r="F476" s="4">
        <v>0.7</v>
      </c>
      <c r="G476" s="4">
        <v>0.89</v>
      </c>
      <c r="H476" s="4">
        <v>79</v>
      </c>
      <c r="I476" s="4"/>
      <c r="J476" s="4">
        <v>49</v>
      </c>
      <c r="K476"/>
      <c r="L476"/>
      <c r="M476" s="4">
        <f t="shared" si="421"/>
        <v>77</v>
      </c>
      <c r="N476" s="4"/>
      <c r="O476" s="1">
        <f t="shared" si="422"/>
        <v>76.899999999999991</v>
      </c>
      <c r="P476" s="1">
        <f t="shared" si="423"/>
        <v>3.6960000000003146</v>
      </c>
      <c r="Q476" s="1" t="str">
        <f t="shared" si="419"/>
        <v/>
      </c>
      <c r="R476" s="1" t="str">
        <f t="shared" si="424"/>
        <v/>
      </c>
      <c r="S476" s="1">
        <f t="shared" si="425"/>
        <v>710.68320000000074</v>
      </c>
      <c r="T476" s="1">
        <f t="shared" si="426"/>
        <v>0.89</v>
      </c>
      <c r="U476" s="1">
        <f t="shared" si="427"/>
        <v>528.00000000004502</v>
      </c>
      <c r="V476" s="1">
        <f t="shared" si="428"/>
        <v>469.92000000004009</v>
      </c>
    </row>
    <row r="477" spans="1:22" x14ac:dyDescent="0.25">
      <c r="A477" s="1">
        <v>476</v>
      </c>
      <c r="B477" s="4">
        <v>7500</v>
      </c>
      <c r="C477" s="4">
        <v>77</v>
      </c>
      <c r="D477" s="4">
        <v>77.3</v>
      </c>
      <c r="E477" s="4">
        <f t="shared" si="420"/>
        <v>0.29999999999999716</v>
      </c>
      <c r="F477" s="4">
        <v>0</v>
      </c>
      <c r="G477" s="4">
        <v>0.16</v>
      </c>
      <c r="H477" s="4">
        <v>79</v>
      </c>
      <c r="I477" s="4"/>
      <c r="J477" s="4">
        <v>49</v>
      </c>
      <c r="K477"/>
      <c r="L477"/>
      <c r="M477" s="4">
        <f t="shared" si="421"/>
        <v>77.3</v>
      </c>
      <c r="N477" s="4"/>
      <c r="O477" s="1">
        <f t="shared" si="422"/>
        <v>77</v>
      </c>
      <c r="P477" s="1">
        <f t="shared" si="423"/>
        <v>0</v>
      </c>
      <c r="Q477" s="1" t="str">
        <f t="shared" si="419"/>
        <v/>
      </c>
      <c r="R477" s="1" t="str">
        <f t="shared" si="424"/>
        <v/>
      </c>
      <c r="S477" s="1">
        <f t="shared" si="425"/>
        <v>715.3824000000011</v>
      </c>
      <c r="T477" s="1">
        <f t="shared" si="426"/>
        <v>0.16</v>
      </c>
      <c r="U477" s="1">
        <f t="shared" si="427"/>
        <v>1583.999999999985</v>
      </c>
      <c r="V477" s="1">
        <f t="shared" si="428"/>
        <v>253.43999999999761</v>
      </c>
    </row>
    <row r="478" spans="1:22" x14ac:dyDescent="0.25">
      <c r="A478" s="1">
        <v>477</v>
      </c>
      <c r="B478" s="4">
        <v>7500</v>
      </c>
      <c r="C478" s="4">
        <v>77.3</v>
      </c>
      <c r="D478" s="4">
        <v>77.399999999999991</v>
      </c>
      <c r="E478" s="4">
        <f t="shared" si="420"/>
        <v>9.9999999999994316E-2</v>
      </c>
      <c r="F478" s="4">
        <v>1.1000000000000001</v>
      </c>
      <c r="G478" s="4">
        <v>0.37</v>
      </c>
      <c r="H478" s="4">
        <v>79</v>
      </c>
      <c r="I478" s="4"/>
      <c r="J478" s="4">
        <v>49</v>
      </c>
      <c r="K478"/>
      <c r="L478"/>
      <c r="M478" s="4">
        <f t="shared" si="421"/>
        <v>77.399999999999991</v>
      </c>
      <c r="N478" s="4"/>
      <c r="O478" s="1">
        <f t="shared" si="422"/>
        <v>77.3</v>
      </c>
      <c r="P478" s="1">
        <f t="shared" si="423"/>
        <v>5.8079999999996694</v>
      </c>
      <c r="Q478" s="1" t="str">
        <f t="shared" si="419"/>
        <v/>
      </c>
      <c r="R478" s="1" t="str">
        <f t="shared" si="424"/>
        <v/>
      </c>
      <c r="S478" s="1">
        <f t="shared" si="425"/>
        <v>717.9168000000011</v>
      </c>
      <c r="T478" s="1">
        <f t="shared" si="426"/>
        <v>0.37</v>
      </c>
      <c r="U478" s="1">
        <f t="shared" si="427"/>
        <v>527.99999999996999</v>
      </c>
      <c r="V478" s="1">
        <f t="shared" si="428"/>
        <v>195.3599999999889</v>
      </c>
    </row>
    <row r="479" spans="1:22" x14ac:dyDescent="0.25">
      <c r="A479" s="1">
        <v>478</v>
      </c>
      <c r="B479" s="4">
        <v>7500</v>
      </c>
      <c r="C479" s="4">
        <v>77.399999999999991</v>
      </c>
      <c r="D479" s="4">
        <v>77.5</v>
      </c>
      <c r="E479" s="4">
        <f t="shared" si="420"/>
        <v>0.10000000000000853</v>
      </c>
      <c r="F479" s="4">
        <v>0</v>
      </c>
      <c r="G479" s="4">
        <v>0.37</v>
      </c>
      <c r="H479" s="4">
        <v>79</v>
      </c>
      <c r="I479" s="4"/>
      <c r="J479" s="4">
        <v>49</v>
      </c>
      <c r="K479"/>
      <c r="L479"/>
      <c r="M479" s="4">
        <f t="shared" si="421"/>
        <v>77.5</v>
      </c>
      <c r="N479" s="4"/>
      <c r="O479" s="1">
        <f t="shared" si="422"/>
        <v>77.399999999999991</v>
      </c>
      <c r="P479" s="1">
        <f t="shared" si="423"/>
        <v>0</v>
      </c>
      <c r="Q479" s="1" t="str">
        <f t="shared" si="419"/>
        <v/>
      </c>
      <c r="R479" s="1" t="str">
        <f t="shared" si="424"/>
        <v/>
      </c>
      <c r="S479" s="1">
        <f t="shared" si="425"/>
        <v>719.87040000000104</v>
      </c>
      <c r="T479" s="1">
        <f t="shared" si="426"/>
        <v>0.37</v>
      </c>
      <c r="U479" s="1">
        <f t="shared" si="427"/>
        <v>528.00000000004502</v>
      </c>
      <c r="V479" s="1">
        <f t="shared" si="428"/>
        <v>195.36000000001667</v>
      </c>
    </row>
    <row r="480" spans="1:22" x14ac:dyDescent="0.25">
      <c r="A480" s="1">
        <v>479</v>
      </c>
      <c r="B480" s="4">
        <v>7500</v>
      </c>
      <c r="C480" s="4">
        <v>77.5</v>
      </c>
      <c r="D480" s="4">
        <v>77.599999999999994</v>
      </c>
      <c r="E480" s="4">
        <f t="shared" si="420"/>
        <v>9.9999999999994316E-2</v>
      </c>
      <c r="F480" s="4">
        <v>0</v>
      </c>
      <c r="G480" s="4">
        <v>0.97</v>
      </c>
      <c r="H480" s="4">
        <v>79</v>
      </c>
      <c r="I480" s="4"/>
      <c r="J480" s="4">
        <v>49</v>
      </c>
      <c r="K480"/>
      <c r="L480"/>
      <c r="M480" s="4">
        <f t="shared" si="421"/>
        <v>77.599999999999994</v>
      </c>
      <c r="N480" s="4"/>
      <c r="O480" s="1">
        <f t="shared" si="422"/>
        <v>77.5</v>
      </c>
      <c r="P480" s="1">
        <f t="shared" si="423"/>
        <v>0</v>
      </c>
      <c r="Q480" s="1" t="str">
        <f t="shared" si="419"/>
        <v/>
      </c>
      <c r="R480" s="1" t="str">
        <f t="shared" si="424"/>
        <v/>
      </c>
      <c r="S480" s="1">
        <f t="shared" si="425"/>
        <v>721.82400000000121</v>
      </c>
      <c r="T480" s="1">
        <f t="shared" si="426"/>
        <v>0.97</v>
      </c>
      <c r="U480" s="1">
        <f t="shared" si="427"/>
        <v>527.99999999996999</v>
      </c>
      <c r="V480" s="1">
        <f t="shared" si="428"/>
        <v>512.15999999997086</v>
      </c>
    </row>
    <row r="481" spans="1:22" x14ac:dyDescent="0.25">
      <c r="A481" s="1">
        <v>480</v>
      </c>
      <c r="B481" s="4">
        <v>7500</v>
      </c>
      <c r="C481" s="4">
        <v>77.599999999999994</v>
      </c>
      <c r="D481" s="4">
        <v>77.8</v>
      </c>
      <c r="E481" s="4">
        <f t="shared" si="420"/>
        <v>0.20000000000000284</v>
      </c>
      <c r="F481" s="4">
        <v>0</v>
      </c>
      <c r="G481" s="4">
        <v>-0.38</v>
      </c>
      <c r="H481" s="4">
        <v>79</v>
      </c>
      <c r="I481" s="4"/>
      <c r="J481" s="4">
        <v>49</v>
      </c>
      <c r="K481"/>
      <c r="L481"/>
      <c r="M481" s="4">
        <f t="shared" si="421"/>
        <v>77.8</v>
      </c>
      <c r="N481" s="4"/>
      <c r="O481" s="1">
        <f t="shared" si="422"/>
        <v>77.599999999999994</v>
      </c>
      <c r="P481" s="1">
        <f t="shared" si="423"/>
        <v>0</v>
      </c>
      <c r="Q481" s="1" t="str">
        <f t="shared" si="419"/>
        <v/>
      </c>
      <c r="R481" s="1" t="str">
        <f t="shared" si="424"/>
        <v/>
      </c>
      <c r="S481" s="1">
        <f t="shared" si="425"/>
        <v>726.94560000000092</v>
      </c>
      <c r="T481" s="1">
        <f t="shared" si="426"/>
        <v>-0.38</v>
      </c>
      <c r="U481" s="1">
        <f t="shared" si="427"/>
        <v>1056.000000000015</v>
      </c>
      <c r="V481" s="1">
        <f t="shared" si="428"/>
        <v>401.28000000000571</v>
      </c>
    </row>
    <row r="482" spans="1:22" x14ac:dyDescent="0.25">
      <c r="A482" s="1">
        <v>481</v>
      </c>
      <c r="B482" s="4">
        <v>7500</v>
      </c>
      <c r="C482" s="4">
        <v>77.8</v>
      </c>
      <c r="D482" s="4">
        <v>78</v>
      </c>
      <c r="E482" s="4">
        <f t="shared" si="420"/>
        <v>0.20000000000000284</v>
      </c>
      <c r="F482" s="4">
        <v>0</v>
      </c>
      <c r="G482" s="4">
        <v>-0.05</v>
      </c>
      <c r="H482" s="4">
        <v>79</v>
      </c>
      <c r="I482" s="4"/>
      <c r="J482" s="4">
        <v>49</v>
      </c>
      <c r="K482"/>
      <c r="L482"/>
      <c r="M482" s="4">
        <f t="shared" si="421"/>
        <v>78</v>
      </c>
      <c r="N482" s="4"/>
      <c r="O482" s="1">
        <f t="shared" si="422"/>
        <v>77.8</v>
      </c>
      <c r="P482" s="1">
        <f t="shared" si="423"/>
        <v>0</v>
      </c>
      <c r="Q482" s="1" t="str">
        <f t="shared" si="419"/>
        <v/>
      </c>
      <c r="R482" s="1" t="str">
        <f t="shared" si="424"/>
        <v/>
      </c>
      <c r="S482" s="1">
        <f t="shared" si="425"/>
        <v>722.93280000000084</v>
      </c>
      <c r="T482" s="1">
        <f t="shared" si="426"/>
        <v>-0.05</v>
      </c>
      <c r="U482" s="1">
        <f t="shared" si="427"/>
        <v>1056.000000000015</v>
      </c>
      <c r="V482" s="1">
        <f t="shared" si="428"/>
        <v>52.80000000000075</v>
      </c>
    </row>
    <row r="483" spans="1:22" x14ac:dyDescent="0.25">
      <c r="A483" s="1">
        <v>482</v>
      </c>
      <c r="B483" s="4">
        <v>7500</v>
      </c>
      <c r="C483" s="4">
        <v>78</v>
      </c>
      <c r="D483" s="4">
        <v>78.199999999999989</v>
      </c>
      <c r="E483" s="4">
        <f t="shared" si="420"/>
        <v>0.19999999999998863</v>
      </c>
      <c r="F483" s="4">
        <v>0.8</v>
      </c>
      <c r="G483" s="4">
        <v>0.57999999999999996</v>
      </c>
      <c r="H483" s="4">
        <v>79</v>
      </c>
      <c r="I483" s="4"/>
      <c r="J483" s="4">
        <v>49</v>
      </c>
      <c r="K483"/>
      <c r="L483"/>
      <c r="M483" s="4">
        <f t="shared" si="421"/>
        <v>78.199999999999989</v>
      </c>
      <c r="N483" s="4"/>
      <c r="O483" s="1">
        <f t="shared" si="422"/>
        <v>78</v>
      </c>
      <c r="P483" s="1">
        <f t="shared" si="423"/>
        <v>8.4479999999995208</v>
      </c>
      <c r="Q483" s="1" t="str">
        <f t="shared" si="419"/>
        <v/>
      </c>
      <c r="R483" s="1" t="str">
        <f t="shared" si="424"/>
        <v/>
      </c>
      <c r="S483" s="1">
        <f t="shared" si="425"/>
        <v>722.40480000000082</v>
      </c>
      <c r="T483" s="1">
        <f t="shared" si="426"/>
        <v>0.57999999999999996</v>
      </c>
      <c r="U483" s="1">
        <f t="shared" si="427"/>
        <v>1055.99999999994</v>
      </c>
      <c r="V483" s="1">
        <f t="shared" si="428"/>
        <v>612.47999999996512</v>
      </c>
    </row>
    <row r="484" spans="1:22" x14ac:dyDescent="0.25">
      <c r="A484" s="1">
        <v>483</v>
      </c>
      <c r="B484" s="4">
        <v>7500</v>
      </c>
      <c r="C484" s="4">
        <v>78.199999999999989</v>
      </c>
      <c r="D484" s="4">
        <v>78.3</v>
      </c>
      <c r="E484" s="4">
        <f t="shared" si="420"/>
        <v>0.10000000000000853</v>
      </c>
      <c r="F484" s="4">
        <v>0</v>
      </c>
      <c r="G484" s="4">
        <v>-0.16</v>
      </c>
      <c r="H484" s="4">
        <v>79</v>
      </c>
      <c r="I484" s="4"/>
      <c r="J484" s="4">
        <v>49</v>
      </c>
      <c r="K484"/>
      <c r="L484"/>
      <c r="M484" s="4">
        <f t="shared" si="421"/>
        <v>78.3</v>
      </c>
      <c r="N484" s="4"/>
      <c r="O484" s="1">
        <f t="shared" si="422"/>
        <v>78.199999999999989</v>
      </c>
      <c r="P484" s="1">
        <f t="shared" si="423"/>
        <v>0</v>
      </c>
      <c r="Q484" s="1" t="str">
        <f t="shared" si="419"/>
        <v/>
      </c>
      <c r="R484" s="1" t="str">
        <f t="shared" si="424"/>
        <v/>
      </c>
      <c r="S484" s="1">
        <f t="shared" si="425"/>
        <v>728.52960000000041</v>
      </c>
      <c r="T484" s="1">
        <f t="shared" si="426"/>
        <v>-0.16</v>
      </c>
      <c r="U484" s="1">
        <f t="shared" si="427"/>
        <v>528.00000000004502</v>
      </c>
      <c r="V484" s="1">
        <f t="shared" si="428"/>
        <v>84.480000000007209</v>
      </c>
    </row>
    <row r="485" spans="1:22" x14ac:dyDescent="0.25">
      <c r="A485" s="1">
        <v>484</v>
      </c>
      <c r="B485" s="4">
        <v>7500</v>
      </c>
      <c r="C485" s="4">
        <v>78.3</v>
      </c>
      <c r="D485" s="4">
        <v>78.599999999999994</v>
      </c>
      <c r="E485" s="4">
        <f t="shared" si="420"/>
        <v>0.29999999999999716</v>
      </c>
      <c r="F485" s="4">
        <v>0</v>
      </c>
      <c r="G485" s="4">
        <v>0.22</v>
      </c>
      <c r="H485" s="4">
        <v>79</v>
      </c>
      <c r="I485" s="4"/>
      <c r="J485" s="4">
        <v>49</v>
      </c>
      <c r="K485"/>
      <c r="L485"/>
      <c r="M485" s="4">
        <f t="shared" si="421"/>
        <v>78.599999999999994</v>
      </c>
      <c r="N485" s="4"/>
      <c r="O485" s="1">
        <f t="shared" si="422"/>
        <v>78.3</v>
      </c>
      <c r="P485" s="1">
        <f t="shared" si="423"/>
        <v>0</v>
      </c>
      <c r="Q485" s="1" t="str">
        <f t="shared" si="419"/>
        <v/>
      </c>
      <c r="R485" s="1" t="str">
        <f t="shared" si="424"/>
        <v/>
      </c>
      <c r="S485" s="1">
        <f t="shared" si="425"/>
        <v>727.68480000000034</v>
      </c>
      <c r="T485" s="1">
        <f t="shared" si="426"/>
        <v>0.22</v>
      </c>
      <c r="U485" s="1">
        <f t="shared" si="427"/>
        <v>1583.999999999985</v>
      </c>
      <c r="V485" s="1">
        <f t="shared" si="428"/>
        <v>348.47999999999672</v>
      </c>
    </row>
    <row r="486" spans="1:22" x14ac:dyDescent="0.25">
      <c r="A486" s="1">
        <v>485</v>
      </c>
      <c r="B486" s="4">
        <v>7500</v>
      </c>
      <c r="C486" s="4">
        <v>78.599999999999994</v>
      </c>
      <c r="D486" s="4">
        <v>78.8</v>
      </c>
      <c r="E486" s="4">
        <f t="shared" si="420"/>
        <v>0.20000000000000284</v>
      </c>
      <c r="F486" s="4">
        <v>0</v>
      </c>
      <c r="G486" s="4">
        <v>-0.24</v>
      </c>
      <c r="H486" s="4">
        <v>79</v>
      </c>
      <c r="I486" s="4"/>
      <c r="J486" s="4">
        <v>49</v>
      </c>
      <c r="K486"/>
      <c r="L486"/>
      <c r="M486" s="4">
        <f t="shared" si="421"/>
        <v>78.8</v>
      </c>
      <c r="N486" s="4"/>
      <c r="O486" s="1">
        <f t="shared" si="422"/>
        <v>78.599999999999994</v>
      </c>
      <c r="P486" s="1">
        <f t="shared" si="423"/>
        <v>0</v>
      </c>
      <c r="Q486" s="1" t="str">
        <f t="shared" si="419"/>
        <v/>
      </c>
      <c r="R486" s="1" t="str">
        <f t="shared" si="424"/>
        <v/>
      </c>
      <c r="S486" s="1">
        <f t="shared" si="425"/>
        <v>731.16960000000029</v>
      </c>
      <c r="T486" s="1">
        <f t="shared" si="426"/>
        <v>-0.24</v>
      </c>
      <c r="U486" s="1">
        <f t="shared" si="427"/>
        <v>1056.000000000015</v>
      </c>
      <c r="V486" s="1">
        <f t="shared" si="428"/>
        <v>253.44000000000358</v>
      </c>
    </row>
    <row r="487" spans="1:22" x14ac:dyDescent="0.25">
      <c r="A487" s="1">
        <v>486</v>
      </c>
      <c r="B487" s="4">
        <v>7500</v>
      </c>
      <c r="C487" s="4">
        <v>78.8</v>
      </c>
      <c r="D487" s="4">
        <v>78.899999999999991</v>
      </c>
      <c r="E487" s="4">
        <f t="shared" si="420"/>
        <v>9.9999999999994316E-2</v>
      </c>
      <c r="F487" s="4">
        <v>1.1000000000000001</v>
      </c>
      <c r="G487" s="4">
        <v>-0.24</v>
      </c>
      <c r="H487" s="4">
        <v>79</v>
      </c>
      <c r="I487" s="4"/>
      <c r="J487" s="4">
        <v>49</v>
      </c>
      <c r="K487"/>
      <c r="L487"/>
      <c r="M487" s="4">
        <f t="shared" si="421"/>
        <v>78.899999999999991</v>
      </c>
      <c r="N487" s="4"/>
      <c r="O487" s="1">
        <f t="shared" si="422"/>
        <v>78.8</v>
      </c>
      <c r="P487" s="1">
        <f t="shared" si="423"/>
        <v>5.8079999999996694</v>
      </c>
      <c r="Q487" s="1" t="str">
        <f t="shared" si="419"/>
        <v/>
      </c>
      <c r="R487" s="1" t="str">
        <f t="shared" si="424"/>
        <v/>
      </c>
      <c r="S487" s="1">
        <f t="shared" si="425"/>
        <v>728.63520000000028</v>
      </c>
      <c r="T487" s="1">
        <f t="shared" si="426"/>
        <v>-0.24</v>
      </c>
      <c r="U487" s="1">
        <f t="shared" si="427"/>
        <v>527.99999999996999</v>
      </c>
      <c r="V487" s="1">
        <f t="shared" si="428"/>
        <v>126.71999999999279</v>
      </c>
    </row>
    <row r="488" spans="1:22" x14ac:dyDescent="0.25">
      <c r="A488" s="1">
        <v>487</v>
      </c>
      <c r="B488" s="4">
        <v>7500</v>
      </c>
      <c r="C488" s="4">
        <v>78.899999999999991</v>
      </c>
      <c r="D488" s="4">
        <v>79</v>
      </c>
      <c r="E488" s="4">
        <f t="shared" si="420"/>
        <v>0.10000000000000853</v>
      </c>
      <c r="F488" s="4">
        <v>1.1000000000000001</v>
      </c>
      <c r="G488" s="4">
        <v>-0.69</v>
      </c>
      <c r="H488" s="4">
        <v>79</v>
      </c>
      <c r="I488" s="4"/>
      <c r="J488" s="4">
        <v>49</v>
      </c>
      <c r="K488"/>
      <c r="L488"/>
      <c r="M488" s="4">
        <f t="shared" si="421"/>
        <v>79</v>
      </c>
      <c r="N488" s="4"/>
      <c r="O488" s="1">
        <f t="shared" si="422"/>
        <v>78.899999999999991</v>
      </c>
      <c r="P488" s="1">
        <f t="shared" si="423"/>
        <v>5.8080000000004954</v>
      </c>
      <c r="Q488" s="1" t="str">
        <f t="shared" si="419"/>
        <v/>
      </c>
      <c r="R488" s="1" t="str">
        <f t="shared" si="424"/>
        <v/>
      </c>
      <c r="S488" s="1">
        <f t="shared" si="425"/>
        <v>727.36800000000039</v>
      </c>
      <c r="T488" s="1">
        <f t="shared" si="426"/>
        <v>-0.69</v>
      </c>
      <c r="U488" s="1">
        <f t="shared" si="427"/>
        <v>528.00000000004502</v>
      </c>
      <c r="V488" s="1">
        <f t="shared" si="428"/>
        <v>364.32000000003103</v>
      </c>
    </row>
    <row r="489" spans="1:22" x14ac:dyDescent="0.25">
      <c r="A489" s="1">
        <v>488</v>
      </c>
      <c r="B489" s="4">
        <v>7500</v>
      </c>
      <c r="C489" s="4">
        <v>79</v>
      </c>
      <c r="D489" s="4">
        <v>79.3</v>
      </c>
      <c r="E489" s="4">
        <f t="shared" si="420"/>
        <v>0.29999999999999716</v>
      </c>
      <c r="F489" s="4">
        <v>1.1000000000000001</v>
      </c>
      <c r="G489" s="4">
        <v>0.21</v>
      </c>
      <c r="H489" s="4">
        <v>79</v>
      </c>
      <c r="I489" s="4"/>
      <c r="J489" s="4">
        <v>49</v>
      </c>
      <c r="K489"/>
      <c r="L489"/>
      <c r="M489" s="4">
        <f t="shared" si="421"/>
        <v>79.3</v>
      </c>
      <c r="N489" s="4"/>
      <c r="O489" s="1">
        <f t="shared" si="422"/>
        <v>79</v>
      </c>
      <c r="P489" s="1">
        <f t="shared" si="423"/>
        <v>17.423999999999836</v>
      </c>
      <c r="Q489" s="1" t="str">
        <f t="shared" si="419"/>
        <v/>
      </c>
      <c r="R489" s="1" t="str">
        <f t="shared" si="424"/>
        <v/>
      </c>
      <c r="S489" s="1">
        <f t="shared" si="425"/>
        <v>723.72480000000007</v>
      </c>
      <c r="T489" s="1">
        <f t="shared" si="426"/>
        <v>0.21</v>
      </c>
      <c r="U489" s="1">
        <f t="shared" si="427"/>
        <v>1583.999999999985</v>
      </c>
      <c r="V489" s="1">
        <f t="shared" si="428"/>
        <v>332.63999999999686</v>
      </c>
    </row>
    <row r="490" spans="1:22" x14ac:dyDescent="0.25">
      <c r="A490" s="1">
        <v>489</v>
      </c>
      <c r="B490" s="4">
        <v>7500</v>
      </c>
      <c r="C490" s="4">
        <v>79.3</v>
      </c>
      <c r="D490" s="4">
        <v>79.399999999999991</v>
      </c>
      <c r="E490" s="4">
        <f t="shared" si="420"/>
        <v>9.9999999999994316E-2</v>
      </c>
      <c r="F490" s="4">
        <v>1.1000000000000001</v>
      </c>
      <c r="G490" s="4">
        <v>-0.05</v>
      </c>
      <c r="H490" s="4">
        <v>79</v>
      </c>
      <c r="I490" s="4"/>
      <c r="J490" s="4">
        <v>49</v>
      </c>
      <c r="K490"/>
      <c r="L490"/>
      <c r="M490" s="4">
        <f t="shared" si="421"/>
        <v>79.399999999999991</v>
      </c>
      <c r="N490" s="4"/>
      <c r="O490" s="1">
        <f t="shared" si="422"/>
        <v>79.3</v>
      </c>
      <c r="P490" s="1">
        <f t="shared" si="423"/>
        <v>5.8079999999996694</v>
      </c>
      <c r="Q490" s="1" t="str">
        <f t="shared" si="419"/>
        <v/>
      </c>
      <c r="R490" s="1" t="str">
        <f t="shared" si="424"/>
        <v/>
      </c>
      <c r="S490" s="1">
        <f t="shared" si="425"/>
        <v>727.05119999999999</v>
      </c>
      <c r="T490" s="1">
        <f t="shared" si="426"/>
        <v>-0.05</v>
      </c>
      <c r="U490" s="1">
        <f t="shared" si="427"/>
        <v>527.99999999996999</v>
      </c>
      <c r="V490" s="1">
        <f t="shared" si="428"/>
        <v>26.399999999998499</v>
      </c>
    </row>
    <row r="491" spans="1:22" x14ac:dyDescent="0.25">
      <c r="A491" s="1">
        <v>490</v>
      </c>
      <c r="B491" s="4">
        <v>7500</v>
      </c>
      <c r="C491" s="4">
        <v>79.399999999999991</v>
      </c>
      <c r="D491" s="4">
        <v>79.899999999999991</v>
      </c>
      <c r="E491" s="4">
        <f t="shared" si="420"/>
        <v>0.5</v>
      </c>
      <c r="F491" s="4">
        <v>0</v>
      </c>
      <c r="G491" s="4">
        <v>-0.05</v>
      </c>
      <c r="H491" s="4">
        <v>79</v>
      </c>
      <c r="I491" s="4"/>
      <c r="J491" s="4">
        <v>49</v>
      </c>
      <c r="K491"/>
      <c r="L491"/>
      <c r="M491" s="4">
        <f t="shared" si="421"/>
        <v>79.899999999999991</v>
      </c>
      <c r="N491" s="4"/>
      <c r="O491" s="1">
        <f t="shared" si="422"/>
        <v>79.399999999999991</v>
      </c>
      <c r="P491" s="1">
        <f t="shared" si="423"/>
        <v>0</v>
      </c>
      <c r="Q491" s="1" t="str">
        <f t="shared" si="419"/>
        <v/>
      </c>
      <c r="R491" s="1" t="str">
        <f t="shared" si="424"/>
        <v/>
      </c>
      <c r="S491" s="1">
        <f t="shared" si="425"/>
        <v>726.78719999999998</v>
      </c>
      <c r="T491" s="1">
        <f t="shared" si="426"/>
        <v>-0.05</v>
      </c>
      <c r="U491" s="1">
        <f t="shared" si="427"/>
        <v>2640</v>
      </c>
      <c r="V491" s="1">
        <f t="shared" si="428"/>
        <v>132</v>
      </c>
    </row>
    <row r="492" spans="1:22" x14ac:dyDescent="0.25">
      <c r="A492" s="1">
        <v>491</v>
      </c>
      <c r="B492" s="4">
        <v>7500</v>
      </c>
      <c r="C492" s="4">
        <v>79.899999999999991</v>
      </c>
      <c r="D492" s="4">
        <v>80.099999999999994</v>
      </c>
      <c r="E492" s="4">
        <f t="shared" si="420"/>
        <v>0.20000000000000284</v>
      </c>
      <c r="F492" s="4">
        <v>1.6</v>
      </c>
      <c r="G492" s="4">
        <v>-0.05</v>
      </c>
      <c r="H492" s="4">
        <v>79</v>
      </c>
      <c r="I492" s="4"/>
      <c r="J492" s="4">
        <v>49</v>
      </c>
      <c r="K492"/>
      <c r="L492"/>
      <c r="M492" s="4">
        <f t="shared" si="421"/>
        <v>80.099999999999994</v>
      </c>
      <c r="N492" s="4"/>
      <c r="O492" s="1">
        <f t="shared" si="422"/>
        <v>79.899999999999991</v>
      </c>
      <c r="P492" s="1">
        <f t="shared" si="423"/>
        <v>16.896000000000242</v>
      </c>
      <c r="Q492" s="1" t="str">
        <f t="shared" si="419"/>
        <v/>
      </c>
      <c r="R492" s="1" t="str">
        <f t="shared" si="424"/>
        <v/>
      </c>
      <c r="S492" s="1">
        <f t="shared" si="425"/>
        <v>725.46719999999993</v>
      </c>
      <c r="T492" s="1">
        <f t="shared" si="426"/>
        <v>-0.05</v>
      </c>
      <c r="U492" s="1">
        <f t="shared" si="427"/>
        <v>1056.000000000015</v>
      </c>
      <c r="V492" s="1">
        <f t="shared" si="428"/>
        <v>52.80000000000075</v>
      </c>
    </row>
    <row r="493" spans="1:22" x14ac:dyDescent="0.25">
      <c r="A493" s="1">
        <v>492</v>
      </c>
      <c r="B493" s="4">
        <v>7500</v>
      </c>
      <c r="C493" s="4">
        <v>80.099999999999994</v>
      </c>
      <c r="D493" s="4">
        <v>80.3</v>
      </c>
      <c r="E493" s="4">
        <f t="shared" si="420"/>
        <v>0.20000000000000284</v>
      </c>
      <c r="F493" s="4">
        <v>0</v>
      </c>
      <c r="G493" s="4">
        <v>-0.05</v>
      </c>
      <c r="H493" s="4">
        <v>79</v>
      </c>
      <c r="I493" s="4"/>
      <c r="J493" s="4">
        <v>49</v>
      </c>
      <c r="K493"/>
      <c r="L493"/>
      <c r="M493" s="4">
        <f t="shared" si="421"/>
        <v>80.3</v>
      </c>
      <c r="N493" s="4"/>
      <c r="O493" s="1">
        <f t="shared" si="422"/>
        <v>80.099999999999994</v>
      </c>
      <c r="P493" s="1">
        <f t="shared" si="423"/>
        <v>0</v>
      </c>
      <c r="Q493" s="1" t="str">
        <f t="shared" si="419"/>
        <v/>
      </c>
      <c r="R493" s="1" t="str">
        <f t="shared" si="424"/>
        <v/>
      </c>
      <c r="S493" s="1">
        <f t="shared" si="425"/>
        <v>724.93919999999991</v>
      </c>
      <c r="T493" s="1">
        <f t="shared" si="426"/>
        <v>-0.05</v>
      </c>
      <c r="U493" s="1">
        <f t="shared" si="427"/>
        <v>1056.000000000015</v>
      </c>
      <c r="V493" s="1">
        <f t="shared" si="428"/>
        <v>52.80000000000075</v>
      </c>
    </row>
    <row r="494" spans="1:22" x14ac:dyDescent="0.25">
      <c r="A494" s="1">
        <v>493</v>
      </c>
      <c r="B494" s="4">
        <v>7500</v>
      </c>
      <c r="C494" s="4">
        <v>80.3</v>
      </c>
      <c r="D494" s="4">
        <v>80.899999999999991</v>
      </c>
      <c r="E494" s="4">
        <f t="shared" si="420"/>
        <v>0.59999999999999432</v>
      </c>
      <c r="F494" s="4">
        <v>0</v>
      </c>
      <c r="G494" s="4">
        <v>-0.05</v>
      </c>
      <c r="H494" s="4">
        <v>79</v>
      </c>
      <c r="I494" s="4"/>
      <c r="J494" s="4">
        <v>49</v>
      </c>
      <c r="K494"/>
      <c r="L494"/>
      <c r="M494" s="4">
        <f t="shared" si="421"/>
        <v>80.899999999999991</v>
      </c>
      <c r="N494" s="4"/>
      <c r="O494" s="1">
        <f t="shared" si="422"/>
        <v>80.3</v>
      </c>
      <c r="P494" s="1">
        <f t="shared" si="423"/>
        <v>0</v>
      </c>
      <c r="Q494" s="1" t="str">
        <f t="shared" si="419"/>
        <v/>
      </c>
      <c r="R494" s="1" t="str">
        <f t="shared" si="424"/>
        <v/>
      </c>
      <c r="S494" s="1">
        <f t="shared" si="425"/>
        <v>724.41119999999989</v>
      </c>
      <c r="T494" s="1">
        <f t="shared" si="426"/>
        <v>-0.05</v>
      </c>
      <c r="U494" s="1">
        <f t="shared" si="427"/>
        <v>3167.99999999997</v>
      </c>
      <c r="V494" s="1">
        <f t="shared" si="428"/>
        <v>158.3999999999985</v>
      </c>
    </row>
    <row r="495" spans="1:22" x14ac:dyDescent="0.25">
      <c r="A495" s="1">
        <v>494</v>
      </c>
      <c r="B495" s="4">
        <v>7500</v>
      </c>
      <c r="C495" s="4">
        <v>80.899999999999991</v>
      </c>
      <c r="D495" s="4">
        <v>81.599999999999994</v>
      </c>
      <c r="E495" s="4">
        <f t="shared" si="420"/>
        <v>0.70000000000000284</v>
      </c>
      <c r="F495" s="4">
        <v>0</v>
      </c>
      <c r="G495" s="4">
        <v>-0.05</v>
      </c>
      <c r="H495" s="4">
        <v>79</v>
      </c>
      <c r="I495" s="4"/>
      <c r="J495" s="4">
        <v>49</v>
      </c>
      <c r="K495"/>
      <c r="L495"/>
      <c r="M495" s="4">
        <f t="shared" si="421"/>
        <v>81.599999999999994</v>
      </c>
      <c r="N495" s="4"/>
      <c r="O495" s="1">
        <f t="shared" si="422"/>
        <v>80.899999999999991</v>
      </c>
      <c r="P495" s="1">
        <f t="shared" si="423"/>
        <v>0</v>
      </c>
      <c r="Q495" s="1" t="str">
        <f t="shared" si="419"/>
        <v/>
      </c>
      <c r="R495" s="1" t="str">
        <f t="shared" si="424"/>
        <v/>
      </c>
      <c r="S495" s="1">
        <f t="shared" si="425"/>
        <v>722.82719999999995</v>
      </c>
      <c r="T495" s="1">
        <f t="shared" si="426"/>
        <v>-0.05</v>
      </c>
      <c r="U495" s="1">
        <f t="shared" si="427"/>
        <v>3696.000000000015</v>
      </c>
      <c r="V495" s="1">
        <f t="shared" si="428"/>
        <v>184.80000000000075</v>
      </c>
    </row>
    <row r="496" spans="1:22" x14ac:dyDescent="0.25">
      <c r="A496" s="1">
        <v>495</v>
      </c>
      <c r="B496" s="4">
        <v>7500</v>
      </c>
      <c r="C496" s="4">
        <v>81.599999999999994</v>
      </c>
      <c r="D496" s="4">
        <v>81.699999999999989</v>
      </c>
      <c r="E496" s="4">
        <f t="shared" si="420"/>
        <v>9.9999999999994316E-2</v>
      </c>
      <c r="F496" s="4">
        <v>2.6</v>
      </c>
      <c r="G496" s="4">
        <v>-0.05</v>
      </c>
      <c r="H496" s="4">
        <v>79</v>
      </c>
      <c r="I496" s="4"/>
      <c r="J496" s="4">
        <v>49</v>
      </c>
      <c r="K496"/>
      <c r="L496"/>
      <c r="M496" s="4">
        <f t="shared" si="421"/>
        <v>81.699999999999989</v>
      </c>
      <c r="N496" s="4"/>
      <c r="O496" s="1">
        <f t="shared" si="422"/>
        <v>81.599999999999994</v>
      </c>
      <c r="P496" s="1">
        <f t="shared" si="423"/>
        <v>13.72799999999922</v>
      </c>
      <c r="Q496" s="1" t="str">
        <f t="shared" si="419"/>
        <v/>
      </c>
      <c r="R496" s="1" t="str">
        <f t="shared" si="424"/>
        <v/>
      </c>
      <c r="S496" s="1">
        <f t="shared" si="425"/>
        <v>720.97919999999999</v>
      </c>
      <c r="T496" s="1">
        <f t="shared" si="426"/>
        <v>-0.05</v>
      </c>
      <c r="U496" s="1">
        <f t="shared" si="427"/>
        <v>527.99999999996999</v>
      </c>
      <c r="V496" s="1">
        <f t="shared" si="428"/>
        <v>26.399999999998499</v>
      </c>
    </row>
    <row r="497" spans="1:22" x14ac:dyDescent="0.25">
      <c r="A497" s="1">
        <v>496</v>
      </c>
      <c r="B497" s="4">
        <v>7500</v>
      </c>
      <c r="C497" s="4">
        <v>81.699999999999989</v>
      </c>
      <c r="D497" s="4">
        <v>81.8</v>
      </c>
      <c r="E497" s="4">
        <f t="shared" si="420"/>
        <v>0.10000000000000853</v>
      </c>
      <c r="F497" s="4">
        <v>0</v>
      </c>
      <c r="G497" s="4">
        <v>-0.05</v>
      </c>
      <c r="H497" s="4">
        <v>79</v>
      </c>
      <c r="I497" s="4"/>
      <c r="J497" s="4">
        <v>49</v>
      </c>
      <c r="K497"/>
      <c r="L497"/>
      <c r="M497" s="4">
        <f t="shared" si="421"/>
        <v>81.8</v>
      </c>
      <c r="N497" s="4"/>
      <c r="O497" s="1">
        <f t="shared" si="422"/>
        <v>81.699999999999989</v>
      </c>
      <c r="P497" s="1">
        <f t="shared" si="423"/>
        <v>0</v>
      </c>
      <c r="Q497" s="1" t="str">
        <f t="shared" si="419"/>
        <v/>
      </c>
      <c r="R497" s="1" t="str">
        <f t="shared" si="424"/>
        <v/>
      </c>
      <c r="S497" s="1">
        <f t="shared" si="425"/>
        <v>720.71519999999998</v>
      </c>
      <c r="T497" s="1">
        <f t="shared" si="426"/>
        <v>-0.05</v>
      </c>
      <c r="U497" s="1">
        <f t="shared" si="427"/>
        <v>528.00000000004502</v>
      </c>
      <c r="V497" s="1">
        <f t="shared" si="428"/>
        <v>26.400000000002251</v>
      </c>
    </row>
    <row r="498" spans="1:22" x14ac:dyDescent="0.25">
      <c r="A498" s="1">
        <v>497</v>
      </c>
      <c r="B498" s="4">
        <v>7500</v>
      </c>
      <c r="C498" s="4">
        <v>81.8</v>
      </c>
      <c r="D498" s="4">
        <v>81.899999999999991</v>
      </c>
      <c r="E498" s="4">
        <f t="shared" si="420"/>
        <v>9.9999999999994316E-2</v>
      </c>
      <c r="F498" s="4">
        <v>2.8</v>
      </c>
      <c r="G498" s="4">
        <v>-0.05</v>
      </c>
      <c r="H498" s="4">
        <v>79</v>
      </c>
      <c r="I498" s="4"/>
      <c r="J498" s="4">
        <v>49</v>
      </c>
      <c r="K498"/>
      <c r="L498"/>
      <c r="M498" s="4">
        <f t="shared" si="421"/>
        <v>81.899999999999991</v>
      </c>
      <c r="N498" s="4"/>
      <c r="O498" s="1">
        <f t="shared" si="422"/>
        <v>81.8</v>
      </c>
      <c r="P498" s="1">
        <f t="shared" si="423"/>
        <v>14.783999999999157</v>
      </c>
      <c r="Q498" s="1" t="str">
        <f t="shared" si="419"/>
        <v/>
      </c>
      <c r="R498" s="1" t="str">
        <f t="shared" si="424"/>
        <v/>
      </c>
      <c r="S498" s="1">
        <f t="shared" si="425"/>
        <v>720.45119999999997</v>
      </c>
      <c r="T498" s="1">
        <f t="shared" si="426"/>
        <v>-0.05</v>
      </c>
      <c r="U498" s="1">
        <f t="shared" si="427"/>
        <v>527.99999999996999</v>
      </c>
      <c r="V498" s="1">
        <f t="shared" si="428"/>
        <v>26.399999999998499</v>
      </c>
    </row>
    <row r="499" spans="1:22" x14ac:dyDescent="0.25">
      <c r="A499" s="1">
        <v>498</v>
      </c>
      <c r="B499" s="4">
        <v>7500</v>
      </c>
      <c r="C499" s="4">
        <v>81.899999999999991</v>
      </c>
      <c r="D499" s="4">
        <v>82</v>
      </c>
      <c r="E499" s="4">
        <f t="shared" si="420"/>
        <v>0.10000000000000853</v>
      </c>
      <c r="F499" s="4">
        <v>0</v>
      </c>
      <c r="G499" s="4">
        <v>-0.05</v>
      </c>
      <c r="H499" s="4">
        <v>79</v>
      </c>
      <c r="I499" s="4"/>
      <c r="J499" s="4">
        <v>49</v>
      </c>
      <c r="K499"/>
      <c r="L499"/>
      <c r="M499" s="4">
        <f t="shared" si="421"/>
        <v>82</v>
      </c>
      <c r="N499" s="4"/>
      <c r="O499" s="1">
        <f t="shared" si="422"/>
        <v>81.899999999999991</v>
      </c>
      <c r="P499" s="1">
        <f t="shared" si="423"/>
        <v>0</v>
      </c>
      <c r="Q499" s="1" t="str">
        <f t="shared" si="419"/>
        <v/>
      </c>
      <c r="R499" s="1" t="str">
        <f t="shared" si="424"/>
        <v/>
      </c>
      <c r="S499" s="1">
        <f t="shared" si="425"/>
        <v>720.18719999999996</v>
      </c>
      <c r="T499" s="1">
        <f t="shared" si="426"/>
        <v>-0.05</v>
      </c>
      <c r="U499" s="1">
        <f t="shared" si="427"/>
        <v>528.00000000004502</v>
      </c>
      <c r="V499" s="1">
        <f t="shared" si="428"/>
        <v>26.400000000002251</v>
      </c>
    </row>
    <row r="500" spans="1:22" x14ac:dyDescent="0.25">
      <c r="A500" s="1">
        <v>499</v>
      </c>
      <c r="B500" s="4">
        <v>7500</v>
      </c>
      <c r="C500" s="4">
        <v>82</v>
      </c>
      <c r="D500" s="4">
        <v>82.199999999999989</v>
      </c>
      <c r="E500" s="4">
        <f t="shared" si="420"/>
        <v>0.19999999999998863</v>
      </c>
      <c r="F500" s="4">
        <v>0</v>
      </c>
      <c r="G500" s="4">
        <v>0.89</v>
      </c>
      <c r="H500" s="4">
        <v>79</v>
      </c>
      <c r="I500" s="4"/>
      <c r="J500" s="4">
        <v>50</v>
      </c>
      <c r="K500"/>
      <c r="L500"/>
      <c r="M500" s="4">
        <f t="shared" si="421"/>
        <v>82.199999999999989</v>
      </c>
      <c r="N500" s="4"/>
      <c r="O500" s="1">
        <f t="shared" si="422"/>
        <v>82</v>
      </c>
      <c r="P500" s="1">
        <f t="shared" si="423"/>
        <v>0</v>
      </c>
      <c r="Q500" s="1" t="str">
        <f t="shared" si="419"/>
        <v/>
      </c>
      <c r="R500" s="1" t="str">
        <f t="shared" si="424"/>
        <v/>
      </c>
      <c r="S500" s="1">
        <f t="shared" si="425"/>
        <v>719.92319999999995</v>
      </c>
      <c r="T500" s="1">
        <f t="shared" si="426"/>
        <v>0.89</v>
      </c>
      <c r="U500" s="1">
        <f t="shared" si="427"/>
        <v>1055.99999999994</v>
      </c>
      <c r="V500" s="1">
        <f t="shared" si="428"/>
        <v>939.8399999999466</v>
      </c>
    </row>
    <row r="501" spans="1:22" x14ac:dyDescent="0.25">
      <c r="A501" s="1">
        <v>500</v>
      </c>
      <c r="B501" s="4">
        <v>7500</v>
      </c>
      <c r="C501" s="4">
        <v>82.199999999999989</v>
      </c>
      <c r="D501" s="4">
        <v>82.3</v>
      </c>
      <c r="E501" s="4">
        <f t="shared" si="420"/>
        <v>0.10000000000000853</v>
      </c>
      <c r="F501" s="4">
        <v>0</v>
      </c>
      <c r="G501" s="4">
        <v>0.26</v>
      </c>
      <c r="H501" s="4">
        <v>79</v>
      </c>
      <c r="I501" s="4"/>
      <c r="J501" s="4">
        <v>50</v>
      </c>
      <c r="K501"/>
      <c r="L501"/>
      <c r="M501" s="4">
        <f t="shared" si="421"/>
        <v>82.3</v>
      </c>
      <c r="N501" s="4"/>
      <c r="O501" s="1">
        <f t="shared" si="422"/>
        <v>82.199999999999989</v>
      </c>
      <c r="P501" s="1">
        <f t="shared" si="423"/>
        <v>0</v>
      </c>
      <c r="Q501" s="1" t="str">
        <f t="shared" si="419"/>
        <v/>
      </c>
      <c r="R501" s="1" t="str">
        <f t="shared" si="424"/>
        <v/>
      </c>
      <c r="S501" s="1">
        <f t="shared" si="425"/>
        <v>729.32159999999942</v>
      </c>
      <c r="T501" s="1">
        <f t="shared" si="426"/>
        <v>0.26</v>
      </c>
      <c r="U501" s="1">
        <f t="shared" si="427"/>
        <v>528.00000000004502</v>
      </c>
      <c r="V501" s="1">
        <f t="shared" si="428"/>
        <v>137.28000000001171</v>
      </c>
    </row>
    <row r="502" spans="1:22" x14ac:dyDescent="0.25">
      <c r="A502" s="1">
        <v>501</v>
      </c>
      <c r="B502" s="4">
        <v>7500</v>
      </c>
      <c r="C502" s="4">
        <v>82.3</v>
      </c>
      <c r="D502" s="4">
        <v>82.399999999999991</v>
      </c>
      <c r="E502" s="4">
        <f t="shared" si="420"/>
        <v>9.9999999999994316E-2</v>
      </c>
      <c r="F502" s="4">
        <v>0</v>
      </c>
      <c r="G502" s="4">
        <v>-0.06</v>
      </c>
      <c r="H502" s="4">
        <v>79</v>
      </c>
      <c r="I502" s="4"/>
      <c r="J502" s="4">
        <v>50</v>
      </c>
      <c r="K502"/>
      <c r="L502"/>
      <c r="M502" s="4">
        <f t="shared" si="421"/>
        <v>82.399999999999991</v>
      </c>
      <c r="N502" s="4"/>
      <c r="O502" s="1">
        <f t="shared" si="422"/>
        <v>82.3</v>
      </c>
      <c r="P502" s="1">
        <f t="shared" si="423"/>
        <v>0</v>
      </c>
      <c r="Q502" s="1" t="str">
        <f t="shared" si="419"/>
        <v/>
      </c>
      <c r="R502" s="1" t="str">
        <f t="shared" si="424"/>
        <v/>
      </c>
      <c r="S502" s="1">
        <f t="shared" si="425"/>
        <v>730.69439999999952</v>
      </c>
      <c r="T502" s="1">
        <f t="shared" si="426"/>
        <v>-0.06</v>
      </c>
      <c r="U502" s="1">
        <f t="shared" si="427"/>
        <v>527.99999999996999</v>
      </c>
      <c r="V502" s="1">
        <f t="shared" si="428"/>
        <v>31.679999999998198</v>
      </c>
    </row>
    <row r="503" spans="1:22" x14ac:dyDescent="0.25">
      <c r="A503" s="1">
        <v>502</v>
      </c>
      <c r="B503" s="4">
        <v>7500</v>
      </c>
      <c r="C503" s="4">
        <v>82.399999999999991</v>
      </c>
      <c r="D503" s="4">
        <v>82.5</v>
      </c>
      <c r="E503" s="4">
        <f t="shared" si="420"/>
        <v>0.10000000000000853</v>
      </c>
      <c r="F503" s="4">
        <v>0</v>
      </c>
      <c r="G503" s="4">
        <v>-0.23</v>
      </c>
      <c r="H503" s="4">
        <v>79</v>
      </c>
      <c r="I503" s="4"/>
      <c r="J503" s="4">
        <v>50</v>
      </c>
      <c r="K503"/>
      <c r="L503"/>
      <c r="M503" s="4">
        <f t="shared" si="421"/>
        <v>82.5</v>
      </c>
      <c r="N503" s="4"/>
      <c r="O503" s="1">
        <f t="shared" si="422"/>
        <v>82.399999999999991</v>
      </c>
      <c r="P503" s="1">
        <f t="shared" si="423"/>
        <v>0</v>
      </c>
      <c r="Q503" s="1" t="str">
        <f t="shared" si="419"/>
        <v/>
      </c>
      <c r="R503" s="1" t="str">
        <f t="shared" si="424"/>
        <v/>
      </c>
      <c r="S503" s="1">
        <f t="shared" si="425"/>
        <v>730.37759999999957</v>
      </c>
      <c r="T503" s="1">
        <f t="shared" si="426"/>
        <v>-0.23</v>
      </c>
      <c r="U503" s="1">
        <f t="shared" si="427"/>
        <v>528.00000000004502</v>
      </c>
      <c r="V503" s="1">
        <f t="shared" si="428"/>
        <v>121.44000000001036</v>
      </c>
    </row>
    <row r="504" spans="1:22" x14ac:dyDescent="0.25">
      <c r="A504" s="1">
        <v>503</v>
      </c>
      <c r="B504" s="4">
        <v>7500</v>
      </c>
      <c r="C504" s="4">
        <v>82.5</v>
      </c>
      <c r="D504" s="4">
        <v>82.6</v>
      </c>
      <c r="E504" s="4">
        <f t="shared" si="420"/>
        <v>9.9999999999994316E-2</v>
      </c>
      <c r="F504" s="4">
        <v>0</v>
      </c>
      <c r="G504" s="4">
        <v>-0.32</v>
      </c>
      <c r="H504" s="4">
        <v>79</v>
      </c>
      <c r="I504" s="4"/>
      <c r="J504" s="4">
        <v>50</v>
      </c>
      <c r="K504"/>
      <c r="L504"/>
      <c r="M504" s="4">
        <f t="shared" si="421"/>
        <v>82.6</v>
      </c>
      <c r="N504" s="4"/>
      <c r="O504" s="1">
        <f t="shared" si="422"/>
        <v>82.5</v>
      </c>
      <c r="P504" s="1">
        <f t="shared" si="423"/>
        <v>0</v>
      </c>
      <c r="Q504" s="1" t="str">
        <f t="shared" si="419"/>
        <v/>
      </c>
      <c r="R504" s="1" t="str">
        <f t="shared" si="424"/>
        <v/>
      </c>
      <c r="S504" s="1">
        <f t="shared" si="425"/>
        <v>729.16319999999951</v>
      </c>
      <c r="T504" s="1">
        <f t="shared" si="426"/>
        <v>-0.32</v>
      </c>
      <c r="U504" s="1">
        <f t="shared" si="427"/>
        <v>527.99999999996999</v>
      </c>
      <c r="V504" s="1">
        <f t="shared" si="428"/>
        <v>168.9599999999904</v>
      </c>
    </row>
    <row r="505" spans="1:22" x14ac:dyDescent="0.25">
      <c r="A505" s="1">
        <v>504</v>
      </c>
      <c r="B505" s="4">
        <v>7500</v>
      </c>
      <c r="C505" s="4">
        <v>82.6</v>
      </c>
      <c r="D505" s="4">
        <v>82.699999999999989</v>
      </c>
      <c r="E505" s="4">
        <f t="shared" si="420"/>
        <v>9.9999999999994316E-2</v>
      </c>
      <c r="F505" s="4">
        <v>0</v>
      </c>
      <c r="G505" s="4">
        <v>0.02</v>
      </c>
      <c r="H505" s="4">
        <v>79</v>
      </c>
      <c r="I505" s="4"/>
      <c r="J505" s="4">
        <v>50</v>
      </c>
      <c r="K505"/>
      <c r="L505"/>
      <c r="M505" s="4">
        <f t="shared" si="421"/>
        <v>82.699999999999989</v>
      </c>
      <c r="N505" s="4"/>
      <c r="O505" s="1">
        <f t="shared" si="422"/>
        <v>82.6</v>
      </c>
      <c r="P505" s="1">
        <f t="shared" si="423"/>
        <v>0</v>
      </c>
      <c r="Q505" s="1" t="str">
        <f t="shared" si="419"/>
        <v/>
      </c>
      <c r="R505" s="1" t="str">
        <f t="shared" si="424"/>
        <v/>
      </c>
      <c r="S505" s="1">
        <f t="shared" si="425"/>
        <v>727.47359999999958</v>
      </c>
      <c r="T505" s="1">
        <f t="shared" si="426"/>
        <v>0.02</v>
      </c>
      <c r="U505" s="1">
        <f t="shared" si="427"/>
        <v>527.99999999996999</v>
      </c>
      <c r="V505" s="1">
        <f t="shared" si="428"/>
        <v>10.5599999999994</v>
      </c>
    </row>
    <row r="506" spans="1:22" x14ac:dyDescent="0.25">
      <c r="A506" s="1">
        <v>505</v>
      </c>
      <c r="B506" s="4">
        <v>7500</v>
      </c>
      <c r="C506" s="4">
        <v>82.699999999999989</v>
      </c>
      <c r="D506" s="4">
        <v>82.899999999999991</v>
      </c>
      <c r="E506" s="4">
        <f t="shared" si="420"/>
        <v>0.20000000000000284</v>
      </c>
      <c r="F506" s="4">
        <v>0</v>
      </c>
      <c r="G506" s="4">
        <v>0.6</v>
      </c>
      <c r="H506" s="4">
        <v>79</v>
      </c>
      <c r="I506" s="4"/>
      <c r="J506" s="4">
        <v>50</v>
      </c>
      <c r="K506"/>
      <c r="L506"/>
      <c r="M506" s="4">
        <f t="shared" si="421"/>
        <v>82.899999999999991</v>
      </c>
      <c r="N506" s="4"/>
      <c r="O506" s="1">
        <f t="shared" si="422"/>
        <v>82.699999999999989</v>
      </c>
      <c r="P506" s="1">
        <f t="shared" si="423"/>
        <v>0</v>
      </c>
      <c r="Q506" s="1" t="str">
        <f t="shared" si="419"/>
        <v/>
      </c>
      <c r="R506" s="1" t="str">
        <f t="shared" si="424"/>
        <v/>
      </c>
      <c r="S506" s="1">
        <f t="shared" si="425"/>
        <v>727.57919999999956</v>
      </c>
      <c r="T506" s="1">
        <f t="shared" si="426"/>
        <v>0.6</v>
      </c>
      <c r="U506" s="1">
        <f t="shared" si="427"/>
        <v>1056.000000000015</v>
      </c>
      <c r="V506" s="1">
        <f t="shared" si="428"/>
        <v>633.600000000009</v>
      </c>
    </row>
    <row r="507" spans="1:22" x14ac:dyDescent="0.25">
      <c r="A507" s="1">
        <v>506</v>
      </c>
      <c r="B507" s="4">
        <v>7500</v>
      </c>
      <c r="C507" s="4">
        <v>82.899999999999991</v>
      </c>
      <c r="D507" s="4">
        <v>83</v>
      </c>
      <c r="E507" s="4">
        <f t="shared" si="420"/>
        <v>0.10000000000000853</v>
      </c>
      <c r="F507" s="4">
        <v>0.9</v>
      </c>
      <c r="G507" s="4">
        <v>0.97</v>
      </c>
      <c r="H507" s="4">
        <v>79</v>
      </c>
      <c r="I507" s="4"/>
      <c r="J507" s="4">
        <v>50</v>
      </c>
      <c r="K507"/>
      <c r="L507"/>
      <c r="M507" s="4">
        <f t="shared" si="421"/>
        <v>83</v>
      </c>
      <c r="N507" s="4"/>
      <c r="O507" s="1">
        <f t="shared" si="422"/>
        <v>82.899999999999991</v>
      </c>
      <c r="P507" s="1">
        <f t="shared" si="423"/>
        <v>4.7520000000004048</v>
      </c>
      <c r="Q507" s="1" t="str">
        <f t="shared" si="419"/>
        <v/>
      </c>
      <c r="R507" s="1" t="str">
        <f t="shared" si="424"/>
        <v/>
      </c>
      <c r="S507" s="1">
        <f t="shared" si="425"/>
        <v>733.91519999999969</v>
      </c>
      <c r="T507" s="1">
        <f t="shared" si="426"/>
        <v>0.97</v>
      </c>
      <c r="U507" s="1">
        <f t="shared" si="427"/>
        <v>528.00000000004502</v>
      </c>
      <c r="V507" s="1">
        <f t="shared" si="428"/>
        <v>512.16000000004362</v>
      </c>
    </row>
    <row r="508" spans="1:22" x14ac:dyDescent="0.25">
      <c r="A508" s="1">
        <v>507</v>
      </c>
      <c r="B508" s="4">
        <v>7500</v>
      </c>
      <c r="C508" s="4">
        <v>83</v>
      </c>
      <c r="D508" s="4">
        <v>83.1</v>
      </c>
      <c r="E508" s="4">
        <f t="shared" si="420"/>
        <v>9.9999999999994316E-2</v>
      </c>
      <c r="F508" s="4">
        <v>0.8</v>
      </c>
      <c r="G508" s="4">
        <v>0.5</v>
      </c>
      <c r="H508" s="4">
        <v>79</v>
      </c>
      <c r="I508" s="4"/>
      <c r="J508" s="4">
        <v>50</v>
      </c>
      <c r="K508"/>
      <c r="L508"/>
      <c r="M508" s="4">
        <f t="shared" si="421"/>
        <v>83.1</v>
      </c>
      <c r="N508" s="4"/>
      <c r="O508" s="1">
        <f t="shared" si="422"/>
        <v>83</v>
      </c>
      <c r="P508" s="1">
        <f t="shared" si="423"/>
        <v>4.2239999999997604</v>
      </c>
      <c r="Q508" s="1" t="str">
        <f t="shared" si="419"/>
        <v/>
      </c>
      <c r="R508" s="1" t="str">
        <f t="shared" si="424"/>
        <v/>
      </c>
      <c r="S508" s="1">
        <f t="shared" si="425"/>
        <v>739.03680000000008</v>
      </c>
      <c r="T508" s="1">
        <f t="shared" si="426"/>
        <v>0.5</v>
      </c>
      <c r="U508" s="1">
        <f t="shared" si="427"/>
        <v>527.99999999996999</v>
      </c>
      <c r="V508" s="1">
        <f t="shared" si="428"/>
        <v>263.99999999998499</v>
      </c>
    </row>
    <row r="509" spans="1:22" x14ac:dyDescent="0.25">
      <c r="A509" s="1">
        <v>508</v>
      </c>
      <c r="B509" s="4">
        <v>7500</v>
      </c>
      <c r="C509" s="4">
        <v>83.1</v>
      </c>
      <c r="D509" s="4">
        <v>83.199999999999989</v>
      </c>
      <c r="E509" s="4">
        <f t="shared" si="420"/>
        <v>9.9999999999994316E-2</v>
      </c>
      <c r="F509" s="4">
        <v>0.4</v>
      </c>
      <c r="G509" s="4">
        <v>-0.23</v>
      </c>
      <c r="H509" s="4">
        <v>79</v>
      </c>
      <c r="I509" s="4"/>
      <c r="J509" s="4">
        <v>50</v>
      </c>
      <c r="K509"/>
      <c r="L509"/>
      <c r="M509" s="4">
        <f t="shared" si="421"/>
        <v>83.199999999999989</v>
      </c>
      <c r="N509" s="4"/>
      <c r="O509" s="1">
        <f t="shared" si="422"/>
        <v>83.1</v>
      </c>
      <c r="P509" s="1">
        <f t="shared" si="423"/>
        <v>2.1119999999998802</v>
      </c>
      <c r="Q509" s="1" t="str">
        <f t="shared" si="419"/>
        <v/>
      </c>
      <c r="R509" s="1" t="str">
        <f t="shared" si="424"/>
        <v/>
      </c>
      <c r="S509" s="1">
        <f t="shared" si="425"/>
        <v>741.67679999999996</v>
      </c>
      <c r="T509" s="1">
        <f t="shared" si="426"/>
        <v>-0.23</v>
      </c>
      <c r="U509" s="1">
        <f t="shared" si="427"/>
        <v>527.99999999996999</v>
      </c>
      <c r="V509" s="1">
        <f t="shared" si="428"/>
        <v>121.43999999999311</v>
      </c>
    </row>
    <row r="510" spans="1:22" x14ac:dyDescent="0.25">
      <c r="A510" s="1">
        <v>509</v>
      </c>
      <c r="B510" s="4">
        <v>7500</v>
      </c>
      <c r="C510" s="4">
        <v>83.199999999999989</v>
      </c>
      <c r="D510" s="4">
        <v>83.3</v>
      </c>
      <c r="E510" s="4">
        <f t="shared" si="420"/>
        <v>0.10000000000000853</v>
      </c>
      <c r="F510" s="4">
        <v>0</v>
      </c>
      <c r="G510" s="4">
        <v>0.1</v>
      </c>
      <c r="H510" s="4">
        <v>79</v>
      </c>
      <c r="I510" s="4"/>
      <c r="J510" s="4">
        <v>50</v>
      </c>
      <c r="K510"/>
      <c r="L510"/>
      <c r="M510" s="4">
        <f t="shared" si="421"/>
        <v>83.3</v>
      </c>
      <c r="N510" s="4"/>
      <c r="O510" s="1">
        <f t="shared" si="422"/>
        <v>83.199999999999989</v>
      </c>
      <c r="P510" s="1">
        <f t="shared" si="423"/>
        <v>0</v>
      </c>
      <c r="Q510" s="1" t="str">
        <f t="shared" si="419"/>
        <v/>
      </c>
      <c r="R510" s="1" t="str">
        <f t="shared" si="424"/>
        <v/>
      </c>
      <c r="S510" s="1">
        <f t="shared" si="425"/>
        <v>740.4624</v>
      </c>
      <c r="T510" s="1">
        <f t="shared" si="426"/>
        <v>0.1</v>
      </c>
      <c r="U510" s="1">
        <f t="shared" si="427"/>
        <v>528.00000000004502</v>
      </c>
      <c r="V510" s="1">
        <f t="shared" si="428"/>
        <v>52.800000000004502</v>
      </c>
    </row>
    <row r="511" spans="1:22" x14ac:dyDescent="0.25">
      <c r="A511" s="1">
        <v>510</v>
      </c>
      <c r="B511" s="4">
        <v>7500</v>
      </c>
      <c r="C511" s="4">
        <v>83.3</v>
      </c>
      <c r="D511" s="4">
        <v>83.399999999999991</v>
      </c>
      <c r="E511" s="4">
        <f t="shared" si="420"/>
        <v>9.9999999999994316E-2</v>
      </c>
      <c r="F511" s="4">
        <v>0</v>
      </c>
      <c r="G511" s="4">
        <v>0.3</v>
      </c>
      <c r="H511" s="4">
        <v>79</v>
      </c>
      <c r="I511" s="4"/>
      <c r="J511" s="4">
        <v>50</v>
      </c>
      <c r="K511"/>
      <c r="L511"/>
      <c r="M511" s="4">
        <f t="shared" si="421"/>
        <v>83.399999999999991</v>
      </c>
      <c r="N511" s="4"/>
      <c r="O511" s="1">
        <f t="shared" si="422"/>
        <v>83.3</v>
      </c>
      <c r="P511" s="1">
        <f t="shared" si="423"/>
        <v>0</v>
      </c>
      <c r="Q511" s="1" t="str">
        <f t="shared" si="419"/>
        <v/>
      </c>
      <c r="R511" s="1" t="str">
        <f t="shared" si="424"/>
        <v/>
      </c>
      <c r="S511" s="1">
        <f t="shared" si="425"/>
        <v>740.99040000000002</v>
      </c>
      <c r="T511" s="1">
        <f t="shared" si="426"/>
        <v>0.3</v>
      </c>
      <c r="U511" s="1">
        <f t="shared" si="427"/>
        <v>527.99999999996999</v>
      </c>
      <c r="V511" s="1">
        <f t="shared" si="428"/>
        <v>158.399999999991</v>
      </c>
    </row>
    <row r="512" spans="1:22" x14ac:dyDescent="0.25">
      <c r="A512" s="1">
        <v>511</v>
      </c>
      <c r="B512" s="4">
        <v>7500</v>
      </c>
      <c r="C512" s="4">
        <v>83.399999999999991</v>
      </c>
      <c r="D512" s="4">
        <v>83.5</v>
      </c>
      <c r="E512" s="4">
        <f t="shared" si="420"/>
        <v>0.10000000000000853</v>
      </c>
      <c r="F512" s="4">
        <v>0</v>
      </c>
      <c r="G512" s="4">
        <v>0.92</v>
      </c>
      <c r="H512" s="4">
        <v>79</v>
      </c>
      <c r="I512" s="4"/>
      <c r="J512" s="4">
        <v>50</v>
      </c>
      <c r="K512"/>
      <c r="L512"/>
      <c r="M512" s="4">
        <f t="shared" si="421"/>
        <v>83.5</v>
      </c>
      <c r="N512" s="4"/>
      <c r="O512" s="1">
        <f t="shared" si="422"/>
        <v>83.399999999999991</v>
      </c>
      <c r="P512" s="1">
        <f t="shared" si="423"/>
        <v>0</v>
      </c>
      <c r="Q512" s="1" t="str">
        <f t="shared" si="419"/>
        <v/>
      </c>
      <c r="R512" s="1" t="str">
        <f t="shared" si="424"/>
        <v/>
      </c>
      <c r="S512" s="1">
        <f t="shared" si="425"/>
        <v>742.57439999999997</v>
      </c>
      <c r="T512" s="1">
        <f t="shared" si="426"/>
        <v>0.92</v>
      </c>
      <c r="U512" s="1">
        <f t="shared" si="427"/>
        <v>528.00000000004502</v>
      </c>
      <c r="V512" s="1">
        <f t="shared" si="428"/>
        <v>485.76000000004143</v>
      </c>
    </row>
    <row r="513" spans="1:22" x14ac:dyDescent="0.25">
      <c r="A513" s="1">
        <v>512</v>
      </c>
      <c r="B513" s="4">
        <v>7500</v>
      </c>
      <c r="C513" s="4">
        <v>83.5</v>
      </c>
      <c r="D513" s="4">
        <v>83.6</v>
      </c>
      <c r="E513" s="4">
        <f t="shared" si="420"/>
        <v>9.9999999999994316E-2</v>
      </c>
      <c r="F513" s="4">
        <v>0.6</v>
      </c>
      <c r="G513" s="4">
        <v>0.87</v>
      </c>
      <c r="H513" s="4">
        <v>79</v>
      </c>
      <c r="I513" s="4"/>
      <c r="J513" s="4">
        <v>50</v>
      </c>
      <c r="K513"/>
      <c r="L513"/>
      <c r="M513" s="4">
        <f t="shared" si="421"/>
        <v>83.6</v>
      </c>
      <c r="N513" s="4"/>
      <c r="O513" s="1">
        <f t="shared" si="422"/>
        <v>83.5</v>
      </c>
      <c r="P513" s="1">
        <f t="shared" si="423"/>
        <v>3.1679999999998194</v>
      </c>
      <c r="Q513" s="1" t="str">
        <f t="shared" si="419"/>
        <v/>
      </c>
      <c r="R513" s="1" t="str">
        <f t="shared" si="424"/>
        <v/>
      </c>
      <c r="S513" s="1">
        <f t="shared" si="425"/>
        <v>747.43200000000036</v>
      </c>
      <c r="T513" s="1">
        <f t="shared" si="426"/>
        <v>0.87</v>
      </c>
      <c r="U513" s="1">
        <f t="shared" si="427"/>
        <v>527.99999999996999</v>
      </c>
      <c r="V513" s="1">
        <f t="shared" si="428"/>
        <v>459.35999999997387</v>
      </c>
    </row>
    <row r="514" spans="1:22" x14ac:dyDescent="0.25">
      <c r="A514" s="1">
        <v>513</v>
      </c>
      <c r="B514" s="4">
        <v>7500</v>
      </c>
      <c r="C514" s="4">
        <v>83.6</v>
      </c>
      <c r="D514" s="4">
        <v>83.699999999999989</v>
      </c>
      <c r="E514" s="4">
        <f t="shared" si="420"/>
        <v>9.9999999999994316E-2</v>
      </c>
      <c r="F514" s="4">
        <v>0.1</v>
      </c>
      <c r="G514" s="4">
        <v>0.78</v>
      </c>
      <c r="H514" s="4">
        <v>79</v>
      </c>
      <c r="I514" s="4"/>
      <c r="J514" s="4">
        <v>50</v>
      </c>
      <c r="K514"/>
      <c r="L514"/>
      <c r="M514" s="4">
        <f t="shared" si="421"/>
        <v>83.699999999999989</v>
      </c>
      <c r="N514" s="4"/>
      <c r="O514" s="1">
        <f t="shared" si="422"/>
        <v>83.6</v>
      </c>
      <c r="P514" s="1">
        <f t="shared" si="423"/>
        <v>0.52799999999997005</v>
      </c>
      <c r="Q514" s="1" t="str">
        <f t="shared" si="419"/>
        <v/>
      </c>
      <c r="R514" s="1" t="str">
        <f t="shared" si="424"/>
        <v/>
      </c>
      <c r="S514" s="1">
        <f t="shared" si="425"/>
        <v>752.02560000000005</v>
      </c>
      <c r="T514" s="1">
        <f t="shared" si="426"/>
        <v>0.78</v>
      </c>
      <c r="U514" s="1">
        <f t="shared" si="427"/>
        <v>527.99999999996999</v>
      </c>
      <c r="V514" s="1">
        <f t="shared" si="428"/>
        <v>411.83999999997661</v>
      </c>
    </row>
    <row r="515" spans="1:22" x14ac:dyDescent="0.25">
      <c r="A515" s="1">
        <v>514</v>
      </c>
      <c r="B515" s="4">
        <v>7500</v>
      </c>
      <c r="C515" s="4">
        <v>83.699999999999989</v>
      </c>
      <c r="D515" s="4">
        <v>83.8</v>
      </c>
      <c r="E515" s="4">
        <f t="shared" si="420"/>
        <v>0.10000000000000853</v>
      </c>
      <c r="F515" s="4">
        <v>0</v>
      </c>
      <c r="G515" s="4">
        <v>0.73</v>
      </c>
      <c r="H515" s="4">
        <v>79</v>
      </c>
      <c r="I515" s="4"/>
      <c r="J515" s="4">
        <v>50</v>
      </c>
      <c r="K515"/>
      <c r="L515"/>
      <c r="M515" s="4">
        <f t="shared" si="421"/>
        <v>83.8</v>
      </c>
      <c r="N515" s="4"/>
      <c r="O515" s="1">
        <f t="shared" si="422"/>
        <v>83.699999999999989</v>
      </c>
      <c r="P515" s="1">
        <f t="shared" si="423"/>
        <v>0</v>
      </c>
      <c r="Q515" s="1" t="str">
        <f t="shared" ref="Q515:Q578" si="429">IF(H515&lt;&gt;"",IF(H515=H514,"",H515),IF(H513="","",MAX(H514,Q514)))</f>
        <v/>
      </c>
      <c r="R515" s="1" t="str">
        <f t="shared" si="424"/>
        <v/>
      </c>
      <c r="S515" s="1">
        <f t="shared" si="425"/>
        <v>756.14399999999978</v>
      </c>
      <c r="T515" s="1">
        <f t="shared" si="426"/>
        <v>0.73</v>
      </c>
      <c r="U515" s="1">
        <f t="shared" si="427"/>
        <v>528.00000000004502</v>
      </c>
      <c r="V515" s="1">
        <f t="shared" si="428"/>
        <v>385.44000000003285</v>
      </c>
    </row>
    <row r="516" spans="1:22" x14ac:dyDescent="0.25">
      <c r="A516" s="1">
        <v>515</v>
      </c>
      <c r="B516" s="4">
        <v>7500</v>
      </c>
      <c r="C516" s="4">
        <v>83.8</v>
      </c>
      <c r="D516" s="4">
        <v>84</v>
      </c>
      <c r="E516" s="4">
        <f t="shared" si="420"/>
        <v>0.20000000000000284</v>
      </c>
      <c r="F516" s="4">
        <v>1</v>
      </c>
      <c r="G516" s="4">
        <v>0.01</v>
      </c>
      <c r="H516" s="4">
        <v>79</v>
      </c>
      <c r="I516" s="4"/>
      <c r="J516" s="4">
        <v>50</v>
      </c>
      <c r="K516"/>
      <c r="L516"/>
      <c r="M516" s="4">
        <f t="shared" si="421"/>
        <v>84</v>
      </c>
      <c r="N516" s="4"/>
      <c r="O516" s="1">
        <f t="shared" si="422"/>
        <v>83.8</v>
      </c>
      <c r="P516" s="1">
        <f t="shared" si="423"/>
        <v>10.56000000000015</v>
      </c>
      <c r="Q516" s="1" t="str">
        <f t="shared" si="429"/>
        <v/>
      </c>
      <c r="R516" s="1" t="str">
        <f t="shared" si="424"/>
        <v/>
      </c>
      <c r="S516" s="1">
        <f t="shared" si="425"/>
        <v>759.99840000000006</v>
      </c>
      <c r="T516" s="1">
        <f t="shared" si="426"/>
        <v>0.01</v>
      </c>
      <c r="U516" s="1">
        <f t="shared" si="427"/>
        <v>1056.000000000015</v>
      </c>
      <c r="V516" s="1">
        <f t="shared" si="428"/>
        <v>10.56000000000015</v>
      </c>
    </row>
    <row r="517" spans="1:22" x14ac:dyDescent="0.25">
      <c r="A517" s="1">
        <v>516</v>
      </c>
      <c r="B517" s="4">
        <v>7500</v>
      </c>
      <c r="C517" s="4">
        <v>84</v>
      </c>
      <c r="D517" s="4">
        <v>84.1</v>
      </c>
      <c r="E517" s="4">
        <f t="shared" si="420"/>
        <v>9.9999999999994316E-2</v>
      </c>
      <c r="F517" s="4">
        <v>0</v>
      </c>
      <c r="G517" s="4">
        <v>0.55000000000000004</v>
      </c>
      <c r="H517" s="4">
        <v>79</v>
      </c>
      <c r="I517" s="4"/>
      <c r="J517" s="4">
        <v>50</v>
      </c>
      <c r="K517"/>
      <c r="L517"/>
      <c r="M517" s="4">
        <f t="shared" si="421"/>
        <v>84.1</v>
      </c>
      <c r="N517" s="4"/>
      <c r="O517" s="1">
        <f t="shared" si="422"/>
        <v>84</v>
      </c>
      <c r="P517" s="1">
        <f t="shared" si="423"/>
        <v>0</v>
      </c>
      <c r="Q517" s="1" t="str">
        <f t="shared" si="429"/>
        <v/>
      </c>
      <c r="R517" s="1" t="str">
        <f t="shared" si="424"/>
        <v/>
      </c>
      <c r="S517" s="1">
        <f t="shared" si="425"/>
        <v>760.10400000000004</v>
      </c>
      <c r="T517" s="1">
        <f t="shared" si="426"/>
        <v>0.55000000000000004</v>
      </c>
      <c r="U517" s="1">
        <f t="shared" si="427"/>
        <v>527.99999999996999</v>
      </c>
      <c r="V517" s="1">
        <f t="shared" si="428"/>
        <v>290.39999999998349</v>
      </c>
    </row>
    <row r="518" spans="1:22" x14ac:dyDescent="0.25">
      <c r="A518" s="1">
        <v>517</v>
      </c>
      <c r="B518" s="4">
        <v>7500</v>
      </c>
      <c r="C518" s="4">
        <v>84.1</v>
      </c>
      <c r="D518" s="4">
        <v>84.199999999999989</v>
      </c>
      <c r="E518" s="4">
        <f t="shared" si="420"/>
        <v>9.9999999999994316E-2</v>
      </c>
      <c r="F518" s="4">
        <v>0</v>
      </c>
      <c r="G518" s="4">
        <v>0.73</v>
      </c>
      <c r="H518" s="4">
        <v>79</v>
      </c>
      <c r="I518" s="4"/>
      <c r="J518" s="4">
        <v>50</v>
      </c>
      <c r="K518"/>
      <c r="L518"/>
      <c r="M518" s="4">
        <f t="shared" si="421"/>
        <v>84.199999999999989</v>
      </c>
      <c r="N518" s="4"/>
      <c r="O518" s="1">
        <f t="shared" si="422"/>
        <v>84.1</v>
      </c>
      <c r="P518" s="1">
        <f t="shared" si="423"/>
        <v>0</v>
      </c>
      <c r="Q518" s="1" t="str">
        <f t="shared" si="429"/>
        <v/>
      </c>
      <c r="R518" s="1" t="str">
        <f t="shared" si="424"/>
        <v/>
      </c>
      <c r="S518" s="1">
        <f t="shared" si="425"/>
        <v>763.00799999999992</v>
      </c>
      <c r="T518" s="1">
        <f t="shared" si="426"/>
        <v>0.73</v>
      </c>
      <c r="U518" s="1">
        <f t="shared" si="427"/>
        <v>527.99999999996999</v>
      </c>
      <c r="V518" s="1">
        <f t="shared" si="428"/>
        <v>385.43999999997806</v>
      </c>
    </row>
    <row r="519" spans="1:22" x14ac:dyDescent="0.25">
      <c r="A519" s="1">
        <v>518</v>
      </c>
      <c r="B519" s="4">
        <v>7500</v>
      </c>
      <c r="C519" s="4">
        <v>84.199999999999989</v>
      </c>
      <c r="D519" s="4">
        <v>84.3</v>
      </c>
      <c r="E519" s="4">
        <f t="shared" si="420"/>
        <v>0.10000000000000853</v>
      </c>
      <c r="F519" s="4">
        <v>0</v>
      </c>
      <c r="G519" s="4">
        <v>0.82</v>
      </c>
      <c r="H519" s="4">
        <v>79</v>
      </c>
      <c r="I519" s="4"/>
      <c r="J519" s="4">
        <v>50</v>
      </c>
      <c r="K519"/>
      <c r="L519"/>
      <c r="M519" s="4">
        <f t="shared" si="421"/>
        <v>84.3</v>
      </c>
      <c r="N519" s="4"/>
      <c r="O519" s="1">
        <f t="shared" si="422"/>
        <v>84.199999999999989</v>
      </c>
      <c r="P519" s="1">
        <f t="shared" si="423"/>
        <v>0</v>
      </c>
      <c r="Q519" s="1" t="str">
        <f t="shared" si="429"/>
        <v/>
      </c>
      <c r="R519" s="1" t="str">
        <f t="shared" si="424"/>
        <v/>
      </c>
      <c r="S519" s="1">
        <f t="shared" si="425"/>
        <v>766.86239999999975</v>
      </c>
      <c r="T519" s="1">
        <f t="shared" si="426"/>
        <v>0.82</v>
      </c>
      <c r="U519" s="1">
        <f t="shared" si="427"/>
        <v>528.00000000004502</v>
      </c>
      <c r="V519" s="1">
        <f t="shared" si="428"/>
        <v>432.96000000003687</v>
      </c>
    </row>
    <row r="520" spans="1:22" x14ac:dyDescent="0.25">
      <c r="A520" s="1">
        <v>519</v>
      </c>
      <c r="B520" s="4">
        <v>7500</v>
      </c>
      <c r="C520" s="4">
        <v>84.3</v>
      </c>
      <c r="D520" s="4">
        <v>84.399999999999991</v>
      </c>
      <c r="E520" s="4">
        <f t="shared" ref="E520:E583" si="430">D520-C520</f>
        <v>9.9999999999994316E-2</v>
      </c>
      <c r="F520" s="4">
        <v>0</v>
      </c>
      <c r="G520" s="4">
        <v>0.62</v>
      </c>
      <c r="H520" s="4">
        <v>79</v>
      </c>
      <c r="I520" s="4"/>
      <c r="J520" s="4">
        <v>50</v>
      </c>
      <c r="K520"/>
      <c r="L520"/>
      <c r="M520" s="4">
        <f t="shared" ref="M520:M583" si="431">E520+M519</f>
        <v>84.399999999999991</v>
      </c>
      <c r="N520" s="4"/>
      <c r="O520" s="1">
        <f t="shared" ref="O520:O583" si="432">E519+O519</f>
        <v>84.3</v>
      </c>
      <c r="P520" s="1">
        <f t="shared" ref="P520:P583" si="433">F520*52.8*E520</f>
        <v>0</v>
      </c>
      <c r="Q520" s="1" t="str">
        <f t="shared" si="429"/>
        <v/>
      </c>
      <c r="R520" s="1" t="str">
        <f t="shared" ref="R520:R583" si="434">IF(I520="",Q520,IF(AND(H520=H519,I520=I519),"",I520))</f>
        <v/>
      </c>
      <c r="S520" s="1">
        <f t="shared" ref="S520:S583" si="435">S519+U519*T519/100</f>
        <v>771.19200000000012</v>
      </c>
      <c r="T520" s="1">
        <f t="shared" ref="T520:T583" si="436">IF(G520="UNK",0,G520)</f>
        <v>0.62</v>
      </c>
      <c r="U520" s="1">
        <f t="shared" ref="U520:U583" si="437">E520*5280</f>
        <v>527.99999999996999</v>
      </c>
      <c r="V520" s="1">
        <f t="shared" ref="V520:V583" si="438">ABS(T520*U520)</f>
        <v>327.35999999998137</v>
      </c>
    </row>
    <row r="521" spans="1:22" x14ac:dyDescent="0.25">
      <c r="A521" s="1">
        <v>520</v>
      </c>
      <c r="B521" s="4">
        <v>7500</v>
      </c>
      <c r="C521" s="4">
        <v>84.399999999999991</v>
      </c>
      <c r="D521" s="4">
        <v>84.6</v>
      </c>
      <c r="E521" s="4">
        <f t="shared" si="430"/>
        <v>0.20000000000000284</v>
      </c>
      <c r="F521" s="4">
        <v>0</v>
      </c>
      <c r="G521" s="4">
        <v>0.01</v>
      </c>
      <c r="H521" s="4">
        <v>79</v>
      </c>
      <c r="I521" s="4"/>
      <c r="J521" s="4">
        <v>50</v>
      </c>
      <c r="K521"/>
      <c r="L521"/>
      <c r="M521" s="4">
        <f t="shared" si="431"/>
        <v>84.6</v>
      </c>
      <c r="N521" s="4"/>
      <c r="O521" s="1">
        <f t="shared" si="432"/>
        <v>84.399999999999991</v>
      </c>
      <c r="P521" s="1">
        <f t="shared" si="433"/>
        <v>0</v>
      </c>
      <c r="Q521" s="1" t="str">
        <f t="shared" si="429"/>
        <v/>
      </c>
      <c r="R521" s="1" t="str">
        <f t="shared" si="434"/>
        <v/>
      </c>
      <c r="S521" s="1">
        <f t="shared" si="435"/>
        <v>774.46559999999988</v>
      </c>
      <c r="T521" s="1">
        <f t="shared" si="436"/>
        <v>0.01</v>
      </c>
      <c r="U521" s="1">
        <f t="shared" si="437"/>
        <v>1056.000000000015</v>
      </c>
      <c r="V521" s="1">
        <f t="shared" si="438"/>
        <v>10.56000000000015</v>
      </c>
    </row>
    <row r="522" spans="1:22" x14ac:dyDescent="0.25">
      <c r="A522" s="1">
        <v>521</v>
      </c>
      <c r="B522" s="4">
        <v>7500</v>
      </c>
      <c r="C522" s="4">
        <v>84.6</v>
      </c>
      <c r="D522" s="4">
        <v>84.8</v>
      </c>
      <c r="E522" s="4">
        <f t="shared" si="430"/>
        <v>0.20000000000000284</v>
      </c>
      <c r="F522" s="4">
        <v>0</v>
      </c>
      <c r="G522" s="4">
        <v>-0.1</v>
      </c>
      <c r="H522" s="4">
        <v>79</v>
      </c>
      <c r="I522" s="4"/>
      <c r="J522" s="4">
        <v>50</v>
      </c>
      <c r="K522"/>
      <c r="L522"/>
      <c r="M522" s="4">
        <f t="shared" si="431"/>
        <v>84.8</v>
      </c>
      <c r="N522" s="4"/>
      <c r="O522" s="1">
        <f t="shared" si="432"/>
        <v>84.6</v>
      </c>
      <c r="P522" s="1">
        <f t="shared" si="433"/>
        <v>0</v>
      </c>
      <c r="Q522" s="1" t="str">
        <f t="shared" si="429"/>
        <v/>
      </c>
      <c r="R522" s="1" t="str">
        <f t="shared" si="434"/>
        <v/>
      </c>
      <c r="S522" s="1">
        <f t="shared" si="435"/>
        <v>774.57119999999986</v>
      </c>
      <c r="T522" s="1">
        <f t="shared" si="436"/>
        <v>-0.1</v>
      </c>
      <c r="U522" s="1">
        <f t="shared" si="437"/>
        <v>1056.000000000015</v>
      </c>
      <c r="V522" s="1">
        <f t="shared" si="438"/>
        <v>105.6000000000015</v>
      </c>
    </row>
    <row r="523" spans="1:22" x14ac:dyDescent="0.25">
      <c r="A523" s="1">
        <v>522</v>
      </c>
      <c r="B523" s="4">
        <v>7500</v>
      </c>
      <c r="C523" s="4">
        <v>84.8</v>
      </c>
      <c r="D523" s="4">
        <v>85</v>
      </c>
      <c r="E523" s="4">
        <f t="shared" si="430"/>
        <v>0.20000000000000284</v>
      </c>
      <c r="F523" s="4">
        <v>0</v>
      </c>
      <c r="G523" s="4">
        <v>0.2</v>
      </c>
      <c r="H523" s="4">
        <v>79</v>
      </c>
      <c r="I523" s="4"/>
      <c r="J523" s="4">
        <v>50</v>
      </c>
      <c r="K523"/>
      <c r="L523"/>
      <c r="M523" s="4">
        <f t="shared" si="431"/>
        <v>85</v>
      </c>
      <c r="N523" s="4"/>
      <c r="O523" s="1">
        <f t="shared" si="432"/>
        <v>84.8</v>
      </c>
      <c r="P523" s="1">
        <f t="shared" si="433"/>
        <v>0</v>
      </c>
      <c r="Q523" s="1" t="str">
        <f t="shared" si="429"/>
        <v/>
      </c>
      <c r="R523" s="1" t="str">
        <f t="shared" si="434"/>
        <v/>
      </c>
      <c r="S523" s="1">
        <f t="shared" si="435"/>
        <v>773.51519999999982</v>
      </c>
      <c r="T523" s="1">
        <f t="shared" si="436"/>
        <v>0.2</v>
      </c>
      <c r="U523" s="1">
        <f t="shared" si="437"/>
        <v>1056.000000000015</v>
      </c>
      <c r="V523" s="1">
        <f t="shared" si="438"/>
        <v>211.200000000003</v>
      </c>
    </row>
    <row r="524" spans="1:22" x14ac:dyDescent="0.25">
      <c r="A524" s="1">
        <v>523</v>
      </c>
      <c r="B524" s="4">
        <v>7500</v>
      </c>
      <c r="C524" s="4">
        <v>85</v>
      </c>
      <c r="D524" s="4">
        <v>85.1</v>
      </c>
      <c r="E524" s="4">
        <f t="shared" si="430"/>
        <v>9.9999999999994316E-2</v>
      </c>
      <c r="F524" s="4">
        <v>1</v>
      </c>
      <c r="G524" s="4">
        <v>-0.27</v>
      </c>
      <c r="H524" s="4">
        <v>79</v>
      </c>
      <c r="I524" s="4"/>
      <c r="J524" s="4">
        <v>50</v>
      </c>
      <c r="K524"/>
      <c r="L524"/>
      <c r="M524" s="4">
        <f t="shared" si="431"/>
        <v>85.1</v>
      </c>
      <c r="N524" s="4"/>
      <c r="O524" s="1">
        <f t="shared" si="432"/>
        <v>85</v>
      </c>
      <c r="P524" s="1">
        <f t="shared" si="433"/>
        <v>5.2799999999996992</v>
      </c>
      <c r="Q524" s="1" t="str">
        <f t="shared" si="429"/>
        <v/>
      </c>
      <c r="R524" s="1" t="str">
        <f t="shared" si="434"/>
        <v/>
      </c>
      <c r="S524" s="1">
        <f t="shared" si="435"/>
        <v>775.6271999999999</v>
      </c>
      <c r="T524" s="1">
        <f t="shared" si="436"/>
        <v>-0.27</v>
      </c>
      <c r="U524" s="1">
        <f t="shared" si="437"/>
        <v>527.99999999996999</v>
      </c>
      <c r="V524" s="1">
        <f t="shared" si="438"/>
        <v>142.5599999999919</v>
      </c>
    </row>
    <row r="525" spans="1:22" x14ac:dyDescent="0.25">
      <c r="A525" s="1">
        <v>524</v>
      </c>
      <c r="B525" s="4">
        <v>7500</v>
      </c>
      <c r="C525" s="4">
        <v>85.1</v>
      </c>
      <c r="D525" s="4">
        <v>85.199999999999989</v>
      </c>
      <c r="E525" s="4">
        <f t="shared" si="430"/>
        <v>9.9999999999994316E-2</v>
      </c>
      <c r="F525" s="4">
        <v>1</v>
      </c>
      <c r="G525" s="4">
        <v>-0.46</v>
      </c>
      <c r="H525" s="4">
        <v>79</v>
      </c>
      <c r="I525" s="4"/>
      <c r="J525" s="4">
        <v>50</v>
      </c>
      <c r="K525"/>
      <c r="L525"/>
      <c r="M525" s="4">
        <f t="shared" si="431"/>
        <v>85.199999999999989</v>
      </c>
      <c r="N525" s="4"/>
      <c r="O525" s="1">
        <f t="shared" si="432"/>
        <v>85.1</v>
      </c>
      <c r="P525" s="1">
        <f t="shared" si="433"/>
        <v>5.2799999999996992</v>
      </c>
      <c r="Q525" s="1" t="str">
        <f t="shared" si="429"/>
        <v/>
      </c>
      <c r="R525" s="1" t="str">
        <f t="shared" si="434"/>
        <v/>
      </c>
      <c r="S525" s="1">
        <f t="shared" si="435"/>
        <v>774.20159999999998</v>
      </c>
      <c r="T525" s="1">
        <f t="shared" si="436"/>
        <v>-0.46</v>
      </c>
      <c r="U525" s="1">
        <f t="shared" si="437"/>
        <v>527.99999999996999</v>
      </c>
      <c r="V525" s="1">
        <f t="shared" si="438"/>
        <v>242.87999999998621</v>
      </c>
    </row>
    <row r="526" spans="1:22" x14ac:dyDescent="0.25">
      <c r="A526" s="1">
        <v>525</v>
      </c>
      <c r="B526" s="4">
        <v>7500</v>
      </c>
      <c r="C526" s="4">
        <v>85.199999999999989</v>
      </c>
      <c r="D526" s="4">
        <v>85.399999999999991</v>
      </c>
      <c r="E526" s="4">
        <f t="shared" si="430"/>
        <v>0.20000000000000284</v>
      </c>
      <c r="F526" s="4">
        <v>0</v>
      </c>
      <c r="G526" s="4">
        <v>-0.52</v>
      </c>
      <c r="H526" s="4">
        <v>79</v>
      </c>
      <c r="I526" s="4"/>
      <c r="J526" s="4">
        <v>50</v>
      </c>
      <c r="K526"/>
      <c r="L526"/>
      <c r="M526" s="4">
        <f t="shared" si="431"/>
        <v>85.399999999999991</v>
      </c>
      <c r="N526" s="4"/>
      <c r="O526" s="1">
        <f t="shared" si="432"/>
        <v>85.199999999999989</v>
      </c>
      <c r="P526" s="1">
        <f t="shared" si="433"/>
        <v>0</v>
      </c>
      <c r="Q526" s="1" t="str">
        <f t="shared" si="429"/>
        <v/>
      </c>
      <c r="R526" s="1" t="str">
        <f t="shared" si="434"/>
        <v/>
      </c>
      <c r="S526" s="1">
        <f t="shared" si="435"/>
        <v>771.77280000000007</v>
      </c>
      <c r="T526" s="1">
        <f t="shared" si="436"/>
        <v>-0.52</v>
      </c>
      <c r="U526" s="1">
        <f t="shared" si="437"/>
        <v>1056.000000000015</v>
      </c>
      <c r="V526" s="1">
        <f t="shared" si="438"/>
        <v>549.12000000000785</v>
      </c>
    </row>
    <row r="527" spans="1:22" x14ac:dyDescent="0.25">
      <c r="A527" s="1">
        <v>526</v>
      </c>
      <c r="B527" s="4">
        <v>7500</v>
      </c>
      <c r="C527" s="4">
        <v>85.399999999999991</v>
      </c>
      <c r="D527" s="4">
        <v>85.8</v>
      </c>
      <c r="E527" s="4">
        <f t="shared" si="430"/>
        <v>0.40000000000000568</v>
      </c>
      <c r="F527" s="4">
        <v>0</v>
      </c>
      <c r="G527" s="4">
        <v>-0.53</v>
      </c>
      <c r="H527" s="4">
        <v>79</v>
      </c>
      <c r="I527" s="4"/>
      <c r="J527" s="4">
        <v>50</v>
      </c>
      <c r="K527"/>
      <c r="L527"/>
      <c r="M527" s="4">
        <f t="shared" si="431"/>
        <v>85.8</v>
      </c>
      <c r="N527" s="4"/>
      <c r="O527" s="1">
        <f t="shared" si="432"/>
        <v>85.399999999999991</v>
      </c>
      <c r="P527" s="1">
        <f t="shared" si="433"/>
        <v>0</v>
      </c>
      <c r="Q527" s="1" t="str">
        <f t="shared" si="429"/>
        <v/>
      </c>
      <c r="R527" s="1" t="str">
        <f t="shared" si="434"/>
        <v/>
      </c>
      <c r="S527" s="1">
        <f t="shared" si="435"/>
        <v>766.28160000000003</v>
      </c>
      <c r="T527" s="1">
        <f t="shared" si="436"/>
        <v>-0.53</v>
      </c>
      <c r="U527" s="1">
        <f t="shared" si="437"/>
        <v>2112.00000000003</v>
      </c>
      <c r="V527" s="1">
        <f t="shared" si="438"/>
        <v>1119.360000000016</v>
      </c>
    </row>
    <row r="528" spans="1:22" x14ac:dyDescent="0.25">
      <c r="A528" s="1">
        <v>527</v>
      </c>
      <c r="B528" s="4">
        <v>7500</v>
      </c>
      <c r="C528" s="4">
        <v>85.8</v>
      </c>
      <c r="D528" s="4">
        <v>86</v>
      </c>
      <c r="E528" s="4">
        <f t="shared" si="430"/>
        <v>0.20000000000000284</v>
      </c>
      <c r="F528" s="4">
        <v>1.7</v>
      </c>
      <c r="G528" s="4">
        <v>-0.52</v>
      </c>
      <c r="H528" s="4">
        <v>79</v>
      </c>
      <c r="I528" s="4"/>
      <c r="J528" s="4">
        <v>50</v>
      </c>
      <c r="K528"/>
      <c r="L528"/>
      <c r="M528" s="4">
        <f t="shared" si="431"/>
        <v>86</v>
      </c>
      <c r="N528" s="4"/>
      <c r="O528" s="1">
        <f t="shared" si="432"/>
        <v>85.8</v>
      </c>
      <c r="P528" s="1">
        <f t="shared" si="433"/>
        <v>17.952000000000254</v>
      </c>
      <c r="Q528" s="1" t="str">
        <f t="shared" si="429"/>
        <v/>
      </c>
      <c r="R528" s="1" t="str">
        <f t="shared" si="434"/>
        <v/>
      </c>
      <c r="S528" s="1">
        <f t="shared" si="435"/>
        <v>755.08799999999985</v>
      </c>
      <c r="T528" s="1">
        <f t="shared" si="436"/>
        <v>-0.52</v>
      </c>
      <c r="U528" s="1">
        <f t="shared" si="437"/>
        <v>1056.000000000015</v>
      </c>
      <c r="V528" s="1">
        <f t="shared" si="438"/>
        <v>549.12000000000785</v>
      </c>
    </row>
    <row r="529" spans="1:22" x14ac:dyDescent="0.25">
      <c r="A529" s="1">
        <v>528</v>
      </c>
      <c r="B529" s="4">
        <v>7500</v>
      </c>
      <c r="C529" s="4">
        <v>86</v>
      </c>
      <c r="D529" s="4">
        <v>86.1</v>
      </c>
      <c r="E529" s="4">
        <f t="shared" si="430"/>
        <v>9.9999999999994316E-2</v>
      </c>
      <c r="F529" s="4">
        <v>0</v>
      </c>
      <c r="G529" s="4">
        <v>-0.52</v>
      </c>
      <c r="H529" s="4">
        <v>79</v>
      </c>
      <c r="I529" s="4"/>
      <c r="J529" s="4">
        <v>50</v>
      </c>
      <c r="K529"/>
      <c r="L529"/>
      <c r="M529" s="4">
        <f t="shared" si="431"/>
        <v>86.1</v>
      </c>
      <c r="N529" s="4"/>
      <c r="O529" s="1">
        <f t="shared" si="432"/>
        <v>86</v>
      </c>
      <c r="P529" s="1">
        <f t="shared" si="433"/>
        <v>0</v>
      </c>
      <c r="Q529" s="1" t="str">
        <f t="shared" si="429"/>
        <v/>
      </c>
      <c r="R529" s="1" t="str">
        <f t="shared" si="434"/>
        <v/>
      </c>
      <c r="S529" s="1">
        <f t="shared" si="435"/>
        <v>749.5967999999998</v>
      </c>
      <c r="T529" s="1">
        <f t="shared" si="436"/>
        <v>-0.52</v>
      </c>
      <c r="U529" s="1">
        <f t="shared" si="437"/>
        <v>527.99999999996999</v>
      </c>
      <c r="V529" s="1">
        <f t="shared" si="438"/>
        <v>274.55999999998443</v>
      </c>
    </row>
    <row r="530" spans="1:22" x14ac:dyDescent="0.25">
      <c r="A530" s="1">
        <v>529</v>
      </c>
      <c r="B530" s="4">
        <v>7500</v>
      </c>
      <c r="C530" s="4">
        <v>86.1</v>
      </c>
      <c r="D530" s="4">
        <v>86.199999999999989</v>
      </c>
      <c r="E530" s="4">
        <f t="shared" si="430"/>
        <v>9.9999999999994316E-2</v>
      </c>
      <c r="F530" s="4">
        <v>1.2</v>
      </c>
      <c r="G530" s="4">
        <v>-0.62</v>
      </c>
      <c r="H530" s="4">
        <v>79</v>
      </c>
      <c r="I530" s="4"/>
      <c r="J530" s="4">
        <v>50</v>
      </c>
      <c r="K530"/>
      <c r="L530"/>
      <c r="M530" s="4">
        <f t="shared" si="431"/>
        <v>86.199999999999989</v>
      </c>
      <c r="N530" s="4"/>
      <c r="O530" s="1">
        <f t="shared" si="432"/>
        <v>86.1</v>
      </c>
      <c r="P530" s="1">
        <f t="shared" si="433"/>
        <v>6.3359999999996388</v>
      </c>
      <c r="Q530" s="1" t="str">
        <f t="shared" si="429"/>
        <v/>
      </c>
      <c r="R530" s="1" t="str">
        <f t="shared" si="434"/>
        <v/>
      </c>
      <c r="S530" s="1">
        <f t="shared" si="435"/>
        <v>746.85119999999995</v>
      </c>
      <c r="T530" s="1">
        <f t="shared" si="436"/>
        <v>-0.62</v>
      </c>
      <c r="U530" s="1">
        <f t="shared" si="437"/>
        <v>527.99999999996999</v>
      </c>
      <c r="V530" s="1">
        <f t="shared" si="438"/>
        <v>327.35999999998137</v>
      </c>
    </row>
    <row r="531" spans="1:22" x14ac:dyDescent="0.25">
      <c r="A531" s="1">
        <v>530</v>
      </c>
      <c r="B531" s="4">
        <v>7500</v>
      </c>
      <c r="C531" s="4">
        <v>86.199999999999989</v>
      </c>
      <c r="D531" s="4">
        <v>86.399999999999991</v>
      </c>
      <c r="E531" s="4">
        <f t="shared" si="430"/>
        <v>0.20000000000000284</v>
      </c>
      <c r="F531" s="4">
        <v>1.2</v>
      </c>
      <c r="G531" s="4">
        <v>-0.83</v>
      </c>
      <c r="H531" s="4">
        <v>79</v>
      </c>
      <c r="I531" s="4"/>
      <c r="J531" s="4">
        <v>50</v>
      </c>
      <c r="K531"/>
      <c r="L531"/>
      <c r="M531" s="4">
        <f t="shared" si="431"/>
        <v>86.399999999999991</v>
      </c>
      <c r="N531" s="4"/>
      <c r="O531" s="1">
        <f t="shared" si="432"/>
        <v>86.199999999999989</v>
      </c>
      <c r="P531" s="1">
        <f t="shared" si="433"/>
        <v>12.672000000000178</v>
      </c>
      <c r="Q531" s="1" t="str">
        <f t="shared" si="429"/>
        <v/>
      </c>
      <c r="R531" s="1" t="str">
        <f t="shared" si="434"/>
        <v/>
      </c>
      <c r="S531" s="1">
        <f t="shared" si="435"/>
        <v>743.57760000000019</v>
      </c>
      <c r="T531" s="1">
        <f t="shared" si="436"/>
        <v>-0.83</v>
      </c>
      <c r="U531" s="1">
        <f t="shared" si="437"/>
        <v>1056.000000000015</v>
      </c>
      <c r="V531" s="1">
        <f t="shared" si="438"/>
        <v>876.48000000001241</v>
      </c>
    </row>
    <row r="532" spans="1:22" x14ac:dyDescent="0.25">
      <c r="A532" s="1">
        <v>531</v>
      </c>
      <c r="B532" s="4">
        <v>7500</v>
      </c>
      <c r="C532" s="4">
        <v>86.399999999999991</v>
      </c>
      <c r="D532" s="4">
        <v>86.699999999999989</v>
      </c>
      <c r="E532" s="4">
        <f t="shared" si="430"/>
        <v>0.29999999999999716</v>
      </c>
      <c r="F532" s="4">
        <v>0</v>
      </c>
      <c r="G532" s="4">
        <v>-0.94</v>
      </c>
      <c r="H532" s="4">
        <v>79</v>
      </c>
      <c r="I532" s="4"/>
      <c r="J532" s="4">
        <v>50</v>
      </c>
      <c r="K532"/>
      <c r="L532"/>
      <c r="M532" s="4">
        <f t="shared" si="431"/>
        <v>86.699999999999989</v>
      </c>
      <c r="N532" s="4"/>
      <c r="O532" s="1">
        <f t="shared" si="432"/>
        <v>86.399999999999991</v>
      </c>
      <c r="P532" s="1">
        <f t="shared" si="433"/>
        <v>0</v>
      </c>
      <c r="Q532" s="1" t="str">
        <f t="shared" si="429"/>
        <v/>
      </c>
      <c r="R532" s="1" t="str">
        <f t="shared" si="434"/>
        <v/>
      </c>
      <c r="S532" s="1">
        <f t="shared" si="435"/>
        <v>734.81280000000004</v>
      </c>
      <c r="T532" s="1">
        <f t="shared" si="436"/>
        <v>-0.94</v>
      </c>
      <c r="U532" s="1">
        <f t="shared" si="437"/>
        <v>1583.999999999985</v>
      </c>
      <c r="V532" s="1">
        <f t="shared" si="438"/>
        <v>1488.9599999999857</v>
      </c>
    </row>
    <row r="533" spans="1:22" x14ac:dyDescent="0.25">
      <c r="A533" s="1">
        <v>532</v>
      </c>
      <c r="B533" s="4">
        <v>7500</v>
      </c>
      <c r="C533" s="4">
        <v>86.699999999999989</v>
      </c>
      <c r="D533" s="4">
        <v>86.8</v>
      </c>
      <c r="E533" s="4">
        <f t="shared" si="430"/>
        <v>0.10000000000000853</v>
      </c>
      <c r="F533" s="4">
        <v>0</v>
      </c>
      <c r="G533" s="4">
        <v>-0.49</v>
      </c>
      <c r="H533" s="4">
        <v>79</v>
      </c>
      <c r="I533" s="4"/>
      <c r="J533" s="4">
        <v>50</v>
      </c>
      <c r="K533"/>
      <c r="L533"/>
      <c r="M533" s="4">
        <f t="shared" si="431"/>
        <v>86.8</v>
      </c>
      <c r="N533" s="4"/>
      <c r="O533" s="1">
        <f t="shared" si="432"/>
        <v>86.699999999999989</v>
      </c>
      <c r="P533" s="1">
        <f t="shared" si="433"/>
        <v>0</v>
      </c>
      <c r="Q533" s="1" t="str">
        <f t="shared" si="429"/>
        <v/>
      </c>
      <c r="R533" s="1" t="str">
        <f t="shared" si="434"/>
        <v/>
      </c>
      <c r="S533" s="1">
        <f t="shared" si="435"/>
        <v>719.92320000000018</v>
      </c>
      <c r="T533" s="1">
        <f t="shared" si="436"/>
        <v>-0.49</v>
      </c>
      <c r="U533" s="1">
        <f t="shared" si="437"/>
        <v>528.00000000004502</v>
      </c>
      <c r="V533" s="1">
        <f t="shared" si="438"/>
        <v>258.72000000002208</v>
      </c>
    </row>
    <row r="534" spans="1:22" x14ac:dyDescent="0.25">
      <c r="A534" s="1">
        <v>533</v>
      </c>
      <c r="B534" s="4">
        <v>7500</v>
      </c>
      <c r="C534" s="4">
        <v>86.8</v>
      </c>
      <c r="D534" s="4">
        <v>86.899999999999991</v>
      </c>
      <c r="E534" s="4">
        <f t="shared" si="430"/>
        <v>9.9999999999994316E-2</v>
      </c>
      <c r="F534" s="4">
        <v>2.5</v>
      </c>
      <c r="G534" s="4">
        <v>-0.49</v>
      </c>
      <c r="H534" s="4">
        <v>79</v>
      </c>
      <c r="I534" s="4"/>
      <c r="J534" s="4">
        <v>50</v>
      </c>
      <c r="K534"/>
      <c r="L534"/>
      <c r="M534" s="4">
        <f t="shared" si="431"/>
        <v>86.899999999999991</v>
      </c>
      <c r="N534" s="4"/>
      <c r="O534" s="1">
        <f t="shared" si="432"/>
        <v>86.8</v>
      </c>
      <c r="P534" s="1">
        <f t="shared" si="433"/>
        <v>13.19999999999925</v>
      </c>
      <c r="Q534" s="1" t="str">
        <f t="shared" si="429"/>
        <v/>
      </c>
      <c r="R534" s="1" t="str">
        <f t="shared" si="434"/>
        <v/>
      </c>
      <c r="S534" s="1">
        <f t="shared" si="435"/>
        <v>717.33600000000001</v>
      </c>
      <c r="T534" s="1">
        <f t="shared" si="436"/>
        <v>-0.49</v>
      </c>
      <c r="U534" s="1">
        <f t="shared" si="437"/>
        <v>527.99999999996999</v>
      </c>
      <c r="V534" s="1">
        <f t="shared" si="438"/>
        <v>258.7199999999853</v>
      </c>
    </row>
    <row r="535" spans="1:22" x14ac:dyDescent="0.25">
      <c r="A535" s="1">
        <v>534</v>
      </c>
      <c r="B535" s="4">
        <v>7500</v>
      </c>
      <c r="C535" s="4">
        <v>86.899999999999991</v>
      </c>
      <c r="D535" s="4">
        <v>87</v>
      </c>
      <c r="E535" s="4">
        <f t="shared" si="430"/>
        <v>0.10000000000000853</v>
      </c>
      <c r="F535" s="4">
        <v>2.5</v>
      </c>
      <c r="G535" s="4">
        <v>0.42</v>
      </c>
      <c r="H535" s="4">
        <v>79</v>
      </c>
      <c r="I535" s="4"/>
      <c r="J535" s="4">
        <v>50</v>
      </c>
      <c r="K535"/>
      <c r="L535"/>
      <c r="M535" s="4">
        <f t="shared" si="431"/>
        <v>87</v>
      </c>
      <c r="N535" s="4"/>
      <c r="O535" s="1">
        <f t="shared" si="432"/>
        <v>86.899999999999991</v>
      </c>
      <c r="P535" s="1">
        <f t="shared" si="433"/>
        <v>13.200000000001125</v>
      </c>
      <c r="Q535" s="1" t="str">
        <f t="shared" si="429"/>
        <v/>
      </c>
      <c r="R535" s="1" t="str">
        <f t="shared" si="434"/>
        <v/>
      </c>
      <c r="S535" s="1">
        <f t="shared" si="435"/>
        <v>714.74880000000019</v>
      </c>
      <c r="T535" s="1">
        <f t="shared" si="436"/>
        <v>0.42</v>
      </c>
      <c r="U535" s="1">
        <f t="shared" si="437"/>
        <v>528.00000000004502</v>
      </c>
      <c r="V535" s="1">
        <f t="shared" si="438"/>
        <v>221.76000000001889</v>
      </c>
    </row>
    <row r="536" spans="1:22" x14ac:dyDescent="0.25">
      <c r="A536" s="1">
        <v>535</v>
      </c>
      <c r="B536" s="4">
        <v>7500</v>
      </c>
      <c r="C536" s="4">
        <v>87</v>
      </c>
      <c r="D536" s="4">
        <v>87.199999999999989</v>
      </c>
      <c r="E536" s="4">
        <f t="shared" si="430"/>
        <v>0.19999999999998863</v>
      </c>
      <c r="F536" s="4">
        <v>1.5</v>
      </c>
      <c r="G536" s="4">
        <v>0.88</v>
      </c>
      <c r="H536" s="4">
        <v>79</v>
      </c>
      <c r="I536" s="4"/>
      <c r="J536" s="4">
        <v>50</v>
      </c>
      <c r="K536"/>
      <c r="L536"/>
      <c r="M536" s="4">
        <f t="shared" si="431"/>
        <v>87.199999999999989</v>
      </c>
      <c r="N536" s="4"/>
      <c r="O536" s="1">
        <f t="shared" si="432"/>
        <v>87</v>
      </c>
      <c r="P536" s="1">
        <f t="shared" si="433"/>
        <v>15.839999999999097</v>
      </c>
      <c r="Q536" s="1" t="str">
        <f t="shared" si="429"/>
        <v/>
      </c>
      <c r="R536" s="1" t="str">
        <f t="shared" si="434"/>
        <v/>
      </c>
      <c r="S536" s="1">
        <f t="shared" si="435"/>
        <v>716.96640000000036</v>
      </c>
      <c r="T536" s="1">
        <f t="shared" si="436"/>
        <v>0.88</v>
      </c>
      <c r="U536" s="1">
        <f t="shared" si="437"/>
        <v>1055.99999999994</v>
      </c>
      <c r="V536" s="1">
        <f t="shared" si="438"/>
        <v>929.27999999994722</v>
      </c>
    </row>
    <row r="537" spans="1:22" x14ac:dyDescent="0.25">
      <c r="A537" s="1">
        <v>536</v>
      </c>
      <c r="B537" s="4">
        <v>7500</v>
      </c>
      <c r="C537" s="4">
        <v>87.199999999999989</v>
      </c>
      <c r="D537" s="4">
        <v>87.3</v>
      </c>
      <c r="E537" s="4">
        <f t="shared" si="430"/>
        <v>0.10000000000000853</v>
      </c>
      <c r="F537" s="4">
        <v>1.5</v>
      </c>
      <c r="G537" s="4">
        <v>0.92</v>
      </c>
      <c r="H537" s="4">
        <v>79</v>
      </c>
      <c r="I537" s="4"/>
      <c r="J537" s="4">
        <v>50</v>
      </c>
      <c r="K537"/>
      <c r="L537"/>
      <c r="M537" s="4">
        <f t="shared" si="431"/>
        <v>87.3</v>
      </c>
      <c r="N537" s="4"/>
      <c r="O537" s="1">
        <f t="shared" si="432"/>
        <v>87.199999999999989</v>
      </c>
      <c r="P537" s="1">
        <f t="shared" si="433"/>
        <v>7.9200000000006741</v>
      </c>
      <c r="Q537" s="1" t="str">
        <f t="shared" si="429"/>
        <v/>
      </c>
      <c r="R537" s="1" t="str">
        <f t="shared" si="434"/>
        <v/>
      </c>
      <c r="S537" s="1">
        <f t="shared" si="435"/>
        <v>726.25919999999985</v>
      </c>
      <c r="T537" s="1">
        <f t="shared" si="436"/>
        <v>0.92</v>
      </c>
      <c r="U537" s="1">
        <f t="shared" si="437"/>
        <v>528.00000000004502</v>
      </c>
      <c r="V537" s="1">
        <f t="shared" si="438"/>
        <v>485.76000000004143</v>
      </c>
    </row>
    <row r="538" spans="1:22" x14ac:dyDescent="0.25">
      <c r="A538" s="1">
        <v>537</v>
      </c>
      <c r="B538" s="4">
        <v>7500</v>
      </c>
      <c r="C538" s="4">
        <v>87.3</v>
      </c>
      <c r="D538" s="4">
        <v>87.399999999999991</v>
      </c>
      <c r="E538" s="4">
        <f t="shared" si="430"/>
        <v>9.9999999999994316E-2</v>
      </c>
      <c r="F538" s="4">
        <v>0</v>
      </c>
      <c r="G538" s="4">
        <v>1</v>
      </c>
      <c r="H538" s="4">
        <v>79</v>
      </c>
      <c r="I538" s="4"/>
      <c r="J538" s="4">
        <v>50</v>
      </c>
      <c r="K538"/>
      <c r="L538"/>
      <c r="M538" s="4">
        <f t="shared" si="431"/>
        <v>87.399999999999991</v>
      </c>
      <c r="N538" s="4"/>
      <c r="O538" s="1">
        <f t="shared" si="432"/>
        <v>87.3</v>
      </c>
      <c r="P538" s="1">
        <f t="shared" si="433"/>
        <v>0</v>
      </c>
      <c r="Q538" s="1" t="str">
        <f t="shared" si="429"/>
        <v/>
      </c>
      <c r="R538" s="1" t="str">
        <f t="shared" si="434"/>
        <v/>
      </c>
      <c r="S538" s="1">
        <f t="shared" si="435"/>
        <v>731.11680000000024</v>
      </c>
      <c r="T538" s="1">
        <f t="shared" si="436"/>
        <v>1</v>
      </c>
      <c r="U538" s="1">
        <f t="shared" si="437"/>
        <v>527.99999999996999</v>
      </c>
      <c r="V538" s="1">
        <f t="shared" si="438"/>
        <v>527.99999999996999</v>
      </c>
    </row>
    <row r="539" spans="1:22" x14ac:dyDescent="0.25">
      <c r="A539" s="1">
        <v>538</v>
      </c>
      <c r="B539" s="4">
        <v>7500</v>
      </c>
      <c r="C539" s="4">
        <v>87.399999999999991</v>
      </c>
      <c r="D539" s="4">
        <v>87.5</v>
      </c>
      <c r="E539" s="4">
        <f t="shared" si="430"/>
        <v>0.10000000000000853</v>
      </c>
      <c r="F539" s="4">
        <v>0</v>
      </c>
      <c r="G539" s="4">
        <v>1.04</v>
      </c>
      <c r="H539" s="4">
        <v>79</v>
      </c>
      <c r="I539" s="4"/>
      <c r="J539" s="4">
        <v>50</v>
      </c>
      <c r="K539"/>
      <c r="L539"/>
      <c r="M539" s="4">
        <f t="shared" si="431"/>
        <v>87.5</v>
      </c>
      <c r="N539" s="4"/>
      <c r="O539" s="1">
        <f t="shared" si="432"/>
        <v>87.399999999999991</v>
      </c>
      <c r="P539" s="1">
        <f t="shared" si="433"/>
        <v>0</v>
      </c>
      <c r="Q539" s="1" t="str">
        <f t="shared" si="429"/>
        <v/>
      </c>
      <c r="R539" s="1" t="str">
        <f t="shared" si="434"/>
        <v/>
      </c>
      <c r="S539" s="1">
        <f t="shared" si="435"/>
        <v>736.39679999999998</v>
      </c>
      <c r="T539" s="1">
        <f t="shared" si="436"/>
        <v>1.04</v>
      </c>
      <c r="U539" s="1">
        <f t="shared" si="437"/>
        <v>528.00000000004502</v>
      </c>
      <c r="V539" s="1">
        <f t="shared" si="438"/>
        <v>549.12000000004684</v>
      </c>
    </row>
    <row r="540" spans="1:22" x14ac:dyDescent="0.25">
      <c r="A540" s="1">
        <v>539</v>
      </c>
      <c r="B540" s="4">
        <v>7500</v>
      </c>
      <c r="C540" s="4">
        <v>87.5</v>
      </c>
      <c r="D540" s="4">
        <v>87.6</v>
      </c>
      <c r="E540" s="4">
        <f t="shared" si="430"/>
        <v>9.9999999999994316E-2</v>
      </c>
      <c r="F540" s="4">
        <v>0</v>
      </c>
      <c r="G540" s="4">
        <v>0.99</v>
      </c>
      <c r="H540" s="4">
        <v>79</v>
      </c>
      <c r="I540" s="4"/>
      <c r="J540" s="4">
        <v>50</v>
      </c>
      <c r="K540"/>
      <c r="L540"/>
      <c r="M540" s="4">
        <f t="shared" si="431"/>
        <v>87.6</v>
      </c>
      <c r="N540" s="4"/>
      <c r="O540" s="1">
        <f t="shared" si="432"/>
        <v>87.5</v>
      </c>
      <c r="P540" s="1">
        <f t="shared" si="433"/>
        <v>0</v>
      </c>
      <c r="Q540" s="1" t="str">
        <f t="shared" si="429"/>
        <v/>
      </c>
      <c r="R540" s="1" t="str">
        <f t="shared" si="434"/>
        <v/>
      </c>
      <c r="S540" s="1">
        <f t="shared" si="435"/>
        <v>741.88800000000049</v>
      </c>
      <c r="T540" s="1">
        <f t="shared" si="436"/>
        <v>0.99</v>
      </c>
      <c r="U540" s="1">
        <f t="shared" si="437"/>
        <v>527.99999999996999</v>
      </c>
      <c r="V540" s="1">
        <f t="shared" si="438"/>
        <v>522.71999999997024</v>
      </c>
    </row>
    <row r="541" spans="1:22" x14ac:dyDescent="0.25">
      <c r="A541" s="1">
        <v>540</v>
      </c>
      <c r="B541" s="4">
        <v>7500</v>
      </c>
      <c r="C541" s="4">
        <v>87.6</v>
      </c>
      <c r="D541" s="4">
        <v>87.699999999999989</v>
      </c>
      <c r="E541" s="4">
        <f t="shared" si="430"/>
        <v>9.9999999999994316E-2</v>
      </c>
      <c r="F541" s="4">
        <v>0</v>
      </c>
      <c r="G541" s="4">
        <v>0.85</v>
      </c>
      <c r="H541" s="4">
        <v>79</v>
      </c>
      <c r="I541" s="4"/>
      <c r="J541" s="4">
        <v>50</v>
      </c>
      <c r="K541"/>
      <c r="L541"/>
      <c r="M541" s="4">
        <f t="shared" si="431"/>
        <v>87.699999999999989</v>
      </c>
      <c r="N541" s="4"/>
      <c r="O541" s="1">
        <f t="shared" si="432"/>
        <v>87.6</v>
      </c>
      <c r="P541" s="1">
        <f t="shared" si="433"/>
        <v>0</v>
      </c>
      <c r="Q541" s="1" t="str">
        <f t="shared" si="429"/>
        <v/>
      </c>
      <c r="R541" s="1" t="str">
        <f t="shared" si="434"/>
        <v/>
      </c>
      <c r="S541" s="1">
        <f t="shared" si="435"/>
        <v>747.11520000000019</v>
      </c>
      <c r="T541" s="1">
        <f t="shared" si="436"/>
        <v>0.85</v>
      </c>
      <c r="U541" s="1">
        <f t="shared" si="437"/>
        <v>527.99999999996999</v>
      </c>
      <c r="V541" s="1">
        <f t="shared" si="438"/>
        <v>448.79999999997449</v>
      </c>
    </row>
    <row r="542" spans="1:22" x14ac:dyDescent="0.25">
      <c r="A542" s="1">
        <v>541</v>
      </c>
      <c r="B542" s="4">
        <v>7500</v>
      </c>
      <c r="C542" s="4">
        <v>87.699999999999989</v>
      </c>
      <c r="D542" s="4">
        <v>87.8</v>
      </c>
      <c r="E542" s="4">
        <f t="shared" si="430"/>
        <v>0.10000000000000853</v>
      </c>
      <c r="F542" s="4">
        <v>0</v>
      </c>
      <c r="G542" s="4">
        <v>0.77</v>
      </c>
      <c r="H542" s="4">
        <v>79</v>
      </c>
      <c r="I542" s="4"/>
      <c r="J542" s="4">
        <v>50</v>
      </c>
      <c r="K542"/>
      <c r="L542"/>
      <c r="M542" s="4">
        <f t="shared" si="431"/>
        <v>87.8</v>
      </c>
      <c r="N542" s="4"/>
      <c r="O542" s="1">
        <f t="shared" si="432"/>
        <v>87.699999999999989</v>
      </c>
      <c r="P542" s="1">
        <f t="shared" si="433"/>
        <v>0</v>
      </c>
      <c r="Q542" s="1" t="str">
        <f t="shared" si="429"/>
        <v/>
      </c>
      <c r="R542" s="1" t="str">
        <f t="shared" si="434"/>
        <v/>
      </c>
      <c r="S542" s="1">
        <f t="shared" si="435"/>
        <v>751.6031999999999</v>
      </c>
      <c r="T542" s="1">
        <f t="shared" si="436"/>
        <v>0.77</v>
      </c>
      <c r="U542" s="1">
        <f t="shared" si="437"/>
        <v>528.00000000004502</v>
      </c>
      <c r="V542" s="1">
        <f t="shared" si="438"/>
        <v>406.56000000003468</v>
      </c>
    </row>
    <row r="543" spans="1:22" x14ac:dyDescent="0.25">
      <c r="A543" s="1">
        <v>542</v>
      </c>
      <c r="B543" s="4">
        <v>7500</v>
      </c>
      <c r="C543" s="4">
        <v>87.8</v>
      </c>
      <c r="D543" s="4">
        <v>87.899999999999991</v>
      </c>
      <c r="E543" s="4">
        <f t="shared" si="430"/>
        <v>9.9999999999994316E-2</v>
      </c>
      <c r="F543" s="4">
        <v>0</v>
      </c>
      <c r="G543" s="4">
        <v>0.53</v>
      </c>
      <c r="H543" s="4">
        <v>79</v>
      </c>
      <c r="I543" s="4"/>
      <c r="J543" s="4">
        <v>50</v>
      </c>
      <c r="K543"/>
      <c r="L543"/>
      <c r="M543" s="4">
        <f t="shared" si="431"/>
        <v>87.899999999999991</v>
      </c>
      <c r="N543" s="4"/>
      <c r="O543" s="1">
        <f t="shared" si="432"/>
        <v>87.8</v>
      </c>
      <c r="P543" s="1">
        <f t="shared" si="433"/>
        <v>0</v>
      </c>
      <c r="Q543" s="1" t="str">
        <f t="shared" si="429"/>
        <v/>
      </c>
      <c r="R543" s="1" t="str">
        <f t="shared" si="434"/>
        <v/>
      </c>
      <c r="S543" s="1">
        <f t="shared" si="435"/>
        <v>755.66880000000026</v>
      </c>
      <c r="T543" s="1">
        <f t="shared" si="436"/>
        <v>0.53</v>
      </c>
      <c r="U543" s="1">
        <f t="shared" si="437"/>
        <v>527.99999999996999</v>
      </c>
      <c r="V543" s="1">
        <f t="shared" si="438"/>
        <v>279.83999999998412</v>
      </c>
    </row>
    <row r="544" spans="1:22" x14ac:dyDescent="0.25">
      <c r="A544" s="1">
        <v>543</v>
      </c>
      <c r="B544" s="4">
        <v>7500</v>
      </c>
      <c r="C544" s="4">
        <v>87.899999999999991</v>
      </c>
      <c r="D544" s="4">
        <v>88</v>
      </c>
      <c r="E544" s="4">
        <f t="shared" si="430"/>
        <v>0.10000000000000853</v>
      </c>
      <c r="F544" s="4">
        <v>0</v>
      </c>
      <c r="G544" s="4">
        <v>0.56000000000000005</v>
      </c>
      <c r="H544" s="4">
        <v>79</v>
      </c>
      <c r="I544" s="4"/>
      <c r="J544" s="4">
        <v>50</v>
      </c>
      <c r="K544"/>
      <c r="L544"/>
      <c r="M544" s="4">
        <f t="shared" si="431"/>
        <v>88</v>
      </c>
      <c r="N544" s="4"/>
      <c r="O544" s="1">
        <f t="shared" si="432"/>
        <v>87.899999999999991</v>
      </c>
      <c r="P544" s="1">
        <f t="shared" si="433"/>
        <v>0</v>
      </c>
      <c r="Q544" s="1" t="str">
        <f t="shared" si="429"/>
        <v/>
      </c>
      <c r="R544" s="1" t="str">
        <f t="shared" si="434"/>
        <v/>
      </c>
      <c r="S544" s="1">
        <f t="shared" si="435"/>
        <v>758.46720000000005</v>
      </c>
      <c r="T544" s="1">
        <f t="shared" si="436"/>
        <v>0.56000000000000005</v>
      </c>
      <c r="U544" s="1">
        <f t="shared" si="437"/>
        <v>528.00000000004502</v>
      </c>
      <c r="V544" s="1">
        <f t="shared" si="438"/>
        <v>295.68000000002525</v>
      </c>
    </row>
    <row r="545" spans="1:22" x14ac:dyDescent="0.25">
      <c r="A545" s="1">
        <v>544</v>
      </c>
      <c r="B545" s="4">
        <v>7500</v>
      </c>
      <c r="C545" s="4">
        <v>88</v>
      </c>
      <c r="D545" s="4">
        <v>88.1</v>
      </c>
      <c r="E545" s="4">
        <f t="shared" si="430"/>
        <v>9.9999999999994316E-2</v>
      </c>
      <c r="F545" s="4">
        <v>0</v>
      </c>
      <c r="G545" s="4">
        <v>0.63</v>
      </c>
      <c r="H545" s="4">
        <v>79</v>
      </c>
      <c r="I545" s="4"/>
      <c r="J545" s="4">
        <v>50</v>
      </c>
      <c r="K545"/>
      <c r="L545"/>
      <c r="M545" s="4">
        <f t="shared" si="431"/>
        <v>88.1</v>
      </c>
      <c r="N545" s="4"/>
      <c r="O545" s="1">
        <f t="shared" si="432"/>
        <v>88</v>
      </c>
      <c r="P545" s="1">
        <f t="shared" si="433"/>
        <v>0</v>
      </c>
      <c r="Q545" s="1" t="str">
        <f t="shared" si="429"/>
        <v/>
      </c>
      <c r="R545" s="1" t="str">
        <f t="shared" si="434"/>
        <v/>
      </c>
      <c r="S545" s="1">
        <f t="shared" si="435"/>
        <v>761.42400000000032</v>
      </c>
      <c r="T545" s="1">
        <f t="shared" si="436"/>
        <v>0.63</v>
      </c>
      <c r="U545" s="1">
        <f t="shared" si="437"/>
        <v>527.99999999996999</v>
      </c>
      <c r="V545" s="1">
        <f t="shared" si="438"/>
        <v>332.63999999998111</v>
      </c>
    </row>
    <row r="546" spans="1:22" x14ac:dyDescent="0.25">
      <c r="A546" s="1">
        <v>545</v>
      </c>
      <c r="B546" s="4">
        <v>7500</v>
      </c>
      <c r="C546" s="4">
        <v>88.1</v>
      </c>
      <c r="D546" s="4">
        <v>88.199999999999989</v>
      </c>
      <c r="E546" s="4">
        <f t="shared" si="430"/>
        <v>9.9999999999994316E-2</v>
      </c>
      <c r="F546" s="4">
        <v>2</v>
      </c>
      <c r="G546" s="4">
        <v>0.67</v>
      </c>
      <c r="H546" s="4">
        <v>79</v>
      </c>
      <c r="I546" s="4"/>
      <c r="J546" s="4">
        <v>50</v>
      </c>
      <c r="K546"/>
      <c r="L546"/>
      <c r="M546" s="4">
        <f t="shared" si="431"/>
        <v>88.199999999999989</v>
      </c>
      <c r="N546" s="4"/>
      <c r="O546" s="1">
        <f t="shared" si="432"/>
        <v>88.1</v>
      </c>
      <c r="P546" s="1">
        <f t="shared" si="433"/>
        <v>10.559999999999398</v>
      </c>
      <c r="Q546" s="1" t="str">
        <f t="shared" si="429"/>
        <v/>
      </c>
      <c r="R546" s="1" t="str">
        <f t="shared" si="434"/>
        <v/>
      </c>
      <c r="S546" s="1">
        <f t="shared" si="435"/>
        <v>764.75040000000013</v>
      </c>
      <c r="T546" s="1">
        <f t="shared" si="436"/>
        <v>0.67</v>
      </c>
      <c r="U546" s="1">
        <f t="shared" si="437"/>
        <v>527.99999999996999</v>
      </c>
      <c r="V546" s="1">
        <f t="shared" si="438"/>
        <v>353.75999999997993</v>
      </c>
    </row>
    <row r="547" spans="1:22" x14ac:dyDescent="0.25">
      <c r="A547" s="1">
        <v>546</v>
      </c>
      <c r="B547" s="4">
        <v>7500</v>
      </c>
      <c r="C547" s="4">
        <v>88.199999999999989</v>
      </c>
      <c r="D547" s="4">
        <v>88.3</v>
      </c>
      <c r="E547" s="4">
        <f t="shared" si="430"/>
        <v>0.10000000000000853</v>
      </c>
      <c r="F547" s="4">
        <v>2</v>
      </c>
      <c r="G547" s="4">
        <v>0.67</v>
      </c>
      <c r="H547" s="4">
        <v>79</v>
      </c>
      <c r="I547" s="4"/>
      <c r="J547" s="4">
        <v>50</v>
      </c>
      <c r="K547"/>
      <c r="L547"/>
      <c r="M547" s="4">
        <f t="shared" si="431"/>
        <v>88.3</v>
      </c>
      <c r="N547" s="4"/>
      <c r="O547" s="1">
        <f t="shared" si="432"/>
        <v>88.199999999999989</v>
      </c>
      <c r="P547" s="1">
        <f t="shared" si="433"/>
        <v>10.560000000000899</v>
      </c>
      <c r="Q547" s="1" t="str">
        <f t="shared" si="429"/>
        <v/>
      </c>
      <c r="R547" s="1" t="str">
        <f t="shared" si="434"/>
        <v/>
      </c>
      <c r="S547" s="1">
        <f t="shared" si="435"/>
        <v>768.2879999999999</v>
      </c>
      <c r="T547" s="1">
        <f t="shared" si="436"/>
        <v>0.67</v>
      </c>
      <c r="U547" s="1">
        <f t="shared" si="437"/>
        <v>528.00000000004502</v>
      </c>
      <c r="V547" s="1">
        <f t="shared" si="438"/>
        <v>353.76000000003017</v>
      </c>
    </row>
    <row r="548" spans="1:22" x14ac:dyDescent="0.25">
      <c r="A548" s="1">
        <v>547</v>
      </c>
      <c r="B548" s="4">
        <v>7500</v>
      </c>
      <c r="C548" s="4">
        <v>88.3</v>
      </c>
      <c r="D548" s="4">
        <v>88.399999999999991</v>
      </c>
      <c r="E548" s="4">
        <f t="shared" si="430"/>
        <v>9.9999999999994316E-2</v>
      </c>
      <c r="F548" s="4">
        <v>0</v>
      </c>
      <c r="G548" s="4">
        <v>0.67</v>
      </c>
      <c r="H548" s="4">
        <v>79</v>
      </c>
      <c r="I548" s="4"/>
      <c r="J548" s="4">
        <v>50</v>
      </c>
      <c r="K548"/>
      <c r="L548"/>
      <c r="M548" s="4">
        <f t="shared" si="431"/>
        <v>88.399999999999991</v>
      </c>
      <c r="N548" s="4"/>
      <c r="O548" s="1">
        <f t="shared" si="432"/>
        <v>88.3</v>
      </c>
      <c r="P548" s="1">
        <f t="shared" si="433"/>
        <v>0</v>
      </c>
      <c r="Q548" s="1" t="str">
        <f t="shared" si="429"/>
        <v/>
      </c>
      <c r="R548" s="1" t="str">
        <f t="shared" si="434"/>
        <v/>
      </c>
      <c r="S548" s="1">
        <f t="shared" si="435"/>
        <v>771.82560000000024</v>
      </c>
      <c r="T548" s="1">
        <f t="shared" si="436"/>
        <v>0.67</v>
      </c>
      <c r="U548" s="1">
        <f t="shared" si="437"/>
        <v>527.99999999996999</v>
      </c>
      <c r="V548" s="1">
        <f t="shared" si="438"/>
        <v>353.75999999997993</v>
      </c>
    </row>
    <row r="549" spans="1:22" x14ac:dyDescent="0.25">
      <c r="A549" s="1">
        <v>548</v>
      </c>
      <c r="B549" s="4">
        <v>7500</v>
      </c>
      <c r="C549" s="4">
        <v>88.399999999999991</v>
      </c>
      <c r="D549" s="4">
        <v>88.5</v>
      </c>
      <c r="E549" s="4">
        <f t="shared" si="430"/>
        <v>0.10000000000000853</v>
      </c>
      <c r="F549" s="4">
        <v>0</v>
      </c>
      <c r="G549" s="4">
        <v>0.6</v>
      </c>
      <c r="H549" s="4">
        <v>79</v>
      </c>
      <c r="I549" s="4"/>
      <c r="J549" s="4">
        <v>50</v>
      </c>
      <c r="K549"/>
      <c r="L549"/>
      <c r="M549" s="4">
        <f t="shared" si="431"/>
        <v>88.5</v>
      </c>
      <c r="N549" s="4"/>
      <c r="O549" s="1">
        <f t="shared" si="432"/>
        <v>88.399999999999991</v>
      </c>
      <c r="P549" s="1">
        <f t="shared" si="433"/>
        <v>0</v>
      </c>
      <c r="Q549" s="1" t="str">
        <f t="shared" si="429"/>
        <v/>
      </c>
      <c r="R549" s="1" t="str">
        <f t="shared" si="434"/>
        <v/>
      </c>
      <c r="S549" s="1">
        <f t="shared" si="435"/>
        <v>775.36320000000001</v>
      </c>
      <c r="T549" s="1">
        <f t="shared" si="436"/>
        <v>0.6</v>
      </c>
      <c r="U549" s="1">
        <f t="shared" si="437"/>
        <v>528.00000000004502</v>
      </c>
      <c r="V549" s="1">
        <f t="shared" si="438"/>
        <v>316.80000000002701</v>
      </c>
    </row>
    <row r="550" spans="1:22" x14ac:dyDescent="0.25">
      <c r="A550" s="1">
        <v>549</v>
      </c>
      <c r="B550" s="4">
        <v>7500</v>
      </c>
      <c r="C550" s="4">
        <v>88.5</v>
      </c>
      <c r="D550" s="4">
        <v>88.6</v>
      </c>
      <c r="E550" s="4">
        <f t="shared" si="430"/>
        <v>9.9999999999994316E-2</v>
      </c>
      <c r="F550" s="4">
        <v>0</v>
      </c>
      <c r="G550" s="4">
        <v>0.47</v>
      </c>
      <c r="H550" s="4">
        <v>79</v>
      </c>
      <c r="I550" s="4"/>
      <c r="J550" s="4">
        <v>50</v>
      </c>
      <c r="K550"/>
      <c r="L550"/>
      <c r="M550" s="4">
        <f t="shared" si="431"/>
        <v>88.6</v>
      </c>
      <c r="N550" s="4"/>
      <c r="O550" s="1">
        <f t="shared" si="432"/>
        <v>88.5</v>
      </c>
      <c r="P550" s="1">
        <f t="shared" si="433"/>
        <v>0</v>
      </c>
      <c r="Q550" s="1" t="str">
        <f t="shared" si="429"/>
        <v/>
      </c>
      <c r="R550" s="1" t="str">
        <f t="shared" si="434"/>
        <v/>
      </c>
      <c r="S550" s="1">
        <f t="shared" si="435"/>
        <v>778.53120000000024</v>
      </c>
      <c r="T550" s="1">
        <f t="shared" si="436"/>
        <v>0.47</v>
      </c>
      <c r="U550" s="1">
        <f t="shared" si="437"/>
        <v>527.99999999996999</v>
      </c>
      <c r="V550" s="1">
        <f t="shared" si="438"/>
        <v>248.15999999998587</v>
      </c>
    </row>
    <row r="551" spans="1:22" x14ac:dyDescent="0.25">
      <c r="A551" s="1">
        <v>550</v>
      </c>
      <c r="B551" s="4">
        <v>7500</v>
      </c>
      <c r="C551" s="4">
        <v>88.6</v>
      </c>
      <c r="D551" s="4">
        <v>88.699999999999989</v>
      </c>
      <c r="E551" s="4">
        <f t="shared" si="430"/>
        <v>9.9999999999994316E-2</v>
      </c>
      <c r="F551" s="4">
        <v>0</v>
      </c>
      <c r="G551" s="4">
        <v>0.41</v>
      </c>
      <c r="H551" s="4">
        <v>79</v>
      </c>
      <c r="I551" s="4"/>
      <c r="J551" s="4">
        <v>50</v>
      </c>
      <c r="K551"/>
      <c r="L551"/>
      <c r="M551" s="4">
        <f t="shared" si="431"/>
        <v>88.699999999999989</v>
      </c>
      <c r="N551" s="4"/>
      <c r="O551" s="1">
        <f t="shared" si="432"/>
        <v>88.6</v>
      </c>
      <c r="P551" s="1">
        <f t="shared" si="433"/>
        <v>0</v>
      </c>
      <c r="Q551" s="1" t="str">
        <f t="shared" si="429"/>
        <v/>
      </c>
      <c r="R551" s="1" t="str">
        <f t="shared" si="434"/>
        <v/>
      </c>
      <c r="S551" s="1">
        <f t="shared" si="435"/>
        <v>781.01280000000008</v>
      </c>
      <c r="T551" s="1">
        <f t="shared" si="436"/>
        <v>0.41</v>
      </c>
      <c r="U551" s="1">
        <f t="shared" si="437"/>
        <v>527.99999999996999</v>
      </c>
      <c r="V551" s="1">
        <f t="shared" si="438"/>
        <v>216.47999999998768</v>
      </c>
    </row>
    <row r="552" spans="1:22" x14ac:dyDescent="0.25">
      <c r="A552" s="1">
        <v>551</v>
      </c>
      <c r="B552" s="4">
        <v>7500</v>
      </c>
      <c r="C552" s="4">
        <v>88.699999999999989</v>
      </c>
      <c r="D552" s="4">
        <v>88.8</v>
      </c>
      <c r="E552" s="4">
        <f t="shared" si="430"/>
        <v>0.10000000000000853</v>
      </c>
      <c r="F552" s="4">
        <v>0</v>
      </c>
      <c r="G552" s="4">
        <v>0.16</v>
      </c>
      <c r="H552" s="4">
        <v>79</v>
      </c>
      <c r="I552" s="4"/>
      <c r="J552" s="4">
        <v>50</v>
      </c>
      <c r="K552"/>
      <c r="L552"/>
      <c r="M552" s="4">
        <f t="shared" si="431"/>
        <v>88.8</v>
      </c>
      <c r="N552" s="4"/>
      <c r="O552" s="1">
        <f t="shared" si="432"/>
        <v>88.699999999999989</v>
      </c>
      <c r="P552" s="1">
        <f t="shared" si="433"/>
        <v>0</v>
      </c>
      <c r="Q552" s="1" t="str">
        <f t="shared" si="429"/>
        <v/>
      </c>
      <c r="R552" s="1" t="str">
        <f t="shared" si="434"/>
        <v/>
      </c>
      <c r="S552" s="1">
        <f t="shared" si="435"/>
        <v>783.17759999999998</v>
      </c>
      <c r="T552" s="1">
        <f t="shared" si="436"/>
        <v>0.16</v>
      </c>
      <c r="U552" s="1">
        <f t="shared" si="437"/>
        <v>528.00000000004502</v>
      </c>
      <c r="V552" s="1">
        <f t="shared" si="438"/>
        <v>84.480000000007209</v>
      </c>
    </row>
    <row r="553" spans="1:22" x14ac:dyDescent="0.25">
      <c r="A553" s="1">
        <v>552</v>
      </c>
      <c r="B553" s="4">
        <v>7500</v>
      </c>
      <c r="C553" s="4">
        <v>88.8</v>
      </c>
      <c r="D553" s="4">
        <v>89</v>
      </c>
      <c r="E553" s="4">
        <f t="shared" si="430"/>
        <v>0.20000000000000284</v>
      </c>
      <c r="F553" s="4">
        <v>0</v>
      </c>
      <c r="G553" s="4">
        <v>-0.36</v>
      </c>
      <c r="H553" s="4">
        <v>79</v>
      </c>
      <c r="I553" s="4"/>
      <c r="J553" s="4">
        <v>50</v>
      </c>
      <c r="K553"/>
      <c r="L553"/>
      <c r="M553" s="4">
        <f t="shared" si="431"/>
        <v>89</v>
      </c>
      <c r="N553" s="4"/>
      <c r="O553" s="1">
        <f t="shared" si="432"/>
        <v>88.8</v>
      </c>
      <c r="P553" s="1">
        <f t="shared" si="433"/>
        <v>0</v>
      </c>
      <c r="Q553" s="1" t="str">
        <f t="shared" si="429"/>
        <v/>
      </c>
      <c r="R553" s="1" t="str">
        <f t="shared" si="434"/>
        <v/>
      </c>
      <c r="S553" s="1">
        <f t="shared" si="435"/>
        <v>784.02240000000006</v>
      </c>
      <c r="T553" s="1">
        <f t="shared" si="436"/>
        <v>-0.36</v>
      </c>
      <c r="U553" s="1">
        <f t="shared" si="437"/>
        <v>1056.000000000015</v>
      </c>
      <c r="V553" s="1">
        <f t="shared" si="438"/>
        <v>380.16000000000537</v>
      </c>
    </row>
    <row r="554" spans="1:22" x14ac:dyDescent="0.25">
      <c r="A554" s="1">
        <v>553</v>
      </c>
      <c r="B554" s="4">
        <v>7500</v>
      </c>
      <c r="C554" s="4">
        <v>89</v>
      </c>
      <c r="D554" s="4">
        <v>89.199999999999989</v>
      </c>
      <c r="E554" s="4">
        <f t="shared" si="430"/>
        <v>0.19999999999998863</v>
      </c>
      <c r="F554" s="4">
        <v>0</v>
      </c>
      <c r="G554" s="4">
        <v>-0.61</v>
      </c>
      <c r="H554" s="4">
        <v>79</v>
      </c>
      <c r="I554" s="4"/>
      <c r="J554" s="4">
        <v>50</v>
      </c>
      <c r="K554"/>
      <c r="L554"/>
      <c r="M554" s="4">
        <f t="shared" si="431"/>
        <v>89.199999999999989</v>
      </c>
      <c r="N554" s="4"/>
      <c r="O554" s="1">
        <f t="shared" si="432"/>
        <v>89</v>
      </c>
      <c r="P554" s="1">
        <f t="shared" si="433"/>
        <v>0</v>
      </c>
      <c r="Q554" s="1" t="str">
        <f t="shared" si="429"/>
        <v/>
      </c>
      <c r="R554" s="1" t="str">
        <f t="shared" si="434"/>
        <v/>
      </c>
      <c r="S554" s="1">
        <f t="shared" si="435"/>
        <v>780.22080000000005</v>
      </c>
      <c r="T554" s="1">
        <f t="shared" si="436"/>
        <v>-0.61</v>
      </c>
      <c r="U554" s="1">
        <f t="shared" si="437"/>
        <v>1055.99999999994</v>
      </c>
      <c r="V554" s="1">
        <f t="shared" si="438"/>
        <v>644.15999999996336</v>
      </c>
    </row>
    <row r="555" spans="1:22" x14ac:dyDescent="0.25">
      <c r="A555" s="1">
        <v>554</v>
      </c>
      <c r="B555" s="4">
        <v>7500</v>
      </c>
      <c r="C555" s="4">
        <v>89.199999999999989</v>
      </c>
      <c r="D555" s="4">
        <v>89.399999999999991</v>
      </c>
      <c r="E555" s="4">
        <f t="shared" si="430"/>
        <v>0.20000000000000284</v>
      </c>
      <c r="F555" s="4">
        <v>0</v>
      </c>
      <c r="G555" s="4">
        <v>-0.61</v>
      </c>
      <c r="H555" s="4">
        <v>79</v>
      </c>
      <c r="I555" s="4"/>
      <c r="J555" s="4">
        <v>50</v>
      </c>
      <c r="K555"/>
      <c r="L555"/>
      <c r="M555" s="4">
        <f t="shared" si="431"/>
        <v>89.399999999999991</v>
      </c>
      <c r="N555" s="4"/>
      <c r="O555" s="1">
        <f t="shared" si="432"/>
        <v>89.199999999999989</v>
      </c>
      <c r="P555" s="1">
        <f t="shared" si="433"/>
        <v>0</v>
      </c>
      <c r="Q555" s="1" t="str">
        <f t="shared" si="429"/>
        <v/>
      </c>
      <c r="R555" s="1" t="str">
        <f t="shared" si="434"/>
        <v/>
      </c>
      <c r="S555" s="1">
        <f t="shared" si="435"/>
        <v>773.7792000000004</v>
      </c>
      <c r="T555" s="1">
        <f t="shared" si="436"/>
        <v>-0.61</v>
      </c>
      <c r="U555" s="1">
        <f t="shared" si="437"/>
        <v>1056.000000000015</v>
      </c>
      <c r="V555" s="1">
        <f t="shared" si="438"/>
        <v>644.16000000000918</v>
      </c>
    </row>
    <row r="556" spans="1:22" x14ac:dyDescent="0.25">
      <c r="A556" s="1">
        <v>555</v>
      </c>
      <c r="B556" s="4">
        <v>7500</v>
      </c>
      <c r="C556" s="4">
        <v>89.399999999999991</v>
      </c>
      <c r="D556" s="4">
        <v>89.5</v>
      </c>
      <c r="E556" s="4">
        <f t="shared" si="430"/>
        <v>0.10000000000000853</v>
      </c>
      <c r="F556" s="4">
        <v>1</v>
      </c>
      <c r="G556" s="4">
        <v>-0.26</v>
      </c>
      <c r="H556" s="4">
        <v>79</v>
      </c>
      <c r="I556" s="4"/>
      <c r="J556" s="4">
        <v>50</v>
      </c>
      <c r="K556"/>
      <c r="L556"/>
      <c r="M556" s="4">
        <f t="shared" si="431"/>
        <v>89.5</v>
      </c>
      <c r="N556" s="4"/>
      <c r="O556" s="1">
        <f t="shared" si="432"/>
        <v>89.399999999999991</v>
      </c>
      <c r="P556" s="1">
        <f t="shared" si="433"/>
        <v>5.2800000000004497</v>
      </c>
      <c r="Q556" s="1" t="str">
        <f t="shared" si="429"/>
        <v/>
      </c>
      <c r="R556" s="1" t="str">
        <f t="shared" si="434"/>
        <v/>
      </c>
      <c r="S556" s="1">
        <f t="shared" si="435"/>
        <v>767.33760000000029</v>
      </c>
      <c r="T556" s="1">
        <f t="shared" si="436"/>
        <v>-0.26</v>
      </c>
      <c r="U556" s="1">
        <f t="shared" si="437"/>
        <v>528.00000000004502</v>
      </c>
      <c r="V556" s="1">
        <f t="shared" si="438"/>
        <v>137.28000000001171</v>
      </c>
    </row>
    <row r="557" spans="1:22" x14ac:dyDescent="0.25">
      <c r="A557" s="1">
        <v>556</v>
      </c>
      <c r="B557" s="4">
        <v>7500</v>
      </c>
      <c r="C557" s="4">
        <v>89.5</v>
      </c>
      <c r="D557" s="4">
        <v>89.6</v>
      </c>
      <c r="E557" s="4">
        <f t="shared" si="430"/>
        <v>9.9999999999994316E-2</v>
      </c>
      <c r="F557" s="4">
        <v>1.2</v>
      </c>
      <c r="G557" s="4">
        <v>-0.26</v>
      </c>
      <c r="H557" s="4">
        <v>79</v>
      </c>
      <c r="I557" s="4"/>
      <c r="J557" s="4">
        <v>50</v>
      </c>
      <c r="K557"/>
      <c r="L557"/>
      <c r="M557" s="4">
        <f t="shared" si="431"/>
        <v>89.6</v>
      </c>
      <c r="N557" s="4"/>
      <c r="O557" s="1">
        <f t="shared" si="432"/>
        <v>89.5</v>
      </c>
      <c r="P557" s="1">
        <f t="shared" si="433"/>
        <v>6.3359999999996388</v>
      </c>
      <c r="Q557" s="1" t="str">
        <f t="shared" si="429"/>
        <v/>
      </c>
      <c r="R557" s="1" t="str">
        <f t="shared" si="434"/>
        <v/>
      </c>
      <c r="S557" s="1">
        <f t="shared" si="435"/>
        <v>765.9648000000002</v>
      </c>
      <c r="T557" s="1">
        <f t="shared" si="436"/>
        <v>-0.26</v>
      </c>
      <c r="U557" s="1">
        <f t="shared" si="437"/>
        <v>527.99999999996999</v>
      </c>
      <c r="V557" s="1">
        <f t="shared" si="438"/>
        <v>137.27999999999221</v>
      </c>
    </row>
    <row r="558" spans="1:22" x14ac:dyDescent="0.25">
      <c r="A558" s="1">
        <v>557</v>
      </c>
      <c r="B558" s="4">
        <v>7500</v>
      </c>
      <c r="C558" s="4">
        <v>89.6</v>
      </c>
      <c r="D558" s="4">
        <v>89.699999999999989</v>
      </c>
      <c r="E558" s="4">
        <f t="shared" si="430"/>
        <v>9.9999999999994316E-2</v>
      </c>
      <c r="F558" s="4">
        <v>0</v>
      </c>
      <c r="G558" s="4">
        <v>-0.26</v>
      </c>
      <c r="H558" s="4">
        <v>79</v>
      </c>
      <c r="I558" s="4"/>
      <c r="J558" s="4">
        <v>50</v>
      </c>
      <c r="K558"/>
      <c r="L558"/>
      <c r="M558" s="4">
        <f t="shared" si="431"/>
        <v>89.699999999999989</v>
      </c>
      <c r="N558" s="4"/>
      <c r="O558" s="1">
        <f t="shared" si="432"/>
        <v>89.6</v>
      </c>
      <c r="P558" s="1">
        <f t="shared" si="433"/>
        <v>0</v>
      </c>
      <c r="Q558" s="1" t="str">
        <f t="shared" si="429"/>
        <v/>
      </c>
      <c r="R558" s="1" t="str">
        <f t="shared" si="434"/>
        <v/>
      </c>
      <c r="S558" s="1">
        <f t="shared" si="435"/>
        <v>764.59200000000033</v>
      </c>
      <c r="T558" s="1">
        <f t="shared" si="436"/>
        <v>-0.26</v>
      </c>
      <c r="U558" s="1">
        <f t="shared" si="437"/>
        <v>527.99999999996999</v>
      </c>
      <c r="V558" s="1">
        <f t="shared" si="438"/>
        <v>137.27999999999221</v>
      </c>
    </row>
    <row r="559" spans="1:22" x14ac:dyDescent="0.25">
      <c r="A559" s="1">
        <v>558</v>
      </c>
      <c r="B559" s="4">
        <v>7500</v>
      </c>
      <c r="C559" s="4">
        <v>89.699999999999989</v>
      </c>
      <c r="D559" s="4">
        <v>89.8</v>
      </c>
      <c r="E559" s="4">
        <f t="shared" si="430"/>
        <v>0.10000000000000853</v>
      </c>
      <c r="F559" s="4">
        <v>0</v>
      </c>
      <c r="G559" s="4">
        <v>0.17</v>
      </c>
      <c r="H559" s="4">
        <v>79</v>
      </c>
      <c r="I559" s="4"/>
      <c r="J559" s="4">
        <v>50</v>
      </c>
      <c r="K559"/>
      <c r="L559"/>
      <c r="M559" s="4">
        <f t="shared" si="431"/>
        <v>89.8</v>
      </c>
      <c r="N559" s="4"/>
      <c r="O559" s="1">
        <f t="shared" si="432"/>
        <v>89.699999999999989</v>
      </c>
      <c r="P559" s="1">
        <f t="shared" si="433"/>
        <v>0</v>
      </c>
      <c r="Q559" s="1" t="str">
        <f t="shared" si="429"/>
        <v/>
      </c>
      <c r="R559" s="1" t="str">
        <f t="shared" si="434"/>
        <v/>
      </c>
      <c r="S559" s="1">
        <f t="shared" si="435"/>
        <v>763.21920000000046</v>
      </c>
      <c r="T559" s="1">
        <f t="shared" si="436"/>
        <v>0.17</v>
      </c>
      <c r="U559" s="1">
        <f t="shared" si="437"/>
        <v>528.00000000004502</v>
      </c>
      <c r="V559" s="1">
        <f t="shared" si="438"/>
        <v>89.760000000007665</v>
      </c>
    </row>
    <row r="560" spans="1:22" x14ac:dyDescent="0.25">
      <c r="A560" s="1">
        <v>559</v>
      </c>
      <c r="B560" s="4">
        <v>7500</v>
      </c>
      <c r="C560" s="4">
        <v>89.8</v>
      </c>
      <c r="D560" s="4">
        <v>89.899999999999991</v>
      </c>
      <c r="E560" s="4">
        <f t="shared" si="430"/>
        <v>9.9999999999994316E-2</v>
      </c>
      <c r="F560" s="4">
        <v>0</v>
      </c>
      <c r="G560" s="4">
        <v>0.04</v>
      </c>
      <c r="H560" s="4">
        <v>79</v>
      </c>
      <c r="I560" s="4"/>
      <c r="J560" s="4">
        <v>50</v>
      </c>
      <c r="K560"/>
      <c r="L560"/>
      <c r="M560" s="4">
        <f t="shared" si="431"/>
        <v>89.899999999999991</v>
      </c>
      <c r="N560" s="4"/>
      <c r="O560" s="1">
        <f t="shared" si="432"/>
        <v>89.8</v>
      </c>
      <c r="P560" s="1">
        <f t="shared" si="433"/>
        <v>0</v>
      </c>
      <c r="Q560" s="1" t="str">
        <f t="shared" si="429"/>
        <v/>
      </c>
      <c r="R560" s="1" t="str">
        <f t="shared" si="434"/>
        <v/>
      </c>
      <c r="S560" s="1">
        <f t="shared" si="435"/>
        <v>764.11680000000058</v>
      </c>
      <c r="T560" s="1">
        <f t="shared" si="436"/>
        <v>0.04</v>
      </c>
      <c r="U560" s="1">
        <f t="shared" si="437"/>
        <v>527.99999999996999</v>
      </c>
      <c r="V560" s="1">
        <f t="shared" si="438"/>
        <v>21.1199999999988</v>
      </c>
    </row>
    <row r="561" spans="1:22" x14ac:dyDescent="0.25">
      <c r="A561" s="1">
        <v>560</v>
      </c>
      <c r="B561" s="4">
        <v>7500</v>
      </c>
      <c r="C561" s="4">
        <v>89.899999999999991</v>
      </c>
      <c r="D561" s="4">
        <v>90</v>
      </c>
      <c r="E561" s="4">
        <f t="shared" si="430"/>
        <v>0.10000000000000853</v>
      </c>
      <c r="F561" s="4">
        <v>1</v>
      </c>
      <c r="G561" s="4">
        <v>-0.02</v>
      </c>
      <c r="H561" s="4">
        <v>79</v>
      </c>
      <c r="I561" s="4"/>
      <c r="J561" s="4">
        <v>50</v>
      </c>
      <c r="K561"/>
      <c r="L561"/>
      <c r="M561" s="4">
        <f t="shared" si="431"/>
        <v>90</v>
      </c>
      <c r="N561" s="4"/>
      <c r="O561" s="1">
        <f t="shared" si="432"/>
        <v>89.899999999999991</v>
      </c>
      <c r="P561" s="1">
        <f t="shared" si="433"/>
        <v>5.2800000000004497</v>
      </c>
      <c r="Q561" s="1" t="str">
        <f t="shared" si="429"/>
        <v/>
      </c>
      <c r="R561" s="1" t="str">
        <f t="shared" si="434"/>
        <v/>
      </c>
      <c r="S561" s="1">
        <f t="shared" si="435"/>
        <v>764.32800000000054</v>
      </c>
      <c r="T561" s="1">
        <f t="shared" si="436"/>
        <v>-0.02</v>
      </c>
      <c r="U561" s="1">
        <f t="shared" si="437"/>
        <v>528.00000000004502</v>
      </c>
      <c r="V561" s="1">
        <f t="shared" si="438"/>
        <v>10.560000000000901</v>
      </c>
    </row>
    <row r="562" spans="1:22" x14ac:dyDescent="0.25">
      <c r="A562" s="1">
        <v>561</v>
      </c>
      <c r="B562" s="4">
        <v>7500</v>
      </c>
      <c r="C562" s="4">
        <v>90</v>
      </c>
      <c r="D562" s="4">
        <v>90.1</v>
      </c>
      <c r="E562" s="4">
        <f t="shared" si="430"/>
        <v>9.9999999999994316E-2</v>
      </c>
      <c r="F562" s="4">
        <v>1</v>
      </c>
      <c r="G562" s="4">
        <v>-0.57999999999999996</v>
      </c>
      <c r="H562" s="4">
        <v>79</v>
      </c>
      <c r="I562" s="4"/>
      <c r="J562" s="4">
        <v>50</v>
      </c>
      <c r="K562"/>
      <c r="L562"/>
      <c r="M562" s="4">
        <f t="shared" si="431"/>
        <v>90.1</v>
      </c>
      <c r="N562" s="4"/>
      <c r="O562" s="1">
        <f t="shared" si="432"/>
        <v>90</v>
      </c>
      <c r="P562" s="1">
        <f t="shared" si="433"/>
        <v>5.2799999999996992</v>
      </c>
      <c r="Q562" s="1" t="str">
        <f t="shared" si="429"/>
        <v/>
      </c>
      <c r="R562" s="1" t="str">
        <f t="shared" si="434"/>
        <v/>
      </c>
      <c r="S562" s="1">
        <f t="shared" si="435"/>
        <v>764.22240000000056</v>
      </c>
      <c r="T562" s="1">
        <f t="shared" si="436"/>
        <v>-0.57999999999999996</v>
      </c>
      <c r="U562" s="1">
        <f t="shared" si="437"/>
        <v>527.99999999996999</v>
      </c>
      <c r="V562" s="1">
        <f t="shared" si="438"/>
        <v>306.23999999998256</v>
      </c>
    </row>
    <row r="563" spans="1:22" x14ac:dyDescent="0.25">
      <c r="A563" s="1">
        <v>562</v>
      </c>
      <c r="B563" s="4">
        <v>7500</v>
      </c>
      <c r="C563" s="4">
        <v>90.1</v>
      </c>
      <c r="D563" s="4">
        <v>90.199999999999989</v>
      </c>
      <c r="E563" s="4">
        <f t="shared" si="430"/>
        <v>9.9999999999994316E-2</v>
      </c>
      <c r="F563" s="4">
        <v>0</v>
      </c>
      <c r="G563" s="4">
        <v>-0.57999999999999996</v>
      </c>
      <c r="H563" s="4">
        <v>79</v>
      </c>
      <c r="I563" s="4"/>
      <c r="J563" s="4">
        <v>50</v>
      </c>
      <c r="K563"/>
      <c r="L563"/>
      <c r="M563" s="4">
        <f t="shared" si="431"/>
        <v>90.199999999999989</v>
      </c>
      <c r="N563" s="4"/>
      <c r="O563" s="1">
        <f t="shared" si="432"/>
        <v>90.1</v>
      </c>
      <c r="P563" s="1">
        <f t="shared" si="433"/>
        <v>0</v>
      </c>
      <c r="Q563" s="1" t="str">
        <f t="shared" si="429"/>
        <v/>
      </c>
      <c r="R563" s="1" t="str">
        <f t="shared" si="434"/>
        <v/>
      </c>
      <c r="S563" s="1">
        <f t="shared" si="435"/>
        <v>761.16000000000076</v>
      </c>
      <c r="T563" s="1">
        <f t="shared" si="436"/>
        <v>-0.57999999999999996</v>
      </c>
      <c r="U563" s="1">
        <f t="shared" si="437"/>
        <v>527.99999999996999</v>
      </c>
      <c r="V563" s="1">
        <f t="shared" si="438"/>
        <v>306.23999999998256</v>
      </c>
    </row>
    <row r="564" spans="1:22" x14ac:dyDescent="0.25">
      <c r="A564" s="1">
        <v>563</v>
      </c>
      <c r="B564" s="4">
        <v>7500</v>
      </c>
      <c r="C564" s="4">
        <v>90.199999999999989</v>
      </c>
      <c r="D564" s="4">
        <v>90.5</v>
      </c>
      <c r="E564" s="4">
        <f t="shared" si="430"/>
        <v>0.30000000000001137</v>
      </c>
      <c r="F564" s="4">
        <v>0</v>
      </c>
      <c r="G564" s="4">
        <v>-0.57999999999999996</v>
      </c>
      <c r="H564" s="4">
        <v>79</v>
      </c>
      <c r="I564" s="4"/>
      <c r="J564" s="4">
        <v>50</v>
      </c>
      <c r="K564"/>
      <c r="L564"/>
      <c r="M564" s="4">
        <f t="shared" si="431"/>
        <v>90.5</v>
      </c>
      <c r="N564" s="4"/>
      <c r="O564" s="1">
        <f t="shared" si="432"/>
        <v>90.199999999999989</v>
      </c>
      <c r="P564" s="1">
        <f t="shared" si="433"/>
        <v>0</v>
      </c>
      <c r="Q564" s="1" t="str">
        <f t="shared" si="429"/>
        <v/>
      </c>
      <c r="R564" s="1" t="str">
        <f t="shared" si="434"/>
        <v/>
      </c>
      <c r="S564" s="1">
        <f t="shared" si="435"/>
        <v>758.09760000000097</v>
      </c>
      <c r="T564" s="1">
        <f t="shared" si="436"/>
        <v>-0.57999999999999996</v>
      </c>
      <c r="U564" s="1">
        <f t="shared" si="437"/>
        <v>1584.00000000006</v>
      </c>
      <c r="V564" s="1">
        <f t="shared" si="438"/>
        <v>918.7200000000347</v>
      </c>
    </row>
    <row r="565" spans="1:22" x14ac:dyDescent="0.25">
      <c r="A565" s="1">
        <v>564</v>
      </c>
      <c r="B565" s="4">
        <v>7500</v>
      </c>
      <c r="C565" s="4">
        <v>90.5</v>
      </c>
      <c r="D565" s="4">
        <v>90.699999999999989</v>
      </c>
      <c r="E565" s="4">
        <f t="shared" si="430"/>
        <v>0.19999999999998863</v>
      </c>
      <c r="F565" s="4">
        <v>0</v>
      </c>
      <c r="G565" s="4">
        <v>-0.77</v>
      </c>
      <c r="H565" s="4">
        <v>79</v>
      </c>
      <c r="I565" s="4"/>
      <c r="J565" s="4">
        <v>50</v>
      </c>
      <c r="K565"/>
      <c r="L565"/>
      <c r="M565" s="4">
        <f t="shared" si="431"/>
        <v>90.699999999999989</v>
      </c>
      <c r="N565" s="4"/>
      <c r="O565" s="1">
        <f t="shared" si="432"/>
        <v>90.5</v>
      </c>
      <c r="P565" s="1">
        <f t="shared" si="433"/>
        <v>0</v>
      </c>
      <c r="Q565" s="1" t="str">
        <f t="shared" si="429"/>
        <v/>
      </c>
      <c r="R565" s="1" t="str">
        <f t="shared" si="434"/>
        <v/>
      </c>
      <c r="S565" s="1">
        <f t="shared" si="435"/>
        <v>748.91040000000066</v>
      </c>
      <c r="T565" s="1">
        <f t="shared" si="436"/>
        <v>-0.77</v>
      </c>
      <c r="U565" s="1">
        <f t="shared" si="437"/>
        <v>1055.99999999994</v>
      </c>
      <c r="V565" s="1">
        <f t="shared" si="438"/>
        <v>813.11999999995385</v>
      </c>
    </row>
    <row r="566" spans="1:22" x14ac:dyDescent="0.25">
      <c r="A566" s="1">
        <v>565</v>
      </c>
      <c r="B566" s="4">
        <v>7500</v>
      </c>
      <c r="C566" s="4">
        <v>90.699999999999989</v>
      </c>
      <c r="D566" s="4">
        <v>91</v>
      </c>
      <c r="E566" s="4">
        <f t="shared" si="430"/>
        <v>0.30000000000001137</v>
      </c>
      <c r="F566" s="4">
        <v>1</v>
      </c>
      <c r="G566" s="4">
        <v>-0.77</v>
      </c>
      <c r="H566" s="4">
        <v>79</v>
      </c>
      <c r="I566" s="4"/>
      <c r="J566" s="4">
        <v>50</v>
      </c>
      <c r="K566"/>
      <c r="L566"/>
      <c r="M566" s="4">
        <f t="shared" si="431"/>
        <v>91</v>
      </c>
      <c r="N566" s="4"/>
      <c r="O566" s="1">
        <f t="shared" si="432"/>
        <v>90.699999999999989</v>
      </c>
      <c r="P566" s="1">
        <f t="shared" si="433"/>
        <v>15.8400000000006</v>
      </c>
      <c r="Q566" s="1" t="str">
        <f t="shared" si="429"/>
        <v/>
      </c>
      <c r="R566" s="1" t="str">
        <f t="shared" si="434"/>
        <v/>
      </c>
      <c r="S566" s="1">
        <f t="shared" si="435"/>
        <v>740.77920000000108</v>
      </c>
      <c r="T566" s="1">
        <f t="shared" si="436"/>
        <v>-0.77</v>
      </c>
      <c r="U566" s="1">
        <f t="shared" si="437"/>
        <v>1584.00000000006</v>
      </c>
      <c r="V566" s="1">
        <f t="shared" si="438"/>
        <v>1219.6800000000462</v>
      </c>
    </row>
    <row r="567" spans="1:22" x14ac:dyDescent="0.25">
      <c r="A567" s="1">
        <v>566</v>
      </c>
      <c r="B567" s="4">
        <v>7500</v>
      </c>
      <c r="C567" s="4">
        <v>91</v>
      </c>
      <c r="D567" s="4">
        <v>91.1</v>
      </c>
      <c r="E567" s="4">
        <f t="shared" si="430"/>
        <v>9.9999999999994316E-2</v>
      </c>
      <c r="F567" s="4">
        <v>0</v>
      </c>
      <c r="G567" s="4">
        <v>-0.77</v>
      </c>
      <c r="H567" s="4">
        <v>79</v>
      </c>
      <c r="I567" s="4"/>
      <c r="J567" s="4">
        <v>50</v>
      </c>
      <c r="K567"/>
      <c r="L567"/>
      <c r="M567" s="4">
        <f t="shared" si="431"/>
        <v>91.1</v>
      </c>
      <c r="N567" s="4"/>
      <c r="O567" s="1">
        <f t="shared" si="432"/>
        <v>91</v>
      </c>
      <c r="P567" s="1">
        <f t="shared" si="433"/>
        <v>0</v>
      </c>
      <c r="Q567" s="1" t="str">
        <f t="shared" si="429"/>
        <v/>
      </c>
      <c r="R567" s="1" t="str">
        <f t="shared" si="434"/>
        <v/>
      </c>
      <c r="S567" s="1">
        <f t="shared" si="435"/>
        <v>728.58240000000058</v>
      </c>
      <c r="T567" s="1">
        <f t="shared" si="436"/>
        <v>-0.77</v>
      </c>
      <c r="U567" s="1">
        <f t="shared" si="437"/>
        <v>527.99999999996999</v>
      </c>
      <c r="V567" s="1">
        <f t="shared" si="438"/>
        <v>406.55999999997692</v>
      </c>
    </row>
    <row r="568" spans="1:22" x14ac:dyDescent="0.25">
      <c r="A568" s="1">
        <v>567</v>
      </c>
      <c r="B568" s="4">
        <v>7500</v>
      </c>
      <c r="C568" s="4">
        <v>91.1</v>
      </c>
      <c r="D568" s="4">
        <v>91.199999999999989</v>
      </c>
      <c r="E568" s="4">
        <f t="shared" si="430"/>
        <v>9.9999999999994316E-2</v>
      </c>
      <c r="F568" s="4">
        <v>0</v>
      </c>
      <c r="G568" s="4">
        <v>0.28000000000000003</v>
      </c>
      <c r="H568" s="4">
        <v>79</v>
      </c>
      <c r="I568" s="4"/>
      <c r="J568" s="4">
        <v>50</v>
      </c>
      <c r="K568"/>
      <c r="L568"/>
      <c r="M568" s="4">
        <f t="shared" si="431"/>
        <v>91.199999999999989</v>
      </c>
      <c r="N568" s="4"/>
      <c r="O568" s="1">
        <f t="shared" si="432"/>
        <v>91.1</v>
      </c>
      <c r="P568" s="1">
        <f t="shared" si="433"/>
        <v>0</v>
      </c>
      <c r="Q568" s="1" t="str">
        <f t="shared" si="429"/>
        <v/>
      </c>
      <c r="R568" s="1" t="str">
        <f t="shared" si="434"/>
        <v/>
      </c>
      <c r="S568" s="1">
        <f t="shared" si="435"/>
        <v>724.51680000000079</v>
      </c>
      <c r="T568" s="1">
        <f t="shared" si="436"/>
        <v>0.28000000000000003</v>
      </c>
      <c r="U568" s="1">
        <f t="shared" si="437"/>
        <v>527.99999999996999</v>
      </c>
      <c r="V568" s="1">
        <f t="shared" si="438"/>
        <v>147.83999999999162</v>
      </c>
    </row>
    <row r="569" spans="1:22" x14ac:dyDescent="0.25">
      <c r="A569" s="1">
        <v>568</v>
      </c>
      <c r="B569" s="4">
        <v>7500</v>
      </c>
      <c r="C569" s="4">
        <v>91.199999999999989</v>
      </c>
      <c r="D569" s="4">
        <v>91.3</v>
      </c>
      <c r="E569" s="4">
        <f t="shared" si="430"/>
        <v>0.10000000000000853</v>
      </c>
      <c r="F569" s="4">
        <v>0</v>
      </c>
      <c r="G569" s="4">
        <v>0.28000000000000003</v>
      </c>
      <c r="H569" s="4">
        <v>79</v>
      </c>
      <c r="I569" s="4"/>
      <c r="J569" s="4">
        <v>50</v>
      </c>
      <c r="K569"/>
      <c r="L569"/>
      <c r="M569" s="4">
        <f t="shared" si="431"/>
        <v>91.3</v>
      </c>
      <c r="N569" s="4"/>
      <c r="O569" s="1">
        <f t="shared" si="432"/>
        <v>91.199999999999989</v>
      </c>
      <c r="P569" s="1">
        <f t="shared" si="433"/>
        <v>0</v>
      </c>
      <c r="Q569" s="1" t="str">
        <f t="shared" si="429"/>
        <v/>
      </c>
      <c r="R569" s="1" t="str">
        <f t="shared" si="434"/>
        <v/>
      </c>
      <c r="S569" s="1">
        <f t="shared" si="435"/>
        <v>725.99520000000075</v>
      </c>
      <c r="T569" s="1">
        <f t="shared" si="436"/>
        <v>0.28000000000000003</v>
      </c>
      <c r="U569" s="1">
        <f t="shared" si="437"/>
        <v>528.00000000004502</v>
      </c>
      <c r="V569" s="1">
        <f t="shared" si="438"/>
        <v>147.84000000001262</v>
      </c>
    </row>
    <row r="570" spans="1:22" x14ac:dyDescent="0.25">
      <c r="A570" s="1">
        <v>569</v>
      </c>
      <c r="B570" s="4">
        <v>7500</v>
      </c>
      <c r="C570" s="4">
        <v>91.3</v>
      </c>
      <c r="D570" s="4">
        <v>91.8</v>
      </c>
      <c r="E570" s="4">
        <f t="shared" si="430"/>
        <v>0.5</v>
      </c>
      <c r="F570" s="4">
        <v>0</v>
      </c>
      <c r="G570" s="4">
        <v>-0.77</v>
      </c>
      <c r="H570" s="4">
        <v>79</v>
      </c>
      <c r="I570" s="4"/>
      <c r="J570" s="4">
        <v>50</v>
      </c>
      <c r="K570"/>
      <c r="L570"/>
      <c r="M570" s="4">
        <f t="shared" si="431"/>
        <v>91.8</v>
      </c>
      <c r="N570" s="4"/>
      <c r="O570" s="1">
        <f t="shared" si="432"/>
        <v>91.3</v>
      </c>
      <c r="P570" s="1">
        <f t="shared" si="433"/>
        <v>0</v>
      </c>
      <c r="Q570" s="1" t="str">
        <f t="shared" si="429"/>
        <v/>
      </c>
      <c r="R570" s="1" t="str">
        <f t="shared" si="434"/>
        <v/>
      </c>
      <c r="S570" s="1">
        <f t="shared" si="435"/>
        <v>727.47360000000083</v>
      </c>
      <c r="T570" s="1">
        <f t="shared" si="436"/>
        <v>-0.77</v>
      </c>
      <c r="U570" s="1">
        <f t="shared" si="437"/>
        <v>2640</v>
      </c>
      <c r="V570" s="1">
        <f t="shared" si="438"/>
        <v>2032.8</v>
      </c>
    </row>
    <row r="571" spans="1:22" x14ac:dyDescent="0.25">
      <c r="A571" s="1">
        <v>570</v>
      </c>
      <c r="B571" s="4">
        <v>7500</v>
      </c>
      <c r="C571" s="4">
        <v>91.8</v>
      </c>
      <c r="D571" s="4">
        <v>92</v>
      </c>
      <c r="E571" s="4">
        <f t="shared" si="430"/>
        <v>0.20000000000000284</v>
      </c>
      <c r="F571" s="4">
        <v>2</v>
      </c>
      <c r="G571" s="4">
        <v>-0.77</v>
      </c>
      <c r="H571" s="4">
        <v>79</v>
      </c>
      <c r="I571" s="4"/>
      <c r="J571" s="4">
        <v>50</v>
      </c>
      <c r="K571"/>
      <c r="L571"/>
      <c r="M571" s="4">
        <f t="shared" si="431"/>
        <v>92</v>
      </c>
      <c r="N571" s="4"/>
      <c r="O571" s="1">
        <f t="shared" si="432"/>
        <v>91.8</v>
      </c>
      <c r="P571" s="1">
        <f t="shared" si="433"/>
        <v>21.120000000000299</v>
      </c>
      <c r="Q571" s="1" t="str">
        <f t="shared" si="429"/>
        <v/>
      </c>
      <c r="R571" s="1" t="str">
        <f t="shared" si="434"/>
        <v/>
      </c>
      <c r="S571" s="1">
        <f t="shared" si="435"/>
        <v>707.14560000000085</v>
      </c>
      <c r="T571" s="1">
        <f t="shared" si="436"/>
        <v>-0.77</v>
      </c>
      <c r="U571" s="1">
        <f t="shared" si="437"/>
        <v>1056.000000000015</v>
      </c>
      <c r="V571" s="1">
        <f t="shared" si="438"/>
        <v>813.1200000000116</v>
      </c>
    </row>
    <row r="572" spans="1:22" x14ac:dyDescent="0.25">
      <c r="A572" s="1">
        <v>571</v>
      </c>
      <c r="B572" s="4">
        <v>7500</v>
      </c>
      <c r="C572" s="4">
        <v>92</v>
      </c>
      <c r="D572" s="4">
        <v>92.1</v>
      </c>
      <c r="E572" s="4">
        <f t="shared" si="430"/>
        <v>9.9999999999994316E-2</v>
      </c>
      <c r="F572" s="4">
        <v>0</v>
      </c>
      <c r="G572" s="4">
        <v>-0.77</v>
      </c>
      <c r="H572" s="4">
        <v>79</v>
      </c>
      <c r="I572" s="4"/>
      <c r="J572" s="4">
        <v>50</v>
      </c>
      <c r="K572"/>
      <c r="L572"/>
      <c r="M572" s="4">
        <f t="shared" si="431"/>
        <v>92.1</v>
      </c>
      <c r="N572" s="4"/>
      <c r="O572" s="1">
        <f t="shared" si="432"/>
        <v>92</v>
      </c>
      <c r="P572" s="1">
        <f t="shared" si="433"/>
        <v>0</v>
      </c>
      <c r="Q572" s="1" t="str">
        <f t="shared" si="429"/>
        <v/>
      </c>
      <c r="R572" s="1" t="str">
        <f t="shared" si="434"/>
        <v/>
      </c>
      <c r="S572" s="1">
        <f t="shared" si="435"/>
        <v>699.01440000000071</v>
      </c>
      <c r="T572" s="1">
        <f t="shared" si="436"/>
        <v>-0.77</v>
      </c>
      <c r="U572" s="1">
        <f t="shared" si="437"/>
        <v>527.99999999996999</v>
      </c>
      <c r="V572" s="1">
        <f t="shared" si="438"/>
        <v>406.55999999997692</v>
      </c>
    </row>
    <row r="573" spans="1:22" x14ac:dyDescent="0.25">
      <c r="A573" s="1">
        <v>572</v>
      </c>
      <c r="B573" s="4">
        <v>7500</v>
      </c>
      <c r="C573" s="4">
        <v>92.1</v>
      </c>
      <c r="D573" s="4">
        <v>92.199999999999989</v>
      </c>
      <c r="E573" s="4">
        <f t="shared" si="430"/>
        <v>9.9999999999994316E-2</v>
      </c>
      <c r="F573" s="4">
        <v>2</v>
      </c>
      <c r="G573" s="4">
        <v>0.2</v>
      </c>
      <c r="H573" s="4">
        <v>79</v>
      </c>
      <c r="I573" s="4"/>
      <c r="J573" s="4">
        <v>50</v>
      </c>
      <c r="K573"/>
      <c r="L573"/>
      <c r="M573" s="4">
        <f t="shared" si="431"/>
        <v>92.199999999999989</v>
      </c>
      <c r="N573" s="4"/>
      <c r="O573" s="1">
        <f t="shared" si="432"/>
        <v>92.1</v>
      </c>
      <c r="P573" s="1">
        <f t="shared" si="433"/>
        <v>10.559999999999398</v>
      </c>
      <c r="Q573" s="1" t="str">
        <f t="shared" si="429"/>
        <v/>
      </c>
      <c r="R573" s="1" t="str">
        <f t="shared" si="434"/>
        <v/>
      </c>
      <c r="S573" s="1">
        <f t="shared" si="435"/>
        <v>694.94880000000092</v>
      </c>
      <c r="T573" s="1">
        <f t="shared" si="436"/>
        <v>0.2</v>
      </c>
      <c r="U573" s="1">
        <f t="shared" si="437"/>
        <v>527.99999999996999</v>
      </c>
      <c r="V573" s="1">
        <f t="shared" si="438"/>
        <v>105.599999999994</v>
      </c>
    </row>
    <row r="574" spans="1:22" x14ac:dyDescent="0.25">
      <c r="A574" s="1">
        <v>573</v>
      </c>
      <c r="B574" s="4">
        <v>7500</v>
      </c>
      <c r="C574" s="4">
        <v>92.199999999999989</v>
      </c>
      <c r="D574" s="4">
        <v>92.3</v>
      </c>
      <c r="E574" s="4">
        <f t="shared" si="430"/>
        <v>0.10000000000000853</v>
      </c>
      <c r="F574" s="4">
        <v>2</v>
      </c>
      <c r="G574" s="4">
        <v>0.06</v>
      </c>
      <c r="H574" s="4">
        <v>79</v>
      </c>
      <c r="I574" s="4"/>
      <c r="J574" s="4">
        <v>50</v>
      </c>
      <c r="K574"/>
      <c r="L574"/>
      <c r="M574" s="4">
        <f t="shared" si="431"/>
        <v>92.3</v>
      </c>
      <c r="N574" s="4"/>
      <c r="O574" s="1">
        <f t="shared" si="432"/>
        <v>92.199999999999989</v>
      </c>
      <c r="P574" s="1">
        <f t="shared" si="433"/>
        <v>10.560000000000899</v>
      </c>
      <c r="Q574" s="1" t="str">
        <f t="shared" si="429"/>
        <v/>
      </c>
      <c r="R574" s="1" t="str">
        <f t="shared" si="434"/>
        <v/>
      </c>
      <c r="S574" s="1">
        <f t="shared" si="435"/>
        <v>696.00480000000084</v>
      </c>
      <c r="T574" s="1">
        <f t="shared" si="436"/>
        <v>0.06</v>
      </c>
      <c r="U574" s="1">
        <f t="shared" si="437"/>
        <v>528.00000000004502</v>
      </c>
      <c r="V574" s="1">
        <f t="shared" si="438"/>
        <v>31.6800000000027</v>
      </c>
    </row>
    <row r="575" spans="1:22" x14ac:dyDescent="0.25">
      <c r="A575" s="1">
        <v>574</v>
      </c>
      <c r="B575" s="4">
        <v>7500</v>
      </c>
      <c r="C575" s="4">
        <v>92.3</v>
      </c>
      <c r="D575" s="4">
        <v>92.399999999999991</v>
      </c>
      <c r="E575" s="4">
        <f t="shared" si="430"/>
        <v>9.9999999999994316E-2</v>
      </c>
      <c r="F575" s="4">
        <v>0</v>
      </c>
      <c r="G575" s="4">
        <v>-0.02</v>
      </c>
      <c r="H575" s="4">
        <v>79</v>
      </c>
      <c r="I575" s="4"/>
      <c r="J575" s="4">
        <v>50</v>
      </c>
      <c r="K575"/>
      <c r="L575"/>
      <c r="M575" s="4">
        <f t="shared" si="431"/>
        <v>92.399999999999991</v>
      </c>
      <c r="N575" s="4"/>
      <c r="O575" s="1">
        <f t="shared" si="432"/>
        <v>92.3</v>
      </c>
      <c r="P575" s="1">
        <f t="shared" si="433"/>
        <v>0</v>
      </c>
      <c r="Q575" s="1" t="str">
        <f t="shared" si="429"/>
        <v/>
      </c>
      <c r="R575" s="1" t="str">
        <f t="shared" si="434"/>
        <v/>
      </c>
      <c r="S575" s="1">
        <f t="shared" si="435"/>
        <v>696.3216000000009</v>
      </c>
      <c r="T575" s="1">
        <f t="shared" si="436"/>
        <v>-0.02</v>
      </c>
      <c r="U575" s="1">
        <f t="shared" si="437"/>
        <v>527.99999999996999</v>
      </c>
      <c r="V575" s="1">
        <f t="shared" si="438"/>
        <v>10.5599999999994</v>
      </c>
    </row>
    <row r="576" spans="1:22" x14ac:dyDescent="0.25">
      <c r="A576" s="1">
        <v>575</v>
      </c>
      <c r="B576" s="4">
        <v>7500</v>
      </c>
      <c r="C576" s="4">
        <v>92.399999999999991</v>
      </c>
      <c r="D576" s="4">
        <v>92.5</v>
      </c>
      <c r="E576" s="4">
        <f t="shared" si="430"/>
        <v>0.10000000000000853</v>
      </c>
      <c r="F576" s="4">
        <v>0</v>
      </c>
      <c r="G576" s="4">
        <v>-0.27</v>
      </c>
      <c r="H576" s="4">
        <v>79</v>
      </c>
      <c r="I576" s="4"/>
      <c r="J576" s="4">
        <v>50</v>
      </c>
      <c r="K576"/>
      <c r="L576"/>
      <c r="M576" s="4">
        <f t="shared" si="431"/>
        <v>92.5</v>
      </c>
      <c r="N576" s="4"/>
      <c r="O576" s="1">
        <f t="shared" si="432"/>
        <v>92.399999999999991</v>
      </c>
      <c r="P576" s="1">
        <f t="shared" si="433"/>
        <v>0</v>
      </c>
      <c r="Q576" s="1" t="str">
        <f t="shared" si="429"/>
        <v/>
      </c>
      <c r="R576" s="1" t="str">
        <f t="shared" si="434"/>
        <v/>
      </c>
      <c r="S576" s="1">
        <f t="shared" si="435"/>
        <v>696.21600000000092</v>
      </c>
      <c r="T576" s="1">
        <f t="shared" si="436"/>
        <v>-0.27</v>
      </c>
      <c r="U576" s="1">
        <f t="shared" si="437"/>
        <v>528.00000000004502</v>
      </c>
      <c r="V576" s="1">
        <f t="shared" si="438"/>
        <v>142.56000000001217</v>
      </c>
    </row>
    <row r="577" spans="1:22" x14ac:dyDescent="0.25">
      <c r="A577" s="1">
        <v>576</v>
      </c>
      <c r="B577" s="4">
        <v>7500</v>
      </c>
      <c r="C577" s="4">
        <v>92.5</v>
      </c>
      <c r="D577" s="4">
        <v>92.6</v>
      </c>
      <c r="E577" s="4">
        <f t="shared" si="430"/>
        <v>9.9999999999994316E-2</v>
      </c>
      <c r="F577" s="4">
        <v>0</v>
      </c>
      <c r="G577" s="4">
        <v>-0.76</v>
      </c>
      <c r="H577" s="4">
        <v>79</v>
      </c>
      <c r="I577" s="4"/>
      <c r="J577" s="4">
        <v>50</v>
      </c>
      <c r="K577"/>
      <c r="L577"/>
      <c r="M577" s="4">
        <f t="shared" si="431"/>
        <v>92.6</v>
      </c>
      <c r="N577" s="4"/>
      <c r="O577" s="1">
        <f t="shared" si="432"/>
        <v>92.5</v>
      </c>
      <c r="P577" s="1">
        <f t="shared" si="433"/>
        <v>0</v>
      </c>
      <c r="Q577" s="1" t="str">
        <f t="shared" si="429"/>
        <v/>
      </c>
      <c r="R577" s="1" t="str">
        <f t="shared" si="434"/>
        <v/>
      </c>
      <c r="S577" s="1">
        <f t="shared" si="435"/>
        <v>694.79040000000077</v>
      </c>
      <c r="T577" s="1">
        <f t="shared" si="436"/>
        <v>-0.76</v>
      </c>
      <c r="U577" s="1">
        <f t="shared" si="437"/>
        <v>527.99999999996999</v>
      </c>
      <c r="V577" s="1">
        <f t="shared" si="438"/>
        <v>401.27999999997718</v>
      </c>
    </row>
    <row r="578" spans="1:22" x14ac:dyDescent="0.25">
      <c r="A578" s="1">
        <v>577</v>
      </c>
      <c r="B578" s="4">
        <v>7500</v>
      </c>
      <c r="C578" s="4">
        <v>92.6</v>
      </c>
      <c r="D578" s="4">
        <v>92.699999999999989</v>
      </c>
      <c r="E578" s="4">
        <f t="shared" si="430"/>
        <v>9.9999999999994316E-2</v>
      </c>
      <c r="F578" s="4">
        <v>0</v>
      </c>
      <c r="G578" s="4">
        <v>-1.01</v>
      </c>
      <c r="H578" s="4">
        <v>79</v>
      </c>
      <c r="I578" s="4"/>
      <c r="J578" s="4">
        <v>50</v>
      </c>
      <c r="K578"/>
      <c r="L578"/>
      <c r="M578" s="4">
        <f t="shared" si="431"/>
        <v>92.699999999999989</v>
      </c>
      <c r="N578" s="4"/>
      <c r="O578" s="1">
        <f t="shared" si="432"/>
        <v>92.6</v>
      </c>
      <c r="P578" s="1">
        <f t="shared" si="433"/>
        <v>0</v>
      </c>
      <c r="Q578" s="1" t="str">
        <f t="shared" si="429"/>
        <v/>
      </c>
      <c r="R578" s="1" t="str">
        <f t="shared" si="434"/>
        <v/>
      </c>
      <c r="S578" s="1">
        <f t="shared" si="435"/>
        <v>690.77760000000103</v>
      </c>
      <c r="T578" s="1">
        <f t="shared" si="436"/>
        <v>-1.01</v>
      </c>
      <c r="U578" s="1">
        <f t="shared" si="437"/>
        <v>527.99999999996999</v>
      </c>
      <c r="V578" s="1">
        <f t="shared" si="438"/>
        <v>533.27999999996973</v>
      </c>
    </row>
    <row r="579" spans="1:22" x14ac:dyDescent="0.25">
      <c r="A579" s="1">
        <v>578</v>
      </c>
      <c r="B579" s="4">
        <v>7500</v>
      </c>
      <c r="C579" s="4">
        <v>92.699999999999989</v>
      </c>
      <c r="D579" s="4">
        <v>92.8</v>
      </c>
      <c r="E579" s="4">
        <f t="shared" si="430"/>
        <v>0.10000000000000853</v>
      </c>
      <c r="F579" s="4">
        <v>0</v>
      </c>
      <c r="G579" s="4">
        <v>-0.97</v>
      </c>
      <c r="H579" s="4">
        <v>79</v>
      </c>
      <c r="I579" s="4"/>
      <c r="J579" s="4">
        <v>50</v>
      </c>
      <c r="K579"/>
      <c r="L579"/>
      <c r="M579" s="4">
        <f t="shared" si="431"/>
        <v>92.8</v>
      </c>
      <c r="N579" s="4"/>
      <c r="O579" s="1">
        <f t="shared" si="432"/>
        <v>92.699999999999989</v>
      </c>
      <c r="P579" s="1">
        <f t="shared" si="433"/>
        <v>0</v>
      </c>
      <c r="Q579" s="1" t="str">
        <f t="shared" ref="Q579:Q642" si="439">IF(H579&lt;&gt;"",IF(H579=H578,"",H579),IF(H577="","",MAX(H578,Q578)))</f>
        <v/>
      </c>
      <c r="R579" s="1" t="str">
        <f t="shared" si="434"/>
        <v/>
      </c>
      <c r="S579" s="1">
        <f t="shared" si="435"/>
        <v>685.44480000000135</v>
      </c>
      <c r="T579" s="1">
        <f t="shared" si="436"/>
        <v>-0.97</v>
      </c>
      <c r="U579" s="1">
        <f t="shared" si="437"/>
        <v>528.00000000004502</v>
      </c>
      <c r="V579" s="1">
        <f t="shared" si="438"/>
        <v>512.16000000004362</v>
      </c>
    </row>
    <row r="580" spans="1:22" x14ac:dyDescent="0.25">
      <c r="A580" s="1">
        <v>579</v>
      </c>
      <c r="B580" s="4">
        <v>7500</v>
      </c>
      <c r="C580" s="4">
        <v>92.8</v>
      </c>
      <c r="D580" s="4">
        <v>92.899999999999991</v>
      </c>
      <c r="E580" s="4">
        <f t="shared" si="430"/>
        <v>9.9999999999994316E-2</v>
      </c>
      <c r="F580" s="4">
        <v>0</v>
      </c>
      <c r="G580" s="4">
        <v>-0.9</v>
      </c>
      <c r="H580" s="4">
        <v>79</v>
      </c>
      <c r="I580" s="4"/>
      <c r="J580" s="4">
        <v>50</v>
      </c>
      <c r="K580"/>
      <c r="L580"/>
      <c r="M580" s="4">
        <f t="shared" si="431"/>
        <v>92.899999999999991</v>
      </c>
      <c r="N580" s="4"/>
      <c r="O580" s="1">
        <f t="shared" si="432"/>
        <v>92.8</v>
      </c>
      <c r="P580" s="1">
        <f t="shared" si="433"/>
        <v>0</v>
      </c>
      <c r="Q580" s="1" t="str">
        <f t="shared" si="439"/>
        <v/>
      </c>
      <c r="R580" s="1" t="str">
        <f t="shared" si="434"/>
        <v/>
      </c>
      <c r="S580" s="1">
        <f t="shared" si="435"/>
        <v>680.32320000000095</v>
      </c>
      <c r="T580" s="1">
        <f t="shared" si="436"/>
        <v>-0.9</v>
      </c>
      <c r="U580" s="1">
        <f t="shared" si="437"/>
        <v>527.99999999996999</v>
      </c>
      <c r="V580" s="1">
        <f t="shared" si="438"/>
        <v>475.19999999997299</v>
      </c>
    </row>
    <row r="581" spans="1:22" x14ac:dyDescent="0.25">
      <c r="A581" s="1">
        <v>580</v>
      </c>
      <c r="B581" s="4">
        <v>7500</v>
      </c>
      <c r="C581" s="4">
        <v>92.899999999999991</v>
      </c>
      <c r="D581" s="4">
        <v>93</v>
      </c>
      <c r="E581" s="4">
        <f t="shared" si="430"/>
        <v>0.10000000000000853</v>
      </c>
      <c r="F581" s="4">
        <v>0</v>
      </c>
      <c r="G581" s="4">
        <v>-0.87</v>
      </c>
      <c r="H581" s="4">
        <v>79</v>
      </c>
      <c r="I581" s="4"/>
      <c r="J581" s="4">
        <v>50</v>
      </c>
      <c r="K581"/>
      <c r="L581"/>
      <c r="M581" s="4">
        <f t="shared" si="431"/>
        <v>93</v>
      </c>
      <c r="N581" s="4"/>
      <c r="O581" s="1">
        <f t="shared" si="432"/>
        <v>92.899999999999991</v>
      </c>
      <c r="P581" s="1">
        <f t="shared" si="433"/>
        <v>0</v>
      </c>
      <c r="Q581" s="1" t="str">
        <f t="shared" si="439"/>
        <v/>
      </c>
      <c r="R581" s="1" t="str">
        <f t="shared" si="434"/>
        <v/>
      </c>
      <c r="S581" s="1">
        <f t="shared" si="435"/>
        <v>675.57120000000123</v>
      </c>
      <c r="T581" s="1">
        <f t="shared" si="436"/>
        <v>-0.87</v>
      </c>
      <c r="U581" s="1">
        <f t="shared" si="437"/>
        <v>528.00000000004502</v>
      </c>
      <c r="V581" s="1">
        <f t="shared" si="438"/>
        <v>459.36000000003918</v>
      </c>
    </row>
    <row r="582" spans="1:22" x14ac:dyDescent="0.25">
      <c r="A582" s="1">
        <v>581</v>
      </c>
      <c r="B582" s="4">
        <v>7500</v>
      </c>
      <c r="C582" s="4">
        <v>93</v>
      </c>
      <c r="D582" s="4">
        <v>93.1</v>
      </c>
      <c r="E582" s="4">
        <f t="shared" si="430"/>
        <v>9.9999999999994316E-2</v>
      </c>
      <c r="F582" s="4">
        <v>2.2000000000000002</v>
      </c>
      <c r="G582" s="4">
        <v>-0.43</v>
      </c>
      <c r="H582" s="4">
        <v>79</v>
      </c>
      <c r="I582" s="4"/>
      <c r="J582" s="4">
        <v>50</v>
      </c>
      <c r="K582"/>
      <c r="L582"/>
      <c r="M582" s="4">
        <f t="shared" si="431"/>
        <v>93.1</v>
      </c>
      <c r="N582" s="4"/>
      <c r="O582" s="1">
        <f t="shared" si="432"/>
        <v>93</v>
      </c>
      <c r="P582" s="1">
        <f t="shared" si="433"/>
        <v>11.615999999999339</v>
      </c>
      <c r="Q582" s="1" t="str">
        <f t="shared" si="439"/>
        <v/>
      </c>
      <c r="R582" s="1" t="str">
        <f t="shared" si="434"/>
        <v/>
      </c>
      <c r="S582" s="1">
        <f t="shared" si="435"/>
        <v>670.97760000000085</v>
      </c>
      <c r="T582" s="1">
        <f t="shared" si="436"/>
        <v>-0.43</v>
      </c>
      <c r="U582" s="1">
        <f t="shared" si="437"/>
        <v>527.99999999996999</v>
      </c>
      <c r="V582" s="1">
        <f t="shared" si="438"/>
        <v>227.03999999998709</v>
      </c>
    </row>
    <row r="583" spans="1:22" x14ac:dyDescent="0.25">
      <c r="A583" s="1">
        <v>582</v>
      </c>
      <c r="B583" s="4">
        <v>7500</v>
      </c>
      <c r="C583" s="4">
        <v>93.1</v>
      </c>
      <c r="D583" s="4">
        <v>93.199999999999989</v>
      </c>
      <c r="E583" s="4">
        <f t="shared" si="430"/>
        <v>9.9999999999994316E-2</v>
      </c>
      <c r="F583" s="4">
        <v>2.2000000000000002</v>
      </c>
      <c r="G583" s="4">
        <v>0.46</v>
      </c>
      <c r="H583" s="4">
        <v>79</v>
      </c>
      <c r="I583" s="4"/>
      <c r="J583" s="4">
        <v>50</v>
      </c>
      <c r="K583"/>
      <c r="L583"/>
      <c r="M583" s="4">
        <f t="shared" si="431"/>
        <v>93.199999999999989</v>
      </c>
      <c r="N583" s="4"/>
      <c r="O583" s="1">
        <f t="shared" si="432"/>
        <v>93.1</v>
      </c>
      <c r="P583" s="1">
        <f t="shared" si="433"/>
        <v>11.615999999999339</v>
      </c>
      <c r="Q583" s="1" t="str">
        <f t="shared" si="439"/>
        <v/>
      </c>
      <c r="R583" s="1" t="str">
        <f t="shared" si="434"/>
        <v/>
      </c>
      <c r="S583" s="1">
        <f t="shared" si="435"/>
        <v>668.70720000000097</v>
      </c>
      <c r="T583" s="1">
        <f t="shared" si="436"/>
        <v>0.46</v>
      </c>
      <c r="U583" s="1">
        <f t="shared" si="437"/>
        <v>527.99999999996999</v>
      </c>
      <c r="V583" s="1">
        <f t="shared" si="438"/>
        <v>242.87999999998621</v>
      </c>
    </row>
    <row r="584" spans="1:22" x14ac:dyDescent="0.25">
      <c r="A584" s="1">
        <v>583</v>
      </c>
      <c r="B584" s="4">
        <v>7500</v>
      </c>
      <c r="C584" s="4">
        <v>93.199999999999989</v>
      </c>
      <c r="D584" s="4">
        <v>93.3</v>
      </c>
      <c r="E584" s="4">
        <f t="shared" ref="E584:E647" si="440">D584-C584</f>
        <v>0.10000000000000853</v>
      </c>
      <c r="F584" s="4">
        <v>2.2000000000000002</v>
      </c>
      <c r="G584" s="4">
        <v>0.91</v>
      </c>
      <c r="H584" s="4">
        <v>79</v>
      </c>
      <c r="I584" s="4"/>
      <c r="J584" s="4">
        <v>50</v>
      </c>
      <c r="K584"/>
      <c r="L584"/>
      <c r="M584" s="4">
        <f t="shared" ref="M584:M647" si="441">E584+M583</f>
        <v>93.3</v>
      </c>
      <c r="N584" s="4"/>
      <c r="O584" s="1">
        <f t="shared" ref="O584:O647" si="442">E583+O583</f>
        <v>93.199999999999989</v>
      </c>
      <c r="P584" s="1">
        <f t="shared" ref="P584:P647" si="443">F584*52.8*E584</f>
        <v>11.616000000000991</v>
      </c>
      <c r="Q584" s="1" t="str">
        <f t="shared" si="439"/>
        <v/>
      </c>
      <c r="R584" s="1" t="str">
        <f t="shared" ref="R584:R647" si="444">IF(I584="",Q584,IF(AND(H584=H583,I584=I583),"",I584))</f>
        <v/>
      </c>
      <c r="S584" s="1">
        <f t="shared" ref="S584:S647" si="445">S583+U583*T583/100</f>
        <v>671.13600000000088</v>
      </c>
      <c r="T584" s="1">
        <f t="shared" ref="T584:T647" si="446">IF(G584="UNK",0,G584)</f>
        <v>0.91</v>
      </c>
      <c r="U584" s="1">
        <f t="shared" ref="U584:U647" si="447">E584*5280</f>
        <v>528.00000000004502</v>
      </c>
      <c r="V584" s="1">
        <f t="shared" ref="V584:V647" si="448">ABS(T584*U584)</f>
        <v>480.480000000041</v>
      </c>
    </row>
    <row r="585" spans="1:22" x14ac:dyDescent="0.25">
      <c r="A585" s="1">
        <v>584</v>
      </c>
      <c r="B585" s="4">
        <v>7500</v>
      </c>
      <c r="C585" s="4">
        <v>93.3</v>
      </c>
      <c r="D585" s="4">
        <v>93.399999999999991</v>
      </c>
      <c r="E585" s="4">
        <f t="shared" si="440"/>
        <v>9.9999999999994316E-2</v>
      </c>
      <c r="F585" s="4">
        <v>2.2000000000000002</v>
      </c>
      <c r="G585" s="4">
        <v>0.91</v>
      </c>
      <c r="H585" s="4">
        <v>79</v>
      </c>
      <c r="I585" s="4"/>
      <c r="J585" s="4">
        <v>50</v>
      </c>
      <c r="K585"/>
      <c r="L585"/>
      <c r="M585" s="4">
        <f t="shared" si="441"/>
        <v>93.399999999999991</v>
      </c>
      <c r="N585" s="4"/>
      <c r="O585" s="1">
        <f t="shared" si="442"/>
        <v>93.3</v>
      </c>
      <c r="P585" s="1">
        <f t="shared" si="443"/>
        <v>11.615999999999339</v>
      </c>
      <c r="Q585" s="1" t="str">
        <f t="shared" si="439"/>
        <v/>
      </c>
      <c r="R585" s="1" t="str">
        <f t="shared" si="444"/>
        <v/>
      </c>
      <c r="S585" s="1">
        <f t="shared" si="445"/>
        <v>675.94080000000133</v>
      </c>
      <c r="T585" s="1">
        <f t="shared" si="446"/>
        <v>0.91</v>
      </c>
      <c r="U585" s="1">
        <f t="shared" si="447"/>
        <v>527.99999999996999</v>
      </c>
      <c r="V585" s="1">
        <f t="shared" si="448"/>
        <v>480.47999999997268</v>
      </c>
    </row>
    <row r="586" spans="1:22" x14ac:dyDescent="0.25">
      <c r="A586" s="1">
        <v>585</v>
      </c>
      <c r="B586" s="4">
        <v>7500</v>
      </c>
      <c r="C586" s="4">
        <v>93.399999999999991</v>
      </c>
      <c r="D586" s="4">
        <v>93.5</v>
      </c>
      <c r="E586" s="4">
        <f t="shared" si="440"/>
        <v>0.10000000000000853</v>
      </c>
      <c r="F586" s="4">
        <v>0</v>
      </c>
      <c r="G586" s="4">
        <v>0.91</v>
      </c>
      <c r="H586" s="4">
        <v>79</v>
      </c>
      <c r="I586" s="4"/>
      <c r="J586" s="4">
        <v>50</v>
      </c>
      <c r="K586"/>
      <c r="L586"/>
      <c r="M586" s="4">
        <f t="shared" si="441"/>
        <v>93.5</v>
      </c>
      <c r="N586" s="4"/>
      <c r="O586" s="1">
        <f t="shared" si="442"/>
        <v>93.399999999999991</v>
      </c>
      <c r="P586" s="1">
        <f t="shared" si="443"/>
        <v>0</v>
      </c>
      <c r="Q586" s="1" t="str">
        <f t="shared" si="439"/>
        <v/>
      </c>
      <c r="R586" s="1" t="str">
        <f t="shared" si="444"/>
        <v/>
      </c>
      <c r="S586" s="1">
        <f t="shared" si="445"/>
        <v>680.7456000000011</v>
      </c>
      <c r="T586" s="1">
        <f t="shared" si="446"/>
        <v>0.91</v>
      </c>
      <c r="U586" s="1">
        <f t="shared" si="447"/>
        <v>528.00000000004502</v>
      </c>
      <c r="V586" s="1">
        <f t="shared" si="448"/>
        <v>480.480000000041</v>
      </c>
    </row>
    <row r="587" spans="1:22" x14ac:dyDescent="0.25">
      <c r="A587" s="1">
        <v>586</v>
      </c>
      <c r="B587" s="4">
        <v>7500</v>
      </c>
      <c r="C587" s="4">
        <v>93.5</v>
      </c>
      <c r="D587" s="4">
        <v>93.699999999999989</v>
      </c>
      <c r="E587" s="4">
        <f t="shared" si="440"/>
        <v>0.19999999999998863</v>
      </c>
      <c r="F587" s="4">
        <v>2.2000000000000002</v>
      </c>
      <c r="G587" s="4">
        <v>0.91</v>
      </c>
      <c r="H587" s="4">
        <v>79</v>
      </c>
      <c r="I587" s="4"/>
      <c r="J587" s="4">
        <v>50</v>
      </c>
      <c r="K587"/>
      <c r="L587"/>
      <c r="M587" s="4">
        <f t="shared" si="441"/>
        <v>93.699999999999989</v>
      </c>
      <c r="N587" s="4"/>
      <c r="O587" s="1">
        <f t="shared" si="442"/>
        <v>93.5</v>
      </c>
      <c r="P587" s="1">
        <f t="shared" si="443"/>
        <v>23.231999999998678</v>
      </c>
      <c r="Q587" s="1" t="str">
        <f t="shared" si="439"/>
        <v/>
      </c>
      <c r="R587" s="1" t="str">
        <f t="shared" si="444"/>
        <v/>
      </c>
      <c r="S587" s="1">
        <f t="shared" si="445"/>
        <v>685.55040000000156</v>
      </c>
      <c r="T587" s="1">
        <f t="shared" si="446"/>
        <v>0.91</v>
      </c>
      <c r="U587" s="1">
        <f t="shared" si="447"/>
        <v>1055.99999999994</v>
      </c>
      <c r="V587" s="1">
        <f t="shared" si="448"/>
        <v>960.95999999994535</v>
      </c>
    </row>
    <row r="588" spans="1:22" x14ac:dyDescent="0.25">
      <c r="A588" s="1">
        <v>587</v>
      </c>
      <c r="B588" s="4">
        <v>7500</v>
      </c>
      <c r="C588" s="4">
        <v>93.699999999999989</v>
      </c>
      <c r="D588" s="4">
        <v>94</v>
      </c>
      <c r="E588" s="4">
        <f t="shared" si="440"/>
        <v>0.30000000000001137</v>
      </c>
      <c r="F588" s="4">
        <v>0</v>
      </c>
      <c r="G588" s="4">
        <v>0.91</v>
      </c>
      <c r="H588" s="4">
        <v>79</v>
      </c>
      <c r="I588" s="4"/>
      <c r="J588" s="4">
        <v>50</v>
      </c>
      <c r="K588"/>
      <c r="L588"/>
      <c r="M588" s="4">
        <f t="shared" si="441"/>
        <v>94</v>
      </c>
      <c r="N588" s="4"/>
      <c r="O588" s="1">
        <f t="shared" si="442"/>
        <v>93.699999999999989</v>
      </c>
      <c r="P588" s="1">
        <f t="shared" si="443"/>
        <v>0</v>
      </c>
      <c r="Q588" s="1" t="str">
        <f t="shared" si="439"/>
        <v/>
      </c>
      <c r="R588" s="1" t="str">
        <f t="shared" si="444"/>
        <v/>
      </c>
      <c r="S588" s="1">
        <f t="shared" si="445"/>
        <v>695.16000000000099</v>
      </c>
      <c r="T588" s="1">
        <f t="shared" si="446"/>
        <v>0.91</v>
      </c>
      <c r="U588" s="1">
        <f t="shared" si="447"/>
        <v>1584.00000000006</v>
      </c>
      <c r="V588" s="1">
        <f t="shared" si="448"/>
        <v>1441.4400000000546</v>
      </c>
    </row>
    <row r="589" spans="1:22" x14ac:dyDescent="0.25">
      <c r="A589" s="1">
        <v>588</v>
      </c>
      <c r="B589" s="4">
        <v>7500</v>
      </c>
      <c r="C589" s="4">
        <v>94</v>
      </c>
      <c r="D589" s="4">
        <v>94.1</v>
      </c>
      <c r="E589" s="4">
        <f t="shared" si="440"/>
        <v>9.9999999999994316E-2</v>
      </c>
      <c r="F589" s="4">
        <v>0</v>
      </c>
      <c r="G589" s="4">
        <v>0.93</v>
      </c>
      <c r="H589" s="4">
        <v>79</v>
      </c>
      <c r="I589" s="4"/>
      <c r="J589" s="4">
        <v>50</v>
      </c>
      <c r="K589"/>
      <c r="L589"/>
      <c r="M589" s="4">
        <f t="shared" si="441"/>
        <v>94.1</v>
      </c>
      <c r="N589" s="4"/>
      <c r="O589" s="1">
        <f t="shared" si="442"/>
        <v>94</v>
      </c>
      <c r="P589" s="1">
        <f t="shared" si="443"/>
        <v>0</v>
      </c>
      <c r="Q589" s="1" t="str">
        <f t="shared" si="439"/>
        <v/>
      </c>
      <c r="R589" s="1" t="str">
        <f t="shared" si="444"/>
        <v/>
      </c>
      <c r="S589" s="1">
        <f t="shared" si="445"/>
        <v>709.57440000000156</v>
      </c>
      <c r="T589" s="1">
        <f t="shared" si="446"/>
        <v>0.93</v>
      </c>
      <c r="U589" s="1">
        <f t="shared" si="447"/>
        <v>527.99999999996999</v>
      </c>
      <c r="V589" s="1">
        <f t="shared" si="448"/>
        <v>491.03999999997211</v>
      </c>
    </row>
    <row r="590" spans="1:22" x14ac:dyDescent="0.25">
      <c r="A590" s="1">
        <v>589</v>
      </c>
      <c r="B590" s="4">
        <v>7500</v>
      </c>
      <c r="C590" s="4">
        <v>94.1</v>
      </c>
      <c r="D590" s="4">
        <v>94.199999999999989</v>
      </c>
      <c r="E590" s="4">
        <f t="shared" si="440"/>
        <v>9.9999999999994316E-2</v>
      </c>
      <c r="F590" s="4">
        <v>0</v>
      </c>
      <c r="G590" s="4">
        <v>0.98</v>
      </c>
      <c r="H590" s="4">
        <v>79</v>
      </c>
      <c r="I590" s="4"/>
      <c r="J590" s="4">
        <v>50</v>
      </c>
      <c r="K590"/>
      <c r="L590"/>
      <c r="M590" s="4">
        <f t="shared" si="441"/>
        <v>94.199999999999989</v>
      </c>
      <c r="N590" s="4"/>
      <c r="O590" s="1">
        <f t="shared" si="442"/>
        <v>94.1</v>
      </c>
      <c r="P590" s="1">
        <f t="shared" si="443"/>
        <v>0</v>
      </c>
      <c r="Q590" s="1" t="str">
        <f t="shared" si="439"/>
        <v/>
      </c>
      <c r="R590" s="1" t="str">
        <f t="shared" si="444"/>
        <v/>
      </c>
      <c r="S590" s="1">
        <f t="shared" si="445"/>
        <v>714.48480000000131</v>
      </c>
      <c r="T590" s="1">
        <f t="shared" si="446"/>
        <v>0.98</v>
      </c>
      <c r="U590" s="1">
        <f t="shared" si="447"/>
        <v>527.99999999996999</v>
      </c>
      <c r="V590" s="1">
        <f t="shared" si="448"/>
        <v>517.43999999997061</v>
      </c>
    </row>
    <row r="591" spans="1:22" x14ac:dyDescent="0.25">
      <c r="A591" s="1">
        <v>590</v>
      </c>
      <c r="B591" s="4">
        <v>7500</v>
      </c>
      <c r="C591" s="4">
        <v>94.199999999999989</v>
      </c>
      <c r="D591" s="4">
        <v>94.399999999999991</v>
      </c>
      <c r="E591" s="4">
        <f t="shared" si="440"/>
        <v>0.20000000000000284</v>
      </c>
      <c r="F591" s="4">
        <v>0</v>
      </c>
      <c r="G591" s="4">
        <v>1</v>
      </c>
      <c r="H591" s="4">
        <v>79</v>
      </c>
      <c r="I591" s="4"/>
      <c r="J591" s="4">
        <v>50</v>
      </c>
      <c r="K591"/>
      <c r="L591"/>
      <c r="M591" s="4">
        <f t="shared" si="441"/>
        <v>94.399999999999991</v>
      </c>
      <c r="N591" s="4"/>
      <c r="O591" s="1">
        <f t="shared" si="442"/>
        <v>94.199999999999989</v>
      </c>
      <c r="P591" s="1">
        <f t="shared" si="443"/>
        <v>0</v>
      </c>
      <c r="Q591" s="1" t="str">
        <f t="shared" si="439"/>
        <v/>
      </c>
      <c r="R591" s="1" t="str">
        <f t="shared" si="444"/>
        <v/>
      </c>
      <c r="S591" s="1">
        <f t="shared" si="445"/>
        <v>719.65920000000096</v>
      </c>
      <c r="T591" s="1">
        <f t="shared" si="446"/>
        <v>1</v>
      </c>
      <c r="U591" s="1">
        <f t="shared" si="447"/>
        <v>1056.000000000015</v>
      </c>
      <c r="V591" s="1">
        <f t="shared" si="448"/>
        <v>1056.000000000015</v>
      </c>
    </row>
    <row r="592" spans="1:22" x14ac:dyDescent="0.25">
      <c r="A592" s="1">
        <v>591</v>
      </c>
      <c r="B592" s="4">
        <v>7500</v>
      </c>
      <c r="C592" s="4">
        <v>94.399999999999991</v>
      </c>
      <c r="D592" s="4">
        <v>94.899999999999991</v>
      </c>
      <c r="E592" s="4">
        <f t="shared" si="440"/>
        <v>0.5</v>
      </c>
      <c r="F592" s="4">
        <v>0</v>
      </c>
      <c r="G592" s="4">
        <v>0.89</v>
      </c>
      <c r="H592" s="4">
        <v>79</v>
      </c>
      <c r="I592" s="4"/>
      <c r="J592" s="4">
        <v>50</v>
      </c>
      <c r="K592"/>
      <c r="L592"/>
      <c r="M592" s="4">
        <f t="shared" si="441"/>
        <v>94.899999999999991</v>
      </c>
      <c r="N592" s="4"/>
      <c r="O592" s="1">
        <f t="shared" si="442"/>
        <v>94.399999999999991</v>
      </c>
      <c r="P592" s="1">
        <f t="shared" si="443"/>
        <v>0</v>
      </c>
      <c r="Q592" s="1" t="str">
        <f t="shared" si="439"/>
        <v/>
      </c>
      <c r="R592" s="1" t="str">
        <f t="shared" si="444"/>
        <v/>
      </c>
      <c r="S592" s="1">
        <f t="shared" si="445"/>
        <v>730.21920000000114</v>
      </c>
      <c r="T592" s="1">
        <f t="shared" si="446"/>
        <v>0.89</v>
      </c>
      <c r="U592" s="1">
        <f t="shared" si="447"/>
        <v>2640</v>
      </c>
      <c r="V592" s="1">
        <f t="shared" si="448"/>
        <v>2349.6</v>
      </c>
    </row>
    <row r="593" spans="1:22" x14ac:dyDescent="0.25">
      <c r="A593" s="1">
        <v>592</v>
      </c>
      <c r="B593" s="4">
        <v>7500</v>
      </c>
      <c r="C593" s="4">
        <v>94.899999999999991</v>
      </c>
      <c r="D593" s="4">
        <v>95</v>
      </c>
      <c r="E593" s="4">
        <f t="shared" si="440"/>
        <v>0.10000000000000853</v>
      </c>
      <c r="F593" s="4">
        <v>2.5</v>
      </c>
      <c r="G593" s="4">
        <v>0.88</v>
      </c>
      <c r="H593" s="4">
        <v>79</v>
      </c>
      <c r="I593" s="4"/>
      <c r="J593" s="4">
        <v>50</v>
      </c>
      <c r="K593"/>
      <c r="L593"/>
      <c r="M593" s="4">
        <f t="shared" si="441"/>
        <v>95</v>
      </c>
      <c r="N593" s="4"/>
      <c r="O593" s="1">
        <f t="shared" si="442"/>
        <v>94.899999999999991</v>
      </c>
      <c r="P593" s="1">
        <f t="shared" si="443"/>
        <v>13.200000000001125</v>
      </c>
      <c r="Q593" s="1" t="str">
        <f t="shared" si="439"/>
        <v/>
      </c>
      <c r="R593" s="1" t="str">
        <f t="shared" si="444"/>
        <v/>
      </c>
      <c r="S593" s="1">
        <f t="shared" si="445"/>
        <v>753.71520000000112</v>
      </c>
      <c r="T593" s="1">
        <f t="shared" si="446"/>
        <v>0.88</v>
      </c>
      <c r="U593" s="1">
        <f t="shared" si="447"/>
        <v>528.00000000004502</v>
      </c>
      <c r="V593" s="1">
        <f t="shared" si="448"/>
        <v>464.64000000003961</v>
      </c>
    </row>
    <row r="594" spans="1:22" x14ac:dyDescent="0.25">
      <c r="A594" s="1">
        <v>593</v>
      </c>
      <c r="B594" s="4">
        <v>7500</v>
      </c>
      <c r="C594" s="4">
        <v>95</v>
      </c>
      <c r="D594" s="4">
        <v>95.1</v>
      </c>
      <c r="E594" s="4">
        <f t="shared" si="440"/>
        <v>9.9999999999994316E-2</v>
      </c>
      <c r="F594" s="4">
        <v>2.5</v>
      </c>
      <c r="G594" s="4">
        <v>1.04</v>
      </c>
      <c r="H594" s="4">
        <v>79</v>
      </c>
      <c r="I594" s="4"/>
      <c r="J594" s="4">
        <v>50</v>
      </c>
      <c r="K594"/>
      <c r="L594"/>
      <c r="M594" s="4">
        <f t="shared" si="441"/>
        <v>95.1</v>
      </c>
      <c r="N594" s="4"/>
      <c r="O594" s="1">
        <f t="shared" si="442"/>
        <v>95</v>
      </c>
      <c r="P594" s="1">
        <f t="shared" si="443"/>
        <v>13.19999999999925</v>
      </c>
      <c r="Q594" s="1" t="str">
        <f t="shared" si="439"/>
        <v/>
      </c>
      <c r="R594" s="1" t="str">
        <f t="shared" si="444"/>
        <v/>
      </c>
      <c r="S594" s="1">
        <f t="shared" si="445"/>
        <v>758.36160000000154</v>
      </c>
      <c r="T594" s="1">
        <f t="shared" si="446"/>
        <v>1.04</v>
      </c>
      <c r="U594" s="1">
        <f t="shared" si="447"/>
        <v>527.99999999996999</v>
      </c>
      <c r="V594" s="1">
        <f t="shared" si="448"/>
        <v>549.11999999996885</v>
      </c>
    </row>
    <row r="595" spans="1:22" x14ac:dyDescent="0.25">
      <c r="A595" s="1">
        <v>594</v>
      </c>
      <c r="B595" s="4">
        <v>7500</v>
      </c>
      <c r="C595" s="4">
        <v>95.1</v>
      </c>
      <c r="D595" s="4">
        <v>95.199999999999989</v>
      </c>
      <c r="E595" s="4">
        <f t="shared" si="440"/>
        <v>9.9999999999994316E-2</v>
      </c>
      <c r="F595" s="4">
        <v>2.5</v>
      </c>
      <c r="G595" s="4">
        <v>0.92</v>
      </c>
      <c r="H595" s="4">
        <v>79</v>
      </c>
      <c r="I595" s="4"/>
      <c r="J595" s="4">
        <v>50</v>
      </c>
      <c r="K595"/>
      <c r="L595"/>
      <c r="M595" s="4">
        <f t="shared" si="441"/>
        <v>95.199999999999989</v>
      </c>
      <c r="N595" s="4"/>
      <c r="O595" s="1">
        <f t="shared" si="442"/>
        <v>95.1</v>
      </c>
      <c r="P595" s="1">
        <f t="shared" si="443"/>
        <v>13.19999999999925</v>
      </c>
      <c r="Q595" s="1" t="str">
        <f t="shared" si="439"/>
        <v/>
      </c>
      <c r="R595" s="1" t="str">
        <f t="shared" si="444"/>
        <v/>
      </c>
      <c r="S595" s="1">
        <f t="shared" si="445"/>
        <v>763.85280000000125</v>
      </c>
      <c r="T595" s="1">
        <f t="shared" si="446"/>
        <v>0.92</v>
      </c>
      <c r="U595" s="1">
        <f t="shared" si="447"/>
        <v>527.99999999996999</v>
      </c>
      <c r="V595" s="1">
        <f t="shared" si="448"/>
        <v>485.75999999997242</v>
      </c>
    </row>
    <row r="596" spans="1:22" x14ac:dyDescent="0.25">
      <c r="A596" s="1">
        <v>595</v>
      </c>
      <c r="B596" s="4">
        <v>7500</v>
      </c>
      <c r="C596" s="4">
        <v>95.199999999999989</v>
      </c>
      <c r="D596" s="4">
        <v>95.3</v>
      </c>
      <c r="E596" s="4">
        <f t="shared" si="440"/>
        <v>0.10000000000000853</v>
      </c>
      <c r="F596" s="4">
        <v>0</v>
      </c>
      <c r="G596" s="4">
        <v>0.92</v>
      </c>
      <c r="H596" s="4">
        <v>79</v>
      </c>
      <c r="I596" s="4"/>
      <c r="J596" s="4">
        <v>50</v>
      </c>
      <c r="K596"/>
      <c r="L596"/>
      <c r="M596" s="4">
        <f t="shared" si="441"/>
        <v>95.3</v>
      </c>
      <c r="N596" s="4"/>
      <c r="O596" s="1">
        <f t="shared" si="442"/>
        <v>95.199999999999989</v>
      </c>
      <c r="P596" s="1">
        <f t="shared" si="443"/>
        <v>0</v>
      </c>
      <c r="Q596" s="1" t="str">
        <f t="shared" si="439"/>
        <v/>
      </c>
      <c r="R596" s="1" t="str">
        <f t="shared" si="444"/>
        <v/>
      </c>
      <c r="S596" s="1">
        <f t="shared" si="445"/>
        <v>768.71040000000096</v>
      </c>
      <c r="T596" s="1">
        <f t="shared" si="446"/>
        <v>0.92</v>
      </c>
      <c r="U596" s="1">
        <f t="shared" si="447"/>
        <v>528.00000000004502</v>
      </c>
      <c r="V596" s="1">
        <f t="shared" si="448"/>
        <v>485.76000000004143</v>
      </c>
    </row>
    <row r="597" spans="1:22" x14ac:dyDescent="0.25">
      <c r="A597" s="1">
        <v>596</v>
      </c>
      <c r="B597" s="4">
        <v>7500</v>
      </c>
      <c r="C597" s="4">
        <v>95.3</v>
      </c>
      <c r="D597" s="4">
        <v>95.399999999999991</v>
      </c>
      <c r="E597" s="4">
        <f t="shared" si="440"/>
        <v>9.9999999999994316E-2</v>
      </c>
      <c r="F597" s="4">
        <v>0</v>
      </c>
      <c r="G597" s="4">
        <v>0.76</v>
      </c>
      <c r="H597" s="4">
        <v>79</v>
      </c>
      <c r="I597" s="4"/>
      <c r="J597" s="4">
        <v>50</v>
      </c>
      <c r="K597"/>
      <c r="L597"/>
      <c r="M597" s="4">
        <f t="shared" si="441"/>
        <v>95.399999999999991</v>
      </c>
      <c r="N597" s="4"/>
      <c r="O597" s="1">
        <f t="shared" si="442"/>
        <v>95.3</v>
      </c>
      <c r="P597" s="1">
        <f t="shared" si="443"/>
        <v>0</v>
      </c>
      <c r="Q597" s="1" t="str">
        <f t="shared" si="439"/>
        <v/>
      </c>
      <c r="R597" s="1" t="str">
        <f t="shared" si="444"/>
        <v/>
      </c>
      <c r="S597" s="1">
        <f t="shared" si="445"/>
        <v>773.56800000000135</v>
      </c>
      <c r="T597" s="1">
        <f t="shared" si="446"/>
        <v>0.76</v>
      </c>
      <c r="U597" s="1">
        <f t="shared" si="447"/>
        <v>527.99999999996999</v>
      </c>
      <c r="V597" s="1">
        <f t="shared" si="448"/>
        <v>401.27999999997718</v>
      </c>
    </row>
    <row r="598" spans="1:22" x14ac:dyDescent="0.25">
      <c r="A598" s="1">
        <v>597</v>
      </c>
      <c r="B598" s="4">
        <v>7500</v>
      </c>
      <c r="C598" s="4">
        <v>95.399999999999991</v>
      </c>
      <c r="D598" s="4">
        <v>95.5</v>
      </c>
      <c r="E598" s="4">
        <f t="shared" si="440"/>
        <v>0.10000000000000853</v>
      </c>
      <c r="F598" s="4">
        <v>0</v>
      </c>
      <c r="G598" s="4">
        <v>0.76</v>
      </c>
      <c r="H598" s="4">
        <v>79</v>
      </c>
      <c r="I598" s="4"/>
      <c r="J598" s="4">
        <v>50</v>
      </c>
      <c r="K598"/>
      <c r="L598"/>
      <c r="M598" s="4">
        <f t="shared" si="441"/>
        <v>95.5</v>
      </c>
      <c r="N598" s="4"/>
      <c r="O598" s="1">
        <f t="shared" si="442"/>
        <v>95.399999999999991</v>
      </c>
      <c r="P598" s="1">
        <f t="shared" si="443"/>
        <v>0</v>
      </c>
      <c r="Q598" s="1" t="str">
        <f t="shared" si="439"/>
        <v/>
      </c>
      <c r="R598" s="1" t="str">
        <f t="shared" si="444"/>
        <v/>
      </c>
      <c r="S598" s="1">
        <f t="shared" si="445"/>
        <v>777.58080000000109</v>
      </c>
      <c r="T598" s="1">
        <f t="shared" si="446"/>
        <v>0.76</v>
      </c>
      <c r="U598" s="1">
        <f t="shared" si="447"/>
        <v>528.00000000004502</v>
      </c>
      <c r="V598" s="1">
        <f t="shared" si="448"/>
        <v>401.28000000003419</v>
      </c>
    </row>
    <row r="599" spans="1:22" x14ac:dyDescent="0.25">
      <c r="A599" s="1">
        <v>598</v>
      </c>
      <c r="B599" s="4">
        <v>7500</v>
      </c>
      <c r="C599" s="4">
        <v>95.5</v>
      </c>
      <c r="D599" s="4">
        <v>95.6</v>
      </c>
      <c r="E599" s="4">
        <f t="shared" si="440"/>
        <v>9.9999999999994316E-2</v>
      </c>
      <c r="F599" s="4">
        <v>0</v>
      </c>
      <c r="G599" s="4">
        <v>0.84</v>
      </c>
      <c r="H599" s="4">
        <v>79</v>
      </c>
      <c r="I599" s="4"/>
      <c r="J599" s="4">
        <v>50</v>
      </c>
      <c r="K599"/>
      <c r="L599"/>
      <c r="M599" s="4">
        <f t="shared" si="441"/>
        <v>95.6</v>
      </c>
      <c r="N599" s="4"/>
      <c r="O599" s="1">
        <f t="shared" si="442"/>
        <v>95.5</v>
      </c>
      <c r="P599" s="1">
        <f t="shared" si="443"/>
        <v>0</v>
      </c>
      <c r="Q599" s="1" t="str">
        <f t="shared" si="439"/>
        <v/>
      </c>
      <c r="R599" s="1" t="str">
        <f t="shared" si="444"/>
        <v/>
      </c>
      <c r="S599" s="1">
        <f t="shared" si="445"/>
        <v>781.5936000000014</v>
      </c>
      <c r="T599" s="1">
        <f t="shared" si="446"/>
        <v>0.84</v>
      </c>
      <c r="U599" s="1">
        <f t="shared" si="447"/>
        <v>527.99999999996999</v>
      </c>
      <c r="V599" s="1">
        <f t="shared" si="448"/>
        <v>443.5199999999748</v>
      </c>
    </row>
    <row r="600" spans="1:22" x14ac:dyDescent="0.25">
      <c r="A600" s="1">
        <v>599</v>
      </c>
      <c r="B600" s="4">
        <v>7500</v>
      </c>
      <c r="C600" s="4">
        <v>95.6</v>
      </c>
      <c r="D600" s="4">
        <v>95.699999999999989</v>
      </c>
      <c r="E600" s="4">
        <f t="shared" si="440"/>
        <v>9.9999999999994316E-2</v>
      </c>
      <c r="F600" s="4">
        <v>0</v>
      </c>
      <c r="G600" s="4">
        <v>0.88</v>
      </c>
      <c r="H600" s="4">
        <v>79</v>
      </c>
      <c r="I600" s="4"/>
      <c r="J600" s="4">
        <v>50</v>
      </c>
      <c r="K600"/>
      <c r="L600"/>
      <c r="M600" s="4">
        <f t="shared" si="441"/>
        <v>95.699999999999989</v>
      </c>
      <c r="N600" s="4"/>
      <c r="O600" s="1">
        <f t="shared" si="442"/>
        <v>95.6</v>
      </c>
      <c r="P600" s="1">
        <f t="shared" si="443"/>
        <v>0</v>
      </c>
      <c r="Q600" s="1" t="str">
        <f t="shared" si="439"/>
        <v/>
      </c>
      <c r="R600" s="1" t="str">
        <f t="shared" si="444"/>
        <v/>
      </c>
      <c r="S600" s="1">
        <f t="shared" si="445"/>
        <v>786.02880000000118</v>
      </c>
      <c r="T600" s="1">
        <f t="shared" si="446"/>
        <v>0.88</v>
      </c>
      <c r="U600" s="1">
        <f t="shared" si="447"/>
        <v>527.99999999996999</v>
      </c>
      <c r="V600" s="1">
        <f t="shared" si="448"/>
        <v>464.63999999997361</v>
      </c>
    </row>
    <row r="601" spans="1:22" x14ac:dyDescent="0.25">
      <c r="A601" s="1">
        <v>600</v>
      </c>
      <c r="B601" s="4">
        <v>7500</v>
      </c>
      <c r="C601" s="4">
        <v>95.699999999999989</v>
      </c>
      <c r="D601" s="4">
        <v>95.8</v>
      </c>
      <c r="E601" s="4">
        <f t="shared" si="440"/>
        <v>0.10000000000000853</v>
      </c>
      <c r="F601" s="4">
        <v>0</v>
      </c>
      <c r="G601" s="4">
        <v>1</v>
      </c>
      <c r="H601" s="4">
        <v>79</v>
      </c>
      <c r="I601" s="4"/>
      <c r="J601" s="4">
        <v>50</v>
      </c>
      <c r="K601"/>
      <c r="L601"/>
      <c r="M601" s="4">
        <f t="shared" si="441"/>
        <v>95.8</v>
      </c>
      <c r="N601" s="4"/>
      <c r="O601" s="1">
        <f t="shared" si="442"/>
        <v>95.699999999999989</v>
      </c>
      <c r="P601" s="1">
        <f t="shared" si="443"/>
        <v>0</v>
      </c>
      <c r="Q601" s="1" t="str">
        <f t="shared" si="439"/>
        <v/>
      </c>
      <c r="R601" s="1" t="str">
        <f t="shared" si="444"/>
        <v/>
      </c>
      <c r="S601" s="1">
        <f t="shared" si="445"/>
        <v>790.67520000000093</v>
      </c>
      <c r="T601" s="1">
        <f t="shared" si="446"/>
        <v>1</v>
      </c>
      <c r="U601" s="1">
        <f t="shared" si="447"/>
        <v>528.00000000004502</v>
      </c>
      <c r="V601" s="1">
        <f t="shared" si="448"/>
        <v>528.00000000004502</v>
      </c>
    </row>
    <row r="602" spans="1:22" x14ac:dyDescent="0.25">
      <c r="A602" s="1">
        <v>601</v>
      </c>
      <c r="B602" s="4">
        <v>7500</v>
      </c>
      <c r="C602" s="4">
        <v>95.8</v>
      </c>
      <c r="D602" s="4">
        <v>95.899999999999991</v>
      </c>
      <c r="E602" s="4">
        <f t="shared" si="440"/>
        <v>9.9999999999994316E-2</v>
      </c>
      <c r="F602" s="4">
        <v>2</v>
      </c>
      <c r="G602" s="4">
        <v>0.93</v>
      </c>
      <c r="H602" s="4">
        <v>79</v>
      </c>
      <c r="I602" s="4"/>
      <c r="J602" s="4">
        <v>50</v>
      </c>
      <c r="K602"/>
      <c r="L602"/>
      <c r="M602" s="4">
        <f t="shared" si="441"/>
        <v>95.899999999999991</v>
      </c>
      <c r="N602" s="4"/>
      <c r="O602" s="1">
        <f t="shared" si="442"/>
        <v>95.8</v>
      </c>
      <c r="P602" s="1">
        <f t="shared" si="443"/>
        <v>10.559999999999398</v>
      </c>
      <c r="Q602" s="1" t="str">
        <f t="shared" si="439"/>
        <v/>
      </c>
      <c r="R602" s="1" t="str">
        <f t="shared" si="444"/>
        <v/>
      </c>
      <c r="S602" s="1">
        <f t="shared" si="445"/>
        <v>795.95520000000135</v>
      </c>
      <c r="T602" s="1">
        <f t="shared" si="446"/>
        <v>0.93</v>
      </c>
      <c r="U602" s="1">
        <f t="shared" si="447"/>
        <v>527.99999999996999</v>
      </c>
      <c r="V602" s="1">
        <f t="shared" si="448"/>
        <v>491.03999999997211</v>
      </c>
    </row>
    <row r="603" spans="1:22" x14ac:dyDescent="0.25">
      <c r="A603" s="1">
        <v>602</v>
      </c>
      <c r="B603" s="4">
        <v>7500</v>
      </c>
      <c r="C603" s="4">
        <v>95.899999999999991</v>
      </c>
      <c r="D603" s="4">
        <v>96</v>
      </c>
      <c r="E603" s="4">
        <f t="shared" si="440"/>
        <v>0.10000000000000853</v>
      </c>
      <c r="F603" s="4">
        <v>2</v>
      </c>
      <c r="G603" s="4">
        <v>0.8</v>
      </c>
      <c r="H603" s="4">
        <v>79</v>
      </c>
      <c r="I603" s="4"/>
      <c r="J603" s="4">
        <v>50</v>
      </c>
      <c r="K603"/>
      <c r="L603"/>
      <c r="M603" s="4">
        <f t="shared" si="441"/>
        <v>96</v>
      </c>
      <c r="N603" s="4"/>
      <c r="O603" s="1">
        <f t="shared" si="442"/>
        <v>95.899999999999991</v>
      </c>
      <c r="P603" s="1">
        <f t="shared" si="443"/>
        <v>10.560000000000899</v>
      </c>
      <c r="Q603" s="1" t="str">
        <f t="shared" si="439"/>
        <v/>
      </c>
      <c r="R603" s="1" t="str">
        <f t="shared" si="444"/>
        <v/>
      </c>
      <c r="S603" s="1">
        <f t="shared" si="445"/>
        <v>800.86560000000111</v>
      </c>
      <c r="T603" s="1">
        <f t="shared" si="446"/>
        <v>0.8</v>
      </c>
      <c r="U603" s="1">
        <f t="shared" si="447"/>
        <v>528.00000000004502</v>
      </c>
      <c r="V603" s="1">
        <f t="shared" si="448"/>
        <v>422.40000000003602</v>
      </c>
    </row>
    <row r="604" spans="1:22" x14ac:dyDescent="0.25">
      <c r="A604" s="1">
        <v>603</v>
      </c>
      <c r="B604" s="4">
        <v>7500</v>
      </c>
      <c r="C604" s="4">
        <v>96</v>
      </c>
      <c r="D604" s="4">
        <v>96.1</v>
      </c>
      <c r="E604" s="4">
        <f t="shared" si="440"/>
        <v>9.9999999999994316E-2</v>
      </c>
      <c r="F604" s="4">
        <v>2</v>
      </c>
      <c r="G604" s="4">
        <v>0.73</v>
      </c>
      <c r="H604" s="4">
        <v>79</v>
      </c>
      <c r="I604" s="4"/>
      <c r="J604" s="4">
        <v>50</v>
      </c>
      <c r="K604"/>
      <c r="L604"/>
      <c r="M604" s="4">
        <f t="shared" si="441"/>
        <v>96.1</v>
      </c>
      <c r="N604" s="4"/>
      <c r="O604" s="1">
        <f t="shared" si="442"/>
        <v>96</v>
      </c>
      <c r="P604" s="1">
        <f t="shared" si="443"/>
        <v>10.559999999999398</v>
      </c>
      <c r="Q604" s="1" t="str">
        <f t="shared" si="439"/>
        <v/>
      </c>
      <c r="R604" s="1" t="str">
        <f t="shared" si="444"/>
        <v/>
      </c>
      <c r="S604" s="1">
        <f t="shared" si="445"/>
        <v>805.0896000000015</v>
      </c>
      <c r="T604" s="1">
        <f t="shared" si="446"/>
        <v>0.73</v>
      </c>
      <c r="U604" s="1">
        <f t="shared" si="447"/>
        <v>527.99999999996999</v>
      </c>
      <c r="V604" s="1">
        <f t="shared" si="448"/>
        <v>385.43999999997806</v>
      </c>
    </row>
    <row r="605" spans="1:22" x14ac:dyDescent="0.25">
      <c r="A605" s="1">
        <v>604</v>
      </c>
      <c r="B605" s="4">
        <v>7500</v>
      </c>
      <c r="C605" s="4">
        <v>96.1</v>
      </c>
      <c r="D605" s="4">
        <v>96.199999999999989</v>
      </c>
      <c r="E605" s="4">
        <f t="shared" si="440"/>
        <v>9.9999999999994316E-2</v>
      </c>
      <c r="F605" s="4">
        <v>0</v>
      </c>
      <c r="G605" s="4">
        <v>0.6</v>
      </c>
      <c r="H605" s="4">
        <v>55</v>
      </c>
      <c r="I605" s="4"/>
      <c r="J605" s="4">
        <v>40</v>
      </c>
      <c r="K605"/>
      <c r="L605"/>
      <c r="M605" s="4">
        <f t="shared" si="441"/>
        <v>96.199999999999989</v>
      </c>
      <c r="N605" s="4"/>
      <c r="O605" s="1">
        <f t="shared" si="442"/>
        <v>96.1</v>
      </c>
      <c r="P605" s="1">
        <f t="shared" si="443"/>
        <v>0</v>
      </c>
      <c r="Q605" s="1">
        <f t="shared" si="439"/>
        <v>55</v>
      </c>
      <c r="R605" s="1">
        <f t="shared" si="444"/>
        <v>55</v>
      </c>
      <c r="S605" s="1">
        <f t="shared" si="445"/>
        <v>808.94400000000132</v>
      </c>
      <c r="T605" s="1">
        <f t="shared" si="446"/>
        <v>0.6</v>
      </c>
      <c r="U605" s="1">
        <f t="shared" si="447"/>
        <v>527.99999999996999</v>
      </c>
      <c r="V605" s="1">
        <f t="shared" si="448"/>
        <v>316.79999999998199</v>
      </c>
    </row>
    <row r="606" spans="1:22" x14ac:dyDescent="0.25">
      <c r="A606" s="1">
        <v>605</v>
      </c>
      <c r="B606" s="4">
        <v>7500</v>
      </c>
      <c r="C606" s="4">
        <v>96.199999999999989</v>
      </c>
      <c r="D606" s="4">
        <v>96.3</v>
      </c>
      <c r="E606" s="4">
        <f t="shared" si="440"/>
        <v>0.10000000000000853</v>
      </c>
      <c r="F606" s="4">
        <v>0</v>
      </c>
      <c r="G606" s="4">
        <v>0.37</v>
      </c>
      <c r="H606" s="4">
        <v>55</v>
      </c>
      <c r="I606" s="4"/>
      <c r="J606" s="4">
        <v>40</v>
      </c>
      <c r="K606"/>
      <c r="L606"/>
      <c r="M606" s="4">
        <f t="shared" si="441"/>
        <v>96.3</v>
      </c>
      <c r="N606" s="4"/>
      <c r="O606" s="1">
        <f t="shared" si="442"/>
        <v>96.199999999999989</v>
      </c>
      <c r="P606" s="1">
        <f t="shared" si="443"/>
        <v>0</v>
      </c>
      <c r="Q606" s="1" t="str">
        <f t="shared" si="439"/>
        <v/>
      </c>
      <c r="R606" s="1" t="str">
        <f t="shared" si="444"/>
        <v/>
      </c>
      <c r="S606" s="1">
        <f t="shared" si="445"/>
        <v>812.1120000000011</v>
      </c>
      <c r="T606" s="1">
        <f t="shared" si="446"/>
        <v>0.37</v>
      </c>
      <c r="U606" s="1">
        <f t="shared" si="447"/>
        <v>528.00000000004502</v>
      </c>
      <c r="V606" s="1">
        <f t="shared" si="448"/>
        <v>195.36000000001667</v>
      </c>
    </row>
    <row r="607" spans="1:22" x14ac:dyDescent="0.25">
      <c r="A607" s="1">
        <v>606</v>
      </c>
      <c r="B607" s="4">
        <v>7500</v>
      </c>
      <c r="C607" s="4">
        <v>96.3</v>
      </c>
      <c r="D607" s="4">
        <v>96.5</v>
      </c>
      <c r="E607" s="4">
        <f t="shared" si="440"/>
        <v>0.20000000000000284</v>
      </c>
      <c r="F607" s="4">
        <v>0</v>
      </c>
      <c r="G607" s="4">
        <v>-0.16</v>
      </c>
      <c r="H607" s="4">
        <v>55</v>
      </c>
      <c r="I607" s="4"/>
      <c r="J607" s="4">
        <v>40</v>
      </c>
      <c r="K607"/>
      <c r="L607"/>
      <c r="M607" s="4">
        <f t="shared" si="441"/>
        <v>96.5</v>
      </c>
      <c r="N607" s="4"/>
      <c r="O607" s="1">
        <f t="shared" si="442"/>
        <v>96.3</v>
      </c>
      <c r="P607" s="1">
        <f t="shared" si="443"/>
        <v>0</v>
      </c>
      <c r="Q607" s="1" t="str">
        <f t="shared" si="439"/>
        <v/>
      </c>
      <c r="R607" s="1" t="str">
        <f t="shared" si="444"/>
        <v/>
      </c>
      <c r="S607" s="1">
        <f t="shared" si="445"/>
        <v>814.06560000000127</v>
      </c>
      <c r="T607" s="1">
        <f t="shared" si="446"/>
        <v>-0.16</v>
      </c>
      <c r="U607" s="1">
        <f t="shared" si="447"/>
        <v>1056.000000000015</v>
      </c>
      <c r="V607" s="1">
        <f t="shared" si="448"/>
        <v>168.9600000000024</v>
      </c>
    </row>
    <row r="608" spans="1:22" x14ac:dyDescent="0.25">
      <c r="A608" s="1">
        <v>607</v>
      </c>
      <c r="B608" s="4">
        <v>7500</v>
      </c>
      <c r="C608" s="4">
        <v>96.5</v>
      </c>
      <c r="D608" s="4">
        <v>96.6</v>
      </c>
      <c r="E608" s="4">
        <f t="shared" si="440"/>
        <v>9.9999999999994316E-2</v>
      </c>
      <c r="F608" s="4">
        <v>0</v>
      </c>
      <c r="G608" s="4">
        <v>0.12</v>
      </c>
      <c r="H608" s="4">
        <v>55</v>
      </c>
      <c r="I608" s="4"/>
      <c r="J608" s="4">
        <v>40</v>
      </c>
      <c r="K608"/>
      <c r="L608"/>
      <c r="M608" s="4">
        <f t="shared" si="441"/>
        <v>96.6</v>
      </c>
      <c r="N608" s="4"/>
      <c r="O608" s="1">
        <f t="shared" si="442"/>
        <v>96.5</v>
      </c>
      <c r="P608" s="1">
        <f t="shared" si="443"/>
        <v>0</v>
      </c>
      <c r="Q608" s="1" t="str">
        <f t="shared" si="439"/>
        <v/>
      </c>
      <c r="R608" s="1" t="str">
        <f t="shared" si="444"/>
        <v/>
      </c>
      <c r="S608" s="1">
        <f t="shared" si="445"/>
        <v>812.37600000000123</v>
      </c>
      <c r="T608" s="1">
        <f t="shared" si="446"/>
        <v>0.12</v>
      </c>
      <c r="U608" s="1">
        <f t="shared" si="447"/>
        <v>527.99999999996999</v>
      </c>
      <c r="V608" s="1">
        <f t="shared" si="448"/>
        <v>63.359999999996397</v>
      </c>
    </row>
    <row r="609" spans="1:22" x14ac:dyDescent="0.25">
      <c r="A609" s="1">
        <v>608</v>
      </c>
      <c r="B609" s="4">
        <v>7500</v>
      </c>
      <c r="C609" s="4">
        <v>96.6</v>
      </c>
      <c r="D609" s="4">
        <v>96.8</v>
      </c>
      <c r="E609" s="4">
        <f t="shared" si="440"/>
        <v>0.20000000000000284</v>
      </c>
      <c r="F609" s="4">
        <v>0</v>
      </c>
      <c r="G609" s="4">
        <v>0.17</v>
      </c>
      <c r="H609" s="4">
        <v>55</v>
      </c>
      <c r="I609" s="4"/>
      <c r="J609" s="4">
        <v>40</v>
      </c>
      <c r="K609"/>
      <c r="L609"/>
      <c r="M609" s="4">
        <f t="shared" si="441"/>
        <v>96.8</v>
      </c>
      <c r="N609" s="4"/>
      <c r="O609" s="1">
        <f t="shared" si="442"/>
        <v>96.6</v>
      </c>
      <c r="P609" s="1">
        <f t="shared" si="443"/>
        <v>0</v>
      </c>
      <c r="Q609" s="1" t="str">
        <f t="shared" si="439"/>
        <v/>
      </c>
      <c r="R609" s="1" t="str">
        <f t="shared" si="444"/>
        <v/>
      </c>
      <c r="S609" s="1">
        <f t="shared" si="445"/>
        <v>813.00960000000123</v>
      </c>
      <c r="T609" s="1">
        <f t="shared" si="446"/>
        <v>0.17</v>
      </c>
      <c r="U609" s="1">
        <f t="shared" si="447"/>
        <v>1056.000000000015</v>
      </c>
      <c r="V609" s="1">
        <f t="shared" si="448"/>
        <v>179.52000000000257</v>
      </c>
    </row>
    <row r="610" spans="1:22" x14ac:dyDescent="0.25">
      <c r="A610" s="1">
        <v>609</v>
      </c>
      <c r="B610" s="4">
        <v>7500</v>
      </c>
      <c r="C610" s="4">
        <v>96.8</v>
      </c>
      <c r="D610" s="4">
        <v>97.199999999999989</v>
      </c>
      <c r="E610" s="4">
        <f t="shared" si="440"/>
        <v>0.39999999999999147</v>
      </c>
      <c r="F610" s="4">
        <v>0</v>
      </c>
      <c r="G610" s="4">
        <v>0.2</v>
      </c>
      <c r="H610" s="4">
        <v>55</v>
      </c>
      <c r="I610" s="4"/>
      <c r="J610" s="4">
        <v>40</v>
      </c>
      <c r="K610"/>
      <c r="L610"/>
      <c r="M610" s="4">
        <f t="shared" si="441"/>
        <v>97.199999999999989</v>
      </c>
      <c r="N610" s="4"/>
      <c r="O610" s="1">
        <f t="shared" si="442"/>
        <v>96.8</v>
      </c>
      <c r="P610" s="1">
        <f t="shared" si="443"/>
        <v>0</v>
      </c>
      <c r="Q610" s="1" t="str">
        <f t="shared" si="439"/>
        <v/>
      </c>
      <c r="R610" s="1" t="str">
        <f t="shared" si="444"/>
        <v/>
      </c>
      <c r="S610" s="1">
        <f t="shared" si="445"/>
        <v>814.80480000000125</v>
      </c>
      <c r="T610" s="1">
        <f t="shared" si="446"/>
        <v>0.2</v>
      </c>
      <c r="U610" s="1">
        <f t="shared" si="447"/>
        <v>2111.999999999955</v>
      </c>
      <c r="V610" s="1">
        <f t="shared" si="448"/>
        <v>422.399999999991</v>
      </c>
    </row>
    <row r="611" spans="1:22" x14ac:dyDescent="0.25">
      <c r="A611" s="1">
        <v>610</v>
      </c>
      <c r="B611" s="4">
        <v>7500</v>
      </c>
      <c r="C611" s="4">
        <v>97.199999999999989</v>
      </c>
      <c r="D611" s="4">
        <v>97.3</v>
      </c>
      <c r="E611" s="4">
        <f t="shared" si="440"/>
        <v>0.10000000000000853</v>
      </c>
      <c r="F611" s="4">
        <v>0.3</v>
      </c>
      <c r="G611" s="4">
        <v>0.5</v>
      </c>
      <c r="H611" s="4">
        <v>55</v>
      </c>
      <c r="I611" s="4"/>
      <c r="J611" s="4">
        <v>40</v>
      </c>
      <c r="K611"/>
      <c r="L611"/>
      <c r="M611" s="4">
        <f t="shared" si="441"/>
        <v>97.3</v>
      </c>
      <c r="N611" s="4"/>
      <c r="O611" s="1">
        <f t="shared" si="442"/>
        <v>97.199999999999989</v>
      </c>
      <c r="P611" s="1">
        <f t="shared" si="443"/>
        <v>1.5840000000001349</v>
      </c>
      <c r="Q611" s="1" t="str">
        <f t="shared" si="439"/>
        <v/>
      </c>
      <c r="R611" s="1" t="str">
        <f t="shared" si="444"/>
        <v/>
      </c>
      <c r="S611" s="1">
        <f t="shared" si="445"/>
        <v>819.02880000000118</v>
      </c>
      <c r="T611" s="1">
        <f t="shared" si="446"/>
        <v>0.5</v>
      </c>
      <c r="U611" s="1">
        <f t="shared" si="447"/>
        <v>528.00000000004502</v>
      </c>
      <c r="V611" s="1">
        <f t="shared" si="448"/>
        <v>264.00000000002251</v>
      </c>
    </row>
    <row r="612" spans="1:22" x14ac:dyDescent="0.25">
      <c r="A612" s="1">
        <v>611</v>
      </c>
      <c r="B612" s="4">
        <v>7500</v>
      </c>
      <c r="C612" s="4">
        <v>97.3</v>
      </c>
      <c r="D612" s="4">
        <v>97.399999999999991</v>
      </c>
      <c r="E612" s="4">
        <f t="shared" si="440"/>
        <v>9.9999999999994316E-2</v>
      </c>
      <c r="F612" s="4">
        <v>0.8</v>
      </c>
      <c r="G612" s="4">
        <v>0.26</v>
      </c>
      <c r="H612" s="4">
        <v>55</v>
      </c>
      <c r="I612" s="4"/>
      <c r="J612" s="4">
        <v>40</v>
      </c>
      <c r="K612"/>
      <c r="L612"/>
      <c r="M612" s="4">
        <f t="shared" si="441"/>
        <v>97.399999999999991</v>
      </c>
      <c r="N612" s="4"/>
      <c r="O612" s="1">
        <f t="shared" si="442"/>
        <v>97.3</v>
      </c>
      <c r="P612" s="1">
        <f t="shared" si="443"/>
        <v>4.2239999999997604</v>
      </c>
      <c r="Q612" s="1" t="str">
        <f t="shared" si="439"/>
        <v/>
      </c>
      <c r="R612" s="1" t="str">
        <f t="shared" si="444"/>
        <v/>
      </c>
      <c r="S612" s="1">
        <f t="shared" si="445"/>
        <v>821.6688000000014</v>
      </c>
      <c r="T612" s="1">
        <f t="shared" si="446"/>
        <v>0.26</v>
      </c>
      <c r="U612" s="1">
        <f t="shared" si="447"/>
        <v>527.99999999996999</v>
      </c>
      <c r="V612" s="1">
        <f t="shared" si="448"/>
        <v>137.27999999999221</v>
      </c>
    </row>
    <row r="613" spans="1:22" x14ac:dyDescent="0.25">
      <c r="A613" s="1">
        <v>612</v>
      </c>
      <c r="B613" s="4">
        <v>7500</v>
      </c>
      <c r="C613" s="4">
        <v>97.399999999999991</v>
      </c>
      <c r="D613" s="4">
        <v>97.5</v>
      </c>
      <c r="E613" s="4">
        <f t="shared" si="440"/>
        <v>0.10000000000000853</v>
      </c>
      <c r="F613" s="4">
        <v>0.3</v>
      </c>
      <c r="G613" s="4">
        <v>0.2</v>
      </c>
      <c r="H613" s="4">
        <v>55</v>
      </c>
      <c r="I613" s="4"/>
      <c r="J613" s="4">
        <v>40</v>
      </c>
      <c r="K613"/>
      <c r="L613"/>
      <c r="M613" s="4">
        <f t="shared" si="441"/>
        <v>97.5</v>
      </c>
      <c r="N613" s="4"/>
      <c r="O613" s="1">
        <f t="shared" si="442"/>
        <v>97.399999999999991</v>
      </c>
      <c r="P613" s="1">
        <f t="shared" si="443"/>
        <v>1.5840000000001349</v>
      </c>
      <c r="Q613" s="1" t="str">
        <f t="shared" si="439"/>
        <v/>
      </c>
      <c r="R613" s="1" t="str">
        <f t="shared" si="444"/>
        <v/>
      </c>
      <c r="S613" s="1">
        <f t="shared" si="445"/>
        <v>823.04160000000127</v>
      </c>
      <c r="T613" s="1">
        <f t="shared" si="446"/>
        <v>0.2</v>
      </c>
      <c r="U613" s="1">
        <f t="shared" si="447"/>
        <v>528.00000000004502</v>
      </c>
      <c r="V613" s="1">
        <f t="shared" si="448"/>
        <v>105.600000000009</v>
      </c>
    </row>
    <row r="614" spans="1:22" x14ac:dyDescent="0.25">
      <c r="A614" s="1">
        <v>613</v>
      </c>
      <c r="B614" s="4">
        <v>7500</v>
      </c>
      <c r="C614" s="4">
        <v>97.5</v>
      </c>
      <c r="D614" s="4">
        <v>97.6</v>
      </c>
      <c r="E614" s="4">
        <f t="shared" si="440"/>
        <v>9.9999999999994316E-2</v>
      </c>
      <c r="F614" s="4">
        <v>0.4</v>
      </c>
      <c r="G614" s="4">
        <v>0.2</v>
      </c>
      <c r="H614" s="4">
        <v>55</v>
      </c>
      <c r="I614" s="4"/>
      <c r="J614" s="4">
        <v>40</v>
      </c>
      <c r="K614"/>
      <c r="L614"/>
      <c r="M614" s="4">
        <f t="shared" si="441"/>
        <v>97.6</v>
      </c>
      <c r="N614" s="4"/>
      <c r="O614" s="1">
        <f t="shared" si="442"/>
        <v>97.5</v>
      </c>
      <c r="P614" s="1">
        <f t="shared" si="443"/>
        <v>2.1119999999998802</v>
      </c>
      <c r="Q614" s="1" t="str">
        <f t="shared" si="439"/>
        <v/>
      </c>
      <c r="R614" s="1" t="str">
        <f t="shared" si="444"/>
        <v/>
      </c>
      <c r="S614" s="1">
        <f t="shared" si="445"/>
        <v>824.09760000000131</v>
      </c>
      <c r="T614" s="1">
        <f t="shared" si="446"/>
        <v>0.2</v>
      </c>
      <c r="U614" s="1">
        <f t="shared" si="447"/>
        <v>527.99999999996999</v>
      </c>
      <c r="V614" s="1">
        <f t="shared" si="448"/>
        <v>105.599999999994</v>
      </c>
    </row>
    <row r="615" spans="1:22" x14ac:dyDescent="0.25">
      <c r="A615" s="1">
        <v>614</v>
      </c>
      <c r="B615" s="4">
        <v>7500</v>
      </c>
      <c r="C615" s="4">
        <v>97.6</v>
      </c>
      <c r="D615" s="4">
        <v>97.699999999999989</v>
      </c>
      <c r="E615" s="4">
        <f t="shared" si="440"/>
        <v>9.9999999999994316E-2</v>
      </c>
      <c r="F615" s="4">
        <v>0.3</v>
      </c>
      <c r="G615" s="4">
        <v>0.2</v>
      </c>
      <c r="H615" s="4">
        <v>55</v>
      </c>
      <c r="I615" s="4"/>
      <c r="J615" s="4">
        <v>40</v>
      </c>
      <c r="K615"/>
      <c r="L615"/>
      <c r="M615" s="4">
        <f t="shared" si="441"/>
        <v>97.699999999999989</v>
      </c>
      <c r="N615" s="4"/>
      <c r="O615" s="1">
        <f t="shared" si="442"/>
        <v>97.6</v>
      </c>
      <c r="P615" s="1">
        <f t="shared" si="443"/>
        <v>1.5839999999999097</v>
      </c>
      <c r="Q615" s="1" t="str">
        <f t="shared" si="439"/>
        <v/>
      </c>
      <c r="R615" s="1" t="str">
        <f t="shared" si="444"/>
        <v/>
      </c>
      <c r="S615" s="1">
        <f t="shared" si="445"/>
        <v>825.15360000000123</v>
      </c>
      <c r="T615" s="1">
        <f t="shared" si="446"/>
        <v>0.2</v>
      </c>
      <c r="U615" s="1">
        <f t="shared" si="447"/>
        <v>527.99999999996999</v>
      </c>
      <c r="V615" s="1">
        <f t="shared" si="448"/>
        <v>105.599999999994</v>
      </c>
    </row>
    <row r="616" spans="1:22" x14ac:dyDescent="0.25">
      <c r="A616" s="1">
        <v>615</v>
      </c>
      <c r="B616" s="4">
        <v>7500</v>
      </c>
      <c r="C616" s="4">
        <v>97.699999999999989</v>
      </c>
      <c r="D616" s="4">
        <v>97.8</v>
      </c>
      <c r="E616" s="4">
        <f t="shared" si="440"/>
        <v>0.10000000000000853</v>
      </c>
      <c r="F616" s="4">
        <v>0.4</v>
      </c>
      <c r="G616" s="4">
        <v>0.17</v>
      </c>
      <c r="H616" s="4">
        <v>55</v>
      </c>
      <c r="I616" s="4"/>
      <c r="J616" s="4">
        <v>40</v>
      </c>
      <c r="K616"/>
      <c r="L616"/>
      <c r="M616" s="4">
        <f t="shared" si="441"/>
        <v>97.8</v>
      </c>
      <c r="N616" s="4"/>
      <c r="O616" s="1">
        <f t="shared" si="442"/>
        <v>97.699999999999989</v>
      </c>
      <c r="P616" s="1">
        <f t="shared" si="443"/>
        <v>2.1120000000001804</v>
      </c>
      <c r="Q616" s="1" t="str">
        <f t="shared" si="439"/>
        <v/>
      </c>
      <c r="R616" s="1" t="str">
        <f t="shared" si="444"/>
        <v/>
      </c>
      <c r="S616" s="1">
        <f t="shared" si="445"/>
        <v>826.20960000000116</v>
      </c>
      <c r="T616" s="1">
        <f t="shared" si="446"/>
        <v>0.17</v>
      </c>
      <c r="U616" s="1">
        <f t="shared" si="447"/>
        <v>528.00000000004502</v>
      </c>
      <c r="V616" s="1">
        <f t="shared" si="448"/>
        <v>89.760000000007665</v>
      </c>
    </row>
    <row r="617" spans="1:22" x14ac:dyDescent="0.25">
      <c r="A617" s="1">
        <v>616</v>
      </c>
      <c r="B617" s="4">
        <v>7500</v>
      </c>
      <c r="C617" s="4">
        <v>97.8</v>
      </c>
      <c r="D617" s="4">
        <v>97.899999999999991</v>
      </c>
      <c r="E617" s="4">
        <f t="shared" si="440"/>
        <v>9.9999999999994316E-2</v>
      </c>
      <c r="F617" s="4">
        <v>0.4</v>
      </c>
      <c r="G617" s="4">
        <v>0.52</v>
      </c>
      <c r="H617" s="4">
        <v>55</v>
      </c>
      <c r="I617" s="4"/>
      <c r="J617" s="4">
        <v>40</v>
      </c>
      <c r="K617"/>
      <c r="L617"/>
      <c r="M617" s="4">
        <f t="shared" si="441"/>
        <v>97.899999999999991</v>
      </c>
      <c r="N617" s="4"/>
      <c r="O617" s="1">
        <f t="shared" si="442"/>
        <v>97.8</v>
      </c>
      <c r="P617" s="1">
        <f t="shared" si="443"/>
        <v>2.1119999999998802</v>
      </c>
      <c r="Q617" s="1" t="str">
        <f t="shared" si="439"/>
        <v/>
      </c>
      <c r="R617" s="1" t="str">
        <f t="shared" si="444"/>
        <v/>
      </c>
      <c r="S617" s="1">
        <f t="shared" si="445"/>
        <v>827.10720000000128</v>
      </c>
      <c r="T617" s="1">
        <f t="shared" si="446"/>
        <v>0.52</v>
      </c>
      <c r="U617" s="1">
        <f t="shared" si="447"/>
        <v>527.99999999996999</v>
      </c>
      <c r="V617" s="1">
        <f t="shared" si="448"/>
        <v>274.55999999998443</v>
      </c>
    </row>
    <row r="618" spans="1:22" x14ac:dyDescent="0.25">
      <c r="A618" s="1">
        <v>617</v>
      </c>
      <c r="B618" s="4">
        <v>7500</v>
      </c>
      <c r="C618" s="4">
        <v>97.899999999999991</v>
      </c>
      <c r="D618" s="4">
        <v>98</v>
      </c>
      <c r="E618" s="4">
        <f t="shared" si="440"/>
        <v>0.10000000000000853</v>
      </c>
      <c r="F618" s="4">
        <v>1</v>
      </c>
      <c r="G618" s="4">
        <v>0.56000000000000005</v>
      </c>
      <c r="H618" s="4">
        <v>55</v>
      </c>
      <c r="I618" s="4"/>
      <c r="J618" s="4">
        <v>40</v>
      </c>
      <c r="K618"/>
      <c r="L618"/>
      <c r="M618" s="4">
        <f t="shared" si="441"/>
        <v>98</v>
      </c>
      <c r="N618" s="4"/>
      <c r="O618" s="1">
        <f t="shared" si="442"/>
        <v>97.899999999999991</v>
      </c>
      <c r="P618" s="1">
        <f t="shared" si="443"/>
        <v>5.2800000000004497</v>
      </c>
      <c r="Q618" s="1" t="str">
        <f t="shared" si="439"/>
        <v/>
      </c>
      <c r="R618" s="1" t="str">
        <f t="shared" si="444"/>
        <v/>
      </c>
      <c r="S618" s="1">
        <f t="shared" si="445"/>
        <v>829.85280000000114</v>
      </c>
      <c r="T618" s="1">
        <f t="shared" si="446"/>
        <v>0.56000000000000005</v>
      </c>
      <c r="U618" s="1">
        <f t="shared" si="447"/>
        <v>528.00000000004502</v>
      </c>
      <c r="V618" s="1">
        <f t="shared" si="448"/>
        <v>295.68000000002525</v>
      </c>
    </row>
    <row r="619" spans="1:22" x14ac:dyDescent="0.25">
      <c r="A619" s="1">
        <v>618</v>
      </c>
      <c r="B619" s="4">
        <v>7500</v>
      </c>
      <c r="C619" s="4">
        <v>98</v>
      </c>
      <c r="D619" s="4">
        <v>98.1</v>
      </c>
      <c r="E619" s="4">
        <f t="shared" si="440"/>
        <v>9.9999999999994316E-2</v>
      </c>
      <c r="F619" s="4">
        <v>0</v>
      </c>
      <c r="G619" s="4">
        <v>0.56000000000000005</v>
      </c>
      <c r="H619" s="4">
        <v>55</v>
      </c>
      <c r="I619" s="4"/>
      <c r="J619" s="4">
        <v>40</v>
      </c>
      <c r="K619"/>
      <c r="L619"/>
      <c r="M619" s="4">
        <f t="shared" si="441"/>
        <v>98.1</v>
      </c>
      <c r="N619" s="4"/>
      <c r="O619" s="1">
        <f t="shared" si="442"/>
        <v>98</v>
      </c>
      <c r="P619" s="1">
        <f t="shared" si="443"/>
        <v>0</v>
      </c>
      <c r="Q619" s="1" t="str">
        <f t="shared" si="439"/>
        <v/>
      </c>
      <c r="R619" s="1" t="str">
        <f t="shared" si="444"/>
        <v/>
      </c>
      <c r="S619" s="1">
        <f t="shared" si="445"/>
        <v>832.80960000000141</v>
      </c>
      <c r="T619" s="1">
        <f t="shared" si="446"/>
        <v>0.56000000000000005</v>
      </c>
      <c r="U619" s="1">
        <f t="shared" si="447"/>
        <v>527.99999999996999</v>
      </c>
      <c r="V619" s="1">
        <f t="shared" si="448"/>
        <v>295.67999999998324</v>
      </c>
    </row>
    <row r="620" spans="1:22" x14ac:dyDescent="0.25">
      <c r="A620" s="1">
        <v>619</v>
      </c>
      <c r="B620" s="4">
        <v>7500</v>
      </c>
      <c r="C620" s="4">
        <v>98.1</v>
      </c>
      <c r="D620" s="4">
        <v>98.199999999999989</v>
      </c>
      <c r="E620" s="4">
        <f t="shared" si="440"/>
        <v>9.9999999999994316E-2</v>
      </c>
      <c r="F620" s="4">
        <v>0</v>
      </c>
      <c r="G620" s="4">
        <v>-0.62</v>
      </c>
      <c r="H620" s="4">
        <v>55</v>
      </c>
      <c r="I620" s="4"/>
      <c r="J620" s="4">
        <v>40</v>
      </c>
      <c r="K620"/>
      <c r="L620"/>
      <c r="M620" s="4">
        <f t="shared" si="441"/>
        <v>98.199999999999989</v>
      </c>
      <c r="N620" s="4"/>
      <c r="O620" s="1">
        <f t="shared" si="442"/>
        <v>98.1</v>
      </c>
      <c r="P620" s="1">
        <f t="shared" si="443"/>
        <v>0</v>
      </c>
      <c r="Q620" s="1" t="str">
        <f t="shared" si="439"/>
        <v/>
      </c>
      <c r="R620" s="1" t="str">
        <f t="shared" si="444"/>
        <v/>
      </c>
      <c r="S620" s="1">
        <f t="shared" si="445"/>
        <v>835.76640000000123</v>
      </c>
      <c r="T620" s="1">
        <f t="shared" si="446"/>
        <v>-0.62</v>
      </c>
      <c r="U620" s="1">
        <f t="shared" si="447"/>
        <v>527.99999999996999</v>
      </c>
      <c r="V620" s="1">
        <f t="shared" si="448"/>
        <v>327.35999999998137</v>
      </c>
    </row>
    <row r="621" spans="1:22" x14ac:dyDescent="0.25">
      <c r="A621" s="1">
        <v>620</v>
      </c>
      <c r="B621" s="4">
        <v>7500</v>
      </c>
      <c r="C621" s="4">
        <v>98.199999999999989</v>
      </c>
      <c r="D621" s="4">
        <v>98.3</v>
      </c>
      <c r="E621" s="4">
        <f t="shared" si="440"/>
        <v>0.10000000000000853</v>
      </c>
      <c r="F621" s="4">
        <v>0</v>
      </c>
      <c r="G621" s="4">
        <v>0.32</v>
      </c>
      <c r="H621" s="4">
        <v>79</v>
      </c>
      <c r="I621" s="4"/>
      <c r="J621" s="4">
        <v>50</v>
      </c>
      <c r="K621"/>
      <c r="L621"/>
      <c r="M621" s="4">
        <f t="shared" si="441"/>
        <v>98.3</v>
      </c>
      <c r="N621" s="4"/>
      <c r="O621" s="1">
        <f t="shared" si="442"/>
        <v>98.199999999999989</v>
      </c>
      <c r="P621" s="1">
        <f t="shared" si="443"/>
        <v>0</v>
      </c>
      <c r="Q621" s="1">
        <f t="shared" si="439"/>
        <v>79</v>
      </c>
      <c r="R621" s="1">
        <f t="shared" si="444"/>
        <v>79</v>
      </c>
      <c r="S621" s="1">
        <f t="shared" si="445"/>
        <v>832.49280000000147</v>
      </c>
      <c r="T621" s="1">
        <f t="shared" si="446"/>
        <v>0.32</v>
      </c>
      <c r="U621" s="1">
        <f t="shared" si="447"/>
        <v>528.00000000004502</v>
      </c>
      <c r="V621" s="1">
        <f t="shared" si="448"/>
        <v>168.96000000001442</v>
      </c>
    </row>
    <row r="622" spans="1:22" x14ac:dyDescent="0.25">
      <c r="A622" s="1">
        <v>621</v>
      </c>
      <c r="B622" s="4">
        <v>7500</v>
      </c>
      <c r="C622" s="4">
        <v>98.3</v>
      </c>
      <c r="D622" s="4">
        <v>98.399999999999991</v>
      </c>
      <c r="E622" s="4">
        <f t="shared" si="440"/>
        <v>9.9999999999994316E-2</v>
      </c>
      <c r="F622" s="4">
        <v>0</v>
      </c>
      <c r="G622" s="4">
        <v>-0.23</v>
      </c>
      <c r="H622" s="4">
        <v>79</v>
      </c>
      <c r="I622" s="4"/>
      <c r="J622" s="4">
        <v>50</v>
      </c>
      <c r="K622"/>
      <c r="L622"/>
      <c r="M622" s="4">
        <f t="shared" si="441"/>
        <v>98.399999999999991</v>
      </c>
      <c r="N622" s="4"/>
      <c r="O622" s="1">
        <f t="shared" si="442"/>
        <v>98.3</v>
      </c>
      <c r="P622" s="1">
        <f t="shared" si="443"/>
        <v>0</v>
      </c>
      <c r="Q622" s="1" t="str">
        <f t="shared" si="439"/>
        <v/>
      </c>
      <c r="R622" s="1" t="str">
        <f t="shared" si="444"/>
        <v/>
      </c>
      <c r="S622" s="1">
        <f t="shared" si="445"/>
        <v>834.18240000000162</v>
      </c>
      <c r="T622" s="1">
        <f t="shared" si="446"/>
        <v>-0.23</v>
      </c>
      <c r="U622" s="1">
        <f t="shared" si="447"/>
        <v>527.99999999996999</v>
      </c>
      <c r="V622" s="1">
        <f t="shared" si="448"/>
        <v>121.43999999999311</v>
      </c>
    </row>
    <row r="623" spans="1:22" x14ac:dyDescent="0.25">
      <c r="A623" s="1">
        <v>622</v>
      </c>
      <c r="B623" s="4">
        <v>7500</v>
      </c>
      <c r="C623" s="4">
        <v>98.399999999999991</v>
      </c>
      <c r="D623" s="4">
        <v>98.699999999999989</v>
      </c>
      <c r="E623" s="4">
        <f t="shared" si="440"/>
        <v>0.29999999999999716</v>
      </c>
      <c r="F623" s="4">
        <v>0</v>
      </c>
      <c r="G623" s="4">
        <v>-0.45</v>
      </c>
      <c r="H623" s="4">
        <v>79</v>
      </c>
      <c r="I623" s="4"/>
      <c r="J623" s="4">
        <v>50</v>
      </c>
      <c r="K623"/>
      <c r="L623"/>
      <c r="M623" s="4">
        <f t="shared" si="441"/>
        <v>98.699999999999989</v>
      </c>
      <c r="N623" s="4"/>
      <c r="O623" s="1">
        <f t="shared" si="442"/>
        <v>98.399999999999991</v>
      </c>
      <c r="P623" s="1">
        <f t="shared" si="443"/>
        <v>0</v>
      </c>
      <c r="Q623" s="1" t="str">
        <f t="shared" si="439"/>
        <v/>
      </c>
      <c r="R623" s="1" t="str">
        <f t="shared" si="444"/>
        <v/>
      </c>
      <c r="S623" s="1">
        <f t="shared" si="445"/>
        <v>832.96800000000167</v>
      </c>
      <c r="T623" s="1">
        <f t="shared" si="446"/>
        <v>-0.45</v>
      </c>
      <c r="U623" s="1">
        <f t="shared" si="447"/>
        <v>1583.999999999985</v>
      </c>
      <c r="V623" s="1">
        <f t="shared" si="448"/>
        <v>712.79999999999325</v>
      </c>
    </row>
    <row r="624" spans="1:22" x14ac:dyDescent="0.25">
      <c r="A624" s="1">
        <v>623</v>
      </c>
      <c r="B624" s="4">
        <v>7500</v>
      </c>
      <c r="C624" s="4">
        <v>98.699999999999989</v>
      </c>
      <c r="D624" s="4">
        <v>98.899999999999991</v>
      </c>
      <c r="E624" s="4">
        <f t="shared" si="440"/>
        <v>0.20000000000000284</v>
      </c>
      <c r="F624" s="4">
        <v>0</v>
      </c>
      <c r="G624" s="4">
        <v>-0.27</v>
      </c>
      <c r="H624" s="4">
        <v>79</v>
      </c>
      <c r="I624" s="4"/>
      <c r="J624" s="4">
        <v>50</v>
      </c>
      <c r="K624"/>
      <c r="L624"/>
      <c r="M624" s="4">
        <f t="shared" si="441"/>
        <v>98.899999999999991</v>
      </c>
      <c r="N624" s="4"/>
      <c r="O624" s="1">
        <f t="shared" si="442"/>
        <v>98.699999999999989</v>
      </c>
      <c r="P624" s="1">
        <f t="shared" si="443"/>
        <v>0</v>
      </c>
      <c r="Q624" s="1" t="str">
        <f t="shared" si="439"/>
        <v/>
      </c>
      <c r="R624" s="1" t="str">
        <f t="shared" si="444"/>
        <v/>
      </c>
      <c r="S624" s="1">
        <f t="shared" si="445"/>
        <v>825.84000000000174</v>
      </c>
      <c r="T624" s="1">
        <f t="shared" si="446"/>
        <v>-0.27</v>
      </c>
      <c r="U624" s="1">
        <f t="shared" si="447"/>
        <v>1056.000000000015</v>
      </c>
      <c r="V624" s="1">
        <f t="shared" si="448"/>
        <v>285.1200000000041</v>
      </c>
    </row>
    <row r="625" spans="1:22" x14ac:dyDescent="0.25">
      <c r="A625" s="1">
        <v>624</v>
      </c>
      <c r="B625" s="4">
        <v>7500</v>
      </c>
      <c r="C625" s="4">
        <v>98.899999999999991</v>
      </c>
      <c r="D625" s="4">
        <v>99</v>
      </c>
      <c r="E625" s="4">
        <f t="shared" si="440"/>
        <v>0.10000000000000853</v>
      </c>
      <c r="F625" s="4">
        <v>0</v>
      </c>
      <c r="G625" s="4">
        <v>0</v>
      </c>
      <c r="H625" s="4">
        <v>79</v>
      </c>
      <c r="I625" s="4"/>
      <c r="J625" s="4">
        <v>50</v>
      </c>
      <c r="K625"/>
      <c r="L625"/>
      <c r="M625" s="4">
        <f t="shared" si="441"/>
        <v>99</v>
      </c>
      <c r="N625" s="4"/>
      <c r="O625" s="1">
        <f t="shared" si="442"/>
        <v>98.899999999999991</v>
      </c>
      <c r="P625" s="1">
        <f t="shared" si="443"/>
        <v>0</v>
      </c>
      <c r="Q625" s="1" t="str">
        <f t="shared" si="439"/>
        <v/>
      </c>
      <c r="R625" s="1" t="str">
        <f t="shared" si="444"/>
        <v/>
      </c>
      <c r="S625" s="1">
        <f t="shared" si="445"/>
        <v>822.98880000000167</v>
      </c>
      <c r="T625" s="1">
        <f t="shared" si="446"/>
        <v>0</v>
      </c>
      <c r="U625" s="1">
        <f t="shared" si="447"/>
        <v>528.00000000004502</v>
      </c>
      <c r="V625" s="1">
        <f t="shared" si="448"/>
        <v>0</v>
      </c>
    </row>
    <row r="626" spans="1:22" x14ac:dyDescent="0.25">
      <c r="A626" s="1">
        <v>625</v>
      </c>
      <c r="B626" s="4">
        <v>7500</v>
      </c>
      <c r="C626" s="4">
        <v>99</v>
      </c>
      <c r="D626" s="4">
        <v>99.199999999999989</v>
      </c>
      <c r="E626" s="4">
        <f t="shared" si="440"/>
        <v>0.19999999999998863</v>
      </c>
      <c r="F626" s="4">
        <v>0</v>
      </c>
      <c r="G626" s="4">
        <v>0.28000000000000003</v>
      </c>
      <c r="H626" s="4">
        <v>79</v>
      </c>
      <c r="I626" s="4"/>
      <c r="J626" s="4">
        <v>50</v>
      </c>
      <c r="K626"/>
      <c r="L626"/>
      <c r="M626" s="4">
        <f t="shared" si="441"/>
        <v>99.199999999999989</v>
      </c>
      <c r="N626" s="4"/>
      <c r="O626" s="1">
        <f t="shared" si="442"/>
        <v>99</v>
      </c>
      <c r="P626" s="1">
        <f t="shared" si="443"/>
        <v>0</v>
      </c>
      <c r="Q626" s="1" t="str">
        <f t="shared" si="439"/>
        <v/>
      </c>
      <c r="R626" s="1" t="str">
        <f t="shared" si="444"/>
        <v/>
      </c>
      <c r="S626" s="1">
        <f t="shared" si="445"/>
        <v>822.98880000000167</v>
      </c>
      <c r="T626" s="1">
        <f t="shared" si="446"/>
        <v>0.28000000000000003</v>
      </c>
      <c r="U626" s="1">
        <f t="shared" si="447"/>
        <v>1055.99999999994</v>
      </c>
      <c r="V626" s="1">
        <f t="shared" si="448"/>
        <v>295.67999999998324</v>
      </c>
    </row>
    <row r="627" spans="1:22" x14ac:dyDescent="0.25">
      <c r="A627" s="1">
        <v>626</v>
      </c>
      <c r="B627" s="4">
        <v>7500</v>
      </c>
      <c r="C627" s="4">
        <v>99.199999999999989</v>
      </c>
      <c r="D627" s="4">
        <v>99.399999999999991</v>
      </c>
      <c r="E627" s="4">
        <f t="shared" si="440"/>
        <v>0.20000000000000284</v>
      </c>
      <c r="F627" s="4">
        <v>0</v>
      </c>
      <c r="G627" s="4">
        <v>-0.57999999999999996</v>
      </c>
      <c r="H627" s="4">
        <v>79</v>
      </c>
      <c r="I627" s="4"/>
      <c r="J627" s="4">
        <v>50</v>
      </c>
      <c r="K627"/>
      <c r="L627"/>
      <c r="M627" s="4">
        <f t="shared" si="441"/>
        <v>99.399999999999991</v>
      </c>
      <c r="N627" s="4"/>
      <c r="O627" s="1">
        <f t="shared" si="442"/>
        <v>99.199999999999989</v>
      </c>
      <c r="P627" s="1">
        <f t="shared" si="443"/>
        <v>0</v>
      </c>
      <c r="Q627" s="1" t="str">
        <f t="shared" si="439"/>
        <v/>
      </c>
      <c r="R627" s="1" t="str">
        <f t="shared" si="444"/>
        <v/>
      </c>
      <c r="S627" s="1">
        <f t="shared" si="445"/>
        <v>825.94560000000149</v>
      </c>
      <c r="T627" s="1">
        <f t="shared" si="446"/>
        <v>-0.57999999999999996</v>
      </c>
      <c r="U627" s="1">
        <f t="shared" si="447"/>
        <v>1056.000000000015</v>
      </c>
      <c r="V627" s="1">
        <f t="shared" si="448"/>
        <v>612.48000000000866</v>
      </c>
    </row>
    <row r="628" spans="1:22" x14ac:dyDescent="0.25">
      <c r="A628" s="1">
        <v>627</v>
      </c>
      <c r="B628" s="4">
        <v>7500</v>
      </c>
      <c r="C628" s="4">
        <v>99.399999999999991</v>
      </c>
      <c r="D628" s="4">
        <v>99.699999999999989</v>
      </c>
      <c r="E628" s="4">
        <f t="shared" si="440"/>
        <v>0.29999999999999716</v>
      </c>
      <c r="F628" s="4">
        <v>0</v>
      </c>
      <c r="G628" s="4">
        <v>-0.7</v>
      </c>
      <c r="H628" s="4">
        <v>79</v>
      </c>
      <c r="I628" s="4"/>
      <c r="J628" s="4">
        <v>50</v>
      </c>
      <c r="K628"/>
      <c r="L628"/>
      <c r="M628" s="4">
        <f t="shared" si="441"/>
        <v>99.699999999999989</v>
      </c>
      <c r="N628" s="4"/>
      <c r="O628" s="1">
        <f t="shared" si="442"/>
        <v>99.399999999999991</v>
      </c>
      <c r="P628" s="1">
        <f t="shared" si="443"/>
        <v>0</v>
      </c>
      <c r="Q628" s="1" t="str">
        <f t="shared" si="439"/>
        <v/>
      </c>
      <c r="R628" s="1" t="str">
        <f t="shared" si="444"/>
        <v/>
      </c>
      <c r="S628" s="1">
        <f t="shared" si="445"/>
        <v>819.82080000000144</v>
      </c>
      <c r="T628" s="1">
        <f t="shared" si="446"/>
        <v>-0.7</v>
      </c>
      <c r="U628" s="1">
        <f t="shared" si="447"/>
        <v>1583.999999999985</v>
      </c>
      <c r="V628" s="1">
        <f t="shared" si="448"/>
        <v>1108.7999999999895</v>
      </c>
    </row>
    <row r="629" spans="1:22" x14ac:dyDescent="0.25">
      <c r="A629" s="1">
        <v>628</v>
      </c>
      <c r="B629" s="4">
        <v>7500</v>
      </c>
      <c r="C629" s="4">
        <v>99.699999999999989</v>
      </c>
      <c r="D629" s="4">
        <v>99.899999999999991</v>
      </c>
      <c r="E629" s="4">
        <f t="shared" si="440"/>
        <v>0.20000000000000284</v>
      </c>
      <c r="F629" s="4">
        <v>0.5</v>
      </c>
      <c r="G629" s="4">
        <v>-0.7</v>
      </c>
      <c r="H629" s="4">
        <v>79</v>
      </c>
      <c r="I629" s="4"/>
      <c r="J629" s="4">
        <v>50</v>
      </c>
      <c r="K629"/>
      <c r="L629"/>
      <c r="M629" s="4">
        <f t="shared" si="441"/>
        <v>99.899999999999991</v>
      </c>
      <c r="N629" s="4"/>
      <c r="O629" s="1">
        <f t="shared" si="442"/>
        <v>99.699999999999989</v>
      </c>
      <c r="P629" s="1">
        <f t="shared" si="443"/>
        <v>5.2800000000000749</v>
      </c>
      <c r="Q629" s="1" t="str">
        <f t="shared" si="439"/>
        <v/>
      </c>
      <c r="R629" s="1" t="str">
        <f t="shared" si="444"/>
        <v/>
      </c>
      <c r="S629" s="1">
        <f t="shared" si="445"/>
        <v>808.73280000000159</v>
      </c>
      <c r="T629" s="1">
        <f t="shared" si="446"/>
        <v>-0.7</v>
      </c>
      <c r="U629" s="1">
        <f t="shared" si="447"/>
        <v>1056.000000000015</v>
      </c>
      <c r="V629" s="1">
        <f t="shared" si="448"/>
        <v>739.2000000000105</v>
      </c>
    </row>
    <row r="630" spans="1:22" x14ac:dyDescent="0.25">
      <c r="A630" s="1">
        <v>629</v>
      </c>
      <c r="B630" s="4">
        <v>7500</v>
      </c>
      <c r="C630" s="4">
        <v>99.899999999999991</v>
      </c>
      <c r="D630" s="4">
        <v>100</v>
      </c>
      <c r="E630" s="4">
        <f t="shared" si="440"/>
        <v>0.10000000000000853</v>
      </c>
      <c r="F630" s="4">
        <v>0</v>
      </c>
      <c r="G630" s="4">
        <v>-0.7</v>
      </c>
      <c r="H630" s="4">
        <v>79</v>
      </c>
      <c r="I630" s="4"/>
      <c r="J630" s="4">
        <v>50</v>
      </c>
      <c r="K630"/>
      <c r="L630"/>
      <c r="M630" s="4">
        <f t="shared" si="441"/>
        <v>100</v>
      </c>
      <c r="N630" s="4"/>
      <c r="O630" s="1">
        <f t="shared" si="442"/>
        <v>99.899999999999991</v>
      </c>
      <c r="P630" s="1">
        <f t="shared" si="443"/>
        <v>0</v>
      </c>
      <c r="Q630" s="1" t="str">
        <f t="shared" si="439"/>
        <v/>
      </c>
      <c r="R630" s="1" t="str">
        <f t="shared" si="444"/>
        <v/>
      </c>
      <c r="S630" s="1">
        <f t="shared" si="445"/>
        <v>801.34080000000154</v>
      </c>
      <c r="T630" s="1">
        <f t="shared" si="446"/>
        <v>-0.7</v>
      </c>
      <c r="U630" s="1">
        <f t="shared" si="447"/>
        <v>528.00000000004502</v>
      </c>
      <c r="V630" s="1">
        <f t="shared" si="448"/>
        <v>369.60000000003151</v>
      </c>
    </row>
    <row r="631" spans="1:22" x14ac:dyDescent="0.25">
      <c r="A631" s="1">
        <v>630</v>
      </c>
      <c r="B631" s="4">
        <v>7500</v>
      </c>
      <c r="C631" s="4">
        <v>100</v>
      </c>
      <c r="D631" s="4">
        <v>100.3</v>
      </c>
      <c r="E631" s="4">
        <f t="shared" si="440"/>
        <v>0.29999999999999716</v>
      </c>
      <c r="F631" s="4">
        <v>0</v>
      </c>
      <c r="G631" s="4">
        <v>-0.46</v>
      </c>
      <c r="H631" s="4">
        <v>79</v>
      </c>
      <c r="I631" s="4"/>
      <c r="J631" s="4">
        <v>50</v>
      </c>
      <c r="K631"/>
      <c r="L631"/>
      <c r="M631" s="4">
        <f t="shared" si="441"/>
        <v>100.3</v>
      </c>
      <c r="N631" s="4"/>
      <c r="O631" s="1">
        <f t="shared" si="442"/>
        <v>100</v>
      </c>
      <c r="P631" s="1">
        <f t="shared" si="443"/>
        <v>0</v>
      </c>
      <c r="Q631" s="1" t="str">
        <f t="shared" si="439"/>
        <v/>
      </c>
      <c r="R631" s="1" t="str">
        <f t="shared" si="444"/>
        <v/>
      </c>
      <c r="S631" s="1">
        <f t="shared" si="445"/>
        <v>797.64480000000117</v>
      </c>
      <c r="T631" s="1">
        <f t="shared" si="446"/>
        <v>-0.46</v>
      </c>
      <c r="U631" s="1">
        <f t="shared" si="447"/>
        <v>1583.999999999985</v>
      </c>
      <c r="V631" s="1">
        <f t="shared" si="448"/>
        <v>728.63999999999317</v>
      </c>
    </row>
    <row r="632" spans="1:22" x14ac:dyDescent="0.25">
      <c r="A632" s="1">
        <v>631</v>
      </c>
      <c r="B632" s="4">
        <v>7500</v>
      </c>
      <c r="C632" s="4">
        <v>100.3</v>
      </c>
      <c r="D632" s="4">
        <v>100.39999999999999</v>
      </c>
      <c r="E632" s="4">
        <f t="shared" si="440"/>
        <v>9.9999999999994316E-2</v>
      </c>
      <c r="F632" s="4">
        <v>0</v>
      </c>
      <c r="G632" s="4">
        <v>0.56999999999999995</v>
      </c>
      <c r="H632" s="4">
        <v>79</v>
      </c>
      <c r="I632" s="4"/>
      <c r="J632" s="4">
        <v>50</v>
      </c>
      <c r="K632"/>
      <c r="L632"/>
      <c r="M632" s="4">
        <f t="shared" si="441"/>
        <v>100.39999999999999</v>
      </c>
      <c r="N632" s="4"/>
      <c r="O632" s="1">
        <f t="shared" si="442"/>
        <v>100.3</v>
      </c>
      <c r="P632" s="1">
        <f t="shared" si="443"/>
        <v>0</v>
      </c>
      <c r="Q632" s="1" t="str">
        <f t="shared" si="439"/>
        <v/>
      </c>
      <c r="R632" s="1" t="str">
        <f t="shared" si="444"/>
        <v/>
      </c>
      <c r="S632" s="1">
        <f t="shared" si="445"/>
        <v>790.35840000000121</v>
      </c>
      <c r="T632" s="1">
        <f t="shared" si="446"/>
        <v>0.56999999999999995</v>
      </c>
      <c r="U632" s="1">
        <f t="shared" si="447"/>
        <v>527.99999999996999</v>
      </c>
      <c r="V632" s="1">
        <f t="shared" si="448"/>
        <v>300.95999999998287</v>
      </c>
    </row>
    <row r="633" spans="1:22" x14ac:dyDescent="0.25">
      <c r="A633" s="1">
        <v>632</v>
      </c>
      <c r="B633" s="4">
        <v>7500</v>
      </c>
      <c r="C633" s="4">
        <v>100.39999999999999</v>
      </c>
      <c r="D633" s="4">
        <v>100.6</v>
      </c>
      <c r="E633" s="4">
        <f t="shared" si="440"/>
        <v>0.20000000000000284</v>
      </c>
      <c r="F633" s="4">
        <v>0</v>
      </c>
      <c r="G633" s="4">
        <v>0.91</v>
      </c>
      <c r="H633" s="4">
        <v>79</v>
      </c>
      <c r="I633" s="4"/>
      <c r="J633" s="4">
        <v>50</v>
      </c>
      <c r="K633"/>
      <c r="L633"/>
      <c r="M633" s="4">
        <f t="shared" si="441"/>
        <v>100.6</v>
      </c>
      <c r="N633" s="4"/>
      <c r="O633" s="1">
        <f t="shared" si="442"/>
        <v>100.39999999999999</v>
      </c>
      <c r="P633" s="1">
        <f t="shared" si="443"/>
        <v>0</v>
      </c>
      <c r="Q633" s="1" t="str">
        <f t="shared" si="439"/>
        <v/>
      </c>
      <c r="R633" s="1" t="str">
        <f t="shared" si="444"/>
        <v/>
      </c>
      <c r="S633" s="1">
        <f t="shared" si="445"/>
        <v>793.36800000000108</v>
      </c>
      <c r="T633" s="1">
        <f t="shared" si="446"/>
        <v>0.91</v>
      </c>
      <c r="U633" s="1">
        <f t="shared" si="447"/>
        <v>1056.000000000015</v>
      </c>
      <c r="V633" s="1">
        <f t="shared" si="448"/>
        <v>960.96000000001368</v>
      </c>
    </row>
    <row r="634" spans="1:22" x14ac:dyDescent="0.25">
      <c r="A634" s="1">
        <v>633</v>
      </c>
      <c r="B634" s="4">
        <v>7500</v>
      </c>
      <c r="C634" s="4">
        <v>100.6</v>
      </c>
      <c r="D634" s="4">
        <v>100.69999999999999</v>
      </c>
      <c r="E634" s="4">
        <f t="shared" si="440"/>
        <v>9.9999999999994316E-2</v>
      </c>
      <c r="F634" s="4">
        <v>0</v>
      </c>
      <c r="G634" s="4">
        <v>0.65</v>
      </c>
      <c r="H634" s="4">
        <v>79</v>
      </c>
      <c r="I634" s="4"/>
      <c r="J634" s="4">
        <v>50</v>
      </c>
      <c r="K634"/>
      <c r="L634"/>
      <c r="M634" s="4">
        <f t="shared" si="441"/>
        <v>100.69999999999999</v>
      </c>
      <c r="N634" s="4"/>
      <c r="O634" s="1">
        <f t="shared" si="442"/>
        <v>100.6</v>
      </c>
      <c r="P634" s="1">
        <f t="shared" si="443"/>
        <v>0</v>
      </c>
      <c r="Q634" s="1" t="str">
        <f t="shared" si="439"/>
        <v/>
      </c>
      <c r="R634" s="1" t="str">
        <f t="shared" si="444"/>
        <v/>
      </c>
      <c r="S634" s="1">
        <f t="shared" si="445"/>
        <v>802.97760000000119</v>
      </c>
      <c r="T634" s="1">
        <f t="shared" si="446"/>
        <v>0.65</v>
      </c>
      <c r="U634" s="1">
        <f t="shared" si="447"/>
        <v>527.99999999996999</v>
      </c>
      <c r="V634" s="1">
        <f t="shared" si="448"/>
        <v>343.19999999998049</v>
      </c>
    </row>
    <row r="635" spans="1:22" x14ac:dyDescent="0.25">
      <c r="A635" s="1">
        <v>634</v>
      </c>
      <c r="B635" s="4">
        <v>7500</v>
      </c>
      <c r="C635" s="4">
        <v>100.69999999999999</v>
      </c>
      <c r="D635" s="4">
        <v>100.8</v>
      </c>
      <c r="E635" s="4">
        <f t="shared" si="440"/>
        <v>0.10000000000000853</v>
      </c>
      <c r="F635" s="4">
        <v>0</v>
      </c>
      <c r="G635" s="4">
        <v>0.14000000000000001</v>
      </c>
      <c r="H635" s="4">
        <v>79</v>
      </c>
      <c r="I635" s="4"/>
      <c r="J635" s="4">
        <v>50</v>
      </c>
      <c r="K635"/>
      <c r="L635"/>
      <c r="M635" s="4">
        <f t="shared" si="441"/>
        <v>100.8</v>
      </c>
      <c r="N635" s="4"/>
      <c r="O635" s="1">
        <f t="shared" si="442"/>
        <v>100.69999999999999</v>
      </c>
      <c r="P635" s="1">
        <f t="shared" si="443"/>
        <v>0</v>
      </c>
      <c r="Q635" s="1" t="str">
        <f t="shared" si="439"/>
        <v/>
      </c>
      <c r="R635" s="1" t="str">
        <f t="shared" si="444"/>
        <v/>
      </c>
      <c r="S635" s="1">
        <f t="shared" si="445"/>
        <v>806.40960000000098</v>
      </c>
      <c r="T635" s="1">
        <f t="shared" si="446"/>
        <v>0.14000000000000001</v>
      </c>
      <c r="U635" s="1">
        <f t="shared" si="447"/>
        <v>528.00000000004502</v>
      </c>
      <c r="V635" s="1">
        <f t="shared" si="448"/>
        <v>73.920000000006311</v>
      </c>
    </row>
    <row r="636" spans="1:22" x14ac:dyDescent="0.25">
      <c r="A636" s="1">
        <v>635</v>
      </c>
      <c r="B636" s="4">
        <v>7500</v>
      </c>
      <c r="C636" s="4">
        <v>100.8</v>
      </c>
      <c r="D636" s="4">
        <v>100.89999999999999</v>
      </c>
      <c r="E636" s="4">
        <f t="shared" si="440"/>
        <v>9.9999999999994316E-2</v>
      </c>
      <c r="F636" s="4">
        <v>0</v>
      </c>
      <c r="G636" s="4">
        <v>-0.12</v>
      </c>
      <c r="H636" s="4">
        <v>79</v>
      </c>
      <c r="I636" s="4"/>
      <c r="J636" s="4">
        <v>50</v>
      </c>
      <c r="K636"/>
      <c r="L636"/>
      <c r="M636" s="4">
        <f t="shared" si="441"/>
        <v>100.89999999999999</v>
      </c>
      <c r="N636" s="4"/>
      <c r="O636" s="1">
        <f t="shared" si="442"/>
        <v>100.8</v>
      </c>
      <c r="P636" s="1">
        <f t="shared" si="443"/>
        <v>0</v>
      </c>
      <c r="Q636" s="1" t="str">
        <f t="shared" si="439"/>
        <v/>
      </c>
      <c r="R636" s="1" t="str">
        <f t="shared" si="444"/>
        <v/>
      </c>
      <c r="S636" s="1">
        <f t="shared" si="445"/>
        <v>807.14880000000107</v>
      </c>
      <c r="T636" s="1">
        <f t="shared" si="446"/>
        <v>-0.12</v>
      </c>
      <c r="U636" s="1">
        <f t="shared" si="447"/>
        <v>527.99999999996999</v>
      </c>
      <c r="V636" s="1">
        <f t="shared" si="448"/>
        <v>63.359999999996397</v>
      </c>
    </row>
    <row r="637" spans="1:22" x14ac:dyDescent="0.25">
      <c r="A637" s="1">
        <v>636</v>
      </c>
      <c r="B637" s="4">
        <v>7500</v>
      </c>
      <c r="C637" s="4">
        <v>100.89999999999999</v>
      </c>
      <c r="D637" s="4">
        <v>101</v>
      </c>
      <c r="E637" s="4">
        <f t="shared" si="440"/>
        <v>0.10000000000000853</v>
      </c>
      <c r="F637" s="4">
        <v>0.5</v>
      </c>
      <c r="G637" s="4">
        <v>-0.12</v>
      </c>
      <c r="H637" s="4">
        <v>79</v>
      </c>
      <c r="I637" s="4"/>
      <c r="J637" s="4">
        <v>50</v>
      </c>
      <c r="K637"/>
      <c r="L637"/>
      <c r="M637" s="4">
        <f t="shared" si="441"/>
        <v>101</v>
      </c>
      <c r="N637" s="4"/>
      <c r="O637" s="1">
        <f t="shared" si="442"/>
        <v>100.89999999999999</v>
      </c>
      <c r="P637" s="1">
        <f t="shared" si="443"/>
        <v>2.6400000000002248</v>
      </c>
      <c r="Q637" s="1" t="str">
        <f t="shared" si="439"/>
        <v/>
      </c>
      <c r="R637" s="1" t="str">
        <f t="shared" si="444"/>
        <v/>
      </c>
      <c r="S637" s="1">
        <f t="shared" si="445"/>
        <v>806.51520000000107</v>
      </c>
      <c r="T637" s="1">
        <f t="shared" si="446"/>
        <v>-0.12</v>
      </c>
      <c r="U637" s="1">
        <f t="shared" si="447"/>
        <v>528.00000000004502</v>
      </c>
      <c r="V637" s="1">
        <f t="shared" si="448"/>
        <v>63.3600000000054</v>
      </c>
    </row>
    <row r="638" spans="1:22" x14ac:dyDescent="0.25">
      <c r="A638" s="1">
        <v>637</v>
      </c>
      <c r="B638" s="4">
        <v>7500</v>
      </c>
      <c r="C638" s="4">
        <v>101</v>
      </c>
      <c r="D638" s="4">
        <v>101.1</v>
      </c>
      <c r="E638" s="4">
        <f t="shared" si="440"/>
        <v>9.9999999999994316E-2</v>
      </c>
      <c r="F638" s="4">
        <v>0</v>
      </c>
      <c r="G638" s="4">
        <v>-0.34</v>
      </c>
      <c r="H638" s="4">
        <v>79</v>
      </c>
      <c r="I638" s="4"/>
      <c r="J638" s="4">
        <v>50</v>
      </c>
      <c r="K638"/>
      <c r="L638"/>
      <c r="M638" s="4">
        <f t="shared" si="441"/>
        <v>101.1</v>
      </c>
      <c r="N638" s="4" t="s">
        <v>57</v>
      </c>
      <c r="O638" s="1">
        <f t="shared" si="442"/>
        <v>101</v>
      </c>
      <c r="P638" s="1">
        <f t="shared" si="443"/>
        <v>0</v>
      </c>
      <c r="Q638" s="1" t="str">
        <f t="shared" si="439"/>
        <v/>
      </c>
      <c r="R638" s="1" t="str">
        <f t="shared" si="444"/>
        <v/>
      </c>
      <c r="S638" s="1">
        <f t="shared" si="445"/>
        <v>805.88160000000107</v>
      </c>
      <c r="T638" s="1">
        <f t="shared" si="446"/>
        <v>-0.34</v>
      </c>
      <c r="U638" s="1">
        <f t="shared" si="447"/>
        <v>527.99999999996999</v>
      </c>
      <c r="V638" s="1">
        <f t="shared" si="448"/>
        <v>179.51999999998981</v>
      </c>
    </row>
    <row r="639" spans="1:22" x14ac:dyDescent="0.25">
      <c r="A639" s="1">
        <v>638</v>
      </c>
      <c r="B639" s="4">
        <v>7500</v>
      </c>
      <c r="C639" s="4">
        <v>101.1</v>
      </c>
      <c r="D639" s="4">
        <v>101.19999999999999</v>
      </c>
      <c r="E639" s="4">
        <f t="shared" si="440"/>
        <v>9.9999999999994316E-2</v>
      </c>
      <c r="F639" s="4">
        <v>0</v>
      </c>
      <c r="G639" s="4">
        <v>-0.16</v>
      </c>
      <c r="H639" s="4">
        <v>79</v>
      </c>
      <c r="I639" s="4"/>
      <c r="J639" s="4">
        <v>50</v>
      </c>
      <c r="K639"/>
      <c r="L639"/>
      <c r="M639" s="4">
        <f t="shared" si="441"/>
        <v>101.19999999999999</v>
      </c>
      <c r="N639" s="4"/>
      <c r="O639" s="1">
        <f t="shared" si="442"/>
        <v>101.1</v>
      </c>
      <c r="P639" s="1">
        <f t="shared" si="443"/>
        <v>0</v>
      </c>
      <c r="Q639" s="1" t="str">
        <f t="shared" si="439"/>
        <v/>
      </c>
      <c r="R639" s="1" t="str">
        <f t="shared" si="444"/>
        <v/>
      </c>
      <c r="S639" s="1">
        <f t="shared" si="445"/>
        <v>804.08640000000116</v>
      </c>
      <c r="T639" s="1">
        <f t="shared" si="446"/>
        <v>-0.16</v>
      </c>
      <c r="U639" s="1">
        <f t="shared" si="447"/>
        <v>527.99999999996999</v>
      </c>
      <c r="V639" s="1">
        <f t="shared" si="448"/>
        <v>84.479999999995201</v>
      </c>
    </row>
    <row r="640" spans="1:22" x14ac:dyDescent="0.25">
      <c r="A640" s="1">
        <v>639</v>
      </c>
      <c r="B640" s="4">
        <v>7500</v>
      </c>
      <c r="C640" s="4">
        <v>101.19999999999999</v>
      </c>
      <c r="D640" s="4">
        <v>101.3</v>
      </c>
      <c r="E640" s="4">
        <f t="shared" si="440"/>
        <v>0.10000000000000853</v>
      </c>
      <c r="F640" s="4">
        <v>0</v>
      </c>
      <c r="G640" s="4">
        <v>0.24</v>
      </c>
      <c r="H640" s="4">
        <v>79</v>
      </c>
      <c r="I640" s="4"/>
      <c r="J640" s="4">
        <v>50</v>
      </c>
      <c r="K640"/>
      <c r="L640"/>
      <c r="M640" s="4">
        <f t="shared" si="441"/>
        <v>101.3</v>
      </c>
      <c r="N640" s="4"/>
      <c r="O640" s="1">
        <f t="shared" si="442"/>
        <v>101.19999999999999</v>
      </c>
      <c r="P640" s="1">
        <f t="shared" si="443"/>
        <v>0</v>
      </c>
      <c r="Q640" s="1" t="str">
        <f t="shared" si="439"/>
        <v/>
      </c>
      <c r="R640" s="1" t="str">
        <f t="shared" si="444"/>
        <v/>
      </c>
      <c r="S640" s="1">
        <f t="shared" si="445"/>
        <v>803.2416000000012</v>
      </c>
      <c r="T640" s="1">
        <f t="shared" si="446"/>
        <v>0.24</v>
      </c>
      <c r="U640" s="1">
        <f t="shared" si="447"/>
        <v>528.00000000004502</v>
      </c>
      <c r="V640" s="1">
        <f t="shared" si="448"/>
        <v>126.7200000000108</v>
      </c>
    </row>
    <row r="641" spans="1:22" x14ac:dyDescent="0.25">
      <c r="A641" s="1">
        <v>640</v>
      </c>
      <c r="B641" s="4">
        <v>7500</v>
      </c>
      <c r="C641" s="4">
        <v>101.3</v>
      </c>
      <c r="D641" s="4">
        <v>101.39999999999999</v>
      </c>
      <c r="E641" s="4">
        <f t="shared" si="440"/>
        <v>9.9999999999994316E-2</v>
      </c>
      <c r="F641" s="4">
        <v>0</v>
      </c>
      <c r="G641" s="4">
        <v>0.11</v>
      </c>
      <c r="H641" s="4">
        <v>79</v>
      </c>
      <c r="I641" s="4"/>
      <c r="J641" s="4">
        <v>50</v>
      </c>
      <c r="K641"/>
      <c r="L641"/>
      <c r="M641" s="4">
        <f t="shared" si="441"/>
        <v>101.39999999999999</v>
      </c>
      <c r="N641" s="4"/>
      <c r="O641" s="1">
        <f t="shared" si="442"/>
        <v>101.3</v>
      </c>
      <c r="P641" s="1">
        <f t="shared" si="443"/>
        <v>0</v>
      </c>
      <c r="Q641" s="1" t="str">
        <f t="shared" si="439"/>
        <v/>
      </c>
      <c r="R641" s="1" t="str">
        <f t="shared" si="444"/>
        <v/>
      </c>
      <c r="S641" s="1">
        <f t="shared" si="445"/>
        <v>804.50880000000132</v>
      </c>
      <c r="T641" s="1">
        <f t="shared" si="446"/>
        <v>0.11</v>
      </c>
      <c r="U641" s="1">
        <f t="shared" si="447"/>
        <v>527.99999999996999</v>
      </c>
      <c r="V641" s="1">
        <f t="shared" si="448"/>
        <v>58.079999999996701</v>
      </c>
    </row>
    <row r="642" spans="1:22" x14ac:dyDescent="0.25">
      <c r="A642" s="1">
        <v>641</v>
      </c>
      <c r="B642" s="4">
        <v>7500</v>
      </c>
      <c r="C642" s="4">
        <v>101.39999999999999</v>
      </c>
      <c r="D642" s="4">
        <v>101.5</v>
      </c>
      <c r="E642" s="4">
        <f t="shared" si="440"/>
        <v>0.10000000000000853</v>
      </c>
      <c r="F642" s="4">
        <v>0</v>
      </c>
      <c r="G642" s="4">
        <v>-0.51</v>
      </c>
      <c r="H642" s="4">
        <v>79</v>
      </c>
      <c r="I642" s="4"/>
      <c r="J642" s="4">
        <v>50</v>
      </c>
      <c r="K642"/>
      <c r="L642"/>
      <c r="M642" s="4">
        <f t="shared" si="441"/>
        <v>101.5</v>
      </c>
      <c r="N642" s="4"/>
      <c r="O642" s="1">
        <f t="shared" si="442"/>
        <v>101.39999999999999</v>
      </c>
      <c r="P642" s="1">
        <f t="shared" si="443"/>
        <v>0</v>
      </c>
      <c r="Q642" s="1" t="str">
        <f t="shared" si="439"/>
        <v/>
      </c>
      <c r="R642" s="1" t="str">
        <f t="shared" si="444"/>
        <v/>
      </c>
      <c r="S642" s="1">
        <f t="shared" si="445"/>
        <v>805.08960000000127</v>
      </c>
      <c r="T642" s="1">
        <f t="shared" si="446"/>
        <v>-0.51</v>
      </c>
      <c r="U642" s="1">
        <f t="shared" si="447"/>
        <v>528.00000000004502</v>
      </c>
      <c r="V642" s="1">
        <f t="shared" si="448"/>
        <v>269.28000000002294</v>
      </c>
    </row>
    <row r="643" spans="1:22" x14ac:dyDescent="0.25">
      <c r="A643" s="1">
        <v>642</v>
      </c>
      <c r="B643" s="4">
        <v>7500</v>
      </c>
      <c r="C643" s="4">
        <v>101.5</v>
      </c>
      <c r="D643" s="4">
        <v>101.6</v>
      </c>
      <c r="E643" s="4">
        <f t="shared" si="440"/>
        <v>9.9999999999994316E-2</v>
      </c>
      <c r="F643" s="4">
        <v>0</v>
      </c>
      <c r="G643" s="4">
        <v>-0.77</v>
      </c>
      <c r="H643" s="4">
        <v>79</v>
      </c>
      <c r="I643" s="4"/>
      <c r="J643" s="4">
        <v>50</v>
      </c>
      <c r="K643"/>
      <c r="L643"/>
      <c r="M643" s="4">
        <f t="shared" si="441"/>
        <v>101.6</v>
      </c>
      <c r="N643" s="4"/>
      <c r="O643" s="1">
        <f t="shared" si="442"/>
        <v>101.5</v>
      </c>
      <c r="P643" s="1">
        <f t="shared" si="443"/>
        <v>0</v>
      </c>
      <c r="Q643" s="1" t="str">
        <f t="shared" ref="Q643:Q706" si="449">IF(H643&lt;&gt;"",IF(H643=H642,"",H643),IF(H641="","",MAX(H642,Q642)))</f>
        <v/>
      </c>
      <c r="R643" s="1" t="str">
        <f t="shared" si="444"/>
        <v/>
      </c>
      <c r="S643" s="1">
        <f t="shared" si="445"/>
        <v>802.39680000000101</v>
      </c>
      <c r="T643" s="1">
        <f t="shared" si="446"/>
        <v>-0.77</v>
      </c>
      <c r="U643" s="1">
        <f t="shared" si="447"/>
        <v>527.99999999996999</v>
      </c>
      <c r="V643" s="1">
        <f t="shared" si="448"/>
        <v>406.55999999997692</v>
      </c>
    </row>
    <row r="644" spans="1:22" x14ac:dyDescent="0.25">
      <c r="A644" s="1">
        <v>643</v>
      </c>
      <c r="B644" s="4">
        <v>7500</v>
      </c>
      <c r="C644" s="4">
        <v>101.6</v>
      </c>
      <c r="D644" s="4">
        <v>101.69999999999999</v>
      </c>
      <c r="E644" s="4">
        <f t="shared" si="440"/>
        <v>9.9999999999994316E-2</v>
      </c>
      <c r="F644" s="4">
        <v>0</v>
      </c>
      <c r="G644" s="4">
        <v>-0.68</v>
      </c>
      <c r="H644" s="4">
        <v>79</v>
      </c>
      <c r="I644" s="4"/>
      <c r="J644" s="4">
        <v>50</v>
      </c>
      <c r="K644"/>
      <c r="L644"/>
      <c r="M644" s="4">
        <f t="shared" si="441"/>
        <v>101.69999999999999</v>
      </c>
      <c r="N644" s="4"/>
      <c r="O644" s="1">
        <f t="shared" si="442"/>
        <v>101.6</v>
      </c>
      <c r="P644" s="1">
        <f t="shared" si="443"/>
        <v>0</v>
      </c>
      <c r="Q644" s="1" t="str">
        <f t="shared" si="449"/>
        <v/>
      </c>
      <c r="R644" s="1" t="str">
        <f t="shared" si="444"/>
        <v/>
      </c>
      <c r="S644" s="1">
        <f t="shared" si="445"/>
        <v>798.33120000000122</v>
      </c>
      <c r="T644" s="1">
        <f t="shared" si="446"/>
        <v>-0.68</v>
      </c>
      <c r="U644" s="1">
        <f t="shared" si="447"/>
        <v>527.99999999996999</v>
      </c>
      <c r="V644" s="1">
        <f t="shared" si="448"/>
        <v>359.03999999997961</v>
      </c>
    </row>
    <row r="645" spans="1:22" x14ac:dyDescent="0.25">
      <c r="A645" s="1">
        <v>644</v>
      </c>
      <c r="B645" s="4">
        <v>7500</v>
      </c>
      <c r="C645" s="4">
        <v>101.69999999999999</v>
      </c>
      <c r="D645" s="4">
        <v>101.8</v>
      </c>
      <c r="E645" s="4">
        <f t="shared" si="440"/>
        <v>0.10000000000000853</v>
      </c>
      <c r="F645" s="4">
        <v>0</v>
      </c>
      <c r="G645" s="4">
        <v>-0.63</v>
      </c>
      <c r="H645" s="4">
        <v>79</v>
      </c>
      <c r="I645" s="4"/>
      <c r="J645" s="4">
        <v>50</v>
      </c>
      <c r="K645"/>
      <c r="L645"/>
      <c r="M645" s="4">
        <f t="shared" si="441"/>
        <v>101.8</v>
      </c>
      <c r="N645" s="4"/>
      <c r="O645" s="1">
        <f t="shared" si="442"/>
        <v>101.69999999999999</v>
      </c>
      <c r="P645" s="1">
        <f t="shared" si="443"/>
        <v>0</v>
      </c>
      <c r="Q645" s="1" t="str">
        <f t="shared" si="449"/>
        <v/>
      </c>
      <c r="R645" s="1" t="str">
        <f t="shared" si="444"/>
        <v/>
      </c>
      <c r="S645" s="1">
        <f t="shared" si="445"/>
        <v>794.7408000000014</v>
      </c>
      <c r="T645" s="1">
        <f t="shared" si="446"/>
        <v>-0.63</v>
      </c>
      <c r="U645" s="1">
        <f t="shared" si="447"/>
        <v>528.00000000004502</v>
      </c>
      <c r="V645" s="1">
        <f t="shared" si="448"/>
        <v>332.64000000002835</v>
      </c>
    </row>
    <row r="646" spans="1:22" x14ac:dyDescent="0.25">
      <c r="A646" s="1">
        <v>645</v>
      </c>
      <c r="B646" s="4">
        <v>7500</v>
      </c>
      <c r="C646" s="4">
        <v>101.8</v>
      </c>
      <c r="D646" s="4">
        <v>101.89999999999999</v>
      </c>
      <c r="E646" s="4">
        <f t="shared" si="440"/>
        <v>9.9999999999994316E-2</v>
      </c>
      <c r="F646" s="4">
        <v>0</v>
      </c>
      <c r="G646" s="4">
        <v>-0.57999999999999996</v>
      </c>
      <c r="H646" s="4">
        <v>79</v>
      </c>
      <c r="I646" s="4"/>
      <c r="J646" s="4">
        <v>50</v>
      </c>
      <c r="K646"/>
      <c r="L646"/>
      <c r="M646" s="4">
        <f t="shared" si="441"/>
        <v>101.89999999999999</v>
      </c>
      <c r="N646" s="4"/>
      <c r="O646" s="1">
        <f t="shared" si="442"/>
        <v>101.8</v>
      </c>
      <c r="P646" s="1">
        <f t="shared" si="443"/>
        <v>0</v>
      </c>
      <c r="Q646" s="1" t="str">
        <f t="shared" si="449"/>
        <v/>
      </c>
      <c r="R646" s="1" t="str">
        <f t="shared" si="444"/>
        <v/>
      </c>
      <c r="S646" s="1">
        <f t="shared" si="445"/>
        <v>791.41440000000114</v>
      </c>
      <c r="T646" s="1">
        <f t="shared" si="446"/>
        <v>-0.57999999999999996</v>
      </c>
      <c r="U646" s="1">
        <f t="shared" si="447"/>
        <v>527.99999999996999</v>
      </c>
      <c r="V646" s="1">
        <f t="shared" si="448"/>
        <v>306.23999999998256</v>
      </c>
    </row>
    <row r="647" spans="1:22" x14ac:dyDescent="0.25">
      <c r="A647" s="1">
        <v>646</v>
      </c>
      <c r="B647" s="4">
        <v>7500</v>
      </c>
      <c r="C647" s="4">
        <v>101.89999999999999</v>
      </c>
      <c r="D647" s="4">
        <v>102</v>
      </c>
      <c r="E647" s="4">
        <f t="shared" si="440"/>
        <v>0.10000000000000853</v>
      </c>
      <c r="F647" s="4">
        <v>0</v>
      </c>
      <c r="G647" s="4">
        <v>-0.48</v>
      </c>
      <c r="H647" s="4">
        <v>79</v>
      </c>
      <c r="I647" s="4"/>
      <c r="J647" s="4">
        <v>50</v>
      </c>
      <c r="K647"/>
      <c r="L647"/>
      <c r="M647" s="4">
        <f t="shared" si="441"/>
        <v>102</v>
      </c>
      <c r="N647" s="4"/>
      <c r="O647" s="1">
        <f t="shared" si="442"/>
        <v>101.89999999999999</v>
      </c>
      <c r="P647" s="1">
        <f t="shared" si="443"/>
        <v>0</v>
      </c>
      <c r="Q647" s="1" t="str">
        <f t="shared" si="449"/>
        <v/>
      </c>
      <c r="R647" s="1" t="str">
        <f t="shared" si="444"/>
        <v/>
      </c>
      <c r="S647" s="1">
        <f t="shared" si="445"/>
        <v>788.35200000000134</v>
      </c>
      <c r="T647" s="1">
        <f t="shared" si="446"/>
        <v>-0.48</v>
      </c>
      <c r="U647" s="1">
        <f t="shared" si="447"/>
        <v>528.00000000004502</v>
      </c>
      <c r="V647" s="1">
        <f t="shared" si="448"/>
        <v>253.4400000000216</v>
      </c>
    </row>
    <row r="648" spans="1:22" x14ac:dyDescent="0.25">
      <c r="A648" s="1">
        <v>647</v>
      </c>
      <c r="B648" s="4">
        <v>7500</v>
      </c>
      <c r="C648" s="4">
        <v>102</v>
      </c>
      <c r="D648" s="4">
        <v>102.1</v>
      </c>
      <c r="E648" s="4">
        <f t="shared" ref="E648:E711" si="450">D648-C648</f>
        <v>9.9999999999994316E-2</v>
      </c>
      <c r="F648" s="4">
        <v>0</v>
      </c>
      <c r="G648" s="4">
        <v>-0.43</v>
      </c>
      <c r="H648" s="4">
        <v>79</v>
      </c>
      <c r="I648" s="4"/>
      <c r="J648" s="4">
        <v>50</v>
      </c>
      <c r="K648"/>
      <c r="L648"/>
      <c r="M648" s="4">
        <f t="shared" ref="M648:M711" si="451">E648+M647</f>
        <v>102.1</v>
      </c>
      <c r="N648" s="4"/>
      <c r="O648" s="1">
        <f t="shared" ref="O648:O711" si="452">E647+O647</f>
        <v>102</v>
      </c>
      <c r="P648" s="1">
        <f t="shared" ref="P648:P711" si="453">F648*52.8*E648</f>
        <v>0</v>
      </c>
      <c r="Q648" s="1" t="str">
        <f t="shared" si="449"/>
        <v/>
      </c>
      <c r="R648" s="1" t="str">
        <f t="shared" ref="R648:R711" si="454">IF(I648="",Q648,IF(AND(H648=H647,I648=I647),"",I648))</f>
        <v/>
      </c>
      <c r="S648" s="1">
        <f t="shared" ref="S648:S711" si="455">S647+U647*T647/100</f>
        <v>785.81760000000111</v>
      </c>
      <c r="T648" s="1">
        <f t="shared" ref="T648:T711" si="456">IF(G648="UNK",0,G648)</f>
        <v>-0.43</v>
      </c>
      <c r="U648" s="1">
        <f t="shared" ref="U648:U711" si="457">E648*5280</f>
        <v>527.99999999996999</v>
      </c>
      <c r="V648" s="1">
        <f t="shared" ref="V648:V711" si="458">ABS(T648*U648)</f>
        <v>227.03999999998709</v>
      </c>
    </row>
    <row r="649" spans="1:22" x14ac:dyDescent="0.25">
      <c r="A649" s="1">
        <v>648</v>
      </c>
      <c r="B649" s="4">
        <v>7500</v>
      </c>
      <c r="C649" s="4">
        <v>102.1</v>
      </c>
      <c r="D649" s="4">
        <v>102.19999999999999</v>
      </c>
      <c r="E649" s="4">
        <f t="shared" si="450"/>
        <v>9.9999999999994316E-2</v>
      </c>
      <c r="F649" s="4">
        <v>0.3</v>
      </c>
      <c r="G649" s="4">
        <v>-0.13</v>
      </c>
      <c r="H649" s="4">
        <v>79</v>
      </c>
      <c r="I649" s="4"/>
      <c r="J649" s="4">
        <v>50</v>
      </c>
      <c r="K649"/>
      <c r="L649"/>
      <c r="M649" s="4">
        <f t="shared" si="451"/>
        <v>102.19999999999999</v>
      </c>
      <c r="N649" s="4"/>
      <c r="O649" s="1">
        <f t="shared" si="452"/>
        <v>102.1</v>
      </c>
      <c r="P649" s="1">
        <f t="shared" si="453"/>
        <v>1.5839999999999097</v>
      </c>
      <c r="Q649" s="1" t="str">
        <f t="shared" si="449"/>
        <v/>
      </c>
      <c r="R649" s="1" t="str">
        <f t="shared" si="454"/>
        <v/>
      </c>
      <c r="S649" s="1">
        <f t="shared" si="455"/>
        <v>783.54720000000123</v>
      </c>
      <c r="T649" s="1">
        <f t="shared" si="456"/>
        <v>-0.13</v>
      </c>
      <c r="U649" s="1">
        <f t="shared" si="457"/>
        <v>527.99999999996999</v>
      </c>
      <c r="V649" s="1">
        <f t="shared" si="458"/>
        <v>68.639999999996107</v>
      </c>
    </row>
    <row r="650" spans="1:22" x14ac:dyDescent="0.25">
      <c r="A650" s="1">
        <v>649</v>
      </c>
      <c r="B650" s="4">
        <v>7500</v>
      </c>
      <c r="C650" s="4">
        <v>102.19999999999999</v>
      </c>
      <c r="D650" s="4">
        <v>102.3</v>
      </c>
      <c r="E650" s="4">
        <f t="shared" si="450"/>
        <v>0.10000000000000853</v>
      </c>
      <c r="F650" s="4">
        <v>0.3</v>
      </c>
      <c r="G650" s="4">
        <v>0.46</v>
      </c>
      <c r="H650" s="4">
        <v>79</v>
      </c>
      <c r="I650" s="4"/>
      <c r="J650" s="4">
        <v>50</v>
      </c>
      <c r="K650"/>
      <c r="L650"/>
      <c r="M650" s="4">
        <f t="shared" si="451"/>
        <v>102.3</v>
      </c>
      <c r="N650" s="4"/>
      <c r="O650" s="1">
        <f t="shared" si="452"/>
        <v>102.19999999999999</v>
      </c>
      <c r="P650" s="1">
        <f t="shared" si="453"/>
        <v>1.5840000000001349</v>
      </c>
      <c r="Q650" s="1" t="str">
        <f t="shared" si="449"/>
        <v/>
      </c>
      <c r="R650" s="1" t="str">
        <f t="shared" si="454"/>
        <v/>
      </c>
      <c r="S650" s="1">
        <f t="shared" si="455"/>
        <v>782.86080000000129</v>
      </c>
      <c r="T650" s="1">
        <f t="shared" si="456"/>
        <v>0.46</v>
      </c>
      <c r="U650" s="1">
        <f t="shared" si="457"/>
        <v>528.00000000004502</v>
      </c>
      <c r="V650" s="1">
        <f t="shared" si="458"/>
        <v>242.88000000002071</v>
      </c>
    </row>
    <row r="651" spans="1:22" x14ac:dyDescent="0.25">
      <c r="A651" s="1">
        <v>650</v>
      </c>
      <c r="B651" s="4">
        <v>7500</v>
      </c>
      <c r="C651" s="4">
        <v>102.3</v>
      </c>
      <c r="D651" s="4">
        <v>102.6</v>
      </c>
      <c r="E651" s="4">
        <f t="shared" si="450"/>
        <v>0.29999999999999716</v>
      </c>
      <c r="F651" s="4">
        <v>0.3</v>
      </c>
      <c r="G651" s="4">
        <v>0.76</v>
      </c>
      <c r="H651" s="4">
        <v>79</v>
      </c>
      <c r="I651" s="4"/>
      <c r="J651" s="4">
        <v>50</v>
      </c>
      <c r="K651"/>
      <c r="L651"/>
      <c r="M651" s="4">
        <f t="shared" si="451"/>
        <v>102.6</v>
      </c>
      <c r="N651" s="4"/>
      <c r="O651" s="1">
        <f t="shared" si="452"/>
        <v>102.3</v>
      </c>
      <c r="P651" s="1">
        <f t="shared" si="453"/>
        <v>4.7519999999999545</v>
      </c>
      <c r="Q651" s="1" t="str">
        <f t="shared" si="449"/>
        <v/>
      </c>
      <c r="R651" s="1" t="str">
        <f t="shared" si="454"/>
        <v/>
      </c>
      <c r="S651" s="1">
        <f t="shared" si="455"/>
        <v>785.28960000000154</v>
      </c>
      <c r="T651" s="1">
        <f t="shared" si="456"/>
        <v>0.76</v>
      </c>
      <c r="U651" s="1">
        <f t="shared" si="457"/>
        <v>1583.999999999985</v>
      </c>
      <c r="V651" s="1">
        <f t="shared" si="458"/>
        <v>1203.8399999999885</v>
      </c>
    </row>
    <row r="652" spans="1:22" x14ac:dyDescent="0.25">
      <c r="A652" s="1">
        <v>651</v>
      </c>
      <c r="B652" s="4">
        <v>7500</v>
      </c>
      <c r="C652" s="4">
        <v>102.6</v>
      </c>
      <c r="D652" s="4">
        <v>102.69999999999999</v>
      </c>
      <c r="E652" s="4">
        <f t="shared" si="450"/>
        <v>9.9999999999994316E-2</v>
      </c>
      <c r="F652" s="4">
        <v>0.3</v>
      </c>
      <c r="G652" s="4">
        <v>0.45</v>
      </c>
      <c r="H652" s="4">
        <v>79</v>
      </c>
      <c r="I652" s="4"/>
      <c r="J652" s="4">
        <v>50</v>
      </c>
      <c r="K652"/>
      <c r="L652"/>
      <c r="M652" s="4">
        <f t="shared" si="451"/>
        <v>102.69999999999999</v>
      </c>
      <c r="N652" s="4"/>
      <c r="O652" s="1">
        <f t="shared" si="452"/>
        <v>102.6</v>
      </c>
      <c r="P652" s="1">
        <f t="shared" si="453"/>
        <v>1.5839999999999097</v>
      </c>
      <c r="Q652" s="1" t="str">
        <f t="shared" si="449"/>
        <v/>
      </c>
      <c r="R652" s="1" t="str">
        <f t="shared" si="454"/>
        <v/>
      </c>
      <c r="S652" s="1">
        <f t="shared" si="455"/>
        <v>797.32800000000145</v>
      </c>
      <c r="T652" s="1">
        <f t="shared" si="456"/>
        <v>0.45</v>
      </c>
      <c r="U652" s="1">
        <f t="shared" si="457"/>
        <v>527.99999999996999</v>
      </c>
      <c r="V652" s="1">
        <f t="shared" si="458"/>
        <v>237.59999999998649</v>
      </c>
    </row>
    <row r="653" spans="1:22" x14ac:dyDescent="0.25">
      <c r="A653" s="1">
        <v>652</v>
      </c>
      <c r="B653" s="4">
        <v>7500</v>
      </c>
      <c r="C653" s="4">
        <v>102.69999999999999</v>
      </c>
      <c r="D653" s="4">
        <v>102.8</v>
      </c>
      <c r="E653" s="4">
        <f t="shared" si="450"/>
        <v>0.10000000000000853</v>
      </c>
      <c r="F653" s="4">
        <v>0.3</v>
      </c>
      <c r="G653" s="4">
        <v>-0.18</v>
      </c>
      <c r="H653" s="4">
        <v>79</v>
      </c>
      <c r="I653" s="4"/>
      <c r="J653" s="4">
        <v>50</v>
      </c>
      <c r="K653"/>
      <c r="L653"/>
      <c r="M653" s="4">
        <f t="shared" si="451"/>
        <v>102.8</v>
      </c>
      <c r="N653" s="4"/>
      <c r="O653" s="1">
        <f t="shared" si="452"/>
        <v>102.69999999999999</v>
      </c>
      <c r="P653" s="1">
        <f t="shared" si="453"/>
        <v>1.5840000000001349</v>
      </c>
      <c r="Q653" s="1" t="str">
        <f t="shared" si="449"/>
        <v/>
      </c>
      <c r="R653" s="1" t="str">
        <f t="shared" si="454"/>
        <v/>
      </c>
      <c r="S653" s="1">
        <f t="shared" si="455"/>
        <v>799.70400000000132</v>
      </c>
      <c r="T653" s="1">
        <f t="shared" si="456"/>
        <v>-0.18</v>
      </c>
      <c r="U653" s="1">
        <f t="shared" si="457"/>
        <v>528.00000000004502</v>
      </c>
      <c r="V653" s="1">
        <f t="shared" si="458"/>
        <v>95.040000000008106</v>
      </c>
    </row>
    <row r="654" spans="1:22" x14ac:dyDescent="0.25">
      <c r="A654" s="1">
        <v>653</v>
      </c>
      <c r="B654" s="4">
        <v>7500</v>
      </c>
      <c r="C654" s="4">
        <v>102.8</v>
      </c>
      <c r="D654" s="4">
        <v>103</v>
      </c>
      <c r="E654" s="4">
        <f t="shared" si="450"/>
        <v>0.20000000000000284</v>
      </c>
      <c r="F654" s="4">
        <v>0</v>
      </c>
      <c r="G654" s="4">
        <v>-0.18</v>
      </c>
      <c r="H654" s="4">
        <v>55</v>
      </c>
      <c r="I654" s="4"/>
      <c r="J654" s="4">
        <v>35</v>
      </c>
      <c r="K654"/>
      <c r="L654"/>
      <c r="M654" s="4">
        <f t="shared" si="451"/>
        <v>103</v>
      </c>
      <c r="N654" s="4"/>
      <c r="O654" s="1">
        <f t="shared" si="452"/>
        <v>102.8</v>
      </c>
      <c r="P654" s="1">
        <f t="shared" si="453"/>
        <v>0</v>
      </c>
      <c r="Q654" s="1">
        <f t="shared" si="449"/>
        <v>55</v>
      </c>
      <c r="R654" s="1">
        <f t="shared" si="454"/>
        <v>55</v>
      </c>
      <c r="S654" s="1">
        <f t="shared" si="455"/>
        <v>798.75360000000126</v>
      </c>
      <c r="T654" s="1">
        <f t="shared" si="456"/>
        <v>-0.18</v>
      </c>
      <c r="U654" s="1">
        <f t="shared" si="457"/>
        <v>1056.000000000015</v>
      </c>
      <c r="V654" s="1">
        <f t="shared" si="458"/>
        <v>190.08000000000268</v>
      </c>
    </row>
    <row r="655" spans="1:22" x14ac:dyDescent="0.25">
      <c r="A655" s="1">
        <v>654</v>
      </c>
      <c r="B655" s="4">
        <v>7500</v>
      </c>
      <c r="C655" s="4">
        <v>103</v>
      </c>
      <c r="D655" s="4">
        <v>103.1</v>
      </c>
      <c r="E655" s="4">
        <f t="shared" si="450"/>
        <v>9.9999999999994316E-2</v>
      </c>
      <c r="F655" s="4">
        <v>0.6</v>
      </c>
      <c r="G655" s="4">
        <v>-0.49</v>
      </c>
      <c r="H655" s="4">
        <v>55</v>
      </c>
      <c r="I655" s="4"/>
      <c r="J655" s="4">
        <v>35</v>
      </c>
      <c r="K655"/>
      <c r="L655"/>
      <c r="M655" s="4">
        <f t="shared" si="451"/>
        <v>103.1</v>
      </c>
      <c r="N655" s="4"/>
      <c r="O655" s="1">
        <f t="shared" si="452"/>
        <v>103</v>
      </c>
      <c r="P655" s="1">
        <f t="shared" si="453"/>
        <v>3.1679999999998194</v>
      </c>
      <c r="Q655" s="1" t="str">
        <f t="shared" si="449"/>
        <v/>
      </c>
      <c r="R655" s="1" t="str">
        <f t="shared" si="454"/>
        <v/>
      </c>
      <c r="S655" s="1">
        <f t="shared" si="455"/>
        <v>796.85280000000125</v>
      </c>
      <c r="T655" s="1">
        <f t="shared" si="456"/>
        <v>-0.49</v>
      </c>
      <c r="U655" s="1">
        <f t="shared" si="457"/>
        <v>527.99999999996999</v>
      </c>
      <c r="V655" s="1">
        <f t="shared" si="458"/>
        <v>258.7199999999853</v>
      </c>
    </row>
    <row r="656" spans="1:22" x14ac:dyDescent="0.25">
      <c r="A656" s="1">
        <v>655</v>
      </c>
      <c r="B656" s="4">
        <v>7500</v>
      </c>
      <c r="C656" s="4">
        <v>103.1</v>
      </c>
      <c r="D656" s="4">
        <v>103.19999999999999</v>
      </c>
      <c r="E656" s="4">
        <f t="shared" si="450"/>
        <v>9.9999999999994316E-2</v>
      </c>
      <c r="F656" s="4">
        <v>0.6</v>
      </c>
      <c r="G656" s="4">
        <v>-0.49</v>
      </c>
      <c r="H656" s="4">
        <v>55</v>
      </c>
      <c r="I656" s="4"/>
      <c r="J656" s="4">
        <v>35</v>
      </c>
      <c r="K656"/>
      <c r="L656"/>
      <c r="M656" s="4">
        <f t="shared" si="451"/>
        <v>103.19999999999999</v>
      </c>
      <c r="N656" s="4"/>
      <c r="O656" s="1">
        <f t="shared" si="452"/>
        <v>103.1</v>
      </c>
      <c r="P656" s="1">
        <f t="shared" si="453"/>
        <v>3.1679999999998194</v>
      </c>
      <c r="Q656" s="1" t="str">
        <f t="shared" si="449"/>
        <v/>
      </c>
      <c r="R656" s="1" t="str">
        <f t="shared" si="454"/>
        <v/>
      </c>
      <c r="S656" s="1">
        <f t="shared" si="455"/>
        <v>794.26560000000143</v>
      </c>
      <c r="T656" s="1">
        <f t="shared" si="456"/>
        <v>-0.49</v>
      </c>
      <c r="U656" s="1">
        <f t="shared" si="457"/>
        <v>527.99999999996999</v>
      </c>
      <c r="V656" s="1">
        <f t="shared" si="458"/>
        <v>258.7199999999853</v>
      </c>
    </row>
    <row r="657" spans="1:22" x14ac:dyDescent="0.25">
      <c r="A657" s="1">
        <v>656</v>
      </c>
      <c r="B657" s="4">
        <v>7500</v>
      </c>
      <c r="C657" s="4">
        <v>103.19999999999999</v>
      </c>
      <c r="D657" s="4">
        <v>103.3</v>
      </c>
      <c r="E657" s="4">
        <f t="shared" si="450"/>
        <v>0.10000000000000853</v>
      </c>
      <c r="F657" s="4">
        <v>0.6</v>
      </c>
      <c r="G657" s="4">
        <v>0.35</v>
      </c>
      <c r="H657" s="4">
        <v>55</v>
      </c>
      <c r="I657" s="4"/>
      <c r="J657" s="4">
        <v>35</v>
      </c>
      <c r="K657"/>
      <c r="L657"/>
      <c r="M657" s="4">
        <f t="shared" si="451"/>
        <v>103.3</v>
      </c>
      <c r="N657" s="4"/>
      <c r="O657" s="1">
        <f t="shared" si="452"/>
        <v>103.19999999999999</v>
      </c>
      <c r="P657" s="1">
        <f t="shared" si="453"/>
        <v>3.1680000000002697</v>
      </c>
      <c r="Q657" s="1" t="str">
        <f t="shared" si="449"/>
        <v/>
      </c>
      <c r="R657" s="1" t="str">
        <f t="shared" si="454"/>
        <v/>
      </c>
      <c r="S657" s="1">
        <f t="shared" si="455"/>
        <v>791.6784000000016</v>
      </c>
      <c r="T657" s="1">
        <f t="shared" si="456"/>
        <v>0.35</v>
      </c>
      <c r="U657" s="1">
        <f t="shared" si="457"/>
        <v>528.00000000004502</v>
      </c>
      <c r="V657" s="1">
        <f t="shared" si="458"/>
        <v>184.80000000001576</v>
      </c>
    </row>
    <row r="658" spans="1:22" x14ac:dyDescent="0.25">
      <c r="A658" s="1">
        <v>657</v>
      </c>
      <c r="B658" s="4">
        <v>7500</v>
      </c>
      <c r="C658" s="4">
        <v>103.3</v>
      </c>
      <c r="D658" s="4">
        <v>103.39999999999999</v>
      </c>
      <c r="E658" s="4">
        <f t="shared" si="450"/>
        <v>9.9999999999994316E-2</v>
      </c>
      <c r="F658" s="4">
        <v>0.7</v>
      </c>
      <c r="G658" s="4">
        <v>0.35</v>
      </c>
      <c r="H658" s="4">
        <v>55</v>
      </c>
      <c r="I658" s="4"/>
      <c r="J658" s="4">
        <v>35</v>
      </c>
      <c r="K658"/>
      <c r="L658"/>
      <c r="M658" s="4">
        <f t="shared" si="451"/>
        <v>103.39999999999999</v>
      </c>
      <c r="N658" s="4"/>
      <c r="O658" s="1">
        <f t="shared" si="452"/>
        <v>103.3</v>
      </c>
      <c r="P658" s="1">
        <f t="shared" si="453"/>
        <v>3.6959999999997892</v>
      </c>
      <c r="Q658" s="1" t="str">
        <f t="shared" si="449"/>
        <v/>
      </c>
      <c r="R658" s="1" t="str">
        <f t="shared" si="454"/>
        <v/>
      </c>
      <c r="S658" s="1">
        <f t="shared" si="455"/>
        <v>793.52640000000179</v>
      </c>
      <c r="T658" s="1">
        <f t="shared" si="456"/>
        <v>0.35</v>
      </c>
      <c r="U658" s="1">
        <f t="shared" si="457"/>
        <v>527.99999999996999</v>
      </c>
      <c r="V658" s="1">
        <f t="shared" si="458"/>
        <v>184.7999999999895</v>
      </c>
    </row>
    <row r="659" spans="1:22" x14ac:dyDescent="0.25">
      <c r="A659" s="1">
        <v>658</v>
      </c>
      <c r="B659" s="4">
        <v>7500</v>
      </c>
      <c r="C659" s="4">
        <v>103.39999999999999</v>
      </c>
      <c r="D659" s="4">
        <v>103.5</v>
      </c>
      <c r="E659" s="4">
        <f t="shared" si="450"/>
        <v>0.10000000000000853</v>
      </c>
      <c r="F659" s="4">
        <v>0.7</v>
      </c>
      <c r="G659" s="4">
        <v>-0.09</v>
      </c>
      <c r="H659" s="4">
        <v>55</v>
      </c>
      <c r="I659" s="4"/>
      <c r="J659" s="4">
        <v>35</v>
      </c>
      <c r="K659"/>
      <c r="L659"/>
      <c r="M659" s="4">
        <f t="shared" si="451"/>
        <v>103.5</v>
      </c>
      <c r="N659" s="4"/>
      <c r="O659" s="1">
        <f t="shared" si="452"/>
        <v>103.39999999999999</v>
      </c>
      <c r="P659" s="1">
        <f t="shared" si="453"/>
        <v>3.6960000000003146</v>
      </c>
      <c r="Q659" s="1" t="str">
        <f t="shared" si="449"/>
        <v/>
      </c>
      <c r="R659" s="1" t="str">
        <f t="shared" si="454"/>
        <v/>
      </c>
      <c r="S659" s="1">
        <f t="shared" si="455"/>
        <v>795.37440000000163</v>
      </c>
      <c r="T659" s="1">
        <f t="shared" si="456"/>
        <v>-0.09</v>
      </c>
      <c r="U659" s="1">
        <f t="shared" si="457"/>
        <v>528.00000000004502</v>
      </c>
      <c r="V659" s="1">
        <f t="shared" si="458"/>
        <v>47.520000000004053</v>
      </c>
    </row>
    <row r="660" spans="1:22" x14ac:dyDescent="0.25">
      <c r="A660" s="1">
        <v>659</v>
      </c>
      <c r="B660" s="4">
        <v>7500</v>
      </c>
      <c r="C660" s="4">
        <v>103.5</v>
      </c>
      <c r="D660" s="4">
        <v>103.69999999999999</v>
      </c>
      <c r="E660" s="4">
        <f t="shared" si="450"/>
        <v>0.19999999999998863</v>
      </c>
      <c r="F660" s="4">
        <v>0</v>
      </c>
      <c r="G660" s="4">
        <v>-0.36</v>
      </c>
      <c r="H660" s="4">
        <v>55</v>
      </c>
      <c r="I660" s="4"/>
      <c r="J660" s="4">
        <v>35</v>
      </c>
      <c r="K660"/>
      <c r="L660"/>
      <c r="M660" s="4">
        <f t="shared" si="451"/>
        <v>103.69999999999999</v>
      </c>
      <c r="N660" s="4"/>
      <c r="O660" s="1">
        <f t="shared" si="452"/>
        <v>103.5</v>
      </c>
      <c r="P660" s="1">
        <f t="shared" si="453"/>
        <v>0</v>
      </c>
      <c r="Q660" s="1" t="str">
        <f t="shared" si="449"/>
        <v/>
      </c>
      <c r="R660" s="1" t="str">
        <f t="shared" si="454"/>
        <v/>
      </c>
      <c r="S660" s="1">
        <f t="shared" si="455"/>
        <v>794.89920000000154</v>
      </c>
      <c r="T660" s="1">
        <f t="shared" si="456"/>
        <v>-0.36</v>
      </c>
      <c r="U660" s="1">
        <f t="shared" si="457"/>
        <v>1055.99999999994</v>
      </c>
      <c r="V660" s="1">
        <f t="shared" si="458"/>
        <v>380.15999999997837</v>
      </c>
    </row>
    <row r="661" spans="1:22" x14ac:dyDescent="0.25">
      <c r="A661" s="1">
        <v>660</v>
      </c>
      <c r="B661" s="4">
        <v>7500</v>
      </c>
      <c r="C661" s="4">
        <v>103.69999999999999</v>
      </c>
      <c r="D661" s="4">
        <v>104.1</v>
      </c>
      <c r="E661" s="4">
        <f t="shared" si="450"/>
        <v>0.40000000000000568</v>
      </c>
      <c r="F661" s="4">
        <v>0</v>
      </c>
      <c r="G661" s="4">
        <v>-0.5</v>
      </c>
      <c r="H661" s="4">
        <v>55</v>
      </c>
      <c r="I661" s="4"/>
      <c r="J661" s="4">
        <v>35</v>
      </c>
      <c r="K661"/>
      <c r="L661"/>
      <c r="M661" s="4">
        <f t="shared" si="451"/>
        <v>104.1</v>
      </c>
      <c r="N661" s="4"/>
      <c r="O661" s="1">
        <f t="shared" si="452"/>
        <v>103.69999999999999</v>
      </c>
      <c r="P661" s="1">
        <f t="shared" si="453"/>
        <v>0</v>
      </c>
      <c r="Q661" s="1" t="str">
        <f t="shared" si="449"/>
        <v/>
      </c>
      <c r="R661" s="1" t="str">
        <f t="shared" si="454"/>
        <v/>
      </c>
      <c r="S661" s="1">
        <f t="shared" si="455"/>
        <v>791.09760000000176</v>
      </c>
      <c r="T661" s="1">
        <f t="shared" si="456"/>
        <v>-0.5</v>
      </c>
      <c r="U661" s="1">
        <f t="shared" si="457"/>
        <v>2112.00000000003</v>
      </c>
      <c r="V661" s="1">
        <f t="shared" si="458"/>
        <v>1056.000000000015</v>
      </c>
    </row>
    <row r="662" spans="1:22" x14ac:dyDescent="0.25">
      <c r="A662" s="1">
        <v>661</v>
      </c>
      <c r="B662" s="4">
        <v>7500</v>
      </c>
      <c r="C662" s="4">
        <v>104.1</v>
      </c>
      <c r="D662" s="4">
        <v>104.19999999999999</v>
      </c>
      <c r="E662" s="4">
        <f t="shared" si="450"/>
        <v>9.9999999999994316E-2</v>
      </c>
      <c r="F662" s="4">
        <v>0.9</v>
      </c>
      <c r="G662" s="4">
        <v>-0.5</v>
      </c>
      <c r="H662" s="4">
        <v>55</v>
      </c>
      <c r="I662" s="4"/>
      <c r="J662" s="4">
        <v>35</v>
      </c>
      <c r="K662"/>
      <c r="L662"/>
      <c r="M662" s="4">
        <f t="shared" si="451"/>
        <v>104.19999999999999</v>
      </c>
      <c r="N662" s="4"/>
      <c r="O662" s="1">
        <f t="shared" si="452"/>
        <v>104.1</v>
      </c>
      <c r="P662" s="1">
        <f t="shared" si="453"/>
        <v>4.7519999999997298</v>
      </c>
      <c r="Q662" s="1" t="str">
        <f t="shared" si="449"/>
        <v/>
      </c>
      <c r="R662" s="1" t="str">
        <f t="shared" si="454"/>
        <v/>
      </c>
      <c r="S662" s="1">
        <f t="shared" si="455"/>
        <v>780.53760000000159</v>
      </c>
      <c r="T662" s="1">
        <f t="shared" si="456"/>
        <v>-0.5</v>
      </c>
      <c r="U662" s="1">
        <f t="shared" si="457"/>
        <v>527.99999999996999</v>
      </c>
      <c r="V662" s="1">
        <f t="shared" si="458"/>
        <v>263.99999999998499</v>
      </c>
    </row>
    <row r="663" spans="1:22" x14ac:dyDescent="0.25">
      <c r="A663" s="1">
        <v>662</v>
      </c>
      <c r="B663" s="4">
        <v>7500</v>
      </c>
      <c r="C663" s="4">
        <v>104.19999999999999</v>
      </c>
      <c r="D663" s="4">
        <v>104.3</v>
      </c>
      <c r="E663" s="4">
        <f t="shared" si="450"/>
        <v>0.10000000000000853</v>
      </c>
      <c r="F663" s="4">
        <v>0.9</v>
      </c>
      <c r="G663" s="4">
        <v>0.2</v>
      </c>
      <c r="H663" s="4">
        <v>55</v>
      </c>
      <c r="I663" s="4"/>
      <c r="J663" s="4">
        <v>35</v>
      </c>
      <c r="K663"/>
      <c r="L663"/>
      <c r="M663" s="4">
        <f t="shared" si="451"/>
        <v>104.3</v>
      </c>
      <c r="N663" s="4"/>
      <c r="O663" s="1">
        <f t="shared" si="452"/>
        <v>104.19999999999999</v>
      </c>
      <c r="P663" s="1">
        <f t="shared" si="453"/>
        <v>4.7520000000004048</v>
      </c>
      <c r="Q663" s="1" t="str">
        <f t="shared" si="449"/>
        <v/>
      </c>
      <c r="R663" s="1" t="str">
        <f t="shared" si="454"/>
        <v/>
      </c>
      <c r="S663" s="1">
        <f t="shared" si="455"/>
        <v>777.89760000000172</v>
      </c>
      <c r="T663" s="1">
        <f t="shared" si="456"/>
        <v>0.2</v>
      </c>
      <c r="U663" s="1">
        <f t="shared" si="457"/>
        <v>528.00000000004502</v>
      </c>
      <c r="V663" s="1">
        <f t="shared" si="458"/>
        <v>105.600000000009</v>
      </c>
    </row>
    <row r="664" spans="1:22" x14ac:dyDescent="0.25">
      <c r="A664" s="1">
        <v>663</v>
      </c>
      <c r="B664" s="4">
        <v>7500</v>
      </c>
      <c r="C664" s="4">
        <v>104.3</v>
      </c>
      <c r="D664" s="4">
        <v>104.39999999999999</v>
      </c>
      <c r="E664" s="4">
        <f t="shared" si="450"/>
        <v>9.9999999999994316E-2</v>
      </c>
      <c r="F664" s="4">
        <v>0.9</v>
      </c>
      <c r="G664" s="4">
        <v>-0.19</v>
      </c>
      <c r="H664" s="4">
        <v>55</v>
      </c>
      <c r="I664" s="4"/>
      <c r="J664" s="4">
        <v>35</v>
      </c>
      <c r="K664"/>
      <c r="L664"/>
      <c r="M664" s="4">
        <f t="shared" si="451"/>
        <v>104.39999999999999</v>
      </c>
      <c r="N664" s="4"/>
      <c r="O664" s="1">
        <f t="shared" si="452"/>
        <v>104.3</v>
      </c>
      <c r="P664" s="1">
        <f t="shared" si="453"/>
        <v>4.7519999999997298</v>
      </c>
      <c r="Q664" s="1" t="str">
        <f t="shared" si="449"/>
        <v/>
      </c>
      <c r="R664" s="1" t="str">
        <f t="shared" si="454"/>
        <v/>
      </c>
      <c r="S664" s="1">
        <f t="shared" si="455"/>
        <v>778.95360000000176</v>
      </c>
      <c r="T664" s="1">
        <f t="shared" si="456"/>
        <v>-0.19</v>
      </c>
      <c r="U664" s="1">
        <f t="shared" si="457"/>
        <v>527.99999999996999</v>
      </c>
      <c r="V664" s="1">
        <f t="shared" si="458"/>
        <v>100.31999999999429</v>
      </c>
    </row>
    <row r="665" spans="1:22" x14ac:dyDescent="0.25">
      <c r="A665" s="1">
        <v>664</v>
      </c>
      <c r="B665" s="4">
        <v>7500</v>
      </c>
      <c r="C665" s="4">
        <v>104.39999999999999</v>
      </c>
      <c r="D665" s="4">
        <v>104.5</v>
      </c>
      <c r="E665" s="4">
        <f t="shared" si="450"/>
        <v>0.10000000000000853</v>
      </c>
      <c r="F665" s="4">
        <v>0</v>
      </c>
      <c r="G665" s="4">
        <v>-0.13</v>
      </c>
      <c r="H665" s="4">
        <v>55</v>
      </c>
      <c r="I665" s="4"/>
      <c r="J665" s="4">
        <v>35</v>
      </c>
      <c r="K665"/>
      <c r="L665"/>
      <c r="M665" s="4">
        <f t="shared" si="451"/>
        <v>104.5</v>
      </c>
      <c r="N665" s="4"/>
      <c r="O665" s="1">
        <f t="shared" si="452"/>
        <v>104.39999999999999</v>
      </c>
      <c r="P665" s="1">
        <f t="shared" si="453"/>
        <v>0</v>
      </c>
      <c r="Q665" s="1" t="str">
        <f t="shared" si="449"/>
        <v/>
      </c>
      <c r="R665" s="1" t="str">
        <f t="shared" si="454"/>
        <v/>
      </c>
      <c r="S665" s="1">
        <f t="shared" si="455"/>
        <v>777.95040000000176</v>
      </c>
      <c r="T665" s="1">
        <f t="shared" si="456"/>
        <v>-0.13</v>
      </c>
      <c r="U665" s="1">
        <f t="shared" si="457"/>
        <v>528.00000000004502</v>
      </c>
      <c r="V665" s="1">
        <f t="shared" si="458"/>
        <v>68.640000000005855</v>
      </c>
    </row>
    <row r="666" spans="1:22" x14ac:dyDescent="0.25">
      <c r="A666" s="1">
        <v>665</v>
      </c>
      <c r="B666" s="4">
        <v>7500</v>
      </c>
      <c r="C666" s="4">
        <v>104.5</v>
      </c>
      <c r="D666" s="4">
        <v>104.6</v>
      </c>
      <c r="E666" s="4">
        <f t="shared" si="450"/>
        <v>9.9999999999994316E-2</v>
      </c>
      <c r="F666" s="4">
        <v>0</v>
      </c>
      <c r="G666" s="4">
        <v>-0.02</v>
      </c>
      <c r="H666" s="4">
        <v>55</v>
      </c>
      <c r="I666" s="4"/>
      <c r="J666" s="4">
        <v>35</v>
      </c>
      <c r="K666"/>
      <c r="L666"/>
      <c r="M666" s="4">
        <f t="shared" si="451"/>
        <v>104.6</v>
      </c>
      <c r="N666" s="4"/>
      <c r="O666" s="1">
        <f t="shared" si="452"/>
        <v>104.5</v>
      </c>
      <c r="P666" s="1">
        <f t="shared" si="453"/>
        <v>0</v>
      </c>
      <c r="Q666" s="1" t="str">
        <f t="shared" si="449"/>
        <v/>
      </c>
      <c r="R666" s="1" t="str">
        <f t="shared" si="454"/>
        <v/>
      </c>
      <c r="S666" s="1">
        <f t="shared" si="455"/>
        <v>777.26400000000172</v>
      </c>
      <c r="T666" s="1">
        <f t="shared" si="456"/>
        <v>-0.02</v>
      </c>
      <c r="U666" s="1">
        <f t="shared" si="457"/>
        <v>527.99999999996999</v>
      </c>
      <c r="V666" s="1">
        <f t="shared" si="458"/>
        <v>10.5599999999994</v>
      </c>
    </row>
    <row r="667" spans="1:22" x14ac:dyDescent="0.25">
      <c r="A667" s="1">
        <v>666</v>
      </c>
      <c r="B667" s="4">
        <v>7500</v>
      </c>
      <c r="C667" s="4">
        <v>104.6</v>
      </c>
      <c r="D667" s="4">
        <v>104.89999999999999</v>
      </c>
      <c r="E667" s="4">
        <f t="shared" si="450"/>
        <v>0.29999999999999716</v>
      </c>
      <c r="F667" s="4">
        <v>0</v>
      </c>
      <c r="G667" s="4">
        <v>0.04</v>
      </c>
      <c r="H667" s="4">
        <v>55</v>
      </c>
      <c r="I667" s="4"/>
      <c r="J667" s="4">
        <v>35</v>
      </c>
      <c r="K667"/>
      <c r="L667"/>
      <c r="M667" s="4">
        <f t="shared" si="451"/>
        <v>104.89999999999999</v>
      </c>
      <c r="N667" s="4"/>
      <c r="O667" s="1">
        <f t="shared" si="452"/>
        <v>104.6</v>
      </c>
      <c r="P667" s="1">
        <f t="shared" si="453"/>
        <v>0</v>
      </c>
      <c r="Q667" s="1" t="str">
        <f t="shared" si="449"/>
        <v/>
      </c>
      <c r="R667" s="1" t="str">
        <f t="shared" si="454"/>
        <v/>
      </c>
      <c r="S667" s="1">
        <f t="shared" si="455"/>
        <v>777.15840000000173</v>
      </c>
      <c r="T667" s="1">
        <f t="shared" si="456"/>
        <v>0.04</v>
      </c>
      <c r="U667" s="1">
        <f t="shared" si="457"/>
        <v>1583.999999999985</v>
      </c>
      <c r="V667" s="1">
        <f t="shared" si="458"/>
        <v>63.359999999999403</v>
      </c>
    </row>
    <row r="668" spans="1:22" x14ac:dyDescent="0.25">
      <c r="A668" s="1">
        <v>667</v>
      </c>
      <c r="B668" s="4">
        <v>7500</v>
      </c>
      <c r="C668" s="4">
        <v>104.89999999999999</v>
      </c>
      <c r="D668" s="4">
        <v>105</v>
      </c>
      <c r="E668" s="4">
        <f t="shared" si="450"/>
        <v>0.10000000000000853</v>
      </c>
      <c r="F668" s="4">
        <v>0</v>
      </c>
      <c r="G668" s="4">
        <v>-0.15</v>
      </c>
      <c r="H668" s="4">
        <v>55</v>
      </c>
      <c r="I668" s="4"/>
      <c r="J668" s="4">
        <v>35</v>
      </c>
      <c r="K668"/>
      <c r="L668"/>
      <c r="M668" s="4">
        <f t="shared" si="451"/>
        <v>105</v>
      </c>
      <c r="N668" s="4"/>
      <c r="O668" s="1">
        <f t="shared" si="452"/>
        <v>104.89999999999999</v>
      </c>
      <c r="P668" s="1">
        <f t="shared" si="453"/>
        <v>0</v>
      </c>
      <c r="Q668" s="1" t="str">
        <f t="shared" si="449"/>
        <v/>
      </c>
      <c r="R668" s="1" t="str">
        <f t="shared" si="454"/>
        <v/>
      </c>
      <c r="S668" s="1">
        <f t="shared" si="455"/>
        <v>777.79200000000174</v>
      </c>
      <c r="T668" s="1">
        <f t="shared" si="456"/>
        <v>-0.15</v>
      </c>
      <c r="U668" s="1">
        <f t="shared" si="457"/>
        <v>528.00000000004502</v>
      </c>
      <c r="V668" s="1">
        <f t="shared" si="458"/>
        <v>79.200000000006753</v>
      </c>
    </row>
    <row r="669" spans="1:22" x14ac:dyDescent="0.25">
      <c r="A669" s="1">
        <v>668</v>
      </c>
      <c r="B669" s="4">
        <v>7500</v>
      </c>
      <c r="C669" s="4">
        <v>105</v>
      </c>
      <c r="D669" s="4">
        <v>105.19999999999999</v>
      </c>
      <c r="E669" s="4">
        <f t="shared" si="450"/>
        <v>0.19999999999998863</v>
      </c>
      <c r="F669" s="4">
        <v>0</v>
      </c>
      <c r="G669" s="4">
        <v>-0.53</v>
      </c>
      <c r="H669" s="4">
        <v>55</v>
      </c>
      <c r="I669" s="4"/>
      <c r="J669" s="4">
        <v>35</v>
      </c>
      <c r="K669"/>
      <c r="L669"/>
      <c r="M669" s="4">
        <f t="shared" si="451"/>
        <v>105.19999999999999</v>
      </c>
      <c r="N669" s="4"/>
      <c r="O669" s="1">
        <f t="shared" si="452"/>
        <v>105</v>
      </c>
      <c r="P669" s="1">
        <f t="shared" si="453"/>
        <v>0</v>
      </c>
      <c r="Q669" s="1" t="str">
        <f t="shared" si="449"/>
        <v/>
      </c>
      <c r="R669" s="1" t="str">
        <f t="shared" si="454"/>
        <v/>
      </c>
      <c r="S669" s="1">
        <f t="shared" si="455"/>
        <v>777.00000000000171</v>
      </c>
      <c r="T669" s="1">
        <f t="shared" si="456"/>
        <v>-0.53</v>
      </c>
      <c r="U669" s="1">
        <f t="shared" si="457"/>
        <v>1055.99999999994</v>
      </c>
      <c r="V669" s="1">
        <f t="shared" si="458"/>
        <v>559.67999999996823</v>
      </c>
    </row>
    <row r="670" spans="1:22" x14ac:dyDescent="0.25">
      <c r="A670" s="1">
        <v>669</v>
      </c>
      <c r="B670" s="4">
        <v>7500</v>
      </c>
      <c r="C670" s="4">
        <v>105.19999999999999</v>
      </c>
      <c r="D670" s="4">
        <v>105.3</v>
      </c>
      <c r="E670" s="4">
        <f t="shared" si="450"/>
        <v>0.10000000000000853</v>
      </c>
      <c r="F670" s="4">
        <v>0</v>
      </c>
      <c r="G670" s="4">
        <v>-0.72</v>
      </c>
      <c r="H670" s="4">
        <v>55</v>
      </c>
      <c r="I670" s="4"/>
      <c r="J670" s="4">
        <v>35</v>
      </c>
      <c r="K670"/>
      <c r="L670"/>
      <c r="M670" s="4">
        <f t="shared" si="451"/>
        <v>105.3</v>
      </c>
      <c r="N670" s="4"/>
      <c r="O670" s="1">
        <f t="shared" si="452"/>
        <v>105.19999999999999</v>
      </c>
      <c r="P670" s="1">
        <f t="shared" si="453"/>
        <v>0</v>
      </c>
      <c r="Q670" s="1" t="str">
        <f t="shared" si="449"/>
        <v/>
      </c>
      <c r="R670" s="1" t="str">
        <f t="shared" si="454"/>
        <v/>
      </c>
      <c r="S670" s="1">
        <f t="shared" si="455"/>
        <v>771.40320000000202</v>
      </c>
      <c r="T670" s="1">
        <f t="shared" si="456"/>
        <v>-0.72</v>
      </c>
      <c r="U670" s="1">
        <f t="shared" si="457"/>
        <v>528.00000000004502</v>
      </c>
      <c r="V670" s="1">
        <f t="shared" si="458"/>
        <v>380.16000000003243</v>
      </c>
    </row>
    <row r="671" spans="1:22" x14ac:dyDescent="0.25">
      <c r="A671" s="1">
        <v>670</v>
      </c>
      <c r="B671" s="4">
        <v>7500</v>
      </c>
      <c r="C671" s="4">
        <v>105.3</v>
      </c>
      <c r="D671" s="4">
        <v>105.5</v>
      </c>
      <c r="E671" s="4">
        <f t="shared" si="450"/>
        <v>0.20000000000000284</v>
      </c>
      <c r="F671" s="4">
        <v>0</v>
      </c>
      <c r="G671" s="4">
        <v>-0.72</v>
      </c>
      <c r="H671" s="4">
        <v>79</v>
      </c>
      <c r="I671" s="4"/>
      <c r="J671" s="4">
        <v>50</v>
      </c>
      <c r="K671"/>
      <c r="L671"/>
      <c r="M671" s="4">
        <f t="shared" si="451"/>
        <v>105.5</v>
      </c>
      <c r="N671" s="4"/>
      <c r="O671" s="1">
        <f t="shared" si="452"/>
        <v>105.3</v>
      </c>
      <c r="P671" s="1">
        <f t="shared" si="453"/>
        <v>0</v>
      </c>
      <c r="Q671" s="1">
        <f t="shared" si="449"/>
        <v>79</v>
      </c>
      <c r="R671" s="1">
        <f t="shared" si="454"/>
        <v>79</v>
      </c>
      <c r="S671" s="1">
        <f t="shared" si="455"/>
        <v>767.60160000000167</v>
      </c>
      <c r="T671" s="1">
        <f t="shared" si="456"/>
        <v>-0.72</v>
      </c>
      <c r="U671" s="1">
        <f t="shared" si="457"/>
        <v>1056.000000000015</v>
      </c>
      <c r="V671" s="1">
        <f t="shared" si="458"/>
        <v>760.32000000001074</v>
      </c>
    </row>
    <row r="672" spans="1:22" x14ac:dyDescent="0.25">
      <c r="A672" s="1">
        <v>671</v>
      </c>
      <c r="B672" s="4">
        <v>7500</v>
      </c>
      <c r="C672" s="4">
        <v>105.5</v>
      </c>
      <c r="D672" s="4">
        <v>105.69999999999999</v>
      </c>
      <c r="E672" s="4">
        <f t="shared" si="450"/>
        <v>0.19999999999998863</v>
      </c>
      <c r="F672" s="4">
        <v>0.7</v>
      </c>
      <c r="G672" s="4">
        <v>-0.65</v>
      </c>
      <c r="H672" s="4">
        <v>79</v>
      </c>
      <c r="I672" s="4"/>
      <c r="J672" s="4">
        <v>50</v>
      </c>
      <c r="K672"/>
      <c r="L672"/>
      <c r="M672" s="4">
        <f t="shared" si="451"/>
        <v>105.69999999999999</v>
      </c>
      <c r="N672" s="4"/>
      <c r="O672" s="1">
        <f t="shared" si="452"/>
        <v>105.5</v>
      </c>
      <c r="P672" s="1">
        <f t="shared" si="453"/>
        <v>7.3919999999995785</v>
      </c>
      <c r="Q672" s="1" t="str">
        <f t="shared" si="449"/>
        <v/>
      </c>
      <c r="R672" s="1" t="str">
        <f t="shared" si="454"/>
        <v/>
      </c>
      <c r="S672" s="1">
        <f t="shared" si="455"/>
        <v>759.99840000000154</v>
      </c>
      <c r="T672" s="1">
        <f t="shared" si="456"/>
        <v>-0.65</v>
      </c>
      <c r="U672" s="1">
        <f t="shared" si="457"/>
        <v>1055.99999999994</v>
      </c>
      <c r="V672" s="1">
        <f t="shared" si="458"/>
        <v>686.39999999996098</v>
      </c>
    </row>
    <row r="673" spans="1:22" x14ac:dyDescent="0.25">
      <c r="A673" s="1">
        <v>672</v>
      </c>
      <c r="B673" s="4">
        <v>7500</v>
      </c>
      <c r="C673" s="4">
        <v>105.69999999999999</v>
      </c>
      <c r="D673" s="4">
        <v>105.89999999999999</v>
      </c>
      <c r="E673" s="4">
        <f t="shared" si="450"/>
        <v>0.20000000000000284</v>
      </c>
      <c r="F673" s="4">
        <v>0.7</v>
      </c>
      <c r="G673" s="4">
        <v>-0.6</v>
      </c>
      <c r="H673" s="4">
        <v>79</v>
      </c>
      <c r="I673" s="4"/>
      <c r="J673" s="4">
        <v>50</v>
      </c>
      <c r="K673"/>
      <c r="L673"/>
      <c r="M673" s="4">
        <f t="shared" si="451"/>
        <v>105.89999999999999</v>
      </c>
      <c r="N673" s="4"/>
      <c r="O673" s="1">
        <f t="shared" si="452"/>
        <v>105.69999999999999</v>
      </c>
      <c r="P673" s="1">
        <f t="shared" si="453"/>
        <v>7.3920000000001034</v>
      </c>
      <c r="Q673" s="1" t="str">
        <f t="shared" si="449"/>
        <v/>
      </c>
      <c r="R673" s="1" t="str">
        <f t="shared" si="454"/>
        <v/>
      </c>
      <c r="S673" s="1">
        <f t="shared" si="455"/>
        <v>753.13440000000196</v>
      </c>
      <c r="T673" s="1">
        <f t="shared" si="456"/>
        <v>-0.6</v>
      </c>
      <c r="U673" s="1">
        <f t="shared" si="457"/>
        <v>1056.000000000015</v>
      </c>
      <c r="V673" s="1">
        <f t="shared" si="458"/>
        <v>633.600000000009</v>
      </c>
    </row>
    <row r="674" spans="1:22" x14ac:dyDescent="0.25">
      <c r="A674" s="1">
        <v>673</v>
      </c>
      <c r="B674" s="4">
        <v>7500</v>
      </c>
      <c r="C674" s="4">
        <v>105.89999999999999</v>
      </c>
      <c r="D674" s="4">
        <v>106</v>
      </c>
      <c r="E674" s="4">
        <f t="shared" si="450"/>
        <v>0.10000000000000853</v>
      </c>
      <c r="F674" s="4">
        <v>0.9</v>
      </c>
      <c r="G674" s="4">
        <v>-0.54</v>
      </c>
      <c r="H674" s="4">
        <v>79</v>
      </c>
      <c r="I674" s="4"/>
      <c r="J674" s="4">
        <v>50</v>
      </c>
      <c r="K674"/>
      <c r="L674"/>
      <c r="M674" s="4">
        <f t="shared" si="451"/>
        <v>106</v>
      </c>
      <c r="N674" s="4"/>
      <c r="O674" s="1">
        <f t="shared" si="452"/>
        <v>105.89999999999999</v>
      </c>
      <c r="P674" s="1">
        <f t="shared" si="453"/>
        <v>4.7520000000004048</v>
      </c>
      <c r="Q674" s="1" t="str">
        <f t="shared" si="449"/>
        <v/>
      </c>
      <c r="R674" s="1" t="str">
        <f t="shared" si="454"/>
        <v/>
      </c>
      <c r="S674" s="1">
        <f t="shared" si="455"/>
        <v>746.79840000000183</v>
      </c>
      <c r="T674" s="1">
        <f t="shared" si="456"/>
        <v>-0.54</v>
      </c>
      <c r="U674" s="1">
        <f t="shared" si="457"/>
        <v>528.00000000004502</v>
      </c>
      <c r="V674" s="1">
        <f t="shared" si="458"/>
        <v>285.12000000002433</v>
      </c>
    </row>
    <row r="675" spans="1:22" x14ac:dyDescent="0.25">
      <c r="A675" s="1">
        <v>674</v>
      </c>
      <c r="B675" s="4">
        <v>7500</v>
      </c>
      <c r="C675" s="4">
        <v>106</v>
      </c>
      <c r="D675" s="4">
        <v>106.19999999999999</v>
      </c>
      <c r="E675" s="4">
        <f t="shared" si="450"/>
        <v>0.19999999999998863</v>
      </c>
      <c r="F675" s="4">
        <v>0</v>
      </c>
      <c r="G675" s="4">
        <v>-0.54</v>
      </c>
      <c r="H675" s="4">
        <v>79</v>
      </c>
      <c r="I675" s="4"/>
      <c r="J675" s="4">
        <v>50</v>
      </c>
      <c r="K675"/>
      <c r="L675"/>
      <c r="M675" s="4">
        <f t="shared" si="451"/>
        <v>106.19999999999999</v>
      </c>
      <c r="N675" s="4"/>
      <c r="O675" s="1">
        <f t="shared" si="452"/>
        <v>106</v>
      </c>
      <c r="P675" s="1">
        <f t="shared" si="453"/>
        <v>0</v>
      </c>
      <c r="Q675" s="1" t="str">
        <f t="shared" si="449"/>
        <v/>
      </c>
      <c r="R675" s="1" t="str">
        <f t="shared" si="454"/>
        <v/>
      </c>
      <c r="S675" s="1">
        <f t="shared" si="455"/>
        <v>743.94720000000154</v>
      </c>
      <c r="T675" s="1">
        <f t="shared" si="456"/>
        <v>-0.54</v>
      </c>
      <c r="U675" s="1">
        <f t="shared" si="457"/>
        <v>1055.99999999994</v>
      </c>
      <c r="V675" s="1">
        <f t="shared" si="458"/>
        <v>570.23999999996761</v>
      </c>
    </row>
    <row r="676" spans="1:22" x14ac:dyDescent="0.25">
      <c r="A676" s="1">
        <v>675</v>
      </c>
      <c r="B676" s="4">
        <v>7500</v>
      </c>
      <c r="C676" s="4">
        <v>106.19999999999999</v>
      </c>
      <c r="D676" s="4">
        <v>106.3</v>
      </c>
      <c r="E676" s="4">
        <f t="shared" si="450"/>
        <v>0.10000000000000853</v>
      </c>
      <c r="F676" s="4">
        <v>0</v>
      </c>
      <c r="G676" s="4">
        <v>-0.6</v>
      </c>
      <c r="H676" s="4">
        <v>79</v>
      </c>
      <c r="I676" s="4"/>
      <c r="J676" s="4">
        <v>50</v>
      </c>
      <c r="K676"/>
      <c r="L676"/>
      <c r="M676" s="4">
        <f t="shared" si="451"/>
        <v>106.3</v>
      </c>
      <c r="N676" s="4"/>
      <c r="O676" s="1">
        <f t="shared" si="452"/>
        <v>106.19999999999999</v>
      </c>
      <c r="P676" s="1">
        <f t="shared" si="453"/>
        <v>0</v>
      </c>
      <c r="Q676" s="1" t="str">
        <f t="shared" si="449"/>
        <v/>
      </c>
      <c r="R676" s="1" t="str">
        <f t="shared" si="454"/>
        <v/>
      </c>
      <c r="S676" s="1">
        <f t="shared" si="455"/>
        <v>738.24480000000187</v>
      </c>
      <c r="T676" s="1">
        <f t="shared" si="456"/>
        <v>-0.6</v>
      </c>
      <c r="U676" s="1">
        <f t="shared" si="457"/>
        <v>528.00000000004502</v>
      </c>
      <c r="V676" s="1">
        <f t="shared" si="458"/>
        <v>316.80000000002701</v>
      </c>
    </row>
    <row r="677" spans="1:22" x14ac:dyDescent="0.25">
      <c r="A677" s="1">
        <v>676</v>
      </c>
      <c r="B677" s="4">
        <v>7500</v>
      </c>
      <c r="C677" s="4">
        <v>106.3</v>
      </c>
      <c r="D677" s="4">
        <v>106.5</v>
      </c>
      <c r="E677" s="4">
        <f t="shared" si="450"/>
        <v>0.20000000000000284</v>
      </c>
      <c r="F677" s="4">
        <v>1</v>
      </c>
      <c r="G677" s="4">
        <v>-0.73</v>
      </c>
      <c r="H677" s="4">
        <v>79</v>
      </c>
      <c r="I677" s="4"/>
      <c r="J677" s="4">
        <v>50</v>
      </c>
      <c r="K677"/>
      <c r="L677"/>
      <c r="M677" s="4">
        <f t="shared" si="451"/>
        <v>106.5</v>
      </c>
      <c r="N677" s="4"/>
      <c r="O677" s="1">
        <f t="shared" si="452"/>
        <v>106.3</v>
      </c>
      <c r="P677" s="1">
        <f t="shared" si="453"/>
        <v>10.56000000000015</v>
      </c>
      <c r="Q677" s="1" t="str">
        <f t="shared" si="449"/>
        <v/>
      </c>
      <c r="R677" s="1" t="str">
        <f t="shared" si="454"/>
        <v/>
      </c>
      <c r="S677" s="1">
        <f t="shared" si="455"/>
        <v>735.07680000000164</v>
      </c>
      <c r="T677" s="1">
        <f t="shared" si="456"/>
        <v>-0.73</v>
      </c>
      <c r="U677" s="1">
        <f t="shared" si="457"/>
        <v>1056.000000000015</v>
      </c>
      <c r="V677" s="1">
        <f t="shared" si="458"/>
        <v>770.88000000001091</v>
      </c>
    </row>
    <row r="678" spans="1:22" x14ac:dyDescent="0.25">
      <c r="A678" s="1">
        <v>677</v>
      </c>
      <c r="B678" s="4">
        <v>7500</v>
      </c>
      <c r="C678" s="4">
        <v>106.5</v>
      </c>
      <c r="D678" s="4">
        <v>107.19999999999999</v>
      </c>
      <c r="E678" s="4">
        <f t="shared" si="450"/>
        <v>0.69999999999998863</v>
      </c>
      <c r="F678" s="4">
        <v>1</v>
      </c>
      <c r="G678" s="4">
        <v>-0.79</v>
      </c>
      <c r="H678" s="4">
        <v>79</v>
      </c>
      <c r="I678" s="4"/>
      <c r="J678" s="4">
        <v>50</v>
      </c>
      <c r="K678"/>
      <c r="L678"/>
      <c r="M678" s="4">
        <f t="shared" si="451"/>
        <v>107.19999999999999</v>
      </c>
      <c r="N678" s="4"/>
      <c r="O678" s="1">
        <f t="shared" si="452"/>
        <v>106.5</v>
      </c>
      <c r="P678" s="1">
        <f t="shared" si="453"/>
        <v>36.959999999999397</v>
      </c>
      <c r="Q678" s="1" t="str">
        <f t="shared" si="449"/>
        <v/>
      </c>
      <c r="R678" s="1" t="str">
        <f t="shared" si="454"/>
        <v/>
      </c>
      <c r="S678" s="1">
        <f t="shared" si="455"/>
        <v>727.36800000000153</v>
      </c>
      <c r="T678" s="1">
        <f t="shared" si="456"/>
        <v>-0.79</v>
      </c>
      <c r="U678" s="1">
        <f t="shared" si="457"/>
        <v>3695.99999999994</v>
      </c>
      <c r="V678" s="1">
        <f t="shared" si="458"/>
        <v>2919.8399999999529</v>
      </c>
    </row>
    <row r="679" spans="1:22" x14ac:dyDescent="0.25">
      <c r="A679" s="1">
        <v>678</v>
      </c>
      <c r="B679" s="4">
        <v>7500</v>
      </c>
      <c r="C679" s="4">
        <v>107.19999999999999</v>
      </c>
      <c r="D679" s="4">
        <v>107.3</v>
      </c>
      <c r="E679" s="4">
        <f t="shared" si="450"/>
        <v>0.10000000000000853</v>
      </c>
      <c r="F679" s="4">
        <v>0</v>
      </c>
      <c r="G679" s="4">
        <v>-0.79</v>
      </c>
      <c r="H679" s="4">
        <v>79</v>
      </c>
      <c r="I679" s="4"/>
      <c r="J679" s="4">
        <v>50</v>
      </c>
      <c r="K679"/>
      <c r="L679"/>
      <c r="M679" s="4">
        <f t="shared" si="451"/>
        <v>107.3</v>
      </c>
      <c r="N679" s="4"/>
      <c r="O679" s="1">
        <f t="shared" si="452"/>
        <v>107.19999999999999</v>
      </c>
      <c r="P679" s="1">
        <f t="shared" si="453"/>
        <v>0</v>
      </c>
      <c r="Q679" s="1" t="str">
        <f t="shared" si="449"/>
        <v/>
      </c>
      <c r="R679" s="1" t="str">
        <f t="shared" si="454"/>
        <v/>
      </c>
      <c r="S679" s="1">
        <f t="shared" si="455"/>
        <v>698.16960000000199</v>
      </c>
      <c r="T679" s="1">
        <f t="shared" si="456"/>
        <v>-0.79</v>
      </c>
      <c r="U679" s="1">
        <f t="shared" si="457"/>
        <v>528.00000000004502</v>
      </c>
      <c r="V679" s="1">
        <f t="shared" si="458"/>
        <v>417.12000000003559</v>
      </c>
    </row>
    <row r="680" spans="1:22" x14ac:dyDescent="0.25">
      <c r="A680" s="1">
        <v>679</v>
      </c>
      <c r="B680" s="4">
        <v>7500</v>
      </c>
      <c r="C680" s="4">
        <v>107.3</v>
      </c>
      <c r="D680" s="4">
        <v>107.69999999999999</v>
      </c>
      <c r="E680" s="4">
        <f t="shared" si="450"/>
        <v>0.39999999999999147</v>
      </c>
      <c r="F680" s="4">
        <v>0</v>
      </c>
      <c r="G680" s="4">
        <v>-0.79</v>
      </c>
      <c r="H680" s="4">
        <v>79</v>
      </c>
      <c r="I680" s="4"/>
      <c r="J680" s="4">
        <v>50</v>
      </c>
      <c r="K680"/>
      <c r="L680"/>
      <c r="M680" s="4">
        <f t="shared" si="451"/>
        <v>107.69999999999999</v>
      </c>
      <c r="N680" s="4"/>
      <c r="O680" s="1">
        <f t="shared" si="452"/>
        <v>107.3</v>
      </c>
      <c r="P680" s="1">
        <f t="shared" si="453"/>
        <v>0</v>
      </c>
      <c r="Q680" s="1" t="str">
        <f t="shared" si="449"/>
        <v/>
      </c>
      <c r="R680" s="1" t="str">
        <f t="shared" si="454"/>
        <v/>
      </c>
      <c r="S680" s="1">
        <f t="shared" si="455"/>
        <v>693.99840000000165</v>
      </c>
      <c r="T680" s="1">
        <f t="shared" si="456"/>
        <v>-0.79</v>
      </c>
      <c r="U680" s="1">
        <f t="shared" si="457"/>
        <v>2111.999999999955</v>
      </c>
      <c r="V680" s="1">
        <f t="shared" si="458"/>
        <v>1668.4799999999645</v>
      </c>
    </row>
    <row r="681" spans="1:22" x14ac:dyDescent="0.25">
      <c r="A681" s="1">
        <v>680</v>
      </c>
      <c r="B681" s="4">
        <v>7500</v>
      </c>
      <c r="C681" s="4">
        <v>107.69999999999999</v>
      </c>
      <c r="D681" s="4">
        <v>107.89999999999999</v>
      </c>
      <c r="E681" s="4">
        <f t="shared" si="450"/>
        <v>0.20000000000000284</v>
      </c>
      <c r="F681" s="4">
        <v>1.5</v>
      </c>
      <c r="G681" s="4">
        <v>-0.79</v>
      </c>
      <c r="H681" s="4">
        <v>79</v>
      </c>
      <c r="I681" s="4"/>
      <c r="J681" s="4">
        <v>50</v>
      </c>
      <c r="K681"/>
      <c r="L681"/>
      <c r="M681" s="4">
        <f t="shared" si="451"/>
        <v>107.89999999999999</v>
      </c>
      <c r="N681" s="4"/>
      <c r="O681" s="1">
        <f t="shared" si="452"/>
        <v>107.69999999999999</v>
      </c>
      <c r="P681" s="1">
        <f t="shared" si="453"/>
        <v>15.840000000000224</v>
      </c>
      <c r="Q681" s="1" t="str">
        <f t="shared" si="449"/>
        <v/>
      </c>
      <c r="R681" s="1" t="str">
        <f t="shared" si="454"/>
        <v/>
      </c>
      <c r="S681" s="1">
        <f t="shared" si="455"/>
        <v>677.313600000002</v>
      </c>
      <c r="T681" s="1">
        <f t="shared" si="456"/>
        <v>-0.79</v>
      </c>
      <c r="U681" s="1">
        <f t="shared" si="457"/>
        <v>1056.000000000015</v>
      </c>
      <c r="V681" s="1">
        <f t="shared" si="458"/>
        <v>834.24000000001195</v>
      </c>
    </row>
    <row r="682" spans="1:22" x14ac:dyDescent="0.25">
      <c r="A682" s="1">
        <v>681</v>
      </c>
      <c r="B682" s="4">
        <v>7500</v>
      </c>
      <c r="C682" s="4">
        <v>107.89999999999999</v>
      </c>
      <c r="D682" s="4">
        <v>108.3</v>
      </c>
      <c r="E682" s="4">
        <f t="shared" si="450"/>
        <v>0.40000000000000568</v>
      </c>
      <c r="F682" s="4">
        <v>0</v>
      </c>
      <c r="G682" s="4">
        <v>-0.79</v>
      </c>
      <c r="H682" s="4">
        <v>79</v>
      </c>
      <c r="I682" s="4"/>
      <c r="J682" s="4">
        <v>50</v>
      </c>
      <c r="K682"/>
      <c r="L682"/>
      <c r="M682" s="4">
        <f t="shared" si="451"/>
        <v>108.3</v>
      </c>
      <c r="N682" s="4"/>
      <c r="O682" s="1">
        <f t="shared" si="452"/>
        <v>107.89999999999999</v>
      </c>
      <c r="P682" s="1">
        <f t="shared" si="453"/>
        <v>0</v>
      </c>
      <c r="Q682" s="1" t="str">
        <f t="shared" si="449"/>
        <v/>
      </c>
      <c r="R682" s="1" t="str">
        <f t="shared" si="454"/>
        <v/>
      </c>
      <c r="S682" s="1">
        <f t="shared" si="455"/>
        <v>668.97120000000189</v>
      </c>
      <c r="T682" s="1">
        <f t="shared" si="456"/>
        <v>-0.79</v>
      </c>
      <c r="U682" s="1">
        <f t="shared" si="457"/>
        <v>2112.00000000003</v>
      </c>
      <c r="V682" s="1">
        <f t="shared" si="458"/>
        <v>1668.4800000000239</v>
      </c>
    </row>
    <row r="683" spans="1:22" x14ac:dyDescent="0.25">
      <c r="A683" s="1">
        <v>682</v>
      </c>
      <c r="B683" s="4">
        <v>7500</v>
      </c>
      <c r="C683" s="4">
        <v>108.3</v>
      </c>
      <c r="D683" s="4">
        <v>108.6</v>
      </c>
      <c r="E683" s="4">
        <f t="shared" si="450"/>
        <v>0.29999999999999716</v>
      </c>
      <c r="F683" s="4">
        <v>1.5</v>
      </c>
      <c r="G683" s="4">
        <v>-0.79</v>
      </c>
      <c r="H683" s="4">
        <v>79</v>
      </c>
      <c r="I683" s="4"/>
      <c r="J683" s="4">
        <v>50</v>
      </c>
      <c r="K683"/>
      <c r="L683"/>
      <c r="M683" s="4">
        <f t="shared" si="451"/>
        <v>108.6</v>
      </c>
      <c r="N683" s="4"/>
      <c r="O683" s="1">
        <f t="shared" si="452"/>
        <v>108.3</v>
      </c>
      <c r="P683" s="1">
        <f t="shared" si="453"/>
        <v>23.759999999999771</v>
      </c>
      <c r="Q683" s="1" t="str">
        <f t="shared" si="449"/>
        <v/>
      </c>
      <c r="R683" s="1" t="str">
        <f t="shared" si="454"/>
        <v/>
      </c>
      <c r="S683" s="1">
        <f t="shared" si="455"/>
        <v>652.28640000000166</v>
      </c>
      <c r="T683" s="1">
        <f t="shared" si="456"/>
        <v>-0.79</v>
      </c>
      <c r="U683" s="1">
        <f t="shared" si="457"/>
        <v>1583.999999999985</v>
      </c>
      <c r="V683" s="1">
        <f t="shared" si="458"/>
        <v>1251.3599999999883</v>
      </c>
    </row>
    <row r="684" spans="1:22" x14ac:dyDescent="0.25">
      <c r="A684" s="1">
        <v>683</v>
      </c>
      <c r="B684" s="4">
        <v>7500</v>
      </c>
      <c r="C684" s="4">
        <v>108.6</v>
      </c>
      <c r="D684" s="4">
        <v>109.3</v>
      </c>
      <c r="E684" s="4">
        <f t="shared" si="450"/>
        <v>0.70000000000000284</v>
      </c>
      <c r="F684" s="4">
        <v>0</v>
      </c>
      <c r="G684" s="4">
        <v>-0.79</v>
      </c>
      <c r="H684" s="4">
        <v>79</v>
      </c>
      <c r="I684" s="4"/>
      <c r="J684" s="4">
        <v>50</v>
      </c>
      <c r="K684"/>
      <c r="L684"/>
      <c r="M684" s="4">
        <f t="shared" si="451"/>
        <v>109.3</v>
      </c>
      <c r="N684" s="4"/>
      <c r="O684" s="1">
        <f t="shared" si="452"/>
        <v>108.6</v>
      </c>
      <c r="P684" s="1">
        <f t="shared" si="453"/>
        <v>0</v>
      </c>
      <c r="Q684" s="1" t="str">
        <f t="shared" si="449"/>
        <v/>
      </c>
      <c r="R684" s="1" t="str">
        <f t="shared" si="454"/>
        <v/>
      </c>
      <c r="S684" s="1">
        <f t="shared" si="455"/>
        <v>639.77280000000178</v>
      </c>
      <c r="T684" s="1">
        <f t="shared" si="456"/>
        <v>-0.79</v>
      </c>
      <c r="U684" s="1">
        <f t="shared" si="457"/>
        <v>3696.000000000015</v>
      </c>
      <c r="V684" s="1">
        <f t="shared" si="458"/>
        <v>2919.840000000012</v>
      </c>
    </row>
    <row r="685" spans="1:22" x14ac:dyDescent="0.25">
      <c r="A685" s="1">
        <v>684</v>
      </c>
      <c r="B685" s="4">
        <v>7500</v>
      </c>
      <c r="C685" s="4">
        <v>109.3</v>
      </c>
      <c r="D685" s="4">
        <v>109.5</v>
      </c>
      <c r="E685" s="4">
        <f t="shared" si="450"/>
        <v>0.20000000000000284</v>
      </c>
      <c r="F685" s="4">
        <v>0</v>
      </c>
      <c r="G685" s="4">
        <v>-0.74</v>
      </c>
      <c r="H685" s="4">
        <v>79</v>
      </c>
      <c r="I685" s="4"/>
      <c r="J685" s="4">
        <v>50</v>
      </c>
      <c r="K685"/>
      <c r="L685"/>
      <c r="M685" s="4">
        <f t="shared" si="451"/>
        <v>109.5</v>
      </c>
      <c r="N685" s="4"/>
      <c r="O685" s="1">
        <f t="shared" si="452"/>
        <v>109.3</v>
      </c>
      <c r="P685" s="1">
        <f t="shared" si="453"/>
        <v>0</v>
      </c>
      <c r="Q685" s="1" t="str">
        <f t="shared" si="449"/>
        <v/>
      </c>
      <c r="R685" s="1" t="str">
        <f t="shared" si="454"/>
        <v/>
      </c>
      <c r="S685" s="1">
        <f t="shared" si="455"/>
        <v>610.57440000000167</v>
      </c>
      <c r="T685" s="1">
        <f t="shared" si="456"/>
        <v>-0.74</v>
      </c>
      <c r="U685" s="1">
        <f t="shared" si="457"/>
        <v>1056.000000000015</v>
      </c>
      <c r="V685" s="1">
        <f t="shared" si="458"/>
        <v>781.44000000001108</v>
      </c>
    </row>
    <row r="686" spans="1:22" x14ac:dyDescent="0.25">
      <c r="A686" s="1">
        <v>685</v>
      </c>
      <c r="B686" s="4">
        <v>7500</v>
      </c>
      <c r="C686" s="4">
        <v>109.5</v>
      </c>
      <c r="D686" s="4">
        <v>109.6</v>
      </c>
      <c r="E686" s="4">
        <f t="shared" si="450"/>
        <v>9.9999999999994316E-2</v>
      </c>
      <c r="F686" s="4">
        <v>0</v>
      </c>
      <c r="G686" s="4">
        <v>-0.62</v>
      </c>
      <c r="H686" s="4">
        <v>79</v>
      </c>
      <c r="I686" s="4"/>
      <c r="J686" s="4">
        <v>50</v>
      </c>
      <c r="K686"/>
      <c r="L686"/>
      <c r="M686" s="4">
        <f t="shared" si="451"/>
        <v>109.6</v>
      </c>
      <c r="N686" s="4"/>
      <c r="O686" s="1">
        <f t="shared" si="452"/>
        <v>109.5</v>
      </c>
      <c r="P686" s="1">
        <f t="shared" si="453"/>
        <v>0</v>
      </c>
      <c r="Q686" s="1" t="str">
        <f t="shared" si="449"/>
        <v/>
      </c>
      <c r="R686" s="1" t="str">
        <f t="shared" si="454"/>
        <v/>
      </c>
      <c r="S686" s="1">
        <f t="shared" si="455"/>
        <v>602.76000000000158</v>
      </c>
      <c r="T686" s="1">
        <f t="shared" si="456"/>
        <v>-0.62</v>
      </c>
      <c r="U686" s="1">
        <f t="shared" si="457"/>
        <v>527.99999999996999</v>
      </c>
      <c r="V686" s="1">
        <f t="shared" si="458"/>
        <v>327.35999999998137</v>
      </c>
    </row>
    <row r="687" spans="1:22" x14ac:dyDescent="0.25">
      <c r="A687" s="1">
        <v>686</v>
      </c>
      <c r="B687" s="4">
        <v>7500</v>
      </c>
      <c r="C687" s="4">
        <v>109.6</v>
      </c>
      <c r="D687" s="4">
        <v>109.8</v>
      </c>
      <c r="E687" s="4">
        <f t="shared" si="450"/>
        <v>0.20000000000000284</v>
      </c>
      <c r="F687" s="4">
        <v>0</v>
      </c>
      <c r="G687" s="4">
        <v>-0.38</v>
      </c>
      <c r="H687" s="4">
        <v>79</v>
      </c>
      <c r="I687" s="4"/>
      <c r="J687" s="4">
        <v>50</v>
      </c>
      <c r="K687"/>
      <c r="L687"/>
      <c r="M687" s="4">
        <f t="shared" si="451"/>
        <v>109.8</v>
      </c>
      <c r="N687" s="4"/>
      <c r="O687" s="1">
        <f t="shared" si="452"/>
        <v>109.6</v>
      </c>
      <c r="P687" s="1">
        <f t="shared" si="453"/>
        <v>0</v>
      </c>
      <c r="Q687" s="1" t="str">
        <f t="shared" si="449"/>
        <v/>
      </c>
      <c r="R687" s="1" t="str">
        <f t="shared" si="454"/>
        <v/>
      </c>
      <c r="S687" s="1">
        <f t="shared" si="455"/>
        <v>599.48640000000182</v>
      </c>
      <c r="T687" s="1">
        <f t="shared" si="456"/>
        <v>-0.38</v>
      </c>
      <c r="U687" s="1">
        <f t="shared" si="457"/>
        <v>1056.000000000015</v>
      </c>
      <c r="V687" s="1">
        <f t="shared" si="458"/>
        <v>401.28000000000571</v>
      </c>
    </row>
    <row r="688" spans="1:22" x14ac:dyDescent="0.25">
      <c r="A688" s="1">
        <v>687</v>
      </c>
      <c r="B688" s="4">
        <v>7500</v>
      </c>
      <c r="C688" s="4">
        <v>109.8</v>
      </c>
      <c r="D688" s="4">
        <v>110</v>
      </c>
      <c r="E688" s="4">
        <f t="shared" si="450"/>
        <v>0.20000000000000284</v>
      </c>
      <c r="F688" s="4">
        <v>1.9</v>
      </c>
      <c r="G688" s="4">
        <v>-0.26</v>
      </c>
      <c r="H688" s="4">
        <v>79</v>
      </c>
      <c r="I688" s="4"/>
      <c r="J688" s="4">
        <v>50</v>
      </c>
      <c r="K688"/>
      <c r="L688"/>
      <c r="M688" s="4">
        <f t="shared" si="451"/>
        <v>110</v>
      </c>
      <c r="N688" s="4"/>
      <c r="O688" s="1">
        <f t="shared" si="452"/>
        <v>109.8</v>
      </c>
      <c r="P688" s="1">
        <f t="shared" si="453"/>
        <v>20.064000000000284</v>
      </c>
      <c r="Q688" s="1" t="str">
        <f t="shared" si="449"/>
        <v/>
      </c>
      <c r="R688" s="1" t="str">
        <f t="shared" si="454"/>
        <v/>
      </c>
      <c r="S688" s="1">
        <f t="shared" si="455"/>
        <v>595.47360000000174</v>
      </c>
      <c r="T688" s="1">
        <f t="shared" si="456"/>
        <v>-0.26</v>
      </c>
      <c r="U688" s="1">
        <f t="shared" si="457"/>
        <v>1056.000000000015</v>
      </c>
      <c r="V688" s="1">
        <f t="shared" si="458"/>
        <v>274.56000000000392</v>
      </c>
    </row>
    <row r="689" spans="1:22" x14ac:dyDescent="0.25">
      <c r="A689" s="1">
        <v>688</v>
      </c>
      <c r="B689" s="4">
        <v>7500</v>
      </c>
      <c r="C689" s="4">
        <v>110</v>
      </c>
      <c r="D689" s="4">
        <v>110.1</v>
      </c>
      <c r="E689" s="4">
        <f t="shared" si="450"/>
        <v>9.9999999999994316E-2</v>
      </c>
      <c r="F689" s="4">
        <v>1.9</v>
      </c>
      <c r="G689" s="4">
        <v>-0.14000000000000001</v>
      </c>
      <c r="H689" s="4">
        <v>79</v>
      </c>
      <c r="I689" s="4"/>
      <c r="J689" s="4">
        <v>50</v>
      </c>
      <c r="K689"/>
      <c r="L689"/>
      <c r="M689" s="4">
        <f t="shared" si="451"/>
        <v>110.1</v>
      </c>
      <c r="N689" s="4"/>
      <c r="O689" s="1">
        <f t="shared" si="452"/>
        <v>110</v>
      </c>
      <c r="P689" s="1">
        <f t="shared" si="453"/>
        <v>10.03199999999943</v>
      </c>
      <c r="Q689" s="1" t="str">
        <f t="shared" si="449"/>
        <v/>
      </c>
      <c r="R689" s="1" t="str">
        <f t="shared" si="454"/>
        <v/>
      </c>
      <c r="S689" s="1">
        <f t="shared" si="455"/>
        <v>592.72800000000166</v>
      </c>
      <c r="T689" s="1">
        <f t="shared" si="456"/>
        <v>-0.14000000000000001</v>
      </c>
      <c r="U689" s="1">
        <f t="shared" si="457"/>
        <v>527.99999999996999</v>
      </c>
      <c r="V689" s="1">
        <f t="shared" si="458"/>
        <v>73.91999999999581</v>
      </c>
    </row>
    <row r="690" spans="1:22" x14ac:dyDescent="0.25">
      <c r="A690" s="1">
        <v>689</v>
      </c>
      <c r="B690" s="4">
        <v>7500</v>
      </c>
      <c r="C690" s="4">
        <v>110.1</v>
      </c>
      <c r="D690" s="4">
        <v>110.19999999999999</v>
      </c>
      <c r="E690" s="4">
        <f t="shared" si="450"/>
        <v>9.9999999999994316E-2</v>
      </c>
      <c r="F690" s="4">
        <v>2</v>
      </c>
      <c r="G690" s="4">
        <v>0.09</v>
      </c>
      <c r="H690" s="4">
        <v>79</v>
      </c>
      <c r="I690" s="4"/>
      <c r="J690" s="4">
        <v>50</v>
      </c>
      <c r="K690"/>
      <c r="L690"/>
      <c r="M690" s="4">
        <f t="shared" si="451"/>
        <v>110.19999999999999</v>
      </c>
      <c r="N690" s="4"/>
      <c r="O690" s="1">
        <f t="shared" si="452"/>
        <v>110.1</v>
      </c>
      <c r="P690" s="1">
        <f t="shared" si="453"/>
        <v>10.559999999999398</v>
      </c>
      <c r="Q690" s="1" t="str">
        <f t="shared" si="449"/>
        <v/>
      </c>
      <c r="R690" s="1" t="str">
        <f t="shared" si="454"/>
        <v/>
      </c>
      <c r="S690" s="1">
        <f t="shared" si="455"/>
        <v>591.98880000000167</v>
      </c>
      <c r="T690" s="1">
        <f t="shared" si="456"/>
        <v>0.09</v>
      </c>
      <c r="U690" s="1">
        <f t="shared" si="457"/>
        <v>527.99999999996999</v>
      </c>
      <c r="V690" s="1">
        <f t="shared" si="458"/>
        <v>47.519999999997296</v>
      </c>
    </row>
    <row r="691" spans="1:22" x14ac:dyDescent="0.25">
      <c r="A691" s="1">
        <v>690</v>
      </c>
      <c r="B691" s="4">
        <v>7500</v>
      </c>
      <c r="C691" s="4">
        <v>110.19999999999999</v>
      </c>
      <c r="D691" s="4">
        <v>110.3</v>
      </c>
      <c r="E691" s="4">
        <f t="shared" si="450"/>
        <v>0.10000000000000853</v>
      </c>
      <c r="F691" s="4">
        <v>0</v>
      </c>
      <c r="G691" s="4">
        <v>0.09</v>
      </c>
      <c r="H691" s="4">
        <v>79</v>
      </c>
      <c r="I691" s="4"/>
      <c r="J691" s="4">
        <v>50</v>
      </c>
      <c r="K691"/>
      <c r="L691"/>
      <c r="M691" s="4">
        <f t="shared" si="451"/>
        <v>110.3</v>
      </c>
      <c r="N691" s="4"/>
      <c r="O691" s="1">
        <f t="shared" si="452"/>
        <v>110.19999999999999</v>
      </c>
      <c r="P691" s="1">
        <f t="shared" si="453"/>
        <v>0</v>
      </c>
      <c r="Q691" s="1" t="str">
        <f t="shared" si="449"/>
        <v/>
      </c>
      <c r="R691" s="1" t="str">
        <f t="shared" si="454"/>
        <v/>
      </c>
      <c r="S691" s="1">
        <f t="shared" si="455"/>
        <v>592.46400000000165</v>
      </c>
      <c r="T691" s="1">
        <f t="shared" si="456"/>
        <v>0.09</v>
      </c>
      <c r="U691" s="1">
        <f t="shared" si="457"/>
        <v>528.00000000004502</v>
      </c>
      <c r="V691" s="1">
        <f t="shared" si="458"/>
        <v>47.520000000004053</v>
      </c>
    </row>
    <row r="692" spans="1:22" x14ac:dyDescent="0.25">
      <c r="A692" s="1">
        <v>691</v>
      </c>
      <c r="B692" s="4">
        <v>7500</v>
      </c>
      <c r="C692" s="4">
        <v>110.3</v>
      </c>
      <c r="D692" s="4">
        <v>110.39999999999999</v>
      </c>
      <c r="E692" s="4">
        <f t="shared" si="450"/>
        <v>9.9999999999994316E-2</v>
      </c>
      <c r="F692" s="4">
        <v>0</v>
      </c>
      <c r="G692" s="4">
        <v>0.09</v>
      </c>
      <c r="H692" s="4">
        <v>79</v>
      </c>
      <c r="I692" s="4"/>
      <c r="J692" s="4">
        <v>50</v>
      </c>
      <c r="K692"/>
      <c r="L692"/>
      <c r="M692" s="4">
        <f t="shared" si="451"/>
        <v>110.39999999999999</v>
      </c>
      <c r="N692" s="4"/>
      <c r="O692" s="1">
        <f t="shared" si="452"/>
        <v>110.3</v>
      </c>
      <c r="P692" s="1">
        <f t="shared" si="453"/>
        <v>0</v>
      </c>
      <c r="Q692" s="1" t="str">
        <f t="shared" si="449"/>
        <v/>
      </c>
      <c r="R692" s="1" t="str">
        <f t="shared" si="454"/>
        <v/>
      </c>
      <c r="S692" s="1">
        <f t="shared" si="455"/>
        <v>592.93920000000173</v>
      </c>
      <c r="T692" s="1">
        <f t="shared" si="456"/>
        <v>0.09</v>
      </c>
      <c r="U692" s="1">
        <f t="shared" si="457"/>
        <v>527.99999999996999</v>
      </c>
      <c r="V692" s="1">
        <f t="shared" si="458"/>
        <v>47.519999999997296</v>
      </c>
    </row>
    <row r="693" spans="1:22" x14ac:dyDescent="0.25">
      <c r="A693" s="1">
        <v>692</v>
      </c>
      <c r="B693" s="4">
        <v>7500</v>
      </c>
      <c r="C693" s="4">
        <v>110.39999999999999</v>
      </c>
      <c r="D693" s="4">
        <v>110.69999999999999</v>
      </c>
      <c r="E693" s="4">
        <f t="shared" si="450"/>
        <v>0.29999999999999716</v>
      </c>
      <c r="F693" s="4">
        <v>0</v>
      </c>
      <c r="G693" s="4">
        <v>0.21</v>
      </c>
      <c r="H693" s="4">
        <v>79</v>
      </c>
      <c r="I693" s="4"/>
      <c r="J693" s="4">
        <v>50</v>
      </c>
      <c r="K693"/>
      <c r="L693"/>
      <c r="M693" s="4">
        <f t="shared" si="451"/>
        <v>110.69999999999999</v>
      </c>
      <c r="N693" s="4"/>
      <c r="O693" s="1">
        <f t="shared" si="452"/>
        <v>110.39999999999999</v>
      </c>
      <c r="P693" s="1">
        <f t="shared" si="453"/>
        <v>0</v>
      </c>
      <c r="Q693" s="1" t="str">
        <f t="shared" si="449"/>
        <v/>
      </c>
      <c r="R693" s="1" t="str">
        <f t="shared" si="454"/>
        <v/>
      </c>
      <c r="S693" s="1">
        <f t="shared" si="455"/>
        <v>593.41440000000171</v>
      </c>
      <c r="T693" s="1">
        <f t="shared" si="456"/>
        <v>0.21</v>
      </c>
      <c r="U693" s="1">
        <f t="shared" si="457"/>
        <v>1583.999999999985</v>
      </c>
      <c r="V693" s="1">
        <f t="shared" si="458"/>
        <v>332.63999999999686</v>
      </c>
    </row>
    <row r="694" spans="1:22" x14ac:dyDescent="0.25">
      <c r="A694" s="1">
        <v>693</v>
      </c>
      <c r="B694" s="4">
        <v>7500</v>
      </c>
      <c r="C694" s="4">
        <v>110.69999999999999</v>
      </c>
      <c r="D694" s="4">
        <v>110.89999999999999</v>
      </c>
      <c r="E694" s="4">
        <f t="shared" si="450"/>
        <v>0.20000000000000284</v>
      </c>
      <c r="F694" s="4">
        <v>0</v>
      </c>
      <c r="G694" s="4">
        <v>0.12</v>
      </c>
      <c r="H694" s="4">
        <v>79</v>
      </c>
      <c r="I694" s="4"/>
      <c r="J694" s="4">
        <v>50</v>
      </c>
      <c r="K694"/>
      <c r="L694"/>
      <c r="M694" s="4">
        <f t="shared" si="451"/>
        <v>110.89999999999999</v>
      </c>
      <c r="N694" s="4"/>
      <c r="O694" s="1">
        <f t="shared" si="452"/>
        <v>110.69999999999999</v>
      </c>
      <c r="P694" s="1">
        <f t="shared" si="453"/>
        <v>0</v>
      </c>
      <c r="Q694" s="1" t="str">
        <f t="shared" si="449"/>
        <v/>
      </c>
      <c r="R694" s="1" t="str">
        <f t="shared" si="454"/>
        <v/>
      </c>
      <c r="S694" s="1">
        <f t="shared" si="455"/>
        <v>596.74080000000163</v>
      </c>
      <c r="T694" s="1">
        <f t="shared" si="456"/>
        <v>0.12</v>
      </c>
      <c r="U694" s="1">
        <f t="shared" si="457"/>
        <v>1056.000000000015</v>
      </c>
      <c r="V694" s="1">
        <f t="shared" si="458"/>
        <v>126.72000000000179</v>
      </c>
    </row>
    <row r="695" spans="1:22" x14ac:dyDescent="0.25">
      <c r="A695" s="1">
        <v>694</v>
      </c>
      <c r="B695" s="4">
        <v>7500</v>
      </c>
      <c r="C695" s="4">
        <v>110.89999999999999</v>
      </c>
      <c r="D695" s="4">
        <v>111</v>
      </c>
      <c r="E695" s="4">
        <f t="shared" si="450"/>
        <v>0.10000000000000853</v>
      </c>
      <c r="F695" s="4">
        <v>0</v>
      </c>
      <c r="G695" s="4">
        <v>-0.05</v>
      </c>
      <c r="H695" s="4">
        <v>79</v>
      </c>
      <c r="I695" s="4"/>
      <c r="J695" s="4">
        <v>50</v>
      </c>
      <c r="K695"/>
      <c r="L695"/>
      <c r="M695" s="4">
        <f t="shared" si="451"/>
        <v>111</v>
      </c>
      <c r="N695" s="4"/>
      <c r="O695" s="1">
        <f t="shared" si="452"/>
        <v>110.89999999999999</v>
      </c>
      <c r="P695" s="1">
        <f t="shared" si="453"/>
        <v>0</v>
      </c>
      <c r="Q695" s="1" t="str">
        <f t="shared" si="449"/>
        <v/>
      </c>
      <c r="R695" s="1" t="str">
        <f t="shared" si="454"/>
        <v/>
      </c>
      <c r="S695" s="1">
        <f t="shared" si="455"/>
        <v>598.00800000000163</v>
      </c>
      <c r="T695" s="1">
        <f t="shared" si="456"/>
        <v>-0.05</v>
      </c>
      <c r="U695" s="1">
        <f t="shared" si="457"/>
        <v>528.00000000004502</v>
      </c>
      <c r="V695" s="1">
        <f t="shared" si="458"/>
        <v>26.400000000002251</v>
      </c>
    </row>
    <row r="696" spans="1:22" x14ac:dyDescent="0.25">
      <c r="A696" s="1">
        <v>695</v>
      </c>
      <c r="B696" s="4">
        <v>7500</v>
      </c>
      <c r="C696" s="4">
        <v>111</v>
      </c>
      <c r="D696" s="4">
        <v>111.3</v>
      </c>
      <c r="E696" s="4">
        <f t="shared" si="450"/>
        <v>0.29999999999999716</v>
      </c>
      <c r="F696" s="4">
        <v>0</v>
      </c>
      <c r="G696" s="4">
        <v>-0.14000000000000001</v>
      </c>
      <c r="H696" s="4">
        <v>79</v>
      </c>
      <c r="I696" s="4"/>
      <c r="J696" s="4">
        <v>50</v>
      </c>
      <c r="K696"/>
      <c r="L696"/>
      <c r="M696" s="4">
        <f t="shared" si="451"/>
        <v>111.3</v>
      </c>
      <c r="N696" s="4"/>
      <c r="O696" s="1">
        <f t="shared" si="452"/>
        <v>111</v>
      </c>
      <c r="P696" s="1">
        <f t="shared" si="453"/>
        <v>0</v>
      </c>
      <c r="Q696" s="1" t="str">
        <f t="shared" si="449"/>
        <v/>
      </c>
      <c r="R696" s="1" t="str">
        <f t="shared" si="454"/>
        <v/>
      </c>
      <c r="S696" s="1">
        <f t="shared" si="455"/>
        <v>597.74400000000162</v>
      </c>
      <c r="T696" s="1">
        <f t="shared" si="456"/>
        <v>-0.14000000000000001</v>
      </c>
      <c r="U696" s="1">
        <f t="shared" si="457"/>
        <v>1583.999999999985</v>
      </c>
      <c r="V696" s="1">
        <f t="shared" si="458"/>
        <v>221.75999999999792</v>
      </c>
    </row>
    <row r="697" spans="1:22" x14ac:dyDescent="0.25">
      <c r="A697" s="1">
        <v>696</v>
      </c>
      <c r="B697" s="4">
        <v>7500</v>
      </c>
      <c r="C697" s="4">
        <v>111.3</v>
      </c>
      <c r="D697" s="4">
        <v>111.39999999999999</v>
      </c>
      <c r="E697" s="4">
        <f t="shared" si="450"/>
        <v>9.9999999999994316E-2</v>
      </c>
      <c r="F697" s="4">
        <v>1</v>
      </c>
      <c r="G697" s="4">
        <v>-0.14000000000000001</v>
      </c>
      <c r="H697" s="4">
        <v>79</v>
      </c>
      <c r="I697" s="4"/>
      <c r="J697" s="4">
        <v>50</v>
      </c>
      <c r="K697"/>
      <c r="L697"/>
      <c r="M697" s="4">
        <f t="shared" si="451"/>
        <v>111.39999999999999</v>
      </c>
      <c r="N697" s="4"/>
      <c r="O697" s="1">
        <f t="shared" si="452"/>
        <v>111.3</v>
      </c>
      <c r="P697" s="1">
        <f t="shared" si="453"/>
        <v>5.2799999999996992</v>
      </c>
      <c r="Q697" s="1" t="str">
        <f t="shared" si="449"/>
        <v/>
      </c>
      <c r="R697" s="1" t="str">
        <f t="shared" si="454"/>
        <v/>
      </c>
      <c r="S697" s="1">
        <f t="shared" si="455"/>
        <v>595.52640000000167</v>
      </c>
      <c r="T697" s="1">
        <f t="shared" si="456"/>
        <v>-0.14000000000000001</v>
      </c>
      <c r="U697" s="1">
        <f t="shared" si="457"/>
        <v>527.99999999996999</v>
      </c>
      <c r="V697" s="1">
        <f t="shared" si="458"/>
        <v>73.91999999999581</v>
      </c>
    </row>
    <row r="698" spans="1:22" x14ac:dyDescent="0.25">
      <c r="A698" s="1">
        <v>697</v>
      </c>
      <c r="B698" s="4">
        <v>7500</v>
      </c>
      <c r="C698" s="4">
        <v>111.39999999999999</v>
      </c>
      <c r="D698" s="4">
        <v>111.5</v>
      </c>
      <c r="E698" s="4">
        <f t="shared" si="450"/>
        <v>0.10000000000000853</v>
      </c>
      <c r="F698" s="4">
        <v>1</v>
      </c>
      <c r="G698" s="4">
        <v>-0.19</v>
      </c>
      <c r="H698" s="4">
        <v>79</v>
      </c>
      <c r="I698" s="4"/>
      <c r="J698" s="4">
        <v>50</v>
      </c>
      <c r="K698"/>
      <c r="L698"/>
      <c r="M698" s="4">
        <f t="shared" si="451"/>
        <v>111.5</v>
      </c>
      <c r="N698" s="4"/>
      <c r="O698" s="1">
        <f t="shared" si="452"/>
        <v>111.39999999999999</v>
      </c>
      <c r="P698" s="1">
        <f t="shared" si="453"/>
        <v>5.2800000000004497</v>
      </c>
      <c r="Q698" s="1" t="str">
        <f t="shared" si="449"/>
        <v/>
      </c>
      <c r="R698" s="1" t="str">
        <f t="shared" si="454"/>
        <v/>
      </c>
      <c r="S698" s="1">
        <f t="shared" si="455"/>
        <v>594.78720000000169</v>
      </c>
      <c r="T698" s="1">
        <f t="shared" si="456"/>
        <v>-0.19</v>
      </c>
      <c r="U698" s="1">
        <f t="shared" si="457"/>
        <v>528.00000000004502</v>
      </c>
      <c r="V698" s="1">
        <f t="shared" si="458"/>
        <v>100.32000000000855</v>
      </c>
    </row>
    <row r="699" spans="1:22" x14ac:dyDescent="0.25">
      <c r="A699" s="1">
        <v>698</v>
      </c>
      <c r="B699" s="4">
        <v>7500</v>
      </c>
      <c r="C699" s="4">
        <v>111.5</v>
      </c>
      <c r="D699" s="4">
        <v>111.6</v>
      </c>
      <c r="E699" s="4">
        <f t="shared" si="450"/>
        <v>9.9999999999994316E-2</v>
      </c>
      <c r="F699" s="4">
        <v>0</v>
      </c>
      <c r="G699" s="4">
        <v>-0.19</v>
      </c>
      <c r="H699" s="4">
        <v>79</v>
      </c>
      <c r="I699" s="4"/>
      <c r="J699" s="4">
        <v>50</v>
      </c>
      <c r="K699"/>
      <c r="L699"/>
      <c r="M699" s="4">
        <f t="shared" si="451"/>
        <v>111.6</v>
      </c>
      <c r="N699" s="4"/>
      <c r="O699" s="1">
        <f t="shared" si="452"/>
        <v>111.5</v>
      </c>
      <c r="P699" s="1">
        <f t="shared" si="453"/>
        <v>0</v>
      </c>
      <c r="Q699" s="1" t="str">
        <f t="shared" si="449"/>
        <v/>
      </c>
      <c r="R699" s="1" t="str">
        <f t="shared" si="454"/>
        <v/>
      </c>
      <c r="S699" s="1">
        <f t="shared" si="455"/>
        <v>593.78400000000158</v>
      </c>
      <c r="T699" s="1">
        <f t="shared" si="456"/>
        <v>-0.19</v>
      </c>
      <c r="U699" s="1">
        <f t="shared" si="457"/>
        <v>527.99999999996999</v>
      </c>
      <c r="V699" s="1">
        <f t="shared" si="458"/>
        <v>100.31999999999429</v>
      </c>
    </row>
    <row r="700" spans="1:22" x14ac:dyDescent="0.25">
      <c r="A700" s="1">
        <v>699</v>
      </c>
      <c r="B700" s="4">
        <v>7500</v>
      </c>
      <c r="C700" s="4">
        <v>111.6</v>
      </c>
      <c r="D700" s="4">
        <v>111.69999999999999</v>
      </c>
      <c r="E700" s="4">
        <f t="shared" si="450"/>
        <v>9.9999999999994316E-2</v>
      </c>
      <c r="F700" s="4">
        <v>0</v>
      </c>
      <c r="G700" s="4">
        <v>-0.15</v>
      </c>
      <c r="H700" s="4">
        <v>79</v>
      </c>
      <c r="I700" s="4"/>
      <c r="J700" s="4">
        <v>50</v>
      </c>
      <c r="K700"/>
      <c r="L700"/>
      <c r="M700" s="4">
        <f t="shared" si="451"/>
        <v>111.69999999999999</v>
      </c>
      <c r="N700" s="4"/>
      <c r="O700" s="1">
        <f t="shared" si="452"/>
        <v>111.6</v>
      </c>
      <c r="P700" s="1">
        <f t="shared" si="453"/>
        <v>0</v>
      </c>
      <c r="Q700" s="1" t="str">
        <f t="shared" si="449"/>
        <v/>
      </c>
      <c r="R700" s="1" t="str">
        <f t="shared" si="454"/>
        <v/>
      </c>
      <c r="S700" s="1">
        <f t="shared" si="455"/>
        <v>592.78080000000159</v>
      </c>
      <c r="T700" s="1">
        <f t="shared" si="456"/>
        <v>-0.15</v>
      </c>
      <c r="U700" s="1">
        <f t="shared" si="457"/>
        <v>527.99999999996999</v>
      </c>
      <c r="V700" s="1">
        <f t="shared" si="458"/>
        <v>79.199999999995498</v>
      </c>
    </row>
    <row r="701" spans="1:22" x14ac:dyDescent="0.25">
      <c r="A701" s="1">
        <v>700</v>
      </c>
      <c r="B701" s="4">
        <v>7500</v>
      </c>
      <c r="C701" s="4">
        <v>111.69999999999999</v>
      </c>
      <c r="D701" s="4">
        <v>111.8</v>
      </c>
      <c r="E701" s="4">
        <f t="shared" si="450"/>
        <v>0.10000000000000853</v>
      </c>
      <c r="F701" s="4">
        <v>2</v>
      </c>
      <c r="G701" s="4">
        <v>-0.05</v>
      </c>
      <c r="H701" s="4">
        <v>79</v>
      </c>
      <c r="I701" s="4"/>
      <c r="J701" s="4">
        <v>50</v>
      </c>
      <c r="K701"/>
      <c r="L701"/>
      <c r="M701" s="4">
        <f t="shared" si="451"/>
        <v>111.8</v>
      </c>
      <c r="N701" s="4"/>
      <c r="O701" s="1">
        <f t="shared" si="452"/>
        <v>111.69999999999999</v>
      </c>
      <c r="P701" s="1">
        <f t="shared" si="453"/>
        <v>10.560000000000899</v>
      </c>
      <c r="Q701" s="1" t="str">
        <f t="shared" si="449"/>
        <v/>
      </c>
      <c r="R701" s="1" t="str">
        <f t="shared" si="454"/>
        <v/>
      </c>
      <c r="S701" s="1">
        <f t="shared" si="455"/>
        <v>591.98880000000167</v>
      </c>
      <c r="T701" s="1">
        <f t="shared" si="456"/>
        <v>-0.05</v>
      </c>
      <c r="U701" s="1">
        <f t="shared" si="457"/>
        <v>528.00000000004502</v>
      </c>
      <c r="V701" s="1">
        <f t="shared" si="458"/>
        <v>26.400000000002251</v>
      </c>
    </row>
    <row r="702" spans="1:22" x14ac:dyDescent="0.25">
      <c r="A702" s="1">
        <v>701</v>
      </c>
      <c r="B702" s="4">
        <v>7500</v>
      </c>
      <c r="C702" s="4">
        <v>111.8</v>
      </c>
      <c r="D702" s="4">
        <v>111.89999999999999</v>
      </c>
      <c r="E702" s="4">
        <f t="shared" si="450"/>
        <v>9.9999999999994316E-2</v>
      </c>
      <c r="F702" s="4">
        <v>2</v>
      </c>
      <c r="G702" s="4">
        <v>-0.01</v>
      </c>
      <c r="H702" s="4">
        <v>79</v>
      </c>
      <c r="I702" s="4"/>
      <c r="J702" s="4">
        <v>50</v>
      </c>
      <c r="K702"/>
      <c r="L702"/>
      <c r="M702" s="4">
        <f t="shared" si="451"/>
        <v>111.89999999999999</v>
      </c>
      <c r="N702" s="4"/>
      <c r="O702" s="1">
        <f t="shared" si="452"/>
        <v>111.8</v>
      </c>
      <c r="P702" s="1">
        <f t="shared" si="453"/>
        <v>10.559999999999398</v>
      </c>
      <c r="Q702" s="1" t="str">
        <f t="shared" si="449"/>
        <v/>
      </c>
      <c r="R702" s="1" t="str">
        <f t="shared" si="454"/>
        <v/>
      </c>
      <c r="S702" s="1">
        <f t="shared" si="455"/>
        <v>591.72480000000166</v>
      </c>
      <c r="T702" s="1">
        <f t="shared" si="456"/>
        <v>-0.01</v>
      </c>
      <c r="U702" s="1">
        <f t="shared" si="457"/>
        <v>527.99999999996999</v>
      </c>
      <c r="V702" s="1">
        <f t="shared" si="458"/>
        <v>5.2799999999997</v>
      </c>
    </row>
    <row r="703" spans="1:22" x14ac:dyDescent="0.25">
      <c r="A703" s="1">
        <v>702</v>
      </c>
      <c r="B703" s="4">
        <v>7500</v>
      </c>
      <c r="C703" s="4">
        <v>111.89999999999999</v>
      </c>
      <c r="D703" s="4">
        <v>112</v>
      </c>
      <c r="E703" s="4">
        <f t="shared" si="450"/>
        <v>0.10000000000000853</v>
      </c>
      <c r="F703" s="4">
        <v>0</v>
      </c>
      <c r="G703" s="4">
        <v>-0.01</v>
      </c>
      <c r="H703" s="4">
        <v>79</v>
      </c>
      <c r="I703" s="4"/>
      <c r="J703" s="4">
        <v>50</v>
      </c>
      <c r="K703"/>
      <c r="L703"/>
      <c r="M703" s="4">
        <f t="shared" si="451"/>
        <v>112</v>
      </c>
      <c r="N703" s="4"/>
      <c r="O703" s="1">
        <f t="shared" si="452"/>
        <v>111.89999999999999</v>
      </c>
      <c r="P703" s="1">
        <f t="shared" si="453"/>
        <v>0</v>
      </c>
      <c r="Q703" s="1" t="str">
        <f t="shared" si="449"/>
        <v/>
      </c>
      <c r="R703" s="1" t="str">
        <f t="shared" si="454"/>
        <v/>
      </c>
      <c r="S703" s="1">
        <f t="shared" si="455"/>
        <v>591.67200000000162</v>
      </c>
      <c r="T703" s="1">
        <f t="shared" si="456"/>
        <v>-0.01</v>
      </c>
      <c r="U703" s="1">
        <f t="shared" si="457"/>
        <v>528.00000000004502</v>
      </c>
      <c r="V703" s="1">
        <f t="shared" si="458"/>
        <v>5.2800000000004506</v>
      </c>
    </row>
    <row r="704" spans="1:22" x14ac:dyDescent="0.25">
      <c r="A704" s="1">
        <v>703</v>
      </c>
      <c r="B704" s="4">
        <v>7500</v>
      </c>
      <c r="C704" s="4">
        <v>112</v>
      </c>
      <c r="D704" s="4">
        <v>112.1</v>
      </c>
      <c r="E704" s="4">
        <f t="shared" si="450"/>
        <v>9.9999999999994316E-2</v>
      </c>
      <c r="F704" s="4">
        <v>0</v>
      </c>
      <c r="G704" s="4">
        <v>0.01</v>
      </c>
      <c r="H704" s="4">
        <v>79</v>
      </c>
      <c r="I704" s="4"/>
      <c r="J704" s="4">
        <v>50</v>
      </c>
      <c r="K704"/>
      <c r="L704"/>
      <c r="M704" s="4">
        <f t="shared" si="451"/>
        <v>112.1</v>
      </c>
      <c r="N704" s="4"/>
      <c r="O704" s="1">
        <f t="shared" si="452"/>
        <v>112</v>
      </c>
      <c r="P704" s="1">
        <f t="shared" si="453"/>
        <v>0</v>
      </c>
      <c r="Q704" s="1" t="str">
        <f t="shared" si="449"/>
        <v/>
      </c>
      <c r="R704" s="1" t="str">
        <f t="shared" si="454"/>
        <v/>
      </c>
      <c r="S704" s="1">
        <f t="shared" si="455"/>
        <v>591.61920000000157</v>
      </c>
      <c r="T704" s="1">
        <f t="shared" si="456"/>
        <v>0.01</v>
      </c>
      <c r="U704" s="1">
        <f t="shared" si="457"/>
        <v>527.99999999996999</v>
      </c>
      <c r="V704" s="1">
        <f t="shared" si="458"/>
        <v>5.2799999999997</v>
      </c>
    </row>
    <row r="705" spans="1:22" x14ac:dyDescent="0.25">
      <c r="A705" s="1">
        <v>704</v>
      </c>
      <c r="B705" s="4">
        <v>7500</v>
      </c>
      <c r="C705" s="4">
        <v>112.1</v>
      </c>
      <c r="D705" s="4">
        <v>112.3</v>
      </c>
      <c r="E705" s="4">
        <f t="shared" si="450"/>
        <v>0.20000000000000284</v>
      </c>
      <c r="F705" s="4">
        <v>0</v>
      </c>
      <c r="G705" s="4">
        <v>0.05</v>
      </c>
      <c r="H705" s="4">
        <v>79</v>
      </c>
      <c r="I705" s="4"/>
      <c r="J705" s="4">
        <v>50</v>
      </c>
      <c r="K705"/>
      <c r="L705"/>
      <c r="M705" s="4">
        <f t="shared" si="451"/>
        <v>112.3</v>
      </c>
      <c r="N705" s="4"/>
      <c r="O705" s="1">
        <f t="shared" si="452"/>
        <v>112.1</v>
      </c>
      <c r="P705" s="1">
        <f t="shared" si="453"/>
        <v>0</v>
      </c>
      <c r="Q705" s="1" t="str">
        <f t="shared" si="449"/>
        <v/>
      </c>
      <c r="R705" s="1" t="str">
        <f t="shared" si="454"/>
        <v/>
      </c>
      <c r="S705" s="1">
        <f t="shared" si="455"/>
        <v>591.67200000000162</v>
      </c>
      <c r="T705" s="1">
        <f t="shared" si="456"/>
        <v>0.05</v>
      </c>
      <c r="U705" s="1">
        <f t="shared" si="457"/>
        <v>1056.000000000015</v>
      </c>
      <c r="V705" s="1">
        <f t="shared" si="458"/>
        <v>52.80000000000075</v>
      </c>
    </row>
    <row r="706" spans="1:22" x14ac:dyDescent="0.25">
      <c r="A706" s="1">
        <v>705</v>
      </c>
      <c r="B706" s="4">
        <v>7500</v>
      </c>
      <c r="C706" s="4">
        <v>112.3</v>
      </c>
      <c r="D706" s="4">
        <v>112.5</v>
      </c>
      <c r="E706" s="4">
        <f t="shared" si="450"/>
        <v>0.20000000000000284</v>
      </c>
      <c r="F706" s="4">
        <v>0</v>
      </c>
      <c r="G706" s="4">
        <v>7.0000000000000007E-2</v>
      </c>
      <c r="H706" s="4">
        <v>79</v>
      </c>
      <c r="I706" s="4"/>
      <c r="J706" s="4">
        <v>50</v>
      </c>
      <c r="K706"/>
      <c r="L706"/>
      <c r="M706" s="4">
        <f t="shared" si="451"/>
        <v>112.5</v>
      </c>
      <c r="N706" s="4"/>
      <c r="O706" s="1">
        <f t="shared" si="452"/>
        <v>112.3</v>
      </c>
      <c r="P706" s="1">
        <f t="shared" si="453"/>
        <v>0</v>
      </c>
      <c r="Q706" s="1" t="str">
        <f t="shared" si="449"/>
        <v/>
      </c>
      <c r="R706" s="1" t="str">
        <f t="shared" si="454"/>
        <v/>
      </c>
      <c r="S706" s="1">
        <f t="shared" si="455"/>
        <v>592.20000000000164</v>
      </c>
      <c r="T706" s="1">
        <f t="shared" si="456"/>
        <v>7.0000000000000007E-2</v>
      </c>
      <c r="U706" s="1">
        <f t="shared" si="457"/>
        <v>1056.000000000015</v>
      </c>
      <c r="V706" s="1">
        <f t="shared" si="458"/>
        <v>73.920000000001053</v>
      </c>
    </row>
    <row r="707" spans="1:22" x14ac:dyDescent="0.25">
      <c r="A707" s="1">
        <v>706</v>
      </c>
      <c r="B707" s="4">
        <v>7500</v>
      </c>
      <c r="C707" s="4">
        <v>112.5</v>
      </c>
      <c r="D707" s="4">
        <v>112.6</v>
      </c>
      <c r="E707" s="4">
        <f t="shared" si="450"/>
        <v>9.9999999999994316E-2</v>
      </c>
      <c r="F707" s="4">
        <v>0</v>
      </c>
      <c r="G707" s="4">
        <v>-0.15</v>
      </c>
      <c r="H707" s="4">
        <v>79</v>
      </c>
      <c r="I707" s="4"/>
      <c r="J707" s="4">
        <v>50</v>
      </c>
      <c r="K707"/>
      <c r="L707"/>
      <c r="M707" s="4">
        <f t="shared" si="451"/>
        <v>112.6</v>
      </c>
      <c r="N707" s="4"/>
      <c r="O707" s="1">
        <f t="shared" si="452"/>
        <v>112.5</v>
      </c>
      <c r="P707" s="1">
        <f t="shared" si="453"/>
        <v>0</v>
      </c>
      <c r="Q707" s="1" t="str">
        <f t="shared" ref="Q707:Q770" si="459">IF(H707&lt;&gt;"",IF(H707=H706,"",H707),IF(H705="","",MAX(H706,Q706)))</f>
        <v/>
      </c>
      <c r="R707" s="1" t="str">
        <f t="shared" si="454"/>
        <v/>
      </c>
      <c r="S707" s="1">
        <f t="shared" si="455"/>
        <v>592.93920000000162</v>
      </c>
      <c r="T707" s="1">
        <f t="shared" si="456"/>
        <v>-0.15</v>
      </c>
      <c r="U707" s="1">
        <f t="shared" si="457"/>
        <v>527.99999999996999</v>
      </c>
      <c r="V707" s="1">
        <f t="shared" si="458"/>
        <v>79.199999999995498</v>
      </c>
    </row>
    <row r="708" spans="1:22" x14ac:dyDescent="0.25">
      <c r="A708" s="1">
        <v>707</v>
      </c>
      <c r="B708" s="4">
        <v>7500</v>
      </c>
      <c r="C708" s="4">
        <v>112.6</v>
      </c>
      <c r="D708" s="4">
        <v>112.69999999999999</v>
      </c>
      <c r="E708" s="4">
        <f t="shared" si="450"/>
        <v>9.9999999999994316E-2</v>
      </c>
      <c r="F708" s="4">
        <v>0.9</v>
      </c>
      <c r="G708" s="4">
        <v>-0.15</v>
      </c>
      <c r="H708" s="4">
        <v>79</v>
      </c>
      <c r="I708" s="4"/>
      <c r="J708" s="4">
        <v>50</v>
      </c>
      <c r="K708"/>
      <c r="L708"/>
      <c r="M708" s="4">
        <f t="shared" si="451"/>
        <v>112.69999999999999</v>
      </c>
      <c r="N708" s="4"/>
      <c r="O708" s="1">
        <f t="shared" si="452"/>
        <v>112.6</v>
      </c>
      <c r="P708" s="1">
        <f t="shared" si="453"/>
        <v>4.7519999999997298</v>
      </c>
      <c r="Q708" s="1" t="str">
        <f t="shared" si="459"/>
        <v/>
      </c>
      <c r="R708" s="1" t="str">
        <f t="shared" si="454"/>
        <v/>
      </c>
      <c r="S708" s="1">
        <f t="shared" si="455"/>
        <v>592.1472000000017</v>
      </c>
      <c r="T708" s="1">
        <f t="shared" si="456"/>
        <v>-0.15</v>
      </c>
      <c r="U708" s="1">
        <f t="shared" si="457"/>
        <v>527.99999999996999</v>
      </c>
      <c r="V708" s="1">
        <f t="shared" si="458"/>
        <v>79.199999999995498</v>
      </c>
    </row>
    <row r="709" spans="1:22" x14ac:dyDescent="0.25">
      <c r="A709" s="1">
        <v>708</v>
      </c>
      <c r="B709" s="4">
        <v>7500</v>
      </c>
      <c r="C709" s="4">
        <v>112.69999999999999</v>
      </c>
      <c r="D709" s="4">
        <v>112.8</v>
      </c>
      <c r="E709" s="4">
        <f t="shared" si="450"/>
        <v>0.10000000000000853</v>
      </c>
      <c r="F709" s="4">
        <v>0.9</v>
      </c>
      <c r="G709" s="4">
        <v>-0.12</v>
      </c>
      <c r="H709" s="4">
        <v>79</v>
      </c>
      <c r="I709" s="4"/>
      <c r="J709" s="4">
        <v>50</v>
      </c>
      <c r="K709"/>
      <c r="L709"/>
      <c r="M709" s="4">
        <f t="shared" si="451"/>
        <v>112.8</v>
      </c>
      <c r="N709" s="4"/>
      <c r="O709" s="1">
        <f t="shared" si="452"/>
        <v>112.69999999999999</v>
      </c>
      <c r="P709" s="1">
        <f t="shared" si="453"/>
        <v>4.7520000000004048</v>
      </c>
      <c r="Q709" s="1" t="str">
        <f t="shared" si="459"/>
        <v/>
      </c>
      <c r="R709" s="1" t="str">
        <f t="shared" si="454"/>
        <v/>
      </c>
      <c r="S709" s="1">
        <f t="shared" si="455"/>
        <v>591.35520000000179</v>
      </c>
      <c r="T709" s="1">
        <f t="shared" si="456"/>
        <v>-0.12</v>
      </c>
      <c r="U709" s="1">
        <f t="shared" si="457"/>
        <v>528.00000000004502</v>
      </c>
      <c r="V709" s="1">
        <f t="shared" si="458"/>
        <v>63.3600000000054</v>
      </c>
    </row>
    <row r="710" spans="1:22" x14ac:dyDescent="0.25">
      <c r="A710" s="1">
        <v>709</v>
      </c>
      <c r="B710" s="4">
        <v>7500</v>
      </c>
      <c r="C710" s="4">
        <v>112.8</v>
      </c>
      <c r="D710" s="4">
        <v>112.89999999999999</v>
      </c>
      <c r="E710" s="4">
        <f t="shared" si="450"/>
        <v>9.9999999999994316E-2</v>
      </c>
      <c r="F710" s="4">
        <v>0</v>
      </c>
      <c r="G710" s="4">
        <v>-7.0000000000000007E-2</v>
      </c>
      <c r="H710" s="4">
        <v>79</v>
      </c>
      <c r="I710" s="4"/>
      <c r="J710" s="4">
        <v>50</v>
      </c>
      <c r="K710"/>
      <c r="L710"/>
      <c r="M710" s="4">
        <f t="shared" si="451"/>
        <v>112.89999999999999</v>
      </c>
      <c r="N710" s="4"/>
      <c r="O710" s="1">
        <f t="shared" si="452"/>
        <v>112.8</v>
      </c>
      <c r="P710" s="1">
        <f t="shared" si="453"/>
        <v>0</v>
      </c>
      <c r="Q710" s="1" t="str">
        <f t="shared" si="459"/>
        <v/>
      </c>
      <c r="R710" s="1" t="str">
        <f t="shared" si="454"/>
        <v/>
      </c>
      <c r="S710" s="1">
        <f t="shared" si="455"/>
        <v>590.72160000000179</v>
      </c>
      <c r="T710" s="1">
        <f t="shared" si="456"/>
        <v>-7.0000000000000007E-2</v>
      </c>
      <c r="U710" s="1">
        <f t="shared" si="457"/>
        <v>527.99999999996999</v>
      </c>
      <c r="V710" s="1">
        <f t="shared" si="458"/>
        <v>36.959999999997905</v>
      </c>
    </row>
    <row r="711" spans="1:22" x14ac:dyDescent="0.25">
      <c r="A711" s="1">
        <v>710</v>
      </c>
      <c r="B711" s="4">
        <v>7500</v>
      </c>
      <c r="C711" s="4">
        <v>112.89999999999999</v>
      </c>
      <c r="D711" s="4">
        <v>113</v>
      </c>
      <c r="E711" s="4">
        <f t="shared" si="450"/>
        <v>0.10000000000000853</v>
      </c>
      <c r="F711" s="4">
        <v>0</v>
      </c>
      <c r="G711" s="4">
        <v>-0.04</v>
      </c>
      <c r="H711" s="4">
        <v>79</v>
      </c>
      <c r="I711" s="4"/>
      <c r="J711" s="4">
        <v>50</v>
      </c>
      <c r="K711"/>
      <c r="L711"/>
      <c r="M711" s="4">
        <f t="shared" si="451"/>
        <v>113</v>
      </c>
      <c r="N711" s="4"/>
      <c r="O711" s="1">
        <f t="shared" si="452"/>
        <v>112.89999999999999</v>
      </c>
      <c r="P711" s="1">
        <f t="shared" si="453"/>
        <v>0</v>
      </c>
      <c r="Q711" s="1" t="str">
        <f t="shared" si="459"/>
        <v/>
      </c>
      <c r="R711" s="1" t="str">
        <f t="shared" si="454"/>
        <v/>
      </c>
      <c r="S711" s="1">
        <f t="shared" si="455"/>
        <v>590.35200000000179</v>
      </c>
      <c r="T711" s="1">
        <f t="shared" si="456"/>
        <v>-0.04</v>
      </c>
      <c r="U711" s="1">
        <f t="shared" si="457"/>
        <v>528.00000000004502</v>
      </c>
      <c r="V711" s="1">
        <f t="shared" si="458"/>
        <v>21.120000000001802</v>
      </c>
    </row>
    <row r="712" spans="1:22" x14ac:dyDescent="0.25">
      <c r="A712" s="1">
        <v>711</v>
      </c>
      <c r="B712" s="4">
        <v>7500</v>
      </c>
      <c r="C712" s="4">
        <v>113</v>
      </c>
      <c r="D712" s="4">
        <v>113.1</v>
      </c>
      <c r="E712" s="4">
        <f t="shared" ref="E712:E775" si="460">D712-C712</f>
        <v>9.9999999999994316E-2</v>
      </c>
      <c r="F712" s="4">
        <v>2</v>
      </c>
      <c r="G712" s="4">
        <v>-0.04</v>
      </c>
      <c r="H712" s="4">
        <v>79</v>
      </c>
      <c r="I712" s="4"/>
      <c r="J712" s="4">
        <v>50</v>
      </c>
      <c r="K712"/>
      <c r="L712"/>
      <c r="M712" s="4">
        <f t="shared" ref="M712:M775" si="461">E712+M711</f>
        <v>113.1</v>
      </c>
      <c r="N712" s="4"/>
      <c r="O712" s="1">
        <f t="shared" ref="O712:O775" si="462">E711+O711</f>
        <v>113</v>
      </c>
      <c r="P712" s="1">
        <f t="shared" ref="P712:P775" si="463">F712*52.8*E712</f>
        <v>10.559999999999398</v>
      </c>
      <c r="Q712" s="1" t="str">
        <f t="shared" si="459"/>
        <v/>
      </c>
      <c r="R712" s="1" t="str">
        <f t="shared" ref="R712:R775" si="464">IF(I712="",Q712,IF(AND(H712=H711,I712=I711),"",I712))</f>
        <v/>
      </c>
      <c r="S712" s="1">
        <f t="shared" ref="S712:S775" si="465">S711+U711*T711/100</f>
        <v>590.14080000000183</v>
      </c>
      <c r="T712" s="1">
        <f t="shared" ref="T712:T775" si="466">IF(G712="UNK",0,G712)</f>
        <v>-0.04</v>
      </c>
      <c r="U712" s="1">
        <f t="shared" ref="U712:U775" si="467">E712*5280</f>
        <v>527.99999999996999</v>
      </c>
      <c r="V712" s="1">
        <f t="shared" ref="V712:V775" si="468">ABS(T712*U712)</f>
        <v>21.1199999999988</v>
      </c>
    </row>
    <row r="713" spans="1:22" x14ac:dyDescent="0.25">
      <c r="A713" s="1">
        <v>712</v>
      </c>
      <c r="B713" s="4">
        <v>7500</v>
      </c>
      <c r="C713" s="4">
        <v>113.1</v>
      </c>
      <c r="D713" s="4">
        <v>113.19999999999999</v>
      </c>
      <c r="E713" s="4">
        <f t="shared" si="460"/>
        <v>9.9999999999994316E-2</v>
      </c>
      <c r="F713" s="4">
        <v>0</v>
      </c>
      <c r="G713" s="4">
        <v>0.21</v>
      </c>
      <c r="H713" s="4">
        <v>79</v>
      </c>
      <c r="I713" s="4"/>
      <c r="J713" s="4">
        <v>50</v>
      </c>
      <c r="K713"/>
      <c r="L713"/>
      <c r="M713" s="4">
        <f t="shared" si="461"/>
        <v>113.19999999999999</v>
      </c>
      <c r="N713" s="4"/>
      <c r="O713" s="1">
        <f t="shared" si="462"/>
        <v>113.1</v>
      </c>
      <c r="P713" s="1">
        <f t="shared" si="463"/>
        <v>0</v>
      </c>
      <c r="Q713" s="1" t="str">
        <f t="shared" si="459"/>
        <v/>
      </c>
      <c r="R713" s="1" t="str">
        <f t="shared" si="464"/>
        <v/>
      </c>
      <c r="S713" s="1">
        <f t="shared" si="465"/>
        <v>589.92960000000187</v>
      </c>
      <c r="T713" s="1">
        <f t="shared" si="466"/>
        <v>0.21</v>
      </c>
      <c r="U713" s="1">
        <f t="shared" si="467"/>
        <v>527.99999999996999</v>
      </c>
      <c r="V713" s="1">
        <f t="shared" si="468"/>
        <v>110.8799999999937</v>
      </c>
    </row>
    <row r="714" spans="1:22" x14ac:dyDescent="0.25">
      <c r="A714" s="1">
        <v>713</v>
      </c>
      <c r="B714" s="4">
        <v>7500</v>
      </c>
      <c r="C714" s="4">
        <v>113.19999999999999</v>
      </c>
      <c r="D714" s="4">
        <v>113.3</v>
      </c>
      <c r="E714" s="4">
        <f t="shared" si="460"/>
        <v>0.10000000000000853</v>
      </c>
      <c r="F714" s="4">
        <v>0</v>
      </c>
      <c r="G714" s="4">
        <v>0.71</v>
      </c>
      <c r="H714" s="4">
        <v>79</v>
      </c>
      <c r="I714" s="4"/>
      <c r="J714" s="4">
        <v>50</v>
      </c>
      <c r="K714"/>
      <c r="L714"/>
      <c r="M714" s="4">
        <f t="shared" si="461"/>
        <v>113.3</v>
      </c>
      <c r="N714" s="4"/>
      <c r="O714" s="1">
        <f t="shared" si="462"/>
        <v>113.19999999999999</v>
      </c>
      <c r="P714" s="1">
        <f t="shared" si="463"/>
        <v>0</v>
      </c>
      <c r="Q714" s="1" t="str">
        <f t="shared" si="459"/>
        <v/>
      </c>
      <c r="R714" s="1" t="str">
        <f t="shared" si="464"/>
        <v/>
      </c>
      <c r="S714" s="1">
        <f t="shared" si="465"/>
        <v>591.03840000000184</v>
      </c>
      <c r="T714" s="1">
        <f t="shared" si="466"/>
        <v>0.71</v>
      </c>
      <c r="U714" s="1">
        <f t="shared" si="467"/>
        <v>528.00000000004502</v>
      </c>
      <c r="V714" s="1">
        <f t="shared" si="468"/>
        <v>374.88000000003194</v>
      </c>
    </row>
    <row r="715" spans="1:22" x14ac:dyDescent="0.25">
      <c r="A715" s="1">
        <v>714</v>
      </c>
      <c r="B715" s="4">
        <v>7500</v>
      </c>
      <c r="C715" s="4">
        <v>113.3</v>
      </c>
      <c r="D715" s="4">
        <v>114.19999999999999</v>
      </c>
      <c r="E715" s="4">
        <f t="shared" si="460"/>
        <v>0.89999999999999147</v>
      </c>
      <c r="F715" s="4">
        <v>0</v>
      </c>
      <c r="G715" s="4">
        <v>0.96</v>
      </c>
      <c r="H715" s="4">
        <v>79</v>
      </c>
      <c r="I715" s="4"/>
      <c r="J715" s="4">
        <v>50</v>
      </c>
      <c r="K715"/>
      <c r="L715"/>
      <c r="M715" s="4">
        <f t="shared" si="461"/>
        <v>114.19999999999999</v>
      </c>
      <c r="N715" s="4"/>
      <c r="O715" s="1">
        <f t="shared" si="462"/>
        <v>113.3</v>
      </c>
      <c r="P715" s="1">
        <f t="shared" si="463"/>
        <v>0</v>
      </c>
      <c r="Q715" s="1" t="str">
        <f t="shared" si="459"/>
        <v/>
      </c>
      <c r="R715" s="1" t="str">
        <f t="shared" si="464"/>
        <v/>
      </c>
      <c r="S715" s="1">
        <f t="shared" si="465"/>
        <v>594.78720000000214</v>
      </c>
      <c r="T715" s="1">
        <f t="shared" si="466"/>
        <v>0.96</v>
      </c>
      <c r="U715" s="1">
        <f t="shared" si="467"/>
        <v>4751.9999999999545</v>
      </c>
      <c r="V715" s="1">
        <f t="shared" si="468"/>
        <v>4561.9199999999564</v>
      </c>
    </row>
    <row r="716" spans="1:22" x14ac:dyDescent="0.25">
      <c r="A716" s="1">
        <v>715</v>
      </c>
      <c r="B716" s="4">
        <v>7500</v>
      </c>
      <c r="C716" s="4">
        <v>114.19999999999999</v>
      </c>
      <c r="D716" s="4">
        <v>114.3</v>
      </c>
      <c r="E716" s="4">
        <f t="shared" si="460"/>
        <v>0.10000000000000853</v>
      </c>
      <c r="F716" s="4">
        <v>1.5</v>
      </c>
      <c r="G716" s="4">
        <v>0.96</v>
      </c>
      <c r="H716" s="4">
        <v>79</v>
      </c>
      <c r="I716" s="4"/>
      <c r="J716" s="4">
        <v>50</v>
      </c>
      <c r="K716"/>
      <c r="L716"/>
      <c r="M716" s="4">
        <f t="shared" si="461"/>
        <v>114.3</v>
      </c>
      <c r="N716" s="4"/>
      <c r="O716" s="1">
        <f t="shared" si="462"/>
        <v>114.19999999999999</v>
      </c>
      <c r="P716" s="1">
        <f t="shared" si="463"/>
        <v>7.9200000000006741</v>
      </c>
      <c r="Q716" s="1" t="str">
        <f t="shared" si="459"/>
        <v/>
      </c>
      <c r="R716" s="1" t="str">
        <f t="shared" si="464"/>
        <v/>
      </c>
      <c r="S716" s="1">
        <f t="shared" si="465"/>
        <v>640.40640000000167</v>
      </c>
      <c r="T716" s="1">
        <f t="shared" si="466"/>
        <v>0.96</v>
      </c>
      <c r="U716" s="1">
        <f t="shared" si="467"/>
        <v>528.00000000004502</v>
      </c>
      <c r="V716" s="1">
        <f t="shared" si="468"/>
        <v>506.8800000000432</v>
      </c>
    </row>
    <row r="717" spans="1:22" x14ac:dyDescent="0.25">
      <c r="A717" s="1">
        <v>716</v>
      </c>
      <c r="B717" s="4">
        <v>7500</v>
      </c>
      <c r="C717" s="4">
        <v>114.3</v>
      </c>
      <c r="D717" s="4">
        <v>114.5</v>
      </c>
      <c r="E717" s="4">
        <f t="shared" si="460"/>
        <v>0.20000000000000284</v>
      </c>
      <c r="F717" s="4">
        <v>1.5</v>
      </c>
      <c r="G717" s="4">
        <v>0.67</v>
      </c>
      <c r="H717" s="4">
        <v>60</v>
      </c>
      <c r="I717" s="4"/>
      <c r="J717" s="4">
        <v>45</v>
      </c>
      <c r="K717"/>
      <c r="L717"/>
      <c r="M717" s="4">
        <f t="shared" si="461"/>
        <v>114.5</v>
      </c>
      <c r="N717" s="4"/>
      <c r="O717" s="1">
        <f t="shared" si="462"/>
        <v>114.3</v>
      </c>
      <c r="P717" s="1">
        <f t="shared" si="463"/>
        <v>15.840000000000224</v>
      </c>
      <c r="Q717" s="1">
        <f t="shared" si="459"/>
        <v>60</v>
      </c>
      <c r="R717" s="1">
        <f t="shared" si="464"/>
        <v>60</v>
      </c>
      <c r="S717" s="1">
        <f t="shared" si="465"/>
        <v>645.47520000000213</v>
      </c>
      <c r="T717" s="1">
        <f t="shared" si="466"/>
        <v>0.67</v>
      </c>
      <c r="U717" s="1">
        <f t="shared" si="467"/>
        <v>1056.000000000015</v>
      </c>
      <c r="V717" s="1">
        <f t="shared" si="468"/>
        <v>707.5200000000101</v>
      </c>
    </row>
    <row r="718" spans="1:22" x14ac:dyDescent="0.25">
      <c r="A718" s="1">
        <v>717</v>
      </c>
      <c r="B718" s="4">
        <v>7500</v>
      </c>
      <c r="C718" s="4">
        <v>114.5</v>
      </c>
      <c r="D718" s="4">
        <v>114.6</v>
      </c>
      <c r="E718" s="4">
        <f t="shared" si="460"/>
        <v>9.9999999999994316E-2</v>
      </c>
      <c r="F718" s="4">
        <v>0</v>
      </c>
      <c r="G718" s="4">
        <v>0.9</v>
      </c>
      <c r="H718" s="4">
        <v>60</v>
      </c>
      <c r="I718" s="4"/>
      <c r="J718" s="4">
        <v>45</v>
      </c>
      <c r="K718"/>
      <c r="L718"/>
      <c r="M718" s="4">
        <f t="shared" si="461"/>
        <v>114.6</v>
      </c>
      <c r="N718" s="4"/>
      <c r="O718" s="1">
        <f t="shared" si="462"/>
        <v>114.5</v>
      </c>
      <c r="P718" s="1">
        <f t="shared" si="463"/>
        <v>0</v>
      </c>
      <c r="Q718" s="1" t="str">
        <f t="shared" si="459"/>
        <v/>
      </c>
      <c r="R718" s="1" t="str">
        <f t="shared" si="464"/>
        <v/>
      </c>
      <c r="S718" s="1">
        <f t="shared" si="465"/>
        <v>652.55040000000224</v>
      </c>
      <c r="T718" s="1">
        <f t="shared" si="466"/>
        <v>0.9</v>
      </c>
      <c r="U718" s="1">
        <f t="shared" si="467"/>
        <v>527.99999999996999</v>
      </c>
      <c r="V718" s="1">
        <f t="shared" si="468"/>
        <v>475.19999999997299</v>
      </c>
    </row>
    <row r="719" spans="1:22" x14ac:dyDescent="0.25">
      <c r="A719" s="1">
        <v>718</v>
      </c>
      <c r="B719" s="4">
        <v>7500</v>
      </c>
      <c r="C719" s="4">
        <v>114.6</v>
      </c>
      <c r="D719" s="4">
        <v>114.69999999999999</v>
      </c>
      <c r="E719" s="4">
        <f t="shared" si="460"/>
        <v>9.9999999999994316E-2</v>
      </c>
      <c r="F719" s="4">
        <v>1.2</v>
      </c>
      <c r="G719" s="4">
        <v>0.96</v>
      </c>
      <c r="H719" s="4">
        <v>60</v>
      </c>
      <c r="I719" s="4"/>
      <c r="J719" s="4">
        <v>45</v>
      </c>
      <c r="K719"/>
      <c r="L719"/>
      <c r="M719" s="4">
        <f t="shared" si="461"/>
        <v>114.69999999999999</v>
      </c>
      <c r="N719" s="4"/>
      <c r="O719" s="1">
        <f t="shared" si="462"/>
        <v>114.6</v>
      </c>
      <c r="P719" s="1">
        <f t="shared" si="463"/>
        <v>6.3359999999996388</v>
      </c>
      <c r="Q719" s="1" t="str">
        <f t="shared" si="459"/>
        <v/>
      </c>
      <c r="R719" s="1" t="str">
        <f t="shared" si="464"/>
        <v/>
      </c>
      <c r="S719" s="1">
        <f t="shared" si="465"/>
        <v>657.30240000000197</v>
      </c>
      <c r="T719" s="1">
        <f t="shared" si="466"/>
        <v>0.96</v>
      </c>
      <c r="U719" s="1">
        <f t="shared" si="467"/>
        <v>527.99999999996999</v>
      </c>
      <c r="V719" s="1">
        <f t="shared" si="468"/>
        <v>506.87999999997118</v>
      </c>
    </row>
    <row r="720" spans="1:22" x14ac:dyDescent="0.25">
      <c r="A720" s="1">
        <v>719</v>
      </c>
      <c r="B720" s="4">
        <v>7500</v>
      </c>
      <c r="C720" s="4">
        <v>114.69999999999999</v>
      </c>
      <c r="D720" s="4">
        <v>114.8</v>
      </c>
      <c r="E720" s="4">
        <f t="shared" si="460"/>
        <v>0.10000000000000853</v>
      </c>
      <c r="F720" s="4">
        <v>1.5</v>
      </c>
      <c r="G720" s="4">
        <v>0.55000000000000004</v>
      </c>
      <c r="H720" s="4">
        <v>60</v>
      </c>
      <c r="I720" s="4"/>
      <c r="J720" s="4">
        <v>45</v>
      </c>
      <c r="K720"/>
      <c r="L720"/>
      <c r="M720" s="4">
        <f t="shared" si="461"/>
        <v>114.8</v>
      </c>
      <c r="N720" s="4"/>
      <c r="O720" s="1">
        <f t="shared" si="462"/>
        <v>114.69999999999999</v>
      </c>
      <c r="P720" s="1">
        <f t="shared" si="463"/>
        <v>7.9200000000006741</v>
      </c>
      <c r="Q720" s="1" t="str">
        <f t="shared" si="459"/>
        <v/>
      </c>
      <c r="R720" s="1" t="str">
        <f t="shared" si="464"/>
        <v/>
      </c>
      <c r="S720" s="1">
        <f t="shared" si="465"/>
        <v>662.37120000000164</v>
      </c>
      <c r="T720" s="1">
        <f t="shared" si="466"/>
        <v>0.55000000000000004</v>
      </c>
      <c r="U720" s="1">
        <f t="shared" si="467"/>
        <v>528.00000000004502</v>
      </c>
      <c r="V720" s="1">
        <f t="shared" si="468"/>
        <v>290.40000000002476</v>
      </c>
    </row>
    <row r="721" spans="1:22" x14ac:dyDescent="0.25">
      <c r="A721" s="1">
        <v>720</v>
      </c>
      <c r="B721" s="4">
        <v>7500</v>
      </c>
      <c r="C721" s="4">
        <v>114.8</v>
      </c>
      <c r="D721" s="4">
        <v>114.89999999999999</v>
      </c>
      <c r="E721" s="4">
        <f t="shared" si="460"/>
        <v>9.9999999999994316E-2</v>
      </c>
      <c r="F721" s="4">
        <v>1.5</v>
      </c>
      <c r="G721" s="4">
        <v>0.97</v>
      </c>
      <c r="H721" s="4">
        <v>60</v>
      </c>
      <c r="I721" s="4"/>
      <c r="J721" s="4">
        <v>45</v>
      </c>
      <c r="K721"/>
      <c r="L721"/>
      <c r="M721" s="4">
        <f t="shared" si="461"/>
        <v>114.89999999999999</v>
      </c>
      <c r="N721" s="4"/>
      <c r="O721" s="1">
        <f t="shared" si="462"/>
        <v>114.8</v>
      </c>
      <c r="P721" s="1">
        <f t="shared" si="463"/>
        <v>7.9199999999995487</v>
      </c>
      <c r="Q721" s="1" t="str">
        <f t="shared" si="459"/>
        <v/>
      </c>
      <c r="R721" s="1" t="str">
        <f t="shared" si="464"/>
        <v/>
      </c>
      <c r="S721" s="1">
        <f t="shared" si="465"/>
        <v>665.27520000000186</v>
      </c>
      <c r="T721" s="1">
        <f t="shared" si="466"/>
        <v>0.97</v>
      </c>
      <c r="U721" s="1">
        <f t="shared" si="467"/>
        <v>527.99999999996999</v>
      </c>
      <c r="V721" s="1">
        <f t="shared" si="468"/>
        <v>512.15999999997086</v>
      </c>
    </row>
    <row r="722" spans="1:22" x14ac:dyDescent="0.25">
      <c r="A722" s="1">
        <v>721</v>
      </c>
      <c r="B722" s="4">
        <v>7500</v>
      </c>
      <c r="C722" s="4">
        <v>114.89999999999999</v>
      </c>
      <c r="D722" s="4">
        <v>115</v>
      </c>
      <c r="E722" s="4">
        <f t="shared" si="460"/>
        <v>0.10000000000000853</v>
      </c>
      <c r="F722" s="4">
        <v>1.1000000000000001</v>
      </c>
      <c r="G722" s="4">
        <v>0.7</v>
      </c>
      <c r="H722" s="4">
        <v>60</v>
      </c>
      <c r="I722" s="4"/>
      <c r="J722" s="4">
        <v>45</v>
      </c>
      <c r="K722"/>
      <c r="L722"/>
      <c r="M722" s="4">
        <f t="shared" si="461"/>
        <v>115</v>
      </c>
      <c r="N722" s="4"/>
      <c r="O722" s="1">
        <f t="shared" si="462"/>
        <v>114.89999999999999</v>
      </c>
      <c r="P722" s="1">
        <f t="shared" si="463"/>
        <v>5.8080000000004954</v>
      </c>
      <c r="Q722" s="1" t="str">
        <f t="shared" si="459"/>
        <v/>
      </c>
      <c r="R722" s="1" t="str">
        <f t="shared" si="464"/>
        <v/>
      </c>
      <c r="S722" s="1">
        <f t="shared" si="465"/>
        <v>670.39680000000158</v>
      </c>
      <c r="T722" s="1">
        <f t="shared" si="466"/>
        <v>0.7</v>
      </c>
      <c r="U722" s="1">
        <f t="shared" si="467"/>
        <v>528.00000000004502</v>
      </c>
      <c r="V722" s="1">
        <f t="shared" si="468"/>
        <v>369.60000000003151</v>
      </c>
    </row>
    <row r="723" spans="1:22" x14ac:dyDescent="0.25">
      <c r="A723" s="1">
        <v>722</v>
      </c>
      <c r="B723" s="4">
        <v>7500</v>
      </c>
      <c r="C723" s="4">
        <v>115</v>
      </c>
      <c r="D723" s="4">
        <v>115.1</v>
      </c>
      <c r="E723" s="4">
        <f t="shared" si="460"/>
        <v>9.9999999999994316E-2</v>
      </c>
      <c r="F723" s="4">
        <v>0</v>
      </c>
      <c r="G723" s="4">
        <v>0.14000000000000001</v>
      </c>
      <c r="H723" s="4">
        <v>60</v>
      </c>
      <c r="I723" s="4"/>
      <c r="J723" s="4">
        <v>45</v>
      </c>
      <c r="K723"/>
      <c r="L723"/>
      <c r="M723" s="4">
        <f t="shared" si="461"/>
        <v>115.1</v>
      </c>
      <c r="N723" s="4"/>
      <c r="O723" s="1">
        <f t="shared" si="462"/>
        <v>115</v>
      </c>
      <c r="P723" s="1">
        <f t="shared" si="463"/>
        <v>0</v>
      </c>
      <c r="Q723" s="1" t="str">
        <f t="shared" si="459"/>
        <v/>
      </c>
      <c r="R723" s="1" t="str">
        <f t="shared" si="464"/>
        <v/>
      </c>
      <c r="S723" s="1">
        <f t="shared" si="465"/>
        <v>674.09280000000194</v>
      </c>
      <c r="T723" s="1">
        <f t="shared" si="466"/>
        <v>0.14000000000000001</v>
      </c>
      <c r="U723" s="1">
        <f t="shared" si="467"/>
        <v>527.99999999996999</v>
      </c>
      <c r="V723" s="1">
        <f t="shared" si="468"/>
        <v>73.91999999999581</v>
      </c>
    </row>
    <row r="724" spans="1:22" x14ac:dyDescent="0.25">
      <c r="A724" s="1">
        <v>723</v>
      </c>
      <c r="B724" s="4">
        <v>7500</v>
      </c>
      <c r="C724" s="4">
        <v>115.1</v>
      </c>
      <c r="D724" s="4">
        <v>115.19999999999999</v>
      </c>
      <c r="E724" s="4">
        <f t="shared" si="460"/>
        <v>9.9999999999994316E-2</v>
      </c>
      <c r="F724" s="4">
        <v>1.6</v>
      </c>
      <c r="G724" s="4">
        <v>-0.13</v>
      </c>
      <c r="H724" s="4">
        <v>60</v>
      </c>
      <c r="I724" s="4"/>
      <c r="J724" s="4">
        <v>45</v>
      </c>
      <c r="K724"/>
      <c r="L724"/>
      <c r="M724" s="4">
        <f t="shared" si="461"/>
        <v>115.19999999999999</v>
      </c>
      <c r="N724" s="4"/>
      <c r="O724" s="1">
        <f t="shared" si="462"/>
        <v>115.1</v>
      </c>
      <c r="P724" s="1">
        <f t="shared" si="463"/>
        <v>8.4479999999995208</v>
      </c>
      <c r="Q724" s="1" t="str">
        <f t="shared" si="459"/>
        <v/>
      </c>
      <c r="R724" s="1" t="str">
        <f t="shared" si="464"/>
        <v/>
      </c>
      <c r="S724" s="1">
        <f t="shared" si="465"/>
        <v>674.83200000000193</v>
      </c>
      <c r="T724" s="1">
        <f t="shared" si="466"/>
        <v>-0.13</v>
      </c>
      <c r="U724" s="1">
        <f t="shared" si="467"/>
        <v>527.99999999996999</v>
      </c>
      <c r="V724" s="1">
        <f t="shared" si="468"/>
        <v>68.639999999996107</v>
      </c>
    </row>
    <row r="725" spans="1:22" x14ac:dyDescent="0.25">
      <c r="A725" s="1">
        <v>724</v>
      </c>
      <c r="B725" s="4">
        <v>7500</v>
      </c>
      <c r="C725" s="4">
        <v>115.19999999999999</v>
      </c>
      <c r="D725" s="4">
        <v>115.3</v>
      </c>
      <c r="E725" s="4">
        <f t="shared" si="460"/>
        <v>0.10000000000000853</v>
      </c>
      <c r="F725" s="4">
        <v>1.6</v>
      </c>
      <c r="G725" s="4">
        <v>0.45</v>
      </c>
      <c r="H725" s="4">
        <v>60</v>
      </c>
      <c r="I725" s="4"/>
      <c r="J725" s="4">
        <v>45</v>
      </c>
      <c r="K725"/>
      <c r="L725"/>
      <c r="M725" s="4">
        <f t="shared" si="461"/>
        <v>115.3</v>
      </c>
      <c r="N725" s="4"/>
      <c r="O725" s="1">
        <f t="shared" si="462"/>
        <v>115.19999999999999</v>
      </c>
      <c r="P725" s="1">
        <f t="shared" si="463"/>
        <v>8.4480000000007216</v>
      </c>
      <c r="Q725" s="1" t="str">
        <f t="shared" si="459"/>
        <v/>
      </c>
      <c r="R725" s="1" t="str">
        <f t="shared" si="464"/>
        <v/>
      </c>
      <c r="S725" s="1">
        <f t="shared" si="465"/>
        <v>674.14560000000199</v>
      </c>
      <c r="T725" s="1">
        <f t="shared" si="466"/>
        <v>0.45</v>
      </c>
      <c r="U725" s="1">
        <f t="shared" si="467"/>
        <v>528.00000000004502</v>
      </c>
      <c r="V725" s="1">
        <f t="shared" si="468"/>
        <v>237.60000000002026</v>
      </c>
    </row>
    <row r="726" spans="1:22" x14ac:dyDescent="0.25">
      <c r="A726" s="1">
        <v>725</v>
      </c>
      <c r="B726" s="4">
        <v>7500</v>
      </c>
      <c r="C726" s="4">
        <v>115.3</v>
      </c>
      <c r="D726" s="4">
        <v>115.6</v>
      </c>
      <c r="E726" s="4">
        <f t="shared" si="460"/>
        <v>0.29999999999999716</v>
      </c>
      <c r="F726" s="4">
        <v>0</v>
      </c>
      <c r="G726" s="4">
        <v>0.64</v>
      </c>
      <c r="H726" s="4">
        <v>60</v>
      </c>
      <c r="I726" s="4"/>
      <c r="J726" s="4">
        <v>45</v>
      </c>
      <c r="K726"/>
      <c r="L726"/>
      <c r="M726" s="4">
        <f t="shared" si="461"/>
        <v>115.6</v>
      </c>
      <c r="N726" s="4"/>
      <c r="O726" s="1">
        <f t="shared" si="462"/>
        <v>115.3</v>
      </c>
      <c r="P726" s="1">
        <f t="shared" si="463"/>
        <v>0</v>
      </c>
      <c r="Q726" s="1" t="str">
        <f t="shared" si="459"/>
        <v/>
      </c>
      <c r="R726" s="1" t="str">
        <f t="shared" si="464"/>
        <v/>
      </c>
      <c r="S726" s="1">
        <f t="shared" si="465"/>
        <v>676.52160000000219</v>
      </c>
      <c r="T726" s="1">
        <f t="shared" si="466"/>
        <v>0.64</v>
      </c>
      <c r="U726" s="1">
        <f t="shared" si="467"/>
        <v>1583.999999999985</v>
      </c>
      <c r="V726" s="1">
        <f t="shared" si="468"/>
        <v>1013.7599999999904</v>
      </c>
    </row>
    <row r="727" spans="1:22" x14ac:dyDescent="0.25">
      <c r="A727" s="1">
        <v>726</v>
      </c>
      <c r="B727" s="4">
        <v>7500</v>
      </c>
      <c r="C727" s="4">
        <v>115.6</v>
      </c>
      <c r="D727" s="4">
        <v>115.8</v>
      </c>
      <c r="E727" s="4">
        <f t="shared" si="460"/>
        <v>0.20000000000000284</v>
      </c>
      <c r="F727" s="4">
        <v>0</v>
      </c>
      <c r="G727" s="4">
        <v>0.52</v>
      </c>
      <c r="H727" s="4">
        <v>60</v>
      </c>
      <c r="I727" s="4"/>
      <c r="J727" s="4">
        <v>45</v>
      </c>
      <c r="K727"/>
      <c r="L727"/>
      <c r="M727" s="4">
        <f t="shared" si="461"/>
        <v>115.8</v>
      </c>
      <c r="N727" s="4"/>
      <c r="O727" s="1">
        <f t="shared" si="462"/>
        <v>115.6</v>
      </c>
      <c r="P727" s="1">
        <f t="shared" si="463"/>
        <v>0</v>
      </c>
      <c r="Q727" s="1" t="str">
        <f t="shared" si="459"/>
        <v/>
      </c>
      <c r="R727" s="1" t="str">
        <f t="shared" si="464"/>
        <v/>
      </c>
      <c r="S727" s="1">
        <f t="shared" si="465"/>
        <v>686.6592000000021</v>
      </c>
      <c r="T727" s="1">
        <f t="shared" si="466"/>
        <v>0.52</v>
      </c>
      <c r="U727" s="1">
        <f t="shared" si="467"/>
        <v>1056.000000000015</v>
      </c>
      <c r="V727" s="1">
        <f t="shared" si="468"/>
        <v>549.12000000000785</v>
      </c>
    </row>
    <row r="728" spans="1:22" x14ac:dyDescent="0.25">
      <c r="A728" s="1">
        <v>727</v>
      </c>
      <c r="B728" s="4">
        <v>7500</v>
      </c>
      <c r="C728" s="4">
        <v>115.8</v>
      </c>
      <c r="D728" s="4">
        <v>115.89999999999999</v>
      </c>
      <c r="E728" s="4">
        <f t="shared" si="460"/>
        <v>9.9999999999994316E-2</v>
      </c>
      <c r="F728" s="4">
        <v>0</v>
      </c>
      <c r="G728" s="4">
        <v>0.28999999999999998</v>
      </c>
      <c r="H728" s="4">
        <v>60</v>
      </c>
      <c r="I728" s="4"/>
      <c r="J728" s="4">
        <v>45</v>
      </c>
      <c r="K728"/>
      <c r="L728"/>
      <c r="M728" s="4">
        <f t="shared" si="461"/>
        <v>115.89999999999999</v>
      </c>
      <c r="N728" s="4"/>
      <c r="O728" s="1">
        <f t="shared" si="462"/>
        <v>115.8</v>
      </c>
      <c r="P728" s="1">
        <f t="shared" si="463"/>
        <v>0</v>
      </c>
      <c r="Q728" s="1" t="str">
        <f t="shared" si="459"/>
        <v/>
      </c>
      <c r="R728" s="1" t="str">
        <f t="shared" si="464"/>
        <v/>
      </c>
      <c r="S728" s="1">
        <f t="shared" si="465"/>
        <v>692.15040000000215</v>
      </c>
      <c r="T728" s="1">
        <f t="shared" si="466"/>
        <v>0.28999999999999998</v>
      </c>
      <c r="U728" s="1">
        <f t="shared" si="467"/>
        <v>527.99999999996999</v>
      </c>
      <c r="V728" s="1">
        <f t="shared" si="468"/>
        <v>153.11999999999128</v>
      </c>
    </row>
    <row r="729" spans="1:22" x14ac:dyDescent="0.25">
      <c r="A729" s="1">
        <v>728</v>
      </c>
      <c r="B729" s="4">
        <v>7500</v>
      </c>
      <c r="C729" s="4">
        <v>115.89999999999999</v>
      </c>
      <c r="D729" s="4">
        <v>116</v>
      </c>
      <c r="E729" s="4">
        <f t="shared" si="460"/>
        <v>0.10000000000000853</v>
      </c>
      <c r="F729" s="4">
        <v>0.6</v>
      </c>
      <c r="G729" s="4">
        <v>0.28999999999999998</v>
      </c>
      <c r="H729" s="4">
        <v>60</v>
      </c>
      <c r="I729" s="4"/>
      <c r="J729" s="4">
        <v>45</v>
      </c>
      <c r="K729"/>
      <c r="L729"/>
      <c r="M729" s="4">
        <f t="shared" si="461"/>
        <v>116</v>
      </c>
      <c r="N729" s="4"/>
      <c r="O729" s="1">
        <f t="shared" si="462"/>
        <v>115.89999999999999</v>
      </c>
      <c r="P729" s="1">
        <f t="shared" si="463"/>
        <v>3.1680000000002697</v>
      </c>
      <c r="Q729" s="1" t="str">
        <f t="shared" si="459"/>
        <v/>
      </c>
      <c r="R729" s="1" t="str">
        <f t="shared" si="464"/>
        <v/>
      </c>
      <c r="S729" s="1">
        <f t="shared" si="465"/>
        <v>693.68160000000205</v>
      </c>
      <c r="T729" s="1">
        <f t="shared" si="466"/>
        <v>0.28999999999999998</v>
      </c>
      <c r="U729" s="1">
        <f t="shared" si="467"/>
        <v>528.00000000004502</v>
      </c>
      <c r="V729" s="1">
        <f t="shared" si="468"/>
        <v>153.12000000001305</v>
      </c>
    </row>
    <row r="730" spans="1:22" x14ac:dyDescent="0.25">
      <c r="A730" s="1">
        <v>729</v>
      </c>
      <c r="B730" s="4">
        <v>7500</v>
      </c>
      <c r="C730" s="4">
        <v>116</v>
      </c>
      <c r="D730" s="4">
        <v>116.1</v>
      </c>
      <c r="E730" s="4">
        <f t="shared" si="460"/>
        <v>9.9999999999994316E-2</v>
      </c>
      <c r="F730" s="4">
        <v>0.6</v>
      </c>
      <c r="G730" s="4">
        <v>-0.41</v>
      </c>
      <c r="H730" s="4">
        <v>60</v>
      </c>
      <c r="I730" s="4"/>
      <c r="J730" s="4">
        <v>45</v>
      </c>
      <c r="K730"/>
      <c r="L730"/>
      <c r="M730" s="4">
        <f t="shared" si="461"/>
        <v>116.1</v>
      </c>
      <c r="N730" s="4"/>
      <c r="O730" s="1">
        <f t="shared" si="462"/>
        <v>116</v>
      </c>
      <c r="P730" s="1">
        <f t="shared" si="463"/>
        <v>3.1679999999998194</v>
      </c>
      <c r="Q730" s="1" t="str">
        <f t="shared" si="459"/>
        <v/>
      </c>
      <c r="R730" s="1" t="str">
        <f t="shared" si="464"/>
        <v/>
      </c>
      <c r="S730" s="1">
        <f t="shared" si="465"/>
        <v>695.21280000000218</v>
      </c>
      <c r="T730" s="1">
        <f t="shared" si="466"/>
        <v>-0.41</v>
      </c>
      <c r="U730" s="1">
        <f t="shared" si="467"/>
        <v>527.99999999996999</v>
      </c>
      <c r="V730" s="1">
        <f t="shared" si="468"/>
        <v>216.47999999998768</v>
      </c>
    </row>
    <row r="731" spans="1:22" x14ac:dyDescent="0.25">
      <c r="A731" s="1">
        <v>730</v>
      </c>
      <c r="B731" s="4">
        <v>7500</v>
      </c>
      <c r="C731" s="4">
        <v>116.1</v>
      </c>
      <c r="D731" s="4">
        <v>116.19999999999999</v>
      </c>
      <c r="E731" s="4">
        <f t="shared" si="460"/>
        <v>9.9999999999994316E-2</v>
      </c>
      <c r="F731" s="4">
        <v>0.6</v>
      </c>
      <c r="G731" s="4">
        <v>-0.45</v>
      </c>
      <c r="H731" s="4">
        <v>60</v>
      </c>
      <c r="I731" s="4"/>
      <c r="J731" s="4">
        <v>45</v>
      </c>
      <c r="K731"/>
      <c r="L731"/>
      <c r="M731" s="4">
        <f t="shared" si="461"/>
        <v>116.19999999999999</v>
      </c>
      <c r="N731" s="4"/>
      <c r="O731" s="1">
        <f t="shared" si="462"/>
        <v>116.1</v>
      </c>
      <c r="P731" s="1">
        <f t="shared" si="463"/>
        <v>3.1679999999998194</v>
      </c>
      <c r="Q731" s="1" t="str">
        <f t="shared" si="459"/>
        <v/>
      </c>
      <c r="R731" s="1" t="str">
        <f t="shared" si="464"/>
        <v/>
      </c>
      <c r="S731" s="1">
        <f t="shared" si="465"/>
        <v>693.04800000000228</v>
      </c>
      <c r="T731" s="1">
        <f t="shared" si="466"/>
        <v>-0.45</v>
      </c>
      <c r="U731" s="1">
        <f t="shared" si="467"/>
        <v>527.99999999996999</v>
      </c>
      <c r="V731" s="1">
        <f t="shared" si="468"/>
        <v>237.59999999998649</v>
      </c>
    </row>
    <row r="732" spans="1:22" x14ac:dyDescent="0.25">
      <c r="A732" s="1">
        <v>731</v>
      </c>
      <c r="B732" s="4">
        <v>7500</v>
      </c>
      <c r="C732" s="4">
        <v>116.19999999999999</v>
      </c>
      <c r="D732" s="4">
        <v>116.3</v>
      </c>
      <c r="E732" s="4">
        <f t="shared" si="460"/>
        <v>0.10000000000000853</v>
      </c>
      <c r="F732" s="4">
        <v>0.6</v>
      </c>
      <c r="G732" s="4">
        <v>-0.51</v>
      </c>
      <c r="H732" s="4">
        <v>60</v>
      </c>
      <c r="I732" s="4"/>
      <c r="J732" s="4">
        <v>45</v>
      </c>
      <c r="K732"/>
      <c r="L732"/>
      <c r="M732" s="4">
        <f t="shared" si="461"/>
        <v>116.3</v>
      </c>
      <c r="N732" s="4"/>
      <c r="O732" s="1">
        <f t="shared" si="462"/>
        <v>116.19999999999999</v>
      </c>
      <c r="P732" s="1">
        <f t="shared" si="463"/>
        <v>3.1680000000002697</v>
      </c>
      <c r="Q732" s="1" t="str">
        <f t="shared" si="459"/>
        <v/>
      </c>
      <c r="R732" s="1" t="str">
        <f t="shared" si="464"/>
        <v/>
      </c>
      <c r="S732" s="1">
        <f t="shared" si="465"/>
        <v>690.67200000000241</v>
      </c>
      <c r="T732" s="1">
        <f t="shared" si="466"/>
        <v>-0.51</v>
      </c>
      <c r="U732" s="1">
        <f t="shared" si="467"/>
        <v>528.00000000004502</v>
      </c>
      <c r="V732" s="1">
        <f t="shared" si="468"/>
        <v>269.28000000002294</v>
      </c>
    </row>
    <row r="733" spans="1:22" x14ac:dyDescent="0.25">
      <c r="A733" s="1">
        <v>732</v>
      </c>
      <c r="B733" s="4">
        <v>7500</v>
      </c>
      <c r="C733" s="4">
        <v>116.3</v>
      </c>
      <c r="D733" s="4">
        <v>116.39999999999999</v>
      </c>
      <c r="E733" s="4">
        <f t="shared" si="460"/>
        <v>9.9999999999994316E-2</v>
      </c>
      <c r="F733" s="4">
        <v>0.6</v>
      </c>
      <c r="G733" s="4">
        <v>-0.55000000000000004</v>
      </c>
      <c r="H733" s="4">
        <v>60</v>
      </c>
      <c r="I733" s="4"/>
      <c r="J733" s="4">
        <v>45</v>
      </c>
      <c r="K733"/>
      <c r="L733"/>
      <c r="M733" s="4">
        <f t="shared" si="461"/>
        <v>116.39999999999999</v>
      </c>
      <c r="N733" s="4"/>
      <c r="O733" s="1">
        <f t="shared" si="462"/>
        <v>116.3</v>
      </c>
      <c r="P733" s="1">
        <f t="shared" si="463"/>
        <v>3.1679999999998194</v>
      </c>
      <c r="Q733" s="1" t="str">
        <f t="shared" si="459"/>
        <v/>
      </c>
      <c r="R733" s="1" t="str">
        <f t="shared" si="464"/>
        <v/>
      </c>
      <c r="S733" s="1">
        <f t="shared" si="465"/>
        <v>687.97920000000215</v>
      </c>
      <c r="T733" s="1">
        <f t="shared" si="466"/>
        <v>-0.55000000000000004</v>
      </c>
      <c r="U733" s="1">
        <f t="shared" si="467"/>
        <v>527.99999999996999</v>
      </c>
      <c r="V733" s="1">
        <f t="shared" si="468"/>
        <v>290.39999999998349</v>
      </c>
    </row>
    <row r="734" spans="1:22" x14ac:dyDescent="0.25">
      <c r="A734" s="1">
        <v>733</v>
      </c>
      <c r="B734" s="4">
        <v>7500</v>
      </c>
      <c r="C734" s="4">
        <v>116.39999999999999</v>
      </c>
      <c r="D734" s="4">
        <v>116.5</v>
      </c>
      <c r="E734" s="4">
        <f t="shared" si="460"/>
        <v>0.10000000000000853</v>
      </c>
      <c r="F734" s="4">
        <v>0</v>
      </c>
      <c r="G734" s="4">
        <v>-0.6</v>
      </c>
      <c r="H734" s="4">
        <v>79</v>
      </c>
      <c r="I734" s="4"/>
      <c r="J734" s="4">
        <v>50</v>
      </c>
      <c r="K734"/>
      <c r="L734"/>
      <c r="M734" s="4">
        <f t="shared" si="461"/>
        <v>116.5</v>
      </c>
      <c r="N734" s="4"/>
      <c r="O734" s="1">
        <f t="shared" si="462"/>
        <v>116.39999999999999</v>
      </c>
      <c r="P734" s="1">
        <f t="shared" si="463"/>
        <v>0</v>
      </c>
      <c r="Q734" s="1">
        <f t="shared" si="459"/>
        <v>79</v>
      </c>
      <c r="R734" s="1">
        <f t="shared" si="464"/>
        <v>79</v>
      </c>
      <c r="S734" s="1">
        <f t="shared" si="465"/>
        <v>685.07520000000227</v>
      </c>
      <c r="T734" s="1">
        <f t="shared" si="466"/>
        <v>-0.6</v>
      </c>
      <c r="U734" s="1">
        <f t="shared" si="467"/>
        <v>528.00000000004502</v>
      </c>
      <c r="V734" s="1">
        <f t="shared" si="468"/>
        <v>316.80000000002701</v>
      </c>
    </row>
    <row r="735" spans="1:22" x14ac:dyDescent="0.25">
      <c r="A735" s="1">
        <v>734</v>
      </c>
      <c r="B735" s="4">
        <v>7500</v>
      </c>
      <c r="C735" s="4">
        <v>116.5</v>
      </c>
      <c r="D735" s="4">
        <v>116.69999999999999</v>
      </c>
      <c r="E735" s="4">
        <f t="shared" si="460"/>
        <v>0.19999999999998863</v>
      </c>
      <c r="F735" s="4">
        <v>0</v>
      </c>
      <c r="G735" s="4">
        <v>-0.69</v>
      </c>
      <c r="H735" s="4">
        <v>79</v>
      </c>
      <c r="I735" s="4"/>
      <c r="J735" s="4">
        <v>50</v>
      </c>
      <c r="K735"/>
      <c r="L735"/>
      <c r="M735" s="4">
        <f t="shared" si="461"/>
        <v>116.69999999999999</v>
      </c>
      <c r="N735" s="4"/>
      <c r="O735" s="1">
        <f t="shared" si="462"/>
        <v>116.5</v>
      </c>
      <c r="P735" s="1">
        <f t="shared" si="463"/>
        <v>0</v>
      </c>
      <c r="Q735" s="1" t="str">
        <f t="shared" si="459"/>
        <v/>
      </c>
      <c r="R735" s="1" t="str">
        <f t="shared" si="464"/>
        <v/>
      </c>
      <c r="S735" s="1">
        <f t="shared" si="465"/>
        <v>681.90720000000204</v>
      </c>
      <c r="T735" s="1">
        <f t="shared" si="466"/>
        <v>-0.69</v>
      </c>
      <c r="U735" s="1">
        <f t="shared" si="467"/>
        <v>1055.99999999994</v>
      </c>
      <c r="V735" s="1">
        <f t="shared" si="468"/>
        <v>728.63999999995849</v>
      </c>
    </row>
    <row r="736" spans="1:22" x14ac:dyDescent="0.25">
      <c r="A736" s="1">
        <v>735</v>
      </c>
      <c r="B736" s="4">
        <v>7500</v>
      </c>
      <c r="C736" s="4">
        <v>116.69999999999999</v>
      </c>
      <c r="D736" s="4">
        <v>116.89999999999999</v>
      </c>
      <c r="E736" s="4">
        <f t="shared" si="460"/>
        <v>0.20000000000000284</v>
      </c>
      <c r="F736" s="4">
        <v>0</v>
      </c>
      <c r="G736" s="4">
        <v>-0.74</v>
      </c>
      <c r="H736" s="4">
        <v>79</v>
      </c>
      <c r="I736" s="4"/>
      <c r="J736" s="4">
        <v>50</v>
      </c>
      <c r="K736"/>
      <c r="L736"/>
      <c r="M736" s="4">
        <f t="shared" si="461"/>
        <v>116.89999999999999</v>
      </c>
      <c r="N736" s="4"/>
      <c r="O736" s="1">
        <f t="shared" si="462"/>
        <v>116.69999999999999</v>
      </c>
      <c r="P736" s="1">
        <f t="shared" si="463"/>
        <v>0</v>
      </c>
      <c r="Q736" s="1" t="str">
        <f t="shared" si="459"/>
        <v/>
      </c>
      <c r="R736" s="1" t="str">
        <f t="shared" si="464"/>
        <v/>
      </c>
      <c r="S736" s="1">
        <f t="shared" si="465"/>
        <v>674.62080000000242</v>
      </c>
      <c r="T736" s="1">
        <f t="shared" si="466"/>
        <v>-0.74</v>
      </c>
      <c r="U736" s="1">
        <f t="shared" si="467"/>
        <v>1056.000000000015</v>
      </c>
      <c r="V736" s="1">
        <f t="shared" si="468"/>
        <v>781.44000000001108</v>
      </c>
    </row>
    <row r="737" spans="1:22" x14ac:dyDescent="0.25">
      <c r="A737" s="1">
        <v>736</v>
      </c>
      <c r="B737" s="4">
        <v>7500</v>
      </c>
      <c r="C737" s="4">
        <v>116.89999999999999</v>
      </c>
      <c r="D737" s="4">
        <v>117</v>
      </c>
      <c r="E737" s="4">
        <f t="shared" si="460"/>
        <v>0.10000000000000853</v>
      </c>
      <c r="F737" s="4">
        <v>1.3</v>
      </c>
      <c r="G737" s="4">
        <v>-0.74</v>
      </c>
      <c r="H737" s="4">
        <v>79</v>
      </c>
      <c r="I737" s="4"/>
      <c r="J737" s="4">
        <v>50</v>
      </c>
      <c r="K737"/>
      <c r="L737"/>
      <c r="M737" s="4">
        <f t="shared" si="461"/>
        <v>117</v>
      </c>
      <c r="N737" s="4"/>
      <c r="O737" s="1">
        <f t="shared" si="462"/>
        <v>116.89999999999999</v>
      </c>
      <c r="P737" s="1">
        <f t="shared" si="463"/>
        <v>6.8640000000005852</v>
      </c>
      <c r="Q737" s="1" t="str">
        <f t="shared" si="459"/>
        <v/>
      </c>
      <c r="R737" s="1" t="str">
        <f t="shared" si="464"/>
        <v/>
      </c>
      <c r="S737" s="1">
        <f t="shared" si="465"/>
        <v>666.80640000000233</v>
      </c>
      <c r="T737" s="1">
        <f t="shared" si="466"/>
        <v>-0.74</v>
      </c>
      <c r="U737" s="1">
        <f t="shared" si="467"/>
        <v>528.00000000004502</v>
      </c>
      <c r="V737" s="1">
        <f t="shared" si="468"/>
        <v>390.72000000003334</v>
      </c>
    </row>
    <row r="738" spans="1:22" x14ac:dyDescent="0.25">
      <c r="A738" s="1">
        <v>737</v>
      </c>
      <c r="B738" s="4">
        <v>7500</v>
      </c>
      <c r="C738" s="4">
        <v>117</v>
      </c>
      <c r="D738" s="4">
        <v>117.1</v>
      </c>
      <c r="E738" s="4">
        <f t="shared" si="460"/>
        <v>9.9999999999994316E-2</v>
      </c>
      <c r="F738" s="4">
        <v>1.3</v>
      </c>
      <c r="G738" s="4">
        <v>-0.74</v>
      </c>
      <c r="H738" s="4">
        <v>79</v>
      </c>
      <c r="I738" s="4"/>
      <c r="J738" s="4">
        <v>50</v>
      </c>
      <c r="K738"/>
      <c r="L738"/>
      <c r="M738" s="4">
        <f t="shared" si="461"/>
        <v>117.1</v>
      </c>
      <c r="N738" s="4"/>
      <c r="O738" s="1">
        <f t="shared" si="462"/>
        <v>117</v>
      </c>
      <c r="P738" s="1">
        <f t="shared" si="463"/>
        <v>6.86399999999961</v>
      </c>
      <c r="Q738" s="1" t="str">
        <f t="shared" si="459"/>
        <v/>
      </c>
      <c r="R738" s="1" t="str">
        <f t="shared" si="464"/>
        <v/>
      </c>
      <c r="S738" s="1">
        <f t="shared" si="465"/>
        <v>662.899200000002</v>
      </c>
      <c r="T738" s="1">
        <f t="shared" si="466"/>
        <v>-0.74</v>
      </c>
      <c r="U738" s="1">
        <f t="shared" si="467"/>
        <v>527.99999999996999</v>
      </c>
      <c r="V738" s="1">
        <f t="shared" si="468"/>
        <v>390.7199999999778</v>
      </c>
    </row>
    <row r="739" spans="1:22" x14ac:dyDescent="0.25">
      <c r="A739" s="1">
        <v>738</v>
      </c>
      <c r="B739" s="4">
        <v>7500</v>
      </c>
      <c r="C739" s="4">
        <v>117.1</v>
      </c>
      <c r="D739" s="4">
        <v>117.19999999999999</v>
      </c>
      <c r="E739" s="4">
        <f t="shared" si="460"/>
        <v>9.9999999999994316E-2</v>
      </c>
      <c r="F739" s="4">
        <v>1.4</v>
      </c>
      <c r="G739" s="4">
        <v>-0.74</v>
      </c>
      <c r="H739" s="4">
        <v>79</v>
      </c>
      <c r="I739" s="4"/>
      <c r="J739" s="4">
        <v>50</v>
      </c>
      <c r="K739"/>
      <c r="L739"/>
      <c r="M739" s="4">
        <f t="shared" si="461"/>
        <v>117.19999999999999</v>
      </c>
      <c r="N739" s="4"/>
      <c r="O739" s="1">
        <f t="shared" si="462"/>
        <v>117.1</v>
      </c>
      <c r="P739" s="1">
        <f t="shared" si="463"/>
        <v>7.3919999999995785</v>
      </c>
      <c r="Q739" s="1" t="str">
        <f t="shared" si="459"/>
        <v/>
      </c>
      <c r="R739" s="1" t="str">
        <f t="shared" si="464"/>
        <v/>
      </c>
      <c r="S739" s="1">
        <f t="shared" si="465"/>
        <v>658.99200000000224</v>
      </c>
      <c r="T739" s="1">
        <f t="shared" si="466"/>
        <v>-0.74</v>
      </c>
      <c r="U739" s="1">
        <f t="shared" si="467"/>
        <v>527.99999999996999</v>
      </c>
      <c r="V739" s="1">
        <f t="shared" si="468"/>
        <v>390.7199999999778</v>
      </c>
    </row>
    <row r="740" spans="1:22" x14ac:dyDescent="0.25">
      <c r="A740" s="1">
        <v>739</v>
      </c>
      <c r="B740" s="4">
        <v>7500</v>
      </c>
      <c r="C740" s="4">
        <v>117.19999999999999</v>
      </c>
      <c r="D740" s="4">
        <v>117.3</v>
      </c>
      <c r="E740" s="4">
        <f t="shared" si="460"/>
        <v>0.10000000000000853</v>
      </c>
      <c r="F740" s="4">
        <v>1.4</v>
      </c>
      <c r="G740" s="4">
        <v>-0.91</v>
      </c>
      <c r="H740" s="4">
        <v>79</v>
      </c>
      <c r="I740" s="4"/>
      <c r="J740" s="4">
        <v>50</v>
      </c>
      <c r="K740"/>
      <c r="L740"/>
      <c r="M740" s="4">
        <f t="shared" si="461"/>
        <v>117.3</v>
      </c>
      <c r="N740" s="4"/>
      <c r="O740" s="1">
        <f t="shared" si="462"/>
        <v>117.19999999999999</v>
      </c>
      <c r="P740" s="1">
        <f t="shared" si="463"/>
        <v>7.3920000000006292</v>
      </c>
      <c r="Q740" s="1" t="str">
        <f t="shared" si="459"/>
        <v/>
      </c>
      <c r="R740" s="1" t="str">
        <f t="shared" si="464"/>
        <v/>
      </c>
      <c r="S740" s="1">
        <f t="shared" si="465"/>
        <v>655.08480000000247</v>
      </c>
      <c r="T740" s="1">
        <f t="shared" si="466"/>
        <v>-0.91</v>
      </c>
      <c r="U740" s="1">
        <f t="shared" si="467"/>
        <v>528.00000000004502</v>
      </c>
      <c r="V740" s="1">
        <f t="shared" si="468"/>
        <v>480.480000000041</v>
      </c>
    </row>
    <row r="741" spans="1:22" x14ac:dyDescent="0.25">
      <c r="A741" s="1">
        <v>740</v>
      </c>
      <c r="B741" s="4">
        <v>7500</v>
      </c>
      <c r="C741" s="4">
        <v>117.3</v>
      </c>
      <c r="D741" s="4">
        <v>117.39999999999999</v>
      </c>
      <c r="E741" s="4">
        <f t="shared" si="460"/>
        <v>9.9999999999994316E-2</v>
      </c>
      <c r="F741" s="4">
        <v>0</v>
      </c>
      <c r="G741" s="4">
        <v>-0.91</v>
      </c>
      <c r="H741" s="4">
        <v>79</v>
      </c>
      <c r="I741" s="4"/>
      <c r="J741" s="4">
        <v>50</v>
      </c>
      <c r="K741"/>
      <c r="L741"/>
      <c r="M741" s="4">
        <f t="shared" si="461"/>
        <v>117.39999999999999</v>
      </c>
      <c r="N741" s="4"/>
      <c r="O741" s="1">
        <f t="shared" si="462"/>
        <v>117.3</v>
      </c>
      <c r="P741" s="1">
        <f t="shared" si="463"/>
        <v>0</v>
      </c>
      <c r="Q741" s="1" t="str">
        <f t="shared" si="459"/>
        <v/>
      </c>
      <c r="R741" s="1" t="str">
        <f t="shared" si="464"/>
        <v/>
      </c>
      <c r="S741" s="1">
        <f t="shared" si="465"/>
        <v>650.28000000000202</v>
      </c>
      <c r="T741" s="1">
        <f t="shared" si="466"/>
        <v>-0.91</v>
      </c>
      <c r="U741" s="1">
        <f t="shared" si="467"/>
        <v>527.99999999996999</v>
      </c>
      <c r="V741" s="1">
        <f t="shared" si="468"/>
        <v>480.47999999997268</v>
      </c>
    </row>
    <row r="742" spans="1:22" x14ac:dyDescent="0.25">
      <c r="A742" s="1">
        <v>741</v>
      </c>
      <c r="B742" s="4">
        <v>7500</v>
      </c>
      <c r="C742" s="4">
        <v>117.39999999999999</v>
      </c>
      <c r="D742" s="4">
        <v>117.8</v>
      </c>
      <c r="E742" s="4">
        <f t="shared" si="460"/>
        <v>0.40000000000000568</v>
      </c>
      <c r="F742" s="4">
        <v>0</v>
      </c>
      <c r="G742" s="4">
        <v>-0.62</v>
      </c>
      <c r="H742" s="4">
        <v>79</v>
      </c>
      <c r="I742" s="4"/>
      <c r="J742" s="4">
        <v>50</v>
      </c>
      <c r="K742"/>
      <c r="L742"/>
      <c r="M742" s="4">
        <f t="shared" si="461"/>
        <v>117.8</v>
      </c>
      <c r="N742" s="4"/>
      <c r="O742" s="1">
        <f t="shared" si="462"/>
        <v>117.39999999999999</v>
      </c>
      <c r="P742" s="1">
        <f t="shared" si="463"/>
        <v>0</v>
      </c>
      <c r="Q742" s="1" t="str">
        <f t="shared" si="459"/>
        <v/>
      </c>
      <c r="R742" s="1" t="str">
        <f t="shared" si="464"/>
        <v/>
      </c>
      <c r="S742" s="1">
        <f t="shared" si="465"/>
        <v>645.47520000000225</v>
      </c>
      <c r="T742" s="1">
        <f t="shared" si="466"/>
        <v>-0.62</v>
      </c>
      <c r="U742" s="1">
        <f t="shared" si="467"/>
        <v>2112.00000000003</v>
      </c>
      <c r="V742" s="1">
        <f t="shared" si="468"/>
        <v>1309.4400000000187</v>
      </c>
    </row>
    <row r="743" spans="1:22" x14ac:dyDescent="0.25">
      <c r="A743" s="1">
        <v>742</v>
      </c>
      <c r="B743" s="4">
        <v>7500</v>
      </c>
      <c r="C743" s="4">
        <v>117.8</v>
      </c>
      <c r="D743" s="4">
        <v>118</v>
      </c>
      <c r="E743" s="4">
        <f t="shared" si="460"/>
        <v>0.20000000000000284</v>
      </c>
      <c r="F743" s="4">
        <v>0</v>
      </c>
      <c r="G743" s="4">
        <v>-0.73</v>
      </c>
      <c r="H743" s="4">
        <v>79</v>
      </c>
      <c r="I743" s="4"/>
      <c r="J743" s="4">
        <v>50</v>
      </c>
      <c r="K743"/>
      <c r="L743"/>
      <c r="M743" s="4">
        <f t="shared" si="461"/>
        <v>118</v>
      </c>
      <c r="N743" s="4"/>
      <c r="O743" s="1">
        <f t="shared" si="462"/>
        <v>117.8</v>
      </c>
      <c r="P743" s="1">
        <f t="shared" si="463"/>
        <v>0</v>
      </c>
      <c r="Q743" s="1" t="str">
        <f t="shared" si="459"/>
        <v/>
      </c>
      <c r="R743" s="1" t="str">
        <f t="shared" si="464"/>
        <v/>
      </c>
      <c r="S743" s="1">
        <f t="shared" si="465"/>
        <v>632.38080000000207</v>
      </c>
      <c r="T743" s="1">
        <f t="shared" si="466"/>
        <v>-0.73</v>
      </c>
      <c r="U743" s="1">
        <f t="shared" si="467"/>
        <v>1056.000000000015</v>
      </c>
      <c r="V743" s="1">
        <f t="shared" si="468"/>
        <v>770.88000000001091</v>
      </c>
    </row>
    <row r="744" spans="1:22" x14ac:dyDescent="0.25">
      <c r="A744" s="1">
        <v>743</v>
      </c>
      <c r="B744" s="4">
        <v>7500</v>
      </c>
      <c r="C744" s="4">
        <v>118</v>
      </c>
      <c r="D744" s="4">
        <v>118.19999999999999</v>
      </c>
      <c r="E744" s="4">
        <f t="shared" si="460"/>
        <v>0.19999999999998863</v>
      </c>
      <c r="F744" s="4">
        <v>1.1000000000000001</v>
      </c>
      <c r="G744" s="4">
        <v>-0.73</v>
      </c>
      <c r="H744" s="4">
        <v>79</v>
      </c>
      <c r="I744" s="4"/>
      <c r="J744" s="4">
        <v>50</v>
      </c>
      <c r="K744"/>
      <c r="L744"/>
      <c r="M744" s="4">
        <f t="shared" si="461"/>
        <v>118.19999999999999</v>
      </c>
      <c r="N744" s="4"/>
      <c r="O744" s="1">
        <f t="shared" si="462"/>
        <v>118</v>
      </c>
      <c r="P744" s="1">
        <f t="shared" si="463"/>
        <v>11.615999999999339</v>
      </c>
      <c r="Q744" s="1" t="str">
        <f t="shared" si="459"/>
        <v/>
      </c>
      <c r="R744" s="1" t="str">
        <f t="shared" si="464"/>
        <v/>
      </c>
      <c r="S744" s="1">
        <f t="shared" si="465"/>
        <v>624.67200000000196</v>
      </c>
      <c r="T744" s="1">
        <f t="shared" si="466"/>
        <v>-0.73</v>
      </c>
      <c r="U744" s="1">
        <f t="shared" si="467"/>
        <v>1055.99999999994</v>
      </c>
      <c r="V744" s="1">
        <f t="shared" si="468"/>
        <v>770.87999999995611</v>
      </c>
    </row>
    <row r="745" spans="1:22" x14ac:dyDescent="0.25">
      <c r="A745" s="1">
        <v>744</v>
      </c>
      <c r="B745" s="4">
        <v>7500</v>
      </c>
      <c r="C745" s="4">
        <v>118.19999999999999</v>
      </c>
      <c r="D745" s="4">
        <v>118.3</v>
      </c>
      <c r="E745" s="4">
        <f t="shared" si="460"/>
        <v>0.10000000000000853</v>
      </c>
      <c r="F745" s="4">
        <v>1</v>
      </c>
      <c r="G745" s="4">
        <v>0.65</v>
      </c>
      <c r="H745" s="4">
        <v>79</v>
      </c>
      <c r="I745" s="4"/>
      <c r="J745" s="4">
        <v>50</v>
      </c>
      <c r="K745"/>
      <c r="L745"/>
      <c r="M745" s="4">
        <f t="shared" si="461"/>
        <v>118.3</v>
      </c>
      <c r="N745" s="4"/>
      <c r="O745" s="1">
        <f t="shared" si="462"/>
        <v>118.19999999999999</v>
      </c>
      <c r="P745" s="1">
        <f t="shared" si="463"/>
        <v>5.2800000000004497</v>
      </c>
      <c r="Q745" s="1" t="str">
        <f t="shared" si="459"/>
        <v/>
      </c>
      <c r="R745" s="1" t="str">
        <f t="shared" si="464"/>
        <v/>
      </c>
      <c r="S745" s="1">
        <f t="shared" si="465"/>
        <v>616.96320000000242</v>
      </c>
      <c r="T745" s="1">
        <f t="shared" si="466"/>
        <v>0.65</v>
      </c>
      <c r="U745" s="1">
        <f t="shared" si="467"/>
        <v>528.00000000004502</v>
      </c>
      <c r="V745" s="1">
        <f t="shared" si="468"/>
        <v>343.20000000002926</v>
      </c>
    </row>
    <row r="746" spans="1:22" x14ac:dyDescent="0.25">
      <c r="A746" s="1">
        <v>745</v>
      </c>
      <c r="B746" s="4">
        <v>7500</v>
      </c>
      <c r="C746" s="4">
        <v>118.3</v>
      </c>
      <c r="D746" s="4">
        <v>118.39999999999999</v>
      </c>
      <c r="E746" s="4">
        <f t="shared" si="460"/>
        <v>9.9999999999994316E-2</v>
      </c>
      <c r="F746" s="4">
        <v>1.1000000000000001</v>
      </c>
      <c r="G746" s="4">
        <v>0.65</v>
      </c>
      <c r="H746" s="4">
        <v>79</v>
      </c>
      <c r="I746" s="4"/>
      <c r="J746" s="4">
        <v>50</v>
      </c>
      <c r="K746"/>
      <c r="L746"/>
      <c r="M746" s="4">
        <f t="shared" si="461"/>
        <v>118.39999999999999</v>
      </c>
      <c r="N746" s="4"/>
      <c r="O746" s="1">
        <f t="shared" si="462"/>
        <v>118.3</v>
      </c>
      <c r="P746" s="1">
        <f t="shared" si="463"/>
        <v>5.8079999999996694</v>
      </c>
      <c r="Q746" s="1" t="str">
        <f t="shared" si="459"/>
        <v/>
      </c>
      <c r="R746" s="1" t="str">
        <f t="shared" si="464"/>
        <v/>
      </c>
      <c r="S746" s="1">
        <f t="shared" si="465"/>
        <v>620.39520000000266</v>
      </c>
      <c r="T746" s="1">
        <f t="shared" si="466"/>
        <v>0.65</v>
      </c>
      <c r="U746" s="1">
        <f t="shared" si="467"/>
        <v>527.99999999996999</v>
      </c>
      <c r="V746" s="1">
        <f t="shared" si="468"/>
        <v>343.19999999998049</v>
      </c>
    </row>
    <row r="747" spans="1:22" x14ac:dyDescent="0.25">
      <c r="A747" s="1">
        <v>746</v>
      </c>
      <c r="B747" s="4">
        <v>7500</v>
      </c>
      <c r="C747" s="4">
        <v>118.39999999999999</v>
      </c>
      <c r="D747" s="4">
        <v>118.6</v>
      </c>
      <c r="E747" s="4">
        <f t="shared" si="460"/>
        <v>0.20000000000000284</v>
      </c>
      <c r="F747" s="4">
        <v>0</v>
      </c>
      <c r="G747" s="4">
        <v>-0.39</v>
      </c>
      <c r="H747" s="4">
        <v>79</v>
      </c>
      <c r="I747" s="4"/>
      <c r="J747" s="4">
        <v>50</v>
      </c>
      <c r="K747"/>
      <c r="L747"/>
      <c r="M747" s="4">
        <f t="shared" si="461"/>
        <v>118.6</v>
      </c>
      <c r="N747" s="4"/>
      <c r="O747" s="1">
        <f t="shared" si="462"/>
        <v>118.39999999999999</v>
      </c>
      <c r="P747" s="1">
        <f t="shared" si="463"/>
        <v>0</v>
      </c>
      <c r="Q747" s="1" t="str">
        <f t="shared" si="459"/>
        <v/>
      </c>
      <c r="R747" s="1" t="str">
        <f t="shared" si="464"/>
        <v/>
      </c>
      <c r="S747" s="1">
        <f t="shared" si="465"/>
        <v>623.82720000000245</v>
      </c>
      <c r="T747" s="1">
        <f t="shared" si="466"/>
        <v>-0.39</v>
      </c>
      <c r="U747" s="1">
        <f t="shared" si="467"/>
        <v>1056.000000000015</v>
      </c>
      <c r="V747" s="1">
        <f t="shared" si="468"/>
        <v>411.84000000000589</v>
      </c>
    </row>
    <row r="748" spans="1:22" x14ac:dyDescent="0.25">
      <c r="A748" s="1">
        <v>747</v>
      </c>
      <c r="B748" s="4">
        <v>7500</v>
      </c>
      <c r="C748" s="4">
        <v>118.6</v>
      </c>
      <c r="D748" s="4">
        <v>118.69999999999999</v>
      </c>
      <c r="E748" s="4">
        <f t="shared" si="460"/>
        <v>9.9999999999994316E-2</v>
      </c>
      <c r="F748" s="4">
        <v>0</v>
      </c>
      <c r="G748" s="4">
        <v>-0.41</v>
      </c>
      <c r="H748" s="4">
        <v>79</v>
      </c>
      <c r="I748" s="4"/>
      <c r="J748" s="4">
        <v>50</v>
      </c>
      <c r="K748"/>
      <c r="L748"/>
      <c r="M748" s="4">
        <f t="shared" si="461"/>
        <v>118.69999999999999</v>
      </c>
      <c r="N748" s="4"/>
      <c r="O748" s="1">
        <f t="shared" si="462"/>
        <v>118.6</v>
      </c>
      <c r="P748" s="1">
        <f t="shared" si="463"/>
        <v>0</v>
      </c>
      <c r="Q748" s="1" t="str">
        <f t="shared" si="459"/>
        <v/>
      </c>
      <c r="R748" s="1" t="str">
        <f t="shared" si="464"/>
        <v/>
      </c>
      <c r="S748" s="1">
        <f t="shared" si="465"/>
        <v>619.70880000000238</v>
      </c>
      <c r="T748" s="1">
        <f t="shared" si="466"/>
        <v>-0.41</v>
      </c>
      <c r="U748" s="1">
        <f t="shared" si="467"/>
        <v>527.99999999996999</v>
      </c>
      <c r="V748" s="1">
        <f t="shared" si="468"/>
        <v>216.47999999998768</v>
      </c>
    </row>
    <row r="749" spans="1:22" x14ac:dyDescent="0.25">
      <c r="A749" s="1">
        <v>748</v>
      </c>
      <c r="B749" s="4">
        <v>7500</v>
      </c>
      <c r="C749" s="4">
        <v>118.69999999999999</v>
      </c>
      <c r="D749" s="4">
        <v>118.8</v>
      </c>
      <c r="E749" s="4">
        <f t="shared" si="460"/>
        <v>0.10000000000000853</v>
      </c>
      <c r="F749" s="4">
        <v>0</v>
      </c>
      <c r="G749" s="4">
        <v>-0.28999999999999998</v>
      </c>
      <c r="H749" s="4">
        <v>79</v>
      </c>
      <c r="I749" s="4"/>
      <c r="J749" s="4">
        <v>50</v>
      </c>
      <c r="K749"/>
      <c r="L749"/>
      <c r="M749" s="4">
        <f t="shared" si="461"/>
        <v>118.8</v>
      </c>
      <c r="N749" s="4"/>
      <c r="O749" s="1">
        <f t="shared" si="462"/>
        <v>118.69999999999999</v>
      </c>
      <c r="P749" s="1">
        <f t="shared" si="463"/>
        <v>0</v>
      </c>
      <c r="Q749" s="1" t="str">
        <f t="shared" si="459"/>
        <v/>
      </c>
      <c r="R749" s="1" t="str">
        <f t="shared" si="464"/>
        <v/>
      </c>
      <c r="S749" s="1">
        <f t="shared" si="465"/>
        <v>617.54400000000248</v>
      </c>
      <c r="T749" s="1">
        <f t="shared" si="466"/>
        <v>-0.28999999999999998</v>
      </c>
      <c r="U749" s="1">
        <f t="shared" si="467"/>
        <v>528.00000000004502</v>
      </c>
      <c r="V749" s="1">
        <f t="shared" si="468"/>
        <v>153.12000000001305</v>
      </c>
    </row>
    <row r="750" spans="1:22" x14ac:dyDescent="0.25">
      <c r="A750" s="1">
        <v>749</v>
      </c>
      <c r="B750" s="4">
        <v>7500</v>
      </c>
      <c r="C750" s="4">
        <v>118.8</v>
      </c>
      <c r="D750" s="4">
        <v>119.1</v>
      </c>
      <c r="E750" s="4">
        <f t="shared" si="460"/>
        <v>0.29999999999999716</v>
      </c>
      <c r="F750" s="4">
        <v>0</v>
      </c>
      <c r="G750" s="4">
        <v>-0.23</v>
      </c>
      <c r="H750" s="4">
        <v>79</v>
      </c>
      <c r="I750" s="4"/>
      <c r="J750" s="4">
        <v>50</v>
      </c>
      <c r="K750"/>
      <c r="L750"/>
      <c r="M750" s="4">
        <f t="shared" si="461"/>
        <v>119.1</v>
      </c>
      <c r="N750" s="4"/>
      <c r="O750" s="1">
        <f t="shared" si="462"/>
        <v>118.8</v>
      </c>
      <c r="P750" s="1">
        <f t="shared" si="463"/>
        <v>0</v>
      </c>
      <c r="Q750" s="1" t="str">
        <f t="shared" si="459"/>
        <v/>
      </c>
      <c r="R750" s="1" t="str">
        <f t="shared" si="464"/>
        <v/>
      </c>
      <c r="S750" s="1">
        <f t="shared" si="465"/>
        <v>616.01280000000236</v>
      </c>
      <c r="T750" s="1">
        <f t="shared" si="466"/>
        <v>-0.23</v>
      </c>
      <c r="U750" s="1">
        <f t="shared" si="467"/>
        <v>1583.999999999985</v>
      </c>
      <c r="V750" s="1">
        <f t="shared" si="468"/>
        <v>364.31999999999658</v>
      </c>
    </row>
    <row r="751" spans="1:22" x14ac:dyDescent="0.25">
      <c r="A751" s="1">
        <v>750</v>
      </c>
      <c r="B751" s="4">
        <v>7500</v>
      </c>
      <c r="C751" s="4">
        <v>119.1</v>
      </c>
      <c r="D751" s="4">
        <v>119.3</v>
      </c>
      <c r="E751" s="4">
        <f t="shared" si="460"/>
        <v>0.20000000000000284</v>
      </c>
      <c r="F751" s="4">
        <v>0</v>
      </c>
      <c r="G751" s="4">
        <v>-0.35</v>
      </c>
      <c r="H751" s="4">
        <v>79</v>
      </c>
      <c r="I751" s="4"/>
      <c r="J751" s="4">
        <v>50</v>
      </c>
      <c r="K751"/>
      <c r="L751"/>
      <c r="M751" s="4">
        <f t="shared" si="461"/>
        <v>119.3</v>
      </c>
      <c r="N751" s="4"/>
      <c r="O751" s="1">
        <f t="shared" si="462"/>
        <v>119.1</v>
      </c>
      <c r="P751" s="1">
        <f t="shared" si="463"/>
        <v>0</v>
      </c>
      <c r="Q751" s="1" t="str">
        <f t="shared" si="459"/>
        <v/>
      </c>
      <c r="R751" s="1" t="str">
        <f t="shared" si="464"/>
        <v/>
      </c>
      <c r="S751" s="1">
        <f t="shared" si="465"/>
        <v>612.36960000000238</v>
      </c>
      <c r="T751" s="1">
        <f t="shared" si="466"/>
        <v>-0.35</v>
      </c>
      <c r="U751" s="1">
        <f t="shared" si="467"/>
        <v>1056.000000000015</v>
      </c>
      <c r="V751" s="1">
        <f t="shared" si="468"/>
        <v>369.60000000000525</v>
      </c>
    </row>
    <row r="752" spans="1:22" x14ac:dyDescent="0.25">
      <c r="A752" s="1">
        <v>751</v>
      </c>
      <c r="B752" s="4">
        <v>7500</v>
      </c>
      <c r="C752" s="4">
        <v>119.3</v>
      </c>
      <c r="D752" s="4">
        <v>119.39999999999999</v>
      </c>
      <c r="E752" s="4">
        <f t="shared" si="460"/>
        <v>9.9999999999994316E-2</v>
      </c>
      <c r="F752" s="4">
        <v>0</v>
      </c>
      <c r="G752" s="4">
        <v>-0.57999999999999996</v>
      </c>
      <c r="H752" s="4">
        <v>79</v>
      </c>
      <c r="I752" s="4"/>
      <c r="J752" s="4">
        <v>50</v>
      </c>
      <c r="K752"/>
      <c r="L752"/>
      <c r="M752" s="4">
        <f t="shared" si="461"/>
        <v>119.39999999999999</v>
      </c>
      <c r="N752" s="4"/>
      <c r="O752" s="1">
        <f t="shared" si="462"/>
        <v>119.3</v>
      </c>
      <c r="P752" s="1">
        <f t="shared" si="463"/>
        <v>0</v>
      </c>
      <c r="Q752" s="1" t="str">
        <f t="shared" si="459"/>
        <v/>
      </c>
      <c r="R752" s="1" t="str">
        <f t="shared" si="464"/>
        <v/>
      </c>
      <c r="S752" s="1">
        <f t="shared" si="465"/>
        <v>608.67360000000235</v>
      </c>
      <c r="T752" s="1">
        <f t="shared" si="466"/>
        <v>-0.57999999999999996</v>
      </c>
      <c r="U752" s="1">
        <f t="shared" si="467"/>
        <v>527.99999999996999</v>
      </c>
      <c r="V752" s="1">
        <f t="shared" si="468"/>
        <v>306.23999999998256</v>
      </c>
    </row>
    <row r="753" spans="1:22" x14ac:dyDescent="0.25">
      <c r="A753" s="1">
        <v>752</v>
      </c>
      <c r="B753" s="4">
        <v>7500</v>
      </c>
      <c r="C753" s="4">
        <v>119.39999999999999</v>
      </c>
      <c r="D753" s="4">
        <v>119.5</v>
      </c>
      <c r="E753" s="4">
        <f t="shared" si="460"/>
        <v>0.10000000000000853</v>
      </c>
      <c r="F753" s="4">
        <v>0</v>
      </c>
      <c r="G753" s="4">
        <v>-0.69</v>
      </c>
      <c r="H753" s="4">
        <v>79</v>
      </c>
      <c r="I753" s="4"/>
      <c r="J753" s="4">
        <v>50</v>
      </c>
      <c r="K753"/>
      <c r="L753"/>
      <c r="M753" s="4">
        <f t="shared" si="461"/>
        <v>119.5</v>
      </c>
      <c r="N753" s="4"/>
      <c r="O753" s="1">
        <f t="shared" si="462"/>
        <v>119.39999999999999</v>
      </c>
      <c r="P753" s="1">
        <f t="shared" si="463"/>
        <v>0</v>
      </c>
      <c r="Q753" s="1" t="str">
        <f t="shared" si="459"/>
        <v/>
      </c>
      <c r="R753" s="1" t="str">
        <f t="shared" si="464"/>
        <v/>
      </c>
      <c r="S753" s="1">
        <f t="shared" si="465"/>
        <v>605.61120000000255</v>
      </c>
      <c r="T753" s="1">
        <f t="shared" si="466"/>
        <v>-0.69</v>
      </c>
      <c r="U753" s="1">
        <f t="shared" si="467"/>
        <v>528.00000000004502</v>
      </c>
      <c r="V753" s="1">
        <f t="shared" si="468"/>
        <v>364.32000000003103</v>
      </c>
    </row>
    <row r="754" spans="1:22" x14ac:dyDescent="0.25">
      <c r="A754" s="1">
        <v>753</v>
      </c>
      <c r="B754" s="4">
        <v>7500</v>
      </c>
      <c r="C754" s="4">
        <v>119.5</v>
      </c>
      <c r="D754" s="4">
        <v>119.8</v>
      </c>
      <c r="E754" s="4">
        <f t="shared" si="460"/>
        <v>0.29999999999999716</v>
      </c>
      <c r="F754" s="4">
        <v>0.5</v>
      </c>
      <c r="G754" s="4">
        <v>-0.69</v>
      </c>
      <c r="H754" s="4">
        <v>79</v>
      </c>
      <c r="I754" s="4"/>
      <c r="J754" s="4">
        <v>50</v>
      </c>
      <c r="K754"/>
      <c r="L754"/>
      <c r="M754" s="4">
        <f t="shared" si="461"/>
        <v>119.8</v>
      </c>
      <c r="N754" s="4"/>
      <c r="O754" s="1">
        <f t="shared" si="462"/>
        <v>119.5</v>
      </c>
      <c r="P754" s="1">
        <f t="shared" si="463"/>
        <v>7.9199999999999244</v>
      </c>
      <c r="Q754" s="1" t="str">
        <f t="shared" si="459"/>
        <v/>
      </c>
      <c r="R754" s="1" t="str">
        <f t="shared" si="464"/>
        <v/>
      </c>
      <c r="S754" s="1">
        <f t="shared" si="465"/>
        <v>601.96800000000223</v>
      </c>
      <c r="T754" s="1">
        <f t="shared" si="466"/>
        <v>-0.69</v>
      </c>
      <c r="U754" s="1">
        <f t="shared" si="467"/>
        <v>1583.999999999985</v>
      </c>
      <c r="V754" s="1">
        <f t="shared" si="468"/>
        <v>1092.9599999999896</v>
      </c>
    </row>
    <row r="755" spans="1:22" x14ac:dyDescent="0.25">
      <c r="A755" s="1">
        <v>754</v>
      </c>
      <c r="B755" s="4">
        <v>7500</v>
      </c>
      <c r="C755" s="4">
        <v>119.8</v>
      </c>
      <c r="D755" s="4">
        <v>120.1</v>
      </c>
      <c r="E755" s="4">
        <f t="shared" si="460"/>
        <v>0.29999999999999716</v>
      </c>
      <c r="F755" s="4">
        <v>0</v>
      </c>
      <c r="G755" s="4">
        <v>-0.56000000000000005</v>
      </c>
      <c r="H755" s="4">
        <v>79</v>
      </c>
      <c r="I755" s="4"/>
      <c r="J755" s="4">
        <v>50</v>
      </c>
      <c r="K755"/>
      <c r="L755"/>
      <c r="M755" s="4">
        <f t="shared" si="461"/>
        <v>120.1</v>
      </c>
      <c r="N755" s="4"/>
      <c r="O755" s="1">
        <f t="shared" si="462"/>
        <v>119.8</v>
      </c>
      <c r="P755" s="1">
        <f t="shared" si="463"/>
        <v>0</v>
      </c>
      <c r="Q755" s="1" t="str">
        <f t="shared" si="459"/>
        <v/>
      </c>
      <c r="R755" s="1" t="str">
        <f t="shared" si="464"/>
        <v/>
      </c>
      <c r="S755" s="1">
        <f t="shared" si="465"/>
        <v>591.0384000000023</v>
      </c>
      <c r="T755" s="1">
        <f t="shared" si="466"/>
        <v>-0.56000000000000005</v>
      </c>
      <c r="U755" s="1">
        <f t="shared" si="467"/>
        <v>1583.999999999985</v>
      </c>
      <c r="V755" s="1">
        <f t="shared" si="468"/>
        <v>887.03999999999166</v>
      </c>
    </row>
    <row r="756" spans="1:22" x14ac:dyDescent="0.25">
      <c r="A756" s="1">
        <v>755</v>
      </c>
      <c r="B756" s="4">
        <v>7500</v>
      </c>
      <c r="C756" s="4">
        <v>120.1</v>
      </c>
      <c r="D756" s="4">
        <v>120.19999999999999</v>
      </c>
      <c r="E756" s="4">
        <f t="shared" si="460"/>
        <v>9.9999999999994316E-2</v>
      </c>
      <c r="F756" s="4">
        <v>0</v>
      </c>
      <c r="G756" s="4">
        <v>7.0000000000000007E-2</v>
      </c>
      <c r="H756" s="4">
        <v>79</v>
      </c>
      <c r="I756" s="4"/>
      <c r="J756" s="4">
        <v>50</v>
      </c>
      <c r="K756"/>
      <c r="L756"/>
      <c r="M756" s="4">
        <f t="shared" si="461"/>
        <v>120.19999999999999</v>
      </c>
      <c r="N756" s="4"/>
      <c r="O756" s="1">
        <f t="shared" si="462"/>
        <v>120.1</v>
      </c>
      <c r="P756" s="1">
        <f t="shared" si="463"/>
        <v>0</v>
      </c>
      <c r="Q756" s="1" t="str">
        <f t="shared" si="459"/>
        <v/>
      </c>
      <c r="R756" s="1" t="str">
        <f t="shared" si="464"/>
        <v/>
      </c>
      <c r="S756" s="1">
        <f t="shared" si="465"/>
        <v>582.16800000000239</v>
      </c>
      <c r="T756" s="1">
        <f t="shared" si="466"/>
        <v>7.0000000000000007E-2</v>
      </c>
      <c r="U756" s="1">
        <f t="shared" si="467"/>
        <v>527.99999999996999</v>
      </c>
      <c r="V756" s="1">
        <f t="shared" si="468"/>
        <v>36.959999999997905</v>
      </c>
    </row>
    <row r="757" spans="1:22" x14ac:dyDescent="0.25">
      <c r="A757" s="1">
        <v>756</v>
      </c>
      <c r="B757" s="4">
        <v>7500</v>
      </c>
      <c r="C757" s="4">
        <v>120.19999999999999</v>
      </c>
      <c r="D757" s="4">
        <v>120.3</v>
      </c>
      <c r="E757" s="4">
        <f t="shared" si="460"/>
        <v>0.10000000000000853</v>
      </c>
      <c r="F757" s="4">
        <v>0</v>
      </c>
      <c r="G757" s="4">
        <v>0.4</v>
      </c>
      <c r="H757" s="4">
        <v>79</v>
      </c>
      <c r="I757" s="4"/>
      <c r="J757" s="4">
        <v>50</v>
      </c>
      <c r="K757"/>
      <c r="L757"/>
      <c r="M757" s="4">
        <f t="shared" si="461"/>
        <v>120.3</v>
      </c>
      <c r="N757" s="4"/>
      <c r="O757" s="1">
        <f t="shared" si="462"/>
        <v>120.19999999999999</v>
      </c>
      <c r="P757" s="1">
        <f t="shared" si="463"/>
        <v>0</v>
      </c>
      <c r="Q757" s="1" t="str">
        <f t="shared" si="459"/>
        <v/>
      </c>
      <c r="R757" s="1" t="str">
        <f t="shared" si="464"/>
        <v/>
      </c>
      <c r="S757" s="1">
        <f t="shared" si="465"/>
        <v>582.53760000000239</v>
      </c>
      <c r="T757" s="1">
        <f t="shared" si="466"/>
        <v>0.4</v>
      </c>
      <c r="U757" s="1">
        <f t="shared" si="467"/>
        <v>528.00000000004502</v>
      </c>
      <c r="V757" s="1">
        <f t="shared" si="468"/>
        <v>211.20000000001801</v>
      </c>
    </row>
    <row r="758" spans="1:22" x14ac:dyDescent="0.25">
      <c r="A758" s="1">
        <v>757</v>
      </c>
      <c r="B758" s="4">
        <v>7500</v>
      </c>
      <c r="C758" s="4">
        <v>120.3</v>
      </c>
      <c r="D758" s="4">
        <v>120.39999999999999</v>
      </c>
      <c r="E758" s="4">
        <f t="shared" si="460"/>
        <v>9.9999999999994316E-2</v>
      </c>
      <c r="F758" s="4">
        <v>0</v>
      </c>
      <c r="G758" s="4">
        <v>0.47</v>
      </c>
      <c r="H758" s="4">
        <v>79</v>
      </c>
      <c r="I758" s="4"/>
      <c r="J758" s="4">
        <v>50</v>
      </c>
      <c r="K758"/>
      <c r="L758"/>
      <c r="M758" s="4">
        <f t="shared" si="461"/>
        <v>120.39999999999999</v>
      </c>
      <c r="N758" s="4"/>
      <c r="O758" s="1">
        <f t="shared" si="462"/>
        <v>120.3</v>
      </c>
      <c r="P758" s="1">
        <f t="shared" si="463"/>
        <v>0</v>
      </c>
      <c r="Q758" s="1" t="str">
        <f t="shared" si="459"/>
        <v/>
      </c>
      <c r="R758" s="1" t="str">
        <f t="shared" si="464"/>
        <v/>
      </c>
      <c r="S758" s="1">
        <f t="shared" si="465"/>
        <v>584.64960000000258</v>
      </c>
      <c r="T758" s="1">
        <f t="shared" si="466"/>
        <v>0.47</v>
      </c>
      <c r="U758" s="1">
        <f t="shared" si="467"/>
        <v>527.99999999996999</v>
      </c>
      <c r="V758" s="1">
        <f t="shared" si="468"/>
        <v>248.15999999998587</v>
      </c>
    </row>
    <row r="759" spans="1:22" x14ac:dyDescent="0.25">
      <c r="A759" s="1">
        <v>758</v>
      </c>
      <c r="B759" s="4">
        <v>7500</v>
      </c>
      <c r="C759" s="4">
        <v>120.39999999999999</v>
      </c>
      <c r="D759" s="4">
        <v>120.6</v>
      </c>
      <c r="E759" s="4">
        <f t="shared" si="460"/>
        <v>0.20000000000000284</v>
      </c>
      <c r="F759" s="4">
        <v>2</v>
      </c>
      <c r="G759" s="4">
        <v>0.51</v>
      </c>
      <c r="H759" s="4">
        <v>79</v>
      </c>
      <c r="I759" s="4"/>
      <c r="J759" s="4">
        <v>50</v>
      </c>
      <c r="K759"/>
      <c r="L759"/>
      <c r="M759" s="4">
        <f t="shared" si="461"/>
        <v>120.6</v>
      </c>
      <c r="N759" s="4"/>
      <c r="O759" s="1">
        <f t="shared" si="462"/>
        <v>120.39999999999999</v>
      </c>
      <c r="P759" s="1">
        <f t="shared" si="463"/>
        <v>21.120000000000299</v>
      </c>
      <c r="Q759" s="1" t="str">
        <f t="shared" si="459"/>
        <v/>
      </c>
      <c r="R759" s="1" t="str">
        <f t="shared" si="464"/>
        <v/>
      </c>
      <c r="S759" s="1">
        <f t="shared" si="465"/>
        <v>587.13120000000242</v>
      </c>
      <c r="T759" s="1">
        <f t="shared" si="466"/>
        <v>0.51</v>
      </c>
      <c r="U759" s="1">
        <f t="shared" si="467"/>
        <v>1056.000000000015</v>
      </c>
      <c r="V759" s="1">
        <f t="shared" si="468"/>
        <v>538.56000000000768</v>
      </c>
    </row>
    <row r="760" spans="1:22" x14ac:dyDescent="0.25">
      <c r="A760" s="1">
        <v>759</v>
      </c>
      <c r="B760" s="4">
        <v>7500</v>
      </c>
      <c r="C760" s="4">
        <v>120.6</v>
      </c>
      <c r="D760" s="4">
        <v>120.89999999999999</v>
      </c>
      <c r="E760" s="4">
        <f t="shared" si="460"/>
        <v>0.29999999999999716</v>
      </c>
      <c r="F760" s="4">
        <v>0</v>
      </c>
      <c r="G760" s="4">
        <v>0.54</v>
      </c>
      <c r="H760" s="4">
        <v>79</v>
      </c>
      <c r="I760" s="4"/>
      <c r="J760" s="4">
        <v>50</v>
      </c>
      <c r="K760"/>
      <c r="L760"/>
      <c r="M760" s="4">
        <f t="shared" si="461"/>
        <v>120.89999999999999</v>
      </c>
      <c r="N760" s="4"/>
      <c r="O760" s="1">
        <f t="shared" si="462"/>
        <v>120.6</v>
      </c>
      <c r="P760" s="1">
        <f t="shared" si="463"/>
        <v>0</v>
      </c>
      <c r="Q760" s="1" t="str">
        <f t="shared" si="459"/>
        <v/>
      </c>
      <c r="R760" s="1" t="str">
        <f t="shared" si="464"/>
        <v/>
      </c>
      <c r="S760" s="1">
        <f t="shared" si="465"/>
        <v>592.51680000000249</v>
      </c>
      <c r="T760" s="1">
        <f t="shared" si="466"/>
        <v>0.54</v>
      </c>
      <c r="U760" s="1">
        <f t="shared" si="467"/>
        <v>1583.999999999985</v>
      </c>
      <c r="V760" s="1">
        <f t="shared" si="468"/>
        <v>855.35999999999194</v>
      </c>
    </row>
    <row r="761" spans="1:22" x14ac:dyDescent="0.25">
      <c r="A761" s="1">
        <v>760</v>
      </c>
      <c r="B761" s="4">
        <v>7500</v>
      </c>
      <c r="C761" s="4">
        <v>120.89999999999999</v>
      </c>
      <c r="D761" s="4">
        <v>121</v>
      </c>
      <c r="E761" s="4">
        <f t="shared" si="460"/>
        <v>0.10000000000000853</v>
      </c>
      <c r="F761" s="4">
        <v>0</v>
      </c>
      <c r="G761" s="4">
        <v>0.26</v>
      </c>
      <c r="H761" s="4">
        <v>79</v>
      </c>
      <c r="I761" s="4"/>
      <c r="J761" s="4">
        <v>50</v>
      </c>
      <c r="K761"/>
      <c r="L761"/>
      <c r="M761" s="4">
        <f t="shared" si="461"/>
        <v>121</v>
      </c>
      <c r="N761" s="4"/>
      <c r="O761" s="1">
        <f t="shared" si="462"/>
        <v>120.89999999999999</v>
      </c>
      <c r="P761" s="1">
        <f t="shared" si="463"/>
        <v>0</v>
      </c>
      <c r="Q761" s="1" t="str">
        <f t="shared" si="459"/>
        <v/>
      </c>
      <c r="R761" s="1" t="str">
        <f t="shared" si="464"/>
        <v/>
      </c>
      <c r="S761" s="1">
        <f t="shared" si="465"/>
        <v>601.07040000000245</v>
      </c>
      <c r="T761" s="1">
        <f t="shared" si="466"/>
        <v>0.26</v>
      </c>
      <c r="U761" s="1">
        <f t="shared" si="467"/>
        <v>528.00000000004502</v>
      </c>
      <c r="V761" s="1">
        <f t="shared" si="468"/>
        <v>137.28000000001171</v>
      </c>
    </row>
    <row r="762" spans="1:22" x14ac:dyDescent="0.25">
      <c r="A762" s="1">
        <v>761</v>
      </c>
      <c r="B762" s="4">
        <v>7500</v>
      </c>
      <c r="C762" s="4">
        <v>121</v>
      </c>
      <c r="D762" s="4">
        <v>121.1</v>
      </c>
      <c r="E762" s="4">
        <f t="shared" si="460"/>
        <v>9.9999999999994316E-2</v>
      </c>
      <c r="F762" s="4">
        <v>0</v>
      </c>
      <c r="G762" s="4">
        <v>-0.3</v>
      </c>
      <c r="H762" s="4">
        <v>79</v>
      </c>
      <c r="I762" s="4"/>
      <c r="J762" s="4">
        <v>50</v>
      </c>
      <c r="K762"/>
      <c r="L762"/>
      <c r="M762" s="4">
        <f t="shared" si="461"/>
        <v>121.1</v>
      </c>
      <c r="N762" s="4"/>
      <c r="O762" s="1">
        <f t="shared" si="462"/>
        <v>121</v>
      </c>
      <c r="P762" s="1">
        <f t="shared" si="463"/>
        <v>0</v>
      </c>
      <c r="Q762" s="1" t="str">
        <f t="shared" si="459"/>
        <v/>
      </c>
      <c r="R762" s="1" t="str">
        <f t="shared" si="464"/>
        <v/>
      </c>
      <c r="S762" s="1">
        <f t="shared" si="465"/>
        <v>602.44320000000255</v>
      </c>
      <c r="T762" s="1">
        <f t="shared" si="466"/>
        <v>-0.3</v>
      </c>
      <c r="U762" s="1">
        <f t="shared" si="467"/>
        <v>527.99999999996999</v>
      </c>
      <c r="V762" s="1">
        <f t="shared" si="468"/>
        <v>158.399999999991</v>
      </c>
    </row>
    <row r="763" spans="1:22" x14ac:dyDescent="0.25">
      <c r="A763" s="1">
        <v>762</v>
      </c>
      <c r="B763" s="4">
        <v>7500</v>
      </c>
      <c r="C763" s="4">
        <v>121.1</v>
      </c>
      <c r="D763" s="4">
        <v>121.3</v>
      </c>
      <c r="E763" s="4">
        <f t="shared" si="460"/>
        <v>0.20000000000000284</v>
      </c>
      <c r="F763" s="4">
        <v>0</v>
      </c>
      <c r="G763" s="4">
        <v>-0.57999999999999996</v>
      </c>
      <c r="H763" s="4">
        <v>79</v>
      </c>
      <c r="I763" s="4"/>
      <c r="J763" s="4">
        <v>50</v>
      </c>
      <c r="K763"/>
      <c r="L763"/>
      <c r="M763" s="4">
        <f t="shared" si="461"/>
        <v>121.3</v>
      </c>
      <c r="N763" s="4"/>
      <c r="O763" s="1">
        <f t="shared" si="462"/>
        <v>121.1</v>
      </c>
      <c r="P763" s="1">
        <f t="shared" si="463"/>
        <v>0</v>
      </c>
      <c r="Q763" s="1" t="str">
        <f t="shared" si="459"/>
        <v/>
      </c>
      <c r="R763" s="1" t="str">
        <f t="shared" si="464"/>
        <v/>
      </c>
      <c r="S763" s="1">
        <f t="shared" si="465"/>
        <v>600.8592000000026</v>
      </c>
      <c r="T763" s="1">
        <f t="shared" si="466"/>
        <v>-0.57999999999999996</v>
      </c>
      <c r="U763" s="1">
        <f t="shared" si="467"/>
        <v>1056.000000000015</v>
      </c>
      <c r="V763" s="1">
        <f t="shared" si="468"/>
        <v>612.48000000000866</v>
      </c>
    </row>
    <row r="764" spans="1:22" x14ac:dyDescent="0.25">
      <c r="A764" s="1">
        <v>763</v>
      </c>
      <c r="B764" s="4">
        <v>7500</v>
      </c>
      <c r="C764" s="4">
        <v>121.3</v>
      </c>
      <c r="D764" s="4">
        <v>121.39999999999999</v>
      </c>
      <c r="E764" s="4">
        <f t="shared" si="460"/>
        <v>9.9999999999994316E-2</v>
      </c>
      <c r="F764" s="4">
        <v>0</v>
      </c>
      <c r="G764" s="4">
        <v>-0.7</v>
      </c>
      <c r="H764" s="4">
        <v>79</v>
      </c>
      <c r="I764" s="4"/>
      <c r="J764" s="4">
        <v>50</v>
      </c>
      <c r="K764"/>
      <c r="L764"/>
      <c r="M764" s="4">
        <f t="shared" si="461"/>
        <v>121.39999999999999</v>
      </c>
      <c r="N764" s="4"/>
      <c r="O764" s="1">
        <f t="shared" si="462"/>
        <v>121.3</v>
      </c>
      <c r="P764" s="1">
        <f t="shared" si="463"/>
        <v>0</v>
      </c>
      <c r="Q764" s="1" t="str">
        <f t="shared" si="459"/>
        <v/>
      </c>
      <c r="R764" s="1" t="str">
        <f t="shared" si="464"/>
        <v/>
      </c>
      <c r="S764" s="1">
        <f t="shared" si="465"/>
        <v>594.73440000000255</v>
      </c>
      <c r="T764" s="1">
        <f t="shared" si="466"/>
        <v>-0.7</v>
      </c>
      <c r="U764" s="1">
        <f t="shared" si="467"/>
        <v>527.99999999996999</v>
      </c>
      <c r="V764" s="1">
        <f t="shared" si="468"/>
        <v>369.59999999997899</v>
      </c>
    </row>
    <row r="765" spans="1:22" x14ac:dyDescent="0.25">
      <c r="A765" s="1">
        <v>764</v>
      </c>
      <c r="B765" s="4">
        <v>7500</v>
      </c>
      <c r="C765" s="4">
        <v>121.39999999999999</v>
      </c>
      <c r="D765" s="4">
        <v>121.6</v>
      </c>
      <c r="E765" s="4">
        <f t="shared" si="460"/>
        <v>0.20000000000000284</v>
      </c>
      <c r="F765" s="4">
        <v>0</v>
      </c>
      <c r="G765" s="4">
        <v>-0.7</v>
      </c>
      <c r="H765" s="4">
        <v>79</v>
      </c>
      <c r="I765" s="4"/>
      <c r="J765" s="4">
        <v>50</v>
      </c>
      <c r="K765"/>
      <c r="L765"/>
      <c r="M765" s="4">
        <f t="shared" si="461"/>
        <v>121.6</v>
      </c>
      <c r="N765" s="4"/>
      <c r="O765" s="1">
        <f t="shared" si="462"/>
        <v>121.39999999999999</v>
      </c>
      <c r="P765" s="1">
        <f t="shared" si="463"/>
        <v>0</v>
      </c>
      <c r="Q765" s="1" t="str">
        <f t="shared" si="459"/>
        <v/>
      </c>
      <c r="R765" s="1" t="str">
        <f t="shared" si="464"/>
        <v/>
      </c>
      <c r="S765" s="1">
        <f t="shared" si="465"/>
        <v>591.03840000000275</v>
      </c>
      <c r="T765" s="1">
        <f t="shared" si="466"/>
        <v>-0.7</v>
      </c>
      <c r="U765" s="1">
        <f t="shared" si="467"/>
        <v>1056.000000000015</v>
      </c>
      <c r="V765" s="1">
        <f t="shared" si="468"/>
        <v>739.2000000000105</v>
      </c>
    </row>
    <row r="766" spans="1:22" x14ac:dyDescent="0.25">
      <c r="A766" s="1">
        <v>765</v>
      </c>
      <c r="B766" s="4">
        <v>7500</v>
      </c>
      <c r="C766" s="4">
        <v>121.6</v>
      </c>
      <c r="D766" s="4">
        <v>121.89999999999999</v>
      </c>
      <c r="E766" s="4">
        <f t="shared" si="460"/>
        <v>0.29999999999999716</v>
      </c>
      <c r="F766" s="4">
        <v>0</v>
      </c>
      <c r="G766" s="4">
        <v>-0.78</v>
      </c>
      <c r="H766" s="4">
        <v>79</v>
      </c>
      <c r="I766" s="4"/>
      <c r="J766" s="4">
        <v>50</v>
      </c>
      <c r="K766"/>
      <c r="L766"/>
      <c r="M766" s="4">
        <f t="shared" si="461"/>
        <v>121.89999999999999</v>
      </c>
      <c r="N766" s="4"/>
      <c r="O766" s="1">
        <f t="shared" si="462"/>
        <v>121.6</v>
      </c>
      <c r="P766" s="1">
        <f t="shared" si="463"/>
        <v>0</v>
      </c>
      <c r="Q766" s="1" t="str">
        <f t="shared" si="459"/>
        <v/>
      </c>
      <c r="R766" s="1" t="str">
        <f t="shared" si="464"/>
        <v/>
      </c>
      <c r="S766" s="1">
        <f t="shared" si="465"/>
        <v>583.6464000000027</v>
      </c>
      <c r="T766" s="1">
        <f t="shared" si="466"/>
        <v>-0.78</v>
      </c>
      <c r="U766" s="1">
        <f t="shared" si="467"/>
        <v>1583.999999999985</v>
      </c>
      <c r="V766" s="1">
        <f t="shared" si="468"/>
        <v>1235.5199999999884</v>
      </c>
    </row>
    <row r="767" spans="1:22" x14ac:dyDescent="0.25">
      <c r="A767" s="1">
        <v>766</v>
      </c>
      <c r="B767" s="4">
        <v>7500</v>
      </c>
      <c r="C767" s="4">
        <v>121.89999999999999</v>
      </c>
      <c r="D767" s="4">
        <v>122</v>
      </c>
      <c r="E767" s="4">
        <f t="shared" si="460"/>
        <v>0.10000000000000853</v>
      </c>
      <c r="F767" s="4">
        <v>0</v>
      </c>
      <c r="G767" s="4">
        <v>-0.35</v>
      </c>
      <c r="H767" s="4">
        <v>79</v>
      </c>
      <c r="I767" s="4"/>
      <c r="J767" s="4">
        <v>50</v>
      </c>
      <c r="K767"/>
      <c r="L767"/>
      <c r="M767" s="4">
        <f t="shared" si="461"/>
        <v>122</v>
      </c>
      <c r="N767" s="4"/>
      <c r="O767" s="1">
        <f t="shared" si="462"/>
        <v>121.89999999999999</v>
      </c>
      <c r="P767" s="1">
        <f t="shared" si="463"/>
        <v>0</v>
      </c>
      <c r="Q767" s="1" t="str">
        <f t="shared" si="459"/>
        <v/>
      </c>
      <c r="R767" s="1" t="str">
        <f t="shared" si="464"/>
        <v/>
      </c>
      <c r="S767" s="1">
        <f t="shared" si="465"/>
        <v>571.29120000000285</v>
      </c>
      <c r="T767" s="1">
        <f t="shared" si="466"/>
        <v>-0.35</v>
      </c>
      <c r="U767" s="1">
        <f t="shared" si="467"/>
        <v>528.00000000004502</v>
      </c>
      <c r="V767" s="1">
        <f t="shared" si="468"/>
        <v>184.80000000001576</v>
      </c>
    </row>
    <row r="768" spans="1:22" x14ac:dyDescent="0.25">
      <c r="A768" s="1">
        <v>767</v>
      </c>
      <c r="B768" s="4">
        <v>7500</v>
      </c>
      <c r="C768" s="4">
        <v>122</v>
      </c>
      <c r="D768" s="4">
        <v>122.3</v>
      </c>
      <c r="E768" s="4">
        <f t="shared" si="460"/>
        <v>0.29999999999999716</v>
      </c>
      <c r="F768" s="4">
        <v>0</v>
      </c>
      <c r="G768" s="4">
        <v>0.52</v>
      </c>
      <c r="H768" s="4">
        <v>79</v>
      </c>
      <c r="I768" s="4"/>
      <c r="J768" s="4">
        <v>50</v>
      </c>
      <c r="K768"/>
      <c r="L768"/>
      <c r="M768" s="4">
        <f t="shared" si="461"/>
        <v>122.3</v>
      </c>
      <c r="N768" s="4"/>
      <c r="O768" s="1">
        <f t="shared" si="462"/>
        <v>122</v>
      </c>
      <c r="P768" s="1">
        <f t="shared" si="463"/>
        <v>0</v>
      </c>
      <c r="Q768" s="1" t="str">
        <f t="shared" si="459"/>
        <v/>
      </c>
      <c r="R768" s="1" t="str">
        <f t="shared" si="464"/>
        <v/>
      </c>
      <c r="S768" s="1">
        <f t="shared" si="465"/>
        <v>569.44320000000266</v>
      </c>
      <c r="T768" s="1">
        <f t="shared" si="466"/>
        <v>0.52</v>
      </c>
      <c r="U768" s="1">
        <f t="shared" si="467"/>
        <v>1583.999999999985</v>
      </c>
      <c r="V768" s="1">
        <f t="shared" si="468"/>
        <v>823.67999999999222</v>
      </c>
    </row>
    <row r="769" spans="1:22" x14ac:dyDescent="0.25">
      <c r="A769" s="1">
        <v>768</v>
      </c>
      <c r="B769" s="4">
        <v>7500</v>
      </c>
      <c r="C769" s="4">
        <v>122.3</v>
      </c>
      <c r="D769" s="4">
        <v>122.39999999999999</v>
      </c>
      <c r="E769" s="4">
        <f t="shared" si="460"/>
        <v>9.9999999999994316E-2</v>
      </c>
      <c r="F769" s="4">
        <v>0</v>
      </c>
      <c r="G769" s="4">
        <v>0.95</v>
      </c>
      <c r="H769" s="4">
        <v>79</v>
      </c>
      <c r="I769" s="4"/>
      <c r="J769" s="4">
        <v>50</v>
      </c>
      <c r="K769"/>
      <c r="L769"/>
      <c r="M769" s="4">
        <f t="shared" si="461"/>
        <v>122.39999999999999</v>
      </c>
      <c r="N769" s="4"/>
      <c r="O769" s="1">
        <f t="shared" si="462"/>
        <v>122.3</v>
      </c>
      <c r="P769" s="1">
        <f t="shared" si="463"/>
        <v>0</v>
      </c>
      <c r="Q769" s="1" t="str">
        <f t="shared" si="459"/>
        <v/>
      </c>
      <c r="R769" s="1" t="str">
        <f t="shared" si="464"/>
        <v/>
      </c>
      <c r="S769" s="1">
        <f t="shared" si="465"/>
        <v>577.68000000000256</v>
      </c>
      <c r="T769" s="1">
        <f t="shared" si="466"/>
        <v>0.95</v>
      </c>
      <c r="U769" s="1">
        <f t="shared" si="467"/>
        <v>527.99999999996999</v>
      </c>
      <c r="V769" s="1">
        <f t="shared" si="468"/>
        <v>501.59999999997149</v>
      </c>
    </row>
    <row r="770" spans="1:22" x14ac:dyDescent="0.25">
      <c r="A770" s="1">
        <v>769</v>
      </c>
      <c r="B770" s="4">
        <v>7500</v>
      </c>
      <c r="C770" s="4">
        <v>122.39999999999999</v>
      </c>
      <c r="D770" s="4">
        <v>122.5</v>
      </c>
      <c r="E770" s="4">
        <f t="shared" si="460"/>
        <v>0.10000000000000853</v>
      </c>
      <c r="F770" s="4">
        <v>0</v>
      </c>
      <c r="G770" s="4">
        <v>0.95</v>
      </c>
      <c r="H770" s="4">
        <v>79</v>
      </c>
      <c r="I770" s="4"/>
      <c r="J770" s="4">
        <v>50</v>
      </c>
      <c r="K770"/>
      <c r="L770"/>
      <c r="M770" s="4">
        <f t="shared" si="461"/>
        <v>122.5</v>
      </c>
      <c r="N770" s="4"/>
      <c r="O770" s="1">
        <f t="shared" si="462"/>
        <v>122.39999999999999</v>
      </c>
      <c r="P770" s="1">
        <f t="shared" si="463"/>
        <v>0</v>
      </c>
      <c r="Q770" s="1" t="str">
        <f t="shared" si="459"/>
        <v/>
      </c>
      <c r="R770" s="1" t="str">
        <f t="shared" si="464"/>
        <v/>
      </c>
      <c r="S770" s="1">
        <f t="shared" si="465"/>
        <v>582.6960000000023</v>
      </c>
      <c r="T770" s="1">
        <f t="shared" si="466"/>
        <v>0.95</v>
      </c>
      <c r="U770" s="1">
        <f t="shared" si="467"/>
        <v>528.00000000004502</v>
      </c>
      <c r="V770" s="1">
        <f t="shared" si="468"/>
        <v>501.60000000004277</v>
      </c>
    </row>
    <row r="771" spans="1:22" x14ac:dyDescent="0.25">
      <c r="A771" s="1">
        <v>770</v>
      </c>
      <c r="B771" s="4">
        <v>7500</v>
      </c>
      <c r="C771" s="4">
        <v>122.5</v>
      </c>
      <c r="D771" s="4">
        <v>122.69999999999999</v>
      </c>
      <c r="E771" s="4">
        <f t="shared" si="460"/>
        <v>0.19999999999998863</v>
      </c>
      <c r="F771" s="4">
        <v>0</v>
      </c>
      <c r="G771" s="4">
        <v>0.81</v>
      </c>
      <c r="H771" s="4">
        <v>79</v>
      </c>
      <c r="I771" s="4"/>
      <c r="J771" s="4">
        <v>50</v>
      </c>
      <c r="K771"/>
      <c r="L771"/>
      <c r="M771" s="4">
        <f t="shared" si="461"/>
        <v>122.69999999999999</v>
      </c>
      <c r="N771" s="4"/>
      <c r="O771" s="1">
        <f t="shared" si="462"/>
        <v>122.5</v>
      </c>
      <c r="P771" s="1">
        <f t="shared" si="463"/>
        <v>0</v>
      </c>
      <c r="Q771" s="1" t="str">
        <f t="shared" ref="Q771:Q834" si="469">IF(H771&lt;&gt;"",IF(H771=H770,"",H771),IF(H769="","",MAX(H770,Q770)))</f>
        <v/>
      </c>
      <c r="R771" s="1" t="str">
        <f t="shared" si="464"/>
        <v/>
      </c>
      <c r="S771" s="1">
        <f t="shared" si="465"/>
        <v>587.71200000000272</v>
      </c>
      <c r="T771" s="1">
        <f t="shared" si="466"/>
        <v>0.81</v>
      </c>
      <c r="U771" s="1">
        <f t="shared" si="467"/>
        <v>1055.99999999994</v>
      </c>
      <c r="V771" s="1">
        <f t="shared" si="468"/>
        <v>855.35999999995147</v>
      </c>
    </row>
    <row r="772" spans="1:22" x14ac:dyDescent="0.25">
      <c r="A772" s="1">
        <v>771</v>
      </c>
      <c r="B772" s="4">
        <v>7500</v>
      </c>
      <c r="C772" s="4">
        <v>122.69999999999999</v>
      </c>
      <c r="D772" s="4">
        <v>122.8</v>
      </c>
      <c r="E772" s="4">
        <f t="shared" si="460"/>
        <v>0.10000000000000853</v>
      </c>
      <c r="F772" s="4">
        <v>0</v>
      </c>
      <c r="G772" s="4">
        <v>0.41</v>
      </c>
      <c r="H772" s="4">
        <v>79</v>
      </c>
      <c r="I772" s="4"/>
      <c r="J772" s="4">
        <v>50</v>
      </c>
      <c r="K772"/>
      <c r="L772"/>
      <c r="M772" s="4">
        <f t="shared" si="461"/>
        <v>122.8</v>
      </c>
      <c r="N772" s="4"/>
      <c r="O772" s="1">
        <f t="shared" si="462"/>
        <v>122.69999999999999</v>
      </c>
      <c r="P772" s="1">
        <f t="shared" si="463"/>
        <v>0</v>
      </c>
      <c r="Q772" s="1" t="str">
        <f t="shared" si="469"/>
        <v/>
      </c>
      <c r="R772" s="1" t="str">
        <f t="shared" si="464"/>
        <v/>
      </c>
      <c r="S772" s="1">
        <f t="shared" si="465"/>
        <v>596.26560000000222</v>
      </c>
      <c r="T772" s="1">
        <f t="shared" si="466"/>
        <v>0.41</v>
      </c>
      <c r="U772" s="1">
        <f t="shared" si="467"/>
        <v>528.00000000004502</v>
      </c>
      <c r="V772" s="1">
        <f t="shared" si="468"/>
        <v>216.48000000001844</v>
      </c>
    </row>
    <row r="773" spans="1:22" x14ac:dyDescent="0.25">
      <c r="A773" s="1">
        <v>772</v>
      </c>
      <c r="B773" s="4">
        <v>7500</v>
      </c>
      <c r="C773" s="4">
        <v>122.8</v>
      </c>
      <c r="D773" s="4">
        <v>122.89999999999999</v>
      </c>
      <c r="E773" s="4">
        <f t="shared" si="460"/>
        <v>9.9999999999994316E-2</v>
      </c>
      <c r="F773" s="4">
        <v>0</v>
      </c>
      <c r="G773" s="4">
        <v>-0.6</v>
      </c>
      <c r="H773" s="4">
        <v>79</v>
      </c>
      <c r="I773" s="4"/>
      <c r="J773" s="4">
        <v>50</v>
      </c>
      <c r="K773"/>
      <c r="L773"/>
      <c r="M773" s="4">
        <f t="shared" si="461"/>
        <v>122.89999999999999</v>
      </c>
      <c r="N773" s="4"/>
      <c r="O773" s="1">
        <f t="shared" si="462"/>
        <v>122.8</v>
      </c>
      <c r="P773" s="1">
        <f t="shared" si="463"/>
        <v>0</v>
      </c>
      <c r="Q773" s="1" t="str">
        <f t="shared" si="469"/>
        <v/>
      </c>
      <c r="R773" s="1" t="str">
        <f t="shared" si="464"/>
        <v/>
      </c>
      <c r="S773" s="1">
        <f t="shared" si="465"/>
        <v>598.43040000000246</v>
      </c>
      <c r="T773" s="1">
        <f t="shared" si="466"/>
        <v>-0.6</v>
      </c>
      <c r="U773" s="1">
        <f t="shared" si="467"/>
        <v>527.99999999996999</v>
      </c>
      <c r="V773" s="1">
        <f t="shared" si="468"/>
        <v>316.79999999998199</v>
      </c>
    </row>
    <row r="774" spans="1:22" x14ac:dyDescent="0.25">
      <c r="A774" s="1">
        <v>773</v>
      </c>
      <c r="B774" s="4">
        <v>7500</v>
      </c>
      <c r="C774" s="4">
        <v>122.89999999999999</v>
      </c>
      <c r="D774" s="4">
        <v>123.1</v>
      </c>
      <c r="E774" s="4">
        <f t="shared" si="460"/>
        <v>0.20000000000000284</v>
      </c>
      <c r="F774" s="4">
        <v>0</v>
      </c>
      <c r="G774" s="4">
        <v>-0.94</v>
      </c>
      <c r="H774" s="4">
        <v>79</v>
      </c>
      <c r="I774" s="4"/>
      <c r="J774" s="4">
        <v>50</v>
      </c>
      <c r="K774"/>
      <c r="L774"/>
      <c r="M774" s="4">
        <f t="shared" si="461"/>
        <v>123.1</v>
      </c>
      <c r="N774" s="4"/>
      <c r="O774" s="1">
        <f t="shared" si="462"/>
        <v>122.89999999999999</v>
      </c>
      <c r="P774" s="1">
        <f t="shared" si="463"/>
        <v>0</v>
      </c>
      <c r="Q774" s="1" t="str">
        <f t="shared" si="469"/>
        <v/>
      </c>
      <c r="R774" s="1" t="str">
        <f t="shared" si="464"/>
        <v/>
      </c>
      <c r="S774" s="1">
        <f t="shared" si="465"/>
        <v>595.26240000000269</v>
      </c>
      <c r="T774" s="1">
        <f t="shared" si="466"/>
        <v>-0.94</v>
      </c>
      <c r="U774" s="1">
        <f t="shared" si="467"/>
        <v>1056.000000000015</v>
      </c>
      <c r="V774" s="1">
        <f t="shared" si="468"/>
        <v>992.64000000001408</v>
      </c>
    </row>
    <row r="775" spans="1:22" x14ac:dyDescent="0.25">
      <c r="A775" s="1">
        <v>774</v>
      </c>
      <c r="B775" s="4">
        <v>7500</v>
      </c>
      <c r="C775" s="4">
        <v>123.1</v>
      </c>
      <c r="D775" s="4">
        <v>123.3</v>
      </c>
      <c r="E775" s="4">
        <f t="shared" si="460"/>
        <v>0.20000000000000284</v>
      </c>
      <c r="F775" s="4">
        <v>0</v>
      </c>
      <c r="G775" s="4">
        <v>-0.62</v>
      </c>
      <c r="H775" s="4">
        <v>79</v>
      </c>
      <c r="I775" s="4"/>
      <c r="J775" s="4">
        <v>50</v>
      </c>
      <c r="K775"/>
      <c r="L775"/>
      <c r="M775" s="4">
        <f t="shared" si="461"/>
        <v>123.3</v>
      </c>
      <c r="N775" s="4"/>
      <c r="O775" s="1">
        <f t="shared" si="462"/>
        <v>123.1</v>
      </c>
      <c r="P775" s="1">
        <f t="shared" si="463"/>
        <v>0</v>
      </c>
      <c r="Q775" s="1" t="str">
        <f t="shared" si="469"/>
        <v/>
      </c>
      <c r="R775" s="1" t="str">
        <f t="shared" si="464"/>
        <v/>
      </c>
      <c r="S775" s="1">
        <f t="shared" si="465"/>
        <v>585.33600000000251</v>
      </c>
      <c r="T775" s="1">
        <f t="shared" si="466"/>
        <v>-0.62</v>
      </c>
      <c r="U775" s="1">
        <f t="shared" si="467"/>
        <v>1056.000000000015</v>
      </c>
      <c r="V775" s="1">
        <f t="shared" si="468"/>
        <v>654.72000000000935</v>
      </c>
    </row>
    <row r="776" spans="1:22" x14ac:dyDescent="0.25">
      <c r="A776" s="1">
        <v>775</v>
      </c>
      <c r="B776" s="4">
        <v>7500</v>
      </c>
      <c r="C776" s="4">
        <v>123.3</v>
      </c>
      <c r="D776" s="4">
        <v>123.39999999999999</v>
      </c>
      <c r="E776" s="4">
        <f t="shared" ref="E776:E839" si="470">D776-C776</f>
        <v>9.9999999999994316E-2</v>
      </c>
      <c r="F776" s="4">
        <v>0</v>
      </c>
      <c r="G776" s="4">
        <v>-0.15</v>
      </c>
      <c r="H776" s="4">
        <v>79</v>
      </c>
      <c r="I776" s="4"/>
      <c r="J776" s="4">
        <v>50</v>
      </c>
      <c r="K776"/>
      <c r="L776"/>
      <c r="M776" s="4">
        <f t="shared" ref="M776:M839" si="471">E776+M775</f>
        <v>123.39999999999999</v>
      </c>
      <c r="N776" s="4"/>
      <c r="O776" s="1">
        <f t="shared" ref="O776:O839" si="472">E775+O775</f>
        <v>123.3</v>
      </c>
      <c r="P776" s="1">
        <f t="shared" ref="P776:P839" si="473">F776*52.8*E776</f>
        <v>0</v>
      </c>
      <c r="Q776" s="1" t="str">
        <f t="shared" si="469"/>
        <v/>
      </c>
      <c r="R776" s="1" t="str">
        <f t="shared" ref="R776:R839" si="474">IF(I776="",Q776,IF(AND(H776=H775,I776=I775),"",I776))</f>
        <v/>
      </c>
      <c r="S776" s="1">
        <f t="shared" ref="S776:S839" si="475">S775+U775*T775/100</f>
        <v>578.78880000000242</v>
      </c>
      <c r="T776" s="1">
        <f t="shared" ref="T776:T839" si="476">IF(G776="UNK",0,G776)</f>
        <v>-0.15</v>
      </c>
      <c r="U776" s="1">
        <f t="shared" ref="U776:U839" si="477">E776*5280</f>
        <v>527.99999999996999</v>
      </c>
      <c r="V776" s="1">
        <f t="shared" ref="V776:V839" si="478">ABS(T776*U776)</f>
        <v>79.199999999995498</v>
      </c>
    </row>
    <row r="777" spans="1:22" x14ac:dyDescent="0.25">
      <c r="A777" s="1">
        <v>776</v>
      </c>
      <c r="B777" s="4">
        <v>7500</v>
      </c>
      <c r="C777" s="4">
        <v>123.39999999999999</v>
      </c>
      <c r="D777" s="4">
        <v>123.6</v>
      </c>
      <c r="E777" s="4">
        <f t="shared" si="470"/>
        <v>0.20000000000000284</v>
      </c>
      <c r="F777" s="4">
        <v>1</v>
      </c>
      <c r="G777" s="4">
        <v>0.01</v>
      </c>
      <c r="H777" s="4">
        <v>79</v>
      </c>
      <c r="I777" s="4"/>
      <c r="J777" s="4">
        <v>50</v>
      </c>
      <c r="K777"/>
      <c r="L777"/>
      <c r="M777" s="4">
        <f t="shared" si="471"/>
        <v>123.6</v>
      </c>
      <c r="N777" s="4"/>
      <c r="O777" s="1">
        <f t="shared" si="472"/>
        <v>123.39999999999999</v>
      </c>
      <c r="P777" s="1">
        <f t="shared" si="473"/>
        <v>10.56000000000015</v>
      </c>
      <c r="Q777" s="1" t="str">
        <f t="shared" si="469"/>
        <v/>
      </c>
      <c r="R777" s="1" t="str">
        <f t="shared" si="474"/>
        <v/>
      </c>
      <c r="S777" s="1">
        <f t="shared" si="475"/>
        <v>577.99680000000251</v>
      </c>
      <c r="T777" s="1">
        <f t="shared" si="476"/>
        <v>0.01</v>
      </c>
      <c r="U777" s="1">
        <f t="shared" si="477"/>
        <v>1056.000000000015</v>
      </c>
      <c r="V777" s="1">
        <f t="shared" si="478"/>
        <v>10.56000000000015</v>
      </c>
    </row>
    <row r="778" spans="1:22" x14ac:dyDescent="0.25">
      <c r="A778" s="1">
        <v>777</v>
      </c>
      <c r="B778" s="4">
        <v>7500</v>
      </c>
      <c r="C778" s="4">
        <v>123.6</v>
      </c>
      <c r="D778" s="4">
        <v>123.69999999999999</v>
      </c>
      <c r="E778" s="4">
        <f t="shared" si="470"/>
        <v>9.9999999999994316E-2</v>
      </c>
      <c r="F778" s="4">
        <v>1</v>
      </c>
      <c r="G778" s="4">
        <v>-0.21</v>
      </c>
      <c r="H778" s="4">
        <v>79</v>
      </c>
      <c r="I778" s="4"/>
      <c r="J778" s="4">
        <v>50</v>
      </c>
      <c r="K778"/>
      <c r="L778"/>
      <c r="M778" s="4">
        <f t="shared" si="471"/>
        <v>123.69999999999999</v>
      </c>
      <c r="N778" s="4"/>
      <c r="O778" s="1">
        <f t="shared" si="472"/>
        <v>123.6</v>
      </c>
      <c r="P778" s="1">
        <f t="shared" si="473"/>
        <v>5.2799999999996992</v>
      </c>
      <c r="Q778" s="1" t="str">
        <f t="shared" si="469"/>
        <v/>
      </c>
      <c r="R778" s="1" t="str">
        <f t="shared" si="474"/>
        <v/>
      </c>
      <c r="S778" s="1">
        <f t="shared" si="475"/>
        <v>578.10240000000249</v>
      </c>
      <c r="T778" s="1">
        <f t="shared" si="476"/>
        <v>-0.21</v>
      </c>
      <c r="U778" s="1">
        <f t="shared" si="477"/>
        <v>527.99999999996999</v>
      </c>
      <c r="V778" s="1">
        <f t="shared" si="478"/>
        <v>110.8799999999937</v>
      </c>
    </row>
    <row r="779" spans="1:22" x14ac:dyDescent="0.25">
      <c r="A779" s="1">
        <v>778</v>
      </c>
      <c r="B779" s="4">
        <v>7500</v>
      </c>
      <c r="C779" s="4">
        <v>123.69999999999999</v>
      </c>
      <c r="D779" s="4">
        <v>123.8</v>
      </c>
      <c r="E779" s="4">
        <f t="shared" si="470"/>
        <v>0.10000000000000853</v>
      </c>
      <c r="F779" s="4">
        <v>1</v>
      </c>
      <c r="G779" s="4">
        <v>-0.87</v>
      </c>
      <c r="H779" s="4">
        <v>79</v>
      </c>
      <c r="I779" s="4"/>
      <c r="J779" s="4">
        <v>50</v>
      </c>
      <c r="K779"/>
      <c r="L779"/>
      <c r="M779" s="4">
        <f t="shared" si="471"/>
        <v>123.8</v>
      </c>
      <c r="N779" s="4"/>
      <c r="O779" s="1">
        <f t="shared" si="472"/>
        <v>123.69999999999999</v>
      </c>
      <c r="P779" s="1">
        <f t="shared" si="473"/>
        <v>5.2800000000004497</v>
      </c>
      <c r="Q779" s="1" t="str">
        <f t="shared" si="469"/>
        <v/>
      </c>
      <c r="R779" s="1" t="str">
        <f t="shared" si="474"/>
        <v/>
      </c>
      <c r="S779" s="1">
        <f t="shared" si="475"/>
        <v>576.99360000000252</v>
      </c>
      <c r="T779" s="1">
        <f t="shared" si="476"/>
        <v>-0.87</v>
      </c>
      <c r="U779" s="1">
        <f t="shared" si="477"/>
        <v>528.00000000004502</v>
      </c>
      <c r="V779" s="1">
        <f t="shared" si="478"/>
        <v>459.36000000003918</v>
      </c>
    </row>
    <row r="780" spans="1:22" x14ac:dyDescent="0.25">
      <c r="A780" s="1">
        <v>779</v>
      </c>
      <c r="B780" s="4">
        <v>7500</v>
      </c>
      <c r="C780" s="4">
        <v>123.8</v>
      </c>
      <c r="D780" s="4">
        <v>123.89999999999999</v>
      </c>
      <c r="E780" s="4">
        <f t="shared" si="470"/>
        <v>9.9999999999994316E-2</v>
      </c>
      <c r="F780" s="4">
        <v>0</v>
      </c>
      <c r="G780" s="4">
        <v>-0.8</v>
      </c>
      <c r="H780" s="4">
        <v>79</v>
      </c>
      <c r="I780" s="4"/>
      <c r="J780" s="4">
        <v>50</v>
      </c>
      <c r="K780"/>
      <c r="L780"/>
      <c r="M780" s="4">
        <f t="shared" si="471"/>
        <v>123.89999999999999</v>
      </c>
      <c r="N780" s="4"/>
      <c r="O780" s="1">
        <f t="shared" si="472"/>
        <v>123.8</v>
      </c>
      <c r="P780" s="1">
        <f t="shared" si="473"/>
        <v>0</v>
      </c>
      <c r="Q780" s="1" t="str">
        <f t="shared" si="469"/>
        <v/>
      </c>
      <c r="R780" s="1" t="str">
        <f t="shared" si="474"/>
        <v/>
      </c>
      <c r="S780" s="1">
        <f t="shared" si="475"/>
        <v>572.40000000000214</v>
      </c>
      <c r="T780" s="1">
        <f t="shared" si="476"/>
        <v>-0.8</v>
      </c>
      <c r="U780" s="1">
        <f t="shared" si="477"/>
        <v>527.99999999996999</v>
      </c>
      <c r="V780" s="1">
        <f t="shared" si="478"/>
        <v>422.39999999997599</v>
      </c>
    </row>
    <row r="781" spans="1:22" x14ac:dyDescent="0.25">
      <c r="A781" s="1">
        <v>780</v>
      </c>
      <c r="B781" s="4">
        <v>7500</v>
      </c>
      <c r="C781" s="4">
        <v>123.89999999999999</v>
      </c>
      <c r="D781" s="4">
        <v>124</v>
      </c>
      <c r="E781" s="4">
        <f t="shared" si="470"/>
        <v>0.10000000000000853</v>
      </c>
      <c r="F781" s="4">
        <v>0</v>
      </c>
      <c r="G781" s="4">
        <v>-0.65</v>
      </c>
      <c r="H781" s="4">
        <v>79</v>
      </c>
      <c r="I781" s="4"/>
      <c r="J781" s="4">
        <v>50</v>
      </c>
      <c r="K781"/>
      <c r="L781"/>
      <c r="M781" s="4">
        <f t="shared" si="471"/>
        <v>124</v>
      </c>
      <c r="N781" s="4"/>
      <c r="O781" s="1">
        <f t="shared" si="472"/>
        <v>123.89999999999999</v>
      </c>
      <c r="P781" s="1">
        <f t="shared" si="473"/>
        <v>0</v>
      </c>
      <c r="Q781" s="1" t="str">
        <f t="shared" si="469"/>
        <v/>
      </c>
      <c r="R781" s="1" t="str">
        <f t="shared" si="474"/>
        <v/>
      </c>
      <c r="S781" s="1">
        <f t="shared" si="475"/>
        <v>568.17600000000243</v>
      </c>
      <c r="T781" s="1">
        <f t="shared" si="476"/>
        <v>-0.65</v>
      </c>
      <c r="U781" s="1">
        <f t="shared" si="477"/>
        <v>528.00000000004502</v>
      </c>
      <c r="V781" s="1">
        <f t="shared" si="478"/>
        <v>343.20000000002926</v>
      </c>
    </row>
    <row r="782" spans="1:22" x14ac:dyDescent="0.25">
      <c r="A782" s="1">
        <v>781</v>
      </c>
      <c r="B782" s="4">
        <v>7500</v>
      </c>
      <c r="C782" s="4">
        <v>124</v>
      </c>
      <c r="D782" s="4">
        <v>124.1</v>
      </c>
      <c r="E782" s="4">
        <f t="shared" si="470"/>
        <v>9.9999999999994316E-2</v>
      </c>
      <c r="F782" s="4">
        <v>0</v>
      </c>
      <c r="G782" s="4">
        <v>-0.57999999999999996</v>
      </c>
      <c r="H782" s="4">
        <v>79</v>
      </c>
      <c r="I782" s="4"/>
      <c r="J782" s="4">
        <v>50</v>
      </c>
      <c r="K782"/>
      <c r="L782"/>
      <c r="M782" s="4">
        <f t="shared" si="471"/>
        <v>124.1</v>
      </c>
      <c r="N782" s="4"/>
      <c r="O782" s="1">
        <f t="shared" si="472"/>
        <v>124</v>
      </c>
      <c r="P782" s="1">
        <f t="shared" si="473"/>
        <v>0</v>
      </c>
      <c r="Q782" s="1" t="str">
        <f t="shared" si="469"/>
        <v/>
      </c>
      <c r="R782" s="1" t="str">
        <f t="shared" si="474"/>
        <v/>
      </c>
      <c r="S782" s="1">
        <f t="shared" si="475"/>
        <v>564.74400000000219</v>
      </c>
      <c r="T782" s="1">
        <f t="shared" si="476"/>
        <v>-0.57999999999999996</v>
      </c>
      <c r="U782" s="1">
        <f t="shared" si="477"/>
        <v>527.99999999996999</v>
      </c>
      <c r="V782" s="1">
        <f t="shared" si="478"/>
        <v>306.23999999998256</v>
      </c>
    </row>
    <row r="783" spans="1:22" x14ac:dyDescent="0.25">
      <c r="A783" s="1">
        <v>782</v>
      </c>
      <c r="B783" s="4">
        <v>7500</v>
      </c>
      <c r="C783" s="4">
        <v>124.1</v>
      </c>
      <c r="D783" s="4">
        <v>124.19999999999999</v>
      </c>
      <c r="E783" s="4">
        <f t="shared" si="470"/>
        <v>9.9999999999994316E-2</v>
      </c>
      <c r="F783" s="4">
        <v>0</v>
      </c>
      <c r="G783" s="4">
        <v>-0.09</v>
      </c>
      <c r="H783" s="4">
        <v>79</v>
      </c>
      <c r="I783" s="4"/>
      <c r="J783" s="4">
        <v>50</v>
      </c>
      <c r="K783"/>
      <c r="L783"/>
      <c r="M783" s="4">
        <f t="shared" si="471"/>
        <v>124.19999999999999</v>
      </c>
      <c r="N783" s="4"/>
      <c r="O783" s="1">
        <f t="shared" si="472"/>
        <v>124.1</v>
      </c>
      <c r="P783" s="1">
        <f t="shared" si="473"/>
        <v>0</v>
      </c>
      <c r="Q783" s="1" t="str">
        <f t="shared" si="469"/>
        <v/>
      </c>
      <c r="R783" s="1" t="str">
        <f t="shared" si="474"/>
        <v/>
      </c>
      <c r="S783" s="1">
        <f t="shared" si="475"/>
        <v>561.68160000000239</v>
      </c>
      <c r="T783" s="1">
        <f t="shared" si="476"/>
        <v>-0.09</v>
      </c>
      <c r="U783" s="1">
        <f t="shared" si="477"/>
        <v>527.99999999996999</v>
      </c>
      <c r="V783" s="1">
        <f t="shared" si="478"/>
        <v>47.519999999997296</v>
      </c>
    </row>
    <row r="784" spans="1:22" x14ac:dyDescent="0.25">
      <c r="A784" s="1">
        <v>783</v>
      </c>
      <c r="B784" s="4">
        <v>7500</v>
      </c>
      <c r="C784" s="4">
        <v>124.19999999999999</v>
      </c>
      <c r="D784" s="4">
        <v>124.39999999999999</v>
      </c>
      <c r="E784" s="4">
        <f t="shared" si="470"/>
        <v>0.20000000000000284</v>
      </c>
      <c r="F784" s="4">
        <v>0</v>
      </c>
      <c r="G784" s="4">
        <v>0.01</v>
      </c>
      <c r="H784" s="4">
        <v>79</v>
      </c>
      <c r="I784" s="4"/>
      <c r="J784" s="4">
        <v>50</v>
      </c>
      <c r="K784"/>
      <c r="L784"/>
      <c r="M784" s="4">
        <f t="shared" si="471"/>
        <v>124.39999999999999</v>
      </c>
      <c r="N784" s="4"/>
      <c r="O784" s="1">
        <f t="shared" si="472"/>
        <v>124.19999999999999</v>
      </c>
      <c r="P784" s="1">
        <f t="shared" si="473"/>
        <v>0</v>
      </c>
      <c r="Q784" s="1" t="str">
        <f t="shared" si="469"/>
        <v/>
      </c>
      <c r="R784" s="1" t="str">
        <f t="shared" si="474"/>
        <v/>
      </c>
      <c r="S784" s="1">
        <f t="shared" si="475"/>
        <v>561.20640000000242</v>
      </c>
      <c r="T784" s="1">
        <f t="shared" si="476"/>
        <v>0.01</v>
      </c>
      <c r="U784" s="1">
        <f t="shared" si="477"/>
        <v>1056.000000000015</v>
      </c>
      <c r="V784" s="1">
        <f t="shared" si="478"/>
        <v>10.56000000000015</v>
      </c>
    </row>
    <row r="785" spans="1:22" x14ac:dyDescent="0.25">
      <c r="A785" s="1">
        <v>784</v>
      </c>
      <c r="B785" s="4">
        <v>7500</v>
      </c>
      <c r="C785" s="4">
        <v>124.39999999999999</v>
      </c>
      <c r="D785" s="4">
        <v>124.5</v>
      </c>
      <c r="E785" s="4">
        <f t="shared" si="470"/>
        <v>0.10000000000000853</v>
      </c>
      <c r="F785" s="4">
        <v>1</v>
      </c>
      <c r="G785" s="4">
        <v>0.01</v>
      </c>
      <c r="H785" s="4">
        <v>79</v>
      </c>
      <c r="I785" s="4"/>
      <c r="J785" s="4">
        <v>50</v>
      </c>
      <c r="K785"/>
      <c r="L785"/>
      <c r="M785" s="4">
        <f t="shared" si="471"/>
        <v>124.5</v>
      </c>
      <c r="N785" s="4"/>
      <c r="O785" s="1">
        <f t="shared" si="472"/>
        <v>124.39999999999999</v>
      </c>
      <c r="P785" s="1">
        <f t="shared" si="473"/>
        <v>5.2800000000004497</v>
      </c>
      <c r="Q785" s="1" t="str">
        <f t="shared" si="469"/>
        <v/>
      </c>
      <c r="R785" s="1" t="str">
        <f t="shared" si="474"/>
        <v/>
      </c>
      <c r="S785" s="1">
        <f t="shared" si="475"/>
        <v>561.3120000000024</v>
      </c>
      <c r="T785" s="1">
        <f t="shared" si="476"/>
        <v>0.01</v>
      </c>
      <c r="U785" s="1">
        <f t="shared" si="477"/>
        <v>528.00000000004502</v>
      </c>
      <c r="V785" s="1">
        <f t="shared" si="478"/>
        <v>5.2800000000004506</v>
      </c>
    </row>
    <row r="786" spans="1:22" x14ac:dyDescent="0.25">
      <c r="A786" s="1">
        <v>785</v>
      </c>
      <c r="B786" s="4">
        <v>7500</v>
      </c>
      <c r="C786" s="4">
        <v>124.5</v>
      </c>
      <c r="D786" s="4">
        <v>124.69999999999999</v>
      </c>
      <c r="E786" s="4">
        <f t="shared" si="470"/>
        <v>0.19999999999998863</v>
      </c>
      <c r="F786" s="4">
        <v>1</v>
      </c>
      <c r="G786" s="4">
        <v>0.05</v>
      </c>
      <c r="H786" s="4">
        <v>79</v>
      </c>
      <c r="I786" s="4"/>
      <c r="J786" s="4">
        <v>50</v>
      </c>
      <c r="K786"/>
      <c r="L786"/>
      <c r="M786" s="4">
        <f t="shared" si="471"/>
        <v>124.69999999999999</v>
      </c>
      <c r="N786" s="4"/>
      <c r="O786" s="1">
        <f t="shared" si="472"/>
        <v>124.5</v>
      </c>
      <c r="P786" s="1">
        <f t="shared" si="473"/>
        <v>10.559999999999398</v>
      </c>
      <c r="Q786" s="1" t="str">
        <f t="shared" si="469"/>
        <v/>
      </c>
      <c r="R786" s="1" t="str">
        <f t="shared" si="474"/>
        <v/>
      </c>
      <c r="S786" s="1">
        <f t="shared" si="475"/>
        <v>561.36480000000245</v>
      </c>
      <c r="T786" s="1">
        <f t="shared" si="476"/>
        <v>0.05</v>
      </c>
      <c r="U786" s="1">
        <f t="shared" si="477"/>
        <v>1055.99999999994</v>
      </c>
      <c r="V786" s="1">
        <f t="shared" si="478"/>
        <v>52.799999999996999</v>
      </c>
    </row>
    <row r="787" spans="1:22" x14ac:dyDescent="0.25">
      <c r="A787" s="1">
        <v>786</v>
      </c>
      <c r="B787" s="4">
        <v>7500</v>
      </c>
      <c r="C787" s="4">
        <v>124.69999999999999</v>
      </c>
      <c r="D787" s="4">
        <v>124.89999999999999</v>
      </c>
      <c r="E787" s="4">
        <f t="shared" si="470"/>
        <v>0.20000000000000284</v>
      </c>
      <c r="F787" s="4">
        <v>0</v>
      </c>
      <c r="G787" s="4">
        <v>0.05</v>
      </c>
      <c r="H787" s="4">
        <v>79</v>
      </c>
      <c r="I787" s="4"/>
      <c r="J787" s="4">
        <v>50</v>
      </c>
      <c r="K787"/>
      <c r="L787"/>
      <c r="M787" s="4">
        <f t="shared" si="471"/>
        <v>124.89999999999999</v>
      </c>
      <c r="N787" s="4"/>
      <c r="O787" s="1">
        <f t="shared" si="472"/>
        <v>124.69999999999999</v>
      </c>
      <c r="P787" s="1">
        <f t="shared" si="473"/>
        <v>0</v>
      </c>
      <c r="Q787" s="1" t="str">
        <f t="shared" si="469"/>
        <v/>
      </c>
      <c r="R787" s="1" t="str">
        <f t="shared" si="474"/>
        <v/>
      </c>
      <c r="S787" s="1">
        <f t="shared" si="475"/>
        <v>561.89280000000247</v>
      </c>
      <c r="T787" s="1">
        <f t="shared" si="476"/>
        <v>0.05</v>
      </c>
      <c r="U787" s="1">
        <f t="shared" si="477"/>
        <v>1056.000000000015</v>
      </c>
      <c r="V787" s="1">
        <f t="shared" si="478"/>
        <v>52.80000000000075</v>
      </c>
    </row>
    <row r="788" spans="1:22" x14ac:dyDescent="0.25">
      <c r="A788" s="1">
        <v>787</v>
      </c>
      <c r="B788" s="4">
        <v>7500</v>
      </c>
      <c r="C788" s="4">
        <v>124.89999999999999</v>
      </c>
      <c r="D788" s="4">
        <v>125</v>
      </c>
      <c r="E788" s="4">
        <f t="shared" si="470"/>
        <v>0.10000000000000853</v>
      </c>
      <c r="F788" s="4">
        <v>0</v>
      </c>
      <c r="G788" s="4">
        <v>0.12</v>
      </c>
      <c r="H788" s="4">
        <v>79</v>
      </c>
      <c r="I788" s="4"/>
      <c r="J788" s="4">
        <v>50</v>
      </c>
      <c r="K788"/>
      <c r="L788"/>
      <c r="M788" s="4">
        <f t="shared" si="471"/>
        <v>125</v>
      </c>
      <c r="N788" s="4"/>
      <c r="O788" s="1">
        <f t="shared" si="472"/>
        <v>124.89999999999999</v>
      </c>
      <c r="P788" s="1">
        <f t="shared" si="473"/>
        <v>0</v>
      </c>
      <c r="Q788" s="1" t="str">
        <f t="shared" si="469"/>
        <v/>
      </c>
      <c r="R788" s="1" t="str">
        <f t="shared" si="474"/>
        <v/>
      </c>
      <c r="S788" s="1">
        <f t="shared" si="475"/>
        <v>562.42080000000249</v>
      </c>
      <c r="T788" s="1">
        <f t="shared" si="476"/>
        <v>0.12</v>
      </c>
      <c r="U788" s="1">
        <f t="shared" si="477"/>
        <v>528.00000000004502</v>
      </c>
      <c r="V788" s="1">
        <f t="shared" si="478"/>
        <v>63.3600000000054</v>
      </c>
    </row>
    <row r="789" spans="1:22" x14ac:dyDescent="0.25">
      <c r="A789" s="1">
        <v>788</v>
      </c>
      <c r="B789" s="4">
        <v>7500</v>
      </c>
      <c r="C789" s="4">
        <v>125</v>
      </c>
      <c r="D789" s="4">
        <v>125.1</v>
      </c>
      <c r="E789" s="4">
        <f t="shared" si="470"/>
        <v>9.9999999999994316E-2</v>
      </c>
      <c r="F789" s="4">
        <v>1</v>
      </c>
      <c r="G789" s="4">
        <v>0.12</v>
      </c>
      <c r="H789" s="4">
        <v>79</v>
      </c>
      <c r="I789" s="4"/>
      <c r="J789" s="4">
        <v>50</v>
      </c>
      <c r="K789"/>
      <c r="L789"/>
      <c r="M789" s="4">
        <f t="shared" si="471"/>
        <v>125.1</v>
      </c>
      <c r="N789" s="4"/>
      <c r="O789" s="1">
        <f t="shared" si="472"/>
        <v>125</v>
      </c>
      <c r="P789" s="1">
        <f t="shared" si="473"/>
        <v>5.2799999999996992</v>
      </c>
      <c r="Q789" s="1" t="str">
        <f t="shared" si="469"/>
        <v/>
      </c>
      <c r="R789" s="1" t="str">
        <f t="shared" si="474"/>
        <v/>
      </c>
      <c r="S789" s="1">
        <f t="shared" si="475"/>
        <v>563.05440000000249</v>
      </c>
      <c r="T789" s="1">
        <f t="shared" si="476"/>
        <v>0.12</v>
      </c>
      <c r="U789" s="1">
        <f t="shared" si="477"/>
        <v>527.99999999996999</v>
      </c>
      <c r="V789" s="1">
        <f t="shared" si="478"/>
        <v>63.359999999996397</v>
      </c>
    </row>
    <row r="790" spans="1:22" x14ac:dyDescent="0.25">
      <c r="A790" s="1">
        <v>789</v>
      </c>
      <c r="B790" s="4">
        <v>7500</v>
      </c>
      <c r="C790" s="4">
        <v>125.1</v>
      </c>
      <c r="D790" s="4">
        <v>125.3</v>
      </c>
      <c r="E790" s="4">
        <f t="shared" si="470"/>
        <v>0.20000000000000284</v>
      </c>
      <c r="F790" s="4">
        <v>1</v>
      </c>
      <c r="G790" s="4">
        <v>0.26</v>
      </c>
      <c r="H790" s="4">
        <v>79</v>
      </c>
      <c r="I790" s="4"/>
      <c r="J790" s="4">
        <v>50</v>
      </c>
      <c r="K790"/>
      <c r="L790"/>
      <c r="M790" s="4">
        <f t="shared" si="471"/>
        <v>125.3</v>
      </c>
      <c r="N790" s="4"/>
      <c r="O790" s="1">
        <f t="shared" si="472"/>
        <v>125.1</v>
      </c>
      <c r="P790" s="1">
        <f t="shared" si="473"/>
        <v>10.56000000000015</v>
      </c>
      <c r="Q790" s="1" t="str">
        <f t="shared" si="469"/>
        <v/>
      </c>
      <c r="R790" s="1" t="str">
        <f t="shared" si="474"/>
        <v/>
      </c>
      <c r="S790" s="1">
        <f t="shared" si="475"/>
        <v>563.68800000000249</v>
      </c>
      <c r="T790" s="1">
        <f t="shared" si="476"/>
        <v>0.26</v>
      </c>
      <c r="U790" s="1">
        <f t="shared" si="477"/>
        <v>1056.000000000015</v>
      </c>
      <c r="V790" s="1">
        <f t="shared" si="478"/>
        <v>274.56000000000392</v>
      </c>
    </row>
    <row r="791" spans="1:22" x14ac:dyDescent="0.25">
      <c r="A791" s="1">
        <v>790</v>
      </c>
      <c r="B791" s="4">
        <v>7500</v>
      </c>
      <c r="C791" s="4">
        <v>125.3</v>
      </c>
      <c r="D791" s="4">
        <v>125.39999999999999</v>
      </c>
      <c r="E791" s="4">
        <f t="shared" si="470"/>
        <v>9.9999999999994316E-2</v>
      </c>
      <c r="F791" s="4">
        <v>1</v>
      </c>
      <c r="G791" s="4">
        <v>0.33</v>
      </c>
      <c r="H791" s="4">
        <v>79</v>
      </c>
      <c r="I791" s="4"/>
      <c r="J791" s="4">
        <v>50</v>
      </c>
      <c r="K791"/>
      <c r="L791"/>
      <c r="M791" s="4">
        <f t="shared" si="471"/>
        <v>125.39999999999999</v>
      </c>
      <c r="N791" s="4"/>
      <c r="O791" s="1">
        <f t="shared" si="472"/>
        <v>125.3</v>
      </c>
      <c r="P791" s="1">
        <f t="shared" si="473"/>
        <v>5.2799999999996992</v>
      </c>
      <c r="Q791" s="1" t="str">
        <f t="shared" si="469"/>
        <v/>
      </c>
      <c r="R791" s="1" t="str">
        <f t="shared" si="474"/>
        <v/>
      </c>
      <c r="S791" s="1">
        <f t="shared" si="475"/>
        <v>566.43360000000257</v>
      </c>
      <c r="T791" s="1">
        <f t="shared" si="476"/>
        <v>0.33</v>
      </c>
      <c r="U791" s="1">
        <f t="shared" si="477"/>
        <v>527.99999999996999</v>
      </c>
      <c r="V791" s="1">
        <f t="shared" si="478"/>
        <v>174.23999999999009</v>
      </c>
    </row>
    <row r="792" spans="1:22" x14ac:dyDescent="0.25">
      <c r="A792" s="1">
        <v>791</v>
      </c>
      <c r="B792" s="4">
        <v>7500</v>
      </c>
      <c r="C792" s="4">
        <v>125.39999999999999</v>
      </c>
      <c r="D792" s="4">
        <v>125.5</v>
      </c>
      <c r="E792" s="4">
        <f t="shared" si="470"/>
        <v>0.10000000000000853</v>
      </c>
      <c r="F792" s="4">
        <v>1</v>
      </c>
      <c r="G792" s="4">
        <v>0.33</v>
      </c>
      <c r="H792" s="4">
        <v>79</v>
      </c>
      <c r="I792" s="4"/>
      <c r="J792" s="4">
        <v>50</v>
      </c>
      <c r="K792"/>
      <c r="L792"/>
      <c r="M792" s="4">
        <f t="shared" si="471"/>
        <v>125.5</v>
      </c>
      <c r="N792" s="4"/>
      <c r="O792" s="1">
        <f t="shared" si="472"/>
        <v>125.39999999999999</v>
      </c>
      <c r="P792" s="1">
        <f t="shared" si="473"/>
        <v>5.2800000000004497</v>
      </c>
      <c r="Q792" s="1" t="str">
        <f t="shared" si="469"/>
        <v/>
      </c>
      <c r="R792" s="1" t="str">
        <f t="shared" si="474"/>
        <v/>
      </c>
      <c r="S792" s="1">
        <f t="shared" si="475"/>
        <v>568.17600000000243</v>
      </c>
      <c r="T792" s="1">
        <f t="shared" si="476"/>
        <v>0.33</v>
      </c>
      <c r="U792" s="1">
        <f t="shared" si="477"/>
        <v>528.00000000004502</v>
      </c>
      <c r="V792" s="1">
        <f t="shared" si="478"/>
        <v>174.24000000001487</v>
      </c>
    </row>
    <row r="793" spans="1:22" x14ac:dyDescent="0.25">
      <c r="A793" s="1">
        <v>792</v>
      </c>
      <c r="B793" s="4">
        <v>7500</v>
      </c>
      <c r="C793" s="4">
        <v>125.5</v>
      </c>
      <c r="D793" s="4">
        <v>125.69999999999999</v>
      </c>
      <c r="E793" s="4">
        <f t="shared" si="470"/>
        <v>0.19999999999998863</v>
      </c>
      <c r="F793" s="4">
        <v>0</v>
      </c>
      <c r="G793" s="4">
        <v>0.33</v>
      </c>
      <c r="H793" s="4">
        <v>79</v>
      </c>
      <c r="I793" s="4"/>
      <c r="J793" s="4">
        <v>50</v>
      </c>
      <c r="K793"/>
      <c r="L793"/>
      <c r="M793" s="4">
        <f t="shared" si="471"/>
        <v>125.69999999999999</v>
      </c>
      <c r="N793" s="4"/>
      <c r="O793" s="1">
        <f t="shared" si="472"/>
        <v>125.5</v>
      </c>
      <c r="P793" s="1">
        <f t="shared" si="473"/>
        <v>0</v>
      </c>
      <c r="Q793" s="1" t="str">
        <f t="shared" si="469"/>
        <v/>
      </c>
      <c r="R793" s="1" t="str">
        <f t="shared" si="474"/>
        <v/>
      </c>
      <c r="S793" s="1">
        <f t="shared" si="475"/>
        <v>569.91840000000263</v>
      </c>
      <c r="T793" s="1">
        <f t="shared" si="476"/>
        <v>0.33</v>
      </c>
      <c r="U793" s="1">
        <f t="shared" si="477"/>
        <v>1055.99999999994</v>
      </c>
      <c r="V793" s="1">
        <f t="shared" si="478"/>
        <v>348.47999999998018</v>
      </c>
    </row>
    <row r="794" spans="1:22" x14ac:dyDescent="0.25">
      <c r="A794" s="1">
        <v>793</v>
      </c>
      <c r="B794" s="4">
        <v>7500</v>
      </c>
      <c r="C794" s="4">
        <v>125.69999999999999</v>
      </c>
      <c r="D794" s="4">
        <v>125.8</v>
      </c>
      <c r="E794" s="4">
        <f t="shared" si="470"/>
        <v>0.10000000000000853</v>
      </c>
      <c r="F794" s="4">
        <v>0</v>
      </c>
      <c r="G794" s="4">
        <v>0.73</v>
      </c>
      <c r="H794" s="4">
        <v>79</v>
      </c>
      <c r="I794" s="4"/>
      <c r="J794" s="4">
        <v>50</v>
      </c>
      <c r="K794"/>
      <c r="L794"/>
      <c r="M794" s="4">
        <f t="shared" si="471"/>
        <v>125.8</v>
      </c>
      <c r="N794" s="4"/>
      <c r="O794" s="1">
        <f t="shared" si="472"/>
        <v>125.69999999999999</v>
      </c>
      <c r="P794" s="1">
        <f t="shared" si="473"/>
        <v>0</v>
      </c>
      <c r="Q794" s="1" t="str">
        <f t="shared" si="469"/>
        <v/>
      </c>
      <c r="R794" s="1" t="str">
        <f t="shared" si="474"/>
        <v/>
      </c>
      <c r="S794" s="1">
        <f t="shared" si="475"/>
        <v>573.40320000000247</v>
      </c>
      <c r="T794" s="1">
        <f t="shared" si="476"/>
        <v>0.73</v>
      </c>
      <c r="U794" s="1">
        <f t="shared" si="477"/>
        <v>528.00000000004502</v>
      </c>
      <c r="V794" s="1">
        <f t="shared" si="478"/>
        <v>385.44000000003285</v>
      </c>
    </row>
    <row r="795" spans="1:22" x14ac:dyDescent="0.25">
      <c r="A795" s="1">
        <v>794</v>
      </c>
      <c r="B795" s="4">
        <v>7500</v>
      </c>
      <c r="C795" s="4">
        <v>125.8</v>
      </c>
      <c r="D795" s="4">
        <v>125.89999999999999</v>
      </c>
      <c r="E795" s="4">
        <f t="shared" si="470"/>
        <v>9.9999999999994316E-2</v>
      </c>
      <c r="F795" s="4">
        <v>1.2</v>
      </c>
      <c r="G795" s="4">
        <v>0.73</v>
      </c>
      <c r="H795" s="4">
        <v>79</v>
      </c>
      <c r="I795" s="4"/>
      <c r="J795" s="4">
        <v>50</v>
      </c>
      <c r="K795"/>
      <c r="L795"/>
      <c r="M795" s="4">
        <f t="shared" si="471"/>
        <v>125.89999999999999</v>
      </c>
      <c r="N795" s="4"/>
      <c r="O795" s="1">
        <f t="shared" si="472"/>
        <v>125.8</v>
      </c>
      <c r="P795" s="1">
        <f t="shared" si="473"/>
        <v>6.3359999999996388</v>
      </c>
      <c r="Q795" s="1" t="str">
        <f t="shared" si="469"/>
        <v/>
      </c>
      <c r="R795" s="1" t="str">
        <f t="shared" si="474"/>
        <v/>
      </c>
      <c r="S795" s="1">
        <f t="shared" si="475"/>
        <v>577.25760000000275</v>
      </c>
      <c r="T795" s="1">
        <f t="shared" si="476"/>
        <v>0.73</v>
      </c>
      <c r="U795" s="1">
        <f t="shared" si="477"/>
        <v>527.99999999996999</v>
      </c>
      <c r="V795" s="1">
        <f t="shared" si="478"/>
        <v>385.43999999997806</v>
      </c>
    </row>
    <row r="796" spans="1:22" x14ac:dyDescent="0.25">
      <c r="A796" s="1">
        <v>795</v>
      </c>
      <c r="B796" s="4">
        <v>7500</v>
      </c>
      <c r="C796" s="4">
        <v>125.89999999999999</v>
      </c>
      <c r="D796" s="4">
        <v>126</v>
      </c>
      <c r="E796" s="4">
        <f t="shared" si="470"/>
        <v>0.10000000000000853</v>
      </c>
      <c r="F796" s="4">
        <v>1.2</v>
      </c>
      <c r="G796" s="4">
        <v>0.59</v>
      </c>
      <c r="H796" s="4">
        <v>79</v>
      </c>
      <c r="I796" s="4"/>
      <c r="J796" s="4">
        <v>50</v>
      </c>
      <c r="K796"/>
      <c r="L796"/>
      <c r="M796" s="4">
        <f t="shared" si="471"/>
        <v>126</v>
      </c>
      <c r="N796" s="4"/>
      <c r="O796" s="1">
        <f t="shared" si="472"/>
        <v>125.89999999999999</v>
      </c>
      <c r="P796" s="1">
        <f t="shared" si="473"/>
        <v>6.3360000000005394</v>
      </c>
      <c r="Q796" s="1" t="str">
        <f t="shared" si="469"/>
        <v/>
      </c>
      <c r="R796" s="1" t="str">
        <f t="shared" si="474"/>
        <v/>
      </c>
      <c r="S796" s="1">
        <f t="shared" si="475"/>
        <v>581.11200000000258</v>
      </c>
      <c r="T796" s="1">
        <f t="shared" si="476"/>
        <v>0.59</v>
      </c>
      <c r="U796" s="1">
        <f t="shared" si="477"/>
        <v>528.00000000004502</v>
      </c>
      <c r="V796" s="1">
        <f t="shared" si="478"/>
        <v>311.52000000002653</v>
      </c>
    </row>
    <row r="797" spans="1:22" x14ac:dyDescent="0.25">
      <c r="A797" s="1">
        <v>796</v>
      </c>
      <c r="B797" s="4">
        <v>7500</v>
      </c>
      <c r="C797" s="4">
        <v>126</v>
      </c>
      <c r="D797" s="4">
        <v>126.19999999999999</v>
      </c>
      <c r="E797" s="4">
        <f t="shared" si="470"/>
        <v>0.19999999999998863</v>
      </c>
      <c r="F797" s="4">
        <v>2</v>
      </c>
      <c r="G797" s="4">
        <v>0.66</v>
      </c>
      <c r="H797" s="4">
        <v>79</v>
      </c>
      <c r="I797" s="4"/>
      <c r="J797" s="4">
        <v>50</v>
      </c>
      <c r="K797"/>
      <c r="L797"/>
      <c r="M797" s="4">
        <f t="shared" si="471"/>
        <v>126.19999999999999</v>
      </c>
      <c r="N797" s="4"/>
      <c r="O797" s="1">
        <f t="shared" si="472"/>
        <v>126</v>
      </c>
      <c r="P797" s="1">
        <f t="shared" si="473"/>
        <v>21.119999999998797</v>
      </c>
      <c r="Q797" s="1" t="str">
        <f t="shared" si="469"/>
        <v/>
      </c>
      <c r="R797" s="1" t="str">
        <f t="shared" si="474"/>
        <v/>
      </c>
      <c r="S797" s="1">
        <f t="shared" si="475"/>
        <v>584.22720000000288</v>
      </c>
      <c r="T797" s="1">
        <f t="shared" si="476"/>
        <v>0.66</v>
      </c>
      <c r="U797" s="1">
        <f t="shared" si="477"/>
        <v>1055.99999999994</v>
      </c>
      <c r="V797" s="1">
        <f t="shared" si="478"/>
        <v>696.95999999996036</v>
      </c>
    </row>
    <row r="798" spans="1:22" x14ac:dyDescent="0.25">
      <c r="A798" s="1">
        <v>797</v>
      </c>
      <c r="B798" s="4">
        <v>7500</v>
      </c>
      <c r="C798" s="4">
        <v>126.19999999999999</v>
      </c>
      <c r="D798" s="4">
        <v>126.3</v>
      </c>
      <c r="E798" s="4">
        <f t="shared" si="470"/>
        <v>0.10000000000000853</v>
      </c>
      <c r="F798" s="4">
        <v>0</v>
      </c>
      <c r="G798" s="4">
        <v>0.66</v>
      </c>
      <c r="H798" s="4">
        <v>79</v>
      </c>
      <c r="I798" s="4"/>
      <c r="J798" s="4">
        <v>50</v>
      </c>
      <c r="K798"/>
      <c r="L798"/>
      <c r="M798" s="4">
        <f t="shared" si="471"/>
        <v>126.3</v>
      </c>
      <c r="N798" s="4"/>
      <c r="O798" s="1">
        <f t="shared" si="472"/>
        <v>126.19999999999999</v>
      </c>
      <c r="P798" s="1">
        <f t="shared" si="473"/>
        <v>0</v>
      </c>
      <c r="Q798" s="1" t="str">
        <f t="shared" si="469"/>
        <v/>
      </c>
      <c r="R798" s="1" t="str">
        <f t="shared" si="474"/>
        <v/>
      </c>
      <c r="S798" s="1">
        <f t="shared" si="475"/>
        <v>591.19680000000244</v>
      </c>
      <c r="T798" s="1">
        <f t="shared" si="476"/>
        <v>0.66</v>
      </c>
      <c r="U798" s="1">
        <f t="shared" si="477"/>
        <v>528.00000000004502</v>
      </c>
      <c r="V798" s="1">
        <f t="shared" si="478"/>
        <v>348.48000000002975</v>
      </c>
    </row>
    <row r="799" spans="1:22" x14ac:dyDescent="0.25">
      <c r="A799" s="1">
        <v>798</v>
      </c>
      <c r="B799" s="4">
        <v>7500</v>
      </c>
      <c r="C799" s="4">
        <v>126.3</v>
      </c>
      <c r="D799" s="4">
        <v>126.39999999999999</v>
      </c>
      <c r="E799" s="4">
        <f t="shared" si="470"/>
        <v>9.9999999999994316E-2</v>
      </c>
      <c r="F799" s="4">
        <v>1.6</v>
      </c>
      <c r="G799" s="4">
        <v>0.01</v>
      </c>
      <c r="H799" s="4">
        <v>79</v>
      </c>
      <c r="I799" s="4"/>
      <c r="J799" s="4">
        <v>50</v>
      </c>
      <c r="K799"/>
      <c r="L799"/>
      <c r="M799" s="4">
        <f t="shared" si="471"/>
        <v>126.39999999999999</v>
      </c>
      <c r="N799" s="4"/>
      <c r="O799" s="1">
        <f t="shared" si="472"/>
        <v>126.3</v>
      </c>
      <c r="P799" s="1">
        <f t="shared" si="473"/>
        <v>8.4479999999995208</v>
      </c>
      <c r="Q799" s="1" t="str">
        <f t="shared" si="469"/>
        <v/>
      </c>
      <c r="R799" s="1" t="str">
        <f t="shared" si="474"/>
        <v/>
      </c>
      <c r="S799" s="1">
        <f t="shared" si="475"/>
        <v>594.68160000000273</v>
      </c>
      <c r="T799" s="1">
        <f t="shared" si="476"/>
        <v>0.01</v>
      </c>
      <c r="U799" s="1">
        <f t="shared" si="477"/>
        <v>527.99999999996999</v>
      </c>
      <c r="V799" s="1">
        <f t="shared" si="478"/>
        <v>5.2799999999997</v>
      </c>
    </row>
    <row r="800" spans="1:22" x14ac:dyDescent="0.25">
      <c r="A800" s="1">
        <v>799</v>
      </c>
      <c r="B800" s="4">
        <v>7500</v>
      </c>
      <c r="C800" s="4">
        <v>126.39999999999999</v>
      </c>
      <c r="D800" s="4">
        <v>126.5</v>
      </c>
      <c r="E800" s="4">
        <f t="shared" si="470"/>
        <v>0.10000000000000853</v>
      </c>
      <c r="F800" s="4">
        <v>1.6</v>
      </c>
      <c r="G800" s="4">
        <v>0.01</v>
      </c>
      <c r="H800" s="4">
        <v>79</v>
      </c>
      <c r="I800" s="4"/>
      <c r="J800" s="4">
        <v>50</v>
      </c>
      <c r="K800"/>
      <c r="L800"/>
      <c r="M800" s="4">
        <f t="shared" si="471"/>
        <v>126.5</v>
      </c>
      <c r="N800" s="4"/>
      <c r="O800" s="1">
        <f t="shared" si="472"/>
        <v>126.39999999999999</v>
      </c>
      <c r="P800" s="1">
        <f t="shared" si="473"/>
        <v>8.4480000000007216</v>
      </c>
      <c r="Q800" s="1" t="str">
        <f t="shared" si="469"/>
        <v/>
      </c>
      <c r="R800" s="1" t="str">
        <f t="shared" si="474"/>
        <v/>
      </c>
      <c r="S800" s="1">
        <f t="shared" si="475"/>
        <v>594.73440000000278</v>
      </c>
      <c r="T800" s="1">
        <f t="shared" si="476"/>
        <v>0.01</v>
      </c>
      <c r="U800" s="1">
        <f t="shared" si="477"/>
        <v>528.00000000004502</v>
      </c>
      <c r="V800" s="1">
        <f t="shared" si="478"/>
        <v>5.2800000000004506</v>
      </c>
    </row>
    <row r="801" spans="1:22" x14ac:dyDescent="0.25">
      <c r="A801" s="1">
        <v>800</v>
      </c>
      <c r="B801" s="4">
        <v>7500</v>
      </c>
      <c r="C801" s="4">
        <v>126.5</v>
      </c>
      <c r="D801" s="4">
        <v>126.6</v>
      </c>
      <c r="E801" s="4">
        <f t="shared" si="470"/>
        <v>9.9999999999994316E-2</v>
      </c>
      <c r="F801" s="4">
        <v>1.6</v>
      </c>
      <c r="G801" s="4">
        <v>-0.19</v>
      </c>
      <c r="H801" s="4">
        <v>79</v>
      </c>
      <c r="I801" s="4"/>
      <c r="J801" s="4">
        <v>50</v>
      </c>
      <c r="K801"/>
      <c r="L801"/>
      <c r="M801" s="4">
        <f t="shared" si="471"/>
        <v>126.6</v>
      </c>
      <c r="N801" s="4"/>
      <c r="O801" s="1">
        <f t="shared" si="472"/>
        <v>126.5</v>
      </c>
      <c r="P801" s="1">
        <f t="shared" si="473"/>
        <v>8.4479999999995208</v>
      </c>
      <c r="Q801" s="1" t="str">
        <f t="shared" si="469"/>
        <v/>
      </c>
      <c r="R801" s="1" t="str">
        <f t="shared" si="474"/>
        <v/>
      </c>
      <c r="S801" s="1">
        <f t="shared" si="475"/>
        <v>594.78720000000283</v>
      </c>
      <c r="T801" s="1">
        <f t="shared" si="476"/>
        <v>-0.19</v>
      </c>
      <c r="U801" s="1">
        <f t="shared" si="477"/>
        <v>527.99999999996999</v>
      </c>
      <c r="V801" s="1">
        <f t="shared" si="478"/>
        <v>100.31999999999429</v>
      </c>
    </row>
    <row r="802" spans="1:22" x14ac:dyDescent="0.25">
      <c r="A802" s="1">
        <v>801</v>
      </c>
      <c r="B802" s="4">
        <v>7500</v>
      </c>
      <c r="C802" s="4">
        <v>126.6</v>
      </c>
      <c r="D802" s="4">
        <v>126.8</v>
      </c>
      <c r="E802" s="4">
        <f t="shared" si="470"/>
        <v>0.20000000000000284</v>
      </c>
      <c r="F802" s="4">
        <v>1.6</v>
      </c>
      <c r="G802" s="4">
        <v>1.08</v>
      </c>
      <c r="H802" s="4">
        <v>79</v>
      </c>
      <c r="I802" s="4"/>
      <c r="J802" s="4">
        <v>50</v>
      </c>
      <c r="K802"/>
      <c r="L802"/>
      <c r="M802" s="4">
        <f t="shared" si="471"/>
        <v>126.8</v>
      </c>
      <c r="N802" s="4"/>
      <c r="O802" s="1">
        <f t="shared" si="472"/>
        <v>126.6</v>
      </c>
      <c r="P802" s="1">
        <f t="shared" si="473"/>
        <v>16.896000000000242</v>
      </c>
      <c r="Q802" s="1" t="str">
        <f t="shared" si="469"/>
        <v/>
      </c>
      <c r="R802" s="1" t="str">
        <f t="shared" si="474"/>
        <v/>
      </c>
      <c r="S802" s="1">
        <f t="shared" si="475"/>
        <v>593.78400000000283</v>
      </c>
      <c r="T802" s="1">
        <f t="shared" si="476"/>
        <v>1.08</v>
      </c>
      <c r="U802" s="1">
        <f t="shared" si="477"/>
        <v>1056.000000000015</v>
      </c>
      <c r="V802" s="1">
        <f t="shared" si="478"/>
        <v>1140.4800000000164</v>
      </c>
    </row>
    <row r="803" spans="1:22" x14ac:dyDescent="0.25">
      <c r="A803" s="1">
        <v>802</v>
      </c>
      <c r="B803" s="4">
        <v>7500</v>
      </c>
      <c r="C803" s="4">
        <v>126.8</v>
      </c>
      <c r="D803" s="4">
        <v>127.19999999999999</v>
      </c>
      <c r="E803" s="4">
        <f t="shared" si="470"/>
        <v>0.39999999999999147</v>
      </c>
      <c r="F803" s="4">
        <v>0</v>
      </c>
      <c r="G803" s="4">
        <v>0.99</v>
      </c>
      <c r="H803" s="4">
        <v>79</v>
      </c>
      <c r="I803" s="4"/>
      <c r="J803" s="4">
        <v>50</v>
      </c>
      <c r="K803"/>
      <c r="L803"/>
      <c r="M803" s="4">
        <f t="shared" si="471"/>
        <v>127.19999999999999</v>
      </c>
      <c r="N803" s="4"/>
      <c r="O803" s="1">
        <f t="shared" si="472"/>
        <v>126.8</v>
      </c>
      <c r="P803" s="1">
        <f t="shared" si="473"/>
        <v>0</v>
      </c>
      <c r="Q803" s="1" t="str">
        <f t="shared" si="469"/>
        <v/>
      </c>
      <c r="R803" s="1" t="str">
        <f t="shared" si="474"/>
        <v/>
      </c>
      <c r="S803" s="1">
        <f t="shared" si="475"/>
        <v>605.18880000000297</v>
      </c>
      <c r="T803" s="1">
        <f t="shared" si="476"/>
        <v>0.99</v>
      </c>
      <c r="U803" s="1">
        <f t="shared" si="477"/>
        <v>2111.999999999955</v>
      </c>
      <c r="V803" s="1">
        <f t="shared" si="478"/>
        <v>2090.8799999999555</v>
      </c>
    </row>
    <row r="804" spans="1:22" x14ac:dyDescent="0.25">
      <c r="A804" s="1">
        <v>803</v>
      </c>
      <c r="B804" s="4">
        <v>7500</v>
      </c>
      <c r="C804" s="4">
        <v>127.19999999999999</v>
      </c>
      <c r="D804" s="4">
        <v>127.39999999999999</v>
      </c>
      <c r="E804" s="4">
        <f t="shared" si="470"/>
        <v>0.20000000000000284</v>
      </c>
      <c r="F804" s="4">
        <v>0</v>
      </c>
      <c r="G804" s="4">
        <v>0.94</v>
      </c>
      <c r="H804" s="4">
        <v>79</v>
      </c>
      <c r="I804" s="4"/>
      <c r="J804" s="4">
        <v>50</v>
      </c>
      <c r="K804"/>
      <c r="L804"/>
      <c r="M804" s="4">
        <f t="shared" si="471"/>
        <v>127.39999999999999</v>
      </c>
      <c r="N804" s="4"/>
      <c r="O804" s="1">
        <f t="shared" si="472"/>
        <v>127.19999999999999</v>
      </c>
      <c r="P804" s="1">
        <f t="shared" si="473"/>
        <v>0</v>
      </c>
      <c r="Q804" s="1" t="str">
        <f t="shared" si="469"/>
        <v/>
      </c>
      <c r="R804" s="1" t="str">
        <f t="shared" si="474"/>
        <v/>
      </c>
      <c r="S804" s="1">
        <f t="shared" si="475"/>
        <v>626.09760000000256</v>
      </c>
      <c r="T804" s="1">
        <f t="shared" si="476"/>
        <v>0.94</v>
      </c>
      <c r="U804" s="1">
        <f t="shared" si="477"/>
        <v>1056.000000000015</v>
      </c>
      <c r="V804" s="1">
        <f t="shared" si="478"/>
        <v>992.64000000001408</v>
      </c>
    </row>
    <row r="805" spans="1:22" x14ac:dyDescent="0.25">
      <c r="A805" s="1">
        <v>804</v>
      </c>
      <c r="B805" s="4">
        <v>7500</v>
      </c>
      <c r="C805" s="4">
        <v>127.39999999999999</v>
      </c>
      <c r="D805" s="4">
        <v>127.6</v>
      </c>
      <c r="E805" s="4">
        <f t="shared" si="470"/>
        <v>0.20000000000000284</v>
      </c>
      <c r="F805" s="4">
        <v>0</v>
      </c>
      <c r="G805" s="4">
        <v>0.94</v>
      </c>
      <c r="H805" s="4">
        <v>79</v>
      </c>
      <c r="I805" s="4"/>
      <c r="J805" s="4">
        <v>50</v>
      </c>
      <c r="K805"/>
      <c r="L805"/>
      <c r="M805" s="4">
        <f t="shared" si="471"/>
        <v>127.6</v>
      </c>
      <c r="N805" s="4"/>
      <c r="O805" s="1">
        <f t="shared" si="472"/>
        <v>127.39999999999999</v>
      </c>
      <c r="P805" s="1">
        <f t="shared" si="473"/>
        <v>0</v>
      </c>
      <c r="Q805" s="1" t="str">
        <f t="shared" si="469"/>
        <v/>
      </c>
      <c r="R805" s="1" t="str">
        <f t="shared" si="474"/>
        <v/>
      </c>
      <c r="S805" s="1">
        <f t="shared" si="475"/>
        <v>636.02400000000273</v>
      </c>
      <c r="T805" s="1">
        <f t="shared" si="476"/>
        <v>0.94</v>
      </c>
      <c r="U805" s="1">
        <f t="shared" si="477"/>
        <v>1056.000000000015</v>
      </c>
      <c r="V805" s="1">
        <f t="shared" si="478"/>
        <v>992.64000000001408</v>
      </c>
    </row>
    <row r="806" spans="1:22" x14ac:dyDescent="0.25">
      <c r="A806" s="1">
        <v>805</v>
      </c>
      <c r="B806" s="4">
        <v>7500</v>
      </c>
      <c r="C806" s="4">
        <v>127.6</v>
      </c>
      <c r="D806" s="4">
        <v>127.69999999999999</v>
      </c>
      <c r="E806" s="4">
        <f t="shared" si="470"/>
        <v>9.9999999999994316E-2</v>
      </c>
      <c r="F806" s="4">
        <v>0</v>
      </c>
      <c r="G806" s="4">
        <v>1</v>
      </c>
      <c r="H806" s="4">
        <v>79</v>
      </c>
      <c r="I806" s="4"/>
      <c r="J806" s="4">
        <v>50</v>
      </c>
      <c r="K806"/>
      <c r="L806"/>
      <c r="M806" s="4">
        <f t="shared" si="471"/>
        <v>127.69999999999999</v>
      </c>
      <c r="N806" s="4"/>
      <c r="O806" s="1">
        <f t="shared" si="472"/>
        <v>127.6</v>
      </c>
      <c r="P806" s="1">
        <f t="shared" si="473"/>
        <v>0</v>
      </c>
      <c r="Q806" s="1" t="str">
        <f t="shared" si="469"/>
        <v/>
      </c>
      <c r="R806" s="1" t="str">
        <f t="shared" si="474"/>
        <v/>
      </c>
      <c r="S806" s="1">
        <f t="shared" si="475"/>
        <v>645.9504000000029</v>
      </c>
      <c r="T806" s="1">
        <f t="shared" si="476"/>
        <v>1</v>
      </c>
      <c r="U806" s="1">
        <f t="shared" si="477"/>
        <v>527.99999999996999</v>
      </c>
      <c r="V806" s="1">
        <f t="shared" si="478"/>
        <v>527.99999999996999</v>
      </c>
    </row>
    <row r="807" spans="1:22" x14ac:dyDescent="0.25">
      <c r="A807" s="1">
        <v>806</v>
      </c>
      <c r="B807" s="4">
        <v>7500</v>
      </c>
      <c r="C807" s="4">
        <v>127.69999999999999</v>
      </c>
      <c r="D807" s="4">
        <v>127.89999999999999</v>
      </c>
      <c r="E807" s="4">
        <f t="shared" si="470"/>
        <v>0.20000000000000284</v>
      </c>
      <c r="F807" s="4">
        <v>0</v>
      </c>
      <c r="G807" s="4">
        <v>0.9</v>
      </c>
      <c r="H807" s="4">
        <v>79</v>
      </c>
      <c r="I807" s="4"/>
      <c r="J807" s="4">
        <v>50</v>
      </c>
      <c r="K807"/>
      <c r="L807"/>
      <c r="M807" s="4">
        <f t="shared" si="471"/>
        <v>127.89999999999999</v>
      </c>
      <c r="N807" s="4"/>
      <c r="O807" s="1">
        <f t="shared" si="472"/>
        <v>127.69999999999999</v>
      </c>
      <c r="P807" s="1">
        <f t="shared" si="473"/>
        <v>0</v>
      </c>
      <c r="Q807" s="1" t="str">
        <f t="shared" si="469"/>
        <v/>
      </c>
      <c r="R807" s="1" t="str">
        <f t="shared" si="474"/>
        <v/>
      </c>
      <c r="S807" s="1">
        <f t="shared" si="475"/>
        <v>651.23040000000265</v>
      </c>
      <c r="T807" s="1">
        <f t="shared" si="476"/>
        <v>0.9</v>
      </c>
      <c r="U807" s="1">
        <f t="shared" si="477"/>
        <v>1056.000000000015</v>
      </c>
      <c r="V807" s="1">
        <f t="shared" si="478"/>
        <v>950.40000000001351</v>
      </c>
    </row>
    <row r="808" spans="1:22" x14ac:dyDescent="0.25">
      <c r="A808" s="1">
        <v>807</v>
      </c>
      <c r="B808" s="4">
        <v>7500</v>
      </c>
      <c r="C808" s="4">
        <v>127.89999999999999</v>
      </c>
      <c r="D808" s="4">
        <v>128</v>
      </c>
      <c r="E808" s="4">
        <f t="shared" si="470"/>
        <v>0.10000000000000853</v>
      </c>
      <c r="F808" s="4">
        <v>0</v>
      </c>
      <c r="G808" s="4">
        <v>0.85</v>
      </c>
      <c r="H808" s="4">
        <v>79</v>
      </c>
      <c r="I808" s="4"/>
      <c r="J808" s="4">
        <v>50</v>
      </c>
      <c r="K808"/>
      <c r="L808"/>
      <c r="M808" s="4">
        <f t="shared" si="471"/>
        <v>128</v>
      </c>
      <c r="N808" s="4"/>
      <c r="O808" s="1">
        <f t="shared" si="472"/>
        <v>127.89999999999999</v>
      </c>
      <c r="P808" s="1">
        <f t="shared" si="473"/>
        <v>0</v>
      </c>
      <c r="Q808" s="1" t="str">
        <f t="shared" si="469"/>
        <v/>
      </c>
      <c r="R808" s="1" t="str">
        <f t="shared" si="474"/>
        <v/>
      </c>
      <c r="S808" s="1">
        <f t="shared" si="475"/>
        <v>660.73440000000278</v>
      </c>
      <c r="T808" s="1">
        <f t="shared" si="476"/>
        <v>0.85</v>
      </c>
      <c r="U808" s="1">
        <f t="shared" si="477"/>
        <v>528.00000000004502</v>
      </c>
      <c r="V808" s="1">
        <f t="shared" si="478"/>
        <v>448.80000000003827</v>
      </c>
    </row>
    <row r="809" spans="1:22" x14ac:dyDescent="0.25">
      <c r="A809" s="1">
        <v>808</v>
      </c>
      <c r="B809" s="4">
        <v>7500</v>
      </c>
      <c r="C809" s="4">
        <v>128</v>
      </c>
      <c r="D809" s="4">
        <v>128.1</v>
      </c>
      <c r="E809" s="4">
        <f t="shared" si="470"/>
        <v>9.9999999999994316E-2</v>
      </c>
      <c r="F809" s="4">
        <v>0</v>
      </c>
      <c r="G809" s="4">
        <v>0.77</v>
      </c>
      <c r="H809" s="4">
        <v>79</v>
      </c>
      <c r="I809" s="4"/>
      <c r="J809" s="4">
        <v>50</v>
      </c>
      <c r="K809"/>
      <c r="L809"/>
      <c r="M809" s="4">
        <f t="shared" si="471"/>
        <v>128.1</v>
      </c>
      <c r="N809" s="4"/>
      <c r="O809" s="1">
        <f t="shared" si="472"/>
        <v>128</v>
      </c>
      <c r="P809" s="1">
        <f t="shared" si="473"/>
        <v>0</v>
      </c>
      <c r="Q809" s="1" t="str">
        <f t="shared" si="469"/>
        <v/>
      </c>
      <c r="R809" s="1" t="str">
        <f t="shared" si="474"/>
        <v/>
      </c>
      <c r="S809" s="1">
        <f t="shared" si="475"/>
        <v>665.22240000000318</v>
      </c>
      <c r="T809" s="1">
        <f t="shared" si="476"/>
        <v>0.77</v>
      </c>
      <c r="U809" s="1">
        <f t="shared" si="477"/>
        <v>527.99999999996999</v>
      </c>
      <c r="V809" s="1">
        <f t="shared" si="478"/>
        <v>406.55999999997692</v>
      </c>
    </row>
    <row r="810" spans="1:22" x14ac:dyDescent="0.25">
      <c r="A810" s="1">
        <v>809</v>
      </c>
      <c r="B810" s="4">
        <v>7500</v>
      </c>
      <c r="C810" s="4">
        <v>128.1</v>
      </c>
      <c r="D810" s="4">
        <v>128.19999999999999</v>
      </c>
      <c r="E810" s="4">
        <f t="shared" si="470"/>
        <v>9.9999999999994316E-2</v>
      </c>
      <c r="F810" s="4">
        <v>0</v>
      </c>
      <c r="G810" s="4">
        <v>0.62</v>
      </c>
      <c r="H810" s="4">
        <v>79</v>
      </c>
      <c r="I810" s="4"/>
      <c r="J810" s="4">
        <v>50</v>
      </c>
      <c r="K810"/>
      <c r="L810"/>
      <c r="M810" s="4">
        <f t="shared" si="471"/>
        <v>128.19999999999999</v>
      </c>
      <c r="N810" s="4"/>
      <c r="O810" s="1">
        <f t="shared" si="472"/>
        <v>128.1</v>
      </c>
      <c r="P810" s="1">
        <f t="shared" si="473"/>
        <v>0</v>
      </c>
      <c r="Q810" s="1" t="str">
        <f t="shared" si="469"/>
        <v/>
      </c>
      <c r="R810" s="1" t="str">
        <f t="shared" si="474"/>
        <v/>
      </c>
      <c r="S810" s="1">
        <f t="shared" si="475"/>
        <v>669.28800000000297</v>
      </c>
      <c r="T810" s="1">
        <f t="shared" si="476"/>
        <v>0.62</v>
      </c>
      <c r="U810" s="1">
        <f t="shared" si="477"/>
        <v>527.99999999996999</v>
      </c>
      <c r="V810" s="1">
        <f t="shared" si="478"/>
        <v>327.35999999998137</v>
      </c>
    </row>
    <row r="811" spans="1:22" x14ac:dyDescent="0.25">
      <c r="A811" s="1">
        <v>810</v>
      </c>
      <c r="B811" s="4">
        <v>7500</v>
      </c>
      <c r="C811" s="4">
        <v>128.19999999999999</v>
      </c>
      <c r="D811" s="4">
        <v>128.29999999999998</v>
      </c>
      <c r="E811" s="4">
        <f t="shared" si="470"/>
        <v>9.9999999999994316E-2</v>
      </c>
      <c r="F811" s="4">
        <v>0</v>
      </c>
      <c r="G811" s="4">
        <v>0.54</v>
      </c>
      <c r="H811" s="4">
        <v>79</v>
      </c>
      <c r="I811" s="4"/>
      <c r="J811" s="4">
        <v>50</v>
      </c>
      <c r="K811"/>
      <c r="L811"/>
      <c r="M811" s="4">
        <f t="shared" si="471"/>
        <v>128.29999999999998</v>
      </c>
      <c r="N811" s="4"/>
      <c r="O811" s="1">
        <f t="shared" si="472"/>
        <v>128.19999999999999</v>
      </c>
      <c r="P811" s="1">
        <f t="shared" si="473"/>
        <v>0</v>
      </c>
      <c r="Q811" s="1" t="str">
        <f t="shared" si="469"/>
        <v/>
      </c>
      <c r="R811" s="1" t="str">
        <f t="shared" si="474"/>
        <v/>
      </c>
      <c r="S811" s="1">
        <f t="shared" si="475"/>
        <v>672.56160000000273</v>
      </c>
      <c r="T811" s="1">
        <f t="shared" si="476"/>
        <v>0.54</v>
      </c>
      <c r="U811" s="1">
        <f t="shared" si="477"/>
        <v>527.99999999996999</v>
      </c>
      <c r="V811" s="1">
        <f t="shared" si="478"/>
        <v>285.1199999999838</v>
      </c>
    </row>
    <row r="812" spans="1:22" x14ac:dyDescent="0.25">
      <c r="A812" s="1">
        <v>811</v>
      </c>
      <c r="B812" s="4">
        <v>7500</v>
      </c>
      <c r="C812" s="4">
        <v>128.29999999999998</v>
      </c>
      <c r="D812" s="4">
        <v>128.4</v>
      </c>
      <c r="E812" s="4">
        <f t="shared" si="470"/>
        <v>0.10000000000002274</v>
      </c>
      <c r="F812" s="4">
        <v>0</v>
      </c>
      <c r="G812" s="4">
        <v>0.71</v>
      </c>
      <c r="H812" s="4">
        <v>79</v>
      </c>
      <c r="I812" s="4"/>
      <c r="J812" s="4">
        <v>50</v>
      </c>
      <c r="K812"/>
      <c r="L812"/>
      <c r="M812" s="4">
        <f t="shared" si="471"/>
        <v>128.4</v>
      </c>
      <c r="N812" s="4"/>
      <c r="O812" s="1">
        <f t="shared" si="472"/>
        <v>128.29999999999998</v>
      </c>
      <c r="P812" s="1">
        <f t="shared" si="473"/>
        <v>0</v>
      </c>
      <c r="Q812" s="1" t="str">
        <f t="shared" si="469"/>
        <v/>
      </c>
      <c r="R812" s="1" t="str">
        <f t="shared" si="474"/>
        <v/>
      </c>
      <c r="S812" s="1">
        <f t="shared" si="475"/>
        <v>675.41280000000256</v>
      </c>
      <c r="T812" s="1">
        <f t="shared" si="476"/>
        <v>0.71</v>
      </c>
      <c r="U812" s="1">
        <f t="shared" si="477"/>
        <v>528.00000000012005</v>
      </c>
      <c r="V812" s="1">
        <f t="shared" si="478"/>
        <v>374.8800000000852</v>
      </c>
    </row>
    <row r="813" spans="1:22" x14ac:dyDescent="0.25">
      <c r="A813" s="1">
        <v>812</v>
      </c>
      <c r="B813" s="4">
        <v>7500</v>
      </c>
      <c r="C813" s="4">
        <v>128.4</v>
      </c>
      <c r="D813" s="4">
        <v>128.5</v>
      </c>
      <c r="E813" s="4">
        <f t="shared" si="470"/>
        <v>9.9999999999994316E-2</v>
      </c>
      <c r="F813" s="4">
        <v>0</v>
      </c>
      <c r="G813" s="4">
        <v>0.71</v>
      </c>
      <c r="H813" s="4">
        <v>79</v>
      </c>
      <c r="I813" s="4"/>
      <c r="J813" s="4">
        <v>50</v>
      </c>
      <c r="K813"/>
      <c r="L813"/>
      <c r="M813" s="4">
        <f t="shared" si="471"/>
        <v>128.5</v>
      </c>
      <c r="N813" s="4"/>
      <c r="O813" s="1">
        <f t="shared" si="472"/>
        <v>128.4</v>
      </c>
      <c r="P813" s="1">
        <f t="shared" si="473"/>
        <v>0</v>
      </c>
      <c r="Q813" s="1" t="str">
        <f t="shared" si="469"/>
        <v/>
      </c>
      <c r="R813" s="1" t="str">
        <f t="shared" si="474"/>
        <v/>
      </c>
      <c r="S813" s="1">
        <f t="shared" si="475"/>
        <v>679.16160000000343</v>
      </c>
      <c r="T813" s="1">
        <f t="shared" si="476"/>
        <v>0.71</v>
      </c>
      <c r="U813" s="1">
        <f t="shared" si="477"/>
        <v>527.99999999996999</v>
      </c>
      <c r="V813" s="1">
        <f t="shared" si="478"/>
        <v>374.87999999997868</v>
      </c>
    </row>
    <row r="814" spans="1:22" x14ac:dyDescent="0.25">
      <c r="A814" s="1">
        <v>813</v>
      </c>
      <c r="B814" s="4">
        <v>7500</v>
      </c>
      <c r="C814" s="4">
        <v>128.5</v>
      </c>
      <c r="D814" s="4">
        <v>128.6</v>
      </c>
      <c r="E814" s="4">
        <f t="shared" si="470"/>
        <v>9.9999999999994316E-2</v>
      </c>
      <c r="F814" s="4">
        <v>0</v>
      </c>
      <c r="G814" s="4">
        <v>0.57999999999999996</v>
      </c>
      <c r="H814" s="4">
        <v>79</v>
      </c>
      <c r="I814" s="4"/>
      <c r="J814" s="4">
        <v>50</v>
      </c>
      <c r="K814"/>
      <c r="L814"/>
      <c r="M814" s="4">
        <f t="shared" si="471"/>
        <v>128.6</v>
      </c>
      <c r="N814" s="4"/>
      <c r="O814" s="1">
        <f t="shared" si="472"/>
        <v>128.5</v>
      </c>
      <c r="P814" s="1">
        <f t="shared" si="473"/>
        <v>0</v>
      </c>
      <c r="Q814" s="1" t="str">
        <f t="shared" si="469"/>
        <v/>
      </c>
      <c r="R814" s="1" t="str">
        <f t="shared" si="474"/>
        <v/>
      </c>
      <c r="S814" s="1">
        <f t="shared" si="475"/>
        <v>682.91040000000316</v>
      </c>
      <c r="T814" s="1">
        <f t="shared" si="476"/>
        <v>0.57999999999999996</v>
      </c>
      <c r="U814" s="1">
        <f t="shared" si="477"/>
        <v>527.99999999996999</v>
      </c>
      <c r="V814" s="1">
        <f t="shared" si="478"/>
        <v>306.23999999998256</v>
      </c>
    </row>
    <row r="815" spans="1:22" x14ac:dyDescent="0.25">
      <c r="A815" s="1">
        <v>814</v>
      </c>
      <c r="B815" s="4">
        <v>7500</v>
      </c>
      <c r="C815" s="4">
        <v>128.6</v>
      </c>
      <c r="D815" s="4">
        <v>128.69999999999999</v>
      </c>
      <c r="E815" s="4">
        <f t="shared" si="470"/>
        <v>9.9999999999994316E-2</v>
      </c>
      <c r="F815" s="4">
        <v>0</v>
      </c>
      <c r="G815" s="4">
        <v>0.51</v>
      </c>
      <c r="H815" s="4">
        <v>79</v>
      </c>
      <c r="I815" s="4"/>
      <c r="J815" s="4">
        <v>50</v>
      </c>
      <c r="K815"/>
      <c r="L815"/>
      <c r="M815" s="4">
        <f t="shared" si="471"/>
        <v>128.69999999999999</v>
      </c>
      <c r="N815" s="4"/>
      <c r="O815" s="1">
        <f t="shared" si="472"/>
        <v>128.6</v>
      </c>
      <c r="P815" s="1">
        <f t="shared" si="473"/>
        <v>0</v>
      </c>
      <c r="Q815" s="1" t="str">
        <f t="shared" si="469"/>
        <v/>
      </c>
      <c r="R815" s="1" t="str">
        <f t="shared" si="474"/>
        <v/>
      </c>
      <c r="S815" s="1">
        <f t="shared" si="475"/>
        <v>685.97280000000296</v>
      </c>
      <c r="T815" s="1">
        <f t="shared" si="476"/>
        <v>0.51</v>
      </c>
      <c r="U815" s="1">
        <f t="shared" si="477"/>
        <v>527.99999999996999</v>
      </c>
      <c r="V815" s="1">
        <f t="shared" si="478"/>
        <v>269.27999999998468</v>
      </c>
    </row>
    <row r="816" spans="1:22" x14ac:dyDescent="0.25">
      <c r="A816" s="1">
        <v>815</v>
      </c>
      <c r="B816" s="4">
        <v>7500</v>
      </c>
      <c r="C816" s="4">
        <v>128.69999999999999</v>
      </c>
      <c r="D816" s="4">
        <v>128.9</v>
      </c>
      <c r="E816" s="4">
        <f t="shared" si="470"/>
        <v>0.20000000000001705</v>
      </c>
      <c r="F816" s="4">
        <v>0</v>
      </c>
      <c r="G816" s="4">
        <v>-0.23</v>
      </c>
      <c r="H816" s="4">
        <v>79</v>
      </c>
      <c r="I816" s="4"/>
      <c r="J816" s="4">
        <v>50</v>
      </c>
      <c r="K816"/>
      <c r="L816"/>
      <c r="M816" s="4">
        <f t="shared" si="471"/>
        <v>128.9</v>
      </c>
      <c r="N816" s="4"/>
      <c r="O816" s="1">
        <f t="shared" si="472"/>
        <v>128.69999999999999</v>
      </c>
      <c r="P816" s="1">
        <f t="shared" si="473"/>
        <v>0</v>
      </c>
      <c r="Q816" s="1" t="str">
        <f t="shared" si="469"/>
        <v/>
      </c>
      <c r="R816" s="1" t="str">
        <f t="shared" si="474"/>
        <v/>
      </c>
      <c r="S816" s="1">
        <f t="shared" si="475"/>
        <v>688.66560000000277</v>
      </c>
      <c r="T816" s="1">
        <f t="shared" si="476"/>
        <v>-0.23</v>
      </c>
      <c r="U816" s="1">
        <f t="shared" si="477"/>
        <v>1056.00000000009</v>
      </c>
      <c r="V816" s="1">
        <f t="shared" si="478"/>
        <v>242.88000000002071</v>
      </c>
    </row>
    <row r="817" spans="1:22" x14ac:dyDescent="0.25">
      <c r="A817" s="1">
        <v>816</v>
      </c>
      <c r="B817" s="4">
        <v>7500</v>
      </c>
      <c r="C817" s="4">
        <v>128.9</v>
      </c>
      <c r="D817" s="4">
        <v>129</v>
      </c>
      <c r="E817" s="4">
        <f t="shared" si="470"/>
        <v>9.9999999999994316E-2</v>
      </c>
      <c r="F817" s="4">
        <v>0</v>
      </c>
      <c r="G817" s="4">
        <v>-0.47</v>
      </c>
      <c r="H817" s="4">
        <v>79</v>
      </c>
      <c r="I817" s="4"/>
      <c r="J817" s="4">
        <v>50</v>
      </c>
      <c r="K817"/>
      <c r="L817"/>
      <c r="M817" s="4">
        <f t="shared" si="471"/>
        <v>129</v>
      </c>
      <c r="N817" s="4"/>
      <c r="O817" s="1">
        <f t="shared" si="472"/>
        <v>128.9</v>
      </c>
      <c r="P817" s="1">
        <f t="shared" si="473"/>
        <v>0</v>
      </c>
      <c r="Q817" s="1" t="str">
        <f t="shared" si="469"/>
        <v/>
      </c>
      <c r="R817" s="1" t="str">
        <f t="shared" si="474"/>
        <v/>
      </c>
      <c r="S817" s="1">
        <f t="shared" si="475"/>
        <v>686.23680000000252</v>
      </c>
      <c r="T817" s="1">
        <f t="shared" si="476"/>
        <v>-0.47</v>
      </c>
      <c r="U817" s="1">
        <f t="shared" si="477"/>
        <v>527.99999999996999</v>
      </c>
      <c r="V817" s="1">
        <f t="shared" si="478"/>
        <v>248.15999999998587</v>
      </c>
    </row>
    <row r="818" spans="1:22" x14ac:dyDescent="0.25">
      <c r="A818" s="1">
        <v>817</v>
      </c>
      <c r="B818" s="4">
        <v>7500</v>
      </c>
      <c r="C818" s="4">
        <v>129</v>
      </c>
      <c r="D818" s="4">
        <v>129.1</v>
      </c>
      <c r="E818" s="4">
        <f t="shared" si="470"/>
        <v>9.9999999999994316E-2</v>
      </c>
      <c r="F818" s="4">
        <v>0</v>
      </c>
      <c r="G818" s="4">
        <v>0.13</v>
      </c>
      <c r="H818" s="4">
        <v>79</v>
      </c>
      <c r="I818" s="4"/>
      <c r="J818" s="4">
        <v>50</v>
      </c>
      <c r="K818"/>
      <c r="L818"/>
      <c r="M818" s="4">
        <f t="shared" si="471"/>
        <v>129.1</v>
      </c>
      <c r="N818" s="4"/>
      <c r="O818" s="1">
        <f t="shared" si="472"/>
        <v>129</v>
      </c>
      <c r="P818" s="1">
        <f t="shared" si="473"/>
        <v>0</v>
      </c>
      <c r="Q818" s="1" t="str">
        <f t="shared" si="469"/>
        <v/>
      </c>
      <c r="R818" s="1" t="str">
        <f t="shared" si="474"/>
        <v/>
      </c>
      <c r="S818" s="1">
        <f t="shared" si="475"/>
        <v>683.75520000000267</v>
      </c>
      <c r="T818" s="1">
        <f t="shared" si="476"/>
        <v>0.13</v>
      </c>
      <c r="U818" s="1">
        <f t="shared" si="477"/>
        <v>527.99999999996999</v>
      </c>
      <c r="V818" s="1">
        <f t="shared" si="478"/>
        <v>68.639999999996107</v>
      </c>
    </row>
    <row r="819" spans="1:22" x14ac:dyDescent="0.25">
      <c r="A819" s="1">
        <v>818</v>
      </c>
      <c r="B819" s="4">
        <v>7500</v>
      </c>
      <c r="C819" s="4">
        <v>129.1</v>
      </c>
      <c r="D819" s="4">
        <v>129.29999999999998</v>
      </c>
      <c r="E819" s="4">
        <f t="shared" si="470"/>
        <v>0.19999999999998863</v>
      </c>
      <c r="F819" s="4">
        <v>1.5</v>
      </c>
      <c r="G819" s="4">
        <v>0.14000000000000001</v>
      </c>
      <c r="H819" s="4">
        <v>79</v>
      </c>
      <c r="I819" s="4"/>
      <c r="J819" s="4">
        <v>50</v>
      </c>
      <c r="K819"/>
      <c r="L819"/>
      <c r="M819" s="4">
        <f t="shared" si="471"/>
        <v>129.29999999999998</v>
      </c>
      <c r="N819" s="4"/>
      <c r="O819" s="1">
        <f t="shared" si="472"/>
        <v>129.1</v>
      </c>
      <c r="P819" s="1">
        <f t="shared" si="473"/>
        <v>15.839999999999097</v>
      </c>
      <c r="Q819" s="1" t="str">
        <f t="shared" si="469"/>
        <v/>
      </c>
      <c r="R819" s="1" t="str">
        <f t="shared" si="474"/>
        <v/>
      </c>
      <c r="S819" s="1">
        <f t="shared" si="475"/>
        <v>684.44160000000261</v>
      </c>
      <c r="T819" s="1">
        <f t="shared" si="476"/>
        <v>0.14000000000000001</v>
      </c>
      <c r="U819" s="1">
        <f t="shared" si="477"/>
        <v>1055.99999999994</v>
      </c>
      <c r="V819" s="1">
        <f t="shared" si="478"/>
        <v>147.83999999999162</v>
      </c>
    </row>
    <row r="820" spans="1:22" x14ac:dyDescent="0.25">
      <c r="A820" s="1">
        <v>819</v>
      </c>
      <c r="B820" s="4">
        <v>7500</v>
      </c>
      <c r="C820" s="4">
        <v>129.29999999999998</v>
      </c>
      <c r="D820" s="4">
        <v>129.4</v>
      </c>
      <c r="E820" s="4">
        <f t="shared" si="470"/>
        <v>0.10000000000002274</v>
      </c>
      <c r="F820" s="4">
        <v>1.4</v>
      </c>
      <c r="G820" s="4">
        <v>-0.39</v>
      </c>
      <c r="H820" s="4">
        <v>79</v>
      </c>
      <c r="I820" s="4"/>
      <c r="J820" s="4">
        <v>50</v>
      </c>
      <c r="K820"/>
      <c r="L820"/>
      <c r="M820" s="4">
        <f t="shared" si="471"/>
        <v>129.4</v>
      </c>
      <c r="N820" s="4"/>
      <c r="O820" s="1">
        <f t="shared" si="472"/>
        <v>129.29999999999998</v>
      </c>
      <c r="P820" s="1">
        <f t="shared" si="473"/>
        <v>7.3920000000016799</v>
      </c>
      <c r="Q820" s="1" t="str">
        <f t="shared" si="469"/>
        <v/>
      </c>
      <c r="R820" s="1" t="str">
        <f t="shared" si="474"/>
        <v/>
      </c>
      <c r="S820" s="1">
        <f t="shared" si="475"/>
        <v>685.92000000000257</v>
      </c>
      <c r="T820" s="1">
        <f t="shared" si="476"/>
        <v>-0.39</v>
      </c>
      <c r="U820" s="1">
        <f t="shared" si="477"/>
        <v>528.00000000012005</v>
      </c>
      <c r="V820" s="1">
        <f t="shared" si="478"/>
        <v>205.92000000004683</v>
      </c>
    </row>
    <row r="821" spans="1:22" x14ac:dyDescent="0.25">
      <c r="A821" s="1">
        <v>820</v>
      </c>
      <c r="B821" s="4">
        <v>7500</v>
      </c>
      <c r="C821" s="4">
        <v>129.4</v>
      </c>
      <c r="D821" s="4">
        <v>129.5</v>
      </c>
      <c r="E821" s="4">
        <f t="shared" si="470"/>
        <v>9.9999999999994316E-2</v>
      </c>
      <c r="F821" s="4">
        <v>0</v>
      </c>
      <c r="G821" s="4">
        <v>-0.39</v>
      </c>
      <c r="H821" s="4">
        <v>79</v>
      </c>
      <c r="I821" s="4"/>
      <c r="J821" s="4">
        <v>50</v>
      </c>
      <c r="K821"/>
      <c r="L821"/>
      <c r="M821" s="4">
        <f t="shared" si="471"/>
        <v>129.5</v>
      </c>
      <c r="N821" s="4"/>
      <c r="O821" s="1">
        <f t="shared" si="472"/>
        <v>129.4</v>
      </c>
      <c r="P821" s="1">
        <f t="shared" si="473"/>
        <v>0</v>
      </c>
      <c r="Q821" s="1" t="str">
        <f t="shared" si="469"/>
        <v/>
      </c>
      <c r="R821" s="1" t="str">
        <f t="shared" si="474"/>
        <v/>
      </c>
      <c r="S821" s="1">
        <f t="shared" si="475"/>
        <v>683.86080000000209</v>
      </c>
      <c r="T821" s="1">
        <f t="shared" si="476"/>
        <v>-0.39</v>
      </c>
      <c r="U821" s="1">
        <f t="shared" si="477"/>
        <v>527.99999999996999</v>
      </c>
      <c r="V821" s="1">
        <f t="shared" si="478"/>
        <v>205.91999999998831</v>
      </c>
    </row>
    <row r="822" spans="1:22" x14ac:dyDescent="0.25">
      <c r="A822" s="1">
        <v>821</v>
      </c>
      <c r="B822" s="4">
        <v>7500</v>
      </c>
      <c r="C822" s="4">
        <v>129.5</v>
      </c>
      <c r="D822" s="4">
        <v>129.6</v>
      </c>
      <c r="E822" s="4">
        <f t="shared" si="470"/>
        <v>9.9999999999994316E-2</v>
      </c>
      <c r="F822" s="4">
        <v>0</v>
      </c>
      <c r="G822" s="4">
        <v>-0.06</v>
      </c>
      <c r="H822" s="4">
        <v>79</v>
      </c>
      <c r="I822" s="4"/>
      <c r="J822" s="4">
        <v>50</v>
      </c>
      <c r="K822"/>
      <c r="L822"/>
      <c r="M822" s="4">
        <f t="shared" si="471"/>
        <v>129.6</v>
      </c>
      <c r="N822" s="4"/>
      <c r="O822" s="1">
        <f t="shared" si="472"/>
        <v>129.5</v>
      </c>
      <c r="P822" s="1">
        <f t="shared" si="473"/>
        <v>0</v>
      </c>
      <c r="Q822" s="1" t="str">
        <f t="shared" si="469"/>
        <v/>
      </c>
      <c r="R822" s="1" t="str">
        <f t="shared" si="474"/>
        <v/>
      </c>
      <c r="S822" s="1">
        <f t="shared" si="475"/>
        <v>681.80160000000217</v>
      </c>
      <c r="T822" s="1">
        <f t="shared" si="476"/>
        <v>-0.06</v>
      </c>
      <c r="U822" s="1">
        <f t="shared" si="477"/>
        <v>527.99999999996999</v>
      </c>
      <c r="V822" s="1">
        <f t="shared" si="478"/>
        <v>31.679999999998198</v>
      </c>
    </row>
    <row r="823" spans="1:22" x14ac:dyDescent="0.25">
      <c r="A823" s="1">
        <v>822</v>
      </c>
      <c r="B823" s="4">
        <v>7500</v>
      </c>
      <c r="C823" s="4">
        <v>129.6</v>
      </c>
      <c r="D823" s="4">
        <v>129.69999999999999</v>
      </c>
      <c r="E823" s="4">
        <f t="shared" si="470"/>
        <v>9.9999999999994316E-2</v>
      </c>
      <c r="F823" s="4">
        <v>0</v>
      </c>
      <c r="G823" s="4">
        <v>-0.25</v>
      </c>
      <c r="H823" s="4">
        <v>79</v>
      </c>
      <c r="I823" s="4"/>
      <c r="J823" s="4">
        <v>50</v>
      </c>
      <c r="K823"/>
      <c r="L823"/>
      <c r="M823" s="4">
        <f t="shared" si="471"/>
        <v>129.69999999999999</v>
      </c>
      <c r="N823" s="4"/>
      <c r="O823" s="1">
        <f t="shared" si="472"/>
        <v>129.6</v>
      </c>
      <c r="P823" s="1">
        <f t="shared" si="473"/>
        <v>0</v>
      </c>
      <c r="Q823" s="1" t="str">
        <f t="shared" si="469"/>
        <v/>
      </c>
      <c r="R823" s="1" t="str">
        <f t="shared" si="474"/>
        <v/>
      </c>
      <c r="S823" s="1">
        <f t="shared" si="475"/>
        <v>681.48480000000222</v>
      </c>
      <c r="T823" s="1">
        <f t="shared" si="476"/>
        <v>-0.25</v>
      </c>
      <c r="U823" s="1">
        <f t="shared" si="477"/>
        <v>527.99999999996999</v>
      </c>
      <c r="V823" s="1">
        <f t="shared" si="478"/>
        <v>131.9999999999925</v>
      </c>
    </row>
    <row r="824" spans="1:22" x14ac:dyDescent="0.25">
      <c r="A824" s="1">
        <v>823</v>
      </c>
      <c r="B824" s="4">
        <v>7500</v>
      </c>
      <c r="C824" s="4">
        <v>129.69999999999999</v>
      </c>
      <c r="D824" s="4">
        <v>129.9</v>
      </c>
      <c r="E824" s="4">
        <f t="shared" si="470"/>
        <v>0.20000000000001705</v>
      </c>
      <c r="F824" s="4">
        <v>0</v>
      </c>
      <c r="G824" s="4">
        <v>-0.08</v>
      </c>
      <c r="H824" s="4">
        <v>79</v>
      </c>
      <c r="I824" s="4"/>
      <c r="J824" s="4">
        <v>50</v>
      </c>
      <c r="K824"/>
      <c r="L824"/>
      <c r="M824" s="4">
        <f t="shared" si="471"/>
        <v>129.9</v>
      </c>
      <c r="N824" s="4"/>
      <c r="O824" s="1">
        <f t="shared" si="472"/>
        <v>129.69999999999999</v>
      </c>
      <c r="P824" s="1">
        <f t="shared" si="473"/>
        <v>0</v>
      </c>
      <c r="Q824" s="1" t="str">
        <f t="shared" si="469"/>
        <v/>
      </c>
      <c r="R824" s="1" t="str">
        <f t="shared" si="474"/>
        <v/>
      </c>
      <c r="S824" s="1">
        <f t="shared" si="475"/>
        <v>680.16480000000229</v>
      </c>
      <c r="T824" s="1">
        <f t="shared" si="476"/>
        <v>-0.08</v>
      </c>
      <c r="U824" s="1">
        <f t="shared" si="477"/>
        <v>1056.00000000009</v>
      </c>
      <c r="V824" s="1">
        <f t="shared" si="478"/>
        <v>84.480000000007209</v>
      </c>
    </row>
    <row r="825" spans="1:22" x14ac:dyDescent="0.25">
      <c r="A825" s="1">
        <v>824</v>
      </c>
      <c r="B825" s="4">
        <v>7500</v>
      </c>
      <c r="C825" s="4">
        <v>129.9</v>
      </c>
      <c r="D825" s="4">
        <v>130</v>
      </c>
      <c r="E825" s="4">
        <f t="shared" si="470"/>
        <v>9.9999999999994316E-2</v>
      </c>
      <c r="F825" s="4">
        <v>0</v>
      </c>
      <c r="G825" s="4">
        <v>0.23</v>
      </c>
      <c r="H825" s="4">
        <v>79</v>
      </c>
      <c r="I825" s="4"/>
      <c r="J825" s="4">
        <v>50</v>
      </c>
      <c r="K825"/>
      <c r="L825"/>
      <c r="M825" s="4">
        <f t="shared" si="471"/>
        <v>130</v>
      </c>
      <c r="N825" s="4"/>
      <c r="O825" s="1">
        <f t="shared" si="472"/>
        <v>129.9</v>
      </c>
      <c r="P825" s="1">
        <f t="shared" si="473"/>
        <v>0</v>
      </c>
      <c r="Q825" s="1" t="str">
        <f t="shared" si="469"/>
        <v/>
      </c>
      <c r="R825" s="1" t="str">
        <f t="shared" si="474"/>
        <v/>
      </c>
      <c r="S825" s="1">
        <f t="shared" si="475"/>
        <v>679.32000000000221</v>
      </c>
      <c r="T825" s="1">
        <f t="shared" si="476"/>
        <v>0.23</v>
      </c>
      <c r="U825" s="1">
        <f t="shared" si="477"/>
        <v>527.99999999996999</v>
      </c>
      <c r="V825" s="1">
        <f t="shared" si="478"/>
        <v>121.43999999999311</v>
      </c>
    </row>
    <row r="826" spans="1:22" x14ac:dyDescent="0.25">
      <c r="A826" s="1">
        <v>825</v>
      </c>
      <c r="B826" s="4">
        <v>7500</v>
      </c>
      <c r="C826" s="4">
        <v>130</v>
      </c>
      <c r="D826" s="4">
        <v>130.19999999999999</v>
      </c>
      <c r="E826" s="4">
        <f t="shared" si="470"/>
        <v>0.19999999999998863</v>
      </c>
      <c r="F826" s="4">
        <v>0</v>
      </c>
      <c r="G826" s="4">
        <v>0.11</v>
      </c>
      <c r="H826" s="4">
        <v>79</v>
      </c>
      <c r="I826" s="4"/>
      <c r="J826" s="4">
        <v>50</v>
      </c>
      <c r="K826"/>
      <c r="L826"/>
      <c r="M826" s="4">
        <f t="shared" si="471"/>
        <v>130.19999999999999</v>
      </c>
      <c r="N826" s="4"/>
      <c r="O826" s="1">
        <f t="shared" si="472"/>
        <v>130</v>
      </c>
      <c r="P826" s="1">
        <f t="shared" si="473"/>
        <v>0</v>
      </c>
      <c r="Q826" s="1" t="str">
        <f t="shared" si="469"/>
        <v/>
      </c>
      <c r="R826" s="1" t="str">
        <f t="shared" si="474"/>
        <v/>
      </c>
      <c r="S826" s="1">
        <f t="shared" si="475"/>
        <v>680.53440000000217</v>
      </c>
      <c r="T826" s="1">
        <f t="shared" si="476"/>
        <v>0.11</v>
      </c>
      <c r="U826" s="1">
        <f t="shared" si="477"/>
        <v>1055.99999999994</v>
      </c>
      <c r="V826" s="1">
        <f t="shared" si="478"/>
        <v>116.1599999999934</v>
      </c>
    </row>
    <row r="827" spans="1:22" x14ac:dyDescent="0.25">
      <c r="A827" s="1">
        <v>826</v>
      </c>
      <c r="B827" s="4">
        <v>7500</v>
      </c>
      <c r="C827" s="4">
        <v>130.19999999999999</v>
      </c>
      <c r="D827" s="4">
        <v>130.29999999999998</v>
      </c>
      <c r="E827" s="4">
        <f t="shared" si="470"/>
        <v>9.9999999999994316E-2</v>
      </c>
      <c r="F827" s="4">
        <v>0</v>
      </c>
      <c r="G827" s="4">
        <v>0.17</v>
      </c>
      <c r="H827" s="4">
        <v>79</v>
      </c>
      <c r="I827" s="4"/>
      <c r="J827" s="4">
        <v>50</v>
      </c>
      <c r="K827"/>
      <c r="L827"/>
      <c r="M827" s="4">
        <f t="shared" si="471"/>
        <v>130.29999999999998</v>
      </c>
      <c r="N827" s="4"/>
      <c r="O827" s="1">
        <f t="shared" si="472"/>
        <v>130.19999999999999</v>
      </c>
      <c r="P827" s="1">
        <f t="shared" si="473"/>
        <v>0</v>
      </c>
      <c r="Q827" s="1" t="str">
        <f t="shared" si="469"/>
        <v/>
      </c>
      <c r="R827" s="1" t="str">
        <f t="shared" si="474"/>
        <v/>
      </c>
      <c r="S827" s="1">
        <f t="shared" si="475"/>
        <v>681.69600000000207</v>
      </c>
      <c r="T827" s="1">
        <f t="shared" si="476"/>
        <v>0.17</v>
      </c>
      <c r="U827" s="1">
        <f t="shared" si="477"/>
        <v>527.99999999996999</v>
      </c>
      <c r="V827" s="1">
        <f t="shared" si="478"/>
        <v>89.759999999994903</v>
      </c>
    </row>
    <row r="828" spans="1:22" x14ac:dyDescent="0.25">
      <c r="A828" s="1">
        <v>827</v>
      </c>
      <c r="B828" s="4">
        <v>7500</v>
      </c>
      <c r="C828" s="4">
        <v>130.29999999999998</v>
      </c>
      <c r="D828" s="4">
        <v>130.4</v>
      </c>
      <c r="E828" s="4">
        <f t="shared" si="470"/>
        <v>0.10000000000002274</v>
      </c>
      <c r="F828" s="4">
        <v>0</v>
      </c>
      <c r="G828" s="4">
        <v>0.36</v>
      </c>
      <c r="H828" s="4">
        <v>79</v>
      </c>
      <c r="I828" s="4"/>
      <c r="J828" s="4">
        <v>50</v>
      </c>
      <c r="K828"/>
      <c r="L828"/>
      <c r="M828" s="4">
        <f t="shared" si="471"/>
        <v>130.4</v>
      </c>
      <c r="N828" s="4"/>
      <c r="O828" s="1">
        <f t="shared" si="472"/>
        <v>130.29999999999998</v>
      </c>
      <c r="P828" s="1">
        <f t="shared" si="473"/>
        <v>0</v>
      </c>
      <c r="Q828" s="1" t="str">
        <f t="shared" si="469"/>
        <v/>
      </c>
      <c r="R828" s="1" t="str">
        <f t="shared" si="474"/>
        <v/>
      </c>
      <c r="S828" s="1">
        <f t="shared" si="475"/>
        <v>682.59360000000197</v>
      </c>
      <c r="T828" s="1">
        <f t="shared" si="476"/>
        <v>0.36</v>
      </c>
      <c r="U828" s="1">
        <f t="shared" si="477"/>
        <v>528.00000000012005</v>
      </c>
      <c r="V828" s="1">
        <f t="shared" si="478"/>
        <v>190.08000000004321</v>
      </c>
    </row>
    <row r="829" spans="1:22" x14ac:dyDescent="0.25">
      <c r="A829" s="1">
        <v>828</v>
      </c>
      <c r="B829" s="4">
        <v>7500</v>
      </c>
      <c r="C829" s="4">
        <v>130.4</v>
      </c>
      <c r="D829" s="4">
        <v>130.5</v>
      </c>
      <c r="E829" s="4">
        <f t="shared" si="470"/>
        <v>9.9999999999994316E-2</v>
      </c>
      <c r="F829" s="4">
        <v>0</v>
      </c>
      <c r="G829" s="4">
        <v>0.39</v>
      </c>
      <c r="H829" s="4">
        <v>79</v>
      </c>
      <c r="I829" s="4"/>
      <c r="J829" s="4">
        <v>50</v>
      </c>
      <c r="K829"/>
      <c r="L829"/>
      <c r="M829" s="4">
        <f t="shared" si="471"/>
        <v>130.5</v>
      </c>
      <c r="N829" s="4"/>
      <c r="O829" s="1">
        <f t="shared" si="472"/>
        <v>130.4</v>
      </c>
      <c r="P829" s="1">
        <f t="shared" si="473"/>
        <v>0</v>
      </c>
      <c r="Q829" s="1" t="str">
        <f t="shared" si="469"/>
        <v/>
      </c>
      <c r="R829" s="1" t="str">
        <f t="shared" si="474"/>
        <v/>
      </c>
      <c r="S829" s="1">
        <f t="shared" si="475"/>
        <v>684.49440000000243</v>
      </c>
      <c r="T829" s="1">
        <f t="shared" si="476"/>
        <v>0.39</v>
      </c>
      <c r="U829" s="1">
        <f t="shared" si="477"/>
        <v>527.99999999996999</v>
      </c>
      <c r="V829" s="1">
        <f t="shared" si="478"/>
        <v>205.91999999998831</v>
      </c>
    </row>
    <row r="830" spans="1:22" x14ac:dyDescent="0.25">
      <c r="A830" s="1">
        <v>829</v>
      </c>
      <c r="B830" s="4">
        <v>7500</v>
      </c>
      <c r="C830" s="4">
        <v>130.5</v>
      </c>
      <c r="D830" s="4">
        <v>130.6</v>
      </c>
      <c r="E830" s="4">
        <f t="shared" si="470"/>
        <v>9.9999999999994316E-2</v>
      </c>
      <c r="F830" s="4">
        <v>0</v>
      </c>
      <c r="G830" s="4">
        <v>0.44</v>
      </c>
      <c r="H830" s="4">
        <v>79</v>
      </c>
      <c r="I830" s="4"/>
      <c r="J830" s="4">
        <v>50</v>
      </c>
      <c r="K830"/>
      <c r="L830"/>
      <c r="M830" s="4">
        <f t="shared" si="471"/>
        <v>130.6</v>
      </c>
      <c r="N830" s="4"/>
      <c r="O830" s="1">
        <f t="shared" si="472"/>
        <v>130.5</v>
      </c>
      <c r="P830" s="1">
        <f t="shared" si="473"/>
        <v>0</v>
      </c>
      <c r="Q830" s="1" t="str">
        <f t="shared" si="469"/>
        <v/>
      </c>
      <c r="R830" s="1" t="str">
        <f t="shared" si="474"/>
        <v/>
      </c>
      <c r="S830" s="1">
        <f t="shared" si="475"/>
        <v>686.55360000000235</v>
      </c>
      <c r="T830" s="1">
        <f t="shared" si="476"/>
        <v>0.44</v>
      </c>
      <c r="U830" s="1">
        <f t="shared" si="477"/>
        <v>527.99999999996999</v>
      </c>
      <c r="V830" s="1">
        <f t="shared" si="478"/>
        <v>232.31999999998681</v>
      </c>
    </row>
    <row r="831" spans="1:22" x14ac:dyDescent="0.25">
      <c r="A831" s="1">
        <v>830</v>
      </c>
      <c r="B831" s="4">
        <v>7500</v>
      </c>
      <c r="C831" s="4">
        <v>130.6</v>
      </c>
      <c r="D831" s="4">
        <v>130.69999999999999</v>
      </c>
      <c r="E831" s="4">
        <f t="shared" si="470"/>
        <v>9.9999999999994316E-2</v>
      </c>
      <c r="F831" s="4">
        <v>0</v>
      </c>
      <c r="G831" s="4">
        <v>0.47</v>
      </c>
      <c r="H831" s="4">
        <v>79</v>
      </c>
      <c r="I831" s="4"/>
      <c r="J831" s="4">
        <v>50</v>
      </c>
      <c r="K831"/>
      <c r="L831"/>
      <c r="M831" s="4">
        <f t="shared" si="471"/>
        <v>130.69999999999999</v>
      </c>
      <c r="N831" s="4"/>
      <c r="O831" s="1">
        <f t="shared" si="472"/>
        <v>130.6</v>
      </c>
      <c r="P831" s="1">
        <f t="shared" si="473"/>
        <v>0</v>
      </c>
      <c r="Q831" s="1" t="str">
        <f t="shared" si="469"/>
        <v/>
      </c>
      <c r="R831" s="1" t="str">
        <f t="shared" si="474"/>
        <v/>
      </c>
      <c r="S831" s="1">
        <f t="shared" si="475"/>
        <v>688.87680000000216</v>
      </c>
      <c r="T831" s="1">
        <f t="shared" si="476"/>
        <v>0.47</v>
      </c>
      <c r="U831" s="1">
        <f t="shared" si="477"/>
        <v>527.99999999996999</v>
      </c>
      <c r="V831" s="1">
        <f t="shared" si="478"/>
        <v>248.15999999998587</v>
      </c>
    </row>
    <row r="832" spans="1:22" x14ac:dyDescent="0.25">
      <c r="A832" s="1">
        <v>831</v>
      </c>
      <c r="B832" s="4">
        <v>7500</v>
      </c>
      <c r="C832" s="4">
        <v>130.69999999999999</v>
      </c>
      <c r="D832" s="4">
        <v>130.79999999999998</v>
      </c>
      <c r="E832" s="4">
        <f t="shared" si="470"/>
        <v>9.9999999999994316E-2</v>
      </c>
      <c r="F832" s="4">
        <v>0</v>
      </c>
      <c r="G832" s="4">
        <v>0.25</v>
      </c>
      <c r="H832" s="4">
        <v>79</v>
      </c>
      <c r="I832" s="4"/>
      <c r="J832" s="4">
        <v>50</v>
      </c>
      <c r="K832"/>
      <c r="L832"/>
      <c r="M832" s="4">
        <f t="shared" si="471"/>
        <v>130.79999999999998</v>
      </c>
      <c r="N832" s="4"/>
      <c r="O832" s="1">
        <f t="shared" si="472"/>
        <v>130.69999999999999</v>
      </c>
      <c r="P832" s="1">
        <f t="shared" si="473"/>
        <v>0</v>
      </c>
      <c r="Q832" s="1" t="str">
        <f t="shared" si="469"/>
        <v/>
      </c>
      <c r="R832" s="1" t="str">
        <f t="shared" si="474"/>
        <v/>
      </c>
      <c r="S832" s="1">
        <f t="shared" si="475"/>
        <v>691.35840000000201</v>
      </c>
      <c r="T832" s="1">
        <f t="shared" si="476"/>
        <v>0.25</v>
      </c>
      <c r="U832" s="1">
        <f t="shared" si="477"/>
        <v>527.99999999996999</v>
      </c>
      <c r="V832" s="1">
        <f t="shared" si="478"/>
        <v>131.9999999999925</v>
      </c>
    </row>
    <row r="833" spans="1:22" x14ac:dyDescent="0.25">
      <c r="A833" s="1">
        <v>832</v>
      </c>
      <c r="B833" s="4">
        <v>7500</v>
      </c>
      <c r="C833" s="4">
        <v>130.79999999999998</v>
      </c>
      <c r="D833" s="4">
        <v>130.9</v>
      </c>
      <c r="E833" s="4">
        <f t="shared" si="470"/>
        <v>0.10000000000002274</v>
      </c>
      <c r="F833" s="4">
        <v>0</v>
      </c>
      <c r="G833" s="4">
        <v>-0.18</v>
      </c>
      <c r="H833" s="4">
        <v>79</v>
      </c>
      <c r="I833" s="4"/>
      <c r="J833" s="4">
        <v>50</v>
      </c>
      <c r="K833"/>
      <c r="L833"/>
      <c r="M833" s="4">
        <f t="shared" si="471"/>
        <v>130.9</v>
      </c>
      <c r="N833" s="4"/>
      <c r="O833" s="1">
        <f t="shared" si="472"/>
        <v>130.79999999999998</v>
      </c>
      <c r="P833" s="1">
        <f t="shared" si="473"/>
        <v>0</v>
      </c>
      <c r="Q833" s="1" t="str">
        <f t="shared" si="469"/>
        <v/>
      </c>
      <c r="R833" s="1" t="str">
        <f t="shared" si="474"/>
        <v/>
      </c>
      <c r="S833" s="1">
        <f t="shared" si="475"/>
        <v>692.67840000000194</v>
      </c>
      <c r="T833" s="1">
        <f t="shared" si="476"/>
        <v>-0.18</v>
      </c>
      <c r="U833" s="1">
        <f t="shared" si="477"/>
        <v>528.00000000012005</v>
      </c>
      <c r="V833" s="1">
        <f t="shared" si="478"/>
        <v>95.040000000021607</v>
      </c>
    </row>
    <row r="834" spans="1:22" x14ac:dyDescent="0.25">
      <c r="A834" s="1">
        <v>833</v>
      </c>
      <c r="B834" s="4">
        <v>7500</v>
      </c>
      <c r="C834" s="4">
        <v>130.9</v>
      </c>
      <c r="D834" s="4">
        <v>131</v>
      </c>
      <c r="E834" s="4">
        <f t="shared" si="470"/>
        <v>9.9999999999994316E-2</v>
      </c>
      <c r="F834" s="4">
        <v>0</v>
      </c>
      <c r="G834" s="4">
        <v>-0.39</v>
      </c>
      <c r="H834" s="4">
        <v>79</v>
      </c>
      <c r="I834" s="4"/>
      <c r="J834" s="4">
        <v>50</v>
      </c>
      <c r="K834"/>
      <c r="L834"/>
      <c r="M834" s="4">
        <f t="shared" si="471"/>
        <v>131</v>
      </c>
      <c r="N834" s="4"/>
      <c r="O834" s="1">
        <f t="shared" si="472"/>
        <v>130.9</v>
      </c>
      <c r="P834" s="1">
        <f t="shared" si="473"/>
        <v>0</v>
      </c>
      <c r="Q834" s="1" t="str">
        <f t="shared" si="469"/>
        <v/>
      </c>
      <c r="R834" s="1" t="str">
        <f t="shared" si="474"/>
        <v/>
      </c>
      <c r="S834" s="1">
        <f t="shared" si="475"/>
        <v>691.72800000000177</v>
      </c>
      <c r="T834" s="1">
        <f t="shared" si="476"/>
        <v>-0.39</v>
      </c>
      <c r="U834" s="1">
        <f t="shared" si="477"/>
        <v>527.99999999996999</v>
      </c>
      <c r="V834" s="1">
        <f t="shared" si="478"/>
        <v>205.91999999998831</v>
      </c>
    </row>
    <row r="835" spans="1:22" x14ac:dyDescent="0.25">
      <c r="A835" s="1">
        <v>834</v>
      </c>
      <c r="B835" s="4">
        <v>7500</v>
      </c>
      <c r="C835" s="4">
        <v>131</v>
      </c>
      <c r="D835" s="4">
        <v>131.1</v>
      </c>
      <c r="E835" s="4">
        <f t="shared" si="470"/>
        <v>9.9999999999994316E-2</v>
      </c>
      <c r="F835" s="4">
        <v>0</v>
      </c>
      <c r="G835" s="4">
        <v>-0.3</v>
      </c>
      <c r="H835" s="4">
        <v>79</v>
      </c>
      <c r="I835" s="4"/>
      <c r="J835" s="4">
        <v>50</v>
      </c>
      <c r="K835"/>
      <c r="L835"/>
      <c r="M835" s="4">
        <f t="shared" si="471"/>
        <v>131.1</v>
      </c>
      <c r="N835" s="4"/>
      <c r="O835" s="1">
        <f t="shared" si="472"/>
        <v>131</v>
      </c>
      <c r="P835" s="1">
        <f t="shared" si="473"/>
        <v>0</v>
      </c>
      <c r="Q835" s="1" t="str">
        <f t="shared" ref="Q835:Q898" si="479">IF(H835&lt;&gt;"",IF(H835=H834,"",H835),IF(H833="","",MAX(H834,Q834)))</f>
        <v/>
      </c>
      <c r="R835" s="1" t="str">
        <f t="shared" si="474"/>
        <v/>
      </c>
      <c r="S835" s="1">
        <f t="shared" si="475"/>
        <v>689.66880000000185</v>
      </c>
      <c r="T835" s="1">
        <f t="shared" si="476"/>
        <v>-0.3</v>
      </c>
      <c r="U835" s="1">
        <f t="shared" si="477"/>
        <v>527.99999999996999</v>
      </c>
      <c r="V835" s="1">
        <f t="shared" si="478"/>
        <v>158.399999999991</v>
      </c>
    </row>
    <row r="836" spans="1:22" x14ac:dyDescent="0.25">
      <c r="A836" s="1">
        <v>835</v>
      </c>
      <c r="B836" s="4">
        <v>7500</v>
      </c>
      <c r="C836" s="4">
        <v>131.1</v>
      </c>
      <c r="D836" s="4">
        <v>131.19999999999999</v>
      </c>
      <c r="E836" s="4">
        <f t="shared" si="470"/>
        <v>9.9999999999994316E-2</v>
      </c>
      <c r="F836" s="4">
        <v>0</v>
      </c>
      <c r="G836" s="4">
        <v>-0.11</v>
      </c>
      <c r="H836" s="4">
        <v>79</v>
      </c>
      <c r="I836" s="4"/>
      <c r="J836" s="4">
        <v>50</v>
      </c>
      <c r="K836"/>
      <c r="L836"/>
      <c r="M836" s="4">
        <f t="shared" si="471"/>
        <v>131.19999999999999</v>
      </c>
      <c r="N836" s="4"/>
      <c r="O836" s="1">
        <f t="shared" si="472"/>
        <v>131.1</v>
      </c>
      <c r="P836" s="1">
        <f t="shared" si="473"/>
        <v>0</v>
      </c>
      <c r="Q836" s="1" t="str">
        <f t="shared" si="479"/>
        <v/>
      </c>
      <c r="R836" s="1" t="str">
        <f t="shared" si="474"/>
        <v/>
      </c>
      <c r="S836" s="1">
        <f t="shared" si="475"/>
        <v>688.08480000000191</v>
      </c>
      <c r="T836" s="1">
        <f t="shared" si="476"/>
        <v>-0.11</v>
      </c>
      <c r="U836" s="1">
        <f t="shared" si="477"/>
        <v>527.99999999996999</v>
      </c>
      <c r="V836" s="1">
        <f t="shared" si="478"/>
        <v>58.079999999996701</v>
      </c>
    </row>
    <row r="837" spans="1:22" x14ac:dyDescent="0.25">
      <c r="A837" s="1">
        <v>836</v>
      </c>
      <c r="B837" s="4">
        <v>7500</v>
      </c>
      <c r="C837" s="4">
        <v>131.19999999999999</v>
      </c>
      <c r="D837" s="4">
        <v>131.29999999999998</v>
      </c>
      <c r="E837" s="4">
        <f t="shared" si="470"/>
        <v>9.9999999999994316E-2</v>
      </c>
      <c r="F837" s="4">
        <v>0.8</v>
      </c>
      <c r="G837" s="4">
        <v>-0.02</v>
      </c>
      <c r="H837" s="4">
        <v>79</v>
      </c>
      <c r="I837" s="4"/>
      <c r="J837" s="4">
        <v>50</v>
      </c>
      <c r="K837"/>
      <c r="L837"/>
      <c r="M837" s="4">
        <f t="shared" si="471"/>
        <v>131.29999999999998</v>
      </c>
      <c r="N837" s="4"/>
      <c r="O837" s="1">
        <f t="shared" si="472"/>
        <v>131.19999999999999</v>
      </c>
      <c r="P837" s="1">
        <f t="shared" si="473"/>
        <v>4.2239999999997604</v>
      </c>
      <c r="Q837" s="1" t="str">
        <f t="shared" si="479"/>
        <v/>
      </c>
      <c r="R837" s="1" t="str">
        <f t="shared" si="474"/>
        <v/>
      </c>
      <c r="S837" s="1">
        <f t="shared" si="475"/>
        <v>687.50400000000195</v>
      </c>
      <c r="T837" s="1">
        <f t="shared" si="476"/>
        <v>-0.02</v>
      </c>
      <c r="U837" s="1">
        <f t="shared" si="477"/>
        <v>527.99999999996999</v>
      </c>
      <c r="V837" s="1">
        <f t="shared" si="478"/>
        <v>10.5599999999994</v>
      </c>
    </row>
    <row r="838" spans="1:22" x14ac:dyDescent="0.25">
      <c r="A838" s="1">
        <v>837</v>
      </c>
      <c r="B838" s="4">
        <v>7500</v>
      </c>
      <c r="C838" s="4">
        <v>131.29999999999998</v>
      </c>
      <c r="D838" s="4">
        <v>131.4</v>
      </c>
      <c r="E838" s="4">
        <f t="shared" si="470"/>
        <v>0.10000000000002274</v>
      </c>
      <c r="F838" s="4">
        <v>0.8</v>
      </c>
      <c r="G838" s="4">
        <v>-0.02</v>
      </c>
      <c r="H838" s="4">
        <v>79</v>
      </c>
      <c r="I838" s="4"/>
      <c r="J838" s="4">
        <v>50</v>
      </c>
      <c r="K838"/>
      <c r="L838"/>
      <c r="M838" s="4">
        <f t="shared" si="471"/>
        <v>131.4</v>
      </c>
      <c r="N838" s="4"/>
      <c r="O838" s="1">
        <f t="shared" si="472"/>
        <v>131.29999999999998</v>
      </c>
      <c r="P838" s="1">
        <f t="shared" si="473"/>
        <v>4.2240000000009603</v>
      </c>
      <c r="Q838" s="1" t="str">
        <f t="shared" si="479"/>
        <v/>
      </c>
      <c r="R838" s="1" t="str">
        <f t="shared" si="474"/>
        <v/>
      </c>
      <c r="S838" s="1">
        <f t="shared" si="475"/>
        <v>687.39840000000197</v>
      </c>
      <c r="T838" s="1">
        <f t="shared" si="476"/>
        <v>-0.02</v>
      </c>
      <c r="U838" s="1">
        <f t="shared" si="477"/>
        <v>528.00000000012005</v>
      </c>
      <c r="V838" s="1">
        <f t="shared" si="478"/>
        <v>10.560000000002402</v>
      </c>
    </row>
    <row r="839" spans="1:22" x14ac:dyDescent="0.25">
      <c r="A839" s="1">
        <v>838</v>
      </c>
      <c r="B839" s="4">
        <v>7500</v>
      </c>
      <c r="C839" s="4">
        <v>131.4</v>
      </c>
      <c r="D839" s="4">
        <v>131.5</v>
      </c>
      <c r="E839" s="4">
        <f t="shared" si="470"/>
        <v>9.9999999999994316E-2</v>
      </c>
      <c r="F839" s="4">
        <v>1.1000000000000001</v>
      </c>
      <c r="G839" s="4">
        <v>-0.13</v>
      </c>
      <c r="H839" s="4">
        <v>79</v>
      </c>
      <c r="I839" s="4"/>
      <c r="J839" s="4">
        <v>50</v>
      </c>
      <c r="K839"/>
      <c r="L839"/>
      <c r="M839" s="4">
        <f t="shared" si="471"/>
        <v>131.5</v>
      </c>
      <c r="N839" s="4"/>
      <c r="O839" s="1">
        <f t="shared" si="472"/>
        <v>131.4</v>
      </c>
      <c r="P839" s="1">
        <f t="shared" si="473"/>
        <v>5.8079999999996694</v>
      </c>
      <c r="Q839" s="1" t="str">
        <f t="shared" si="479"/>
        <v/>
      </c>
      <c r="R839" s="1" t="str">
        <f t="shared" si="474"/>
        <v/>
      </c>
      <c r="S839" s="1">
        <f t="shared" si="475"/>
        <v>687.29280000000199</v>
      </c>
      <c r="T839" s="1">
        <f t="shared" si="476"/>
        <v>-0.13</v>
      </c>
      <c r="U839" s="1">
        <f t="shared" si="477"/>
        <v>527.99999999996999</v>
      </c>
      <c r="V839" s="1">
        <f t="shared" si="478"/>
        <v>68.639999999996107</v>
      </c>
    </row>
    <row r="840" spans="1:22" x14ac:dyDescent="0.25">
      <c r="A840" s="1">
        <v>839</v>
      </c>
      <c r="B840" s="4">
        <v>7500</v>
      </c>
      <c r="C840" s="4">
        <v>131.5</v>
      </c>
      <c r="D840" s="4">
        <v>131.6</v>
      </c>
      <c r="E840" s="4">
        <f t="shared" ref="E840:E903" si="480">D840-C840</f>
        <v>9.9999999999994316E-2</v>
      </c>
      <c r="F840" s="4">
        <v>1</v>
      </c>
      <c r="G840" s="4">
        <v>-0.13</v>
      </c>
      <c r="H840" s="4">
        <v>79</v>
      </c>
      <c r="I840" s="4"/>
      <c r="J840" s="4">
        <v>50</v>
      </c>
      <c r="K840"/>
      <c r="L840"/>
      <c r="M840" s="4">
        <f t="shared" ref="M840:M903" si="481">E840+M839</f>
        <v>131.6</v>
      </c>
      <c r="N840" s="4"/>
      <c r="O840" s="1">
        <f t="shared" ref="O840:O903" si="482">E839+O839</f>
        <v>131.5</v>
      </c>
      <c r="P840" s="1">
        <f t="shared" ref="P840:P903" si="483">F840*52.8*E840</f>
        <v>5.2799999999996992</v>
      </c>
      <c r="Q840" s="1" t="str">
        <f t="shared" si="479"/>
        <v/>
      </c>
      <c r="R840" s="1" t="str">
        <f t="shared" ref="R840:R903" si="484">IF(I840="",Q840,IF(AND(H840=H839,I840=I839),"",I840))</f>
        <v/>
      </c>
      <c r="S840" s="1">
        <f t="shared" ref="S840:S903" si="485">S839+U839*T839/100</f>
        <v>686.60640000000205</v>
      </c>
      <c r="T840" s="1">
        <f t="shared" ref="T840:T903" si="486">IF(G840="UNK",0,G840)</f>
        <v>-0.13</v>
      </c>
      <c r="U840" s="1">
        <f t="shared" ref="U840:U903" si="487">E840*5280</f>
        <v>527.99999999996999</v>
      </c>
      <c r="V840" s="1">
        <f t="shared" ref="V840:V903" si="488">ABS(T840*U840)</f>
        <v>68.639999999996107</v>
      </c>
    </row>
    <row r="841" spans="1:22" x14ac:dyDescent="0.25">
      <c r="A841" s="1">
        <v>840</v>
      </c>
      <c r="B841" s="4">
        <v>7500</v>
      </c>
      <c r="C841" s="4">
        <v>131.6</v>
      </c>
      <c r="D841" s="4">
        <v>131.69999999999999</v>
      </c>
      <c r="E841" s="4">
        <f t="shared" si="480"/>
        <v>9.9999999999994316E-2</v>
      </c>
      <c r="F841" s="4">
        <v>1</v>
      </c>
      <c r="G841" s="4">
        <v>-0.17</v>
      </c>
      <c r="H841" s="4">
        <v>79</v>
      </c>
      <c r="I841" s="4"/>
      <c r="J841" s="4">
        <v>50</v>
      </c>
      <c r="K841"/>
      <c r="L841"/>
      <c r="M841" s="4">
        <f t="shared" si="481"/>
        <v>131.69999999999999</v>
      </c>
      <c r="N841" s="4"/>
      <c r="O841" s="1">
        <f t="shared" si="482"/>
        <v>131.6</v>
      </c>
      <c r="P841" s="1">
        <f t="shared" si="483"/>
        <v>5.2799999999996992</v>
      </c>
      <c r="Q841" s="1" t="str">
        <f t="shared" si="479"/>
        <v/>
      </c>
      <c r="R841" s="1" t="str">
        <f t="shared" si="484"/>
        <v/>
      </c>
      <c r="S841" s="1">
        <f t="shared" si="485"/>
        <v>685.92000000000212</v>
      </c>
      <c r="T841" s="1">
        <f t="shared" si="486"/>
        <v>-0.17</v>
      </c>
      <c r="U841" s="1">
        <f t="shared" si="487"/>
        <v>527.99999999996999</v>
      </c>
      <c r="V841" s="1">
        <f t="shared" si="488"/>
        <v>89.759999999994903</v>
      </c>
    </row>
    <row r="842" spans="1:22" x14ac:dyDescent="0.25">
      <c r="A842" s="1">
        <v>841</v>
      </c>
      <c r="B842" s="4">
        <v>7500</v>
      </c>
      <c r="C842" s="4">
        <v>131.69999999999999</v>
      </c>
      <c r="D842" s="4">
        <v>131.9</v>
      </c>
      <c r="E842" s="4">
        <f t="shared" si="480"/>
        <v>0.20000000000001705</v>
      </c>
      <c r="F842" s="4">
        <v>0</v>
      </c>
      <c r="G842" s="4">
        <v>-0.17</v>
      </c>
      <c r="H842" s="4">
        <v>79</v>
      </c>
      <c r="I842" s="4"/>
      <c r="J842" s="4">
        <v>50</v>
      </c>
      <c r="K842"/>
      <c r="L842"/>
      <c r="M842" s="4">
        <f t="shared" si="481"/>
        <v>131.9</v>
      </c>
      <c r="N842" s="4"/>
      <c r="O842" s="1">
        <f t="shared" si="482"/>
        <v>131.69999999999999</v>
      </c>
      <c r="P842" s="1">
        <f t="shared" si="483"/>
        <v>0</v>
      </c>
      <c r="Q842" s="1" t="str">
        <f t="shared" si="479"/>
        <v/>
      </c>
      <c r="R842" s="1" t="str">
        <f t="shared" si="484"/>
        <v/>
      </c>
      <c r="S842" s="1">
        <f t="shared" si="485"/>
        <v>685.02240000000222</v>
      </c>
      <c r="T842" s="1">
        <f t="shared" si="486"/>
        <v>-0.17</v>
      </c>
      <c r="U842" s="1">
        <f t="shared" si="487"/>
        <v>1056.00000000009</v>
      </c>
      <c r="V842" s="1">
        <f t="shared" si="488"/>
        <v>179.52000000001533</v>
      </c>
    </row>
    <row r="843" spans="1:22" x14ac:dyDescent="0.25">
      <c r="A843" s="1">
        <v>842</v>
      </c>
      <c r="B843" s="4">
        <v>7500</v>
      </c>
      <c r="C843" s="4">
        <v>131.9</v>
      </c>
      <c r="D843" s="4">
        <v>132</v>
      </c>
      <c r="E843" s="4">
        <f t="shared" si="480"/>
        <v>9.9999999999994316E-2</v>
      </c>
      <c r="F843" s="4">
        <v>0</v>
      </c>
      <c r="G843" s="4">
        <v>-0.02</v>
      </c>
      <c r="H843" s="4">
        <v>79</v>
      </c>
      <c r="I843" s="4"/>
      <c r="J843" s="4">
        <v>50</v>
      </c>
      <c r="K843"/>
      <c r="L843"/>
      <c r="M843" s="4">
        <f t="shared" si="481"/>
        <v>132</v>
      </c>
      <c r="N843" s="4"/>
      <c r="O843" s="1">
        <f t="shared" si="482"/>
        <v>131.9</v>
      </c>
      <c r="P843" s="1">
        <f t="shared" si="483"/>
        <v>0</v>
      </c>
      <c r="Q843" s="1" t="str">
        <f t="shared" si="479"/>
        <v/>
      </c>
      <c r="R843" s="1" t="str">
        <f t="shared" si="484"/>
        <v/>
      </c>
      <c r="S843" s="1">
        <f t="shared" si="485"/>
        <v>683.22720000000209</v>
      </c>
      <c r="T843" s="1">
        <f t="shared" si="486"/>
        <v>-0.02</v>
      </c>
      <c r="U843" s="1">
        <f t="shared" si="487"/>
        <v>527.99999999996999</v>
      </c>
      <c r="V843" s="1">
        <f t="shared" si="488"/>
        <v>10.5599999999994</v>
      </c>
    </row>
    <row r="844" spans="1:22" x14ac:dyDescent="0.25">
      <c r="A844" s="1">
        <v>843</v>
      </c>
      <c r="B844" s="4">
        <v>7500</v>
      </c>
      <c r="C844" s="4">
        <v>132</v>
      </c>
      <c r="D844" s="4">
        <v>132.1</v>
      </c>
      <c r="E844" s="4">
        <f t="shared" si="480"/>
        <v>9.9999999999994316E-2</v>
      </c>
      <c r="F844" s="4">
        <v>0</v>
      </c>
      <c r="G844" s="4">
        <v>0.06</v>
      </c>
      <c r="H844" s="4">
        <v>79</v>
      </c>
      <c r="I844" s="4"/>
      <c r="J844" s="4">
        <v>50</v>
      </c>
      <c r="K844"/>
      <c r="L844"/>
      <c r="M844" s="4">
        <f t="shared" si="481"/>
        <v>132.1</v>
      </c>
      <c r="N844" s="4"/>
      <c r="O844" s="1">
        <f t="shared" si="482"/>
        <v>132</v>
      </c>
      <c r="P844" s="1">
        <f t="shared" si="483"/>
        <v>0</v>
      </c>
      <c r="Q844" s="1" t="str">
        <f t="shared" si="479"/>
        <v/>
      </c>
      <c r="R844" s="1" t="str">
        <f t="shared" si="484"/>
        <v/>
      </c>
      <c r="S844" s="1">
        <f t="shared" si="485"/>
        <v>683.1216000000021</v>
      </c>
      <c r="T844" s="1">
        <f t="shared" si="486"/>
        <v>0.06</v>
      </c>
      <c r="U844" s="1">
        <f t="shared" si="487"/>
        <v>527.99999999996999</v>
      </c>
      <c r="V844" s="1">
        <f t="shared" si="488"/>
        <v>31.679999999998198</v>
      </c>
    </row>
    <row r="845" spans="1:22" x14ac:dyDescent="0.25">
      <c r="A845" s="1">
        <v>844</v>
      </c>
      <c r="B845" s="4">
        <v>7500</v>
      </c>
      <c r="C845" s="4">
        <v>132.1</v>
      </c>
      <c r="D845" s="4">
        <v>132.19999999999999</v>
      </c>
      <c r="E845" s="4">
        <f t="shared" si="480"/>
        <v>9.9999999999994316E-2</v>
      </c>
      <c r="F845" s="4">
        <v>0</v>
      </c>
      <c r="G845" s="4">
        <v>0.05</v>
      </c>
      <c r="H845" s="4">
        <v>79</v>
      </c>
      <c r="I845" s="4"/>
      <c r="J845" s="4">
        <v>50</v>
      </c>
      <c r="K845"/>
      <c r="L845"/>
      <c r="M845" s="4">
        <f t="shared" si="481"/>
        <v>132.19999999999999</v>
      </c>
      <c r="N845" s="4"/>
      <c r="O845" s="1">
        <f t="shared" si="482"/>
        <v>132.1</v>
      </c>
      <c r="P845" s="1">
        <f t="shared" si="483"/>
        <v>0</v>
      </c>
      <c r="Q845" s="1" t="str">
        <f t="shared" si="479"/>
        <v/>
      </c>
      <c r="R845" s="1" t="str">
        <f t="shared" si="484"/>
        <v/>
      </c>
      <c r="S845" s="1">
        <f t="shared" si="485"/>
        <v>683.43840000000205</v>
      </c>
      <c r="T845" s="1">
        <f t="shared" si="486"/>
        <v>0.05</v>
      </c>
      <c r="U845" s="1">
        <f t="shared" si="487"/>
        <v>527.99999999996999</v>
      </c>
      <c r="V845" s="1">
        <f t="shared" si="488"/>
        <v>26.399999999998499</v>
      </c>
    </row>
    <row r="846" spans="1:22" x14ac:dyDescent="0.25">
      <c r="A846" s="1">
        <v>845</v>
      </c>
      <c r="B846" s="4">
        <v>7500</v>
      </c>
      <c r="C846" s="4">
        <v>132.19999999999999</v>
      </c>
      <c r="D846" s="4">
        <v>132.29999999999998</v>
      </c>
      <c r="E846" s="4">
        <f t="shared" si="480"/>
        <v>9.9999999999994316E-2</v>
      </c>
      <c r="F846" s="4">
        <v>0</v>
      </c>
      <c r="G846" s="4">
        <v>-0.06</v>
      </c>
      <c r="H846" s="4">
        <v>79</v>
      </c>
      <c r="I846" s="4"/>
      <c r="J846" s="4">
        <v>50</v>
      </c>
      <c r="K846"/>
      <c r="L846"/>
      <c r="M846" s="4">
        <f t="shared" si="481"/>
        <v>132.29999999999998</v>
      </c>
      <c r="N846" s="4"/>
      <c r="O846" s="1">
        <f t="shared" si="482"/>
        <v>132.19999999999999</v>
      </c>
      <c r="P846" s="1">
        <f t="shared" si="483"/>
        <v>0</v>
      </c>
      <c r="Q846" s="1" t="str">
        <f t="shared" si="479"/>
        <v/>
      </c>
      <c r="R846" s="1" t="str">
        <f t="shared" si="484"/>
        <v/>
      </c>
      <c r="S846" s="1">
        <f t="shared" si="485"/>
        <v>683.70240000000206</v>
      </c>
      <c r="T846" s="1">
        <f t="shared" si="486"/>
        <v>-0.06</v>
      </c>
      <c r="U846" s="1">
        <f t="shared" si="487"/>
        <v>527.99999999996999</v>
      </c>
      <c r="V846" s="1">
        <f t="shared" si="488"/>
        <v>31.679999999998198</v>
      </c>
    </row>
    <row r="847" spans="1:22" x14ac:dyDescent="0.25">
      <c r="A847" s="1">
        <v>846</v>
      </c>
      <c r="B847" s="4">
        <v>7500</v>
      </c>
      <c r="C847" s="4">
        <v>132.29999999999998</v>
      </c>
      <c r="D847" s="4">
        <v>132.4</v>
      </c>
      <c r="E847" s="4">
        <f t="shared" si="480"/>
        <v>0.10000000000002274</v>
      </c>
      <c r="F847" s="4">
        <v>2</v>
      </c>
      <c r="G847" s="4">
        <v>-0.12</v>
      </c>
      <c r="H847" s="4">
        <v>79</v>
      </c>
      <c r="I847" s="4"/>
      <c r="J847" s="4">
        <v>50</v>
      </c>
      <c r="K847"/>
      <c r="L847"/>
      <c r="M847" s="4">
        <f t="shared" si="481"/>
        <v>132.4</v>
      </c>
      <c r="N847" s="4"/>
      <c r="O847" s="1">
        <f t="shared" si="482"/>
        <v>132.29999999999998</v>
      </c>
      <c r="P847" s="1">
        <f t="shared" si="483"/>
        <v>10.5600000000024</v>
      </c>
      <c r="Q847" s="1" t="str">
        <f t="shared" si="479"/>
        <v/>
      </c>
      <c r="R847" s="1" t="str">
        <f t="shared" si="484"/>
        <v/>
      </c>
      <c r="S847" s="1">
        <f t="shared" si="485"/>
        <v>683.38560000000211</v>
      </c>
      <c r="T847" s="1">
        <f t="shared" si="486"/>
        <v>-0.12</v>
      </c>
      <c r="U847" s="1">
        <f t="shared" si="487"/>
        <v>528.00000000012005</v>
      </c>
      <c r="V847" s="1">
        <f t="shared" si="488"/>
        <v>63.360000000014402</v>
      </c>
    </row>
    <row r="848" spans="1:22" x14ac:dyDescent="0.25">
      <c r="A848" s="1">
        <v>847</v>
      </c>
      <c r="B848" s="4">
        <v>7500</v>
      </c>
      <c r="C848" s="4">
        <v>132.4</v>
      </c>
      <c r="D848" s="4">
        <v>132.5</v>
      </c>
      <c r="E848" s="4">
        <f t="shared" si="480"/>
        <v>9.9999999999994316E-2</v>
      </c>
      <c r="F848" s="4">
        <v>2</v>
      </c>
      <c r="G848" s="4">
        <v>-0.12</v>
      </c>
      <c r="H848" s="4">
        <v>79</v>
      </c>
      <c r="I848" s="4"/>
      <c r="J848" s="4">
        <v>50</v>
      </c>
      <c r="K848"/>
      <c r="L848"/>
      <c r="M848" s="4">
        <f t="shared" si="481"/>
        <v>132.5</v>
      </c>
      <c r="N848" s="4"/>
      <c r="O848" s="1">
        <f t="shared" si="482"/>
        <v>132.4</v>
      </c>
      <c r="P848" s="1">
        <f t="shared" si="483"/>
        <v>10.559999999999398</v>
      </c>
      <c r="Q848" s="1" t="str">
        <f t="shared" si="479"/>
        <v/>
      </c>
      <c r="R848" s="1" t="str">
        <f t="shared" si="484"/>
        <v/>
      </c>
      <c r="S848" s="1">
        <f t="shared" si="485"/>
        <v>682.752000000002</v>
      </c>
      <c r="T848" s="1">
        <f t="shared" si="486"/>
        <v>-0.12</v>
      </c>
      <c r="U848" s="1">
        <f t="shared" si="487"/>
        <v>527.99999999996999</v>
      </c>
      <c r="V848" s="1">
        <f t="shared" si="488"/>
        <v>63.359999999996397</v>
      </c>
    </row>
    <row r="849" spans="1:22" x14ac:dyDescent="0.25">
      <c r="A849" s="1">
        <v>848</v>
      </c>
      <c r="B849" s="4">
        <v>7500</v>
      </c>
      <c r="C849" s="4">
        <v>132.5</v>
      </c>
      <c r="D849" s="4">
        <v>132.6</v>
      </c>
      <c r="E849" s="4">
        <f t="shared" si="480"/>
        <v>9.9999999999994316E-2</v>
      </c>
      <c r="F849" s="4">
        <v>0</v>
      </c>
      <c r="G849" s="4">
        <v>-0.12</v>
      </c>
      <c r="H849" s="4">
        <v>79</v>
      </c>
      <c r="I849" s="4"/>
      <c r="J849" s="4">
        <v>50</v>
      </c>
      <c r="K849"/>
      <c r="L849"/>
      <c r="M849" s="4">
        <f t="shared" si="481"/>
        <v>132.6</v>
      </c>
      <c r="N849" s="4"/>
      <c r="O849" s="1">
        <f t="shared" si="482"/>
        <v>132.5</v>
      </c>
      <c r="P849" s="1">
        <f t="shared" si="483"/>
        <v>0</v>
      </c>
      <c r="Q849" s="1" t="str">
        <f t="shared" si="479"/>
        <v/>
      </c>
      <c r="R849" s="1" t="str">
        <f t="shared" si="484"/>
        <v/>
      </c>
      <c r="S849" s="1">
        <f t="shared" si="485"/>
        <v>682.118400000002</v>
      </c>
      <c r="T849" s="1">
        <f t="shared" si="486"/>
        <v>-0.12</v>
      </c>
      <c r="U849" s="1">
        <f t="shared" si="487"/>
        <v>527.99999999996999</v>
      </c>
      <c r="V849" s="1">
        <f t="shared" si="488"/>
        <v>63.359999999996397</v>
      </c>
    </row>
    <row r="850" spans="1:22" x14ac:dyDescent="0.25">
      <c r="A850" s="1">
        <v>849</v>
      </c>
      <c r="B850" s="4">
        <v>7500</v>
      </c>
      <c r="C850" s="4">
        <v>132.6</v>
      </c>
      <c r="D850" s="4">
        <v>132.69999999999999</v>
      </c>
      <c r="E850" s="4">
        <f t="shared" si="480"/>
        <v>9.9999999999994316E-2</v>
      </c>
      <c r="F850" s="4">
        <v>0</v>
      </c>
      <c r="G850" s="4">
        <v>-0.02</v>
      </c>
      <c r="H850" s="4">
        <v>79</v>
      </c>
      <c r="I850" s="4"/>
      <c r="J850" s="4">
        <v>50</v>
      </c>
      <c r="K850"/>
      <c r="L850"/>
      <c r="M850" s="4">
        <f t="shared" si="481"/>
        <v>132.69999999999999</v>
      </c>
      <c r="N850" s="4"/>
      <c r="O850" s="1">
        <f t="shared" si="482"/>
        <v>132.6</v>
      </c>
      <c r="P850" s="1">
        <f t="shared" si="483"/>
        <v>0</v>
      </c>
      <c r="Q850" s="1" t="str">
        <f t="shared" si="479"/>
        <v/>
      </c>
      <c r="R850" s="1" t="str">
        <f t="shared" si="484"/>
        <v/>
      </c>
      <c r="S850" s="1">
        <f t="shared" si="485"/>
        <v>681.484800000002</v>
      </c>
      <c r="T850" s="1">
        <f t="shared" si="486"/>
        <v>-0.02</v>
      </c>
      <c r="U850" s="1">
        <f t="shared" si="487"/>
        <v>527.99999999996999</v>
      </c>
      <c r="V850" s="1">
        <f t="shared" si="488"/>
        <v>10.5599999999994</v>
      </c>
    </row>
    <row r="851" spans="1:22" x14ac:dyDescent="0.25">
      <c r="A851" s="1">
        <v>850</v>
      </c>
      <c r="B851" s="4">
        <v>7500</v>
      </c>
      <c r="C851" s="4">
        <v>132.69999999999999</v>
      </c>
      <c r="D851" s="4">
        <v>132.9</v>
      </c>
      <c r="E851" s="4">
        <f t="shared" si="480"/>
        <v>0.20000000000001705</v>
      </c>
      <c r="F851" s="4">
        <v>0</v>
      </c>
      <c r="G851" s="4">
        <v>0.27</v>
      </c>
      <c r="H851" s="4">
        <v>79</v>
      </c>
      <c r="I851" s="4"/>
      <c r="J851" s="4">
        <v>50</v>
      </c>
      <c r="K851"/>
      <c r="L851"/>
      <c r="M851" s="4">
        <f t="shared" si="481"/>
        <v>132.9</v>
      </c>
      <c r="N851" s="4"/>
      <c r="O851" s="1">
        <f t="shared" si="482"/>
        <v>132.69999999999999</v>
      </c>
      <c r="P851" s="1">
        <f t="shared" si="483"/>
        <v>0</v>
      </c>
      <c r="Q851" s="1" t="str">
        <f t="shared" si="479"/>
        <v/>
      </c>
      <c r="R851" s="1" t="str">
        <f t="shared" si="484"/>
        <v/>
      </c>
      <c r="S851" s="1">
        <f t="shared" si="485"/>
        <v>681.37920000000202</v>
      </c>
      <c r="T851" s="1">
        <f t="shared" si="486"/>
        <v>0.27</v>
      </c>
      <c r="U851" s="1">
        <f t="shared" si="487"/>
        <v>1056.00000000009</v>
      </c>
      <c r="V851" s="1">
        <f t="shared" si="488"/>
        <v>285.12000000002433</v>
      </c>
    </row>
    <row r="852" spans="1:22" x14ac:dyDescent="0.25">
      <c r="A852" s="1">
        <v>851</v>
      </c>
      <c r="B852" s="4">
        <v>7500</v>
      </c>
      <c r="C852" s="4">
        <v>132.9</v>
      </c>
      <c r="D852" s="4">
        <v>133</v>
      </c>
      <c r="E852" s="4">
        <f t="shared" si="480"/>
        <v>9.9999999999994316E-2</v>
      </c>
      <c r="F852" s="4">
        <v>0</v>
      </c>
      <c r="G852" s="4">
        <v>0.19</v>
      </c>
      <c r="H852" s="4">
        <v>79</v>
      </c>
      <c r="I852" s="4"/>
      <c r="J852" s="4">
        <v>50</v>
      </c>
      <c r="K852"/>
      <c r="L852"/>
      <c r="M852" s="4">
        <f t="shared" si="481"/>
        <v>133</v>
      </c>
      <c r="N852" s="4"/>
      <c r="O852" s="1">
        <f t="shared" si="482"/>
        <v>132.9</v>
      </c>
      <c r="P852" s="1">
        <f t="shared" si="483"/>
        <v>0</v>
      </c>
      <c r="Q852" s="1" t="str">
        <f t="shared" si="479"/>
        <v/>
      </c>
      <c r="R852" s="1" t="str">
        <f t="shared" si="484"/>
        <v/>
      </c>
      <c r="S852" s="1">
        <f t="shared" si="485"/>
        <v>684.23040000000231</v>
      </c>
      <c r="T852" s="1">
        <f t="shared" si="486"/>
        <v>0.19</v>
      </c>
      <c r="U852" s="1">
        <f t="shared" si="487"/>
        <v>527.99999999996999</v>
      </c>
      <c r="V852" s="1">
        <f t="shared" si="488"/>
        <v>100.31999999999429</v>
      </c>
    </row>
    <row r="853" spans="1:22" x14ac:dyDescent="0.25">
      <c r="A853" s="1">
        <v>852</v>
      </c>
      <c r="B853" s="4">
        <v>7500</v>
      </c>
      <c r="C853" s="4">
        <v>133</v>
      </c>
      <c r="D853" s="4">
        <v>133.1</v>
      </c>
      <c r="E853" s="4">
        <f t="shared" si="480"/>
        <v>9.9999999999994316E-2</v>
      </c>
      <c r="F853" s="4">
        <v>0</v>
      </c>
      <c r="G853" s="4">
        <v>0.25</v>
      </c>
      <c r="H853" s="4">
        <v>79</v>
      </c>
      <c r="I853" s="4"/>
      <c r="J853" s="4">
        <v>50</v>
      </c>
      <c r="K853"/>
      <c r="L853"/>
      <c r="M853" s="4">
        <f t="shared" si="481"/>
        <v>133.1</v>
      </c>
      <c r="N853" s="4"/>
      <c r="O853" s="1">
        <f t="shared" si="482"/>
        <v>133</v>
      </c>
      <c r="P853" s="1">
        <f t="shared" si="483"/>
        <v>0</v>
      </c>
      <c r="Q853" s="1" t="str">
        <f t="shared" si="479"/>
        <v/>
      </c>
      <c r="R853" s="1" t="str">
        <f t="shared" si="484"/>
        <v/>
      </c>
      <c r="S853" s="1">
        <f t="shared" si="485"/>
        <v>685.2336000000023</v>
      </c>
      <c r="T853" s="1">
        <f t="shared" si="486"/>
        <v>0.25</v>
      </c>
      <c r="U853" s="1">
        <f t="shared" si="487"/>
        <v>527.99999999996999</v>
      </c>
      <c r="V853" s="1">
        <f t="shared" si="488"/>
        <v>131.9999999999925</v>
      </c>
    </row>
    <row r="854" spans="1:22" x14ac:dyDescent="0.25">
      <c r="A854" s="1">
        <v>853</v>
      </c>
      <c r="B854" s="4">
        <v>7500</v>
      </c>
      <c r="C854" s="4">
        <v>133.1</v>
      </c>
      <c r="D854" s="4">
        <v>133.19999999999999</v>
      </c>
      <c r="E854" s="4">
        <f t="shared" si="480"/>
        <v>9.9999999999994316E-2</v>
      </c>
      <c r="F854" s="4">
        <v>0</v>
      </c>
      <c r="G854" s="4">
        <v>0.37</v>
      </c>
      <c r="H854" s="4">
        <v>79</v>
      </c>
      <c r="I854" s="4"/>
      <c r="J854" s="4">
        <v>50</v>
      </c>
      <c r="K854"/>
      <c r="L854"/>
      <c r="M854" s="4">
        <f t="shared" si="481"/>
        <v>133.19999999999999</v>
      </c>
      <c r="N854" s="4"/>
      <c r="O854" s="1">
        <f t="shared" si="482"/>
        <v>133.1</v>
      </c>
      <c r="P854" s="1">
        <f t="shared" si="483"/>
        <v>0</v>
      </c>
      <c r="Q854" s="1" t="str">
        <f t="shared" si="479"/>
        <v/>
      </c>
      <c r="R854" s="1" t="str">
        <f t="shared" si="484"/>
        <v/>
      </c>
      <c r="S854" s="1">
        <f t="shared" si="485"/>
        <v>686.55360000000223</v>
      </c>
      <c r="T854" s="1">
        <f t="shared" si="486"/>
        <v>0.37</v>
      </c>
      <c r="U854" s="1">
        <f t="shared" si="487"/>
        <v>527.99999999996999</v>
      </c>
      <c r="V854" s="1">
        <f t="shared" si="488"/>
        <v>195.3599999999889</v>
      </c>
    </row>
    <row r="855" spans="1:22" x14ac:dyDescent="0.25">
      <c r="A855" s="1">
        <v>854</v>
      </c>
      <c r="B855" s="4">
        <v>7500</v>
      </c>
      <c r="C855" s="4">
        <v>133.19999999999999</v>
      </c>
      <c r="D855" s="4">
        <v>133.4</v>
      </c>
      <c r="E855" s="4">
        <f t="shared" si="480"/>
        <v>0.20000000000001705</v>
      </c>
      <c r="F855" s="4">
        <v>0</v>
      </c>
      <c r="G855" s="4">
        <v>0.43</v>
      </c>
      <c r="H855" s="4">
        <v>79</v>
      </c>
      <c r="I855" s="4"/>
      <c r="J855" s="4">
        <v>50</v>
      </c>
      <c r="K855"/>
      <c r="L855"/>
      <c r="M855" s="4">
        <f t="shared" si="481"/>
        <v>133.4</v>
      </c>
      <c r="N855" s="4"/>
      <c r="O855" s="1">
        <f t="shared" si="482"/>
        <v>133.19999999999999</v>
      </c>
      <c r="P855" s="1">
        <f t="shared" si="483"/>
        <v>0</v>
      </c>
      <c r="Q855" s="1" t="str">
        <f t="shared" si="479"/>
        <v/>
      </c>
      <c r="R855" s="1" t="str">
        <f t="shared" si="484"/>
        <v/>
      </c>
      <c r="S855" s="1">
        <f t="shared" si="485"/>
        <v>688.50720000000217</v>
      </c>
      <c r="T855" s="1">
        <f t="shared" si="486"/>
        <v>0.43</v>
      </c>
      <c r="U855" s="1">
        <f t="shared" si="487"/>
        <v>1056.00000000009</v>
      </c>
      <c r="V855" s="1">
        <f t="shared" si="488"/>
        <v>454.08000000003869</v>
      </c>
    </row>
    <row r="856" spans="1:22" x14ac:dyDescent="0.25">
      <c r="A856" s="1">
        <v>855</v>
      </c>
      <c r="B856" s="4">
        <v>7500</v>
      </c>
      <c r="C856" s="4">
        <v>133.4</v>
      </c>
      <c r="D856" s="4">
        <v>133.69999999999999</v>
      </c>
      <c r="E856" s="4">
        <f t="shared" si="480"/>
        <v>0.29999999999998295</v>
      </c>
      <c r="F856" s="4">
        <v>0</v>
      </c>
      <c r="G856" s="4">
        <v>0.43</v>
      </c>
      <c r="H856" s="4">
        <v>79</v>
      </c>
      <c r="I856" s="4"/>
      <c r="J856" s="4">
        <v>50</v>
      </c>
      <c r="K856"/>
      <c r="L856"/>
      <c r="M856" s="4">
        <f t="shared" si="481"/>
        <v>133.69999999999999</v>
      </c>
      <c r="N856" s="4"/>
      <c r="O856" s="1">
        <f t="shared" si="482"/>
        <v>133.4</v>
      </c>
      <c r="P856" s="1">
        <f t="shared" si="483"/>
        <v>0</v>
      </c>
      <c r="Q856" s="1" t="str">
        <f t="shared" si="479"/>
        <v/>
      </c>
      <c r="R856" s="1" t="str">
        <f t="shared" si="484"/>
        <v/>
      </c>
      <c r="S856" s="1">
        <f t="shared" si="485"/>
        <v>693.0480000000025</v>
      </c>
      <c r="T856" s="1">
        <f t="shared" si="486"/>
        <v>0.43</v>
      </c>
      <c r="U856" s="1">
        <f t="shared" si="487"/>
        <v>1583.99999999991</v>
      </c>
      <c r="V856" s="1">
        <f t="shared" si="488"/>
        <v>681.11999999996124</v>
      </c>
    </row>
    <row r="857" spans="1:22" x14ac:dyDescent="0.25">
      <c r="A857" s="1">
        <v>856</v>
      </c>
      <c r="B857" s="4">
        <v>7500</v>
      </c>
      <c r="C857" s="4">
        <v>133.69999999999999</v>
      </c>
      <c r="D857" s="4">
        <v>133.79999999999998</v>
      </c>
      <c r="E857" s="4">
        <f t="shared" si="480"/>
        <v>9.9999999999994316E-2</v>
      </c>
      <c r="F857" s="4">
        <v>0.4</v>
      </c>
      <c r="G857" s="4">
        <v>0.43</v>
      </c>
      <c r="H857" s="4">
        <v>79</v>
      </c>
      <c r="I857" s="4"/>
      <c r="J857" s="4">
        <v>50</v>
      </c>
      <c r="K857"/>
      <c r="L857"/>
      <c r="M857" s="4">
        <f t="shared" si="481"/>
        <v>133.79999999999998</v>
      </c>
      <c r="N857" s="4"/>
      <c r="O857" s="1">
        <f t="shared" si="482"/>
        <v>133.69999999999999</v>
      </c>
      <c r="P857" s="1">
        <f t="shared" si="483"/>
        <v>2.1119999999998802</v>
      </c>
      <c r="Q857" s="1" t="str">
        <f t="shared" si="479"/>
        <v/>
      </c>
      <c r="R857" s="1" t="str">
        <f t="shared" si="484"/>
        <v/>
      </c>
      <c r="S857" s="1">
        <f t="shared" si="485"/>
        <v>699.85920000000215</v>
      </c>
      <c r="T857" s="1">
        <f t="shared" si="486"/>
        <v>0.43</v>
      </c>
      <c r="U857" s="1">
        <f t="shared" si="487"/>
        <v>527.99999999996999</v>
      </c>
      <c r="V857" s="1">
        <f t="shared" si="488"/>
        <v>227.03999999998709</v>
      </c>
    </row>
    <row r="858" spans="1:22" x14ac:dyDescent="0.25">
      <c r="A858" s="1">
        <v>857</v>
      </c>
      <c r="B858" s="4">
        <v>7500</v>
      </c>
      <c r="C858" s="4">
        <v>133.79999999999998</v>
      </c>
      <c r="D858" s="4">
        <v>133.9</v>
      </c>
      <c r="E858" s="4">
        <f t="shared" si="480"/>
        <v>0.10000000000002274</v>
      </c>
      <c r="F858" s="4">
        <v>0.5</v>
      </c>
      <c r="G858" s="4">
        <v>0.43</v>
      </c>
      <c r="H858" s="4">
        <v>79</v>
      </c>
      <c r="I858" s="4"/>
      <c r="J858" s="4">
        <v>50</v>
      </c>
      <c r="K858"/>
      <c r="L858"/>
      <c r="M858" s="4">
        <f t="shared" si="481"/>
        <v>133.9</v>
      </c>
      <c r="N858" s="4"/>
      <c r="O858" s="1">
        <f t="shared" si="482"/>
        <v>133.79999999999998</v>
      </c>
      <c r="P858" s="1">
        <f t="shared" si="483"/>
        <v>2.6400000000006001</v>
      </c>
      <c r="Q858" s="1" t="str">
        <f t="shared" si="479"/>
        <v/>
      </c>
      <c r="R858" s="1" t="str">
        <f t="shared" si="484"/>
        <v/>
      </c>
      <c r="S858" s="1">
        <f t="shared" si="485"/>
        <v>702.12960000000203</v>
      </c>
      <c r="T858" s="1">
        <f t="shared" si="486"/>
        <v>0.43</v>
      </c>
      <c r="U858" s="1">
        <f t="shared" si="487"/>
        <v>528.00000000012005</v>
      </c>
      <c r="V858" s="1">
        <f t="shared" si="488"/>
        <v>227.04000000005161</v>
      </c>
    </row>
    <row r="859" spans="1:22" x14ac:dyDescent="0.25">
      <c r="A859" s="1">
        <v>858</v>
      </c>
      <c r="B859" s="4">
        <v>7500</v>
      </c>
      <c r="C859" s="4">
        <v>133.9</v>
      </c>
      <c r="D859" s="4">
        <v>134</v>
      </c>
      <c r="E859" s="4">
        <f t="shared" si="480"/>
        <v>9.9999999999994316E-2</v>
      </c>
      <c r="F859" s="4">
        <v>0.5</v>
      </c>
      <c r="G859" s="4">
        <v>0.35</v>
      </c>
      <c r="H859" s="4">
        <v>79</v>
      </c>
      <c r="I859" s="4"/>
      <c r="J859" s="4">
        <v>50</v>
      </c>
      <c r="K859"/>
      <c r="L859"/>
      <c r="M859" s="4">
        <f t="shared" si="481"/>
        <v>134</v>
      </c>
      <c r="N859" s="4"/>
      <c r="O859" s="1">
        <f t="shared" si="482"/>
        <v>133.9</v>
      </c>
      <c r="P859" s="1">
        <f t="shared" si="483"/>
        <v>2.6399999999998496</v>
      </c>
      <c r="Q859" s="1" t="str">
        <f t="shared" si="479"/>
        <v/>
      </c>
      <c r="R859" s="1" t="str">
        <f t="shared" si="484"/>
        <v/>
      </c>
      <c r="S859" s="1">
        <f t="shared" si="485"/>
        <v>704.40000000000259</v>
      </c>
      <c r="T859" s="1">
        <f t="shared" si="486"/>
        <v>0.35</v>
      </c>
      <c r="U859" s="1">
        <f t="shared" si="487"/>
        <v>527.99999999996999</v>
      </c>
      <c r="V859" s="1">
        <f t="shared" si="488"/>
        <v>184.7999999999895</v>
      </c>
    </row>
    <row r="860" spans="1:22" x14ac:dyDescent="0.25">
      <c r="A860" s="1">
        <v>859</v>
      </c>
      <c r="B860" s="4">
        <v>7500</v>
      </c>
      <c r="C860" s="4">
        <v>134</v>
      </c>
      <c r="D860" s="4">
        <v>134.1</v>
      </c>
      <c r="E860" s="4">
        <f t="shared" si="480"/>
        <v>9.9999999999994316E-2</v>
      </c>
      <c r="F860" s="4">
        <v>0.4</v>
      </c>
      <c r="G860" s="4">
        <v>0.2</v>
      </c>
      <c r="H860" s="4">
        <v>79</v>
      </c>
      <c r="I860" s="4"/>
      <c r="J860" s="4">
        <v>50</v>
      </c>
      <c r="K860"/>
      <c r="L860"/>
      <c r="M860" s="4">
        <f t="shared" si="481"/>
        <v>134.1</v>
      </c>
      <c r="N860" s="4"/>
      <c r="O860" s="1">
        <f t="shared" si="482"/>
        <v>134</v>
      </c>
      <c r="P860" s="1">
        <f t="shared" si="483"/>
        <v>2.1119999999998802</v>
      </c>
      <c r="Q860" s="1" t="str">
        <f t="shared" si="479"/>
        <v/>
      </c>
      <c r="R860" s="1" t="str">
        <f t="shared" si="484"/>
        <v/>
      </c>
      <c r="S860" s="1">
        <f t="shared" si="485"/>
        <v>706.24800000000243</v>
      </c>
      <c r="T860" s="1">
        <f t="shared" si="486"/>
        <v>0.2</v>
      </c>
      <c r="U860" s="1">
        <f t="shared" si="487"/>
        <v>527.99999999996999</v>
      </c>
      <c r="V860" s="1">
        <f t="shared" si="488"/>
        <v>105.599999999994</v>
      </c>
    </row>
    <row r="861" spans="1:22" x14ac:dyDescent="0.25">
      <c r="A861" s="1">
        <v>860</v>
      </c>
      <c r="B861" s="4">
        <v>7500</v>
      </c>
      <c r="C861" s="4">
        <v>134.1</v>
      </c>
      <c r="D861" s="4">
        <v>134.29999999999998</v>
      </c>
      <c r="E861" s="4">
        <f t="shared" si="480"/>
        <v>0.19999999999998863</v>
      </c>
      <c r="F861" s="4">
        <v>0.5</v>
      </c>
      <c r="G861" s="4">
        <v>0.2</v>
      </c>
      <c r="H861" s="4">
        <v>79</v>
      </c>
      <c r="I861" s="4"/>
      <c r="J861" s="4">
        <v>50</v>
      </c>
      <c r="K861"/>
      <c r="L861"/>
      <c r="M861" s="4">
        <f t="shared" si="481"/>
        <v>134.29999999999998</v>
      </c>
      <c r="N861" s="4"/>
      <c r="O861" s="1">
        <f t="shared" si="482"/>
        <v>134.1</v>
      </c>
      <c r="P861" s="1">
        <f t="shared" si="483"/>
        <v>5.2799999999996992</v>
      </c>
      <c r="Q861" s="1" t="str">
        <f t="shared" si="479"/>
        <v/>
      </c>
      <c r="R861" s="1" t="str">
        <f t="shared" si="484"/>
        <v/>
      </c>
      <c r="S861" s="1">
        <f t="shared" si="485"/>
        <v>707.30400000000236</v>
      </c>
      <c r="T861" s="1">
        <f t="shared" si="486"/>
        <v>0.2</v>
      </c>
      <c r="U861" s="1">
        <f t="shared" si="487"/>
        <v>1055.99999999994</v>
      </c>
      <c r="V861" s="1">
        <f t="shared" si="488"/>
        <v>211.19999999998799</v>
      </c>
    </row>
    <row r="862" spans="1:22" x14ac:dyDescent="0.25">
      <c r="A862" s="1">
        <v>861</v>
      </c>
      <c r="B862" s="4">
        <v>7500</v>
      </c>
      <c r="C862" s="4">
        <v>134.29999999999998</v>
      </c>
      <c r="D862" s="4">
        <v>134.4</v>
      </c>
      <c r="E862" s="4">
        <f t="shared" si="480"/>
        <v>0.10000000000002274</v>
      </c>
      <c r="F862" s="4">
        <v>0.4</v>
      </c>
      <c r="G862" s="4">
        <v>0.12</v>
      </c>
      <c r="H862" s="4">
        <v>79</v>
      </c>
      <c r="I862" s="4"/>
      <c r="J862" s="4">
        <v>50</v>
      </c>
      <c r="K862"/>
      <c r="L862"/>
      <c r="M862" s="4">
        <f t="shared" si="481"/>
        <v>134.4</v>
      </c>
      <c r="N862" s="4"/>
      <c r="O862" s="1">
        <f t="shared" si="482"/>
        <v>134.29999999999998</v>
      </c>
      <c r="P862" s="1">
        <f t="shared" si="483"/>
        <v>2.1120000000004802</v>
      </c>
      <c r="Q862" s="1" t="str">
        <f t="shared" si="479"/>
        <v/>
      </c>
      <c r="R862" s="1" t="str">
        <f t="shared" si="484"/>
        <v/>
      </c>
      <c r="S862" s="1">
        <f t="shared" si="485"/>
        <v>709.41600000000221</v>
      </c>
      <c r="T862" s="1">
        <f t="shared" si="486"/>
        <v>0.12</v>
      </c>
      <c r="U862" s="1">
        <f t="shared" si="487"/>
        <v>528.00000000012005</v>
      </c>
      <c r="V862" s="1">
        <f t="shared" si="488"/>
        <v>63.360000000014402</v>
      </c>
    </row>
    <row r="863" spans="1:22" x14ac:dyDescent="0.25">
      <c r="A863" s="1">
        <v>862</v>
      </c>
      <c r="B863" s="4">
        <v>7500</v>
      </c>
      <c r="C863" s="4">
        <v>134.4</v>
      </c>
      <c r="D863" s="4">
        <v>134.5</v>
      </c>
      <c r="E863" s="4">
        <f t="shared" si="480"/>
        <v>9.9999999999994316E-2</v>
      </c>
      <c r="F863" s="4">
        <v>0.4</v>
      </c>
      <c r="G863" s="4">
        <v>0.12</v>
      </c>
      <c r="H863" s="4">
        <v>79</v>
      </c>
      <c r="I863" s="4"/>
      <c r="J863" s="4">
        <v>50</v>
      </c>
      <c r="K863"/>
      <c r="L863"/>
      <c r="M863" s="4">
        <f t="shared" si="481"/>
        <v>134.5</v>
      </c>
      <c r="N863" s="4"/>
      <c r="O863" s="1">
        <f t="shared" si="482"/>
        <v>134.4</v>
      </c>
      <c r="P863" s="1">
        <f t="shared" si="483"/>
        <v>2.1119999999998802</v>
      </c>
      <c r="Q863" s="1" t="str">
        <f t="shared" si="479"/>
        <v/>
      </c>
      <c r="R863" s="1" t="str">
        <f t="shared" si="484"/>
        <v/>
      </c>
      <c r="S863" s="1">
        <f t="shared" si="485"/>
        <v>710.04960000000233</v>
      </c>
      <c r="T863" s="1">
        <f t="shared" si="486"/>
        <v>0.12</v>
      </c>
      <c r="U863" s="1">
        <f t="shared" si="487"/>
        <v>527.99999999996999</v>
      </c>
      <c r="V863" s="1">
        <f t="shared" si="488"/>
        <v>63.359999999996397</v>
      </c>
    </row>
    <row r="864" spans="1:22" x14ac:dyDescent="0.25">
      <c r="A864" s="1">
        <v>863</v>
      </c>
      <c r="B864" s="4">
        <v>7500</v>
      </c>
      <c r="C864" s="4">
        <v>134.5</v>
      </c>
      <c r="D864" s="4">
        <v>134.69999999999999</v>
      </c>
      <c r="E864" s="4">
        <f t="shared" si="480"/>
        <v>0.19999999999998863</v>
      </c>
      <c r="F864" s="4">
        <v>0</v>
      </c>
      <c r="G864" s="4">
        <v>0.12</v>
      </c>
      <c r="H864" s="4">
        <v>79</v>
      </c>
      <c r="I864" s="4"/>
      <c r="J864" s="4">
        <v>50</v>
      </c>
      <c r="K864"/>
      <c r="L864"/>
      <c r="M864" s="4">
        <f t="shared" si="481"/>
        <v>134.69999999999999</v>
      </c>
      <c r="N864" s="4"/>
      <c r="O864" s="1">
        <f t="shared" si="482"/>
        <v>134.5</v>
      </c>
      <c r="P864" s="1">
        <f t="shared" si="483"/>
        <v>0</v>
      </c>
      <c r="Q864" s="1" t="str">
        <f t="shared" si="479"/>
        <v/>
      </c>
      <c r="R864" s="1" t="str">
        <f t="shared" si="484"/>
        <v/>
      </c>
      <c r="S864" s="1">
        <f t="shared" si="485"/>
        <v>710.68320000000233</v>
      </c>
      <c r="T864" s="1">
        <f t="shared" si="486"/>
        <v>0.12</v>
      </c>
      <c r="U864" s="1">
        <f t="shared" si="487"/>
        <v>1055.99999999994</v>
      </c>
      <c r="V864" s="1">
        <f t="shared" si="488"/>
        <v>126.71999999999279</v>
      </c>
    </row>
    <row r="865" spans="1:22" x14ac:dyDescent="0.25">
      <c r="A865" s="1">
        <v>864</v>
      </c>
      <c r="B865" s="4">
        <v>7500</v>
      </c>
      <c r="C865" s="4">
        <v>134.69999999999999</v>
      </c>
      <c r="D865" s="4">
        <v>135.1</v>
      </c>
      <c r="E865" s="4">
        <f t="shared" si="480"/>
        <v>0.40000000000000568</v>
      </c>
      <c r="F865" s="4">
        <v>0</v>
      </c>
      <c r="G865" s="4">
        <v>-0.05</v>
      </c>
      <c r="H865" s="4">
        <v>79</v>
      </c>
      <c r="I865" s="4"/>
      <c r="J865" s="4">
        <v>50</v>
      </c>
      <c r="K865"/>
      <c r="L865"/>
      <c r="M865" s="4">
        <f t="shared" si="481"/>
        <v>135.1</v>
      </c>
      <c r="N865" s="4"/>
      <c r="O865" s="1">
        <f t="shared" si="482"/>
        <v>134.69999999999999</v>
      </c>
      <c r="P865" s="1">
        <f t="shared" si="483"/>
        <v>0</v>
      </c>
      <c r="Q865" s="1" t="str">
        <f t="shared" si="479"/>
        <v/>
      </c>
      <c r="R865" s="1" t="str">
        <f t="shared" si="484"/>
        <v/>
      </c>
      <c r="S865" s="1">
        <f t="shared" si="485"/>
        <v>711.95040000000222</v>
      </c>
      <c r="T865" s="1">
        <f t="shared" si="486"/>
        <v>-0.05</v>
      </c>
      <c r="U865" s="1">
        <f t="shared" si="487"/>
        <v>2112.00000000003</v>
      </c>
      <c r="V865" s="1">
        <f t="shared" si="488"/>
        <v>105.6000000000015</v>
      </c>
    </row>
    <row r="866" spans="1:22" x14ac:dyDescent="0.25">
      <c r="A866" s="1">
        <v>865</v>
      </c>
      <c r="B866" s="4">
        <v>7500</v>
      </c>
      <c r="C866" s="4">
        <v>135.1</v>
      </c>
      <c r="D866" s="4">
        <v>135.19999999999999</v>
      </c>
      <c r="E866" s="4">
        <f t="shared" si="480"/>
        <v>9.9999999999994316E-2</v>
      </c>
      <c r="F866" s="4">
        <v>0</v>
      </c>
      <c r="G866" s="4">
        <v>-0.33</v>
      </c>
      <c r="H866" s="4">
        <v>79</v>
      </c>
      <c r="I866" s="4"/>
      <c r="J866" s="4">
        <v>50</v>
      </c>
      <c r="K866"/>
      <c r="L866"/>
      <c r="M866" s="4">
        <f t="shared" si="481"/>
        <v>135.19999999999999</v>
      </c>
      <c r="N866" s="4"/>
      <c r="O866" s="1">
        <f t="shared" si="482"/>
        <v>135.1</v>
      </c>
      <c r="P866" s="1">
        <f t="shared" si="483"/>
        <v>0</v>
      </c>
      <c r="Q866" s="1" t="str">
        <f t="shared" si="479"/>
        <v/>
      </c>
      <c r="R866" s="1" t="str">
        <f t="shared" si="484"/>
        <v/>
      </c>
      <c r="S866" s="1">
        <f t="shared" si="485"/>
        <v>710.89440000000218</v>
      </c>
      <c r="T866" s="1">
        <f t="shared" si="486"/>
        <v>-0.33</v>
      </c>
      <c r="U866" s="1">
        <f t="shared" si="487"/>
        <v>527.99999999996999</v>
      </c>
      <c r="V866" s="1">
        <f t="shared" si="488"/>
        <v>174.23999999999009</v>
      </c>
    </row>
    <row r="867" spans="1:22" x14ac:dyDescent="0.25">
      <c r="A867" s="1">
        <v>866</v>
      </c>
      <c r="B867" s="4">
        <v>7500</v>
      </c>
      <c r="C867" s="4">
        <v>135.19999999999999</v>
      </c>
      <c r="D867" s="4">
        <v>135.4</v>
      </c>
      <c r="E867" s="4">
        <f t="shared" si="480"/>
        <v>0.20000000000001705</v>
      </c>
      <c r="F867" s="4">
        <v>0</v>
      </c>
      <c r="G867" s="4">
        <v>0.28000000000000003</v>
      </c>
      <c r="H867" s="4">
        <v>79</v>
      </c>
      <c r="I867" s="4"/>
      <c r="J867" s="4">
        <v>50</v>
      </c>
      <c r="K867"/>
      <c r="L867"/>
      <c r="M867" s="4">
        <f t="shared" si="481"/>
        <v>135.4</v>
      </c>
      <c r="N867" s="4"/>
      <c r="O867" s="1">
        <f t="shared" si="482"/>
        <v>135.19999999999999</v>
      </c>
      <c r="P867" s="1">
        <f t="shared" si="483"/>
        <v>0</v>
      </c>
      <c r="Q867" s="1" t="str">
        <f t="shared" si="479"/>
        <v/>
      </c>
      <c r="R867" s="1" t="str">
        <f t="shared" si="484"/>
        <v/>
      </c>
      <c r="S867" s="1">
        <f t="shared" si="485"/>
        <v>709.15200000000232</v>
      </c>
      <c r="T867" s="1">
        <f t="shared" si="486"/>
        <v>0.28000000000000003</v>
      </c>
      <c r="U867" s="1">
        <f t="shared" si="487"/>
        <v>1056.00000000009</v>
      </c>
      <c r="V867" s="1">
        <f t="shared" si="488"/>
        <v>295.68000000002525</v>
      </c>
    </row>
    <row r="868" spans="1:22" x14ac:dyDescent="0.25">
      <c r="A868" s="1">
        <v>867</v>
      </c>
      <c r="B868" s="4">
        <v>7500</v>
      </c>
      <c r="C868" s="4">
        <v>135.4</v>
      </c>
      <c r="D868" s="4">
        <v>135.5</v>
      </c>
      <c r="E868" s="4">
        <f t="shared" si="480"/>
        <v>9.9999999999994316E-2</v>
      </c>
      <c r="F868" s="4">
        <v>0</v>
      </c>
      <c r="G868" s="4">
        <v>0.49</v>
      </c>
      <c r="H868" s="4">
        <v>79</v>
      </c>
      <c r="I868" s="4"/>
      <c r="J868" s="4">
        <v>50</v>
      </c>
      <c r="K868"/>
      <c r="L868"/>
      <c r="M868" s="4">
        <f t="shared" si="481"/>
        <v>135.5</v>
      </c>
      <c r="N868" s="4"/>
      <c r="O868" s="1">
        <f t="shared" si="482"/>
        <v>135.4</v>
      </c>
      <c r="P868" s="1">
        <f t="shared" si="483"/>
        <v>0</v>
      </c>
      <c r="Q868" s="1" t="str">
        <f t="shared" si="479"/>
        <v/>
      </c>
      <c r="R868" s="1" t="str">
        <f t="shared" si="484"/>
        <v/>
      </c>
      <c r="S868" s="1">
        <f t="shared" si="485"/>
        <v>712.10880000000259</v>
      </c>
      <c r="T868" s="1">
        <f t="shared" si="486"/>
        <v>0.49</v>
      </c>
      <c r="U868" s="1">
        <f t="shared" si="487"/>
        <v>527.99999999996999</v>
      </c>
      <c r="V868" s="1">
        <f t="shared" si="488"/>
        <v>258.7199999999853</v>
      </c>
    </row>
    <row r="869" spans="1:22" x14ac:dyDescent="0.25">
      <c r="A869" s="1">
        <v>868</v>
      </c>
      <c r="B869" s="4">
        <v>7500</v>
      </c>
      <c r="C869" s="4">
        <v>135.5</v>
      </c>
      <c r="D869" s="4">
        <v>135.69999999999999</v>
      </c>
      <c r="E869" s="4">
        <f t="shared" si="480"/>
        <v>0.19999999999998863</v>
      </c>
      <c r="F869" s="4">
        <v>0</v>
      </c>
      <c r="G869" s="4">
        <v>-0.04</v>
      </c>
      <c r="H869" s="4">
        <v>79</v>
      </c>
      <c r="I869" s="4"/>
      <c r="J869" s="4">
        <v>50</v>
      </c>
      <c r="K869"/>
      <c r="L869"/>
      <c r="M869" s="4">
        <f t="shared" si="481"/>
        <v>135.69999999999999</v>
      </c>
      <c r="N869" s="4"/>
      <c r="O869" s="1">
        <f t="shared" si="482"/>
        <v>135.5</v>
      </c>
      <c r="P869" s="1">
        <f t="shared" si="483"/>
        <v>0</v>
      </c>
      <c r="Q869" s="1" t="str">
        <f t="shared" si="479"/>
        <v/>
      </c>
      <c r="R869" s="1" t="str">
        <f t="shared" si="484"/>
        <v/>
      </c>
      <c r="S869" s="1">
        <f t="shared" si="485"/>
        <v>714.69600000000241</v>
      </c>
      <c r="T869" s="1">
        <f t="shared" si="486"/>
        <v>-0.04</v>
      </c>
      <c r="U869" s="1">
        <f t="shared" si="487"/>
        <v>1055.99999999994</v>
      </c>
      <c r="V869" s="1">
        <f t="shared" si="488"/>
        <v>42.2399999999976</v>
      </c>
    </row>
    <row r="870" spans="1:22" x14ac:dyDescent="0.25">
      <c r="A870" s="1">
        <v>869</v>
      </c>
      <c r="B870" s="4">
        <v>7500</v>
      </c>
      <c r="C870" s="4">
        <v>135.69999999999999</v>
      </c>
      <c r="D870" s="4">
        <v>135.79999999999998</v>
      </c>
      <c r="E870" s="4">
        <f t="shared" si="480"/>
        <v>9.9999999999994316E-2</v>
      </c>
      <c r="F870" s="4">
        <v>0</v>
      </c>
      <c r="G870" s="4">
        <v>-0.16</v>
      </c>
      <c r="H870" s="4">
        <v>79</v>
      </c>
      <c r="I870" s="4"/>
      <c r="J870" s="4">
        <v>50</v>
      </c>
      <c r="K870"/>
      <c r="L870"/>
      <c r="M870" s="4">
        <f t="shared" si="481"/>
        <v>135.79999999999998</v>
      </c>
      <c r="N870" s="4"/>
      <c r="O870" s="1">
        <f t="shared" si="482"/>
        <v>135.69999999999999</v>
      </c>
      <c r="P870" s="1">
        <f t="shared" si="483"/>
        <v>0</v>
      </c>
      <c r="Q870" s="1" t="str">
        <f t="shared" si="479"/>
        <v/>
      </c>
      <c r="R870" s="1" t="str">
        <f t="shared" si="484"/>
        <v/>
      </c>
      <c r="S870" s="1">
        <f t="shared" si="485"/>
        <v>714.27360000000249</v>
      </c>
      <c r="T870" s="1">
        <f t="shared" si="486"/>
        <v>-0.16</v>
      </c>
      <c r="U870" s="1">
        <f t="shared" si="487"/>
        <v>527.99999999996999</v>
      </c>
      <c r="V870" s="1">
        <f t="shared" si="488"/>
        <v>84.479999999995201</v>
      </c>
    </row>
    <row r="871" spans="1:22" x14ac:dyDescent="0.25">
      <c r="A871" s="1">
        <v>870</v>
      </c>
      <c r="B871" s="4">
        <v>7500</v>
      </c>
      <c r="C871" s="4">
        <v>135.79999999999998</v>
      </c>
      <c r="D871" s="4">
        <v>136</v>
      </c>
      <c r="E871" s="4">
        <f t="shared" si="480"/>
        <v>0.20000000000001705</v>
      </c>
      <c r="F871" s="4">
        <v>0</v>
      </c>
      <c r="G871" s="4">
        <v>-0.22</v>
      </c>
      <c r="H871" s="4">
        <v>79</v>
      </c>
      <c r="I871" s="4"/>
      <c r="J871" s="4">
        <v>50</v>
      </c>
      <c r="K871"/>
      <c r="L871"/>
      <c r="M871" s="4">
        <f t="shared" si="481"/>
        <v>136</v>
      </c>
      <c r="N871" s="4"/>
      <c r="O871" s="1">
        <f t="shared" si="482"/>
        <v>135.79999999999998</v>
      </c>
      <c r="P871" s="1">
        <f t="shared" si="483"/>
        <v>0</v>
      </c>
      <c r="Q871" s="1" t="str">
        <f t="shared" si="479"/>
        <v/>
      </c>
      <c r="R871" s="1" t="str">
        <f t="shared" si="484"/>
        <v/>
      </c>
      <c r="S871" s="1">
        <f t="shared" si="485"/>
        <v>713.42880000000252</v>
      </c>
      <c r="T871" s="1">
        <f t="shared" si="486"/>
        <v>-0.22</v>
      </c>
      <c r="U871" s="1">
        <f t="shared" si="487"/>
        <v>1056.00000000009</v>
      </c>
      <c r="V871" s="1">
        <f t="shared" si="488"/>
        <v>232.3200000000198</v>
      </c>
    </row>
    <row r="872" spans="1:22" x14ac:dyDescent="0.25">
      <c r="A872" s="1">
        <v>871</v>
      </c>
      <c r="B872" s="4">
        <v>7500</v>
      </c>
      <c r="C872" s="4">
        <v>136</v>
      </c>
      <c r="D872" s="4">
        <v>136.1</v>
      </c>
      <c r="E872" s="4">
        <f t="shared" si="480"/>
        <v>9.9999999999994316E-2</v>
      </c>
      <c r="F872" s="4">
        <v>0</v>
      </c>
      <c r="G872" s="4">
        <v>-7.0000000000000007E-2</v>
      </c>
      <c r="H872" s="4">
        <v>79</v>
      </c>
      <c r="I872" s="4"/>
      <c r="J872" s="4">
        <v>50</v>
      </c>
      <c r="K872"/>
      <c r="L872"/>
      <c r="M872" s="4">
        <f t="shared" si="481"/>
        <v>136.1</v>
      </c>
      <c r="N872" s="4"/>
      <c r="O872" s="1">
        <f t="shared" si="482"/>
        <v>136</v>
      </c>
      <c r="P872" s="1">
        <f t="shared" si="483"/>
        <v>0</v>
      </c>
      <c r="Q872" s="1" t="str">
        <f t="shared" si="479"/>
        <v/>
      </c>
      <c r="R872" s="1" t="str">
        <f t="shared" si="484"/>
        <v/>
      </c>
      <c r="S872" s="1">
        <f t="shared" si="485"/>
        <v>711.10560000000237</v>
      </c>
      <c r="T872" s="1">
        <f t="shared" si="486"/>
        <v>-7.0000000000000007E-2</v>
      </c>
      <c r="U872" s="1">
        <f t="shared" si="487"/>
        <v>527.99999999996999</v>
      </c>
      <c r="V872" s="1">
        <f t="shared" si="488"/>
        <v>36.959999999997905</v>
      </c>
    </row>
    <row r="873" spans="1:22" x14ac:dyDescent="0.25">
      <c r="A873" s="1">
        <v>872</v>
      </c>
      <c r="B873" s="4">
        <v>7500</v>
      </c>
      <c r="C873" s="4">
        <v>136.1</v>
      </c>
      <c r="D873" s="4">
        <v>136.29999999999998</v>
      </c>
      <c r="E873" s="4">
        <f t="shared" si="480"/>
        <v>0.19999999999998863</v>
      </c>
      <c r="F873" s="4">
        <v>0</v>
      </c>
      <c r="G873" s="4">
        <v>0.24</v>
      </c>
      <c r="H873" s="4">
        <v>79</v>
      </c>
      <c r="I873" s="4"/>
      <c r="J873" s="4">
        <v>50</v>
      </c>
      <c r="K873"/>
      <c r="L873"/>
      <c r="M873" s="4">
        <f t="shared" si="481"/>
        <v>136.29999999999998</v>
      </c>
      <c r="N873" s="4"/>
      <c r="O873" s="1">
        <f t="shared" si="482"/>
        <v>136.1</v>
      </c>
      <c r="P873" s="1">
        <f t="shared" si="483"/>
        <v>0</v>
      </c>
      <c r="Q873" s="1" t="str">
        <f t="shared" si="479"/>
        <v/>
      </c>
      <c r="R873" s="1" t="str">
        <f t="shared" si="484"/>
        <v/>
      </c>
      <c r="S873" s="1">
        <f t="shared" si="485"/>
        <v>710.73600000000238</v>
      </c>
      <c r="T873" s="1">
        <f t="shared" si="486"/>
        <v>0.24</v>
      </c>
      <c r="U873" s="1">
        <f t="shared" si="487"/>
        <v>1055.99999999994</v>
      </c>
      <c r="V873" s="1">
        <f t="shared" si="488"/>
        <v>253.43999999998559</v>
      </c>
    </row>
    <row r="874" spans="1:22" x14ac:dyDescent="0.25">
      <c r="A874" s="1">
        <v>873</v>
      </c>
      <c r="B874" s="4">
        <v>7500</v>
      </c>
      <c r="C874" s="4">
        <v>136.29999999999998</v>
      </c>
      <c r="D874" s="4">
        <v>136.4</v>
      </c>
      <c r="E874" s="4">
        <f t="shared" si="480"/>
        <v>0.10000000000002274</v>
      </c>
      <c r="F874" s="4">
        <v>0</v>
      </c>
      <c r="G874" s="4">
        <v>0.24</v>
      </c>
      <c r="H874" s="4">
        <v>79</v>
      </c>
      <c r="I874" s="4"/>
      <c r="J874" s="4">
        <v>50</v>
      </c>
      <c r="K874"/>
      <c r="L874"/>
      <c r="M874" s="4">
        <f t="shared" si="481"/>
        <v>136.4</v>
      </c>
      <c r="N874" s="4"/>
      <c r="O874" s="1">
        <f t="shared" si="482"/>
        <v>136.29999999999998</v>
      </c>
      <c r="P874" s="1">
        <f t="shared" si="483"/>
        <v>0</v>
      </c>
      <c r="Q874" s="1" t="str">
        <f t="shared" si="479"/>
        <v/>
      </c>
      <c r="R874" s="1" t="str">
        <f t="shared" si="484"/>
        <v/>
      </c>
      <c r="S874" s="1">
        <f t="shared" si="485"/>
        <v>713.27040000000227</v>
      </c>
      <c r="T874" s="1">
        <f t="shared" si="486"/>
        <v>0.24</v>
      </c>
      <c r="U874" s="1">
        <f t="shared" si="487"/>
        <v>528.00000000012005</v>
      </c>
      <c r="V874" s="1">
        <f t="shared" si="488"/>
        <v>126.7200000000288</v>
      </c>
    </row>
    <row r="875" spans="1:22" x14ac:dyDescent="0.25">
      <c r="A875" s="1">
        <v>874</v>
      </c>
      <c r="B875" s="4">
        <v>7500</v>
      </c>
      <c r="C875" s="4">
        <v>136.4</v>
      </c>
      <c r="D875" s="4">
        <v>136.69999999999999</v>
      </c>
      <c r="E875" s="4">
        <f t="shared" si="480"/>
        <v>0.29999999999998295</v>
      </c>
      <c r="F875" s="4">
        <v>0</v>
      </c>
      <c r="G875" s="4">
        <v>0.4</v>
      </c>
      <c r="H875" s="4">
        <v>79</v>
      </c>
      <c r="I875" s="4"/>
      <c r="J875" s="4">
        <v>50</v>
      </c>
      <c r="K875"/>
      <c r="L875"/>
      <c r="M875" s="4">
        <f t="shared" si="481"/>
        <v>136.69999999999999</v>
      </c>
      <c r="N875" s="4"/>
      <c r="O875" s="1">
        <f t="shared" si="482"/>
        <v>136.4</v>
      </c>
      <c r="P875" s="1">
        <f t="shared" si="483"/>
        <v>0</v>
      </c>
      <c r="Q875" s="1" t="str">
        <f t="shared" si="479"/>
        <v/>
      </c>
      <c r="R875" s="1" t="str">
        <f t="shared" si="484"/>
        <v/>
      </c>
      <c r="S875" s="1">
        <f t="shared" si="485"/>
        <v>714.53760000000261</v>
      </c>
      <c r="T875" s="1">
        <f t="shared" si="486"/>
        <v>0.4</v>
      </c>
      <c r="U875" s="1">
        <f t="shared" si="487"/>
        <v>1583.99999999991</v>
      </c>
      <c r="V875" s="1">
        <f t="shared" si="488"/>
        <v>633.59999999996398</v>
      </c>
    </row>
    <row r="876" spans="1:22" x14ac:dyDescent="0.25">
      <c r="A876" s="1">
        <v>875</v>
      </c>
      <c r="B876" s="4">
        <v>7500</v>
      </c>
      <c r="C876" s="4">
        <v>136.69999999999999</v>
      </c>
      <c r="D876" s="4">
        <v>137</v>
      </c>
      <c r="E876" s="4">
        <f t="shared" si="480"/>
        <v>0.30000000000001137</v>
      </c>
      <c r="F876" s="4">
        <v>1</v>
      </c>
      <c r="G876" s="4">
        <v>0.4</v>
      </c>
      <c r="H876" s="4">
        <v>79</v>
      </c>
      <c r="I876" s="4"/>
      <c r="J876" s="4">
        <v>50</v>
      </c>
      <c r="K876"/>
      <c r="L876"/>
      <c r="M876" s="4">
        <f t="shared" si="481"/>
        <v>137</v>
      </c>
      <c r="N876" s="4"/>
      <c r="O876" s="1">
        <f t="shared" si="482"/>
        <v>136.69999999999999</v>
      </c>
      <c r="P876" s="1">
        <f t="shared" si="483"/>
        <v>15.8400000000006</v>
      </c>
      <c r="Q876" s="1" t="str">
        <f t="shared" si="479"/>
        <v/>
      </c>
      <c r="R876" s="1" t="str">
        <f t="shared" si="484"/>
        <v/>
      </c>
      <c r="S876" s="1">
        <f t="shared" si="485"/>
        <v>720.87360000000228</v>
      </c>
      <c r="T876" s="1">
        <f t="shared" si="486"/>
        <v>0.4</v>
      </c>
      <c r="U876" s="1">
        <f t="shared" si="487"/>
        <v>1584.00000000006</v>
      </c>
      <c r="V876" s="1">
        <f t="shared" si="488"/>
        <v>633.60000000002401</v>
      </c>
    </row>
    <row r="877" spans="1:22" x14ac:dyDescent="0.25">
      <c r="A877" s="1">
        <v>876</v>
      </c>
      <c r="B877" s="4">
        <v>7500</v>
      </c>
      <c r="C877" s="4">
        <v>137</v>
      </c>
      <c r="D877" s="4">
        <v>137.19999999999999</v>
      </c>
      <c r="E877" s="4">
        <f t="shared" si="480"/>
        <v>0.19999999999998863</v>
      </c>
      <c r="F877" s="4">
        <v>0</v>
      </c>
      <c r="G877" s="4">
        <v>0.4</v>
      </c>
      <c r="H877" s="4">
        <v>79</v>
      </c>
      <c r="I877" s="4"/>
      <c r="J877" s="4">
        <v>50</v>
      </c>
      <c r="K877"/>
      <c r="L877"/>
      <c r="M877" s="4">
        <f t="shared" si="481"/>
        <v>137.19999999999999</v>
      </c>
      <c r="N877" s="4"/>
      <c r="O877" s="1">
        <f t="shared" si="482"/>
        <v>137</v>
      </c>
      <c r="P877" s="1">
        <f t="shared" si="483"/>
        <v>0</v>
      </c>
      <c r="Q877" s="1" t="str">
        <f t="shared" si="479"/>
        <v/>
      </c>
      <c r="R877" s="1" t="str">
        <f t="shared" si="484"/>
        <v/>
      </c>
      <c r="S877" s="1">
        <f t="shared" si="485"/>
        <v>727.20960000000252</v>
      </c>
      <c r="T877" s="1">
        <f t="shared" si="486"/>
        <v>0.4</v>
      </c>
      <c r="U877" s="1">
        <f t="shared" si="487"/>
        <v>1055.99999999994</v>
      </c>
      <c r="V877" s="1">
        <f t="shared" si="488"/>
        <v>422.39999999997599</v>
      </c>
    </row>
    <row r="878" spans="1:22" x14ac:dyDescent="0.25">
      <c r="A878" s="1">
        <v>877</v>
      </c>
      <c r="B878" s="4">
        <v>7500</v>
      </c>
      <c r="C878" s="4">
        <v>137.19999999999999</v>
      </c>
      <c r="D878" s="4">
        <v>137.4</v>
      </c>
      <c r="E878" s="4">
        <f t="shared" si="480"/>
        <v>0.20000000000001705</v>
      </c>
      <c r="F878" s="4">
        <v>0</v>
      </c>
      <c r="G878" s="4">
        <v>0.28999999999999998</v>
      </c>
      <c r="H878" s="4">
        <v>79</v>
      </c>
      <c r="I878" s="4"/>
      <c r="J878" s="4">
        <v>50</v>
      </c>
      <c r="K878"/>
      <c r="L878"/>
      <c r="M878" s="4">
        <f t="shared" si="481"/>
        <v>137.4</v>
      </c>
      <c r="N878" s="4"/>
      <c r="O878" s="1">
        <f t="shared" si="482"/>
        <v>137.19999999999999</v>
      </c>
      <c r="P878" s="1">
        <f t="shared" si="483"/>
        <v>0</v>
      </c>
      <c r="Q878" s="1" t="str">
        <f t="shared" si="479"/>
        <v/>
      </c>
      <c r="R878" s="1" t="str">
        <f t="shared" si="484"/>
        <v/>
      </c>
      <c r="S878" s="1">
        <f t="shared" si="485"/>
        <v>731.43360000000223</v>
      </c>
      <c r="T878" s="1">
        <f t="shared" si="486"/>
        <v>0.28999999999999998</v>
      </c>
      <c r="U878" s="1">
        <f t="shared" si="487"/>
        <v>1056.00000000009</v>
      </c>
      <c r="V878" s="1">
        <f t="shared" si="488"/>
        <v>306.2400000000261</v>
      </c>
    </row>
    <row r="879" spans="1:22" x14ac:dyDescent="0.25">
      <c r="A879" s="1">
        <v>878</v>
      </c>
      <c r="B879" s="4">
        <v>7500</v>
      </c>
      <c r="C879" s="4">
        <v>137.4</v>
      </c>
      <c r="D879" s="4">
        <v>137.5</v>
      </c>
      <c r="E879" s="4">
        <f t="shared" si="480"/>
        <v>9.9999999999994316E-2</v>
      </c>
      <c r="F879" s="4">
        <v>0</v>
      </c>
      <c r="G879" s="4">
        <v>0.06</v>
      </c>
      <c r="H879" s="4">
        <v>79</v>
      </c>
      <c r="I879" s="4"/>
      <c r="J879" s="4">
        <v>50</v>
      </c>
      <c r="K879"/>
      <c r="L879"/>
      <c r="M879" s="4">
        <f t="shared" si="481"/>
        <v>137.5</v>
      </c>
      <c r="N879" s="4"/>
      <c r="O879" s="1">
        <f t="shared" si="482"/>
        <v>137.4</v>
      </c>
      <c r="P879" s="1">
        <f t="shared" si="483"/>
        <v>0</v>
      </c>
      <c r="Q879" s="1" t="str">
        <f t="shared" si="479"/>
        <v/>
      </c>
      <c r="R879" s="1" t="str">
        <f t="shared" si="484"/>
        <v/>
      </c>
      <c r="S879" s="1">
        <f t="shared" si="485"/>
        <v>734.49600000000248</v>
      </c>
      <c r="T879" s="1">
        <f t="shared" si="486"/>
        <v>0.06</v>
      </c>
      <c r="U879" s="1">
        <f t="shared" si="487"/>
        <v>527.99999999996999</v>
      </c>
      <c r="V879" s="1">
        <f t="shared" si="488"/>
        <v>31.679999999998198</v>
      </c>
    </row>
    <row r="880" spans="1:22" x14ac:dyDescent="0.25">
      <c r="A880" s="1">
        <v>879</v>
      </c>
      <c r="B880" s="4">
        <v>7500</v>
      </c>
      <c r="C880" s="4">
        <v>137.5</v>
      </c>
      <c r="D880" s="4">
        <v>137.6</v>
      </c>
      <c r="E880" s="4">
        <f t="shared" si="480"/>
        <v>9.9999999999994316E-2</v>
      </c>
      <c r="F880" s="4">
        <v>0</v>
      </c>
      <c r="G880" s="4">
        <v>0.05</v>
      </c>
      <c r="H880" s="4">
        <v>79</v>
      </c>
      <c r="I880" s="4"/>
      <c r="J880" s="4">
        <v>50</v>
      </c>
      <c r="K880"/>
      <c r="L880"/>
      <c r="M880" s="4">
        <f t="shared" si="481"/>
        <v>137.6</v>
      </c>
      <c r="N880" s="4"/>
      <c r="O880" s="1">
        <f t="shared" si="482"/>
        <v>137.5</v>
      </c>
      <c r="P880" s="1">
        <f t="shared" si="483"/>
        <v>0</v>
      </c>
      <c r="Q880" s="1" t="str">
        <f t="shared" si="479"/>
        <v/>
      </c>
      <c r="R880" s="1" t="str">
        <f t="shared" si="484"/>
        <v/>
      </c>
      <c r="S880" s="1">
        <f t="shared" si="485"/>
        <v>734.81280000000243</v>
      </c>
      <c r="T880" s="1">
        <f t="shared" si="486"/>
        <v>0.05</v>
      </c>
      <c r="U880" s="1">
        <f t="shared" si="487"/>
        <v>527.99999999996999</v>
      </c>
      <c r="V880" s="1">
        <f t="shared" si="488"/>
        <v>26.399999999998499</v>
      </c>
    </row>
    <row r="881" spans="1:22" x14ac:dyDescent="0.25">
      <c r="A881" s="1">
        <v>880</v>
      </c>
      <c r="B881" s="4">
        <v>7500</v>
      </c>
      <c r="C881" s="4">
        <v>137.6</v>
      </c>
      <c r="D881" s="4">
        <v>137.69999999999999</v>
      </c>
      <c r="E881" s="4">
        <f t="shared" si="480"/>
        <v>9.9999999999994316E-2</v>
      </c>
      <c r="F881" s="4">
        <v>0</v>
      </c>
      <c r="G881" s="4">
        <v>0.02</v>
      </c>
      <c r="H881" s="4">
        <v>79</v>
      </c>
      <c r="I881" s="4"/>
      <c r="J881" s="4">
        <v>50</v>
      </c>
      <c r="K881"/>
      <c r="L881"/>
      <c r="M881" s="4">
        <f t="shared" si="481"/>
        <v>137.69999999999999</v>
      </c>
      <c r="N881" s="4"/>
      <c r="O881" s="1">
        <f t="shared" si="482"/>
        <v>137.6</v>
      </c>
      <c r="P881" s="1">
        <f t="shared" si="483"/>
        <v>0</v>
      </c>
      <c r="Q881" s="1" t="str">
        <f t="shared" si="479"/>
        <v/>
      </c>
      <c r="R881" s="1" t="str">
        <f t="shared" si="484"/>
        <v/>
      </c>
      <c r="S881" s="1">
        <f t="shared" si="485"/>
        <v>735.07680000000244</v>
      </c>
      <c r="T881" s="1">
        <f t="shared" si="486"/>
        <v>0.02</v>
      </c>
      <c r="U881" s="1">
        <f t="shared" si="487"/>
        <v>527.99999999996999</v>
      </c>
      <c r="V881" s="1">
        <f t="shared" si="488"/>
        <v>10.5599999999994</v>
      </c>
    </row>
    <row r="882" spans="1:22" x14ac:dyDescent="0.25">
      <c r="A882" s="1">
        <v>881</v>
      </c>
      <c r="B882" s="4">
        <v>7500</v>
      </c>
      <c r="C882" s="4">
        <v>137.69999999999999</v>
      </c>
      <c r="D882" s="4">
        <v>137.9</v>
      </c>
      <c r="E882" s="4">
        <f t="shared" si="480"/>
        <v>0.20000000000001705</v>
      </c>
      <c r="F882" s="4">
        <v>0</v>
      </c>
      <c r="G882" s="4">
        <v>0.08</v>
      </c>
      <c r="H882" s="4">
        <v>79</v>
      </c>
      <c r="I882" s="4"/>
      <c r="J882" s="4">
        <v>50</v>
      </c>
      <c r="K882"/>
      <c r="L882"/>
      <c r="M882" s="4">
        <f t="shared" si="481"/>
        <v>137.9</v>
      </c>
      <c r="N882" s="4"/>
      <c r="O882" s="1">
        <f t="shared" si="482"/>
        <v>137.69999999999999</v>
      </c>
      <c r="P882" s="1">
        <f t="shared" si="483"/>
        <v>0</v>
      </c>
      <c r="Q882" s="1" t="str">
        <f t="shared" si="479"/>
        <v/>
      </c>
      <c r="R882" s="1" t="str">
        <f t="shared" si="484"/>
        <v/>
      </c>
      <c r="S882" s="1">
        <f t="shared" si="485"/>
        <v>735.18240000000242</v>
      </c>
      <c r="T882" s="1">
        <f t="shared" si="486"/>
        <v>0.08</v>
      </c>
      <c r="U882" s="1">
        <f t="shared" si="487"/>
        <v>1056.00000000009</v>
      </c>
      <c r="V882" s="1">
        <f t="shared" si="488"/>
        <v>84.480000000007209</v>
      </c>
    </row>
    <row r="883" spans="1:22" x14ac:dyDescent="0.25">
      <c r="A883" s="1">
        <v>882</v>
      </c>
      <c r="B883" s="4">
        <v>7500</v>
      </c>
      <c r="C883" s="4">
        <v>137.9</v>
      </c>
      <c r="D883" s="4">
        <v>138</v>
      </c>
      <c r="E883" s="4">
        <f t="shared" si="480"/>
        <v>9.9999999999994316E-2</v>
      </c>
      <c r="F883" s="4">
        <v>0</v>
      </c>
      <c r="G883" s="4">
        <v>0.14000000000000001</v>
      </c>
      <c r="H883" s="4">
        <v>79</v>
      </c>
      <c r="I883" s="4"/>
      <c r="J883" s="4">
        <v>50</v>
      </c>
      <c r="K883"/>
      <c r="L883"/>
      <c r="M883" s="4">
        <f t="shared" si="481"/>
        <v>138</v>
      </c>
      <c r="N883" s="4"/>
      <c r="O883" s="1">
        <f t="shared" si="482"/>
        <v>137.9</v>
      </c>
      <c r="P883" s="1">
        <f t="shared" si="483"/>
        <v>0</v>
      </c>
      <c r="Q883" s="1" t="str">
        <f t="shared" si="479"/>
        <v/>
      </c>
      <c r="R883" s="1" t="str">
        <f t="shared" si="484"/>
        <v/>
      </c>
      <c r="S883" s="1">
        <f t="shared" si="485"/>
        <v>736.02720000000249</v>
      </c>
      <c r="T883" s="1">
        <f t="shared" si="486"/>
        <v>0.14000000000000001</v>
      </c>
      <c r="U883" s="1">
        <f t="shared" si="487"/>
        <v>527.99999999996999</v>
      </c>
      <c r="V883" s="1">
        <f t="shared" si="488"/>
        <v>73.91999999999581</v>
      </c>
    </row>
    <row r="884" spans="1:22" x14ac:dyDescent="0.25">
      <c r="A884" s="1">
        <v>883</v>
      </c>
      <c r="B884" s="4">
        <v>7500</v>
      </c>
      <c r="C884" s="4">
        <v>138</v>
      </c>
      <c r="D884" s="4">
        <v>138.1</v>
      </c>
      <c r="E884" s="4">
        <f t="shared" si="480"/>
        <v>9.9999999999994316E-2</v>
      </c>
      <c r="F884" s="4">
        <v>0</v>
      </c>
      <c r="G884" s="4">
        <v>0.16</v>
      </c>
      <c r="H884" s="4">
        <v>79</v>
      </c>
      <c r="I884" s="4"/>
      <c r="J884" s="4">
        <v>50</v>
      </c>
      <c r="K884"/>
      <c r="L884"/>
      <c r="M884" s="4">
        <f t="shared" si="481"/>
        <v>138.1</v>
      </c>
      <c r="N884" s="4"/>
      <c r="O884" s="1">
        <f t="shared" si="482"/>
        <v>138</v>
      </c>
      <c r="P884" s="1">
        <f t="shared" si="483"/>
        <v>0</v>
      </c>
      <c r="Q884" s="1" t="str">
        <f t="shared" si="479"/>
        <v/>
      </c>
      <c r="R884" s="1" t="str">
        <f t="shared" si="484"/>
        <v/>
      </c>
      <c r="S884" s="1">
        <f t="shared" si="485"/>
        <v>736.76640000000248</v>
      </c>
      <c r="T884" s="1">
        <f t="shared" si="486"/>
        <v>0.16</v>
      </c>
      <c r="U884" s="1">
        <f t="shared" si="487"/>
        <v>527.99999999996999</v>
      </c>
      <c r="V884" s="1">
        <f t="shared" si="488"/>
        <v>84.479999999995201</v>
      </c>
    </row>
    <row r="885" spans="1:22" x14ac:dyDescent="0.25">
      <c r="A885" s="1">
        <v>884</v>
      </c>
      <c r="B885" s="4">
        <v>7500</v>
      </c>
      <c r="C885" s="4">
        <v>138.1</v>
      </c>
      <c r="D885" s="4">
        <v>138.19999999999999</v>
      </c>
      <c r="E885" s="4">
        <f t="shared" si="480"/>
        <v>9.9999999999994316E-2</v>
      </c>
      <c r="F885" s="4">
        <v>0</v>
      </c>
      <c r="G885" s="4">
        <v>0.05</v>
      </c>
      <c r="H885" s="4">
        <v>79</v>
      </c>
      <c r="I885" s="4"/>
      <c r="J885" s="4">
        <v>50</v>
      </c>
      <c r="K885"/>
      <c r="L885"/>
      <c r="M885" s="4">
        <f t="shared" si="481"/>
        <v>138.19999999999999</v>
      </c>
      <c r="N885" s="4"/>
      <c r="O885" s="1">
        <f t="shared" si="482"/>
        <v>138.1</v>
      </c>
      <c r="P885" s="1">
        <f t="shared" si="483"/>
        <v>0</v>
      </c>
      <c r="Q885" s="1" t="str">
        <f t="shared" si="479"/>
        <v/>
      </c>
      <c r="R885" s="1" t="str">
        <f t="shared" si="484"/>
        <v/>
      </c>
      <c r="S885" s="1">
        <f t="shared" si="485"/>
        <v>737.61120000000244</v>
      </c>
      <c r="T885" s="1">
        <f t="shared" si="486"/>
        <v>0.05</v>
      </c>
      <c r="U885" s="1">
        <f t="shared" si="487"/>
        <v>527.99999999996999</v>
      </c>
      <c r="V885" s="1">
        <f t="shared" si="488"/>
        <v>26.399999999998499</v>
      </c>
    </row>
    <row r="886" spans="1:22" x14ac:dyDescent="0.25">
      <c r="A886" s="1">
        <v>885</v>
      </c>
      <c r="B886" s="4">
        <v>7500</v>
      </c>
      <c r="C886" s="4">
        <v>138.19999999999999</v>
      </c>
      <c r="D886" s="4">
        <v>138.29999999999998</v>
      </c>
      <c r="E886" s="4">
        <f t="shared" si="480"/>
        <v>9.9999999999994316E-2</v>
      </c>
      <c r="F886" s="4">
        <v>0</v>
      </c>
      <c r="G886" s="4">
        <v>-0.17</v>
      </c>
      <c r="H886" s="4">
        <v>79</v>
      </c>
      <c r="I886" s="4"/>
      <c r="J886" s="4">
        <v>50</v>
      </c>
      <c r="K886"/>
      <c r="L886"/>
      <c r="M886" s="4">
        <f t="shared" si="481"/>
        <v>138.29999999999998</v>
      </c>
      <c r="N886" s="4"/>
      <c r="O886" s="1">
        <f t="shared" si="482"/>
        <v>138.19999999999999</v>
      </c>
      <c r="P886" s="1">
        <f t="shared" si="483"/>
        <v>0</v>
      </c>
      <c r="Q886" s="1" t="str">
        <f t="shared" si="479"/>
        <v/>
      </c>
      <c r="R886" s="1" t="str">
        <f t="shared" si="484"/>
        <v/>
      </c>
      <c r="S886" s="1">
        <f t="shared" si="485"/>
        <v>737.87520000000245</v>
      </c>
      <c r="T886" s="1">
        <f t="shared" si="486"/>
        <v>-0.17</v>
      </c>
      <c r="U886" s="1">
        <f t="shared" si="487"/>
        <v>527.99999999996999</v>
      </c>
      <c r="V886" s="1">
        <f t="shared" si="488"/>
        <v>89.759999999994903</v>
      </c>
    </row>
    <row r="887" spans="1:22" x14ac:dyDescent="0.25">
      <c r="A887" s="1">
        <v>886</v>
      </c>
      <c r="B887" s="4">
        <v>7500</v>
      </c>
      <c r="C887" s="4">
        <v>138.29999999999998</v>
      </c>
      <c r="D887" s="4">
        <v>138.4</v>
      </c>
      <c r="E887" s="4">
        <f t="shared" si="480"/>
        <v>0.10000000000002274</v>
      </c>
      <c r="F887" s="4">
        <v>0</v>
      </c>
      <c r="G887" s="4">
        <v>-0.28000000000000003</v>
      </c>
      <c r="H887" s="4">
        <v>79</v>
      </c>
      <c r="I887" s="4"/>
      <c r="J887" s="4">
        <v>50</v>
      </c>
      <c r="K887"/>
      <c r="L887"/>
      <c r="M887" s="4">
        <f t="shared" si="481"/>
        <v>138.4</v>
      </c>
      <c r="N887" s="4"/>
      <c r="O887" s="1">
        <f t="shared" si="482"/>
        <v>138.29999999999998</v>
      </c>
      <c r="P887" s="1">
        <f t="shared" si="483"/>
        <v>0</v>
      </c>
      <c r="Q887" s="1" t="str">
        <f t="shared" si="479"/>
        <v/>
      </c>
      <c r="R887" s="1" t="str">
        <f t="shared" si="484"/>
        <v/>
      </c>
      <c r="S887" s="1">
        <f t="shared" si="485"/>
        <v>736.97760000000255</v>
      </c>
      <c r="T887" s="1">
        <f t="shared" si="486"/>
        <v>-0.28000000000000003</v>
      </c>
      <c r="U887" s="1">
        <f t="shared" si="487"/>
        <v>528.00000000012005</v>
      </c>
      <c r="V887" s="1">
        <f t="shared" si="488"/>
        <v>147.84000000003363</v>
      </c>
    </row>
    <row r="888" spans="1:22" x14ac:dyDescent="0.25">
      <c r="A888" s="1">
        <v>887</v>
      </c>
      <c r="B888" s="4">
        <v>7500</v>
      </c>
      <c r="C888" s="4">
        <v>138.4</v>
      </c>
      <c r="D888" s="4">
        <v>138.6</v>
      </c>
      <c r="E888" s="4">
        <f t="shared" si="480"/>
        <v>0.19999999999998863</v>
      </c>
      <c r="F888" s="4">
        <v>0</v>
      </c>
      <c r="G888" s="4">
        <v>-0.28999999999999998</v>
      </c>
      <c r="H888" s="4">
        <v>79</v>
      </c>
      <c r="I888" s="4"/>
      <c r="J888" s="4">
        <v>50</v>
      </c>
      <c r="K888"/>
      <c r="L888"/>
      <c r="M888" s="4">
        <f t="shared" si="481"/>
        <v>138.6</v>
      </c>
      <c r="N888" s="4"/>
      <c r="O888" s="1">
        <f t="shared" si="482"/>
        <v>138.4</v>
      </c>
      <c r="P888" s="1">
        <f t="shared" si="483"/>
        <v>0</v>
      </c>
      <c r="Q888" s="1" t="str">
        <f t="shared" si="479"/>
        <v/>
      </c>
      <c r="R888" s="1" t="str">
        <f t="shared" si="484"/>
        <v/>
      </c>
      <c r="S888" s="1">
        <f t="shared" si="485"/>
        <v>735.49920000000225</v>
      </c>
      <c r="T888" s="1">
        <f t="shared" si="486"/>
        <v>-0.28999999999999998</v>
      </c>
      <c r="U888" s="1">
        <f t="shared" si="487"/>
        <v>1055.99999999994</v>
      </c>
      <c r="V888" s="1">
        <f t="shared" si="488"/>
        <v>306.23999999998256</v>
      </c>
    </row>
    <row r="889" spans="1:22" x14ac:dyDescent="0.25">
      <c r="A889" s="1">
        <v>888</v>
      </c>
      <c r="B889" s="4">
        <v>7500</v>
      </c>
      <c r="C889" s="4">
        <v>138.6</v>
      </c>
      <c r="D889" s="4">
        <v>138.69999999999999</v>
      </c>
      <c r="E889" s="4">
        <f t="shared" si="480"/>
        <v>9.9999999999994316E-2</v>
      </c>
      <c r="F889" s="4">
        <v>0</v>
      </c>
      <c r="G889" s="4">
        <v>0.04</v>
      </c>
      <c r="H889" s="4">
        <v>79</v>
      </c>
      <c r="I889" s="4"/>
      <c r="J889" s="4">
        <v>50</v>
      </c>
      <c r="K889"/>
      <c r="L889"/>
      <c r="M889" s="4">
        <f t="shared" si="481"/>
        <v>138.69999999999999</v>
      </c>
      <c r="N889" s="4"/>
      <c r="O889" s="1">
        <f t="shared" si="482"/>
        <v>138.6</v>
      </c>
      <c r="P889" s="1">
        <f t="shared" si="483"/>
        <v>0</v>
      </c>
      <c r="Q889" s="1" t="str">
        <f t="shared" si="479"/>
        <v/>
      </c>
      <c r="R889" s="1" t="str">
        <f t="shared" si="484"/>
        <v/>
      </c>
      <c r="S889" s="1">
        <f t="shared" si="485"/>
        <v>732.43680000000245</v>
      </c>
      <c r="T889" s="1">
        <f t="shared" si="486"/>
        <v>0.04</v>
      </c>
      <c r="U889" s="1">
        <f t="shared" si="487"/>
        <v>527.99999999996999</v>
      </c>
      <c r="V889" s="1">
        <f t="shared" si="488"/>
        <v>21.1199999999988</v>
      </c>
    </row>
    <row r="890" spans="1:22" x14ac:dyDescent="0.25">
      <c r="A890" s="1">
        <v>889</v>
      </c>
      <c r="B890" s="4">
        <v>7500</v>
      </c>
      <c r="C890" s="4">
        <v>138.69999999999999</v>
      </c>
      <c r="D890" s="4">
        <v>138.79999999999998</v>
      </c>
      <c r="E890" s="4">
        <f t="shared" si="480"/>
        <v>9.9999999999994316E-2</v>
      </c>
      <c r="F890" s="4">
        <v>1</v>
      </c>
      <c r="G890" s="4">
        <v>0.04</v>
      </c>
      <c r="H890" s="4">
        <v>79</v>
      </c>
      <c r="I890" s="4"/>
      <c r="J890" s="4">
        <v>50</v>
      </c>
      <c r="K890"/>
      <c r="L890"/>
      <c r="M890" s="4">
        <f t="shared" si="481"/>
        <v>138.79999999999998</v>
      </c>
      <c r="N890" s="4"/>
      <c r="O890" s="1">
        <f t="shared" si="482"/>
        <v>138.69999999999999</v>
      </c>
      <c r="P890" s="1">
        <f t="shared" si="483"/>
        <v>5.2799999999996992</v>
      </c>
      <c r="Q890" s="1" t="str">
        <f t="shared" si="479"/>
        <v/>
      </c>
      <c r="R890" s="1" t="str">
        <f t="shared" si="484"/>
        <v/>
      </c>
      <c r="S890" s="1">
        <f t="shared" si="485"/>
        <v>732.64800000000241</v>
      </c>
      <c r="T890" s="1">
        <f t="shared" si="486"/>
        <v>0.04</v>
      </c>
      <c r="U890" s="1">
        <f t="shared" si="487"/>
        <v>527.99999999996999</v>
      </c>
      <c r="V890" s="1">
        <f t="shared" si="488"/>
        <v>21.1199999999988</v>
      </c>
    </row>
    <row r="891" spans="1:22" x14ac:dyDescent="0.25">
      <c r="A891" s="1">
        <v>890</v>
      </c>
      <c r="B891" s="4">
        <v>7500</v>
      </c>
      <c r="C891" s="4">
        <v>138.79999999999998</v>
      </c>
      <c r="D891" s="4">
        <v>138.9</v>
      </c>
      <c r="E891" s="4">
        <f t="shared" si="480"/>
        <v>0.10000000000002274</v>
      </c>
      <c r="F891" s="4">
        <v>1</v>
      </c>
      <c r="G891" s="4">
        <v>0.71</v>
      </c>
      <c r="H891" s="4">
        <v>79</v>
      </c>
      <c r="I891" s="4"/>
      <c r="J891" s="4">
        <v>50</v>
      </c>
      <c r="K891"/>
      <c r="L891"/>
      <c r="M891" s="4">
        <f t="shared" si="481"/>
        <v>138.9</v>
      </c>
      <c r="N891" s="4"/>
      <c r="O891" s="1">
        <f t="shared" si="482"/>
        <v>138.79999999999998</v>
      </c>
      <c r="P891" s="1">
        <f t="shared" si="483"/>
        <v>5.2800000000012002</v>
      </c>
      <c r="Q891" s="1" t="str">
        <f t="shared" si="479"/>
        <v/>
      </c>
      <c r="R891" s="1" t="str">
        <f t="shared" si="484"/>
        <v/>
      </c>
      <c r="S891" s="1">
        <f t="shared" si="485"/>
        <v>732.85920000000237</v>
      </c>
      <c r="T891" s="1">
        <f t="shared" si="486"/>
        <v>0.71</v>
      </c>
      <c r="U891" s="1">
        <f t="shared" si="487"/>
        <v>528.00000000012005</v>
      </c>
      <c r="V891" s="1">
        <f t="shared" si="488"/>
        <v>374.8800000000852</v>
      </c>
    </row>
    <row r="892" spans="1:22" x14ac:dyDescent="0.25">
      <c r="A892" s="1">
        <v>891</v>
      </c>
      <c r="B892" s="4">
        <v>7500</v>
      </c>
      <c r="C892" s="4">
        <v>138.9</v>
      </c>
      <c r="D892" s="4">
        <v>139.29999999999998</v>
      </c>
      <c r="E892" s="4">
        <f t="shared" si="480"/>
        <v>0.39999999999997726</v>
      </c>
      <c r="F892" s="4">
        <v>0</v>
      </c>
      <c r="G892" s="4">
        <v>1.04</v>
      </c>
      <c r="H892" s="4">
        <v>79</v>
      </c>
      <c r="I892" s="4"/>
      <c r="J892" s="4">
        <v>50</v>
      </c>
      <c r="K892"/>
      <c r="L892"/>
      <c r="M892" s="4">
        <f t="shared" si="481"/>
        <v>139.29999999999998</v>
      </c>
      <c r="N892" s="4"/>
      <c r="O892" s="1">
        <f t="shared" si="482"/>
        <v>138.9</v>
      </c>
      <c r="P892" s="1">
        <f t="shared" si="483"/>
        <v>0</v>
      </c>
      <c r="Q892" s="1" t="str">
        <f t="shared" si="479"/>
        <v/>
      </c>
      <c r="R892" s="1" t="str">
        <f t="shared" si="484"/>
        <v/>
      </c>
      <c r="S892" s="1">
        <f t="shared" si="485"/>
        <v>736.60800000000324</v>
      </c>
      <c r="T892" s="1">
        <f t="shared" si="486"/>
        <v>1.04</v>
      </c>
      <c r="U892" s="1">
        <f t="shared" si="487"/>
        <v>2111.9999999998799</v>
      </c>
      <c r="V892" s="1">
        <f t="shared" si="488"/>
        <v>2196.4799999998754</v>
      </c>
    </row>
    <row r="893" spans="1:22" x14ac:dyDescent="0.25">
      <c r="A893" s="1">
        <v>892</v>
      </c>
      <c r="B893" s="4">
        <v>7500</v>
      </c>
      <c r="C893" s="4">
        <v>139.29999999999998</v>
      </c>
      <c r="D893" s="4">
        <v>139.4</v>
      </c>
      <c r="E893" s="4">
        <f t="shared" si="480"/>
        <v>0.10000000000002274</v>
      </c>
      <c r="F893" s="4">
        <v>0</v>
      </c>
      <c r="G893" s="4">
        <v>0.89</v>
      </c>
      <c r="H893" s="4">
        <v>79</v>
      </c>
      <c r="I893" s="4"/>
      <c r="J893" s="4">
        <v>50</v>
      </c>
      <c r="K893"/>
      <c r="L893"/>
      <c r="M893" s="4">
        <f t="shared" si="481"/>
        <v>139.4</v>
      </c>
      <c r="N893" s="4"/>
      <c r="O893" s="1">
        <f t="shared" si="482"/>
        <v>139.29999999999998</v>
      </c>
      <c r="P893" s="1">
        <f t="shared" si="483"/>
        <v>0</v>
      </c>
      <c r="Q893" s="1" t="str">
        <f t="shared" si="479"/>
        <v/>
      </c>
      <c r="R893" s="1" t="str">
        <f t="shared" si="484"/>
        <v/>
      </c>
      <c r="S893" s="1">
        <f t="shared" si="485"/>
        <v>758.57280000000196</v>
      </c>
      <c r="T893" s="1">
        <f t="shared" si="486"/>
        <v>0.89</v>
      </c>
      <c r="U893" s="1">
        <f t="shared" si="487"/>
        <v>528.00000000012005</v>
      </c>
      <c r="V893" s="1">
        <f t="shared" si="488"/>
        <v>469.92000000010688</v>
      </c>
    </row>
    <row r="894" spans="1:22" x14ac:dyDescent="0.25">
      <c r="A894" s="1">
        <v>893</v>
      </c>
      <c r="B894" s="4">
        <v>7500</v>
      </c>
      <c r="C894" s="4">
        <v>139.4</v>
      </c>
      <c r="D894" s="4">
        <v>139.5</v>
      </c>
      <c r="E894" s="4">
        <f t="shared" si="480"/>
        <v>9.9999999999994316E-2</v>
      </c>
      <c r="F894" s="4">
        <v>0</v>
      </c>
      <c r="G894" s="4">
        <v>0.62</v>
      </c>
      <c r="H894" s="4">
        <v>79</v>
      </c>
      <c r="I894" s="4"/>
      <c r="J894" s="4">
        <v>50</v>
      </c>
      <c r="K894"/>
      <c r="L894"/>
      <c r="M894" s="4">
        <f t="shared" si="481"/>
        <v>139.5</v>
      </c>
      <c r="N894" s="4"/>
      <c r="O894" s="1">
        <f t="shared" si="482"/>
        <v>139.4</v>
      </c>
      <c r="P894" s="1">
        <f t="shared" si="483"/>
        <v>0</v>
      </c>
      <c r="Q894" s="1" t="str">
        <f t="shared" si="479"/>
        <v/>
      </c>
      <c r="R894" s="1" t="str">
        <f t="shared" si="484"/>
        <v/>
      </c>
      <c r="S894" s="1">
        <f t="shared" si="485"/>
        <v>763.272000000003</v>
      </c>
      <c r="T894" s="1">
        <f t="shared" si="486"/>
        <v>0.62</v>
      </c>
      <c r="U894" s="1">
        <f t="shared" si="487"/>
        <v>527.99999999996999</v>
      </c>
      <c r="V894" s="1">
        <f t="shared" si="488"/>
        <v>327.35999999998137</v>
      </c>
    </row>
    <row r="895" spans="1:22" x14ac:dyDescent="0.25">
      <c r="A895" s="1">
        <v>894</v>
      </c>
      <c r="B895" s="4">
        <v>7500</v>
      </c>
      <c r="C895" s="4">
        <v>139.5</v>
      </c>
      <c r="D895" s="4">
        <v>139.6</v>
      </c>
      <c r="E895" s="4">
        <f t="shared" si="480"/>
        <v>9.9999999999994316E-2</v>
      </c>
      <c r="F895" s="4">
        <v>0</v>
      </c>
      <c r="G895" s="4">
        <v>0.47</v>
      </c>
      <c r="H895" s="4">
        <v>79</v>
      </c>
      <c r="I895" s="4"/>
      <c r="J895" s="4">
        <v>50</v>
      </c>
      <c r="K895"/>
      <c r="L895"/>
      <c r="M895" s="4">
        <f t="shared" si="481"/>
        <v>139.6</v>
      </c>
      <c r="N895" s="4"/>
      <c r="O895" s="1">
        <f t="shared" si="482"/>
        <v>139.5</v>
      </c>
      <c r="P895" s="1">
        <f t="shared" si="483"/>
        <v>0</v>
      </c>
      <c r="Q895" s="1" t="str">
        <f t="shared" si="479"/>
        <v/>
      </c>
      <c r="R895" s="1" t="str">
        <f t="shared" si="484"/>
        <v/>
      </c>
      <c r="S895" s="1">
        <f t="shared" si="485"/>
        <v>766.54560000000276</v>
      </c>
      <c r="T895" s="1">
        <f t="shared" si="486"/>
        <v>0.47</v>
      </c>
      <c r="U895" s="1">
        <f t="shared" si="487"/>
        <v>527.99999999996999</v>
      </c>
      <c r="V895" s="1">
        <f t="shared" si="488"/>
        <v>248.15999999998587</v>
      </c>
    </row>
    <row r="896" spans="1:22" x14ac:dyDescent="0.25">
      <c r="A896" s="1">
        <v>895</v>
      </c>
      <c r="B896" s="4">
        <v>7500</v>
      </c>
      <c r="C896" s="4">
        <v>139.6</v>
      </c>
      <c r="D896" s="4">
        <v>139.69999999999999</v>
      </c>
      <c r="E896" s="4">
        <f t="shared" si="480"/>
        <v>9.9999999999994316E-2</v>
      </c>
      <c r="F896" s="4">
        <v>0</v>
      </c>
      <c r="G896" s="4">
        <v>0.52</v>
      </c>
      <c r="H896" s="4">
        <v>79</v>
      </c>
      <c r="I896" s="4"/>
      <c r="J896" s="4">
        <v>50</v>
      </c>
      <c r="K896"/>
      <c r="L896"/>
      <c r="M896" s="4">
        <f t="shared" si="481"/>
        <v>139.69999999999999</v>
      </c>
      <c r="N896" s="4"/>
      <c r="O896" s="1">
        <f t="shared" si="482"/>
        <v>139.6</v>
      </c>
      <c r="P896" s="1">
        <f t="shared" si="483"/>
        <v>0</v>
      </c>
      <c r="Q896" s="1" t="str">
        <f t="shared" si="479"/>
        <v/>
      </c>
      <c r="R896" s="1" t="str">
        <f t="shared" si="484"/>
        <v/>
      </c>
      <c r="S896" s="1">
        <f t="shared" si="485"/>
        <v>769.02720000000261</v>
      </c>
      <c r="T896" s="1">
        <f t="shared" si="486"/>
        <v>0.52</v>
      </c>
      <c r="U896" s="1">
        <f t="shared" si="487"/>
        <v>527.99999999996999</v>
      </c>
      <c r="V896" s="1">
        <f t="shared" si="488"/>
        <v>274.55999999998443</v>
      </c>
    </row>
    <row r="897" spans="1:22" x14ac:dyDescent="0.25">
      <c r="A897" s="1">
        <v>896</v>
      </c>
      <c r="B897" s="4">
        <v>7500</v>
      </c>
      <c r="C897" s="4">
        <v>139.69999999999999</v>
      </c>
      <c r="D897" s="4">
        <v>139.79999999999998</v>
      </c>
      <c r="E897" s="4">
        <f t="shared" si="480"/>
        <v>9.9999999999994316E-2</v>
      </c>
      <c r="F897" s="4">
        <v>0</v>
      </c>
      <c r="G897" s="4">
        <v>0.61</v>
      </c>
      <c r="H897" s="4">
        <v>79</v>
      </c>
      <c r="I897" s="4"/>
      <c r="J897" s="4">
        <v>50</v>
      </c>
      <c r="K897"/>
      <c r="L897"/>
      <c r="M897" s="4">
        <f t="shared" si="481"/>
        <v>139.79999999999998</v>
      </c>
      <c r="N897" s="4"/>
      <c r="O897" s="1">
        <f t="shared" si="482"/>
        <v>139.69999999999999</v>
      </c>
      <c r="P897" s="1">
        <f t="shared" si="483"/>
        <v>0</v>
      </c>
      <c r="Q897" s="1" t="str">
        <f t="shared" si="479"/>
        <v/>
      </c>
      <c r="R897" s="1" t="str">
        <f t="shared" si="484"/>
        <v/>
      </c>
      <c r="S897" s="1">
        <f t="shared" si="485"/>
        <v>771.77280000000246</v>
      </c>
      <c r="T897" s="1">
        <f t="shared" si="486"/>
        <v>0.61</v>
      </c>
      <c r="U897" s="1">
        <f t="shared" si="487"/>
        <v>527.99999999996999</v>
      </c>
      <c r="V897" s="1">
        <f t="shared" si="488"/>
        <v>322.07999999998168</v>
      </c>
    </row>
    <row r="898" spans="1:22" x14ac:dyDescent="0.25">
      <c r="A898" s="1">
        <v>897</v>
      </c>
      <c r="B898" s="4">
        <v>7500</v>
      </c>
      <c r="C898" s="4">
        <v>139.79999999999998</v>
      </c>
      <c r="D898" s="4">
        <v>140</v>
      </c>
      <c r="E898" s="4">
        <f t="shared" si="480"/>
        <v>0.20000000000001705</v>
      </c>
      <c r="F898" s="4">
        <v>0</v>
      </c>
      <c r="G898" s="4">
        <v>0.66</v>
      </c>
      <c r="H898" s="4">
        <v>79</v>
      </c>
      <c r="I898" s="4"/>
      <c r="J898" s="4">
        <v>50</v>
      </c>
      <c r="K898"/>
      <c r="L898"/>
      <c r="M898" s="4">
        <f t="shared" si="481"/>
        <v>140</v>
      </c>
      <c r="N898" s="4"/>
      <c r="O898" s="1">
        <f t="shared" si="482"/>
        <v>139.79999999999998</v>
      </c>
      <c r="P898" s="1">
        <f t="shared" si="483"/>
        <v>0</v>
      </c>
      <c r="Q898" s="1" t="str">
        <f t="shared" si="479"/>
        <v/>
      </c>
      <c r="R898" s="1" t="str">
        <f t="shared" si="484"/>
        <v/>
      </c>
      <c r="S898" s="1">
        <f t="shared" si="485"/>
        <v>774.99360000000229</v>
      </c>
      <c r="T898" s="1">
        <f t="shared" si="486"/>
        <v>0.66</v>
      </c>
      <c r="U898" s="1">
        <f t="shared" si="487"/>
        <v>1056.00000000009</v>
      </c>
      <c r="V898" s="1">
        <f t="shared" si="488"/>
        <v>696.96000000005949</v>
      </c>
    </row>
    <row r="899" spans="1:22" x14ac:dyDescent="0.25">
      <c r="A899" s="1">
        <v>898</v>
      </c>
      <c r="B899" s="4">
        <v>7500</v>
      </c>
      <c r="C899" s="4">
        <v>140</v>
      </c>
      <c r="D899" s="4">
        <v>140.1</v>
      </c>
      <c r="E899" s="4">
        <f t="shared" si="480"/>
        <v>9.9999999999994316E-2</v>
      </c>
      <c r="F899" s="4">
        <v>0</v>
      </c>
      <c r="G899" s="4">
        <v>0.44</v>
      </c>
      <c r="H899" s="4">
        <v>79</v>
      </c>
      <c r="I899" s="4"/>
      <c r="J899" s="4">
        <v>50</v>
      </c>
      <c r="K899"/>
      <c r="L899"/>
      <c r="M899" s="4">
        <f t="shared" si="481"/>
        <v>140.1</v>
      </c>
      <c r="N899" s="4"/>
      <c r="O899" s="1">
        <f t="shared" si="482"/>
        <v>140</v>
      </c>
      <c r="P899" s="1">
        <f t="shared" si="483"/>
        <v>0</v>
      </c>
      <c r="Q899" s="1" t="str">
        <f t="shared" ref="Q899:Q962" si="489">IF(H899&lt;&gt;"",IF(H899=H898,"",H899),IF(H897="","",MAX(H898,Q898)))</f>
        <v/>
      </c>
      <c r="R899" s="1" t="str">
        <f t="shared" si="484"/>
        <v/>
      </c>
      <c r="S899" s="1">
        <f t="shared" si="485"/>
        <v>781.96320000000287</v>
      </c>
      <c r="T899" s="1">
        <f t="shared" si="486"/>
        <v>0.44</v>
      </c>
      <c r="U899" s="1">
        <f t="shared" si="487"/>
        <v>527.99999999996999</v>
      </c>
      <c r="V899" s="1">
        <f t="shared" si="488"/>
        <v>232.31999999998681</v>
      </c>
    </row>
    <row r="900" spans="1:22" x14ac:dyDescent="0.25">
      <c r="A900" s="1">
        <v>899</v>
      </c>
      <c r="B900" s="4">
        <v>7500</v>
      </c>
      <c r="C900" s="4">
        <v>140.1</v>
      </c>
      <c r="D900" s="4">
        <v>140.19999999999999</v>
      </c>
      <c r="E900" s="4">
        <f t="shared" si="480"/>
        <v>9.9999999999994316E-2</v>
      </c>
      <c r="F900" s="4">
        <v>0</v>
      </c>
      <c r="G900" s="4">
        <v>0.77</v>
      </c>
      <c r="H900" s="4">
        <v>79</v>
      </c>
      <c r="I900" s="4"/>
      <c r="J900" s="4">
        <v>50</v>
      </c>
      <c r="K900" s="2"/>
      <c r="M900" s="4">
        <f t="shared" si="481"/>
        <v>140.19999999999999</v>
      </c>
      <c r="N900" s="4"/>
      <c r="O900" s="1">
        <f t="shared" si="482"/>
        <v>140.1</v>
      </c>
      <c r="P900" s="1">
        <f t="shared" si="483"/>
        <v>0</v>
      </c>
      <c r="Q900" s="1" t="str">
        <f t="shared" si="489"/>
        <v/>
      </c>
      <c r="R900" s="1" t="str">
        <f t="shared" si="484"/>
        <v/>
      </c>
      <c r="S900" s="1">
        <f t="shared" si="485"/>
        <v>784.28640000000269</v>
      </c>
      <c r="T900" s="1">
        <f t="shared" si="486"/>
        <v>0.77</v>
      </c>
      <c r="U900" s="1">
        <f t="shared" si="487"/>
        <v>527.99999999996999</v>
      </c>
      <c r="V900" s="1">
        <f t="shared" si="488"/>
        <v>406.55999999997692</v>
      </c>
    </row>
    <row r="901" spans="1:22" x14ac:dyDescent="0.25">
      <c r="A901" s="1">
        <v>900</v>
      </c>
      <c r="B901" s="4">
        <v>7500</v>
      </c>
      <c r="C901" s="4">
        <v>140.19999999999999</v>
      </c>
      <c r="D901" s="4">
        <v>140.29999999999998</v>
      </c>
      <c r="E901" s="4">
        <f t="shared" si="480"/>
        <v>9.9999999999994316E-2</v>
      </c>
      <c r="F901" s="4">
        <v>1</v>
      </c>
      <c r="G901" s="4">
        <v>0.51</v>
      </c>
      <c r="H901" s="4">
        <v>79</v>
      </c>
      <c r="I901" s="4"/>
      <c r="J901" s="4">
        <v>50</v>
      </c>
      <c r="K901" s="2"/>
      <c r="M901" s="4">
        <f t="shared" si="481"/>
        <v>140.29999999999998</v>
      </c>
      <c r="N901" s="4"/>
      <c r="O901" s="1">
        <f t="shared" si="482"/>
        <v>140.19999999999999</v>
      </c>
      <c r="P901" s="1">
        <f t="shared" si="483"/>
        <v>5.2799999999996992</v>
      </c>
      <c r="Q901" s="1" t="str">
        <f t="shared" si="489"/>
        <v/>
      </c>
      <c r="R901" s="1" t="str">
        <f t="shared" si="484"/>
        <v/>
      </c>
      <c r="S901" s="1">
        <f t="shared" si="485"/>
        <v>788.35200000000248</v>
      </c>
      <c r="T901" s="1">
        <f t="shared" si="486"/>
        <v>0.51</v>
      </c>
      <c r="U901" s="1">
        <f t="shared" si="487"/>
        <v>527.99999999996999</v>
      </c>
      <c r="V901" s="1">
        <f t="shared" si="488"/>
        <v>269.27999999998468</v>
      </c>
    </row>
    <row r="902" spans="1:22" x14ac:dyDescent="0.25">
      <c r="A902" s="1">
        <v>901</v>
      </c>
      <c r="B902" s="4">
        <v>7500</v>
      </c>
      <c r="C902" s="4">
        <v>140.29999999999998</v>
      </c>
      <c r="D902" s="4">
        <v>140.4</v>
      </c>
      <c r="E902" s="4">
        <f t="shared" si="480"/>
        <v>0.10000000000002274</v>
      </c>
      <c r="F902" s="4">
        <v>1</v>
      </c>
      <c r="G902" s="4">
        <v>-0.01</v>
      </c>
      <c r="H902" s="4">
        <v>79</v>
      </c>
      <c r="I902" s="4"/>
      <c r="J902" s="4">
        <v>50</v>
      </c>
      <c r="K902" s="2"/>
      <c r="M902" s="4">
        <f t="shared" si="481"/>
        <v>140.4</v>
      </c>
      <c r="N902" s="4"/>
      <c r="O902" s="1">
        <f t="shared" si="482"/>
        <v>140.29999999999998</v>
      </c>
      <c r="P902" s="1">
        <f t="shared" si="483"/>
        <v>5.2800000000012002</v>
      </c>
      <c r="Q902" s="1" t="str">
        <f t="shared" si="489"/>
        <v/>
      </c>
      <c r="R902" s="1" t="str">
        <f t="shared" si="484"/>
        <v/>
      </c>
      <c r="S902" s="1">
        <f t="shared" si="485"/>
        <v>791.04480000000228</v>
      </c>
      <c r="T902" s="1">
        <f t="shared" si="486"/>
        <v>-0.01</v>
      </c>
      <c r="U902" s="1">
        <f t="shared" si="487"/>
        <v>528.00000000012005</v>
      </c>
      <c r="V902" s="1">
        <f t="shared" si="488"/>
        <v>5.2800000000012011</v>
      </c>
    </row>
    <row r="903" spans="1:22" x14ac:dyDescent="0.25">
      <c r="A903" s="1">
        <v>902</v>
      </c>
      <c r="B903" s="4">
        <v>7500</v>
      </c>
      <c r="C903" s="4">
        <v>140.4</v>
      </c>
      <c r="D903" s="4">
        <v>140.5</v>
      </c>
      <c r="E903" s="4">
        <f t="shared" si="480"/>
        <v>9.9999999999994316E-2</v>
      </c>
      <c r="F903" s="4">
        <v>0</v>
      </c>
      <c r="G903" s="4">
        <v>-0.01</v>
      </c>
      <c r="H903" s="4">
        <v>79</v>
      </c>
      <c r="I903" s="4"/>
      <c r="J903" s="4">
        <v>50</v>
      </c>
      <c r="K903" s="2"/>
      <c r="M903" s="4">
        <f t="shared" si="481"/>
        <v>140.5</v>
      </c>
      <c r="N903" s="4"/>
      <c r="O903" s="1">
        <f t="shared" si="482"/>
        <v>140.4</v>
      </c>
      <c r="P903" s="1">
        <f t="shared" si="483"/>
        <v>0</v>
      </c>
      <c r="Q903" s="1" t="str">
        <f t="shared" si="489"/>
        <v/>
      </c>
      <c r="R903" s="1" t="str">
        <f t="shared" si="484"/>
        <v/>
      </c>
      <c r="S903" s="1">
        <f t="shared" si="485"/>
        <v>790.99200000000224</v>
      </c>
      <c r="T903" s="1">
        <f t="shared" si="486"/>
        <v>-0.01</v>
      </c>
      <c r="U903" s="1">
        <f t="shared" si="487"/>
        <v>527.99999999996999</v>
      </c>
      <c r="V903" s="1">
        <f t="shared" si="488"/>
        <v>5.2799999999997</v>
      </c>
    </row>
    <row r="904" spans="1:22" x14ac:dyDescent="0.25">
      <c r="A904" s="1">
        <v>903</v>
      </c>
      <c r="B904" s="4">
        <v>7500</v>
      </c>
      <c r="C904" s="4">
        <v>140.5</v>
      </c>
      <c r="D904" s="4">
        <v>140.69999999999999</v>
      </c>
      <c r="E904" s="4">
        <f t="shared" ref="E904:E967" si="490">D904-C904</f>
        <v>0.19999999999998863</v>
      </c>
      <c r="F904" s="4">
        <v>0</v>
      </c>
      <c r="G904" s="4">
        <v>-0.27</v>
      </c>
      <c r="H904" s="4">
        <v>79</v>
      </c>
      <c r="I904" s="4"/>
      <c r="J904" s="4">
        <v>50</v>
      </c>
      <c r="K904" s="2"/>
      <c r="M904" s="4">
        <f t="shared" ref="M904:M967" si="491">E904+M903</f>
        <v>140.69999999999999</v>
      </c>
      <c r="N904" s="4"/>
      <c r="O904" s="1">
        <f t="shared" ref="O904:O967" si="492">E903+O903</f>
        <v>140.5</v>
      </c>
      <c r="P904" s="1">
        <f t="shared" ref="P904:P967" si="493">F904*52.8*E904</f>
        <v>0</v>
      </c>
      <c r="Q904" s="1" t="str">
        <f t="shared" si="489"/>
        <v/>
      </c>
      <c r="R904" s="1" t="str">
        <f t="shared" ref="R904:R967" si="494">IF(I904="",Q904,IF(AND(H904=H903,I904=I903),"",I904))</f>
        <v/>
      </c>
      <c r="S904" s="1">
        <f t="shared" ref="S904:S967" si="495">S903+U903*T903/100</f>
        <v>790.93920000000219</v>
      </c>
      <c r="T904" s="1">
        <f t="shared" ref="T904:T967" si="496">IF(G904="UNK",0,G904)</f>
        <v>-0.27</v>
      </c>
      <c r="U904" s="1">
        <f t="shared" ref="U904:U967" si="497">E904*5280</f>
        <v>1055.99999999994</v>
      </c>
      <c r="V904" s="1">
        <f t="shared" ref="V904:V967" si="498">ABS(T904*U904)</f>
        <v>285.1199999999838</v>
      </c>
    </row>
    <row r="905" spans="1:22" x14ac:dyDescent="0.25">
      <c r="A905" s="1">
        <v>904</v>
      </c>
      <c r="B905" s="4">
        <v>7500</v>
      </c>
      <c r="C905" s="4">
        <v>140.69999999999999</v>
      </c>
      <c r="D905" s="4">
        <v>140.9</v>
      </c>
      <c r="E905" s="4">
        <f t="shared" si="490"/>
        <v>0.20000000000001705</v>
      </c>
      <c r="F905" s="4">
        <v>1.9</v>
      </c>
      <c r="G905" s="4">
        <v>-0.27</v>
      </c>
      <c r="H905" s="4">
        <v>79</v>
      </c>
      <c r="I905" s="4"/>
      <c r="J905" s="4">
        <v>50</v>
      </c>
      <c r="K905" s="2"/>
      <c r="M905" s="4">
        <f t="shared" si="491"/>
        <v>140.9</v>
      </c>
      <c r="N905" s="4"/>
      <c r="O905" s="1">
        <f t="shared" si="492"/>
        <v>140.69999999999999</v>
      </c>
      <c r="P905" s="1">
        <f t="shared" si="493"/>
        <v>20.064000000001709</v>
      </c>
      <c r="Q905" s="1" t="str">
        <f t="shared" si="489"/>
        <v/>
      </c>
      <c r="R905" s="1" t="str">
        <f t="shared" si="494"/>
        <v/>
      </c>
      <c r="S905" s="1">
        <f t="shared" si="495"/>
        <v>788.08800000000235</v>
      </c>
      <c r="T905" s="1">
        <f t="shared" si="496"/>
        <v>-0.27</v>
      </c>
      <c r="U905" s="1">
        <f t="shared" si="497"/>
        <v>1056.00000000009</v>
      </c>
      <c r="V905" s="1">
        <f t="shared" si="498"/>
        <v>285.12000000002433</v>
      </c>
    </row>
    <row r="906" spans="1:22" x14ac:dyDescent="0.25">
      <c r="A906" s="1">
        <v>905</v>
      </c>
      <c r="B906" s="4">
        <v>7500</v>
      </c>
      <c r="C906" s="4">
        <v>140.9</v>
      </c>
      <c r="D906" s="4">
        <v>141</v>
      </c>
      <c r="E906" s="4">
        <f t="shared" si="490"/>
        <v>9.9999999999994316E-2</v>
      </c>
      <c r="F906" s="4">
        <v>1.9</v>
      </c>
      <c r="G906" s="4">
        <v>-0.27</v>
      </c>
      <c r="H906" s="4">
        <v>79</v>
      </c>
      <c r="I906" s="4"/>
      <c r="J906" s="4">
        <v>50</v>
      </c>
      <c r="K906" s="2"/>
      <c r="M906" s="4">
        <f t="shared" si="491"/>
        <v>141</v>
      </c>
      <c r="N906" s="4"/>
      <c r="O906" s="1">
        <f t="shared" si="492"/>
        <v>140.9</v>
      </c>
      <c r="P906" s="1">
        <f t="shared" si="493"/>
        <v>10.03199999999943</v>
      </c>
      <c r="Q906" s="1" t="str">
        <f t="shared" si="489"/>
        <v/>
      </c>
      <c r="R906" s="1" t="str">
        <f t="shared" si="494"/>
        <v/>
      </c>
      <c r="S906" s="1">
        <f t="shared" si="495"/>
        <v>785.23680000000206</v>
      </c>
      <c r="T906" s="1">
        <f t="shared" si="496"/>
        <v>-0.27</v>
      </c>
      <c r="U906" s="1">
        <f t="shared" si="497"/>
        <v>527.99999999996999</v>
      </c>
      <c r="V906" s="1">
        <f t="shared" si="498"/>
        <v>142.5599999999919</v>
      </c>
    </row>
    <row r="907" spans="1:22" x14ac:dyDescent="0.25">
      <c r="A907" s="1">
        <v>906</v>
      </c>
      <c r="B907" s="4">
        <v>7500</v>
      </c>
      <c r="C907" s="4">
        <v>141</v>
      </c>
      <c r="D907" s="4">
        <v>141.19999999999999</v>
      </c>
      <c r="E907" s="4">
        <f t="shared" si="490"/>
        <v>0.19999999999998863</v>
      </c>
      <c r="F907" s="4">
        <v>0</v>
      </c>
      <c r="G907" s="4">
        <v>-0.27</v>
      </c>
      <c r="H907" s="4">
        <v>79</v>
      </c>
      <c r="I907" s="4"/>
      <c r="J907" s="4">
        <v>50</v>
      </c>
      <c r="K907" s="2"/>
      <c r="M907" s="4">
        <f t="shared" si="491"/>
        <v>141.19999999999999</v>
      </c>
      <c r="N907" s="4"/>
      <c r="O907" s="1">
        <f t="shared" si="492"/>
        <v>141</v>
      </c>
      <c r="P907" s="1">
        <f t="shared" si="493"/>
        <v>0</v>
      </c>
      <c r="Q907" s="1" t="str">
        <f t="shared" si="489"/>
        <v/>
      </c>
      <c r="R907" s="1" t="str">
        <f t="shared" si="494"/>
        <v/>
      </c>
      <c r="S907" s="1">
        <f t="shared" si="495"/>
        <v>783.81120000000215</v>
      </c>
      <c r="T907" s="1">
        <f t="shared" si="496"/>
        <v>-0.27</v>
      </c>
      <c r="U907" s="1">
        <f t="shared" si="497"/>
        <v>1055.99999999994</v>
      </c>
      <c r="V907" s="1">
        <f t="shared" si="498"/>
        <v>285.1199999999838</v>
      </c>
    </row>
    <row r="908" spans="1:22" x14ac:dyDescent="0.25">
      <c r="A908" s="1">
        <v>907</v>
      </c>
      <c r="B908" s="4">
        <v>7500</v>
      </c>
      <c r="C908" s="4">
        <v>141.19999999999999</v>
      </c>
      <c r="D908" s="4">
        <v>141.29999999999998</v>
      </c>
      <c r="E908" s="4">
        <f t="shared" si="490"/>
        <v>9.9999999999994316E-2</v>
      </c>
      <c r="F908" s="4">
        <v>0</v>
      </c>
      <c r="G908" s="4">
        <v>-0.19</v>
      </c>
      <c r="H908" s="4">
        <v>79</v>
      </c>
      <c r="I908" s="4"/>
      <c r="J908" s="4">
        <v>50</v>
      </c>
      <c r="K908" s="2"/>
      <c r="M908" s="4">
        <f t="shared" si="491"/>
        <v>141.29999999999998</v>
      </c>
      <c r="N908" s="4"/>
      <c r="O908" s="1">
        <f t="shared" si="492"/>
        <v>141.19999999999999</v>
      </c>
      <c r="P908" s="1">
        <f t="shared" si="493"/>
        <v>0</v>
      </c>
      <c r="Q908" s="1" t="str">
        <f t="shared" si="489"/>
        <v/>
      </c>
      <c r="R908" s="1" t="str">
        <f t="shared" si="494"/>
        <v/>
      </c>
      <c r="S908" s="1">
        <f t="shared" si="495"/>
        <v>780.96000000000231</v>
      </c>
      <c r="T908" s="1">
        <f t="shared" si="496"/>
        <v>-0.19</v>
      </c>
      <c r="U908" s="1">
        <f t="shared" si="497"/>
        <v>527.99999999996999</v>
      </c>
      <c r="V908" s="1">
        <f t="shared" si="498"/>
        <v>100.31999999999429</v>
      </c>
    </row>
    <row r="909" spans="1:22" x14ac:dyDescent="0.25">
      <c r="A909" s="1">
        <v>908</v>
      </c>
      <c r="B909" s="4">
        <v>7500</v>
      </c>
      <c r="C909" s="4">
        <v>141.29999999999998</v>
      </c>
      <c r="D909" s="4">
        <v>141.4</v>
      </c>
      <c r="E909" s="4">
        <f t="shared" si="490"/>
        <v>0.10000000000002274</v>
      </c>
      <c r="F909" s="4">
        <v>0</v>
      </c>
      <c r="G909" s="4">
        <v>-0.02</v>
      </c>
      <c r="H909" s="4">
        <v>79</v>
      </c>
      <c r="I909" s="4"/>
      <c r="J909" s="4">
        <v>50</v>
      </c>
      <c r="K909" s="2"/>
      <c r="M909" s="4">
        <f t="shared" si="491"/>
        <v>141.4</v>
      </c>
      <c r="N909" s="4"/>
      <c r="O909" s="1">
        <f t="shared" si="492"/>
        <v>141.29999999999998</v>
      </c>
      <c r="P909" s="1">
        <f t="shared" si="493"/>
        <v>0</v>
      </c>
      <c r="Q909" s="1" t="str">
        <f t="shared" si="489"/>
        <v/>
      </c>
      <c r="R909" s="1" t="str">
        <f t="shared" si="494"/>
        <v/>
      </c>
      <c r="S909" s="1">
        <f t="shared" si="495"/>
        <v>779.95680000000232</v>
      </c>
      <c r="T909" s="1">
        <f t="shared" si="496"/>
        <v>-0.02</v>
      </c>
      <c r="U909" s="1">
        <f t="shared" si="497"/>
        <v>528.00000000012005</v>
      </c>
      <c r="V909" s="1">
        <f t="shared" si="498"/>
        <v>10.560000000002402</v>
      </c>
    </row>
    <row r="910" spans="1:22" x14ac:dyDescent="0.25">
      <c r="A910" s="1">
        <v>909</v>
      </c>
      <c r="B910" s="4">
        <v>7500</v>
      </c>
      <c r="C910" s="4">
        <v>141.4</v>
      </c>
      <c r="D910" s="4">
        <v>141.6</v>
      </c>
      <c r="E910" s="4">
        <f t="shared" si="490"/>
        <v>0.19999999999998863</v>
      </c>
      <c r="F910" s="4">
        <v>2</v>
      </c>
      <c r="G910" s="4">
        <v>0.06</v>
      </c>
      <c r="H910" s="4">
        <v>79</v>
      </c>
      <c r="I910" s="4"/>
      <c r="J910" s="4">
        <v>50</v>
      </c>
      <c r="K910" s="2"/>
      <c r="M910" s="4">
        <f t="shared" si="491"/>
        <v>141.6</v>
      </c>
      <c r="N910" s="4"/>
      <c r="O910" s="1">
        <f t="shared" si="492"/>
        <v>141.4</v>
      </c>
      <c r="P910" s="1">
        <f t="shared" si="493"/>
        <v>21.119999999998797</v>
      </c>
      <c r="Q910" s="1" t="str">
        <f t="shared" si="489"/>
        <v/>
      </c>
      <c r="R910" s="1" t="str">
        <f t="shared" si="494"/>
        <v/>
      </c>
      <c r="S910" s="1">
        <f t="shared" si="495"/>
        <v>779.85120000000234</v>
      </c>
      <c r="T910" s="1">
        <f t="shared" si="496"/>
        <v>0.06</v>
      </c>
      <c r="U910" s="1">
        <f t="shared" si="497"/>
        <v>1055.99999999994</v>
      </c>
      <c r="V910" s="1">
        <f t="shared" si="498"/>
        <v>63.359999999996397</v>
      </c>
    </row>
    <row r="911" spans="1:22" x14ac:dyDescent="0.25">
      <c r="A911" s="1">
        <v>910</v>
      </c>
      <c r="B911" s="4">
        <v>7500</v>
      </c>
      <c r="C911" s="4">
        <v>141.6</v>
      </c>
      <c r="D911" s="4">
        <v>141.9</v>
      </c>
      <c r="E911" s="4">
        <f t="shared" si="490"/>
        <v>0.30000000000001137</v>
      </c>
      <c r="F911" s="4">
        <v>1.9</v>
      </c>
      <c r="G911" s="4">
        <v>0.12</v>
      </c>
      <c r="H911" s="4">
        <v>79</v>
      </c>
      <c r="I911" s="4"/>
      <c r="J911" s="4">
        <v>50</v>
      </c>
      <c r="K911" s="2"/>
      <c r="M911" s="4">
        <f t="shared" si="491"/>
        <v>141.9</v>
      </c>
      <c r="N911" s="4"/>
      <c r="O911" s="1">
        <f t="shared" si="492"/>
        <v>141.6</v>
      </c>
      <c r="P911" s="1">
        <f t="shared" si="493"/>
        <v>30.096000000001137</v>
      </c>
      <c r="Q911" s="1" t="str">
        <f t="shared" si="489"/>
        <v/>
      </c>
      <c r="R911" s="1" t="str">
        <f t="shared" si="494"/>
        <v/>
      </c>
      <c r="S911" s="1">
        <f t="shared" si="495"/>
        <v>780.48480000000234</v>
      </c>
      <c r="T911" s="1">
        <f t="shared" si="496"/>
        <v>0.12</v>
      </c>
      <c r="U911" s="1">
        <f t="shared" si="497"/>
        <v>1584.00000000006</v>
      </c>
      <c r="V911" s="1">
        <f t="shared" si="498"/>
        <v>190.0800000000072</v>
      </c>
    </row>
    <row r="912" spans="1:22" x14ac:dyDescent="0.25">
      <c r="A912" s="1">
        <v>911</v>
      </c>
      <c r="B912" s="4">
        <v>7500</v>
      </c>
      <c r="C912" s="4">
        <v>141.9</v>
      </c>
      <c r="D912" s="4">
        <v>142</v>
      </c>
      <c r="E912" s="4">
        <f t="shared" si="490"/>
        <v>9.9999999999994316E-2</v>
      </c>
      <c r="F912" s="4">
        <v>1.9</v>
      </c>
      <c r="G912" s="4">
        <v>0.15</v>
      </c>
      <c r="H912" s="4">
        <v>79</v>
      </c>
      <c r="I912" s="4"/>
      <c r="J912" s="4">
        <v>50</v>
      </c>
      <c r="K912" s="2"/>
      <c r="M912" s="4">
        <f t="shared" si="491"/>
        <v>142</v>
      </c>
      <c r="N912" s="4"/>
      <c r="O912" s="1">
        <f t="shared" si="492"/>
        <v>141.9</v>
      </c>
      <c r="P912" s="1">
        <f t="shared" si="493"/>
        <v>10.03199999999943</v>
      </c>
      <c r="Q912" s="1" t="str">
        <f t="shared" si="489"/>
        <v/>
      </c>
      <c r="R912" s="1" t="str">
        <f t="shared" si="494"/>
        <v/>
      </c>
      <c r="S912" s="1">
        <f t="shared" si="495"/>
        <v>782.38560000000246</v>
      </c>
      <c r="T912" s="1">
        <f t="shared" si="496"/>
        <v>0.15</v>
      </c>
      <c r="U912" s="1">
        <f t="shared" si="497"/>
        <v>527.99999999996999</v>
      </c>
      <c r="V912" s="1">
        <f t="shared" si="498"/>
        <v>79.199999999995498</v>
      </c>
    </row>
    <row r="913" spans="1:22" x14ac:dyDescent="0.25">
      <c r="A913" s="1">
        <v>912</v>
      </c>
      <c r="B913" s="4">
        <v>7500</v>
      </c>
      <c r="C913" s="4">
        <v>142</v>
      </c>
      <c r="D913" s="4">
        <v>142.19999999999999</v>
      </c>
      <c r="E913" s="4">
        <f t="shared" si="490"/>
        <v>0.19999999999998863</v>
      </c>
      <c r="F913" s="4">
        <v>0</v>
      </c>
      <c r="G913" s="4">
        <v>0.15</v>
      </c>
      <c r="H913" s="4">
        <v>79</v>
      </c>
      <c r="I913" s="4"/>
      <c r="J913" s="4">
        <v>50</v>
      </c>
      <c r="K913" s="2"/>
      <c r="M913" s="4">
        <f t="shared" si="491"/>
        <v>142.19999999999999</v>
      </c>
      <c r="N913" s="4"/>
      <c r="O913" s="1">
        <f t="shared" si="492"/>
        <v>142</v>
      </c>
      <c r="P913" s="1">
        <f t="shared" si="493"/>
        <v>0</v>
      </c>
      <c r="Q913" s="1" t="str">
        <f t="shared" si="489"/>
        <v/>
      </c>
      <c r="R913" s="1" t="str">
        <f t="shared" si="494"/>
        <v/>
      </c>
      <c r="S913" s="1">
        <f t="shared" si="495"/>
        <v>783.17760000000237</v>
      </c>
      <c r="T913" s="1">
        <f t="shared" si="496"/>
        <v>0.15</v>
      </c>
      <c r="U913" s="1">
        <f t="shared" si="497"/>
        <v>1055.99999999994</v>
      </c>
      <c r="V913" s="1">
        <f t="shared" si="498"/>
        <v>158.399999999991</v>
      </c>
    </row>
    <row r="914" spans="1:22" x14ac:dyDescent="0.25">
      <c r="A914" s="1">
        <v>913</v>
      </c>
      <c r="B914" s="4">
        <v>7500</v>
      </c>
      <c r="C914" s="4">
        <v>142.19999999999999</v>
      </c>
      <c r="D914" s="4">
        <v>142.29999999999998</v>
      </c>
      <c r="E914" s="4">
        <f t="shared" si="490"/>
        <v>9.9999999999994316E-2</v>
      </c>
      <c r="F914" s="4">
        <v>1.9</v>
      </c>
      <c r="G914" s="4">
        <v>0.15</v>
      </c>
      <c r="H914" s="4">
        <v>79</v>
      </c>
      <c r="I914" s="4"/>
      <c r="J914" s="4">
        <v>50</v>
      </c>
      <c r="K914" s="2"/>
      <c r="M914" s="4">
        <f t="shared" si="491"/>
        <v>142.29999999999998</v>
      </c>
      <c r="N914" s="4"/>
      <c r="O914" s="1">
        <f t="shared" si="492"/>
        <v>142.19999999999999</v>
      </c>
      <c r="P914" s="1">
        <f t="shared" si="493"/>
        <v>10.03199999999943</v>
      </c>
      <c r="Q914" s="1" t="str">
        <f t="shared" si="489"/>
        <v/>
      </c>
      <c r="R914" s="1" t="str">
        <f t="shared" si="494"/>
        <v/>
      </c>
      <c r="S914" s="1">
        <f t="shared" si="495"/>
        <v>784.76160000000232</v>
      </c>
      <c r="T914" s="1">
        <f t="shared" si="496"/>
        <v>0.15</v>
      </c>
      <c r="U914" s="1">
        <f t="shared" si="497"/>
        <v>527.99999999996999</v>
      </c>
      <c r="V914" s="1">
        <f t="shared" si="498"/>
        <v>79.199999999995498</v>
      </c>
    </row>
    <row r="915" spans="1:22" x14ac:dyDescent="0.25">
      <c r="A915" s="1">
        <v>914</v>
      </c>
      <c r="B915" s="4">
        <v>7500</v>
      </c>
      <c r="C915" s="4">
        <v>142.29999999999998</v>
      </c>
      <c r="D915" s="4">
        <v>142.4</v>
      </c>
      <c r="E915" s="4">
        <f t="shared" si="490"/>
        <v>0.10000000000002274</v>
      </c>
      <c r="F915" s="4">
        <v>1.8</v>
      </c>
      <c r="G915" s="4">
        <v>-0.25</v>
      </c>
      <c r="H915" s="4">
        <v>79</v>
      </c>
      <c r="I915" s="4"/>
      <c r="J915" s="4">
        <v>50</v>
      </c>
      <c r="K915" s="2"/>
      <c r="M915" s="4">
        <f t="shared" si="491"/>
        <v>142.4</v>
      </c>
      <c r="N915" s="4"/>
      <c r="O915" s="1">
        <f t="shared" si="492"/>
        <v>142.29999999999998</v>
      </c>
      <c r="P915" s="1">
        <f t="shared" si="493"/>
        <v>9.5040000000021596</v>
      </c>
      <c r="Q915" s="1" t="str">
        <f t="shared" si="489"/>
        <v/>
      </c>
      <c r="R915" s="1" t="str">
        <f t="shared" si="494"/>
        <v/>
      </c>
      <c r="S915" s="1">
        <f t="shared" si="495"/>
        <v>785.55360000000223</v>
      </c>
      <c r="T915" s="1">
        <f t="shared" si="496"/>
        <v>-0.25</v>
      </c>
      <c r="U915" s="1">
        <f t="shared" si="497"/>
        <v>528.00000000012005</v>
      </c>
      <c r="V915" s="1">
        <f t="shared" si="498"/>
        <v>132.00000000003001</v>
      </c>
    </row>
    <row r="916" spans="1:22" x14ac:dyDescent="0.25">
      <c r="A916" s="1">
        <v>915</v>
      </c>
      <c r="B916" s="4">
        <v>7500</v>
      </c>
      <c r="C916" s="4">
        <v>142.4</v>
      </c>
      <c r="D916" s="4">
        <v>142.5</v>
      </c>
      <c r="E916" s="4">
        <f t="shared" si="490"/>
        <v>9.9999999999994316E-2</v>
      </c>
      <c r="F916" s="4">
        <v>1.9</v>
      </c>
      <c r="G916" s="4">
        <v>-0.25</v>
      </c>
      <c r="H916" s="4">
        <v>79</v>
      </c>
      <c r="I916" s="4"/>
      <c r="J916" s="4">
        <v>50</v>
      </c>
      <c r="K916" s="2"/>
      <c r="M916" s="4">
        <f t="shared" si="491"/>
        <v>142.5</v>
      </c>
      <c r="N916" s="4"/>
      <c r="O916" s="1">
        <f t="shared" si="492"/>
        <v>142.4</v>
      </c>
      <c r="P916" s="1">
        <f t="shared" si="493"/>
        <v>10.03199999999943</v>
      </c>
      <c r="Q916" s="1" t="str">
        <f t="shared" si="489"/>
        <v/>
      </c>
      <c r="R916" s="1" t="str">
        <f t="shared" si="494"/>
        <v/>
      </c>
      <c r="S916" s="1">
        <f t="shared" si="495"/>
        <v>784.23360000000196</v>
      </c>
      <c r="T916" s="1">
        <f t="shared" si="496"/>
        <v>-0.25</v>
      </c>
      <c r="U916" s="1">
        <f t="shared" si="497"/>
        <v>527.99999999996999</v>
      </c>
      <c r="V916" s="1">
        <f t="shared" si="498"/>
        <v>131.9999999999925</v>
      </c>
    </row>
    <row r="917" spans="1:22" x14ac:dyDescent="0.25">
      <c r="A917" s="1">
        <v>916</v>
      </c>
      <c r="B917" s="4">
        <v>7500</v>
      </c>
      <c r="C917" s="4">
        <v>142.5</v>
      </c>
      <c r="D917" s="4">
        <v>142.6</v>
      </c>
      <c r="E917" s="4">
        <f t="shared" si="490"/>
        <v>9.9999999999994316E-2</v>
      </c>
      <c r="F917" s="4">
        <v>1.9</v>
      </c>
      <c r="G917" s="4">
        <v>-0.09</v>
      </c>
      <c r="H917" s="4">
        <v>79</v>
      </c>
      <c r="I917" s="4"/>
      <c r="J917" s="4">
        <v>50</v>
      </c>
      <c r="K917" s="2"/>
      <c r="M917" s="4">
        <f t="shared" si="491"/>
        <v>142.6</v>
      </c>
      <c r="N917" s="4"/>
      <c r="O917" s="1">
        <f t="shared" si="492"/>
        <v>142.5</v>
      </c>
      <c r="P917" s="1">
        <f t="shared" si="493"/>
        <v>10.03199999999943</v>
      </c>
      <c r="Q917" s="1" t="str">
        <f t="shared" si="489"/>
        <v/>
      </c>
      <c r="R917" s="1" t="str">
        <f t="shared" si="494"/>
        <v/>
      </c>
      <c r="S917" s="1">
        <f t="shared" si="495"/>
        <v>782.91360000000202</v>
      </c>
      <c r="T917" s="1">
        <f t="shared" si="496"/>
        <v>-0.09</v>
      </c>
      <c r="U917" s="1">
        <f t="shared" si="497"/>
        <v>527.99999999996999</v>
      </c>
      <c r="V917" s="1">
        <f t="shared" si="498"/>
        <v>47.519999999997296</v>
      </c>
    </row>
    <row r="918" spans="1:22" x14ac:dyDescent="0.25">
      <c r="A918" s="1">
        <v>917</v>
      </c>
      <c r="B918" s="4">
        <v>7500</v>
      </c>
      <c r="C918" s="4">
        <v>142.6</v>
      </c>
      <c r="D918" s="4">
        <v>142.69999999999999</v>
      </c>
      <c r="E918" s="4">
        <f t="shared" si="490"/>
        <v>9.9999999999994316E-2</v>
      </c>
      <c r="F918" s="4">
        <v>0</v>
      </c>
      <c r="G918" s="4">
        <v>-0.2</v>
      </c>
      <c r="H918" s="4">
        <v>79</v>
      </c>
      <c r="I918" s="4"/>
      <c r="J918" s="4">
        <v>50</v>
      </c>
      <c r="K918" s="2"/>
      <c r="M918" s="4">
        <f t="shared" si="491"/>
        <v>142.69999999999999</v>
      </c>
      <c r="N918" s="4"/>
      <c r="O918" s="1">
        <f t="shared" si="492"/>
        <v>142.6</v>
      </c>
      <c r="P918" s="1">
        <f t="shared" si="493"/>
        <v>0</v>
      </c>
      <c r="Q918" s="1" t="str">
        <f t="shared" si="489"/>
        <v/>
      </c>
      <c r="R918" s="1" t="str">
        <f t="shared" si="494"/>
        <v/>
      </c>
      <c r="S918" s="1">
        <f t="shared" si="495"/>
        <v>782.43840000000205</v>
      </c>
      <c r="T918" s="1">
        <f t="shared" si="496"/>
        <v>-0.2</v>
      </c>
      <c r="U918" s="1">
        <f t="shared" si="497"/>
        <v>527.99999999996999</v>
      </c>
      <c r="V918" s="1">
        <f t="shared" si="498"/>
        <v>105.599999999994</v>
      </c>
    </row>
    <row r="919" spans="1:22" x14ac:dyDescent="0.25">
      <c r="A919" s="1">
        <v>918</v>
      </c>
      <c r="B919" s="4">
        <v>7500</v>
      </c>
      <c r="C919" s="4">
        <v>142.69999999999999</v>
      </c>
      <c r="D919" s="4">
        <v>142.79999999999998</v>
      </c>
      <c r="E919" s="4">
        <f t="shared" si="490"/>
        <v>9.9999999999994316E-2</v>
      </c>
      <c r="F919" s="4">
        <v>0</v>
      </c>
      <c r="G919" s="4">
        <v>-0.42</v>
      </c>
      <c r="H919" s="4">
        <v>79</v>
      </c>
      <c r="I919" s="4"/>
      <c r="J919" s="4">
        <v>50</v>
      </c>
      <c r="K919" s="2"/>
      <c r="M919" s="4">
        <f t="shared" si="491"/>
        <v>142.79999999999998</v>
      </c>
      <c r="N919" s="4"/>
      <c r="O919" s="1">
        <f t="shared" si="492"/>
        <v>142.69999999999999</v>
      </c>
      <c r="P919" s="1">
        <f t="shared" si="493"/>
        <v>0</v>
      </c>
      <c r="Q919" s="1" t="str">
        <f t="shared" si="489"/>
        <v/>
      </c>
      <c r="R919" s="1" t="str">
        <f t="shared" si="494"/>
        <v/>
      </c>
      <c r="S919" s="1">
        <f t="shared" si="495"/>
        <v>781.38240000000212</v>
      </c>
      <c r="T919" s="1">
        <f t="shared" si="496"/>
        <v>-0.42</v>
      </c>
      <c r="U919" s="1">
        <f t="shared" si="497"/>
        <v>527.99999999996999</v>
      </c>
      <c r="V919" s="1">
        <f t="shared" si="498"/>
        <v>221.7599999999874</v>
      </c>
    </row>
    <row r="920" spans="1:22" x14ac:dyDescent="0.25">
      <c r="A920" s="1">
        <v>919</v>
      </c>
      <c r="B920" s="4">
        <v>7500</v>
      </c>
      <c r="C920" s="4">
        <v>142.79999999999998</v>
      </c>
      <c r="D920" s="4">
        <v>143</v>
      </c>
      <c r="E920" s="4">
        <f t="shared" si="490"/>
        <v>0.20000000000001705</v>
      </c>
      <c r="F920" s="4">
        <v>0</v>
      </c>
      <c r="G920" s="4">
        <v>-0.53</v>
      </c>
      <c r="H920" s="4">
        <v>79</v>
      </c>
      <c r="I920" s="4"/>
      <c r="J920" s="4">
        <v>50</v>
      </c>
      <c r="K920" s="2"/>
      <c r="M920" s="4">
        <f t="shared" si="491"/>
        <v>143</v>
      </c>
      <c r="N920" s="4"/>
      <c r="O920" s="1">
        <f t="shared" si="492"/>
        <v>142.79999999999998</v>
      </c>
      <c r="P920" s="1">
        <f t="shared" si="493"/>
        <v>0</v>
      </c>
      <c r="Q920" s="1" t="str">
        <f t="shared" si="489"/>
        <v/>
      </c>
      <c r="R920" s="1" t="str">
        <f t="shared" si="494"/>
        <v/>
      </c>
      <c r="S920" s="1">
        <f t="shared" si="495"/>
        <v>779.16480000000229</v>
      </c>
      <c r="T920" s="1">
        <f t="shared" si="496"/>
        <v>-0.53</v>
      </c>
      <c r="U920" s="1">
        <f t="shared" si="497"/>
        <v>1056.00000000009</v>
      </c>
      <c r="V920" s="1">
        <f t="shared" si="498"/>
        <v>559.6800000000477</v>
      </c>
    </row>
    <row r="921" spans="1:22" x14ac:dyDescent="0.25">
      <c r="A921" s="1">
        <v>920</v>
      </c>
      <c r="B921" s="4">
        <v>7500</v>
      </c>
      <c r="C921" s="4">
        <v>143</v>
      </c>
      <c r="D921" s="4">
        <v>143.1</v>
      </c>
      <c r="E921" s="4">
        <f t="shared" si="490"/>
        <v>9.9999999999994316E-2</v>
      </c>
      <c r="F921" s="4">
        <v>0</v>
      </c>
      <c r="G921" s="4">
        <v>0.52</v>
      </c>
      <c r="H921" s="4">
        <v>79</v>
      </c>
      <c r="I921" s="4"/>
      <c r="J921" s="4">
        <v>50</v>
      </c>
      <c r="K921" s="2"/>
      <c r="M921" s="4">
        <f t="shared" si="491"/>
        <v>143.1</v>
      </c>
      <c r="N921" s="4"/>
      <c r="O921" s="1">
        <f t="shared" si="492"/>
        <v>143</v>
      </c>
      <c r="P921" s="1">
        <f t="shared" si="493"/>
        <v>0</v>
      </c>
      <c r="Q921" s="1" t="str">
        <f t="shared" si="489"/>
        <v/>
      </c>
      <c r="R921" s="1" t="str">
        <f t="shared" si="494"/>
        <v/>
      </c>
      <c r="S921" s="1">
        <f t="shared" si="495"/>
        <v>773.5680000000018</v>
      </c>
      <c r="T921" s="1">
        <f t="shared" si="496"/>
        <v>0.52</v>
      </c>
      <c r="U921" s="1">
        <f t="shared" si="497"/>
        <v>527.99999999996999</v>
      </c>
      <c r="V921" s="1">
        <f t="shared" si="498"/>
        <v>274.55999999998443</v>
      </c>
    </row>
    <row r="922" spans="1:22" x14ac:dyDescent="0.25">
      <c r="A922" s="1">
        <v>921</v>
      </c>
      <c r="B922" s="4">
        <v>7500</v>
      </c>
      <c r="C922" s="4">
        <v>143.1</v>
      </c>
      <c r="D922" s="4">
        <v>143.29999999999998</v>
      </c>
      <c r="E922" s="4">
        <f t="shared" si="490"/>
        <v>0.19999999999998863</v>
      </c>
      <c r="F922" s="4">
        <v>0</v>
      </c>
      <c r="G922" s="4">
        <v>0.87</v>
      </c>
      <c r="H922" s="4">
        <v>79</v>
      </c>
      <c r="I922" s="4"/>
      <c r="J922" s="4">
        <v>50</v>
      </c>
      <c r="K922" s="2"/>
      <c r="M922" s="4">
        <f t="shared" si="491"/>
        <v>143.29999999999998</v>
      </c>
      <c r="N922" s="4"/>
      <c r="O922" s="1">
        <f t="shared" si="492"/>
        <v>143.1</v>
      </c>
      <c r="P922" s="1">
        <f t="shared" si="493"/>
        <v>0</v>
      </c>
      <c r="Q922" s="1" t="str">
        <f t="shared" si="489"/>
        <v/>
      </c>
      <c r="R922" s="1" t="str">
        <f t="shared" si="494"/>
        <v/>
      </c>
      <c r="S922" s="1">
        <f t="shared" si="495"/>
        <v>776.31360000000166</v>
      </c>
      <c r="T922" s="1">
        <f t="shared" si="496"/>
        <v>0.87</v>
      </c>
      <c r="U922" s="1">
        <f t="shared" si="497"/>
        <v>1055.99999999994</v>
      </c>
      <c r="V922" s="1">
        <f t="shared" si="498"/>
        <v>918.71999999994773</v>
      </c>
    </row>
    <row r="923" spans="1:22" x14ac:dyDescent="0.25">
      <c r="A923" s="1">
        <v>922</v>
      </c>
      <c r="B923" s="4">
        <v>7500</v>
      </c>
      <c r="C923" s="4">
        <v>143.29999999999998</v>
      </c>
      <c r="D923" s="4">
        <v>143.4</v>
      </c>
      <c r="E923" s="4">
        <f t="shared" si="490"/>
        <v>0.10000000000002274</v>
      </c>
      <c r="F923" s="4">
        <v>0</v>
      </c>
      <c r="G923" s="4">
        <v>1.1299999999999999</v>
      </c>
      <c r="H923" s="4">
        <v>79</v>
      </c>
      <c r="I923" s="4"/>
      <c r="J923" s="4">
        <v>50</v>
      </c>
      <c r="K923" s="2"/>
      <c r="M923" s="4">
        <f t="shared" si="491"/>
        <v>143.4</v>
      </c>
      <c r="N923" s="4"/>
      <c r="O923" s="1">
        <f t="shared" si="492"/>
        <v>143.29999999999998</v>
      </c>
      <c r="P923" s="1">
        <f t="shared" si="493"/>
        <v>0</v>
      </c>
      <c r="Q923" s="1" t="str">
        <f t="shared" si="489"/>
        <v/>
      </c>
      <c r="R923" s="1" t="str">
        <f t="shared" si="494"/>
        <v/>
      </c>
      <c r="S923" s="1">
        <f t="shared" si="495"/>
        <v>785.50080000000116</v>
      </c>
      <c r="T923" s="1">
        <f t="shared" si="496"/>
        <v>1.1299999999999999</v>
      </c>
      <c r="U923" s="1">
        <f t="shared" si="497"/>
        <v>528.00000000012005</v>
      </c>
      <c r="V923" s="1">
        <f t="shared" si="498"/>
        <v>596.64000000013561</v>
      </c>
    </row>
    <row r="924" spans="1:22" x14ac:dyDescent="0.25">
      <c r="A924" s="1">
        <v>923</v>
      </c>
      <c r="B924" s="4">
        <v>7500</v>
      </c>
      <c r="C924" s="4">
        <v>143.4</v>
      </c>
      <c r="D924" s="4">
        <v>143.5</v>
      </c>
      <c r="E924" s="4">
        <f t="shared" si="490"/>
        <v>9.9999999999994316E-2</v>
      </c>
      <c r="F924" s="4">
        <v>2</v>
      </c>
      <c r="G924" s="4">
        <v>1.1299999999999999</v>
      </c>
      <c r="H924" s="4">
        <v>79</v>
      </c>
      <c r="I924" s="4"/>
      <c r="J924" s="4">
        <v>50</v>
      </c>
      <c r="K924" s="2"/>
      <c r="M924" s="4">
        <f t="shared" si="491"/>
        <v>143.5</v>
      </c>
      <c r="N924" s="4"/>
      <c r="O924" s="1">
        <f t="shared" si="492"/>
        <v>143.4</v>
      </c>
      <c r="P924" s="1">
        <f t="shared" si="493"/>
        <v>10.559999999999398</v>
      </c>
      <c r="Q924" s="1" t="str">
        <f t="shared" si="489"/>
        <v/>
      </c>
      <c r="R924" s="1" t="str">
        <f t="shared" si="494"/>
        <v/>
      </c>
      <c r="S924" s="1">
        <f t="shared" si="495"/>
        <v>791.46720000000255</v>
      </c>
      <c r="T924" s="1">
        <f t="shared" si="496"/>
        <v>1.1299999999999999</v>
      </c>
      <c r="U924" s="1">
        <f t="shared" si="497"/>
        <v>527.99999999996999</v>
      </c>
      <c r="V924" s="1">
        <f t="shared" si="498"/>
        <v>596.63999999996599</v>
      </c>
    </row>
    <row r="925" spans="1:22" x14ac:dyDescent="0.25">
      <c r="A925" s="1">
        <v>924</v>
      </c>
      <c r="B925" s="4">
        <v>7500</v>
      </c>
      <c r="C925" s="4">
        <v>143.5</v>
      </c>
      <c r="D925" s="4">
        <v>143.6</v>
      </c>
      <c r="E925" s="4">
        <f t="shared" si="490"/>
        <v>9.9999999999994316E-2</v>
      </c>
      <c r="F925" s="4">
        <v>2</v>
      </c>
      <c r="G925" s="4">
        <v>1.02</v>
      </c>
      <c r="H925" s="4">
        <v>79</v>
      </c>
      <c r="I925" s="4"/>
      <c r="J925" s="4">
        <v>50</v>
      </c>
      <c r="K925" s="2"/>
      <c r="M925" s="4">
        <f t="shared" si="491"/>
        <v>143.6</v>
      </c>
      <c r="N925" s="4"/>
      <c r="O925" s="1">
        <f t="shared" si="492"/>
        <v>143.5</v>
      </c>
      <c r="P925" s="1">
        <f t="shared" si="493"/>
        <v>10.559999999999398</v>
      </c>
      <c r="Q925" s="1" t="str">
        <f t="shared" si="489"/>
        <v/>
      </c>
      <c r="R925" s="1" t="str">
        <f t="shared" si="494"/>
        <v/>
      </c>
      <c r="S925" s="1">
        <f t="shared" si="495"/>
        <v>797.43360000000223</v>
      </c>
      <c r="T925" s="1">
        <f t="shared" si="496"/>
        <v>1.02</v>
      </c>
      <c r="U925" s="1">
        <f t="shared" si="497"/>
        <v>527.99999999996999</v>
      </c>
      <c r="V925" s="1">
        <f t="shared" si="498"/>
        <v>538.55999999996936</v>
      </c>
    </row>
    <row r="926" spans="1:22" x14ac:dyDescent="0.25">
      <c r="A926" s="1">
        <v>925</v>
      </c>
      <c r="B926" s="4">
        <v>7500</v>
      </c>
      <c r="C926" s="4">
        <v>143.6</v>
      </c>
      <c r="D926" s="4">
        <v>143.79999999999998</v>
      </c>
      <c r="E926" s="4">
        <f t="shared" si="490"/>
        <v>0.19999999999998863</v>
      </c>
      <c r="F926" s="4">
        <v>0</v>
      </c>
      <c r="G926" s="4">
        <v>0.99</v>
      </c>
      <c r="H926" s="4">
        <v>79</v>
      </c>
      <c r="I926" s="4"/>
      <c r="J926" s="4">
        <v>50</v>
      </c>
      <c r="K926" s="2"/>
      <c r="M926" s="4">
        <f t="shared" si="491"/>
        <v>143.79999999999998</v>
      </c>
      <c r="N926" s="4"/>
      <c r="O926" s="1">
        <f t="shared" si="492"/>
        <v>143.6</v>
      </c>
      <c r="P926" s="1">
        <f t="shared" si="493"/>
        <v>0</v>
      </c>
      <c r="Q926" s="1" t="str">
        <f t="shared" si="489"/>
        <v/>
      </c>
      <c r="R926" s="1" t="str">
        <f t="shared" si="494"/>
        <v/>
      </c>
      <c r="S926" s="1">
        <f t="shared" si="495"/>
        <v>802.81920000000196</v>
      </c>
      <c r="T926" s="1">
        <f t="shared" si="496"/>
        <v>0.99</v>
      </c>
      <c r="U926" s="1">
        <f t="shared" si="497"/>
        <v>1055.99999999994</v>
      </c>
      <c r="V926" s="1">
        <f t="shared" si="498"/>
        <v>1045.4399999999405</v>
      </c>
    </row>
    <row r="927" spans="1:22" x14ac:dyDescent="0.25">
      <c r="A927" s="1">
        <v>926</v>
      </c>
      <c r="B927" s="4">
        <v>7500</v>
      </c>
      <c r="C927" s="4">
        <v>143.79999999999998</v>
      </c>
      <c r="D927" s="4">
        <v>144</v>
      </c>
      <c r="E927" s="4">
        <f t="shared" si="490"/>
        <v>0.20000000000001705</v>
      </c>
      <c r="F927" s="4">
        <v>0</v>
      </c>
      <c r="G927" s="4">
        <v>0.81</v>
      </c>
      <c r="H927" s="4">
        <v>79</v>
      </c>
      <c r="I927" s="4"/>
      <c r="J927" s="4">
        <v>50</v>
      </c>
      <c r="K927" s="2"/>
      <c r="M927" s="4">
        <f t="shared" si="491"/>
        <v>144</v>
      </c>
      <c r="N927" s="4"/>
      <c r="O927" s="1">
        <f t="shared" si="492"/>
        <v>143.79999999999998</v>
      </c>
      <c r="P927" s="1">
        <f t="shared" si="493"/>
        <v>0</v>
      </c>
      <c r="Q927" s="1" t="str">
        <f t="shared" si="489"/>
        <v/>
      </c>
      <c r="R927" s="1" t="str">
        <f t="shared" si="494"/>
        <v/>
      </c>
      <c r="S927" s="1">
        <f t="shared" si="495"/>
        <v>813.27360000000135</v>
      </c>
      <c r="T927" s="1">
        <f t="shared" si="496"/>
        <v>0.81</v>
      </c>
      <c r="U927" s="1">
        <f t="shared" si="497"/>
        <v>1056.00000000009</v>
      </c>
      <c r="V927" s="1">
        <f t="shared" si="498"/>
        <v>855.360000000073</v>
      </c>
    </row>
    <row r="928" spans="1:22" x14ac:dyDescent="0.25">
      <c r="A928" s="1">
        <v>927</v>
      </c>
      <c r="B928" s="4">
        <v>7500</v>
      </c>
      <c r="C928" s="4">
        <v>144</v>
      </c>
      <c r="D928" s="4">
        <v>144.1</v>
      </c>
      <c r="E928" s="4">
        <f t="shared" si="490"/>
        <v>9.9999999999994316E-2</v>
      </c>
      <c r="F928" s="4">
        <v>0</v>
      </c>
      <c r="G928" s="4">
        <v>-0.47</v>
      </c>
      <c r="H928" s="4">
        <v>79</v>
      </c>
      <c r="I928" s="4"/>
      <c r="J928" s="4">
        <v>50</v>
      </c>
      <c r="K928" s="2"/>
      <c r="M928" s="4">
        <f t="shared" si="491"/>
        <v>144.1</v>
      </c>
      <c r="N928" s="4"/>
      <c r="O928" s="1">
        <f t="shared" si="492"/>
        <v>144</v>
      </c>
      <c r="P928" s="1">
        <f t="shared" si="493"/>
        <v>0</v>
      </c>
      <c r="Q928" s="1" t="str">
        <f t="shared" si="489"/>
        <v/>
      </c>
      <c r="R928" s="1" t="str">
        <f t="shared" si="494"/>
        <v/>
      </c>
      <c r="S928" s="1">
        <f t="shared" si="495"/>
        <v>821.82720000000211</v>
      </c>
      <c r="T928" s="1">
        <f t="shared" si="496"/>
        <v>-0.47</v>
      </c>
      <c r="U928" s="1">
        <f t="shared" si="497"/>
        <v>527.99999999996999</v>
      </c>
      <c r="V928" s="1">
        <f t="shared" si="498"/>
        <v>248.15999999998587</v>
      </c>
    </row>
    <row r="929" spans="1:22" x14ac:dyDescent="0.25">
      <c r="A929" s="1">
        <v>928</v>
      </c>
      <c r="B929" s="4">
        <v>7500</v>
      </c>
      <c r="C929" s="4">
        <v>144.1</v>
      </c>
      <c r="D929" s="4">
        <v>144.29999999999998</v>
      </c>
      <c r="E929" s="4">
        <f t="shared" si="490"/>
        <v>0.19999999999998863</v>
      </c>
      <c r="F929" s="4">
        <v>1.8</v>
      </c>
      <c r="G929" s="4">
        <v>-0.47</v>
      </c>
      <c r="H929" s="4">
        <v>79</v>
      </c>
      <c r="I929" s="4"/>
      <c r="J929" s="4">
        <v>50</v>
      </c>
      <c r="K929" s="2"/>
      <c r="M929" s="4">
        <f t="shared" si="491"/>
        <v>144.29999999999998</v>
      </c>
      <c r="N929" s="4"/>
      <c r="O929" s="1">
        <f t="shared" si="492"/>
        <v>144.1</v>
      </c>
      <c r="P929" s="1">
        <f t="shared" si="493"/>
        <v>19.007999999998919</v>
      </c>
      <c r="Q929" s="1" t="str">
        <f t="shared" si="489"/>
        <v/>
      </c>
      <c r="R929" s="1" t="str">
        <f t="shared" si="494"/>
        <v/>
      </c>
      <c r="S929" s="1">
        <f t="shared" si="495"/>
        <v>819.34560000000226</v>
      </c>
      <c r="T929" s="1">
        <f t="shared" si="496"/>
        <v>-0.47</v>
      </c>
      <c r="U929" s="1">
        <f t="shared" si="497"/>
        <v>1055.99999999994</v>
      </c>
      <c r="V929" s="1">
        <f t="shared" si="498"/>
        <v>496.31999999997174</v>
      </c>
    </row>
    <row r="930" spans="1:22" x14ac:dyDescent="0.25">
      <c r="A930" s="1">
        <v>929</v>
      </c>
      <c r="B930" s="4">
        <v>7500</v>
      </c>
      <c r="C930" s="4">
        <v>144.29999999999998</v>
      </c>
      <c r="D930" s="4">
        <v>144.4</v>
      </c>
      <c r="E930" s="4">
        <f t="shared" si="490"/>
        <v>0.10000000000002274</v>
      </c>
      <c r="F930" s="4">
        <v>1.8</v>
      </c>
      <c r="G930" s="4">
        <v>-0.9</v>
      </c>
      <c r="H930" s="4">
        <v>79</v>
      </c>
      <c r="I930" s="4"/>
      <c r="J930" s="4">
        <v>50</v>
      </c>
      <c r="K930" s="2"/>
      <c r="M930" s="4">
        <f t="shared" si="491"/>
        <v>144.4</v>
      </c>
      <c r="N930" s="4"/>
      <c r="O930" s="1">
        <f t="shared" si="492"/>
        <v>144.29999999999998</v>
      </c>
      <c r="P930" s="1">
        <f t="shared" si="493"/>
        <v>9.5040000000021596</v>
      </c>
      <c r="Q930" s="1" t="str">
        <f t="shared" si="489"/>
        <v/>
      </c>
      <c r="R930" s="1" t="str">
        <f t="shared" si="494"/>
        <v/>
      </c>
      <c r="S930" s="1">
        <f t="shared" si="495"/>
        <v>814.38240000000258</v>
      </c>
      <c r="T930" s="1">
        <f t="shared" si="496"/>
        <v>-0.9</v>
      </c>
      <c r="U930" s="1">
        <f t="shared" si="497"/>
        <v>528.00000000012005</v>
      </c>
      <c r="V930" s="1">
        <f t="shared" si="498"/>
        <v>475.20000000010805</v>
      </c>
    </row>
    <row r="931" spans="1:22" x14ac:dyDescent="0.25">
      <c r="A931" s="1">
        <v>930</v>
      </c>
      <c r="B931" s="4">
        <v>7500</v>
      </c>
      <c r="C931" s="4">
        <v>144.4</v>
      </c>
      <c r="D931" s="4">
        <v>144.5</v>
      </c>
      <c r="E931" s="4">
        <f t="shared" si="490"/>
        <v>9.9999999999994316E-2</v>
      </c>
      <c r="F931" s="4">
        <v>1</v>
      </c>
      <c r="G931" s="4">
        <v>-0.9</v>
      </c>
      <c r="H931" s="4">
        <v>79</v>
      </c>
      <c r="I931" s="4"/>
      <c r="J931" s="4">
        <v>50</v>
      </c>
      <c r="K931" s="2"/>
      <c r="M931" s="4">
        <f t="shared" si="491"/>
        <v>144.5</v>
      </c>
      <c r="N931" s="4"/>
      <c r="O931" s="1">
        <f t="shared" si="492"/>
        <v>144.4</v>
      </c>
      <c r="P931" s="1">
        <f t="shared" si="493"/>
        <v>5.2799999999996992</v>
      </c>
      <c r="Q931" s="1" t="str">
        <f t="shared" si="489"/>
        <v/>
      </c>
      <c r="R931" s="1" t="str">
        <f t="shared" si="494"/>
        <v/>
      </c>
      <c r="S931" s="1">
        <f t="shared" si="495"/>
        <v>809.63040000000149</v>
      </c>
      <c r="T931" s="1">
        <f t="shared" si="496"/>
        <v>-0.9</v>
      </c>
      <c r="U931" s="1">
        <f t="shared" si="497"/>
        <v>527.99999999996999</v>
      </c>
      <c r="V931" s="1">
        <f t="shared" si="498"/>
        <v>475.19999999997299</v>
      </c>
    </row>
    <row r="932" spans="1:22" x14ac:dyDescent="0.25">
      <c r="A932" s="1">
        <v>931</v>
      </c>
      <c r="B932" s="4">
        <v>7500</v>
      </c>
      <c r="C932" s="4">
        <v>144.5</v>
      </c>
      <c r="D932" s="4">
        <v>144.69999999999999</v>
      </c>
      <c r="E932" s="4">
        <f t="shared" si="490"/>
        <v>0.19999999999998863</v>
      </c>
      <c r="F932" s="4">
        <v>1</v>
      </c>
      <c r="G932" s="4">
        <v>-0.9</v>
      </c>
      <c r="H932" s="4">
        <v>79</v>
      </c>
      <c r="I932" s="4"/>
      <c r="J932" s="4">
        <v>50</v>
      </c>
      <c r="K932" s="2"/>
      <c r="M932" s="4">
        <f t="shared" si="491"/>
        <v>144.69999999999999</v>
      </c>
      <c r="N932" s="4"/>
      <c r="O932" s="1">
        <f t="shared" si="492"/>
        <v>144.5</v>
      </c>
      <c r="P932" s="1">
        <f t="shared" si="493"/>
        <v>10.559999999999398</v>
      </c>
      <c r="Q932" s="1" t="str">
        <f t="shared" si="489"/>
        <v/>
      </c>
      <c r="R932" s="1" t="str">
        <f t="shared" si="494"/>
        <v/>
      </c>
      <c r="S932" s="1">
        <f t="shared" si="495"/>
        <v>804.87840000000176</v>
      </c>
      <c r="T932" s="1">
        <f t="shared" si="496"/>
        <v>-0.9</v>
      </c>
      <c r="U932" s="1">
        <f t="shared" si="497"/>
        <v>1055.99999999994</v>
      </c>
      <c r="V932" s="1">
        <f t="shared" si="498"/>
        <v>950.39999999994598</v>
      </c>
    </row>
    <row r="933" spans="1:22" x14ac:dyDescent="0.25">
      <c r="A933" s="1">
        <v>932</v>
      </c>
      <c r="B933" s="4">
        <v>7500</v>
      </c>
      <c r="C933" s="4">
        <v>144.69999999999999</v>
      </c>
      <c r="D933" s="4">
        <v>144.79999999999998</v>
      </c>
      <c r="E933" s="4">
        <f t="shared" si="490"/>
        <v>9.9999999999994316E-2</v>
      </c>
      <c r="F933" s="4">
        <v>1</v>
      </c>
      <c r="G933" s="4">
        <v>0.02</v>
      </c>
      <c r="H933" s="4">
        <v>79</v>
      </c>
      <c r="I933" s="4"/>
      <c r="J933" s="4">
        <v>50</v>
      </c>
      <c r="K933" s="2"/>
      <c r="M933" s="4">
        <f t="shared" si="491"/>
        <v>144.79999999999998</v>
      </c>
      <c r="N933" s="4"/>
      <c r="O933" s="1">
        <f t="shared" si="492"/>
        <v>144.69999999999999</v>
      </c>
      <c r="P933" s="1">
        <f t="shared" si="493"/>
        <v>5.2799999999996992</v>
      </c>
      <c r="Q933" s="1" t="str">
        <f t="shared" si="489"/>
        <v/>
      </c>
      <c r="R933" s="1" t="str">
        <f t="shared" si="494"/>
        <v/>
      </c>
      <c r="S933" s="1">
        <f t="shared" si="495"/>
        <v>795.37440000000231</v>
      </c>
      <c r="T933" s="1">
        <f t="shared" si="496"/>
        <v>0.02</v>
      </c>
      <c r="U933" s="1">
        <f t="shared" si="497"/>
        <v>527.99999999996999</v>
      </c>
      <c r="V933" s="1">
        <f t="shared" si="498"/>
        <v>10.5599999999994</v>
      </c>
    </row>
    <row r="934" spans="1:22" x14ac:dyDescent="0.25">
      <c r="A934" s="1">
        <v>933</v>
      </c>
      <c r="B934" s="4">
        <v>7500</v>
      </c>
      <c r="C934" s="4">
        <v>144.79999999999998</v>
      </c>
      <c r="D934" s="4">
        <v>145</v>
      </c>
      <c r="E934" s="4">
        <f t="shared" si="490"/>
        <v>0.20000000000001705</v>
      </c>
      <c r="F934" s="4">
        <v>0</v>
      </c>
      <c r="G934" s="4">
        <v>0.35</v>
      </c>
      <c r="H934" s="4">
        <v>79</v>
      </c>
      <c r="I934" s="4"/>
      <c r="J934" s="4">
        <v>50</v>
      </c>
      <c r="K934" s="2"/>
      <c r="M934" s="4">
        <f t="shared" si="491"/>
        <v>145</v>
      </c>
      <c r="N934" s="4"/>
      <c r="O934" s="1">
        <f t="shared" si="492"/>
        <v>144.79999999999998</v>
      </c>
      <c r="P934" s="1">
        <f t="shared" si="493"/>
        <v>0</v>
      </c>
      <c r="Q934" s="1" t="str">
        <f t="shared" si="489"/>
        <v/>
      </c>
      <c r="R934" s="1" t="str">
        <f t="shared" si="494"/>
        <v/>
      </c>
      <c r="S934" s="1">
        <f t="shared" si="495"/>
        <v>795.48000000000229</v>
      </c>
      <c r="T934" s="1">
        <f t="shared" si="496"/>
        <v>0.35</v>
      </c>
      <c r="U934" s="1">
        <f t="shared" si="497"/>
        <v>1056.00000000009</v>
      </c>
      <c r="V934" s="1">
        <f t="shared" si="498"/>
        <v>369.60000000003151</v>
      </c>
    </row>
    <row r="935" spans="1:22" x14ac:dyDescent="0.25">
      <c r="A935" s="1">
        <v>934</v>
      </c>
      <c r="B935" s="4">
        <v>7500</v>
      </c>
      <c r="C935" s="4">
        <v>145</v>
      </c>
      <c r="D935" s="4">
        <v>145.1</v>
      </c>
      <c r="E935" s="4">
        <f t="shared" si="490"/>
        <v>9.9999999999994316E-2</v>
      </c>
      <c r="F935" s="4">
        <v>0</v>
      </c>
      <c r="G935" s="4">
        <v>0.57999999999999996</v>
      </c>
      <c r="H935" s="4">
        <v>79</v>
      </c>
      <c r="I935" s="4"/>
      <c r="J935" s="4">
        <v>50</v>
      </c>
      <c r="K935" s="2"/>
      <c r="M935" s="4">
        <f t="shared" si="491"/>
        <v>145.1</v>
      </c>
      <c r="N935" s="4"/>
      <c r="O935" s="1">
        <f t="shared" si="492"/>
        <v>145</v>
      </c>
      <c r="P935" s="1">
        <f t="shared" si="493"/>
        <v>0</v>
      </c>
      <c r="Q935" s="1" t="str">
        <f t="shared" si="489"/>
        <v/>
      </c>
      <c r="R935" s="1" t="str">
        <f t="shared" si="494"/>
        <v/>
      </c>
      <c r="S935" s="1">
        <f t="shared" si="495"/>
        <v>799.17600000000266</v>
      </c>
      <c r="T935" s="1">
        <f t="shared" si="496"/>
        <v>0.57999999999999996</v>
      </c>
      <c r="U935" s="1">
        <f t="shared" si="497"/>
        <v>527.99999999996999</v>
      </c>
      <c r="V935" s="1">
        <f t="shared" si="498"/>
        <v>306.23999999998256</v>
      </c>
    </row>
    <row r="936" spans="1:22" x14ac:dyDescent="0.25">
      <c r="A936" s="1">
        <v>935</v>
      </c>
      <c r="B936" s="4">
        <v>7500</v>
      </c>
      <c r="C936" s="4">
        <v>145.1</v>
      </c>
      <c r="D936" s="4">
        <v>145.19999999999999</v>
      </c>
      <c r="E936" s="4">
        <f t="shared" si="490"/>
        <v>9.9999999999994316E-2</v>
      </c>
      <c r="F936" s="4">
        <v>0</v>
      </c>
      <c r="G936" s="4">
        <v>0.45</v>
      </c>
      <c r="H936" s="4">
        <v>79</v>
      </c>
      <c r="I936" s="4"/>
      <c r="J936" s="4">
        <v>50</v>
      </c>
      <c r="K936" s="2"/>
      <c r="M936" s="4">
        <f t="shared" si="491"/>
        <v>145.19999999999999</v>
      </c>
      <c r="N936" s="4"/>
      <c r="O936" s="1">
        <f t="shared" si="492"/>
        <v>145.1</v>
      </c>
      <c r="P936" s="1">
        <f t="shared" si="493"/>
        <v>0</v>
      </c>
      <c r="Q936" s="1" t="str">
        <f t="shared" si="489"/>
        <v/>
      </c>
      <c r="R936" s="1" t="str">
        <f t="shared" si="494"/>
        <v/>
      </c>
      <c r="S936" s="1">
        <f t="shared" si="495"/>
        <v>802.23840000000246</v>
      </c>
      <c r="T936" s="1">
        <f t="shared" si="496"/>
        <v>0.45</v>
      </c>
      <c r="U936" s="1">
        <f t="shared" si="497"/>
        <v>527.99999999996999</v>
      </c>
      <c r="V936" s="1">
        <f t="shared" si="498"/>
        <v>237.59999999998649</v>
      </c>
    </row>
    <row r="937" spans="1:22" x14ac:dyDescent="0.25">
      <c r="A937" s="1">
        <v>936</v>
      </c>
      <c r="B937" s="4">
        <v>7500</v>
      </c>
      <c r="C937" s="4">
        <v>145.19999999999999</v>
      </c>
      <c r="D937" s="4">
        <v>145.29999999999998</v>
      </c>
      <c r="E937" s="4">
        <f t="shared" si="490"/>
        <v>9.9999999999994316E-2</v>
      </c>
      <c r="F937" s="4">
        <v>0</v>
      </c>
      <c r="G937" s="4">
        <v>0.39</v>
      </c>
      <c r="H937" s="4">
        <v>79</v>
      </c>
      <c r="I937" s="4"/>
      <c r="J937" s="4">
        <v>50</v>
      </c>
      <c r="K937" s="2"/>
      <c r="M937" s="4">
        <f t="shared" si="491"/>
        <v>145.29999999999998</v>
      </c>
      <c r="N937" s="4"/>
      <c r="O937" s="1">
        <f t="shared" si="492"/>
        <v>145.19999999999999</v>
      </c>
      <c r="P937" s="1">
        <f t="shared" si="493"/>
        <v>0</v>
      </c>
      <c r="Q937" s="1" t="str">
        <f t="shared" si="489"/>
        <v/>
      </c>
      <c r="R937" s="1" t="str">
        <f t="shared" si="494"/>
        <v/>
      </c>
      <c r="S937" s="1">
        <f t="shared" si="495"/>
        <v>804.61440000000232</v>
      </c>
      <c r="T937" s="1">
        <f t="shared" si="496"/>
        <v>0.39</v>
      </c>
      <c r="U937" s="1">
        <f t="shared" si="497"/>
        <v>527.99999999996999</v>
      </c>
      <c r="V937" s="1">
        <f t="shared" si="498"/>
        <v>205.91999999998831</v>
      </c>
    </row>
    <row r="938" spans="1:22" x14ac:dyDescent="0.25">
      <c r="A938" s="1">
        <v>937</v>
      </c>
      <c r="B938" s="4">
        <v>7500</v>
      </c>
      <c r="C938" s="4">
        <v>145.29999999999998</v>
      </c>
      <c r="D938" s="4">
        <v>145.4</v>
      </c>
      <c r="E938" s="4">
        <f t="shared" si="490"/>
        <v>0.10000000000002274</v>
      </c>
      <c r="F938" s="4">
        <v>0</v>
      </c>
      <c r="G938" s="4">
        <v>0.06</v>
      </c>
      <c r="H938" s="4">
        <v>79</v>
      </c>
      <c r="I938" s="4"/>
      <c r="J938" s="4">
        <v>50</v>
      </c>
      <c r="K938" s="2"/>
      <c r="M938" s="4">
        <f t="shared" si="491"/>
        <v>145.4</v>
      </c>
      <c r="N938" s="4"/>
      <c r="O938" s="1">
        <f t="shared" si="492"/>
        <v>145.29999999999998</v>
      </c>
      <c r="P938" s="1">
        <f t="shared" si="493"/>
        <v>0</v>
      </c>
      <c r="Q938" s="1" t="str">
        <f t="shared" si="489"/>
        <v/>
      </c>
      <c r="R938" s="1" t="str">
        <f t="shared" si="494"/>
        <v/>
      </c>
      <c r="S938" s="1">
        <f t="shared" si="495"/>
        <v>806.67360000000224</v>
      </c>
      <c r="T938" s="1">
        <f t="shared" si="496"/>
        <v>0.06</v>
      </c>
      <c r="U938" s="1">
        <f t="shared" si="497"/>
        <v>528.00000000012005</v>
      </c>
      <c r="V938" s="1">
        <f t="shared" si="498"/>
        <v>31.680000000007201</v>
      </c>
    </row>
    <row r="939" spans="1:22" x14ac:dyDescent="0.25">
      <c r="A939" s="1">
        <v>938</v>
      </c>
      <c r="B939" s="4">
        <v>7500</v>
      </c>
      <c r="C939" s="4">
        <v>145.4</v>
      </c>
      <c r="D939" s="4">
        <v>145.5</v>
      </c>
      <c r="E939" s="4">
        <f t="shared" si="490"/>
        <v>9.9999999999994316E-2</v>
      </c>
      <c r="F939" s="4">
        <v>0</v>
      </c>
      <c r="G939" s="4">
        <v>0</v>
      </c>
      <c r="H939" s="4">
        <v>79</v>
      </c>
      <c r="I939" s="4"/>
      <c r="J939" s="4">
        <v>50</v>
      </c>
      <c r="K939" s="2"/>
      <c r="M939" s="4">
        <f t="shared" si="491"/>
        <v>145.5</v>
      </c>
      <c r="N939" s="4"/>
      <c r="O939" s="1">
        <f t="shared" si="492"/>
        <v>145.4</v>
      </c>
      <c r="P939" s="1">
        <f t="shared" si="493"/>
        <v>0</v>
      </c>
      <c r="Q939" s="1" t="str">
        <f t="shared" si="489"/>
        <v/>
      </c>
      <c r="R939" s="1" t="str">
        <f t="shared" si="494"/>
        <v/>
      </c>
      <c r="S939" s="1">
        <f t="shared" si="495"/>
        <v>806.9904000000023</v>
      </c>
      <c r="T939" s="1">
        <f t="shared" si="496"/>
        <v>0</v>
      </c>
      <c r="U939" s="1">
        <f t="shared" si="497"/>
        <v>527.99999999996999</v>
      </c>
      <c r="V939" s="1">
        <f t="shared" si="498"/>
        <v>0</v>
      </c>
    </row>
    <row r="940" spans="1:22" x14ac:dyDescent="0.25">
      <c r="A940" s="1">
        <v>939</v>
      </c>
      <c r="B940" s="4">
        <v>7500</v>
      </c>
      <c r="C940" s="4">
        <v>145.5</v>
      </c>
      <c r="D940" s="4">
        <v>145.6</v>
      </c>
      <c r="E940" s="4">
        <f t="shared" si="490"/>
        <v>9.9999999999994316E-2</v>
      </c>
      <c r="F940" s="4">
        <v>0</v>
      </c>
      <c r="G940" s="4">
        <v>0</v>
      </c>
      <c r="H940" s="4">
        <v>79</v>
      </c>
      <c r="I940" s="4"/>
      <c r="J940" s="4">
        <v>50</v>
      </c>
      <c r="K940" s="2"/>
      <c r="M940" s="4">
        <f t="shared" si="491"/>
        <v>145.6</v>
      </c>
      <c r="N940" s="4"/>
      <c r="O940" s="1">
        <f t="shared" si="492"/>
        <v>145.5</v>
      </c>
      <c r="P940" s="1">
        <f t="shared" si="493"/>
        <v>0</v>
      </c>
      <c r="Q940" s="1" t="str">
        <f t="shared" si="489"/>
        <v/>
      </c>
      <c r="R940" s="1" t="str">
        <f t="shared" si="494"/>
        <v/>
      </c>
      <c r="S940" s="1">
        <f t="shared" si="495"/>
        <v>806.9904000000023</v>
      </c>
      <c r="T940" s="1">
        <f t="shared" si="496"/>
        <v>0</v>
      </c>
      <c r="U940" s="1">
        <f t="shared" si="497"/>
        <v>527.99999999996999</v>
      </c>
      <c r="V940" s="1">
        <f t="shared" si="498"/>
        <v>0</v>
      </c>
    </row>
    <row r="941" spans="1:22" x14ac:dyDescent="0.25">
      <c r="A941" s="1">
        <v>940</v>
      </c>
      <c r="B941" s="4">
        <v>7500</v>
      </c>
      <c r="C941" s="4">
        <v>145.6</v>
      </c>
      <c r="D941" s="4">
        <v>145.69999999999999</v>
      </c>
      <c r="E941" s="4">
        <f t="shared" si="490"/>
        <v>9.9999999999994316E-2</v>
      </c>
      <c r="F941" s="4">
        <v>0</v>
      </c>
      <c r="G941" s="4">
        <v>0.1</v>
      </c>
      <c r="H941" s="4">
        <v>79</v>
      </c>
      <c r="I941" s="4"/>
      <c r="J941" s="4">
        <v>50</v>
      </c>
      <c r="K941" s="2"/>
      <c r="M941" s="4">
        <f t="shared" si="491"/>
        <v>145.69999999999999</v>
      </c>
      <c r="N941" s="4"/>
      <c r="O941" s="1">
        <f t="shared" si="492"/>
        <v>145.6</v>
      </c>
      <c r="P941" s="1">
        <f t="shared" si="493"/>
        <v>0</v>
      </c>
      <c r="Q941" s="1" t="str">
        <f t="shared" si="489"/>
        <v/>
      </c>
      <c r="R941" s="1" t="str">
        <f t="shared" si="494"/>
        <v/>
      </c>
      <c r="S941" s="1">
        <f t="shared" si="495"/>
        <v>806.9904000000023</v>
      </c>
      <c r="T941" s="1">
        <f t="shared" si="496"/>
        <v>0.1</v>
      </c>
      <c r="U941" s="1">
        <f t="shared" si="497"/>
        <v>527.99999999996999</v>
      </c>
      <c r="V941" s="1">
        <f t="shared" si="498"/>
        <v>52.799999999996999</v>
      </c>
    </row>
    <row r="942" spans="1:22" x14ac:dyDescent="0.25">
      <c r="A942" s="1">
        <v>941</v>
      </c>
      <c r="B942" s="4">
        <v>7500</v>
      </c>
      <c r="C942" s="4">
        <v>145.69999999999999</v>
      </c>
      <c r="D942" s="4">
        <v>145.9</v>
      </c>
      <c r="E942" s="4">
        <f t="shared" si="490"/>
        <v>0.20000000000001705</v>
      </c>
      <c r="F942" s="4">
        <v>0</v>
      </c>
      <c r="G942" s="4">
        <v>-0.23</v>
      </c>
      <c r="H942" s="4">
        <v>79</v>
      </c>
      <c r="I942" s="4"/>
      <c r="J942" s="4">
        <v>50</v>
      </c>
      <c r="K942" s="2"/>
      <c r="M942" s="4">
        <f t="shared" si="491"/>
        <v>145.9</v>
      </c>
      <c r="N942" s="4"/>
      <c r="O942" s="1">
        <f t="shared" si="492"/>
        <v>145.69999999999999</v>
      </c>
      <c r="P942" s="1">
        <f t="shared" si="493"/>
        <v>0</v>
      </c>
      <c r="Q942" s="1" t="str">
        <f t="shared" si="489"/>
        <v/>
      </c>
      <c r="R942" s="1" t="str">
        <f t="shared" si="494"/>
        <v/>
      </c>
      <c r="S942" s="1">
        <f t="shared" si="495"/>
        <v>807.51840000000232</v>
      </c>
      <c r="T942" s="1">
        <f t="shared" si="496"/>
        <v>-0.23</v>
      </c>
      <c r="U942" s="1">
        <f t="shared" si="497"/>
        <v>1056.00000000009</v>
      </c>
      <c r="V942" s="1">
        <f t="shared" si="498"/>
        <v>242.88000000002071</v>
      </c>
    </row>
    <row r="943" spans="1:22" x14ac:dyDescent="0.25">
      <c r="A943" s="1">
        <v>942</v>
      </c>
      <c r="B943" s="4">
        <v>7500</v>
      </c>
      <c r="C943" s="4">
        <v>145.9</v>
      </c>
      <c r="D943" s="4">
        <v>146</v>
      </c>
      <c r="E943" s="4">
        <f t="shared" si="490"/>
        <v>9.9999999999994316E-2</v>
      </c>
      <c r="F943" s="4">
        <v>0</v>
      </c>
      <c r="G943" s="4">
        <v>-0.39</v>
      </c>
      <c r="H943" s="4">
        <v>79</v>
      </c>
      <c r="I943" s="4"/>
      <c r="J943" s="4">
        <v>50</v>
      </c>
      <c r="K943" s="2"/>
      <c r="M943" s="4">
        <f t="shared" si="491"/>
        <v>146</v>
      </c>
      <c r="N943" s="4"/>
      <c r="O943" s="1">
        <f t="shared" si="492"/>
        <v>145.9</v>
      </c>
      <c r="P943" s="1">
        <f t="shared" si="493"/>
        <v>0</v>
      </c>
      <c r="Q943" s="1" t="str">
        <f t="shared" si="489"/>
        <v/>
      </c>
      <c r="R943" s="1" t="str">
        <f t="shared" si="494"/>
        <v/>
      </c>
      <c r="S943" s="1">
        <f t="shared" si="495"/>
        <v>805.08960000000206</v>
      </c>
      <c r="T943" s="1">
        <f t="shared" si="496"/>
        <v>-0.39</v>
      </c>
      <c r="U943" s="1">
        <f t="shared" si="497"/>
        <v>527.99999999996999</v>
      </c>
      <c r="V943" s="1">
        <f t="shared" si="498"/>
        <v>205.91999999998831</v>
      </c>
    </row>
    <row r="944" spans="1:22" x14ac:dyDescent="0.25">
      <c r="A944" s="1">
        <v>943</v>
      </c>
      <c r="B944" s="4">
        <v>7500</v>
      </c>
      <c r="C944" s="4">
        <v>146</v>
      </c>
      <c r="D944" s="4">
        <v>146.29999999999998</v>
      </c>
      <c r="E944" s="4">
        <f t="shared" si="490"/>
        <v>0.29999999999998295</v>
      </c>
      <c r="F944" s="4">
        <v>0</v>
      </c>
      <c r="G944" s="4">
        <v>-0.44</v>
      </c>
      <c r="H944" s="4">
        <v>79</v>
      </c>
      <c r="I944" s="4"/>
      <c r="J944" s="4">
        <v>50</v>
      </c>
      <c r="K944" s="2"/>
      <c r="M944" s="4">
        <f t="shared" si="491"/>
        <v>146.29999999999998</v>
      </c>
      <c r="N944" s="4"/>
      <c r="O944" s="1">
        <f t="shared" si="492"/>
        <v>146</v>
      </c>
      <c r="P944" s="1">
        <f t="shared" si="493"/>
        <v>0</v>
      </c>
      <c r="Q944" s="1" t="str">
        <f t="shared" si="489"/>
        <v/>
      </c>
      <c r="R944" s="1" t="str">
        <f t="shared" si="494"/>
        <v/>
      </c>
      <c r="S944" s="1">
        <f t="shared" si="495"/>
        <v>803.03040000000215</v>
      </c>
      <c r="T944" s="1">
        <f t="shared" si="496"/>
        <v>-0.44</v>
      </c>
      <c r="U944" s="1">
        <f t="shared" si="497"/>
        <v>1583.99999999991</v>
      </c>
      <c r="V944" s="1">
        <f t="shared" si="498"/>
        <v>696.95999999996036</v>
      </c>
    </row>
    <row r="945" spans="1:22" x14ac:dyDescent="0.25">
      <c r="A945" s="1">
        <v>944</v>
      </c>
      <c r="B945" s="4">
        <v>7500</v>
      </c>
      <c r="C945" s="4">
        <v>146.29999999999998</v>
      </c>
      <c r="D945" s="4">
        <v>146.5</v>
      </c>
      <c r="E945" s="4">
        <f t="shared" si="490"/>
        <v>0.20000000000001705</v>
      </c>
      <c r="F945" s="4">
        <v>1.9</v>
      </c>
      <c r="G945" s="4">
        <v>-0.08</v>
      </c>
      <c r="H945" s="4">
        <v>79</v>
      </c>
      <c r="I945" s="4"/>
      <c r="J945" s="4">
        <v>50</v>
      </c>
      <c r="K945" s="2"/>
      <c r="M945" s="4">
        <f t="shared" si="491"/>
        <v>146.5</v>
      </c>
      <c r="N945" s="4"/>
      <c r="O945" s="1">
        <f t="shared" si="492"/>
        <v>146.29999999999998</v>
      </c>
      <c r="P945" s="1">
        <f t="shared" si="493"/>
        <v>20.064000000001709</v>
      </c>
      <c r="Q945" s="1" t="str">
        <f t="shared" si="489"/>
        <v/>
      </c>
      <c r="R945" s="1" t="str">
        <f t="shared" si="494"/>
        <v/>
      </c>
      <c r="S945" s="1">
        <f t="shared" si="495"/>
        <v>796.06080000000259</v>
      </c>
      <c r="T945" s="1">
        <f t="shared" si="496"/>
        <v>-0.08</v>
      </c>
      <c r="U945" s="1">
        <f t="shared" si="497"/>
        <v>1056.00000000009</v>
      </c>
      <c r="V945" s="1">
        <f t="shared" si="498"/>
        <v>84.480000000007209</v>
      </c>
    </row>
    <row r="946" spans="1:22" x14ac:dyDescent="0.25">
      <c r="A946" s="1">
        <v>945</v>
      </c>
      <c r="B946" s="4">
        <v>7500</v>
      </c>
      <c r="C946" s="4">
        <v>146.5</v>
      </c>
      <c r="D946" s="4">
        <v>146.6</v>
      </c>
      <c r="E946" s="4">
        <f t="shared" si="490"/>
        <v>9.9999999999994316E-2</v>
      </c>
      <c r="F946" s="4">
        <v>1.9</v>
      </c>
      <c r="G946" s="4">
        <v>-0.26</v>
      </c>
      <c r="H946" s="4">
        <v>79</v>
      </c>
      <c r="I946" s="4"/>
      <c r="J946" s="4">
        <v>50</v>
      </c>
      <c r="K946" s="2"/>
      <c r="M946" s="4">
        <f t="shared" si="491"/>
        <v>146.6</v>
      </c>
      <c r="N946" s="4"/>
      <c r="O946" s="1">
        <f t="shared" si="492"/>
        <v>146.5</v>
      </c>
      <c r="P946" s="1">
        <f t="shared" si="493"/>
        <v>10.03199999999943</v>
      </c>
      <c r="Q946" s="1" t="str">
        <f t="shared" si="489"/>
        <v/>
      </c>
      <c r="R946" s="1" t="str">
        <f t="shared" si="494"/>
        <v/>
      </c>
      <c r="S946" s="1">
        <f t="shared" si="495"/>
        <v>795.21600000000251</v>
      </c>
      <c r="T946" s="1">
        <f t="shared" si="496"/>
        <v>-0.26</v>
      </c>
      <c r="U946" s="1">
        <f t="shared" si="497"/>
        <v>527.99999999996999</v>
      </c>
      <c r="V946" s="1">
        <f t="shared" si="498"/>
        <v>137.27999999999221</v>
      </c>
    </row>
    <row r="947" spans="1:22" x14ac:dyDescent="0.25">
      <c r="A947" s="1">
        <v>946</v>
      </c>
      <c r="B947" s="4">
        <v>7500</v>
      </c>
      <c r="C947" s="4">
        <v>146.6</v>
      </c>
      <c r="D947" s="4">
        <v>146.79999999999998</v>
      </c>
      <c r="E947" s="4">
        <f t="shared" si="490"/>
        <v>0.19999999999998863</v>
      </c>
      <c r="F947" s="4">
        <v>0</v>
      </c>
      <c r="G947" s="4">
        <v>-0.32</v>
      </c>
      <c r="H947" s="4">
        <v>79</v>
      </c>
      <c r="I947" s="4"/>
      <c r="J947" s="4">
        <v>50</v>
      </c>
      <c r="K947" s="2"/>
      <c r="M947" s="4">
        <f t="shared" si="491"/>
        <v>146.79999999999998</v>
      </c>
      <c r="N947" s="4"/>
      <c r="O947" s="1">
        <f t="shared" si="492"/>
        <v>146.6</v>
      </c>
      <c r="P947" s="1">
        <f t="shared" si="493"/>
        <v>0</v>
      </c>
      <c r="Q947" s="1" t="str">
        <f t="shared" si="489"/>
        <v/>
      </c>
      <c r="R947" s="1" t="str">
        <f t="shared" si="494"/>
        <v/>
      </c>
      <c r="S947" s="1">
        <f t="shared" si="495"/>
        <v>793.84320000000264</v>
      </c>
      <c r="T947" s="1">
        <f t="shared" si="496"/>
        <v>-0.32</v>
      </c>
      <c r="U947" s="1">
        <f t="shared" si="497"/>
        <v>1055.99999999994</v>
      </c>
      <c r="V947" s="1">
        <f t="shared" si="498"/>
        <v>337.9199999999808</v>
      </c>
    </row>
    <row r="948" spans="1:22" x14ac:dyDescent="0.25">
      <c r="A948" s="1">
        <v>947</v>
      </c>
      <c r="B948" s="4">
        <v>7500</v>
      </c>
      <c r="C948" s="4">
        <v>146.79999999999998</v>
      </c>
      <c r="D948" s="4">
        <v>147</v>
      </c>
      <c r="E948" s="4">
        <f t="shared" si="490"/>
        <v>0.20000000000001705</v>
      </c>
      <c r="F948" s="4">
        <v>0</v>
      </c>
      <c r="G948" s="4">
        <v>-0.45</v>
      </c>
      <c r="H948" s="4">
        <v>79</v>
      </c>
      <c r="I948" s="4"/>
      <c r="J948" s="4">
        <v>50</v>
      </c>
      <c r="K948" s="2"/>
      <c r="M948" s="4">
        <f t="shared" si="491"/>
        <v>147</v>
      </c>
      <c r="N948" s="4"/>
      <c r="O948" s="1">
        <f t="shared" si="492"/>
        <v>146.79999999999998</v>
      </c>
      <c r="P948" s="1">
        <f t="shared" si="493"/>
        <v>0</v>
      </c>
      <c r="Q948" s="1" t="str">
        <f t="shared" si="489"/>
        <v/>
      </c>
      <c r="R948" s="1" t="str">
        <f t="shared" si="494"/>
        <v/>
      </c>
      <c r="S948" s="1">
        <f t="shared" si="495"/>
        <v>790.46400000000278</v>
      </c>
      <c r="T948" s="1">
        <f t="shared" si="496"/>
        <v>-0.45</v>
      </c>
      <c r="U948" s="1">
        <f t="shared" si="497"/>
        <v>1056.00000000009</v>
      </c>
      <c r="V948" s="1">
        <f t="shared" si="498"/>
        <v>475.20000000004052</v>
      </c>
    </row>
    <row r="949" spans="1:22" x14ac:dyDescent="0.25">
      <c r="A949" s="1">
        <v>948</v>
      </c>
      <c r="B949" s="4">
        <v>7500</v>
      </c>
      <c r="C949" s="4">
        <v>147</v>
      </c>
      <c r="D949" s="4">
        <v>147.1</v>
      </c>
      <c r="E949" s="4">
        <f t="shared" si="490"/>
        <v>9.9999999999994316E-2</v>
      </c>
      <c r="F949" s="4">
        <v>0</v>
      </c>
      <c r="G949" s="4">
        <v>-0.27</v>
      </c>
      <c r="H949" s="4">
        <v>79</v>
      </c>
      <c r="I949" s="4"/>
      <c r="J949" s="4">
        <v>50</v>
      </c>
      <c r="K949" s="2"/>
      <c r="M949" s="4">
        <f t="shared" si="491"/>
        <v>147.1</v>
      </c>
      <c r="N949" s="4"/>
      <c r="O949" s="1">
        <f t="shared" si="492"/>
        <v>147</v>
      </c>
      <c r="P949" s="1">
        <f t="shared" si="493"/>
        <v>0</v>
      </c>
      <c r="Q949" s="1" t="str">
        <f t="shared" si="489"/>
        <v/>
      </c>
      <c r="R949" s="1" t="str">
        <f t="shared" si="494"/>
        <v/>
      </c>
      <c r="S949" s="1">
        <f t="shared" si="495"/>
        <v>785.71200000000238</v>
      </c>
      <c r="T949" s="1">
        <f t="shared" si="496"/>
        <v>-0.27</v>
      </c>
      <c r="U949" s="1">
        <f t="shared" si="497"/>
        <v>527.99999999996999</v>
      </c>
      <c r="V949" s="1">
        <f t="shared" si="498"/>
        <v>142.5599999999919</v>
      </c>
    </row>
    <row r="950" spans="1:22" x14ac:dyDescent="0.25">
      <c r="A950" s="1">
        <v>949</v>
      </c>
      <c r="B950" s="4">
        <v>7500</v>
      </c>
      <c r="C950" s="4">
        <v>147.1</v>
      </c>
      <c r="D950" s="4">
        <v>147.19999999999999</v>
      </c>
      <c r="E950" s="4">
        <f t="shared" si="490"/>
        <v>9.9999999999994316E-2</v>
      </c>
      <c r="F950" s="4">
        <v>0</v>
      </c>
      <c r="G950" s="4">
        <v>0.09</v>
      </c>
      <c r="H950" s="4">
        <v>79</v>
      </c>
      <c r="I950" s="4"/>
      <c r="J950" s="4">
        <v>50</v>
      </c>
      <c r="K950" s="2"/>
      <c r="M950" s="4">
        <f t="shared" si="491"/>
        <v>147.19999999999999</v>
      </c>
      <c r="N950" s="4"/>
      <c r="O950" s="1">
        <f t="shared" si="492"/>
        <v>147.1</v>
      </c>
      <c r="P950" s="1">
        <f t="shared" si="493"/>
        <v>0</v>
      </c>
      <c r="Q950" s="1" t="str">
        <f t="shared" si="489"/>
        <v/>
      </c>
      <c r="R950" s="1" t="str">
        <f t="shared" si="494"/>
        <v/>
      </c>
      <c r="S950" s="1">
        <f t="shared" si="495"/>
        <v>784.28640000000246</v>
      </c>
      <c r="T950" s="1">
        <f t="shared" si="496"/>
        <v>0.09</v>
      </c>
      <c r="U950" s="1">
        <f t="shared" si="497"/>
        <v>527.99999999996999</v>
      </c>
      <c r="V950" s="1">
        <f t="shared" si="498"/>
        <v>47.519999999997296</v>
      </c>
    </row>
    <row r="951" spans="1:22" x14ac:dyDescent="0.25">
      <c r="A951" s="1">
        <v>950</v>
      </c>
      <c r="B951" s="4">
        <v>7500</v>
      </c>
      <c r="C951" s="4">
        <v>147.19999999999999</v>
      </c>
      <c r="D951" s="4">
        <v>147.4</v>
      </c>
      <c r="E951" s="4">
        <f t="shared" si="490"/>
        <v>0.20000000000001705</v>
      </c>
      <c r="F951" s="4">
        <v>0</v>
      </c>
      <c r="G951" s="4">
        <v>0.27</v>
      </c>
      <c r="H951" s="4">
        <v>79</v>
      </c>
      <c r="I951" s="4"/>
      <c r="J951" s="4">
        <v>50</v>
      </c>
      <c r="K951" s="2"/>
      <c r="M951" s="4">
        <f t="shared" si="491"/>
        <v>147.4</v>
      </c>
      <c r="N951" s="4"/>
      <c r="O951" s="1">
        <f t="shared" si="492"/>
        <v>147.19999999999999</v>
      </c>
      <c r="P951" s="1">
        <f t="shared" si="493"/>
        <v>0</v>
      </c>
      <c r="Q951" s="1" t="str">
        <f t="shared" si="489"/>
        <v/>
      </c>
      <c r="R951" s="1" t="str">
        <f t="shared" si="494"/>
        <v/>
      </c>
      <c r="S951" s="1">
        <f t="shared" si="495"/>
        <v>784.76160000000243</v>
      </c>
      <c r="T951" s="1">
        <f t="shared" si="496"/>
        <v>0.27</v>
      </c>
      <c r="U951" s="1">
        <f t="shared" si="497"/>
        <v>1056.00000000009</v>
      </c>
      <c r="V951" s="1">
        <f t="shared" si="498"/>
        <v>285.12000000002433</v>
      </c>
    </row>
    <row r="952" spans="1:22" x14ac:dyDescent="0.25">
      <c r="A952" s="1">
        <v>951</v>
      </c>
      <c r="B952" s="4">
        <v>7500</v>
      </c>
      <c r="C952" s="4">
        <v>147.4</v>
      </c>
      <c r="D952" s="4">
        <v>147.5</v>
      </c>
      <c r="E952" s="4">
        <f t="shared" si="490"/>
        <v>9.9999999999994316E-2</v>
      </c>
      <c r="F952" s="4">
        <v>0</v>
      </c>
      <c r="G952" s="4">
        <v>0.03</v>
      </c>
      <c r="H952" s="4">
        <v>79</v>
      </c>
      <c r="I952" s="4"/>
      <c r="J952" s="4">
        <v>50</v>
      </c>
      <c r="K952" s="2"/>
      <c r="M952" s="4">
        <f t="shared" si="491"/>
        <v>147.5</v>
      </c>
      <c r="N952" s="4"/>
      <c r="O952" s="1">
        <f t="shared" si="492"/>
        <v>147.4</v>
      </c>
      <c r="P952" s="1">
        <f t="shared" si="493"/>
        <v>0</v>
      </c>
      <c r="Q952" s="1" t="str">
        <f t="shared" si="489"/>
        <v/>
      </c>
      <c r="R952" s="1" t="str">
        <f t="shared" si="494"/>
        <v/>
      </c>
      <c r="S952" s="1">
        <f t="shared" si="495"/>
        <v>787.61280000000272</v>
      </c>
      <c r="T952" s="1">
        <f t="shared" si="496"/>
        <v>0.03</v>
      </c>
      <c r="U952" s="1">
        <f t="shared" si="497"/>
        <v>527.99999999996999</v>
      </c>
      <c r="V952" s="1">
        <f t="shared" si="498"/>
        <v>15.839999999999099</v>
      </c>
    </row>
    <row r="953" spans="1:22" x14ac:dyDescent="0.25">
      <c r="A953" s="1">
        <v>952</v>
      </c>
      <c r="B953" s="4">
        <v>7500</v>
      </c>
      <c r="C953" s="4">
        <v>147.5</v>
      </c>
      <c r="D953" s="4">
        <v>147.6</v>
      </c>
      <c r="E953" s="4">
        <f t="shared" si="490"/>
        <v>9.9999999999994316E-2</v>
      </c>
      <c r="F953" s="4">
        <v>0</v>
      </c>
      <c r="G953" s="4">
        <v>-0.45</v>
      </c>
      <c r="H953" s="4">
        <v>79</v>
      </c>
      <c r="I953" s="4"/>
      <c r="J953" s="4">
        <v>50</v>
      </c>
      <c r="K953" s="2"/>
      <c r="M953" s="4">
        <f t="shared" si="491"/>
        <v>147.6</v>
      </c>
      <c r="N953" s="4"/>
      <c r="O953" s="1">
        <f t="shared" si="492"/>
        <v>147.5</v>
      </c>
      <c r="P953" s="1">
        <f t="shared" si="493"/>
        <v>0</v>
      </c>
      <c r="Q953" s="1" t="str">
        <f t="shared" si="489"/>
        <v/>
      </c>
      <c r="R953" s="1" t="str">
        <f t="shared" si="494"/>
        <v/>
      </c>
      <c r="S953" s="1">
        <f t="shared" si="495"/>
        <v>787.77120000000275</v>
      </c>
      <c r="T953" s="1">
        <f t="shared" si="496"/>
        <v>-0.45</v>
      </c>
      <c r="U953" s="1">
        <f t="shared" si="497"/>
        <v>527.99999999996999</v>
      </c>
      <c r="V953" s="1">
        <f t="shared" si="498"/>
        <v>237.59999999998649</v>
      </c>
    </row>
    <row r="954" spans="1:22" x14ac:dyDescent="0.25">
      <c r="A954" s="1">
        <v>953</v>
      </c>
      <c r="B954" s="4">
        <v>7500</v>
      </c>
      <c r="C954" s="4">
        <v>147.6</v>
      </c>
      <c r="D954" s="4">
        <v>147.69999999999999</v>
      </c>
      <c r="E954" s="4">
        <f t="shared" si="490"/>
        <v>9.9999999999994316E-2</v>
      </c>
      <c r="F954" s="4">
        <v>0</v>
      </c>
      <c r="G954" s="4">
        <v>-0.69</v>
      </c>
      <c r="H954" s="4">
        <v>79</v>
      </c>
      <c r="I954" s="4"/>
      <c r="J954" s="4">
        <v>50</v>
      </c>
      <c r="K954" s="2"/>
      <c r="M954" s="4">
        <f t="shared" si="491"/>
        <v>147.69999999999999</v>
      </c>
      <c r="N954" s="4"/>
      <c r="O954" s="1">
        <f t="shared" si="492"/>
        <v>147.6</v>
      </c>
      <c r="P954" s="1">
        <f t="shared" si="493"/>
        <v>0</v>
      </c>
      <c r="Q954" s="1" t="str">
        <f t="shared" si="489"/>
        <v/>
      </c>
      <c r="R954" s="1" t="str">
        <f t="shared" si="494"/>
        <v/>
      </c>
      <c r="S954" s="1">
        <f t="shared" si="495"/>
        <v>785.39520000000289</v>
      </c>
      <c r="T954" s="1">
        <f t="shared" si="496"/>
        <v>-0.69</v>
      </c>
      <c r="U954" s="1">
        <f t="shared" si="497"/>
        <v>527.99999999996999</v>
      </c>
      <c r="V954" s="1">
        <f t="shared" si="498"/>
        <v>364.31999999997925</v>
      </c>
    </row>
    <row r="955" spans="1:22" x14ac:dyDescent="0.25">
      <c r="A955" s="1">
        <v>954</v>
      </c>
      <c r="B955" s="4">
        <v>7500</v>
      </c>
      <c r="C955" s="4">
        <v>147.69999999999999</v>
      </c>
      <c r="D955" s="4">
        <v>147.79999999999998</v>
      </c>
      <c r="E955" s="4">
        <f t="shared" si="490"/>
        <v>9.9999999999994316E-2</v>
      </c>
      <c r="F955" s="4">
        <v>0</v>
      </c>
      <c r="G955" s="4">
        <v>-0.85</v>
      </c>
      <c r="H955" s="4">
        <v>79</v>
      </c>
      <c r="I955" s="4"/>
      <c r="J955" s="4">
        <v>50</v>
      </c>
      <c r="K955" s="2"/>
      <c r="M955" s="4">
        <f t="shared" si="491"/>
        <v>147.79999999999998</v>
      </c>
      <c r="N955" s="4"/>
      <c r="O955" s="1">
        <f t="shared" si="492"/>
        <v>147.69999999999999</v>
      </c>
      <c r="P955" s="1">
        <f t="shared" si="493"/>
        <v>0</v>
      </c>
      <c r="Q955" s="1" t="str">
        <f t="shared" si="489"/>
        <v/>
      </c>
      <c r="R955" s="1" t="str">
        <f t="shared" si="494"/>
        <v/>
      </c>
      <c r="S955" s="1">
        <f t="shared" si="495"/>
        <v>781.75200000000314</v>
      </c>
      <c r="T955" s="1">
        <f t="shared" si="496"/>
        <v>-0.85</v>
      </c>
      <c r="U955" s="1">
        <f t="shared" si="497"/>
        <v>527.99999999996999</v>
      </c>
      <c r="V955" s="1">
        <f t="shared" si="498"/>
        <v>448.79999999997449</v>
      </c>
    </row>
    <row r="956" spans="1:22" x14ac:dyDescent="0.25">
      <c r="A956" s="1">
        <v>955</v>
      </c>
      <c r="B956" s="4">
        <v>7500</v>
      </c>
      <c r="C956" s="4">
        <v>147.79999999999998</v>
      </c>
      <c r="D956" s="4">
        <v>147.9</v>
      </c>
      <c r="E956" s="4">
        <f t="shared" si="490"/>
        <v>0.10000000000002274</v>
      </c>
      <c r="F956" s="4">
        <v>1</v>
      </c>
      <c r="G956" s="4">
        <v>-0.85</v>
      </c>
      <c r="H956" s="4">
        <v>79</v>
      </c>
      <c r="I956" s="4"/>
      <c r="J956" s="4">
        <v>50</v>
      </c>
      <c r="K956" s="2"/>
      <c r="M956" s="4">
        <f t="shared" si="491"/>
        <v>147.9</v>
      </c>
      <c r="N956" s="4"/>
      <c r="O956" s="1">
        <f t="shared" si="492"/>
        <v>147.79999999999998</v>
      </c>
      <c r="P956" s="1">
        <f t="shared" si="493"/>
        <v>5.2800000000012002</v>
      </c>
      <c r="Q956" s="1" t="str">
        <f t="shared" si="489"/>
        <v/>
      </c>
      <c r="R956" s="1" t="str">
        <f t="shared" si="494"/>
        <v/>
      </c>
      <c r="S956" s="1">
        <f t="shared" si="495"/>
        <v>777.26400000000342</v>
      </c>
      <c r="T956" s="1">
        <f t="shared" si="496"/>
        <v>-0.85</v>
      </c>
      <c r="U956" s="1">
        <f t="shared" si="497"/>
        <v>528.00000000012005</v>
      </c>
      <c r="V956" s="1">
        <f t="shared" si="498"/>
        <v>448.80000000010205</v>
      </c>
    </row>
    <row r="957" spans="1:22" x14ac:dyDescent="0.25">
      <c r="A957" s="1">
        <v>956</v>
      </c>
      <c r="B957" s="4">
        <v>7500</v>
      </c>
      <c r="C957" s="4">
        <v>147.9</v>
      </c>
      <c r="D957" s="4">
        <v>148.29999999999998</v>
      </c>
      <c r="E957" s="4">
        <f t="shared" si="490"/>
        <v>0.39999999999997726</v>
      </c>
      <c r="F957" s="4">
        <v>1</v>
      </c>
      <c r="G957" s="4">
        <v>-0.91</v>
      </c>
      <c r="H957" s="4">
        <v>79</v>
      </c>
      <c r="I957" s="4"/>
      <c r="J957" s="4">
        <v>50</v>
      </c>
      <c r="K957" s="2"/>
      <c r="M957" s="4">
        <f t="shared" si="491"/>
        <v>148.29999999999998</v>
      </c>
      <c r="N957" s="4"/>
      <c r="O957" s="1">
        <f t="shared" si="492"/>
        <v>147.9</v>
      </c>
      <c r="P957" s="1">
        <f t="shared" si="493"/>
        <v>21.119999999998797</v>
      </c>
      <c r="Q957" s="1" t="str">
        <f t="shared" si="489"/>
        <v/>
      </c>
      <c r="R957" s="1" t="str">
        <f t="shared" si="494"/>
        <v/>
      </c>
      <c r="S957" s="1">
        <f t="shared" si="495"/>
        <v>772.77600000000245</v>
      </c>
      <c r="T957" s="1">
        <f t="shared" si="496"/>
        <v>-0.91</v>
      </c>
      <c r="U957" s="1">
        <f t="shared" si="497"/>
        <v>2111.9999999998799</v>
      </c>
      <c r="V957" s="1">
        <f t="shared" si="498"/>
        <v>1921.9199999998907</v>
      </c>
    </row>
    <row r="958" spans="1:22" x14ac:dyDescent="0.25">
      <c r="A958" s="1">
        <v>957</v>
      </c>
      <c r="B958" s="4">
        <v>7500</v>
      </c>
      <c r="C958" s="4">
        <v>148.29999999999998</v>
      </c>
      <c r="D958" s="4">
        <v>148.5</v>
      </c>
      <c r="E958" s="4">
        <f t="shared" si="490"/>
        <v>0.20000000000001705</v>
      </c>
      <c r="F958" s="4">
        <v>1</v>
      </c>
      <c r="G958" s="4">
        <v>-0.12</v>
      </c>
      <c r="H958" s="4">
        <v>79</v>
      </c>
      <c r="I958" s="4"/>
      <c r="J958" s="4">
        <v>50</v>
      </c>
      <c r="K958" s="2"/>
      <c r="M958" s="4">
        <f t="shared" si="491"/>
        <v>148.5</v>
      </c>
      <c r="N958" s="4"/>
      <c r="O958" s="1">
        <f t="shared" si="492"/>
        <v>148.29999999999998</v>
      </c>
      <c r="P958" s="1">
        <f t="shared" si="493"/>
        <v>10.560000000000899</v>
      </c>
      <c r="Q958" s="1" t="str">
        <f t="shared" si="489"/>
        <v/>
      </c>
      <c r="R958" s="1" t="str">
        <f t="shared" si="494"/>
        <v/>
      </c>
      <c r="S958" s="1">
        <f t="shared" si="495"/>
        <v>753.55680000000359</v>
      </c>
      <c r="T958" s="1">
        <f t="shared" si="496"/>
        <v>-0.12</v>
      </c>
      <c r="U958" s="1">
        <f t="shared" si="497"/>
        <v>1056.00000000009</v>
      </c>
      <c r="V958" s="1">
        <f t="shared" si="498"/>
        <v>126.7200000000108</v>
      </c>
    </row>
    <row r="959" spans="1:22" x14ac:dyDescent="0.25">
      <c r="A959" s="1">
        <v>958</v>
      </c>
      <c r="B959" s="4">
        <v>7500</v>
      </c>
      <c r="C959" s="4">
        <v>148.5</v>
      </c>
      <c r="D959" s="4">
        <v>148.6</v>
      </c>
      <c r="E959" s="4">
        <f t="shared" si="490"/>
        <v>9.9999999999994316E-2</v>
      </c>
      <c r="F959" s="4">
        <v>1</v>
      </c>
      <c r="G959" s="4">
        <v>-0.12</v>
      </c>
      <c r="H959" s="4">
        <v>79</v>
      </c>
      <c r="I959" s="4"/>
      <c r="J959" s="4">
        <v>50</v>
      </c>
      <c r="K959" s="2"/>
      <c r="M959" s="4">
        <f t="shared" si="491"/>
        <v>148.6</v>
      </c>
      <c r="N959" s="4"/>
      <c r="O959" s="1">
        <f t="shared" si="492"/>
        <v>148.5</v>
      </c>
      <c r="P959" s="1">
        <f t="shared" si="493"/>
        <v>5.2799999999996992</v>
      </c>
      <c r="Q959" s="1" t="str">
        <f t="shared" si="489"/>
        <v/>
      </c>
      <c r="R959" s="1" t="str">
        <f t="shared" si="494"/>
        <v/>
      </c>
      <c r="S959" s="1">
        <f t="shared" si="495"/>
        <v>752.28960000000347</v>
      </c>
      <c r="T959" s="1">
        <f t="shared" si="496"/>
        <v>-0.12</v>
      </c>
      <c r="U959" s="1">
        <f t="shared" si="497"/>
        <v>527.99999999996999</v>
      </c>
      <c r="V959" s="1">
        <f t="shared" si="498"/>
        <v>63.359999999996397</v>
      </c>
    </row>
    <row r="960" spans="1:22" x14ac:dyDescent="0.25">
      <c r="A960" s="1">
        <v>959</v>
      </c>
      <c r="B960" s="4">
        <v>7500</v>
      </c>
      <c r="C960" s="4">
        <v>148.6</v>
      </c>
      <c r="D960" s="4">
        <v>148.69999999999999</v>
      </c>
      <c r="E960" s="4">
        <f t="shared" si="490"/>
        <v>9.9999999999994316E-2</v>
      </c>
      <c r="F960" s="4">
        <v>1</v>
      </c>
      <c r="G960" s="4">
        <v>-0.42</v>
      </c>
      <c r="H960" s="4">
        <v>79</v>
      </c>
      <c r="I960" s="4"/>
      <c r="J960" s="4">
        <v>50</v>
      </c>
      <c r="K960" s="2"/>
      <c r="M960" s="4">
        <f t="shared" si="491"/>
        <v>148.69999999999999</v>
      </c>
      <c r="N960" s="4"/>
      <c r="O960" s="1">
        <f t="shared" si="492"/>
        <v>148.6</v>
      </c>
      <c r="P960" s="1">
        <f t="shared" si="493"/>
        <v>5.2799999999996992</v>
      </c>
      <c r="Q960" s="1" t="str">
        <f t="shared" si="489"/>
        <v/>
      </c>
      <c r="R960" s="1" t="str">
        <f t="shared" si="494"/>
        <v/>
      </c>
      <c r="S960" s="1">
        <f t="shared" si="495"/>
        <v>751.65600000000347</v>
      </c>
      <c r="T960" s="1">
        <f t="shared" si="496"/>
        <v>-0.42</v>
      </c>
      <c r="U960" s="1">
        <f t="shared" si="497"/>
        <v>527.99999999996999</v>
      </c>
      <c r="V960" s="1">
        <f t="shared" si="498"/>
        <v>221.7599999999874</v>
      </c>
    </row>
    <row r="961" spans="1:22" x14ac:dyDescent="0.25">
      <c r="A961" s="1">
        <v>960</v>
      </c>
      <c r="B961" s="4">
        <v>7500</v>
      </c>
      <c r="C961" s="4">
        <v>148.69999999999999</v>
      </c>
      <c r="D961" s="4">
        <v>149</v>
      </c>
      <c r="E961" s="4">
        <f t="shared" si="490"/>
        <v>0.30000000000001137</v>
      </c>
      <c r="F961" s="4">
        <v>0</v>
      </c>
      <c r="G961" s="4">
        <v>-0.51</v>
      </c>
      <c r="H961" s="4">
        <v>79</v>
      </c>
      <c r="I961" s="4"/>
      <c r="J961" s="4">
        <v>50</v>
      </c>
      <c r="K961" s="2"/>
      <c r="M961" s="4">
        <f t="shared" si="491"/>
        <v>149</v>
      </c>
      <c r="N961" s="4"/>
      <c r="O961" s="1">
        <f t="shared" si="492"/>
        <v>148.69999999999999</v>
      </c>
      <c r="P961" s="1">
        <f t="shared" si="493"/>
        <v>0</v>
      </c>
      <c r="Q961" s="1" t="str">
        <f t="shared" si="489"/>
        <v/>
      </c>
      <c r="R961" s="1" t="str">
        <f t="shared" si="494"/>
        <v/>
      </c>
      <c r="S961" s="1">
        <f t="shared" si="495"/>
        <v>749.43840000000364</v>
      </c>
      <c r="T961" s="1">
        <f t="shared" si="496"/>
        <v>-0.51</v>
      </c>
      <c r="U961" s="1">
        <f t="shared" si="497"/>
        <v>1584.00000000006</v>
      </c>
      <c r="V961" s="1">
        <f t="shared" si="498"/>
        <v>807.84000000003061</v>
      </c>
    </row>
    <row r="962" spans="1:22" x14ac:dyDescent="0.25">
      <c r="A962" s="1">
        <v>961</v>
      </c>
      <c r="B962" s="4">
        <v>7500</v>
      </c>
      <c r="C962" s="4">
        <v>149</v>
      </c>
      <c r="D962" s="4">
        <v>149.5</v>
      </c>
      <c r="E962" s="4">
        <f t="shared" si="490"/>
        <v>0.5</v>
      </c>
      <c r="F962" s="4">
        <v>0</v>
      </c>
      <c r="G962" s="4">
        <v>-0.56000000000000005</v>
      </c>
      <c r="H962" s="4">
        <v>79</v>
      </c>
      <c r="I962" s="4"/>
      <c r="J962" s="4">
        <v>50</v>
      </c>
      <c r="K962" s="2"/>
      <c r="M962" s="4">
        <f t="shared" si="491"/>
        <v>149.5</v>
      </c>
      <c r="N962" s="4"/>
      <c r="O962" s="1">
        <f t="shared" si="492"/>
        <v>149</v>
      </c>
      <c r="P962" s="1">
        <f t="shared" si="493"/>
        <v>0</v>
      </c>
      <c r="Q962" s="1" t="str">
        <f t="shared" si="489"/>
        <v/>
      </c>
      <c r="R962" s="1" t="str">
        <f t="shared" si="494"/>
        <v/>
      </c>
      <c r="S962" s="1">
        <f t="shared" si="495"/>
        <v>741.36000000000331</v>
      </c>
      <c r="T962" s="1">
        <f t="shared" si="496"/>
        <v>-0.56000000000000005</v>
      </c>
      <c r="U962" s="1">
        <f t="shared" si="497"/>
        <v>2640</v>
      </c>
      <c r="V962" s="1">
        <f t="shared" si="498"/>
        <v>1478.4</v>
      </c>
    </row>
    <row r="963" spans="1:22" x14ac:dyDescent="0.25">
      <c r="A963" s="1">
        <v>962</v>
      </c>
      <c r="B963" s="4">
        <v>7500</v>
      </c>
      <c r="C963" s="4">
        <v>149.5</v>
      </c>
      <c r="D963" s="4">
        <v>149.6</v>
      </c>
      <c r="E963" s="4">
        <f t="shared" si="490"/>
        <v>9.9999999999994316E-2</v>
      </c>
      <c r="F963" s="4">
        <v>0</v>
      </c>
      <c r="G963" s="4">
        <v>-0.39</v>
      </c>
      <c r="H963" s="4">
        <v>79</v>
      </c>
      <c r="I963" s="4"/>
      <c r="J963" s="4">
        <v>50</v>
      </c>
      <c r="K963" s="2"/>
      <c r="M963" s="4">
        <f t="shared" si="491"/>
        <v>149.6</v>
      </c>
      <c r="N963" s="4"/>
      <c r="O963" s="1">
        <f t="shared" si="492"/>
        <v>149.5</v>
      </c>
      <c r="P963" s="1">
        <f t="shared" si="493"/>
        <v>0</v>
      </c>
      <c r="Q963" s="1" t="str">
        <f t="shared" ref="Q963:Q1026" si="499">IF(H963&lt;&gt;"",IF(H963=H962,"",H963),IF(H961="","",MAX(H962,Q962)))</f>
        <v/>
      </c>
      <c r="R963" s="1" t="str">
        <f t="shared" si="494"/>
        <v/>
      </c>
      <c r="S963" s="1">
        <f t="shared" si="495"/>
        <v>726.57600000000332</v>
      </c>
      <c r="T963" s="1">
        <f t="shared" si="496"/>
        <v>-0.39</v>
      </c>
      <c r="U963" s="1">
        <f t="shared" si="497"/>
        <v>527.99999999996999</v>
      </c>
      <c r="V963" s="1">
        <f t="shared" si="498"/>
        <v>205.91999999998831</v>
      </c>
    </row>
    <row r="964" spans="1:22" x14ac:dyDescent="0.25">
      <c r="A964" s="1">
        <v>963</v>
      </c>
      <c r="B964" s="4">
        <v>7500</v>
      </c>
      <c r="C964" s="4">
        <v>149.6</v>
      </c>
      <c r="D964" s="4">
        <v>149.69999999999999</v>
      </c>
      <c r="E964" s="4">
        <f t="shared" si="490"/>
        <v>9.9999999999994316E-2</v>
      </c>
      <c r="F964" s="4">
        <v>0</v>
      </c>
      <c r="G964" s="4">
        <v>-0.05</v>
      </c>
      <c r="H964" s="4">
        <v>79</v>
      </c>
      <c r="I964" s="4"/>
      <c r="J964" s="4">
        <v>50</v>
      </c>
      <c r="K964" s="2"/>
      <c r="M964" s="4">
        <f t="shared" si="491"/>
        <v>149.69999999999999</v>
      </c>
      <c r="N964" s="4"/>
      <c r="O964" s="1">
        <f t="shared" si="492"/>
        <v>149.6</v>
      </c>
      <c r="P964" s="1">
        <f t="shared" si="493"/>
        <v>0</v>
      </c>
      <c r="Q964" s="1" t="str">
        <f t="shared" si="499"/>
        <v/>
      </c>
      <c r="R964" s="1" t="str">
        <f t="shared" si="494"/>
        <v/>
      </c>
      <c r="S964" s="1">
        <f t="shared" si="495"/>
        <v>724.5168000000034</v>
      </c>
      <c r="T964" s="1">
        <f t="shared" si="496"/>
        <v>-0.05</v>
      </c>
      <c r="U964" s="1">
        <f t="shared" si="497"/>
        <v>527.99999999996999</v>
      </c>
      <c r="V964" s="1">
        <f t="shared" si="498"/>
        <v>26.399999999998499</v>
      </c>
    </row>
    <row r="965" spans="1:22" x14ac:dyDescent="0.25">
      <c r="A965" s="1">
        <v>964</v>
      </c>
      <c r="B965" s="4">
        <v>7500</v>
      </c>
      <c r="C965" s="4">
        <v>149.69999999999999</v>
      </c>
      <c r="D965" s="4">
        <v>150</v>
      </c>
      <c r="E965" s="4">
        <f t="shared" si="490"/>
        <v>0.30000000000001137</v>
      </c>
      <c r="F965" s="4">
        <v>0</v>
      </c>
      <c r="G965" s="4">
        <v>0.12</v>
      </c>
      <c r="H965" s="4">
        <v>79</v>
      </c>
      <c r="I965" s="4"/>
      <c r="J965" s="4">
        <v>50</v>
      </c>
      <c r="K965" s="2"/>
      <c r="M965" s="4">
        <f t="shared" si="491"/>
        <v>150</v>
      </c>
      <c r="N965" s="4"/>
      <c r="O965" s="1">
        <f t="shared" si="492"/>
        <v>149.69999999999999</v>
      </c>
      <c r="P965" s="1">
        <f t="shared" si="493"/>
        <v>0</v>
      </c>
      <c r="Q965" s="1" t="str">
        <f t="shared" si="499"/>
        <v/>
      </c>
      <c r="R965" s="1" t="str">
        <f t="shared" si="494"/>
        <v/>
      </c>
      <c r="S965" s="1">
        <f t="shared" si="495"/>
        <v>724.25280000000339</v>
      </c>
      <c r="T965" s="1">
        <f t="shared" si="496"/>
        <v>0.12</v>
      </c>
      <c r="U965" s="1">
        <f t="shared" si="497"/>
        <v>1584.00000000006</v>
      </c>
      <c r="V965" s="1">
        <f t="shared" si="498"/>
        <v>190.0800000000072</v>
      </c>
    </row>
    <row r="966" spans="1:22" x14ac:dyDescent="0.25">
      <c r="A966" s="1">
        <v>965</v>
      </c>
      <c r="B966" s="4">
        <v>7500</v>
      </c>
      <c r="C966" s="4">
        <v>150</v>
      </c>
      <c r="D966" s="4">
        <v>150.1</v>
      </c>
      <c r="E966" s="4">
        <f t="shared" si="490"/>
        <v>9.9999999999994316E-2</v>
      </c>
      <c r="F966" s="4">
        <v>0</v>
      </c>
      <c r="G966" s="4">
        <v>-0.1</v>
      </c>
      <c r="H966" s="4">
        <v>79</v>
      </c>
      <c r="I966" s="4"/>
      <c r="J966" s="4">
        <v>50</v>
      </c>
      <c r="K966" s="2"/>
      <c r="M966" s="4">
        <f t="shared" si="491"/>
        <v>150.1</v>
      </c>
      <c r="N966" s="4"/>
      <c r="O966" s="1">
        <f t="shared" si="492"/>
        <v>150</v>
      </c>
      <c r="P966" s="1">
        <f t="shared" si="493"/>
        <v>0</v>
      </c>
      <c r="Q966" s="1" t="str">
        <f t="shared" si="499"/>
        <v/>
      </c>
      <c r="R966" s="1" t="str">
        <f t="shared" si="494"/>
        <v/>
      </c>
      <c r="S966" s="1">
        <f t="shared" si="495"/>
        <v>726.15360000000351</v>
      </c>
      <c r="T966" s="1">
        <f t="shared" si="496"/>
        <v>-0.1</v>
      </c>
      <c r="U966" s="1">
        <f t="shared" si="497"/>
        <v>527.99999999996999</v>
      </c>
      <c r="V966" s="1">
        <f t="shared" si="498"/>
        <v>52.799999999996999</v>
      </c>
    </row>
    <row r="967" spans="1:22" x14ac:dyDescent="0.25">
      <c r="A967" s="1">
        <v>966</v>
      </c>
      <c r="B967" s="4">
        <v>7500</v>
      </c>
      <c r="C967" s="4">
        <v>150.1</v>
      </c>
      <c r="D967" s="4">
        <v>150.29999999999998</v>
      </c>
      <c r="E967" s="4">
        <f t="shared" si="490"/>
        <v>0.19999999999998863</v>
      </c>
      <c r="F967" s="4">
        <v>0</v>
      </c>
      <c r="G967" s="4">
        <v>-0.75</v>
      </c>
      <c r="H967" s="4">
        <v>79</v>
      </c>
      <c r="I967" s="4"/>
      <c r="J967" s="4">
        <v>50</v>
      </c>
      <c r="K967" s="2"/>
      <c r="M967" s="4">
        <f t="shared" si="491"/>
        <v>150.29999999999998</v>
      </c>
      <c r="N967" s="4"/>
      <c r="O967" s="1">
        <f t="shared" si="492"/>
        <v>150.1</v>
      </c>
      <c r="P967" s="1">
        <f t="shared" si="493"/>
        <v>0</v>
      </c>
      <c r="Q967" s="1" t="str">
        <f t="shared" si="499"/>
        <v/>
      </c>
      <c r="R967" s="1" t="str">
        <f t="shared" si="494"/>
        <v/>
      </c>
      <c r="S967" s="1">
        <f t="shared" si="495"/>
        <v>725.62560000000349</v>
      </c>
      <c r="T967" s="1">
        <f t="shared" si="496"/>
        <v>-0.75</v>
      </c>
      <c r="U967" s="1">
        <f t="shared" si="497"/>
        <v>1055.99999999994</v>
      </c>
      <c r="V967" s="1">
        <f t="shared" si="498"/>
        <v>791.99999999995498</v>
      </c>
    </row>
    <row r="968" spans="1:22" x14ac:dyDescent="0.25">
      <c r="A968" s="1">
        <v>967</v>
      </c>
      <c r="B968" s="4">
        <v>7500</v>
      </c>
      <c r="C968" s="4">
        <v>150.29999999999998</v>
      </c>
      <c r="D968" s="4">
        <v>150.4</v>
      </c>
      <c r="E968" s="4">
        <f t="shared" ref="E968:E1031" si="500">D968-C968</f>
        <v>0.10000000000002274</v>
      </c>
      <c r="F968" s="4">
        <v>0</v>
      </c>
      <c r="G968" s="4">
        <v>-0.88</v>
      </c>
      <c r="H968" s="4">
        <v>79</v>
      </c>
      <c r="I968" s="4"/>
      <c r="J968" s="4">
        <v>50</v>
      </c>
      <c r="K968" s="2"/>
      <c r="M968" s="4">
        <f t="shared" ref="M968:M1031" si="501">E968+M967</f>
        <v>150.4</v>
      </c>
      <c r="N968" s="4"/>
      <c r="O968" s="1">
        <f t="shared" ref="O968:O1031" si="502">E967+O967</f>
        <v>150.29999999999998</v>
      </c>
      <c r="P968" s="1">
        <f t="shared" ref="P968:P1031" si="503">F968*52.8*E968</f>
        <v>0</v>
      </c>
      <c r="Q968" s="1" t="str">
        <f t="shared" si="499"/>
        <v/>
      </c>
      <c r="R968" s="1" t="str">
        <f t="shared" ref="R968:R1031" si="504">IF(I968="",Q968,IF(AND(H968=H967,I968=I967),"",I968))</f>
        <v/>
      </c>
      <c r="S968" s="1">
        <f t="shared" ref="S968:S1031" si="505">S967+U967*T967/100</f>
        <v>717.70560000000398</v>
      </c>
      <c r="T968" s="1">
        <f t="shared" ref="T968:T1031" si="506">IF(G968="UNK",0,G968)</f>
        <v>-0.88</v>
      </c>
      <c r="U968" s="1">
        <f t="shared" ref="U968:U1031" si="507">E968*5280</f>
        <v>528.00000000012005</v>
      </c>
      <c r="V968" s="1">
        <f t="shared" ref="V968:V1031" si="508">ABS(T968*U968)</f>
        <v>464.64000000010566</v>
      </c>
    </row>
    <row r="969" spans="1:22" x14ac:dyDescent="0.25">
      <c r="A969" s="1">
        <v>968</v>
      </c>
      <c r="B969" s="4">
        <v>7500</v>
      </c>
      <c r="C969" s="4">
        <v>150.4</v>
      </c>
      <c r="D969" s="4">
        <v>150.5</v>
      </c>
      <c r="E969" s="4">
        <f t="shared" si="500"/>
        <v>9.9999999999994316E-2</v>
      </c>
      <c r="F969" s="4">
        <v>0</v>
      </c>
      <c r="G969" s="4">
        <v>-0.84</v>
      </c>
      <c r="H969" s="4">
        <v>79</v>
      </c>
      <c r="I969" s="4"/>
      <c r="J969" s="4">
        <v>50</v>
      </c>
      <c r="K969" s="2"/>
      <c r="M969" s="4">
        <f t="shared" si="501"/>
        <v>150.5</v>
      </c>
      <c r="N969" s="4"/>
      <c r="O969" s="1">
        <f t="shared" si="502"/>
        <v>150.4</v>
      </c>
      <c r="P969" s="1">
        <f t="shared" si="503"/>
        <v>0</v>
      </c>
      <c r="Q969" s="1" t="str">
        <f t="shared" si="499"/>
        <v/>
      </c>
      <c r="R969" s="1" t="str">
        <f t="shared" si="504"/>
        <v/>
      </c>
      <c r="S969" s="1">
        <f t="shared" si="505"/>
        <v>713.05920000000287</v>
      </c>
      <c r="T969" s="1">
        <f t="shared" si="506"/>
        <v>-0.84</v>
      </c>
      <c r="U969" s="1">
        <f t="shared" si="507"/>
        <v>527.99999999996999</v>
      </c>
      <c r="V969" s="1">
        <f t="shared" si="508"/>
        <v>443.5199999999748</v>
      </c>
    </row>
    <row r="970" spans="1:22" x14ac:dyDescent="0.25">
      <c r="A970" s="1">
        <v>969</v>
      </c>
      <c r="B970" s="4">
        <v>7500</v>
      </c>
      <c r="C970" s="4">
        <v>150.5</v>
      </c>
      <c r="D970" s="4">
        <v>150.6</v>
      </c>
      <c r="E970" s="4">
        <f t="shared" si="500"/>
        <v>9.9999999999994316E-2</v>
      </c>
      <c r="F970" s="4">
        <v>0</v>
      </c>
      <c r="G970" s="4">
        <v>-0.72</v>
      </c>
      <c r="H970" s="4">
        <v>79</v>
      </c>
      <c r="I970" s="4"/>
      <c r="J970" s="4">
        <v>50</v>
      </c>
      <c r="K970" s="2"/>
      <c r="M970" s="4">
        <f t="shared" si="501"/>
        <v>150.6</v>
      </c>
      <c r="N970" s="4"/>
      <c r="O970" s="1">
        <f t="shared" si="502"/>
        <v>150.5</v>
      </c>
      <c r="P970" s="1">
        <f t="shared" si="503"/>
        <v>0</v>
      </c>
      <c r="Q970" s="1" t="str">
        <f t="shared" si="499"/>
        <v/>
      </c>
      <c r="R970" s="1" t="str">
        <f t="shared" si="504"/>
        <v/>
      </c>
      <c r="S970" s="1">
        <f t="shared" si="505"/>
        <v>708.62400000000309</v>
      </c>
      <c r="T970" s="1">
        <f t="shared" si="506"/>
        <v>-0.72</v>
      </c>
      <c r="U970" s="1">
        <f t="shared" si="507"/>
        <v>527.99999999996999</v>
      </c>
      <c r="V970" s="1">
        <f t="shared" si="508"/>
        <v>380.15999999997837</v>
      </c>
    </row>
    <row r="971" spans="1:22" x14ac:dyDescent="0.25">
      <c r="A971" s="1">
        <v>970</v>
      </c>
      <c r="B971" s="4">
        <v>7500</v>
      </c>
      <c r="C971" s="4">
        <v>150.6</v>
      </c>
      <c r="D971" s="4">
        <v>150.69999999999999</v>
      </c>
      <c r="E971" s="4">
        <f t="shared" si="500"/>
        <v>9.9999999999994316E-2</v>
      </c>
      <c r="F971" s="4">
        <v>0</v>
      </c>
      <c r="G971" s="4">
        <v>-0.62</v>
      </c>
      <c r="H971" s="4">
        <v>79</v>
      </c>
      <c r="I971" s="4"/>
      <c r="J971" s="4">
        <v>50</v>
      </c>
      <c r="K971" s="2"/>
      <c r="M971" s="4">
        <f t="shared" si="501"/>
        <v>150.69999999999999</v>
      </c>
      <c r="N971" s="4"/>
      <c r="O971" s="1">
        <f t="shared" si="502"/>
        <v>150.6</v>
      </c>
      <c r="P971" s="1">
        <f t="shared" si="503"/>
        <v>0</v>
      </c>
      <c r="Q971" s="1" t="str">
        <f t="shared" si="499"/>
        <v/>
      </c>
      <c r="R971" s="1" t="str">
        <f t="shared" si="504"/>
        <v/>
      </c>
      <c r="S971" s="1">
        <f t="shared" si="505"/>
        <v>704.82240000000331</v>
      </c>
      <c r="T971" s="1">
        <f t="shared" si="506"/>
        <v>-0.62</v>
      </c>
      <c r="U971" s="1">
        <f t="shared" si="507"/>
        <v>527.99999999996999</v>
      </c>
      <c r="V971" s="1">
        <f t="shared" si="508"/>
        <v>327.35999999998137</v>
      </c>
    </row>
    <row r="972" spans="1:22" x14ac:dyDescent="0.25">
      <c r="A972" s="1">
        <v>971</v>
      </c>
      <c r="B972" s="4">
        <v>7500</v>
      </c>
      <c r="C972" s="4">
        <v>150.69999999999999</v>
      </c>
      <c r="D972" s="4">
        <v>150.79999999999998</v>
      </c>
      <c r="E972" s="4">
        <f t="shared" si="500"/>
        <v>9.9999999999994316E-2</v>
      </c>
      <c r="F972" s="4">
        <v>0</v>
      </c>
      <c r="G972" s="4">
        <v>-0.42</v>
      </c>
      <c r="H972" s="4">
        <v>79</v>
      </c>
      <c r="I972" s="4"/>
      <c r="J972" s="4">
        <v>50</v>
      </c>
      <c r="K972" s="2"/>
      <c r="M972" s="4">
        <f t="shared" si="501"/>
        <v>150.79999999999998</v>
      </c>
      <c r="N972" s="4"/>
      <c r="O972" s="1">
        <f t="shared" si="502"/>
        <v>150.69999999999999</v>
      </c>
      <c r="P972" s="1">
        <f t="shared" si="503"/>
        <v>0</v>
      </c>
      <c r="Q972" s="1" t="str">
        <f t="shared" si="499"/>
        <v/>
      </c>
      <c r="R972" s="1" t="str">
        <f t="shared" si="504"/>
        <v/>
      </c>
      <c r="S972" s="1">
        <f t="shared" si="505"/>
        <v>701.54880000000355</v>
      </c>
      <c r="T972" s="1">
        <f t="shared" si="506"/>
        <v>-0.42</v>
      </c>
      <c r="U972" s="1">
        <f t="shared" si="507"/>
        <v>527.99999999996999</v>
      </c>
      <c r="V972" s="1">
        <f t="shared" si="508"/>
        <v>221.7599999999874</v>
      </c>
    </row>
    <row r="973" spans="1:22" x14ac:dyDescent="0.25">
      <c r="A973" s="1">
        <v>972</v>
      </c>
      <c r="B973" s="4">
        <v>7500</v>
      </c>
      <c r="C973" s="4">
        <v>150.79999999999998</v>
      </c>
      <c r="D973" s="4">
        <v>151</v>
      </c>
      <c r="E973" s="4">
        <f t="shared" si="500"/>
        <v>0.20000000000001705</v>
      </c>
      <c r="F973" s="4">
        <v>0</v>
      </c>
      <c r="G973" s="4">
        <v>-0.32</v>
      </c>
      <c r="H973" s="4">
        <v>79</v>
      </c>
      <c r="I973" s="4"/>
      <c r="J973" s="4">
        <v>50</v>
      </c>
      <c r="K973" s="2"/>
      <c r="M973" s="4">
        <f t="shared" si="501"/>
        <v>151</v>
      </c>
      <c r="N973" s="4"/>
      <c r="O973" s="1">
        <f t="shared" si="502"/>
        <v>150.79999999999998</v>
      </c>
      <c r="P973" s="1">
        <f t="shared" si="503"/>
        <v>0</v>
      </c>
      <c r="Q973" s="1" t="str">
        <f t="shared" si="499"/>
        <v/>
      </c>
      <c r="R973" s="1" t="str">
        <f t="shared" si="504"/>
        <v/>
      </c>
      <c r="S973" s="1">
        <f t="shared" si="505"/>
        <v>699.33120000000372</v>
      </c>
      <c r="T973" s="1">
        <f t="shared" si="506"/>
        <v>-0.32</v>
      </c>
      <c r="U973" s="1">
        <f t="shared" si="507"/>
        <v>1056.00000000009</v>
      </c>
      <c r="V973" s="1">
        <f t="shared" si="508"/>
        <v>337.92000000002884</v>
      </c>
    </row>
    <row r="974" spans="1:22" x14ac:dyDescent="0.25">
      <c r="A974" s="1">
        <v>973</v>
      </c>
      <c r="B974" s="4">
        <v>7500</v>
      </c>
      <c r="C974" s="4">
        <v>151</v>
      </c>
      <c r="D974" s="4">
        <v>151.1</v>
      </c>
      <c r="E974" s="4">
        <f t="shared" si="500"/>
        <v>9.9999999999994316E-2</v>
      </c>
      <c r="F974" s="4">
        <v>0</v>
      </c>
      <c r="G974" s="4">
        <v>-0.39</v>
      </c>
      <c r="H974" s="4">
        <v>79</v>
      </c>
      <c r="I974" s="4"/>
      <c r="J974" s="4">
        <v>50</v>
      </c>
      <c r="K974" s="2"/>
      <c r="M974" s="4">
        <f t="shared" si="501"/>
        <v>151.1</v>
      </c>
      <c r="N974" s="4"/>
      <c r="O974" s="1">
        <f t="shared" si="502"/>
        <v>151</v>
      </c>
      <c r="P974" s="1">
        <f t="shared" si="503"/>
        <v>0</v>
      </c>
      <c r="Q974" s="1" t="str">
        <f t="shared" si="499"/>
        <v/>
      </c>
      <c r="R974" s="1" t="str">
        <f t="shared" si="504"/>
        <v/>
      </c>
      <c r="S974" s="1">
        <f t="shared" si="505"/>
        <v>695.95200000000341</v>
      </c>
      <c r="T974" s="1">
        <f t="shared" si="506"/>
        <v>-0.39</v>
      </c>
      <c r="U974" s="1">
        <f t="shared" si="507"/>
        <v>527.99999999996999</v>
      </c>
      <c r="V974" s="1">
        <f t="shared" si="508"/>
        <v>205.91999999998831</v>
      </c>
    </row>
    <row r="975" spans="1:22" x14ac:dyDescent="0.25">
      <c r="A975" s="1">
        <v>974</v>
      </c>
      <c r="B975" s="4">
        <v>7500</v>
      </c>
      <c r="C975" s="4">
        <v>151.1</v>
      </c>
      <c r="D975" s="4">
        <v>151.19999999999999</v>
      </c>
      <c r="E975" s="4">
        <f t="shared" si="500"/>
        <v>9.9999999999994316E-2</v>
      </c>
      <c r="F975" s="4">
        <v>0</v>
      </c>
      <c r="G975" s="4">
        <v>-0.53</v>
      </c>
      <c r="H975" s="4">
        <v>79</v>
      </c>
      <c r="I975" s="4"/>
      <c r="J975" s="4">
        <v>50</v>
      </c>
      <c r="K975" s="2"/>
      <c r="M975" s="4">
        <f t="shared" si="501"/>
        <v>151.19999999999999</v>
      </c>
      <c r="N975" s="4"/>
      <c r="O975" s="1">
        <f t="shared" si="502"/>
        <v>151.1</v>
      </c>
      <c r="P975" s="1">
        <f t="shared" si="503"/>
        <v>0</v>
      </c>
      <c r="Q975" s="1" t="str">
        <f t="shared" si="499"/>
        <v/>
      </c>
      <c r="R975" s="1" t="str">
        <f t="shared" si="504"/>
        <v/>
      </c>
      <c r="S975" s="1">
        <f t="shared" si="505"/>
        <v>693.89280000000349</v>
      </c>
      <c r="T975" s="1">
        <f t="shared" si="506"/>
        <v>-0.53</v>
      </c>
      <c r="U975" s="1">
        <f t="shared" si="507"/>
        <v>527.99999999996999</v>
      </c>
      <c r="V975" s="1">
        <f t="shared" si="508"/>
        <v>279.83999999998412</v>
      </c>
    </row>
    <row r="976" spans="1:22" x14ac:dyDescent="0.25">
      <c r="A976" s="1">
        <v>975</v>
      </c>
      <c r="B976" s="4">
        <v>7500</v>
      </c>
      <c r="C976" s="4">
        <v>151.19999999999999</v>
      </c>
      <c r="D976" s="4">
        <v>151.29999999999998</v>
      </c>
      <c r="E976" s="4">
        <f t="shared" si="500"/>
        <v>9.9999999999994316E-2</v>
      </c>
      <c r="F976" s="4">
        <v>1.6</v>
      </c>
      <c r="G976" s="4">
        <v>-0.64</v>
      </c>
      <c r="H976" s="4">
        <v>79</v>
      </c>
      <c r="I976" s="4"/>
      <c r="J976" s="4">
        <v>50</v>
      </c>
      <c r="K976" s="2"/>
      <c r="M976" s="4">
        <f t="shared" si="501"/>
        <v>151.29999999999998</v>
      </c>
      <c r="N976" s="4"/>
      <c r="O976" s="1">
        <f t="shared" si="502"/>
        <v>151.19999999999999</v>
      </c>
      <c r="P976" s="1">
        <f t="shared" si="503"/>
        <v>8.4479999999995208</v>
      </c>
      <c r="Q976" s="1" t="str">
        <f t="shared" si="499"/>
        <v/>
      </c>
      <c r="R976" s="1" t="str">
        <f t="shared" si="504"/>
        <v/>
      </c>
      <c r="S976" s="1">
        <f t="shared" si="505"/>
        <v>691.0944000000037</v>
      </c>
      <c r="T976" s="1">
        <f t="shared" si="506"/>
        <v>-0.64</v>
      </c>
      <c r="U976" s="1">
        <f t="shared" si="507"/>
        <v>527.99999999996999</v>
      </c>
      <c r="V976" s="1">
        <f t="shared" si="508"/>
        <v>337.9199999999808</v>
      </c>
    </row>
    <row r="977" spans="1:22" x14ac:dyDescent="0.25">
      <c r="A977" s="1">
        <v>976</v>
      </c>
      <c r="B977" s="4">
        <v>7500</v>
      </c>
      <c r="C977" s="4">
        <v>151.29999999999998</v>
      </c>
      <c r="D977" s="4">
        <v>151.4</v>
      </c>
      <c r="E977" s="4">
        <f t="shared" si="500"/>
        <v>0.10000000000002274</v>
      </c>
      <c r="F977" s="4">
        <v>1.6</v>
      </c>
      <c r="G977" s="4">
        <v>-0.73</v>
      </c>
      <c r="H977" s="4">
        <v>79</v>
      </c>
      <c r="I977" s="4"/>
      <c r="J977" s="4">
        <v>50</v>
      </c>
      <c r="K977" s="2"/>
      <c r="M977" s="4">
        <f t="shared" si="501"/>
        <v>151.4</v>
      </c>
      <c r="N977" s="4"/>
      <c r="O977" s="1">
        <f t="shared" si="502"/>
        <v>151.29999999999998</v>
      </c>
      <c r="P977" s="1">
        <f t="shared" si="503"/>
        <v>8.4480000000019206</v>
      </c>
      <c r="Q977" s="1" t="str">
        <f t="shared" si="499"/>
        <v/>
      </c>
      <c r="R977" s="1" t="str">
        <f t="shared" si="504"/>
        <v/>
      </c>
      <c r="S977" s="1">
        <f t="shared" si="505"/>
        <v>687.71520000000385</v>
      </c>
      <c r="T977" s="1">
        <f t="shared" si="506"/>
        <v>-0.73</v>
      </c>
      <c r="U977" s="1">
        <f t="shared" si="507"/>
        <v>528.00000000012005</v>
      </c>
      <c r="V977" s="1">
        <f t="shared" si="508"/>
        <v>385.44000000008765</v>
      </c>
    </row>
    <row r="978" spans="1:22" x14ac:dyDescent="0.25">
      <c r="A978" s="1">
        <v>977</v>
      </c>
      <c r="B978" s="4">
        <v>7500</v>
      </c>
      <c r="C978" s="4">
        <v>151.4</v>
      </c>
      <c r="D978" s="4">
        <v>151.5</v>
      </c>
      <c r="E978" s="4">
        <f t="shared" si="500"/>
        <v>9.9999999999994316E-2</v>
      </c>
      <c r="F978" s="4">
        <v>0</v>
      </c>
      <c r="G978" s="4">
        <v>-0.73</v>
      </c>
      <c r="H978" s="4">
        <v>79</v>
      </c>
      <c r="I978" s="4"/>
      <c r="J978" s="4">
        <v>50</v>
      </c>
      <c r="K978" s="2"/>
      <c r="M978" s="4">
        <f t="shared" si="501"/>
        <v>151.5</v>
      </c>
      <c r="N978" s="4"/>
      <c r="O978" s="1">
        <f t="shared" si="502"/>
        <v>151.4</v>
      </c>
      <c r="P978" s="1">
        <f t="shared" si="503"/>
        <v>0</v>
      </c>
      <c r="Q978" s="1" t="str">
        <f t="shared" si="499"/>
        <v/>
      </c>
      <c r="R978" s="1" t="str">
        <f t="shared" si="504"/>
        <v/>
      </c>
      <c r="S978" s="1">
        <f t="shared" si="505"/>
        <v>683.860800000003</v>
      </c>
      <c r="T978" s="1">
        <f t="shared" si="506"/>
        <v>-0.73</v>
      </c>
      <c r="U978" s="1">
        <f t="shared" si="507"/>
        <v>527.99999999996999</v>
      </c>
      <c r="V978" s="1">
        <f t="shared" si="508"/>
        <v>385.43999999997806</v>
      </c>
    </row>
    <row r="979" spans="1:22" x14ac:dyDescent="0.25">
      <c r="A979" s="1">
        <v>978</v>
      </c>
      <c r="B979" s="4">
        <v>7500</v>
      </c>
      <c r="C979" s="4">
        <v>151.5</v>
      </c>
      <c r="D979" s="4">
        <v>151.6</v>
      </c>
      <c r="E979" s="4">
        <f t="shared" si="500"/>
        <v>9.9999999999994316E-2</v>
      </c>
      <c r="F979" s="4">
        <v>0</v>
      </c>
      <c r="G979" s="4">
        <v>-0.73</v>
      </c>
      <c r="H979" s="4">
        <v>79</v>
      </c>
      <c r="I979" s="4"/>
      <c r="J979" s="4">
        <v>50</v>
      </c>
      <c r="K979" s="2"/>
      <c r="M979" s="4">
        <f t="shared" si="501"/>
        <v>151.6</v>
      </c>
      <c r="N979" s="4"/>
      <c r="O979" s="1">
        <f t="shared" si="502"/>
        <v>151.5</v>
      </c>
      <c r="P979" s="1">
        <f t="shared" si="503"/>
        <v>0</v>
      </c>
      <c r="Q979" s="1" t="str">
        <f t="shared" si="499"/>
        <v/>
      </c>
      <c r="R979" s="1" t="str">
        <f t="shared" si="504"/>
        <v/>
      </c>
      <c r="S979" s="1">
        <f t="shared" si="505"/>
        <v>680.00640000000317</v>
      </c>
      <c r="T979" s="1">
        <f t="shared" si="506"/>
        <v>-0.73</v>
      </c>
      <c r="U979" s="1">
        <f t="shared" si="507"/>
        <v>527.99999999996999</v>
      </c>
      <c r="V979" s="1">
        <f t="shared" si="508"/>
        <v>385.43999999997806</v>
      </c>
    </row>
    <row r="980" spans="1:22" x14ac:dyDescent="0.25">
      <c r="A980" s="1">
        <v>979</v>
      </c>
      <c r="B980" s="4">
        <v>7500</v>
      </c>
      <c r="C980" s="4">
        <v>151.6</v>
      </c>
      <c r="D980" s="4">
        <v>152.29999999999998</v>
      </c>
      <c r="E980" s="4">
        <f t="shared" si="500"/>
        <v>0.69999999999998863</v>
      </c>
      <c r="F980" s="4">
        <v>1</v>
      </c>
      <c r="G980" s="4">
        <v>-0.78</v>
      </c>
      <c r="H980" s="4">
        <v>79</v>
      </c>
      <c r="I980" s="4"/>
      <c r="J980" s="4">
        <v>50</v>
      </c>
      <c r="K980" s="2"/>
      <c r="M980" s="4">
        <f t="shared" si="501"/>
        <v>152.29999999999998</v>
      </c>
      <c r="N980" s="4"/>
      <c r="O980" s="1">
        <f t="shared" si="502"/>
        <v>151.6</v>
      </c>
      <c r="P980" s="1">
        <f t="shared" si="503"/>
        <v>36.959999999999397</v>
      </c>
      <c r="Q980" s="1" t="str">
        <f t="shared" si="499"/>
        <v/>
      </c>
      <c r="R980" s="1" t="str">
        <f t="shared" si="504"/>
        <v/>
      </c>
      <c r="S980" s="1">
        <f t="shared" si="505"/>
        <v>676.15200000000334</v>
      </c>
      <c r="T980" s="1">
        <f t="shared" si="506"/>
        <v>-0.78</v>
      </c>
      <c r="U980" s="1">
        <f t="shared" si="507"/>
        <v>3695.99999999994</v>
      </c>
      <c r="V980" s="1">
        <f t="shared" si="508"/>
        <v>2882.8799999999533</v>
      </c>
    </row>
    <row r="981" spans="1:22" x14ac:dyDescent="0.25">
      <c r="A981" s="1">
        <v>980</v>
      </c>
      <c r="B981" s="4">
        <v>7500</v>
      </c>
      <c r="C981" s="4">
        <v>152.29999999999998</v>
      </c>
      <c r="D981" s="4">
        <v>152.5</v>
      </c>
      <c r="E981" s="4">
        <f t="shared" si="500"/>
        <v>0.20000000000001705</v>
      </c>
      <c r="F981" s="4">
        <v>0</v>
      </c>
      <c r="G981" s="4">
        <v>-0.63</v>
      </c>
      <c r="H981" s="4">
        <v>79</v>
      </c>
      <c r="I981" s="4"/>
      <c r="J981" s="4">
        <v>50</v>
      </c>
      <c r="K981" s="2"/>
      <c r="M981" s="4">
        <f t="shared" si="501"/>
        <v>152.5</v>
      </c>
      <c r="N981" s="4"/>
      <c r="O981" s="1">
        <f t="shared" si="502"/>
        <v>152.29999999999998</v>
      </c>
      <c r="P981" s="1">
        <f t="shared" si="503"/>
        <v>0</v>
      </c>
      <c r="Q981" s="1" t="str">
        <f t="shared" si="499"/>
        <v/>
      </c>
      <c r="R981" s="1" t="str">
        <f t="shared" si="504"/>
        <v/>
      </c>
      <c r="S981" s="1">
        <f t="shared" si="505"/>
        <v>647.32320000000379</v>
      </c>
      <c r="T981" s="1">
        <f t="shared" si="506"/>
        <v>-0.63</v>
      </c>
      <c r="U981" s="1">
        <f t="shared" si="507"/>
        <v>1056.00000000009</v>
      </c>
      <c r="V981" s="1">
        <f t="shared" si="508"/>
        <v>665.2800000000567</v>
      </c>
    </row>
    <row r="982" spans="1:22" x14ac:dyDescent="0.25">
      <c r="A982" s="1">
        <v>981</v>
      </c>
      <c r="B982" s="4">
        <v>7500</v>
      </c>
      <c r="C982" s="4">
        <v>152.5</v>
      </c>
      <c r="D982" s="4">
        <v>152.79999999999998</v>
      </c>
      <c r="E982" s="4">
        <f t="shared" si="500"/>
        <v>0.29999999999998295</v>
      </c>
      <c r="F982" s="4">
        <v>0</v>
      </c>
      <c r="G982" s="4">
        <v>-0.63</v>
      </c>
      <c r="H982" s="4">
        <v>79</v>
      </c>
      <c r="I982" s="4"/>
      <c r="J982" s="4">
        <v>50</v>
      </c>
      <c r="K982" s="2"/>
      <c r="M982" s="4">
        <f t="shared" si="501"/>
        <v>152.79999999999998</v>
      </c>
      <c r="N982" s="4"/>
      <c r="O982" s="1">
        <f t="shared" si="502"/>
        <v>152.5</v>
      </c>
      <c r="P982" s="1">
        <f t="shared" si="503"/>
        <v>0</v>
      </c>
      <c r="Q982" s="1" t="str">
        <f t="shared" si="499"/>
        <v/>
      </c>
      <c r="R982" s="1" t="str">
        <f t="shared" si="504"/>
        <v/>
      </c>
      <c r="S982" s="1">
        <f t="shared" si="505"/>
        <v>640.67040000000327</v>
      </c>
      <c r="T982" s="1">
        <f t="shared" si="506"/>
        <v>-0.63</v>
      </c>
      <c r="U982" s="1">
        <f t="shared" si="507"/>
        <v>1583.99999999991</v>
      </c>
      <c r="V982" s="1">
        <f t="shared" si="508"/>
        <v>997.91999999994323</v>
      </c>
    </row>
    <row r="983" spans="1:22" x14ac:dyDescent="0.25">
      <c r="A983" s="1">
        <v>982</v>
      </c>
      <c r="B983" s="4">
        <v>7500</v>
      </c>
      <c r="C983" s="4">
        <v>152.79999999999998</v>
      </c>
      <c r="D983" s="4">
        <v>152.9</v>
      </c>
      <c r="E983" s="4">
        <f t="shared" si="500"/>
        <v>0.10000000000002274</v>
      </c>
      <c r="F983" s="4">
        <v>0</v>
      </c>
      <c r="G983" s="4">
        <v>0.13</v>
      </c>
      <c r="H983" s="4">
        <v>79</v>
      </c>
      <c r="I983" s="4"/>
      <c r="J983" s="4">
        <v>50</v>
      </c>
      <c r="K983" s="2"/>
      <c r="M983" s="4">
        <f t="shared" si="501"/>
        <v>152.9</v>
      </c>
      <c r="N983" s="4"/>
      <c r="O983" s="1">
        <f t="shared" si="502"/>
        <v>152.79999999999998</v>
      </c>
      <c r="P983" s="1">
        <f t="shared" si="503"/>
        <v>0</v>
      </c>
      <c r="Q983" s="1" t="str">
        <f t="shared" si="499"/>
        <v/>
      </c>
      <c r="R983" s="1" t="str">
        <f t="shared" si="504"/>
        <v/>
      </c>
      <c r="S983" s="1">
        <f t="shared" si="505"/>
        <v>630.69120000000385</v>
      </c>
      <c r="T983" s="1">
        <f t="shared" si="506"/>
        <v>0.13</v>
      </c>
      <c r="U983" s="1">
        <f t="shared" si="507"/>
        <v>528.00000000012005</v>
      </c>
      <c r="V983" s="1">
        <f t="shared" si="508"/>
        <v>68.640000000015604</v>
      </c>
    </row>
    <row r="984" spans="1:22" x14ac:dyDescent="0.25">
      <c r="A984" s="1">
        <v>983</v>
      </c>
      <c r="B984" s="4">
        <v>7500</v>
      </c>
      <c r="C984" s="4">
        <v>152.9</v>
      </c>
      <c r="D984" s="4">
        <v>153</v>
      </c>
      <c r="E984" s="4">
        <f t="shared" si="500"/>
        <v>9.9999999999994316E-2</v>
      </c>
      <c r="F984" s="4">
        <v>2</v>
      </c>
      <c r="G984" s="4">
        <v>0</v>
      </c>
      <c r="H984" s="4">
        <v>79</v>
      </c>
      <c r="I984" s="4"/>
      <c r="J984" s="4">
        <v>50</v>
      </c>
      <c r="K984" s="2"/>
      <c r="M984" s="4">
        <f t="shared" si="501"/>
        <v>153</v>
      </c>
      <c r="N984" s="4"/>
      <c r="O984" s="1">
        <f t="shared" si="502"/>
        <v>152.9</v>
      </c>
      <c r="P984" s="1">
        <f t="shared" si="503"/>
        <v>10.559999999999398</v>
      </c>
      <c r="Q984" s="1" t="str">
        <f t="shared" si="499"/>
        <v/>
      </c>
      <c r="R984" s="1" t="str">
        <f t="shared" si="504"/>
        <v/>
      </c>
      <c r="S984" s="1">
        <f t="shared" si="505"/>
        <v>631.37760000000401</v>
      </c>
      <c r="T984" s="1">
        <f t="shared" si="506"/>
        <v>0</v>
      </c>
      <c r="U984" s="1">
        <f t="shared" si="507"/>
        <v>527.99999999996999</v>
      </c>
      <c r="V984" s="1">
        <f t="shared" si="508"/>
        <v>0</v>
      </c>
    </row>
    <row r="985" spans="1:22" x14ac:dyDescent="0.25">
      <c r="A985" s="1">
        <v>984</v>
      </c>
      <c r="B985" s="4">
        <v>7500</v>
      </c>
      <c r="C985" s="4">
        <v>153</v>
      </c>
      <c r="D985" s="4">
        <v>153.1</v>
      </c>
      <c r="E985" s="4">
        <f t="shared" si="500"/>
        <v>9.9999999999994316E-2</v>
      </c>
      <c r="F985" s="4">
        <v>0</v>
      </c>
      <c r="G985" s="4">
        <v>0</v>
      </c>
      <c r="H985" s="4">
        <v>79</v>
      </c>
      <c r="I985" s="4"/>
      <c r="J985" s="4">
        <v>50</v>
      </c>
      <c r="K985" s="2"/>
      <c r="M985" s="4">
        <f t="shared" si="501"/>
        <v>153.1</v>
      </c>
      <c r="N985" s="4"/>
      <c r="O985" s="1">
        <f t="shared" si="502"/>
        <v>153</v>
      </c>
      <c r="P985" s="1">
        <f t="shared" si="503"/>
        <v>0</v>
      </c>
      <c r="Q985" s="1" t="str">
        <f t="shared" si="499"/>
        <v/>
      </c>
      <c r="R985" s="1" t="str">
        <f t="shared" si="504"/>
        <v/>
      </c>
      <c r="S985" s="1">
        <f t="shared" si="505"/>
        <v>631.37760000000401</v>
      </c>
      <c r="T985" s="1">
        <f t="shared" si="506"/>
        <v>0</v>
      </c>
      <c r="U985" s="1">
        <f t="shared" si="507"/>
        <v>527.99999999996999</v>
      </c>
      <c r="V985" s="1">
        <f t="shared" si="508"/>
        <v>0</v>
      </c>
    </row>
    <row r="986" spans="1:22" x14ac:dyDescent="0.25">
      <c r="A986" s="1">
        <v>985</v>
      </c>
      <c r="B986" s="4">
        <v>7500</v>
      </c>
      <c r="C986" s="4">
        <v>153.1</v>
      </c>
      <c r="D986" s="4">
        <v>153.4</v>
      </c>
      <c r="E986" s="4">
        <f t="shared" si="500"/>
        <v>0.30000000000001137</v>
      </c>
      <c r="F986" s="4">
        <v>0</v>
      </c>
      <c r="G986" s="4">
        <v>-0.69</v>
      </c>
      <c r="H986" s="4">
        <v>79</v>
      </c>
      <c r="I986" s="4"/>
      <c r="J986" s="4">
        <v>50</v>
      </c>
      <c r="K986" s="2"/>
      <c r="M986" s="4">
        <f t="shared" si="501"/>
        <v>153.4</v>
      </c>
      <c r="N986" s="4"/>
      <c r="O986" s="1">
        <f t="shared" si="502"/>
        <v>153.1</v>
      </c>
      <c r="P986" s="1">
        <f t="shared" si="503"/>
        <v>0</v>
      </c>
      <c r="Q986" s="1" t="str">
        <f t="shared" si="499"/>
        <v/>
      </c>
      <c r="R986" s="1" t="str">
        <f t="shared" si="504"/>
        <v/>
      </c>
      <c r="S986" s="1">
        <f t="shared" si="505"/>
        <v>631.37760000000401</v>
      </c>
      <c r="T986" s="1">
        <f t="shared" si="506"/>
        <v>-0.69</v>
      </c>
      <c r="U986" s="1">
        <f t="shared" si="507"/>
        <v>1584.00000000006</v>
      </c>
      <c r="V986" s="1">
        <f t="shared" si="508"/>
        <v>1092.9600000000414</v>
      </c>
    </row>
    <row r="987" spans="1:22" x14ac:dyDescent="0.25">
      <c r="A987" s="1">
        <v>986</v>
      </c>
      <c r="B987" s="4">
        <v>7500</v>
      </c>
      <c r="C987" s="4">
        <v>153.4</v>
      </c>
      <c r="D987" s="4">
        <v>153.5</v>
      </c>
      <c r="E987" s="4">
        <f t="shared" si="500"/>
        <v>9.9999999999994316E-2</v>
      </c>
      <c r="F987" s="4">
        <v>0</v>
      </c>
      <c r="G987" s="4">
        <v>-0.66</v>
      </c>
      <c r="H987" s="4">
        <v>79</v>
      </c>
      <c r="I987" s="4"/>
      <c r="J987" s="4">
        <v>50</v>
      </c>
      <c r="K987" s="2"/>
      <c r="M987" s="4">
        <f t="shared" si="501"/>
        <v>153.5</v>
      </c>
      <c r="N987" s="4"/>
      <c r="O987" s="1">
        <f t="shared" si="502"/>
        <v>153.4</v>
      </c>
      <c r="P987" s="1">
        <f t="shared" si="503"/>
        <v>0</v>
      </c>
      <c r="Q987" s="1" t="str">
        <f t="shared" si="499"/>
        <v/>
      </c>
      <c r="R987" s="1" t="str">
        <f t="shared" si="504"/>
        <v/>
      </c>
      <c r="S987" s="1">
        <f t="shared" si="505"/>
        <v>620.44800000000362</v>
      </c>
      <c r="T987" s="1">
        <f t="shared" si="506"/>
        <v>-0.66</v>
      </c>
      <c r="U987" s="1">
        <f t="shared" si="507"/>
        <v>527.99999999996999</v>
      </c>
      <c r="V987" s="1">
        <f t="shared" si="508"/>
        <v>348.47999999998018</v>
      </c>
    </row>
    <row r="988" spans="1:22" x14ac:dyDescent="0.25">
      <c r="A988" s="1">
        <v>987</v>
      </c>
      <c r="B988" s="4">
        <v>7500</v>
      </c>
      <c r="C988" s="4">
        <v>153.5</v>
      </c>
      <c r="D988" s="4">
        <v>153.6</v>
      </c>
      <c r="E988" s="4">
        <f t="shared" si="500"/>
        <v>9.9999999999994316E-2</v>
      </c>
      <c r="F988" s="4">
        <v>0</v>
      </c>
      <c r="G988" s="4">
        <v>-0.73</v>
      </c>
      <c r="H988" s="4">
        <v>79</v>
      </c>
      <c r="I988" s="4"/>
      <c r="J988" s="4">
        <v>50</v>
      </c>
      <c r="K988" s="2"/>
      <c r="M988" s="4">
        <f t="shared" si="501"/>
        <v>153.6</v>
      </c>
      <c r="N988" s="4"/>
      <c r="O988" s="1">
        <f t="shared" si="502"/>
        <v>153.5</v>
      </c>
      <c r="P988" s="1">
        <f t="shared" si="503"/>
        <v>0</v>
      </c>
      <c r="Q988" s="1" t="str">
        <f t="shared" si="499"/>
        <v/>
      </c>
      <c r="R988" s="1" t="str">
        <f t="shared" si="504"/>
        <v/>
      </c>
      <c r="S988" s="1">
        <f t="shared" si="505"/>
        <v>616.96320000000378</v>
      </c>
      <c r="T988" s="1">
        <f t="shared" si="506"/>
        <v>-0.73</v>
      </c>
      <c r="U988" s="1">
        <f t="shared" si="507"/>
        <v>527.99999999996999</v>
      </c>
      <c r="V988" s="1">
        <f t="shared" si="508"/>
        <v>385.43999999997806</v>
      </c>
    </row>
    <row r="989" spans="1:22" x14ac:dyDescent="0.25">
      <c r="A989" s="1">
        <v>988</v>
      </c>
      <c r="B989" s="4">
        <v>7500</v>
      </c>
      <c r="C989" s="4">
        <v>153.6</v>
      </c>
      <c r="D989" s="4">
        <v>153.69999999999999</v>
      </c>
      <c r="E989" s="4">
        <f t="shared" si="500"/>
        <v>9.9999999999994316E-2</v>
      </c>
      <c r="F989" s="4">
        <v>0.6</v>
      </c>
      <c r="G989" s="4">
        <v>-0.73</v>
      </c>
      <c r="H989" s="4">
        <v>79</v>
      </c>
      <c r="I989" s="4"/>
      <c r="J989" s="4">
        <v>50</v>
      </c>
      <c r="K989" s="2"/>
      <c r="M989" s="4">
        <f t="shared" si="501"/>
        <v>153.69999999999999</v>
      </c>
      <c r="N989" s="4"/>
      <c r="O989" s="1">
        <f t="shared" si="502"/>
        <v>153.6</v>
      </c>
      <c r="P989" s="1">
        <f t="shared" si="503"/>
        <v>3.1679999999998194</v>
      </c>
      <c r="Q989" s="1" t="str">
        <f t="shared" si="499"/>
        <v/>
      </c>
      <c r="R989" s="1" t="str">
        <f t="shared" si="504"/>
        <v/>
      </c>
      <c r="S989" s="1">
        <f t="shared" si="505"/>
        <v>613.10880000000395</v>
      </c>
      <c r="T989" s="1">
        <f t="shared" si="506"/>
        <v>-0.73</v>
      </c>
      <c r="U989" s="1">
        <f t="shared" si="507"/>
        <v>527.99999999996999</v>
      </c>
      <c r="V989" s="1">
        <f t="shared" si="508"/>
        <v>385.43999999997806</v>
      </c>
    </row>
    <row r="990" spans="1:22" x14ac:dyDescent="0.25">
      <c r="A990" s="1">
        <v>989</v>
      </c>
      <c r="B990" s="4">
        <v>7500</v>
      </c>
      <c r="C990" s="4">
        <v>153.69999999999999</v>
      </c>
      <c r="D990" s="4">
        <v>153.79999999999998</v>
      </c>
      <c r="E990" s="4">
        <f t="shared" si="500"/>
        <v>9.9999999999994316E-2</v>
      </c>
      <c r="F990" s="4">
        <v>0.6</v>
      </c>
      <c r="G990" s="4">
        <v>-0.78</v>
      </c>
      <c r="H990" s="4">
        <v>79</v>
      </c>
      <c r="I990" s="4"/>
      <c r="J990" s="4">
        <v>50</v>
      </c>
      <c r="K990" s="2"/>
      <c r="M990" s="4">
        <f t="shared" si="501"/>
        <v>153.79999999999998</v>
      </c>
      <c r="N990" s="4"/>
      <c r="O990" s="1">
        <f t="shared" si="502"/>
        <v>153.69999999999999</v>
      </c>
      <c r="P990" s="1">
        <f t="shared" si="503"/>
        <v>3.1679999999998194</v>
      </c>
      <c r="Q990" s="1" t="str">
        <f t="shared" si="499"/>
        <v/>
      </c>
      <c r="R990" s="1" t="str">
        <f t="shared" si="504"/>
        <v/>
      </c>
      <c r="S990" s="1">
        <f t="shared" si="505"/>
        <v>609.25440000000413</v>
      </c>
      <c r="T990" s="1">
        <f t="shared" si="506"/>
        <v>-0.78</v>
      </c>
      <c r="U990" s="1">
        <f t="shared" si="507"/>
        <v>527.99999999996999</v>
      </c>
      <c r="V990" s="1">
        <f t="shared" si="508"/>
        <v>411.83999999997661</v>
      </c>
    </row>
    <row r="991" spans="1:22" x14ac:dyDescent="0.25">
      <c r="A991" s="1">
        <v>990</v>
      </c>
      <c r="B991" s="4">
        <v>7500</v>
      </c>
      <c r="C991" s="4">
        <v>153.79999999999998</v>
      </c>
      <c r="D991" s="4">
        <v>153.9</v>
      </c>
      <c r="E991" s="4">
        <f t="shared" si="500"/>
        <v>0.10000000000002274</v>
      </c>
      <c r="F991" s="4">
        <v>0.8</v>
      </c>
      <c r="G991" s="4">
        <v>-0.87</v>
      </c>
      <c r="H991" s="4">
        <v>79</v>
      </c>
      <c r="I991" s="4"/>
      <c r="J991" s="4">
        <v>50</v>
      </c>
      <c r="K991" s="2"/>
      <c r="M991" s="4">
        <f t="shared" si="501"/>
        <v>153.9</v>
      </c>
      <c r="N991" s="4"/>
      <c r="O991" s="1">
        <f t="shared" si="502"/>
        <v>153.79999999999998</v>
      </c>
      <c r="P991" s="1">
        <f t="shared" si="503"/>
        <v>4.2240000000009603</v>
      </c>
      <c r="Q991" s="1" t="str">
        <f t="shared" si="499"/>
        <v/>
      </c>
      <c r="R991" s="1" t="str">
        <f t="shared" si="504"/>
        <v/>
      </c>
      <c r="S991" s="1">
        <f t="shared" si="505"/>
        <v>605.1360000000044</v>
      </c>
      <c r="T991" s="1">
        <f t="shared" si="506"/>
        <v>-0.87</v>
      </c>
      <c r="U991" s="1">
        <f t="shared" si="507"/>
        <v>528.00000000012005</v>
      </c>
      <c r="V991" s="1">
        <f t="shared" si="508"/>
        <v>459.36000000010444</v>
      </c>
    </row>
    <row r="992" spans="1:22" x14ac:dyDescent="0.25">
      <c r="A992" s="1">
        <v>991</v>
      </c>
      <c r="B992" s="4">
        <v>7500</v>
      </c>
      <c r="C992" s="4">
        <v>153.9</v>
      </c>
      <c r="D992" s="4">
        <v>154</v>
      </c>
      <c r="E992" s="4">
        <f t="shared" si="500"/>
        <v>9.9999999999994316E-2</v>
      </c>
      <c r="F992" s="4">
        <v>1</v>
      </c>
      <c r="G992" s="4">
        <v>-0.92</v>
      </c>
      <c r="H992" s="4">
        <v>79</v>
      </c>
      <c r="I992" s="4"/>
      <c r="J992" s="4">
        <v>50</v>
      </c>
      <c r="K992" s="2"/>
      <c r="M992" s="4">
        <f t="shared" si="501"/>
        <v>154</v>
      </c>
      <c r="N992" s="4"/>
      <c r="O992" s="1">
        <f t="shared" si="502"/>
        <v>153.9</v>
      </c>
      <c r="P992" s="1">
        <f t="shared" si="503"/>
        <v>5.2799999999996992</v>
      </c>
      <c r="Q992" s="1" t="str">
        <f t="shared" si="499"/>
        <v/>
      </c>
      <c r="R992" s="1" t="str">
        <f t="shared" si="504"/>
        <v/>
      </c>
      <c r="S992" s="1">
        <f t="shared" si="505"/>
        <v>600.54240000000334</v>
      </c>
      <c r="T992" s="1">
        <f t="shared" si="506"/>
        <v>-0.92</v>
      </c>
      <c r="U992" s="1">
        <f t="shared" si="507"/>
        <v>527.99999999996999</v>
      </c>
      <c r="V992" s="1">
        <f t="shared" si="508"/>
        <v>485.75999999997242</v>
      </c>
    </row>
    <row r="993" spans="1:22" x14ac:dyDescent="0.25">
      <c r="A993" s="1">
        <v>992</v>
      </c>
      <c r="B993" s="4">
        <v>7500</v>
      </c>
      <c r="C993" s="4">
        <v>154</v>
      </c>
      <c r="D993" s="4">
        <v>154.1</v>
      </c>
      <c r="E993" s="4">
        <f t="shared" si="500"/>
        <v>9.9999999999994316E-2</v>
      </c>
      <c r="F993" s="4">
        <v>0</v>
      </c>
      <c r="G993" s="4">
        <v>-0.82</v>
      </c>
      <c r="H993" s="4">
        <v>79</v>
      </c>
      <c r="I993" s="4"/>
      <c r="J993" s="4">
        <v>50</v>
      </c>
      <c r="K993" s="2"/>
      <c r="M993" s="4">
        <f t="shared" si="501"/>
        <v>154.1</v>
      </c>
      <c r="N993" s="4"/>
      <c r="O993" s="1">
        <f t="shared" si="502"/>
        <v>154</v>
      </c>
      <c r="P993" s="1">
        <f t="shared" si="503"/>
        <v>0</v>
      </c>
      <c r="Q993" s="1" t="str">
        <f t="shared" si="499"/>
        <v/>
      </c>
      <c r="R993" s="1" t="str">
        <f t="shared" si="504"/>
        <v/>
      </c>
      <c r="S993" s="1">
        <f t="shared" si="505"/>
        <v>595.68480000000363</v>
      </c>
      <c r="T993" s="1">
        <f t="shared" si="506"/>
        <v>-0.82</v>
      </c>
      <c r="U993" s="1">
        <f t="shared" si="507"/>
        <v>527.99999999996999</v>
      </c>
      <c r="V993" s="1">
        <f t="shared" si="508"/>
        <v>432.95999999997537</v>
      </c>
    </row>
    <row r="994" spans="1:22" x14ac:dyDescent="0.25">
      <c r="A994" s="1">
        <v>993</v>
      </c>
      <c r="B994" s="4">
        <v>7500</v>
      </c>
      <c r="C994" s="4">
        <v>154.1</v>
      </c>
      <c r="D994" s="4">
        <v>154.4</v>
      </c>
      <c r="E994" s="4">
        <f t="shared" si="500"/>
        <v>0.30000000000001137</v>
      </c>
      <c r="F994" s="4">
        <v>0</v>
      </c>
      <c r="G994" s="4">
        <v>-0.79</v>
      </c>
      <c r="H994" s="4">
        <v>79</v>
      </c>
      <c r="I994" s="4"/>
      <c r="J994" s="4">
        <v>50</v>
      </c>
      <c r="K994" s="2"/>
      <c r="M994" s="4">
        <f t="shared" si="501"/>
        <v>154.4</v>
      </c>
      <c r="N994" s="4"/>
      <c r="O994" s="1">
        <f t="shared" si="502"/>
        <v>154.1</v>
      </c>
      <c r="P994" s="1">
        <f t="shared" si="503"/>
        <v>0</v>
      </c>
      <c r="Q994" s="1" t="str">
        <f t="shared" si="499"/>
        <v/>
      </c>
      <c r="R994" s="1" t="str">
        <f t="shared" si="504"/>
        <v/>
      </c>
      <c r="S994" s="1">
        <f t="shared" si="505"/>
        <v>591.35520000000383</v>
      </c>
      <c r="T994" s="1">
        <f t="shared" si="506"/>
        <v>-0.79</v>
      </c>
      <c r="U994" s="1">
        <f t="shared" si="507"/>
        <v>1584.00000000006</v>
      </c>
      <c r="V994" s="1">
        <f t="shared" si="508"/>
        <v>1251.3600000000474</v>
      </c>
    </row>
    <row r="995" spans="1:22" x14ac:dyDescent="0.25">
      <c r="A995" s="1">
        <v>994</v>
      </c>
      <c r="B995" s="4">
        <v>7500</v>
      </c>
      <c r="C995" s="4">
        <v>154.4</v>
      </c>
      <c r="D995" s="4">
        <v>154.5</v>
      </c>
      <c r="E995" s="4">
        <f t="shared" si="500"/>
        <v>9.9999999999994316E-2</v>
      </c>
      <c r="F995" s="4">
        <v>1</v>
      </c>
      <c r="G995" s="4">
        <v>-0.56000000000000005</v>
      </c>
      <c r="H995" s="4">
        <v>79</v>
      </c>
      <c r="I995" s="4"/>
      <c r="J995" s="4">
        <v>50</v>
      </c>
      <c r="K995" s="2"/>
      <c r="M995" s="4">
        <f t="shared" si="501"/>
        <v>154.5</v>
      </c>
      <c r="N995" s="4"/>
      <c r="O995" s="1">
        <f t="shared" si="502"/>
        <v>154.4</v>
      </c>
      <c r="P995" s="1">
        <f t="shared" si="503"/>
        <v>5.2799999999996992</v>
      </c>
      <c r="Q995" s="1" t="str">
        <f t="shared" si="499"/>
        <v/>
      </c>
      <c r="R995" s="1" t="str">
        <f t="shared" si="504"/>
        <v/>
      </c>
      <c r="S995" s="1">
        <f t="shared" si="505"/>
        <v>578.84160000000338</v>
      </c>
      <c r="T995" s="1">
        <f t="shared" si="506"/>
        <v>-0.56000000000000005</v>
      </c>
      <c r="U995" s="1">
        <f t="shared" si="507"/>
        <v>527.99999999996999</v>
      </c>
      <c r="V995" s="1">
        <f t="shared" si="508"/>
        <v>295.67999999998324</v>
      </c>
    </row>
    <row r="996" spans="1:22" x14ac:dyDescent="0.25">
      <c r="A996" s="1">
        <v>995</v>
      </c>
      <c r="B996" s="4">
        <v>7500</v>
      </c>
      <c r="C996" s="4">
        <v>154.5</v>
      </c>
      <c r="D996" s="4">
        <v>154.6</v>
      </c>
      <c r="E996" s="4">
        <f t="shared" si="500"/>
        <v>9.9999999999994316E-2</v>
      </c>
      <c r="F996" s="4">
        <v>1</v>
      </c>
      <c r="G996" s="4">
        <v>-0.56000000000000005</v>
      </c>
      <c r="H996" s="4">
        <v>79</v>
      </c>
      <c r="I996" s="4"/>
      <c r="J996" s="4">
        <v>50</v>
      </c>
      <c r="K996" s="2"/>
      <c r="M996" s="4">
        <f t="shared" si="501"/>
        <v>154.6</v>
      </c>
      <c r="N996" s="4"/>
      <c r="O996" s="1">
        <f t="shared" si="502"/>
        <v>154.5</v>
      </c>
      <c r="P996" s="1">
        <f t="shared" si="503"/>
        <v>5.2799999999996992</v>
      </c>
      <c r="Q996" s="1" t="str">
        <f t="shared" si="499"/>
        <v/>
      </c>
      <c r="R996" s="1" t="str">
        <f t="shared" si="504"/>
        <v/>
      </c>
      <c r="S996" s="1">
        <f t="shared" si="505"/>
        <v>575.88480000000357</v>
      </c>
      <c r="T996" s="1">
        <f t="shared" si="506"/>
        <v>-0.56000000000000005</v>
      </c>
      <c r="U996" s="1">
        <f t="shared" si="507"/>
        <v>527.99999999996999</v>
      </c>
      <c r="V996" s="1">
        <f t="shared" si="508"/>
        <v>295.67999999998324</v>
      </c>
    </row>
    <row r="997" spans="1:22" x14ac:dyDescent="0.25">
      <c r="A997" s="1">
        <v>996</v>
      </c>
      <c r="B997" s="4">
        <v>7500</v>
      </c>
      <c r="C997" s="4">
        <v>154.6</v>
      </c>
      <c r="D997" s="4">
        <v>154.69999999999999</v>
      </c>
      <c r="E997" s="4">
        <f t="shared" si="500"/>
        <v>9.9999999999994316E-2</v>
      </c>
      <c r="F997" s="4">
        <v>0.7</v>
      </c>
      <c r="G997" s="4">
        <v>-0.22</v>
      </c>
      <c r="H997" s="4">
        <v>79</v>
      </c>
      <c r="I997" s="4"/>
      <c r="J997" s="4">
        <v>50</v>
      </c>
      <c r="K997" s="2"/>
      <c r="M997" s="4">
        <f t="shared" si="501"/>
        <v>154.69999999999999</v>
      </c>
      <c r="N997" s="4"/>
      <c r="O997" s="1">
        <f t="shared" si="502"/>
        <v>154.6</v>
      </c>
      <c r="P997" s="1">
        <f t="shared" si="503"/>
        <v>3.6959999999997892</v>
      </c>
      <c r="Q997" s="1" t="str">
        <f t="shared" si="499"/>
        <v/>
      </c>
      <c r="R997" s="1" t="str">
        <f t="shared" si="504"/>
        <v/>
      </c>
      <c r="S997" s="1">
        <f t="shared" si="505"/>
        <v>572.92800000000375</v>
      </c>
      <c r="T997" s="1">
        <f t="shared" si="506"/>
        <v>-0.22</v>
      </c>
      <c r="U997" s="1">
        <f t="shared" si="507"/>
        <v>527.99999999996999</v>
      </c>
      <c r="V997" s="1">
        <f t="shared" si="508"/>
        <v>116.1599999999934</v>
      </c>
    </row>
    <row r="998" spans="1:22" x14ac:dyDescent="0.25">
      <c r="A998" s="1">
        <v>997</v>
      </c>
      <c r="B998" s="4">
        <v>7500</v>
      </c>
      <c r="C998" s="4">
        <v>154.69999999999999</v>
      </c>
      <c r="D998" s="4">
        <v>154.9</v>
      </c>
      <c r="E998" s="4">
        <f t="shared" si="500"/>
        <v>0.20000000000001705</v>
      </c>
      <c r="F998" s="4">
        <v>0.6</v>
      </c>
      <c r="G998" s="4">
        <v>0</v>
      </c>
      <c r="H998" s="4">
        <v>79</v>
      </c>
      <c r="I998" s="4"/>
      <c r="J998" s="4">
        <v>50</v>
      </c>
      <c r="K998" s="2"/>
      <c r="M998" s="4">
        <f t="shared" si="501"/>
        <v>154.9</v>
      </c>
      <c r="N998" s="4"/>
      <c r="O998" s="1">
        <f t="shared" si="502"/>
        <v>154.69999999999999</v>
      </c>
      <c r="P998" s="1">
        <f t="shared" si="503"/>
        <v>6.3360000000005394</v>
      </c>
      <c r="Q998" s="1" t="str">
        <f t="shared" si="499"/>
        <v/>
      </c>
      <c r="R998" s="1" t="str">
        <f t="shared" si="504"/>
        <v/>
      </c>
      <c r="S998" s="1">
        <f t="shared" si="505"/>
        <v>571.76640000000384</v>
      </c>
      <c r="T998" s="1">
        <f t="shared" si="506"/>
        <v>0</v>
      </c>
      <c r="U998" s="1">
        <f t="shared" si="507"/>
        <v>1056.00000000009</v>
      </c>
      <c r="V998" s="1">
        <f t="shared" si="508"/>
        <v>0</v>
      </c>
    </row>
    <row r="999" spans="1:22" x14ac:dyDescent="0.25">
      <c r="A999" s="1">
        <v>998</v>
      </c>
      <c r="B999" s="4">
        <v>7500</v>
      </c>
      <c r="C999" s="4">
        <v>154.9</v>
      </c>
      <c r="D999" s="4">
        <v>155</v>
      </c>
      <c r="E999" s="4">
        <f t="shared" si="500"/>
        <v>9.9999999999994316E-2</v>
      </c>
      <c r="F999" s="4">
        <v>1</v>
      </c>
      <c r="G999" s="4">
        <v>0.4</v>
      </c>
      <c r="H999" s="4">
        <v>79</v>
      </c>
      <c r="I999" s="4"/>
      <c r="J999" s="4">
        <v>50</v>
      </c>
      <c r="K999" s="2"/>
      <c r="M999" s="4">
        <f t="shared" si="501"/>
        <v>155</v>
      </c>
      <c r="N999" s="4"/>
      <c r="O999" s="1">
        <f t="shared" si="502"/>
        <v>154.9</v>
      </c>
      <c r="P999" s="1">
        <f t="shared" si="503"/>
        <v>5.2799999999996992</v>
      </c>
      <c r="Q999" s="1" t="str">
        <f t="shared" si="499"/>
        <v/>
      </c>
      <c r="R999" s="1" t="str">
        <f t="shared" si="504"/>
        <v/>
      </c>
      <c r="S999" s="1">
        <f t="shared" si="505"/>
        <v>571.76640000000384</v>
      </c>
      <c r="T999" s="1">
        <f t="shared" si="506"/>
        <v>0.4</v>
      </c>
      <c r="U999" s="1">
        <f t="shared" si="507"/>
        <v>527.99999999996999</v>
      </c>
      <c r="V999" s="1">
        <f t="shared" si="508"/>
        <v>211.19999999998799</v>
      </c>
    </row>
    <row r="1000" spans="1:22" x14ac:dyDescent="0.25">
      <c r="A1000" s="1">
        <v>999</v>
      </c>
      <c r="B1000" s="4">
        <v>7500</v>
      </c>
      <c r="C1000" s="4">
        <v>155</v>
      </c>
      <c r="D1000" s="4">
        <v>155.1</v>
      </c>
      <c r="E1000" s="4">
        <f t="shared" si="500"/>
        <v>9.9999999999994316E-2</v>
      </c>
      <c r="F1000" s="4">
        <v>0</v>
      </c>
      <c r="G1000" s="4">
        <v>0.41</v>
      </c>
      <c r="H1000" s="4">
        <v>79</v>
      </c>
      <c r="I1000" s="4"/>
      <c r="J1000" s="4">
        <v>50</v>
      </c>
      <c r="K1000" s="2"/>
      <c r="M1000" s="4">
        <f t="shared" si="501"/>
        <v>155.1</v>
      </c>
      <c r="N1000" s="4"/>
      <c r="O1000" s="1">
        <f t="shared" si="502"/>
        <v>155</v>
      </c>
      <c r="P1000" s="1">
        <f t="shared" si="503"/>
        <v>0</v>
      </c>
      <c r="Q1000" s="1" t="str">
        <f t="shared" si="499"/>
        <v/>
      </c>
      <c r="R1000" s="1" t="str">
        <f t="shared" si="504"/>
        <v/>
      </c>
      <c r="S1000" s="1">
        <f t="shared" si="505"/>
        <v>573.87840000000369</v>
      </c>
      <c r="T1000" s="1">
        <f t="shared" si="506"/>
        <v>0.41</v>
      </c>
      <c r="U1000" s="1">
        <f t="shared" si="507"/>
        <v>527.99999999996999</v>
      </c>
      <c r="V1000" s="1">
        <f t="shared" si="508"/>
        <v>216.47999999998768</v>
      </c>
    </row>
    <row r="1001" spans="1:22" x14ac:dyDescent="0.25">
      <c r="A1001" s="1">
        <v>1000</v>
      </c>
      <c r="B1001" s="4">
        <v>7500</v>
      </c>
      <c r="C1001" s="4">
        <v>155.1</v>
      </c>
      <c r="D1001" s="4">
        <v>155.19999999999999</v>
      </c>
      <c r="E1001" s="4">
        <f t="shared" si="500"/>
        <v>9.9999999999994316E-2</v>
      </c>
      <c r="F1001" s="4">
        <v>0</v>
      </c>
      <c r="G1001" s="4">
        <v>0.51</v>
      </c>
      <c r="H1001" s="4">
        <v>79</v>
      </c>
      <c r="I1001" s="4"/>
      <c r="J1001" s="4">
        <v>50</v>
      </c>
      <c r="K1001" s="2"/>
      <c r="M1001" s="4">
        <f t="shared" si="501"/>
        <v>155.19999999999999</v>
      </c>
      <c r="N1001" s="4"/>
      <c r="O1001" s="1">
        <f t="shared" si="502"/>
        <v>155.1</v>
      </c>
      <c r="P1001" s="1">
        <f t="shared" si="503"/>
        <v>0</v>
      </c>
      <c r="Q1001" s="1" t="str">
        <f t="shared" si="499"/>
        <v/>
      </c>
      <c r="R1001" s="1" t="str">
        <f t="shared" si="504"/>
        <v/>
      </c>
      <c r="S1001" s="1">
        <f t="shared" si="505"/>
        <v>576.04320000000359</v>
      </c>
      <c r="T1001" s="1">
        <f t="shared" si="506"/>
        <v>0.51</v>
      </c>
      <c r="U1001" s="1">
        <f t="shared" si="507"/>
        <v>527.99999999996999</v>
      </c>
      <c r="V1001" s="1">
        <f t="shared" si="508"/>
        <v>269.27999999998468</v>
      </c>
    </row>
    <row r="1002" spans="1:22" x14ac:dyDescent="0.25">
      <c r="A1002" s="1">
        <v>1001</v>
      </c>
      <c r="B1002" s="4">
        <v>7500</v>
      </c>
      <c r="C1002" s="4">
        <v>155.19999999999999</v>
      </c>
      <c r="D1002" s="4">
        <v>155.29999999999998</v>
      </c>
      <c r="E1002" s="4">
        <f t="shared" si="500"/>
        <v>9.9999999999994316E-2</v>
      </c>
      <c r="F1002" s="4">
        <v>1</v>
      </c>
      <c r="G1002" s="4">
        <v>0.71</v>
      </c>
      <c r="H1002" s="4">
        <v>79</v>
      </c>
      <c r="I1002" s="4"/>
      <c r="J1002" s="4">
        <v>50</v>
      </c>
      <c r="K1002" s="2"/>
      <c r="M1002" s="4">
        <f t="shared" si="501"/>
        <v>155.29999999999998</v>
      </c>
      <c r="N1002" s="4"/>
      <c r="O1002" s="1">
        <f t="shared" si="502"/>
        <v>155.19999999999999</v>
      </c>
      <c r="P1002" s="1">
        <f t="shared" si="503"/>
        <v>5.2799999999996992</v>
      </c>
      <c r="Q1002" s="1" t="str">
        <f t="shared" si="499"/>
        <v/>
      </c>
      <c r="R1002" s="1" t="str">
        <f t="shared" si="504"/>
        <v/>
      </c>
      <c r="S1002" s="1">
        <f t="shared" si="505"/>
        <v>578.7360000000034</v>
      </c>
      <c r="T1002" s="1">
        <f t="shared" si="506"/>
        <v>0.71</v>
      </c>
      <c r="U1002" s="1">
        <f t="shared" si="507"/>
        <v>527.99999999996999</v>
      </c>
      <c r="V1002" s="1">
        <f t="shared" si="508"/>
        <v>374.87999999997868</v>
      </c>
    </row>
    <row r="1003" spans="1:22" x14ac:dyDescent="0.25">
      <c r="A1003" s="1">
        <v>1002</v>
      </c>
      <c r="B1003" s="4">
        <v>7500</v>
      </c>
      <c r="C1003" s="4">
        <v>155.29999999999998</v>
      </c>
      <c r="D1003" s="4">
        <v>155.4</v>
      </c>
      <c r="E1003" s="4">
        <f t="shared" si="500"/>
        <v>0.10000000000002274</v>
      </c>
      <c r="F1003" s="4">
        <v>0.6</v>
      </c>
      <c r="G1003" s="4">
        <v>0.81</v>
      </c>
      <c r="H1003" s="4">
        <v>79</v>
      </c>
      <c r="I1003" s="4"/>
      <c r="J1003" s="4">
        <v>50</v>
      </c>
      <c r="K1003" s="2"/>
      <c r="M1003" s="4">
        <f t="shared" si="501"/>
        <v>155.4</v>
      </c>
      <c r="N1003" s="4"/>
      <c r="O1003" s="1">
        <f t="shared" si="502"/>
        <v>155.29999999999998</v>
      </c>
      <c r="P1003" s="1">
        <f t="shared" si="503"/>
        <v>3.16800000000072</v>
      </c>
      <c r="Q1003" s="1" t="str">
        <f t="shared" si="499"/>
        <v/>
      </c>
      <c r="R1003" s="1" t="str">
        <f t="shared" si="504"/>
        <v/>
      </c>
      <c r="S1003" s="1">
        <f t="shared" si="505"/>
        <v>582.48480000000313</v>
      </c>
      <c r="T1003" s="1">
        <f t="shared" si="506"/>
        <v>0.81</v>
      </c>
      <c r="U1003" s="1">
        <f t="shared" si="507"/>
        <v>528.00000000012005</v>
      </c>
      <c r="V1003" s="1">
        <f t="shared" si="508"/>
        <v>427.68000000009727</v>
      </c>
    </row>
    <row r="1004" spans="1:22" x14ac:dyDescent="0.25">
      <c r="A1004" s="1">
        <v>1003</v>
      </c>
      <c r="B1004" s="4">
        <v>7500</v>
      </c>
      <c r="C1004" s="4">
        <v>155.4</v>
      </c>
      <c r="D1004" s="4">
        <v>155.5</v>
      </c>
      <c r="E1004" s="4">
        <f t="shared" si="500"/>
        <v>9.9999999999994316E-2</v>
      </c>
      <c r="F1004" s="4">
        <v>0.7</v>
      </c>
      <c r="G1004" s="4">
        <v>0.8</v>
      </c>
      <c r="H1004" s="4">
        <v>79</v>
      </c>
      <c r="I1004" s="4"/>
      <c r="J1004" s="4">
        <v>50</v>
      </c>
      <c r="K1004" s="2"/>
      <c r="M1004" s="4">
        <f t="shared" si="501"/>
        <v>155.5</v>
      </c>
      <c r="N1004" s="4"/>
      <c r="O1004" s="1">
        <f t="shared" si="502"/>
        <v>155.4</v>
      </c>
      <c r="P1004" s="1">
        <f t="shared" si="503"/>
        <v>3.6959999999997892</v>
      </c>
      <c r="Q1004" s="1" t="str">
        <f t="shared" si="499"/>
        <v/>
      </c>
      <c r="R1004" s="1" t="str">
        <f t="shared" si="504"/>
        <v/>
      </c>
      <c r="S1004" s="1">
        <f t="shared" si="505"/>
        <v>586.76160000000414</v>
      </c>
      <c r="T1004" s="1">
        <f t="shared" si="506"/>
        <v>0.8</v>
      </c>
      <c r="U1004" s="1">
        <f t="shared" si="507"/>
        <v>527.99999999996999</v>
      </c>
      <c r="V1004" s="1">
        <f t="shared" si="508"/>
        <v>422.39999999997599</v>
      </c>
    </row>
    <row r="1005" spans="1:22" x14ac:dyDescent="0.25">
      <c r="A1005" s="1">
        <v>1004</v>
      </c>
      <c r="B1005" s="4">
        <v>7500</v>
      </c>
      <c r="C1005" s="4">
        <v>155.5</v>
      </c>
      <c r="D1005" s="4">
        <v>155.6</v>
      </c>
      <c r="E1005" s="4">
        <f t="shared" si="500"/>
        <v>9.9999999999994316E-2</v>
      </c>
      <c r="F1005" s="4">
        <v>0.5</v>
      </c>
      <c r="G1005" s="4">
        <v>0.8</v>
      </c>
      <c r="H1005" s="4">
        <v>79</v>
      </c>
      <c r="I1005" s="4"/>
      <c r="J1005" s="4">
        <v>50</v>
      </c>
      <c r="K1005" s="2"/>
      <c r="M1005" s="4">
        <f t="shared" si="501"/>
        <v>155.6</v>
      </c>
      <c r="N1005" s="4"/>
      <c r="O1005" s="1">
        <f t="shared" si="502"/>
        <v>155.5</v>
      </c>
      <c r="P1005" s="1">
        <f t="shared" si="503"/>
        <v>2.6399999999998496</v>
      </c>
      <c r="Q1005" s="1" t="str">
        <f t="shared" si="499"/>
        <v/>
      </c>
      <c r="R1005" s="1" t="str">
        <f t="shared" si="504"/>
        <v/>
      </c>
      <c r="S1005" s="1">
        <f t="shared" si="505"/>
        <v>590.98560000000384</v>
      </c>
      <c r="T1005" s="1">
        <f t="shared" si="506"/>
        <v>0.8</v>
      </c>
      <c r="U1005" s="1">
        <f t="shared" si="507"/>
        <v>527.99999999996999</v>
      </c>
      <c r="V1005" s="1">
        <f t="shared" si="508"/>
        <v>422.39999999997599</v>
      </c>
    </row>
    <row r="1006" spans="1:22" x14ac:dyDescent="0.25">
      <c r="A1006" s="1">
        <v>1005</v>
      </c>
      <c r="B1006" s="4">
        <v>7500</v>
      </c>
      <c r="C1006" s="4">
        <v>155.6</v>
      </c>
      <c r="D1006" s="4">
        <v>155.69999999999999</v>
      </c>
      <c r="E1006" s="4">
        <f t="shared" si="500"/>
        <v>9.9999999999994316E-2</v>
      </c>
      <c r="F1006" s="4">
        <v>0.6</v>
      </c>
      <c r="G1006" s="4">
        <v>1</v>
      </c>
      <c r="H1006" s="4">
        <v>79</v>
      </c>
      <c r="I1006" s="4"/>
      <c r="J1006" s="4">
        <v>50</v>
      </c>
      <c r="K1006" s="2"/>
      <c r="M1006" s="4">
        <f t="shared" si="501"/>
        <v>155.69999999999999</v>
      </c>
      <c r="N1006" s="4"/>
      <c r="O1006" s="1">
        <f t="shared" si="502"/>
        <v>155.6</v>
      </c>
      <c r="P1006" s="1">
        <f t="shared" si="503"/>
        <v>3.1679999999998194</v>
      </c>
      <c r="Q1006" s="1" t="str">
        <f t="shared" si="499"/>
        <v/>
      </c>
      <c r="R1006" s="1" t="str">
        <f t="shared" si="504"/>
        <v/>
      </c>
      <c r="S1006" s="1">
        <f t="shared" si="505"/>
        <v>595.20960000000355</v>
      </c>
      <c r="T1006" s="1">
        <f t="shared" si="506"/>
        <v>1</v>
      </c>
      <c r="U1006" s="1">
        <f t="shared" si="507"/>
        <v>527.99999999996999</v>
      </c>
      <c r="V1006" s="1">
        <f t="shared" si="508"/>
        <v>527.99999999996999</v>
      </c>
    </row>
    <row r="1007" spans="1:22" x14ac:dyDescent="0.25">
      <c r="A1007" s="1">
        <v>1006</v>
      </c>
      <c r="B1007" s="4">
        <v>7500</v>
      </c>
      <c r="C1007" s="4">
        <v>155.69999999999999</v>
      </c>
      <c r="D1007" s="4">
        <v>155.79999999999998</v>
      </c>
      <c r="E1007" s="4">
        <f t="shared" si="500"/>
        <v>9.9999999999994316E-2</v>
      </c>
      <c r="F1007" s="4">
        <v>0.8</v>
      </c>
      <c r="G1007" s="4">
        <v>0.56000000000000005</v>
      </c>
      <c r="H1007" s="4">
        <v>79</v>
      </c>
      <c r="I1007" s="4"/>
      <c r="J1007" s="4">
        <v>50</v>
      </c>
      <c r="K1007" s="2"/>
      <c r="M1007" s="4">
        <f t="shared" si="501"/>
        <v>155.79999999999998</v>
      </c>
      <c r="N1007" s="4"/>
      <c r="O1007" s="1">
        <f t="shared" si="502"/>
        <v>155.69999999999999</v>
      </c>
      <c r="P1007" s="1">
        <f t="shared" si="503"/>
        <v>4.2239999999997604</v>
      </c>
      <c r="Q1007" s="1" t="str">
        <f t="shared" si="499"/>
        <v/>
      </c>
      <c r="R1007" s="1" t="str">
        <f t="shared" si="504"/>
        <v/>
      </c>
      <c r="S1007" s="1">
        <f t="shared" si="505"/>
        <v>600.48960000000329</v>
      </c>
      <c r="T1007" s="1">
        <f t="shared" si="506"/>
        <v>0.56000000000000005</v>
      </c>
      <c r="U1007" s="1">
        <f t="shared" si="507"/>
        <v>527.99999999996999</v>
      </c>
      <c r="V1007" s="1">
        <f t="shared" si="508"/>
        <v>295.67999999998324</v>
      </c>
    </row>
    <row r="1008" spans="1:22" x14ac:dyDescent="0.25">
      <c r="A1008" s="1">
        <v>1007</v>
      </c>
      <c r="B1008" s="4">
        <v>7500</v>
      </c>
      <c r="C1008" s="4">
        <v>155.79999999999998</v>
      </c>
      <c r="D1008" s="4">
        <v>155.9</v>
      </c>
      <c r="E1008" s="4">
        <f t="shared" si="500"/>
        <v>0.10000000000002274</v>
      </c>
      <c r="F1008" s="4">
        <v>0</v>
      </c>
      <c r="G1008" s="4">
        <v>0.56000000000000005</v>
      </c>
      <c r="H1008" s="4">
        <v>79</v>
      </c>
      <c r="I1008" s="4"/>
      <c r="J1008" s="4">
        <v>50</v>
      </c>
      <c r="K1008" s="2"/>
      <c r="M1008" s="4">
        <f t="shared" si="501"/>
        <v>155.9</v>
      </c>
      <c r="N1008" s="4"/>
      <c r="O1008" s="1">
        <f t="shared" si="502"/>
        <v>155.79999999999998</v>
      </c>
      <c r="P1008" s="1">
        <f t="shared" si="503"/>
        <v>0</v>
      </c>
      <c r="Q1008" s="1" t="str">
        <f t="shared" si="499"/>
        <v/>
      </c>
      <c r="R1008" s="1" t="str">
        <f t="shared" si="504"/>
        <v/>
      </c>
      <c r="S1008" s="1">
        <f t="shared" si="505"/>
        <v>603.44640000000311</v>
      </c>
      <c r="T1008" s="1">
        <f t="shared" si="506"/>
        <v>0.56000000000000005</v>
      </c>
      <c r="U1008" s="1">
        <f t="shared" si="507"/>
        <v>528.00000000012005</v>
      </c>
      <c r="V1008" s="1">
        <f t="shared" si="508"/>
        <v>295.68000000006725</v>
      </c>
    </row>
    <row r="1009" spans="1:22" x14ac:dyDescent="0.25">
      <c r="A1009" s="1">
        <v>1008</v>
      </c>
      <c r="B1009" s="4">
        <v>7500</v>
      </c>
      <c r="C1009" s="4">
        <v>155.9</v>
      </c>
      <c r="D1009" s="4">
        <v>156</v>
      </c>
      <c r="E1009" s="4">
        <f t="shared" si="500"/>
        <v>9.9999999999994316E-2</v>
      </c>
      <c r="F1009" s="4">
        <v>0</v>
      </c>
      <c r="G1009" s="4">
        <v>1.04</v>
      </c>
      <c r="H1009" s="4">
        <v>79</v>
      </c>
      <c r="I1009" s="4"/>
      <c r="J1009" s="4">
        <v>50</v>
      </c>
      <c r="K1009" s="2"/>
      <c r="M1009" s="4">
        <f t="shared" si="501"/>
        <v>156</v>
      </c>
      <c r="N1009" s="4"/>
      <c r="O1009" s="1">
        <f t="shared" si="502"/>
        <v>155.9</v>
      </c>
      <c r="P1009" s="1">
        <f t="shared" si="503"/>
        <v>0</v>
      </c>
      <c r="Q1009" s="1" t="str">
        <f t="shared" si="499"/>
        <v/>
      </c>
      <c r="R1009" s="1" t="str">
        <f t="shared" si="504"/>
        <v/>
      </c>
      <c r="S1009" s="1">
        <f t="shared" si="505"/>
        <v>606.40320000000384</v>
      </c>
      <c r="T1009" s="1">
        <f t="shared" si="506"/>
        <v>1.04</v>
      </c>
      <c r="U1009" s="1">
        <f t="shared" si="507"/>
        <v>527.99999999996999</v>
      </c>
      <c r="V1009" s="1">
        <f t="shared" si="508"/>
        <v>549.11999999996885</v>
      </c>
    </row>
    <row r="1010" spans="1:22" x14ac:dyDescent="0.25">
      <c r="A1010" s="1">
        <v>1009</v>
      </c>
      <c r="B1010" s="4">
        <v>7500</v>
      </c>
      <c r="C1010" s="4">
        <v>156</v>
      </c>
      <c r="D1010" s="4">
        <v>156.1</v>
      </c>
      <c r="E1010" s="4">
        <f t="shared" si="500"/>
        <v>9.9999999999994316E-2</v>
      </c>
      <c r="F1010" s="4">
        <v>0.8</v>
      </c>
      <c r="G1010" s="4">
        <v>0.82</v>
      </c>
      <c r="H1010" s="4">
        <v>79</v>
      </c>
      <c r="I1010" s="4"/>
      <c r="J1010" s="4">
        <v>50</v>
      </c>
      <c r="K1010" s="2"/>
      <c r="M1010" s="4">
        <f t="shared" si="501"/>
        <v>156.1</v>
      </c>
      <c r="N1010" s="4"/>
      <c r="O1010" s="1">
        <f t="shared" si="502"/>
        <v>156</v>
      </c>
      <c r="P1010" s="1">
        <f t="shared" si="503"/>
        <v>4.2239999999997604</v>
      </c>
      <c r="Q1010" s="1" t="str">
        <f t="shared" si="499"/>
        <v/>
      </c>
      <c r="R1010" s="1" t="str">
        <f t="shared" si="504"/>
        <v/>
      </c>
      <c r="S1010" s="1">
        <f t="shared" si="505"/>
        <v>611.89440000000354</v>
      </c>
      <c r="T1010" s="1">
        <f t="shared" si="506"/>
        <v>0.82</v>
      </c>
      <c r="U1010" s="1">
        <f t="shared" si="507"/>
        <v>527.99999999996999</v>
      </c>
      <c r="V1010" s="1">
        <f t="shared" si="508"/>
        <v>432.95999999997537</v>
      </c>
    </row>
    <row r="1011" spans="1:22" x14ac:dyDescent="0.25">
      <c r="A1011" s="1">
        <v>1010</v>
      </c>
      <c r="B1011" s="4">
        <v>7500</v>
      </c>
      <c r="C1011" s="4">
        <v>156.1</v>
      </c>
      <c r="D1011" s="4">
        <v>156.19999999999999</v>
      </c>
      <c r="E1011" s="4">
        <f t="shared" si="500"/>
        <v>9.9999999999994316E-2</v>
      </c>
      <c r="F1011" s="4">
        <v>0.8</v>
      </c>
      <c r="G1011" s="4">
        <v>0.14000000000000001</v>
      </c>
      <c r="H1011" s="4">
        <v>79</v>
      </c>
      <c r="I1011" s="4"/>
      <c r="J1011" s="4">
        <v>50</v>
      </c>
      <c r="K1011" s="2"/>
      <c r="M1011" s="4">
        <f t="shared" si="501"/>
        <v>156.19999999999999</v>
      </c>
      <c r="N1011" s="4"/>
      <c r="O1011" s="1">
        <f t="shared" si="502"/>
        <v>156.1</v>
      </c>
      <c r="P1011" s="1">
        <f t="shared" si="503"/>
        <v>4.2239999999997604</v>
      </c>
      <c r="Q1011" s="1" t="str">
        <f t="shared" si="499"/>
        <v/>
      </c>
      <c r="R1011" s="1" t="str">
        <f t="shared" si="504"/>
        <v/>
      </c>
      <c r="S1011" s="1">
        <f t="shared" si="505"/>
        <v>616.22400000000334</v>
      </c>
      <c r="T1011" s="1">
        <f t="shared" si="506"/>
        <v>0.14000000000000001</v>
      </c>
      <c r="U1011" s="1">
        <f t="shared" si="507"/>
        <v>527.99999999996999</v>
      </c>
      <c r="V1011" s="1">
        <f t="shared" si="508"/>
        <v>73.91999999999581</v>
      </c>
    </row>
    <row r="1012" spans="1:22" x14ac:dyDescent="0.25">
      <c r="A1012" s="1">
        <v>1011</v>
      </c>
      <c r="B1012" s="4">
        <v>7500</v>
      </c>
      <c r="C1012" s="4">
        <v>156.19999999999999</v>
      </c>
      <c r="D1012" s="4">
        <v>156.29999999999998</v>
      </c>
      <c r="E1012" s="4">
        <f t="shared" si="500"/>
        <v>9.9999999999994316E-2</v>
      </c>
      <c r="F1012" s="4">
        <v>0.8</v>
      </c>
      <c r="G1012" s="4">
        <v>0.21</v>
      </c>
      <c r="H1012" s="4">
        <v>79</v>
      </c>
      <c r="I1012" s="4"/>
      <c r="J1012" s="4">
        <v>50</v>
      </c>
      <c r="K1012" s="2"/>
      <c r="M1012" s="4">
        <f t="shared" si="501"/>
        <v>156.29999999999998</v>
      </c>
      <c r="N1012" s="4"/>
      <c r="O1012" s="1">
        <f t="shared" si="502"/>
        <v>156.19999999999999</v>
      </c>
      <c r="P1012" s="1">
        <f t="shared" si="503"/>
        <v>4.2239999999997604</v>
      </c>
      <c r="Q1012" s="1" t="str">
        <f t="shared" si="499"/>
        <v/>
      </c>
      <c r="R1012" s="1" t="str">
        <f t="shared" si="504"/>
        <v/>
      </c>
      <c r="S1012" s="1">
        <f t="shared" si="505"/>
        <v>616.96320000000333</v>
      </c>
      <c r="T1012" s="1">
        <f t="shared" si="506"/>
        <v>0.21</v>
      </c>
      <c r="U1012" s="1">
        <f t="shared" si="507"/>
        <v>527.99999999996999</v>
      </c>
      <c r="V1012" s="1">
        <f t="shared" si="508"/>
        <v>110.8799999999937</v>
      </c>
    </row>
    <row r="1013" spans="1:22" x14ac:dyDescent="0.25">
      <c r="A1013" s="1">
        <v>1012</v>
      </c>
      <c r="B1013" s="4">
        <v>7500</v>
      </c>
      <c r="C1013" s="4">
        <v>156.29999999999998</v>
      </c>
      <c r="D1013" s="4">
        <v>156.4</v>
      </c>
      <c r="E1013" s="4">
        <f t="shared" si="500"/>
        <v>0.10000000000002274</v>
      </c>
      <c r="F1013" s="4">
        <v>0</v>
      </c>
      <c r="G1013" s="4">
        <v>0.35</v>
      </c>
      <c r="H1013" s="4">
        <v>79</v>
      </c>
      <c r="I1013" s="4"/>
      <c r="J1013" s="4">
        <v>50</v>
      </c>
      <c r="K1013" s="2"/>
      <c r="M1013" s="4">
        <f t="shared" si="501"/>
        <v>156.4</v>
      </c>
      <c r="N1013" s="4"/>
      <c r="O1013" s="1">
        <f t="shared" si="502"/>
        <v>156.29999999999998</v>
      </c>
      <c r="P1013" s="1">
        <f t="shared" si="503"/>
        <v>0</v>
      </c>
      <c r="Q1013" s="1" t="str">
        <f t="shared" si="499"/>
        <v/>
      </c>
      <c r="R1013" s="1" t="str">
        <f t="shared" si="504"/>
        <v/>
      </c>
      <c r="S1013" s="1">
        <f t="shared" si="505"/>
        <v>618.0720000000033</v>
      </c>
      <c r="T1013" s="1">
        <f t="shared" si="506"/>
        <v>0.35</v>
      </c>
      <c r="U1013" s="1">
        <f t="shared" si="507"/>
        <v>528.00000000012005</v>
      </c>
      <c r="V1013" s="1">
        <f t="shared" si="508"/>
        <v>184.80000000004202</v>
      </c>
    </row>
    <row r="1014" spans="1:22" x14ac:dyDescent="0.25">
      <c r="A1014" s="1">
        <v>1013</v>
      </c>
      <c r="B1014" s="4">
        <v>7500</v>
      </c>
      <c r="C1014" s="4">
        <v>156.4</v>
      </c>
      <c r="D1014" s="4">
        <v>156.5</v>
      </c>
      <c r="E1014" s="4">
        <f t="shared" si="500"/>
        <v>9.9999999999994316E-2</v>
      </c>
      <c r="F1014" s="4">
        <v>1.8</v>
      </c>
      <c r="G1014" s="4">
        <v>0.35</v>
      </c>
      <c r="H1014" s="4">
        <v>79</v>
      </c>
      <c r="I1014" s="4"/>
      <c r="J1014" s="4">
        <v>50</v>
      </c>
      <c r="K1014" s="2"/>
      <c r="M1014" s="4">
        <f t="shared" si="501"/>
        <v>156.5</v>
      </c>
      <c r="N1014" s="4"/>
      <c r="O1014" s="1">
        <f t="shared" si="502"/>
        <v>156.4</v>
      </c>
      <c r="P1014" s="1">
        <f t="shared" si="503"/>
        <v>9.5039999999994595</v>
      </c>
      <c r="Q1014" s="1" t="str">
        <f t="shared" si="499"/>
        <v/>
      </c>
      <c r="R1014" s="1" t="str">
        <f t="shared" si="504"/>
        <v/>
      </c>
      <c r="S1014" s="1">
        <f t="shared" si="505"/>
        <v>619.92000000000371</v>
      </c>
      <c r="T1014" s="1">
        <f t="shared" si="506"/>
        <v>0.35</v>
      </c>
      <c r="U1014" s="1">
        <f t="shared" si="507"/>
        <v>527.99999999996999</v>
      </c>
      <c r="V1014" s="1">
        <f t="shared" si="508"/>
        <v>184.7999999999895</v>
      </c>
    </row>
    <row r="1015" spans="1:22" x14ac:dyDescent="0.25">
      <c r="A1015" s="1">
        <v>1014</v>
      </c>
      <c r="B1015" s="4">
        <v>7500</v>
      </c>
      <c r="C1015" s="4">
        <v>156.5</v>
      </c>
      <c r="D1015" s="4">
        <v>156.6</v>
      </c>
      <c r="E1015" s="4">
        <f t="shared" si="500"/>
        <v>9.9999999999994316E-2</v>
      </c>
      <c r="F1015" s="4">
        <v>1.8</v>
      </c>
      <c r="G1015" s="4">
        <v>0.42</v>
      </c>
      <c r="H1015" s="4">
        <v>79</v>
      </c>
      <c r="I1015" s="4"/>
      <c r="J1015" s="4">
        <v>50</v>
      </c>
      <c r="K1015" s="2"/>
      <c r="M1015" s="4">
        <f t="shared" si="501"/>
        <v>156.6</v>
      </c>
      <c r="N1015" s="4"/>
      <c r="O1015" s="1">
        <f t="shared" si="502"/>
        <v>156.5</v>
      </c>
      <c r="P1015" s="1">
        <f t="shared" si="503"/>
        <v>9.5039999999994595</v>
      </c>
      <c r="Q1015" s="1" t="str">
        <f t="shared" si="499"/>
        <v/>
      </c>
      <c r="R1015" s="1" t="str">
        <f t="shared" si="504"/>
        <v/>
      </c>
      <c r="S1015" s="1">
        <f t="shared" si="505"/>
        <v>621.76800000000355</v>
      </c>
      <c r="T1015" s="1">
        <f t="shared" si="506"/>
        <v>0.42</v>
      </c>
      <c r="U1015" s="1">
        <f t="shared" si="507"/>
        <v>527.99999999996999</v>
      </c>
      <c r="V1015" s="1">
        <f t="shared" si="508"/>
        <v>221.7599999999874</v>
      </c>
    </row>
    <row r="1016" spans="1:22" x14ac:dyDescent="0.25">
      <c r="A1016" s="1">
        <v>1015</v>
      </c>
      <c r="B1016" s="4">
        <v>7500</v>
      </c>
      <c r="C1016" s="4">
        <v>156.6</v>
      </c>
      <c r="D1016" s="4">
        <v>156.79999999999998</v>
      </c>
      <c r="E1016" s="4">
        <f t="shared" si="500"/>
        <v>0.19999999999998863</v>
      </c>
      <c r="F1016" s="4">
        <v>0</v>
      </c>
      <c r="G1016" s="4">
        <v>0.42</v>
      </c>
      <c r="H1016" s="4">
        <v>79</v>
      </c>
      <c r="I1016" s="4"/>
      <c r="J1016" s="4">
        <v>50</v>
      </c>
      <c r="K1016" s="2"/>
      <c r="M1016" s="4">
        <f t="shared" si="501"/>
        <v>156.79999999999998</v>
      </c>
      <c r="N1016" s="4"/>
      <c r="O1016" s="1">
        <f t="shared" si="502"/>
        <v>156.6</v>
      </c>
      <c r="P1016" s="1">
        <f t="shared" si="503"/>
        <v>0</v>
      </c>
      <c r="Q1016" s="1" t="str">
        <f t="shared" si="499"/>
        <v/>
      </c>
      <c r="R1016" s="1" t="str">
        <f t="shared" si="504"/>
        <v/>
      </c>
      <c r="S1016" s="1">
        <f t="shared" si="505"/>
        <v>623.98560000000339</v>
      </c>
      <c r="T1016" s="1">
        <f t="shared" si="506"/>
        <v>0.42</v>
      </c>
      <c r="U1016" s="1">
        <f t="shared" si="507"/>
        <v>1055.99999999994</v>
      </c>
      <c r="V1016" s="1">
        <f t="shared" si="508"/>
        <v>443.5199999999748</v>
      </c>
    </row>
    <row r="1017" spans="1:22" x14ac:dyDescent="0.25">
      <c r="A1017" s="1">
        <v>1016</v>
      </c>
      <c r="B1017" s="4">
        <v>7500</v>
      </c>
      <c r="C1017" s="4">
        <v>156.79999999999998</v>
      </c>
      <c r="D1017" s="4">
        <v>157</v>
      </c>
      <c r="E1017" s="4">
        <f t="shared" si="500"/>
        <v>0.20000000000001705</v>
      </c>
      <c r="F1017" s="4">
        <v>0</v>
      </c>
      <c r="G1017" s="4">
        <v>0.22</v>
      </c>
      <c r="H1017" s="4">
        <v>79</v>
      </c>
      <c r="I1017" s="4"/>
      <c r="J1017" s="4">
        <v>50</v>
      </c>
      <c r="K1017" s="2"/>
      <c r="M1017" s="4">
        <f t="shared" si="501"/>
        <v>157</v>
      </c>
      <c r="N1017" s="4"/>
      <c r="O1017" s="1">
        <f t="shared" si="502"/>
        <v>156.79999999999998</v>
      </c>
      <c r="P1017" s="1">
        <f t="shared" si="503"/>
        <v>0</v>
      </c>
      <c r="Q1017" s="1" t="str">
        <f t="shared" si="499"/>
        <v/>
      </c>
      <c r="R1017" s="1" t="str">
        <f t="shared" si="504"/>
        <v/>
      </c>
      <c r="S1017" s="1">
        <f t="shared" si="505"/>
        <v>628.42080000000317</v>
      </c>
      <c r="T1017" s="1">
        <f t="shared" si="506"/>
        <v>0.22</v>
      </c>
      <c r="U1017" s="1">
        <f t="shared" si="507"/>
        <v>1056.00000000009</v>
      </c>
      <c r="V1017" s="1">
        <f t="shared" si="508"/>
        <v>232.3200000000198</v>
      </c>
    </row>
    <row r="1018" spans="1:22" x14ac:dyDescent="0.25">
      <c r="A1018" s="1">
        <v>1017</v>
      </c>
      <c r="B1018" s="4">
        <v>7500</v>
      </c>
      <c r="C1018" s="4">
        <v>157</v>
      </c>
      <c r="D1018" s="4">
        <v>157.1</v>
      </c>
      <c r="E1018" s="4">
        <f t="shared" si="500"/>
        <v>9.9999999999994316E-2</v>
      </c>
      <c r="F1018" s="4">
        <v>0</v>
      </c>
      <c r="G1018" s="4">
        <v>-0.17</v>
      </c>
      <c r="H1018" s="4">
        <v>79</v>
      </c>
      <c r="I1018" s="4"/>
      <c r="J1018" s="4">
        <v>50</v>
      </c>
      <c r="K1018" s="2"/>
      <c r="M1018" s="4">
        <f t="shared" si="501"/>
        <v>157.1</v>
      </c>
      <c r="N1018" s="4"/>
      <c r="O1018" s="1">
        <f t="shared" si="502"/>
        <v>157</v>
      </c>
      <c r="P1018" s="1">
        <f t="shared" si="503"/>
        <v>0</v>
      </c>
      <c r="Q1018" s="1" t="str">
        <f t="shared" si="499"/>
        <v/>
      </c>
      <c r="R1018" s="1" t="str">
        <f t="shared" si="504"/>
        <v/>
      </c>
      <c r="S1018" s="1">
        <f t="shared" si="505"/>
        <v>630.74400000000333</v>
      </c>
      <c r="T1018" s="1">
        <f t="shared" si="506"/>
        <v>-0.17</v>
      </c>
      <c r="U1018" s="1">
        <f t="shared" si="507"/>
        <v>527.99999999996999</v>
      </c>
      <c r="V1018" s="1">
        <f t="shared" si="508"/>
        <v>89.759999999994903</v>
      </c>
    </row>
    <row r="1019" spans="1:22" x14ac:dyDescent="0.25">
      <c r="A1019" s="1">
        <v>1018</v>
      </c>
      <c r="B1019" s="4">
        <v>7500</v>
      </c>
      <c r="C1019" s="4">
        <v>157.1</v>
      </c>
      <c r="D1019" s="4">
        <v>157.29999999999998</v>
      </c>
      <c r="E1019" s="4">
        <f t="shared" si="500"/>
        <v>0.19999999999998863</v>
      </c>
      <c r="F1019" s="4">
        <v>0</v>
      </c>
      <c r="G1019" s="4">
        <v>-0.37</v>
      </c>
      <c r="H1019" s="4">
        <v>79</v>
      </c>
      <c r="I1019" s="4"/>
      <c r="J1019" s="4">
        <v>50</v>
      </c>
      <c r="K1019" s="2"/>
      <c r="M1019" s="4">
        <f t="shared" si="501"/>
        <v>157.29999999999998</v>
      </c>
      <c r="N1019" s="4"/>
      <c r="O1019" s="1">
        <f t="shared" si="502"/>
        <v>157.1</v>
      </c>
      <c r="P1019" s="1">
        <f t="shared" si="503"/>
        <v>0</v>
      </c>
      <c r="Q1019" s="1" t="str">
        <f t="shared" si="499"/>
        <v/>
      </c>
      <c r="R1019" s="1" t="str">
        <f t="shared" si="504"/>
        <v/>
      </c>
      <c r="S1019" s="1">
        <f t="shared" si="505"/>
        <v>629.84640000000343</v>
      </c>
      <c r="T1019" s="1">
        <f t="shared" si="506"/>
        <v>-0.37</v>
      </c>
      <c r="U1019" s="1">
        <f t="shared" si="507"/>
        <v>1055.99999999994</v>
      </c>
      <c r="V1019" s="1">
        <f t="shared" si="508"/>
        <v>390.7199999999778</v>
      </c>
    </row>
    <row r="1020" spans="1:22" x14ac:dyDescent="0.25">
      <c r="A1020" s="1">
        <v>1019</v>
      </c>
      <c r="B1020" s="4">
        <v>7500</v>
      </c>
      <c r="C1020" s="4">
        <v>157.29999999999998</v>
      </c>
      <c r="D1020" s="4">
        <v>157.4</v>
      </c>
      <c r="E1020" s="4">
        <f t="shared" si="500"/>
        <v>0.10000000000002274</v>
      </c>
      <c r="F1020" s="4">
        <v>2.7</v>
      </c>
      <c r="G1020" s="4">
        <v>-0.3</v>
      </c>
      <c r="H1020" s="4">
        <v>79</v>
      </c>
      <c r="I1020" s="4"/>
      <c r="J1020" s="4">
        <v>50</v>
      </c>
      <c r="K1020" s="2"/>
      <c r="M1020" s="4">
        <f t="shared" si="501"/>
        <v>157.4</v>
      </c>
      <c r="N1020" s="4"/>
      <c r="O1020" s="1">
        <f t="shared" si="502"/>
        <v>157.29999999999998</v>
      </c>
      <c r="P1020" s="1">
        <f t="shared" si="503"/>
        <v>14.256000000003242</v>
      </c>
      <c r="Q1020" s="1" t="str">
        <f t="shared" si="499"/>
        <v/>
      </c>
      <c r="R1020" s="1" t="str">
        <f t="shared" si="504"/>
        <v/>
      </c>
      <c r="S1020" s="1">
        <f t="shared" si="505"/>
        <v>625.93920000000367</v>
      </c>
      <c r="T1020" s="1">
        <f t="shared" si="506"/>
        <v>-0.3</v>
      </c>
      <c r="U1020" s="1">
        <f t="shared" si="507"/>
        <v>528.00000000012005</v>
      </c>
      <c r="V1020" s="1">
        <f t="shared" si="508"/>
        <v>158.40000000003602</v>
      </c>
    </row>
    <row r="1021" spans="1:22" x14ac:dyDescent="0.25">
      <c r="A1021" s="1">
        <v>1020</v>
      </c>
      <c r="B1021" s="4">
        <v>7500</v>
      </c>
      <c r="C1021" s="4">
        <v>157.4</v>
      </c>
      <c r="D1021" s="4">
        <v>157.5</v>
      </c>
      <c r="E1021" s="4">
        <f t="shared" si="500"/>
        <v>9.9999999999994316E-2</v>
      </c>
      <c r="F1021" s="4">
        <v>2.7</v>
      </c>
      <c r="G1021" s="4">
        <v>-0.17</v>
      </c>
      <c r="H1021" s="4">
        <v>79</v>
      </c>
      <c r="I1021" s="4"/>
      <c r="J1021" s="4">
        <v>50</v>
      </c>
      <c r="K1021" s="2"/>
      <c r="M1021" s="4">
        <f t="shared" si="501"/>
        <v>157.5</v>
      </c>
      <c r="N1021" s="4"/>
      <c r="O1021" s="1">
        <f t="shared" si="502"/>
        <v>157.4</v>
      </c>
      <c r="P1021" s="1">
        <f t="shared" si="503"/>
        <v>14.25599999999919</v>
      </c>
      <c r="Q1021" s="1" t="str">
        <f t="shared" si="499"/>
        <v/>
      </c>
      <c r="R1021" s="1" t="str">
        <f t="shared" si="504"/>
        <v/>
      </c>
      <c r="S1021" s="1">
        <f t="shared" si="505"/>
        <v>624.35520000000326</v>
      </c>
      <c r="T1021" s="1">
        <f t="shared" si="506"/>
        <v>-0.17</v>
      </c>
      <c r="U1021" s="1">
        <f t="shared" si="507"/>
        <v>527.99999999996999</v>
      </c>
      <c r="V1021" s="1">
        <f t="shared" si="508"/>
        <v>89.759999999994903</v>
      </c>
    </row>
    <row r="1022" spans="1:22" x14ac:dyDescent="0.25">
      <c r="A1022" s="1">
        <v>1021</v>
      </c>
      <c r="B1022" s="4">
        <v>7500</v>
      </c>
      <c r="C1022" s="4">
        <v>157.5</v>
      </c>
      <c r="D1022" s="4">
        <v>157.6</v>
      </c>
      <c r="E1022" s="4">
        <f t="shared" si="500"/>
        <v>9.9999999999994316E-2</v>
      </c>
      <c r="F1022" s="4">
        <v>0</v>
      </c>
      <c r="G1022" s="4">
        <v>-0.1</v>
      </c>
      <c r="H1022" s="4">
        <v>79</v>
      </c>
      <c r="I1022" s="4"/>
      <c r="J1022" s="4">
        <v>50</v>
      </c>
      <c r="K1022" s="2"/>
      <c r="M1022" s="4">
        <f t="shared" si="501"/>
        <v>157.6</v>
      </c>
      <c r="N1022" s="4"/>
      <c r="O1022" s="1">
        <f t="shared" si="502"/>
        <v>157.5</v>
      </c>
      <c r="P1022" s="1">
        <f t="shared" si="503"/>
        <v>0</v>
      </c>
      <c r="Q1022" s="1" t="str">
        <f t="shared" si="499"/>
        <v/>
      </c>
      <c r="R1022" s="1" t="str">
        <f t="shared" si="504"/>
        <v/>
      </c>
      <c r="S1022" s="1">
        <f t="shared" si="505"/>
        <v>623.45760000000337</v>
      </c>
      <c r="T1022" s="1">
        <f t="shared" si="506"/>
        <v>-0.1</v>
      </c>
      <c r="U1022" s="1">
        <f t="shared" si="507"/>
        <v>527.99999999996999</v>
      </c>
      <c r="V1022" s="1">
        <f t="shared" si="508"/>
        <v>52.799999999996999</v>
      </c>
    </row>
    <row r="1023" spans="1:22" x14ac:dyDescent="0.25">
      <c r="A1023" s="1">
        <v>1022</v>
      </c>
      <c r="B1023" s="4">
        <v>7500</v>
      </c>
      <c r="C1023" s="4">
        <v>157.6</v>
      </c>
      <c r="D1023" s="4">
        <v>157.69999999999999</v>
      </c>
      <c r="E1023" s="4">
        <f t="shared" si="500"/>
        <v>9.9999999999994316E-2</v>
      </c>
      <c r="F1023" s="4">
        <v>0</v>
      </c>
      <c r="G1023" s="4">
        <v>-0.51</v>
      </c>
      <c r="H1023" s="4">
        <v>79</v>
      </c>
      <c r="I1023" s="4"/>
      <c r="J1023" s="4">
        <v>50</v>
      </c>
      <c r="K1023" s="2"/>
      <c r="M1023" s="4">
        <f t="shared" si="501"/>
        <v>157.69999999999999</v>
      </c>
      <c r="N1023" s="4"/>
      <c r="O1023" s="1">
        <f t="shared" si="502"/>
        <v>157.6</v>
      </c>
      <c r="P1023" s="1">
        <f t="shared" si="503"/>
        <v>0</v>
      </c>
      <c r="Q1023" s="1" t="str">
        <f t="shared" si="499"/>
        <v/>
      </c>
      <c r="R1023" s="1" t="str">
        <f t="shared" si="504"/>
        <v/>
      </c>
      <c r="S1023" s="1">
        <f t="shared" si="505"/>
        <v>622.92960000000335</v>
      </c>
      <c r="T1023" s="1">
        <f t="shared" si="506"/>
        <v>-0.51</v>
      </c>
      <c r="U1023" s="1">
        <f t="shared" si="507"/>
        <v>527.99999999996999</v>
      </c>
      <c r="V1023" s="1">
        <f t="shared" si="508"/>
        <v>269.27999999998468</v>
      </c>
    </row>
    <row r="1024" spans="1:22" x14ac:dyDescent="0.25">
      <c r="A1024" s="1">
        <v>1023</v>
      </c>
      <c r="B1024" s="4">
        <v>7500</v>
      </c>
      <c r="C1024" s="4">
        <v>157.69999999999999</v>
      </c>
      <c r="D1024" s="4">
        <v>157.79999999999998</v>
      </c>
      <c r="E1024" s="4">
        <f t="shared" si="500"/>
        <v>9.9999999999994316E-2</v>
      </c>
      <c r="F1024" s="4">
        <v>3.1</v>
      </c>
      <c r="G1024" s="4">
        <v>-0.62</v>
      </c>
      <c r="H1024" s="4">
        <v>79</v>
      </c>
      <c r="I1024" s="4"/>
      <c r="J1024" s="4">
        <v>50</v>
      </c>
      <c r="K1024" s="2"/>
      <c r="M1024" s="4">
        <f t="shared" si="501"/>
        <v>157.79999999999998</v>
      </c>
      <c r="N1024" s="4"/>
      <c r="O1024" s="1">
        <f t="shared" si="502"/>
        <v>157.69999999999999</v>
      </c>
      <c r="P1024" s="1">
        <f t="shared" si="503"/>
        <v>16.367999999999071</v>
      </c>
      <c r="Q1024" s="1" t="str">
        <f t="shared" si="499"/>
        <v/>
      </c>
      <c r="R1024" s="1" t="str">
        <f t="shared" si="504"/>
        <v/>
      </c>
      <c r="S1024" s="1">
        <f t="shared" si="505"/>
        <v>620.23680000000354</v>
      </c>
      <c r="T1024" s="1">
        <f t="shared" si="506"/>
        <v>-0.62</v>
      </c>
      <c r="U1024" s="1">
        <f t="shared" si="507"/>
        <v>527.99999999996999</v>
      </c>
      <c r="V1024" s="1">
        <f t="shared" si="508"/>
        <v>327.35999999998137</v>
      </c>
    </row>
    <row r="1025" spans="1:22" x14ac:dyDescent="0.25">
      <c r="A1025" s="1">
        <v>1024</v>
      </c>
      <c r="B1025" s="4">
        <v>7500</v>
      </c>
      <c r="C1025" s="4">
        <v>157.79999999999998</v>
      </c>
      <c r="D1025" s="4">
        <v>157.9</v>
      </c>
      <c r="E1025" s="4">
        <f t="shared" si="500"/>
        <v>0.10000000000002274</v>
      </c>
      <c r="F1025" s="4">
        <v>2</v>
      </c>
      <c r="G1025" s="4">
        <v>-0.85</v>
      </c>
      <c r="H1025" s="4">
        <v>79</v>
      </c>
      <c r="I1025" s="4"/>
      <c r="J1025" s="4">
        <v>50</v>
      </c>
      <c r="K1025" s="2"/>
      <c r="M1025" s="4">
        <f t="shared" si="501"/>
        <v>157.9</v>
      </c>
      <c r="N1025" s="4"/>
      <c r="O1025" s="1">
        <f t="shared" si="502"/>
        <v>157.79999999999998</v>
      </c>
      <c r="P1025" s="1">
        <f t="shared" si="503"/>
        <v>10.5600000000024</v>
      </c>
      <c r="Q1025" s="1" t="str">
        <f t="shared" si="499"/>
        <v/>
      </c>
      <c r="R1025" s="1" t="str">
        <f t="shared" si="504"/>
        <v/>
      </c>
      <c r="S1025" s="1">
        <f t="shared" si="505"/>
        <v>616.96320000000378</v>
      </c>
      <c r="T1025" s="1">
        <f t="shared" si="506"/>
        <v>-0.85</v>
      </c>
      <c r="U1025" s="1">
        <f t="shared" si="507"/>
        <v>528.00000000012005</v>
      </c>
      <c r="V1025" s="1">
        <f t="shared" si="508"/>
        <v>448.80000000010205</v>
      </c>
    </row>
    <row r="1026" spans="1:22" x14ac:dyDescent="0.25">
      <c r="A1026" s="1">
        <v>1025</v>
      </c>
      <c r="B1026" s="4">
        <v>7500</v>
      </c>
      <c r="C1026" s="4">
        <v>157.9</v>
      </c>
      <c r="D1026" s="4">
        <v>158.1</v>
      </c>
      <c r="E1026" s="4">
        <f t="shared" si="500"/>
        <v>0.19999999999998863</v>
      </c>
      <c r="F1026" s="4">
        <v>2</v>
      </c>
      <c r="G1026" s="4">
        <v>-0.96</v>
      </c>
      <c r="H1026" s="4">
        <v>79</v>
      </c>
      <c r="I1026" s="4"/>
      <c r="J1026" s="4">
        <v>50</v>
      </c>
      <c r="K1026" s="2"/>
      <c r="M1026" s="4">
        <f t="shared" si="501"/>
        <v>158.1</v>
      </c>
      <c r="N1026" s="4"/>
      <c r="O1026" s="1">
        <f t="shared" si="502"/>
        <v>157.9</v>
      </c>
      <c r="P1026" s="1">
        <f t="shared" si="503"/>
        <v>21.119999999998797</v>
      </c>
      <c r="Q1026" s="1" t="str">
        <f t="shared" si="499"/>
        <v/>
      </c>
      <c r="R1026" s="1" t="str">
        <f t="shared" si="504"/>
        <v/>
      </c>
      <c r="S1026" s="1">
        <f t="shared" si="505"/>
        <v>612.47520000000281</v>
      </c>
      <c r="T1026" s="1">
        <f t="shared" si="506"/>
        <v>-0.96</v>
      </c>
      <c r="U1026" s="1">
        <f t="shared" si="507"/>
        <v>1055.99999999994</v>
      </c>
      <c r="V1026" s="1">
        <f t="shared" si="508"/>
        <v>1013.7599999999424</v>
      </c>
    </row>
    <row r="1027" spans="1:22" x14ac:dyDescent="0.25">
      <c r="A1027" s="1">
        <v>1026</v>
      </c>
      <c r="B1027" s="4">
        <v>7500</v>
      </c>
      <c r="C1027" s="4">
        <v>158.1</v>
      </c>
      <c r="D1027" s="4">
        <v>158.29999999999998</v>
      </c>
      <c r="E1027" s="4">
        <f t="shared" si="500"/>
        <v>0.19999999999998863</v>
      </c>
      <c r="F1027" s="4">
        <v>0</v>
      </c>
      <c r="G1027" s="4">
        <v>-0.67</v>
      </c>
      <c r="H1027" s="4">
        <v>79</v>
      </c>
      <c r="I1027" s="4"/>
      <c r="J1027" s="4">
        <v>50</v>
      </c>
      <c r="K1027" s="2"/>
      <c r="M1027" s="4">
        <f t="shared" si="501"/>
        <v>158.29999999999998</v>
      </c>
      <c r="N1027" s="4"/>
      <c r="O1027" s="1">
        <f t="shared" si="502"/>
        <v>158.1</v>
      </c>
      <c r="P1027" s="1">
        <f t="shared" si="503"/>
        <v>0</v>
      </c>
      <c r="Q1027" s="1" t="str">
        <f t="shared" ref="Q1027:Q1090" si="509">IF(H1027&lt;&gt;"",IF(H1027=H1026,"",H1027),IF(H1025="","",MAX(H1026,Q1026)))</f>
        <v/>
      </c>
      <c r="R1027" s="1" t="str">
        <f t="shared" si="504"/>
        <v/>
      </c>
      <c r="S1027" s="1">
        <f t="shared" si="505"/>
        <v>602.33760000000336</v>
      </c>
      <c r="T1027" s="1">
        <f t="shared" si="506"/>
        <v>-0.67</v>
      </c>
      <c r="U1027" s="1">
        <f t="shared" si="507"/>
        <v>1055.99999999994</v>
      </c>
      <c r="V1027" s="1">
        <f t="shared" si="508"/>
        <v>707.51999999995985</v>
      </c>
    </row>
    <row r="1028" spans="1:22" x14ac:dyDescent="0.25">
      <c r="A1028" s="1">
        <v>1027</v>
      </c>
      <c r="B1028" s="4">
        <v>7500</v>
      </c>
      <c r="C1028" s="4">
        <v>158.29999999999998</v>
      </c>
      <c r="D1028" s="4">
        <v>158.5</v>
      </c>
      <c r="E1028" s="4">
        <f t="shared" si="500"/>
        <v>0.20000000000001705</v>
      </c>
      <c r="F1028" s="4">
        <v>0</v>
      </c>
      <c r="G1028" s="4">
        <v>-0.92</v>
      </c>
      <c r="H1028" s="4">
        <v>79</v>
      </c>
      <c r="I1028" s="4"/>
      <c r="J1028" s="4">
        <v>50</v>
      </c>
      <c r="K1028" s="2"/>
      <c r="M1028" s="4">
        <f t="shared" si="501"/>
        <v>158.5</v>
      </c>
      <c r="N1028" s="4"/>
      <c r="O1028" s="1">
        <f t="shared" si="502"/>
        <v>158.29999999999998</v>
      </c>
      <c r="P1028" s="1">
        <f t="shared" si="503"/>
        <v>0</v>
      </c>
      <c r="Q1028" s="1" t="str">
        <f t="shared" si="509"/>
        <v/>
      </c>
      <c r="R1028" s="1" t="str">
        <f t="shared" si="504"/>
        <v/>
      </c>
      <c r="S1028" s="1">
        <f t="shared" si="505"/>
        <v>595.26240000000371</v>
      </c>
      <c r="T1028" s="1">
        <f t="shared" si="506"/>
        <v>-0.92</v>
      </c>
      <c r="U1028" s="1">
        <f t="shared" si="507"/>
        <v>1056.00000000009</v>
      </c>
      <c r="V1028" s="1">
        <f t="shared" si="508"/>
        <v>971.52000000008286</v>
      </c>
    </row>
    <row r="1029" spans="1:22" x14ac:dyDescent="0.25">
      <c r="A1029" s="1">
        <v>1028</v>
      </c>
      <c r="B1029" s="4">
        <v>7500</v>
      </c>
      <c r="C1029" s="4">
        <v>158.5</v>
      </c>
      <c r="D1029" s="4">
        <v>158.6</v>
      </c>
      <c r="E1029" s="4">
        <f t="shared" si="500"/>
        <v>9.9999999999994316E-2</v>
      </c>
      <c r="F1029" s="4">
        <v>0</v>
      </c>
      <c r="G1029" s="4">
        <v>-1.05</v>
      </c>
      <c r="H1029" s="4">
        <v>79</v>
      </c>
      <c r="I1029" s="4"/>
      <c r="J1029" s="4">
        <v>50</v>
      </c>
      <c r="K1029" s="2"/>
      <c r="M1029" s="4">
        <f t="shared" si="501"/>
        <v>158.6</v>
      </c>
      <c r="N1029" s="4"/>
      <c r="O1029" s="1">
        <f t="shared" si="502"/>
        <v>158.5</v>
      </c>
      <c r="P1029" s="1">
        <f t="shared" si="503"/>
        <v>0</v>
      </c>
      <c r="Q1029" s="1" t="str">
        <f t="shared" si="509"/>
        <v/>
      </c>
      <c r="R1029" s="1" t="str">
        <f t="shared" si="504"/>
        <v/>
      </c>
      <c r="S1029" s="1">
        <f t="shared" si="505"/>
        <v>585.54720000000293</v>
      </c>
      <c r="T1029" s="1">
        <f t="shared" si="506"/>
        <v>-1.05</v>
      </c>
      <c r="U1029" s="1">
        <f t="shared" si="507"/>
        <v>527.99999999996999</v>
      </c>
      <c r="V1029" s="1">
        <f t="shared" si="508"/>
        <v>554.39999999996849</v>
      </c>
    </row>
    <row r="1030" spans="1:22" x14ac:dyDescent="0.25">
      <c r="A1030" s="1">
        <v>1029</v>
      </c>
      <c r="B1030" s="4">
        <v>7500</v>
      </c>
      <c r="C1030" s="4">
        <v>158.6</v>
      </c>
      <c r="D1030" s="4">
        <v>158.69999999999999</v>
      </c>
      <c r="E1030" s="4">
        <f t="shared" si="500"/>
        <v>9.9999999999994316E-2</v>
      </c>
      <c r="F1030" s="4">
        <v>0</v>
      </c>
      <c r="G1030" s="4">
        <v>-0.68</v>
      </c>
      <c r="H1030" s="4">
        <v>79</v>
      </c>
      <c r="I1030" s="4"/>
      <c r="J1030" s="4">
        <v>50</v>
      </c>
      <c r="K1030" s="2"/>
      <c r="M1030" s="4">
        <f t="shared" si="501"/>
        <v>158.69999999999999</v>
      </c>
      <c r="N1030" s="4"/>
      <c r="O1030" s="1">
        <f t="shared" si="502"/>
        <v>158.6</v>
      </c>
      <c r="P1030" s="1">
        <f t="shared" si="503"/>
        <v>0</v>
      </c>
      <c r="Q1030" s="1" t="str">
        <f t="shared" si="509"/>
        <v/>
      </c>
      <c r="R1030" s="1" t="str">
        <f t="shared" si="504"/>
        <v/>
      </c>
      <c r="S1030" s="1">
        <f t="shared" si="505"/>
        <v>580.00320000000329</v>
      </c>
      <c r="T1030" s="1">
        <f t="shared" si="506"/>
        <v>-0.68</v>
      </c>
      <c r="U1030" s="1">
        <f t="shared" si="507"/>
        <v>527.99999999996999</v>
      </c>
      <c r="V1030" s="1">
        <f t="shared" si="508"/>
        <v>359.03999999997961</v>
      </c>
    </row>
    <row r="1031" spans="1:22" x14ac:dyDescent="0.25">
      <c r="A1031" s="1">
        <v>1030</v>
      </c>
      <c r="B1031" s="4">
        <v>7500</v>
      </c>
      <c r="C1031" s="4">
        <v>158.69999999999999</v>
      </c>
      <c r="D1031" s="4">
        <v>158.79999999999998</v>
      </c>
      <c r="E1031" s="4">
        <f t="shared" si="500"/>
        <v>9.9999999999994316E-2</v>
      </c>
      <c r="F1031" s="4">
        <v>2</v>
      </c>
      <c r="G1031" s="4">
        <v>-0.68</v>
      </c>
      <c r="H1031" s="4">
        <v>79</v>
      </c>
      <c r="I1031" s="4"/>
      <c r="J1031" s="4">
        <v>50</v>
      </c>
      <c r="K1031" s="2"/>
      <c r="M1031" s="4">
        <f t="shared" si="501"/>
        <v>158.79999999999998</v>
      </c>
      <c r="N1031" s="4"/>
      <c r="O1031" s="1">
        <f t="shared" si="502"/>
        <v>158.69999999999999</v>
      </c>
      <c r="P1031" s="1">
        <f t="shared" si="503"/>
        <v>10.559999999999398</v>
      </c>
      <c r="Q1031" s="1" t="str">
        <f t="shared" si="509"/>
        <v/>
      </c>
      <c r="R1031" s="1" t="str">
        <f t="shared" si="504"/>
        <v/>
      </c>
      <c r="S1031" s="1">
        <f t="shared" si="505"/>
        <v>576.41280000000347</v>
      </c>
      <c r="T1031" s="1">
        <f t="shared" si="506"/>
        <v>-0.68</v>
      </c>
      <c r="U1031" s="1">
        <f t="shared" si="507"/>
        <v>527.99999999996999</v>
      </c>
      <c r="V1031" s="1">
        <f t="shared" si="508"/>
        <v>359.03999999997961</v>
      </c>
    </row>
    <row r="1032" spans="1:22" x14ac:dyDescent="0.25">
      <c r="A1032" s="1">
        <v>1031</v>
      </c>
      <c r="B1032" s="4">
        <v>7500</v>
      </c>
      <c r="C1032" s="4">
        <v>158.79999999999998</v>
      </c>
      <c r="D1032" s="4">
        <v>158.9</v>
      </c>
      <c r="E1032" s="4">
        <f t="shared" ref="E1032:E1095" si="510">D1032-C1032</f>
        <v>0.10000000000002274</v>
      </c>
      <c r="F1032" s="4">
        <v>0</v>
      </c>
      <c r="G1032" s="4">
        <v>-1.03</v>
      </c>
      <c r="H1032" s="4">
        <v>79</v>
      </c>
      <c r="I1032" s="4"/>
      <c r="J1032" s="4">
        <v>50</v>
      </c>
      <c r="K1032" s="2"/>
      <c r="M1032" s="4">
        <f t="shared" ref="M1032:M1095" si="511">E1032+M1031</f>
        <v>158.9</v>
      </c>
      <c r="N1032" s="4"/>
      <c r="O1032" s="1">
        <f t="shared" ref="O1032:O1095" si="512">E1031+O1031</f>
        <v>158.79999999999998</v>
      </c>
      <c r="P1032" s="1">
        <f t="shared" ref="P1032:P1095" si="513">F1032*52.8*E1032</f>
        <v>0</v>
      </c>
      <c r="Q1032" s="1" t="str">
        <f t="shared" si="509"/>
        <v/>
      </c>
      <c r="R1032" s="1" t="str">
        <f t="shared" ref="R1032:R1095" si="514">IF(I1032="",Q1032,IF(AND(H1032=H1031,I1032=I1031),"",I1032))</f>
        <v/>
      </c>
      <c r="S1032" s="1">
        <f t="shared" ref="S1032:S1095" si="515">S1031+U1031*T1031/100</f>
        <v>572.82240000000365</v>
      </c>
      <c r="T1032" s="1">
        <f t="shared" ref="T1032:T1095" si="516">IF(G1032="UNK",0,G1032)</f>
        <v>-1.03</v>
      </c>
      <c r="U1032" s="1">
        <f t="shared" ref="U1032:U1095" si="517">E1032*5280</f>
        <v>528.00000000012005</v>
      </c>
      <c r="V1032" s="1">
        <f t="shared" ref="V1032:V1095" si="518">ABS(T1032*U1032)</f>
        <v>543.84000000012372</v>
      </c>
    </row>
    <row r="1033" spans="1:22" x14ac:dyDescent="0.25">
      <c r="A1033" s="1">
        <v>1032</v>
      </c>
      <c r="B1033" s="4">
        <v>7500</v>
      </c>
      <c r="C1033" s="4">
        <v>158.9</v>
      </c>
      <c r="D1033" s="4">
        <v>159</v>
      </c>
      <c r="E1033" s="4">
        <f t="shared" si="510"/>
        <v>9.9999999999994316E-2</v>
      </c>
      <c r="F1033" s="4">
        <v>0</v>
      </c>
      <c r="G1033" s="4">
        <v>-0.91</v>
      </c>
      <c r="H1033" s="4">
        <v>79</v>
      </c>
      <c r="I1033" s="4"/>
      <c r="J1033" s="4">
        <v>50</v>
      </c>
      <c r="K1033" s="2"/>
      <c r="M1033" s="4">
        <f t="shared" si="511"/>
        <v>159</v>
      </c>
      <c r="N1033" s="4"/>
      <c r="O1033" s="1">
        <f t="shared" si="512"/>
        <v>158.9</v>
      </c>
      <c r="P1033" s="1">
        <f t="shared" si="513"/>
        <v>0</v>
      </c>
      <c r="Q1033" s="1" t="str">
        <f t="shared" si="509"/>
        <v/>
      </c>
      <c r="R1033" s="1" t="str">
        <f t="shared" si="514"/>
        <v/>
      </c>
      <c r="S1033" s="1">
        <f t="shared" si="515"/>
        <v>567.3840000000024</v>
      </c>
      <c r="T1033" s="1">
        <f t="shared" si="516"/>
        <v>-0.91</v>
      </c>
      <c r="U1033" s="1">
        <f t="shared" si="517"/>
        <v>527.99999999996999</v>
      </c>
      <c r="V1033" s="1">
        <f t="shared" si="518"/>
        <v>480.47999999997268</v>
      </c>
    </row>
    <row r="1034" spans="1:22" x14ac:dyDescent="0.25">
      <c r="A1034" s="1">
        <v>1033</v>
      </c>
      <c r="B1034" s="4">
        <v>7500</v>
      </c>
      <c r="C1034" s="4">
        <v>159</v>
      </c>
      <c r="D1034" s="4">
        <v>159.1</v>
      </c>
      <c r="E1034" s="4">
        <f t="shared" si="510"/>
        <v>9.9999999999994316E-2</v>
      </c>
      <c r="F1034" s="4">
        <v>2</v>
      </c>
      <c r="G1034" s="4">
        <v>-0.91</v>
      </c>
      <c r="H1034" s="4">
        <v>79</v>
      </c>
      <c r="I1034" s="4"/>
      <c r="J1034" s="4">
        <v>50</v>
      </c>
      <c r="K1034" s="2"/>
      <c r="M1034" s="4">
        <f t="shared" si="511"/>
        <v>159.1</v>
      </c>
      <c r="N1034" s="4"/>
      <c r="O1034" s="1">
        <f t="shared" si="512"/>
        <v>159</v>
      </c>
      <c r="P1034" s="1">
        <f t="shared" si="513"/>
        <v>10.559999999999398</v>
      </c>
      <c r="Q1034" s="1" t="str">
        <f t="shared" si="509"/>
        <v/>
      </c>
      <c r="R1034" s="1" t="str">
        <f t="shared" si="514"/>
        <v/>
      </c>
      <c r="S1034" s="1">
        <f t="shared" si="515"/>
        <v>562.57920000000263</v>
      </c>
      <c r="T1034" s="1">
        <f t="shared" si="516"/>
        <v>-0.91</v>
      </c>
      <c r="U1034" s="1">
        <f t="shared" si="517"/>
        <v>527.99999999996999</v>
      </c>
      <c r="V1034" s="1">
        <f t="shared" si="518"/>
        <v>480.47999999997268</v>
      </c>
    </row>
    <row r="1035" spans="1:22" x14ac:dyDescent="0.25">
      <c r="A1035" s="1">
        <v>1034</v>
      </c>
      <c r="B1035" s="4">
        <v>7500</v>
      </c>
      <c r="C1035" s="4">
        <v>159.1</v>
      </c>
      <c r="D1035" s="4">
        <v>159.29999999999998</v>
      </c>
      <c r="E1035" s="4">
        <f t="shared" si="510"/>
        <v>0.19999999999998863</v>
      </c>
      <c r="F1035" s="4">
        <v>2</v>
      </c>
      <c r="G1035" s="4">
        <v>-0.71</v>
      </c>
      <c r="H1035" s="4">
        <v>79</v>
      </c>
      <c r="I1035" s="4"/>
      <c r="J1035" s="4">
        <v>50</v>
      </c>
      <c r="K1035" s="2"/>
      <c r="M1035" s="4">
        <f t="shared" si="511"/>
        <v>159.29999999999998</v>
      </c>
      <c r="N1035" s="4"/>
      <c r="O1035" s="1">
        <f t="shared" si="512"/>
        <v>159.1</v>
      </c>
      <c r="P1035" s="1">
        <f t="shared" si="513"/>
        <v>21.119999999998797</v>
      </c>
      <c r="Q1035" s="1" t="str">
        <f t="shared" si="509"/>
        <v/>
      </c>
      <c r="R1035" s="1" t="str">
        <f t="shared" si="514"/>
        <v/>
      </c>
      <c r="S1035" s="1">
        <f t="shared" si="515"/>
        <v>557.77440000000286</v>
      </c>
      <c r="T1035" s="1">
        <f t="shared" si="516"/>
        <v>-0.71</v>
      </c>
      <c r="U1035" s="1">
        <f t="shared" si="517"/>
        <v>1055.99999999994</v>
      </c>
      <c r="V1035" s="1">
        <f t="shared" si="518"/>
        <v>749.75999999995736</v>
      </c>
    </row>
    <row r="1036" spans="1:22" x14ac:dyDescent="0.25">
      <c r="A1036" s="1">
        <v>1035</v>
      </c>
      <c r="B1036" s="4">
        <v>7500</v>
      </c>
      <c r="C1036" s="4">
        <v>159.29999999999998</v>
      </c>
      <c r="D1036" s="4">
        <v>159.4</v>
      </c>
      <c r="E1036" s="4">
        <f t="shared" si="510"/>
        <v>0.10000000000002274</v>
      </c>
      <c r="F1036" s="4">
        <v>0</v>
      </c>
      <c r="G1036" s="4">
        <v>-0.77</v>
      </c>
      <c r="H1036" s="4">
        <v>79</v>
      </c>
      <c r="I1036" s="4"/>
      <c r="J1036" s="4">
        <v>50</v>
      </c>
      <c r="K1036" s="2"/>
      <c r="M1036" s="4">
        <f t="shared" si="511"/>
        <v>159.4</v>
      </c>
      <c r="N1036" s="4"/>
      <c r="O1036" s="1">
        <f t="shared" si="512"/>
        <v>159.29999999999998</v>
      </c>
      <c r="P1036" s="1">
        <f t="shared" si="513"/>
        <v>0</v>
      </c>
      <c r="Q1036" s="1" t="str">
        <f t="shared" si="509"/>
        <v/>
      </c>
      <c r="R1036" s="1" t="str">
        <f t="shared" si="514"/>
        <v/>
      </c>
      <c r="S1036" s="1">
        <f t="shared" si="515"/>
        <v>550.27680000000328</v>
      </c>
      <c r="T1036" s="1">
        <f t="shared" si="516"/>
        <v>-0.77</v>
      </c>
      <c r="U1036" s="1">
        <f t="shared" si="517"/>
        <v>528.00000000012005</v>
      </c>
      <c r="V1036" s="1">
        <f t="shared" si="518"/>
        <v>406.56000000009243</v>
      </c>
    </row>
    <row r="1037" spans="1:22" x14ac:dyDescent="0.25">
      <c r="A1037" s="1">
        <v>1036</v>
      </c>
      <c r="B1037" s="4">
        <v>7500</v>
      </c>
      <c r="C1037" s="4">
        <v>159.4</v>
      </c>
      <c r="D1037" s="4">
        <v>159.5</v>
      </c>
      <c r="E1037" s="4">
        <f t="shared" si="510"/>
        <v>9.9999999999994316E-2</v>
      </c>
      <c r="F1037" s="4">
        <v>0</v>
      </c>
      <c r="G1037" s="4">
        <v>-7.0000000000000007E-2</v>
      </c>
      <c r="H1037" s="4">
        <v>79</v>
      </c>
      <c r="I1037" s="4"/>
      <c r="J1037" s="4">
        <v>50</v>
      </c>
      <c r="K1037" s="2"/>
      <c r="M1037" s="4">
        <f t="shared" si="511"/>
        <v>159.5</v>
      </c>
      <c r="N1037" s="4"/>
      <c r="O1037" s="1">
        <f t="shared" si="512"/>
        <v>159.4</v>
      </c>
      <c r="P1037" s="1">
        <f t="shared" si="513"/>
        <v>0</v>
      </c>
      <c r="Q1037" s="1" t="str">
        <f t="shared" si="509"/>
        <v/>
      </c>
      <c r="R1037" s="1" t="str">
        <f t="shared" si="514"/>
        <v/>
      </c>
      <c r="S1037" s="1">
        <f t="shared" si="515"/>
        <v>546.21120000000235</v>
      </c>
      <c r="T1037" s="1">
        <f t="shared" si="516"/>
        <v>-7.0000000000000007E-2</v>
      </c>
      <c r="U1037" s="1">
        <f t="shared" si="517"/>
        <v>527.99999999996999</v>
      </c>
      <c r="V1037" s="1">
        <f t="shared" si="518"/>
        <v>36.959999999997905</v>
      </c>
    </row>
    <row r="1038" spans="1:22" x14ac:dyDescent="0.25">
      <c r="A1038" s="1">
        <v>1037</v>
      </c>
      <c r="B1038" s="4">
        <v>7500</v>
      </c>
      <c r="C1038" s="4">
        <v>159.5</v>
      </c>
      <c r="D1038" s="4">
        <v>159.6</v>
      </c>
      <c r="E1038" s="4">
        <f t="shared" si="510"/>
        <v>9.9999999999994316E-2</v>
      </c>
      <c r="F1038" s="4">
        <v>0</v>
      </c>
      <c r="G1038" s="4">
        <v>-7.0000000000000007E-2</v>
      </c>
      <c r="H1038" s="4">
        <v>79</v>
      </c>
      <c r="I1038" s="4"/>
      <c r="J1038" s="4">
        <v>50</v>
      </c>
      <c r="K1038" s="2"/>
      <c r="M1038" s="4">
        <f t="shared" si="511"/>
        <v>159.6</v>
      </c>
      <c r="N1038" s="4"/>
      <c r="O1038" s="1">
        <f t="shared" si="512"/>
        <v>159.5</v>
      </c>
      <c r="P1038" s="1">
        <f t="shared" si="513"/>
        <v>0</v>
      </c>
      <c r="Q1038" s="1" t="str">
        <f t="shared" si="509"/>
        <v/>
      </c>
      <c r="R1038" s="1" t="str">
        <f t="shared" si="514"/>
        <v/>
      </c>
      <c r="S1038" s="1">
        <f t="shared" si="515"/>
        <v>545.84160000000236</v>
      </c>
      <c r="T1038" s="1">
        <f t="shared" si="516"/>
        <v>-7.0000000000000007E-2</v>
      </c>
      <c r="U1038" s="1">
        <f t="shared" si="517"/>
        <v>527.99999999996999</v>
      </c>
      <c r="V1038" s="1">
        <f t="shared" si="518"/>
        <v>36.959999999997905</v>
      </c>
    </row>
    <row r="1039" spans="1:22" x14ac:dyDescent="0.25">
      <c r="A1039" s="1">
        <v>1038</v>
      </c>
      <c r="B1039" s="4">
        <v>7500</v>
      </c>
      <c r="C1039" s="4">
        <v>159.6</v>
      </c>
      <c r="D1039" s="4">
        <v>159.79999999999998</v>
      </c>
      <c r="E1039" s="4">
        <f t="shared" si="510"/>
        <v>0.19999999999998863</v>
      </c>
      <c r="F1039" s="4">
        <v>2</v>
      </c>
      <c r="G1039" s="4">
        <v>0.03</v>
      </c>
      <c r="H1039" s="4">
        <v>79</v>
      </c>
      <c r="I1039" s="4"/>
      <c r="J1039" s="4">
        <v>50</v>
      </c>
      <c r="K1039" s="2"/>
      <c r="M1039" s="4">
        <f t="shared" si="511"/>
        <v>159.79999999999998</v>
      </c>
      <c r="N1039" s="4"/>
      <c r="O1039" s="1">
        <f t="shared" si="512"/>
        <v>159.6</v>
      </c>
      <c r="P1039" s="1">
        <f t="shared" si="513"/>
        <v>21.119999999998797</v>
      </c>
      <c r="Q1039" s="1" t="str">
        <f t="shared" si="509"/>
        <v/>
      </c>
      <c r="R1039" s="1" t="str">
        <f t="shared" si="514"/>
        <v/>
      </c>
      <c r="S1039" s="1">
        <f t="shared" si="515"/>
        <v>545.47200000000237</v>
      </c>
      <c r="T1039" s="1">
        <f t="shared" si="516"/>
        <v>0.03</v>
      </c>
      <c r="U1039" s="1">
        <f t="shared" si="517"/>
        <v>1055.99999999994</v>
      </c>
      <c r="V1039" s="1">
        <f t="shared" si="518"/>
        <v>31.679999999998198</v>
      </c>
    </row>
    <row r="1040" spans="1:22" x14ac:dyDescent="0.25">
      <c r="A1040" s="1">
        <v>1039</v>
      </c>
      <c r="B1040" s="4">
        <v>7500</v>
      </c>
      <c r="C1040" s="4">
        <v>159.79999999999998</v>
      </c>
      <c r="D1040" s="4">
        <v>159.9</v>
      </c>
      <c r="E1040" s="4">
        <f t="shared" si="510"/>
        <v>0.10000000000002274</v>
      </c>
      <c r="F1040" s="4">
        <v>0</v>
      </c>
      <c r="G1040" s="4">
        <v>-0.08</v>
      </c>
      <c r="H1040" s="4">
        <v>79</v>
      </c>
      <c r="I1040" s="4"/>
      <c r="J1040" s="4">
        <v>50</v>
      </c>
      <c r="K1040" s="2"/>
      <c r="M1040" s="4">
        <f t="shared" si="511"/>
        <v>159.9</v>
      </c>
      <c r="N1040" s="4"/>
      <c r="O1040" s="1">
        <f t="shared" si="512"/>
        <v>159.79999999999998</v>
      </c>
      <c r="P1040" s="1">
        <f t="shared" si="513"/>
        <v>0</v>
      </c>
      <c r="Q1040" s="1" t="str">
        <f t="shared" si="509"/>
        <v/>
      </c>
      <c r="R1040" s="1" t="str">
        <f t="shared" si="514"/>
        <v/>
      </c>
      <c r="S1040" s="1">
        <f t="shared" si="515"/>
        <v>545.78880000000231</v>
      </c>
      <c r="T1040" s="1">
        <f t="shared" si="516"/>
        <v>-0.08</v>
      </c>
      <c r="U1040" s="1">
        <f t="shared" si="517"/>
        <v>528.00000000012005</v>
      </c>
      <c r="V1040" s="1">
        <f t="shared" si="518"/>
        <v>42.240000000009609</v>
      </c>
    </row>
    <row r="1041" spans="1:22" x14ac:dyDescent="0.25">
      <c r="A1041" s="1">
        <v>1040</v>
      </c>
      <c r="B1041" s="4">
        <v>7500</v>
      </c>
      <c r="C1041" s="4">
        <v>159.9</v>
      </c>
      <c r="D1041" s="4">
        <v>160</v>
      </c>
      <c r="E1041" s="4">
        <f t="shared" si="510"/>
        <v>9.9999999999994316E-2</v>
      </c>
      <c r="F1041" s="4">
        <v>0</v>
      </c>
      <c r="G1041" s="4">
        <v>0.2</v>
      </c>
      <c r="H1041" s="4">
        <v>79</v>
      </c>
      <c r="I1041" s="4"/>
      <c r="J1041" s="4">
        <v>50</v>
      </c>
      <c r="K1041" s="2"/>
      <c r="M1041" s="4">
        <f t="shared" si="511"/>
        <v>160</v>
      </c>
      <c r="N1041" s="4"/>
      <c r="O1041" s="1">
        <f t="shared" si="512"/>
        <v>159.9</v>
      </c>
      <c r="P1041" s="1">
        <f t="shared" si="513"/>
        <v>0</v>
      </c>
      <c r="Q1041" s="1" t="str">
        <f t="shared" si="509"/>
        <v/>
      </c>
      <c r="R1041" s="1" t="str">
        <f t="shared" si="514"/>
        <v/>
      </c>
      <c r="S1041" s="1">
        <f t="shared" si="515"/>
        <v>545.36640000000216</v>
      </c>
      <c r="T1041" s="1">
        <f t="shared" si="516"/>
        <v>0.2</v>
      </c>
      <c r="U1041" s="1">
        <f t="shared" si="517"/>
        <v>527.99999999996999</v>
      </c>
      <c r="V1041" s="1">
        <f t="shared" si="518"/>
        <v>105.599999999994</v>
      </c>
    </row>
    <row r="1042" spans="1:22" x14ac:dyDescent="0.25">
      <c r="A1042" s="1">
        <v>1041</v>
      </c>
      <c r="B1042" s="4">
        <v>7500</v>
      </c>
      <c r="C1042" s="4">
        <v>160</v>
      </c>
      <c r="D1042" s="4">
        <v>160.1</v>
      </c>
      <c r="E1042" s="4">
        <f t="shared" si="510"/>
        <v>9.9999999999994316E-2</v>
      </c>
      <c r="F1042" s="4">
        <v>0</v>
      </c>
      <c r="G1042" s="4">
        <v>0.28999999999999998</v>
      </c>
      <c r="H1042" s="4">
        <v>79</v>
      </c>
      <c r="I1042" s="4"/>
      <c r="J1042" s="4">
        <v>50</v>
      </c>
      <c r="K1042" s="2"/>
      <c r="M1042" s="4">
        <f t="shared" si="511"/>
        <v>160.1</v>
      </c>
      <c r="N1042" s="4"/>
      <c r="O1042" s="1">
        <f t="shared" si="512"/>
        <v>160</v>
      </c>
      <c r="P1042" s="1">
        <f t="shared" si="513"/>
        <v>0</v>
      </c>
      <c r="Q1042" s="1" t="str">
        <f t="shared" si="509"/>
        <v/>
      </c>
      <c r="R1042" s="1" t="str">
        <f t="shared" si="514"/>
        <v/>
      </c>
      <c r="S1042" s="1">
        <f t="shared" si="515"/>
        <v>546.42240000000209</v>
      </c>
      <c r="T1042" s="1">
        <f t="shared" si="516"/>
        <v>0.28999999999999998</v>
      </c>
      <c r="U1042" s="1">
        <f t="shared" si="517"/>
        <v>527.99999999996999</v>
      </c>
      <c r="V1042" s="1">
        <f t="shared" si="518"/>
        <v>153.11999999999128</v>
      </c>
    </row>
    <row r="1043" spans="1:22" x14ac:dyDescent="0.25">
      <c r="A1043" s="1">
        <v>1042</v>
      </c>
      <c r="B1043" s="4">
        <v>7500</v>
      </c>
      <c r="C1043" s="4">
        <v>160.1</v>
      </c>
      <c r="D1043" s="4">
        <v>160.19999999999999</v>
      </c>
      <c r="E1043" s="4">
        <f t="shared" si="510"/>
        <v>9.9999999999994316E-2</v>
      </c>
      <c r="F1043" s="4">
        <v>0</v>
      </c>
      <c r="G1043" s="4">
        <v>0.48</v>
      </c>
      <c r="H1043" s="4">
        <v>79</v>
      </c>
      <c r="I1043" s="4"/>
      <c r="J1043" s="4">
        <v>50</v>
      </c>
      <c r="K1043" s="2"/>
      <c r="M1043" s="4">
        <f t="shared" si="511"/>
        <v>160.19999999999999</v>
      </c>
      <c r="N1043" s="4"/>
      <c r="O1043" s="1">
        <f t="shared" si="512"/>
        <v>160.1</v>
      </c>
      <c r="P1043" s="1">
        <f t="shared" si="513"/>
        <v>0</v>
      </c>
      <c r="Q1043" s="1" t="str">
        <f t="shared" si="509"/>
        <v/>
      </c>
      <c r="R1043" s="1" t="str">
        <f t="shared" si="514"/>
        <v/>
      </c>
      <c r="S1043" s="1">
        <f t="shared" si="515"/>
        <v>547.95360000000198</v>
      </c>
      <c r="T1043" s="1">
        <f t="shared" si="516"/>
        <v>0.48</v>
      </c>
      <c r="U1043" s="1">
        <f t="shared" si="517"/>
        <v>527.99999999996999</v>
      </c>
      <c r="V1043" s="1">
        <f t="shared" si="518"/>
        <v>253.43999999998559</v>
      </c>
    </row>
    <row r="1044" spans="1:22" x14ac:dyDescent="0.25">
      <c r="A1044" s="1">
        <v>1043</v>
      </c>
      <c r="B1044" s="4">
        <v>7500</v>
      </c>
      <c r="C1044" s="4">
        <v>160.19999999999999</v>
      </c>
      <c r="D1044" s="4">
        <v>160.29999999999998</v>
      </c>
      <c r="E1044" s="4">
        <f t="shared" si="510"/>
        <v>9.9999999999994316E-2</v>
      </c>
      <c r="F1044" s="4">
        <v>0</v>
      </c>
      <c r="G1044" s="4">
        <v>0.57999999999999996</v>
      </c>
      <c r="H1044" s="4">
        <v>79</v>
      </c>
      <c r="I1044" s="4"/>
      <c r="J1044" s="4">
        <v>50</v>
      </c>
      <c r="K1044" s="2"/>
      <c r="M1044" s="4">
        <f t="shared" si="511"/>
        <v>160.29999999999998</v>
      </c>
      <c r="N1044" s="4"/>
      <c r="O1044" s="1">
        <f t="shared" si="512"/>
        <v>160.19999999999999</v>
      </c>
      <c r="P1044" s="1">
        <f t="shared" si="513"/>
        <v>0</v>
      </c>
      <c r="Q1044" s="1" t="str">
        <f t="shared" si="509"/>
        <v/>
      </c>
      <c r="R1044" s="1" t="str">
        <f t="shared" si="514"/>
        <v/>
      </c>
      <c r="S1044" s="1">
        <f t="shared" si="515"/>
        <v>550.48800000000188</v>
      </c>
      <c r="T1044" s="1">
        <f t="shared" si="516"/>
        <v>0.57999999999999996</v>
      </c>
      <c r="U1044" s="1">
        <f t="shared" si="517"/>
        <v>527.99999999996999</v>
      </c>
      <c r="V1044" s="1">
        <f t="shared" si="518"/>
        <v>306.23999999998256</v>
      </c>
    </row>
    <row r="1045" spans="1:22" x14ac:dyDescent="0.25">
      <c r="A1045" s="1">
        <v>1044</v>
      </c>
      <c r="B1045" s="4">
        <v>7500</v>
      </c>
      <c r="C1045" s="4">
        <v>160.29999999999998</v>
      </c>
      <c r="D1045" s="4">
        <v>160.4</v>
      </c>
      <c r="E1045" s="4">
        <f t="shared" si="510"/>
        <v>0.10000000000002274</v>
      </c>
      <c r="F1045" s="4">
        <v>0</v>
      </c>
      <c r="G1045" s="4">
        <v>-0.26</v>
      </c>
      <c r="H1045" s="4">
        <v>79</v>
      </c>
      <c r="I1045" s="4"/>
      <c r="J1045" s="4">
        <v>50</v>
      </c>
      <c r="K1045" s="2"/>
      <c r="M1045" s="4">
        <f t="shared" si="511"/>
        <v>160.4</v>
      </c>
      <c r="N1045" s="4"/>
      <c r="O1045" s="1">
        <f t="shared" si="512"/>
        <v>160.29999999999998</v>
      </c>
      <c r="P1045" s="1">
        <f t="shared" si="513"/>
        <v>0</v>
      </c>
      <c r="Q1045" s="1" t="str">
        <f t="shared" si="509"/>
        <v/>
      </c>
      <c r="R1045" s="1" t="str">
        <f t="shared" si="514"/>
        <v/>
      </c>
      <c r="S1045" s="1">
        <f t="shared" si="515"/>
        <v>553.55040000000167</v>
      </c>
      <c r="T1045" s="1">
        <f t="shared" si="516"/>
        <v>-0.26</v>
      </c>
      <c r="U1045" s="1">
        <f t="shared" si="517"/>
        <v>528.00000000012005</v>
      </c>
      <c r="V1045" s="1">
        <f t="shared" si="518"/>
        <v>137.28000000003121</v>
      </c>
    </row>
    <row r="1046" spans="1:22" x14ac:dyDescent="0.25">
      <c r="A1046" s="1">
        <v>1045</v>
      </c>
      <c r="B1046" s="4">
        <v>7500</v>
      </c>
      <c r="C1046" s="4">
        <v>160.4</v>
      </c>
      <c r="D1046" s="4">
        <v>160.5</v>
      </c>
      <c r="E1046" s="4">
        <f t="shared" si="510"/>
        <v>9.9999999999994316E-2</v>
      </c>
      <c r="F1046" s="4">
        <v>0</v>
      </c>
      <c r="G1046" s="4">
        <v>-0.54</v>
      </c>
      <c r="H1046" s="4">
        <v>79</v>
      </c>
      <c r="I1046" s="4"/>
      <c r="J1046" s="4">
        <v>50</v>
      </c>
      <c r="K1046" s="2"/>
      <c r="M1046" s="4">
        <f t="shared" si="511"/>
        <v>160.5</v>
      </c>
      <c r="N1046" s="4"/>
      <c r="O1046" s="1">
        <f t="shared" si="512"/>
        <v>160.4</v>
      </c>
      <c r="P1046" s="1">
        <f t="shared" si="513"/>
        <v>0</v>
      </c>
      <c r="Q1046" s="1" t="str">
        <f t="shared" si="509"/>
        <v/>
      </c>
      <c r="R1046" s="1" t="str">
        <f t="shared" si="514"/>
        <v/>
      </c>
      <c r="S1046" s="1">
        <f t="shared" si="515"/>
        <v>552.17760000000135</v>
      </c>
      <c r="T1046" s="1">
        <f t="shared" si="516"/>
        <v>-0.54</v>
      </c>
      <c r="U1046" s="1">
        <f t="shared" si="517"/>
        <v>527.99999999996999</v>
      </c>
      <c r="V1046" s="1">
        <f t="shared" si="518"/>
        <v>285.1199999999838</v>
      </c>
    </row>
    <row r="1047" spans="1:22" x14ac:dyDescent="0.25">
      <c r="A1047" s="1">
        <v>1046</v>
      </c>
      <c r="B1047" s="4">
        <v>7500</v>
      </c>
      <c r="C1047" s="4">
        <v>160.5</v>
      </c>
      <c r="D1047" s="4">
        <v>160.69999999999999</v>
      </c>
      <c r="E1047" s="4">
        <f t="shared" si="510"/>
        <v>0.19999999999998863</v>
      </c>
      <c r="F1047" s="4">
        <v>0</v>
      </c>
      <c r="G1047" s="4">
        <v>-0.49</v>
      </c>
      <c r="H1047" s="4">
        <v>79</v>
      </c>
      <c r="I1047" s="4"/>
      <c r="J1047" s="4">
        <v>50</v>
      </c>
      <c r="K1047" s="2"/>
      <c r="M1047" s="4">
        <f t="shared" si="511"/>
        <v>160.69999999999999</v>
      </c>
      <c r="N1047" s="4"/>
      <c r="O1047" s="1">
        <f t="shared" si="512"/>
        <v>160.5</v>
      </c>
      <c r="P1047" s="1">
        <f t="shared" si="513"/>
        <v>0</v>
      </c>
      <c r="Q1047" s="1" t="str">
        <f t="shared" si="509"/>
        <v/>
      </c>
      <c r="R1047" s="1" t="str">
        <f t="shared" si="514"/>
        <v/>
      </c>
      <c r="S1047" s="1">
        <f t="shared" si="515"/>
        <v>549.32640000000151</v>
      </c>
      <c r="T1047" s="1">
        <f t="shared" si="516"/>
        <v>-0.49</v>
      </c>
      <c r="U1047" s="1">
        <f t="shared" si="517"/>
        <v>1055.99999999994</v>
      </c>
      <c r="V1047" s="1">
        <f t="shared" si="518"/>
        <v>517.43999999997061</v>
      </c>
    </row>
    <row r="1048" spans="1:22" x14ac:dyDescent="0.25">
      <c r="A1048" s="1">
        <v>1047</v>
      </c>
      <c r="B1048" s="4">
        <v>7500</v>
      </c>
      <c r="C1048" s="4">
        <v>160.69999999999999</v>
      </c>
      <c r="D1048" s="4">
        <v>160.79999999999998</v>
      </c>
      <c r="E1048" s="4">
        <f t="shared" si="510"/>
        <v>9.9999999999994316E-2</v>
      </c>
      <c r="F1048" s="4">
        <v>0</v>
      </c>
      <c r="G1048" s="4">
        <v>-0.45</v>
      </c>
      <c r="H1048" s="4">
        <v>79</v>
      </c>
      <c r="I1048" s="4"/>
      <c r="J1048" s="4">
        <v>50</v>
      </c>
      <c r="K1048" s="2"/>
      <c r="M1048" s="4">
        <f t="shared" si="511"/>
        <v>160.79999999999998</v>
      </c>
      <c r="N1048" s="4"/>
      <c r="O1048" s="1">
        <f t="shared" si="512"/>
        <v>160.69999999999999</v>
      </c>
      <c r="P1048" s="1">
        <f t="shared" si="513"/>
        <v>0</v>
      </c>
      <c r="Q1048" s="1" t="str">
        <f t="shared" si="509"/>
        <v/>
      </c>
      <c r="R1048" s="1" t="str">
        <f t="shared" si="514"/>
        <v/>
      </c>
      <c r="S1048" s="1">
        <f t="shared" si="515"/>
        <v>544.15200000000186</v>
      </c>
      <c r="T1048" s="1">
        <f t="shared" si="516"/>
        <v>-0.45</v>
      </c>
      <c r="U1048" s="1">
        <f t="shared" si="517"/>
        <v>527.99999999996999</v>
      </c>
      <c r="V1048" s="1">
        <f t="shared" si="518"/>
        <v>237.59999999998649</v>
      </c>
    </row>
    <row r="1049" spans="1:22" x14ac:dyDescent="0.25">
      <c r="A1049" s="1">
        <v>1048</v>
      </c>
      <c r="B1049" s="4">
        <v>7500</v>
      </c>
      <c r="C1049" s="4">
        <v>160.79999999999998</v>
      </c>
      <c r="D1049" s="4">
        <v>160.9</v>
      </c>
      <c r="E1049" s="4">
        <f t="shared" si="510"/>
        <v>0.10000000000002274</v>
      </c>
      <c r="F1049" s="4">
        <v>1</v>
      </c>
      <c r="G1049" s="4">
        <v>-0.24</v>
      </c>
      <c r="H1049" s="4">
        <v>79</v>
      </c>
      <c r="I1049" s="4"/>
      <c r="J1049" s="4">
        <v>50</v>
      </c>
      <c r="K1049" s="2"/>
      <c r="M1049" s="4">
        <f t="shared" si="511"/>
        <v>160.9</v>
      </c>
      <c r="N1049" s="4"/>
      <c r="O1049" s="1">
        <f t="shared" si="512"/>
        <v>160.79999999999998</v>
      </c>
      <c r="P1049" s="1">
        <f t="shared" si="513"/>
        <v>5.2800000000012002</v>
      </c>
      <c r="Q1049" s="1" t="str">
        <f t="shared" si="509"/>
        <v/>
      </c>
      <c r="R1049" s="1" t="str">
        <f t="shared" si="514"/>
        <v/>
      </c>
      <c r="S1049" s="1">
        <f t="shared" si="515"/>
        <v>541.776000000002</v>
      </c>
      <c r="T1049" s="1">
        <f t="shared" si="516"/>
        <v>-0.24</v>
      </c>
      <c r="U1049" s="1">
        <f t="shared" si="517"/>
        <v>528.00000000012005</v>
      </c>
      <c r="V1049" s="1">
        <f t="shared" si="518"/>
        <v>126.7200000000288</v>
      </c>
    </row>
    <row r="1050" spans="1:22" x14ac:dyDescent="0.25">
      <c r="A1050" s="1">
        <v>1049</v>
      </c>
      <c r="B1050" s="4">
        <v>7500</v>
      </c>
      <c r="C1050" s="4">
        <v>160.9</v>
      </c>
      <c r="D1050" s="4">
        <v>161</v>
      </c>
      <c r="E1050" s="4">
        <f t="shared" si="510"/>
        <v>9.9999999999994316E-2</v>
      </c>
      <c r="F1050" s="4">
        <v>1</v>
      </c>
      <c r="G1050" s="4">
        <v>0.39</v>
      </c>
      <c r="H1050" s="4">
        <v>79</v>
      </c>
      <c r="I1050" s="4"/>
      <c r="J1050" s="4">
        <v>50</v>
      </c>
      <c r="K1050" s="2"/>
      <c r="M1050" s="4">
        <f t="shared" si="511"/>
        <v>161</v>
      </c>
      <c r="N1050" s="4"/>
      <c r="O1050" s="1">
        <f t="shared" si="512"/>
        <v>160.9</v>
      </c>
      <c r="P1050" s="1">
        <f t="shared" si="513"/>
        <v>5.2799999999996992</v>
      </c>
      <c r="Q1050" s="1" t="str">
        <f t="shared" si="509"/>
        <v/>
      </c>
      <c r="R1050" s="1" t="str">
        <f t="shared" si="514"/>
        <v/>
      </c>
      <c r="S1050" s="1">
        <f t="shared" si="515"/>
        <v>540.50880000000166</v>
      </c>
      <c r="T1050" s="1">
        <f t="shared" si="516"/>
        <v>0.39</v>
      </c>
      <c r="U1050" s="1">
        <f t="shared" si="517"/>
        <v>527.99999999996999</v>
      </c>
      <c r="V1050" s="1">
        <f t="shared" si="518"/>
        <v>205.91999999998831</v>
      </c>
    </row>
    <row r="1051" spans="1:22" x14ac:dyDescent="0.25">
      <c r="A1051" s="1">
        <v>1050</v>
      </c>
      <c r="B1051" s="4">
        <v>7500</v>
      </c>
      <c r="C1051" s="4">
        <v>161</v>
      </c>
      <c r="D1051" s="4">
        <v>161.1</v>
      </c>
      <c r="E1051" s="4">
        <f t="shared" si="510"/>
        <v>9.9999999999994316E-2</v>
      </c>
      <c r="F1051" s="4">
        <v>0</v>
      </c>
      <c r="G1051" s="4">
        <v>0.39</v>
      </c>
      <c r="H1051" s="4">
        <v>79</v>
      </c>
      <c r="I1051" s="4"/>
      <c r="J1051" s="4">
        <v>50</v>
      </c>
      <c r="K1051" s="2"/>
      <c r="M1051" s="4">
        <f t="shared" si="511"/>
        <v>161.1</v>
      </c>
      <c r="N1051" s="4"/>
      <c r="O1051" s="1">
        <f t="shared" si="512"/>
        <v>161</v>
      </c>
      <c r="P1051" s="1">
        <f t="shared" si="513"/>
        <v>0</v>
      </c>
      <c r="Q1051" s="1" t="str">
        <f t="shared" si="509"/>
        <v/>
      </c>
      <c r="R1051" s="1" t="str">
        <f t="shared" si="514"/>
        <v/>
      </c>
      <c r="S1051" s="1">
        <f t="shared" si="515"/>
        <v>542.56800000000158</v>
      </c>
      <c r="T1051" s="1">
        <f t="shared" si="516"/>
        <v>0.39</v>
      </c>
      <c r="U1051" s="1">
        <f t="shared" si="517"/>
        <v>527.99999999996999</v>
      </c>
      <c r="V1051" s="1">
        <f t="shared" si="518"/>
        <v>205.91999999998831</v>
      </c>
    </row>
    <row r="1052" spans="1:22" x14ac:dyDescent="0.25">
      <c r="A1052" s="1">
        <v>1051</v>
      </c>
      <c r="B1052" s="4">
        <v>7500</v>
      </c>
      <c r="C1052" s="4">
        <v>161.1</v>
      </c>
      <c r="D1052" s="4">
        <v>161.19999999999999</v>
      </c>
      <c r="E1052" s="4">
        <f t="shared" si="510"/>
        <v>9.9999999999994316E-2</v>
      </c>
      <c r="F1052" s="4">
        <v>0</v>
      </c>
      <c r="G1052" s="4">
        <v>0.45</v>
      </c>
      <c r="H1052" s="4">
        <v>79</v>
      </c>
      <c r="I1052" s="4"/>
      <c r="J1052" s="4">
        <v>50</v>
      </c>
      <c r="K1052" s="2"/>
      <c r="M1052" s="4">
        <f t="shared" si="511"/>
        <v>161.19999999999999</v>
      </c>
      <c r="N1052" s="4"/>
      <c r="O1052" s="1">
        <f t="shared" si="512"/>
        <v>161.1</v>
      </c>
      <c r="P1052" s="1">
        <f t="shared" si="513"/>
        <v>0</v>
      </c>
      <c r="Q1052" s="1" t="str">
        <f t="shared" si="509"/>
        <v/>
      </c>
      <c r="R1052" s="1" t="str">
        <f t="shared" si="514"/>
        <v/>
      </c>
      <c r="S1052" s="1">
        <f t="shared" si="515"/>
        <v>544.62720000000149</v>
      </c>
      <c r="T1052" s="1">
        <f t="shared" si="516"/>
        <v>0.45</v>
      </c>
      <c r="U1052" s="1">
        <f t="shared" si="517"/>
        <v>527.99999999996999</v>
      </c>
      <c r="V1052" s="1">
        <f t="shared" si="518"/>
        <v>237.59999999998649</v>
      </c>
    </row>
    <row r="1053" spans="1:22" x14ac:dyDescent="0.25">
      <c r="A1053" s="1">
        <v>1052</v>
      </c>
      <c r="B1053" s="4">
        <v>7500</v>
      </c>
      <c r="C1053" s="4">
        <v>161.19999999999999</v>
      </c>
      <c r="D1053" s="4">
        <v>161.4</v>
      </c>
      <c r="E1053" s="4">
        <f t="shared" si="510"/>
        <v>0.20000000000001705</v>
      </c>
      <c r="F1053" s="4">
        <v>0</v>
      </c>
      <c r="G1053" s="4">
        <v>0.57999999999999996</v>
      </c>
      <c r="H1053" s="4">
        <v>79</v>
      </c>
      <c r="I1053" s="4"/>
      <c r="J1053" s="4">
        <v>50</v>
      </c>
      <c r="K1053" s="2"/>
      <c r="M1053" s="4">
        <f t="shared" si="511"/>
        <v>161.4</v>
      </c>
      <c r="N1053" s="4"/>
      <c r="O1053" s="1">
        <f t="shared" si="512"/>
        <v>161.19999999999999</v>
      </c>
      <c r="P1053" s="1">
        <f t="shared" si="513"/>
        <v>0</v>
      </c>
      <c r="Q1053" s="1" t="str">
        <f t="shared" si="509"/>
        <v/>
      </c>
      <c r="R1053" s="1" t="str">
        <f t="shared" si="514"/>
        <v/>
      </c>
      <c r="S1053" s="1">
        <f t="shared" si="515"/>
        <v>547.00320000000136</v>
      </c>
      <c r="T1053" s="1">
        <f t="shared" si="516"/>
        <v>0.57999999999999996</v>
      </c>
      <c r="U1053" s="1">
        <f t="shared" si="517"/>
        <v>1056.00000000009</v>
      </c>
      <c r="V1053" s="1">
        <f t="shared" si="518"/>
        <v>612.4800000000522</v>
      </c>
    </row>
    <row r="1054" spans="1:22" x14ac:dyDescent="0.25">
      <c r="A1054" s="1">
        <v>1053</v>
      </c>
      <c r="B1054" s="4">
        <v>7500</v>
      </c>
      <c r="C1054" s="4">
        <v>161.4</v>
      </c>
      <c r="D1054" s="4">
        <v>161.5</v>
      </c>
      <c r="E1054" s="4">
        <f t="shared" si="510"/>
        <v>9.9999999999994316E-2</v>
      </c>
      <c r="F1054" s="4">
        <v>0</v>
      </c>
      <c r="G1054" s="4">
        <v>0.64</v>
      </c>
      <c r="H1054" s="4">
        <v>79</v>
      </c>
      <c r="I1054" s="4"/>
      <c r="J1054" s="4">
        <v>50</v>
      </c>
      <c r="K1054" s="2"/>
      <c r="M1054" s="4">
        <f t="shared" si="511"/>
        <v>161.5</v>
      </c>
      <c r="N1054" s="4"/>
      <c r="O1054" s="1">
        <f t="shared" si="512"/>
        <v>161.4</v>
      </c>
      <c r="P1054" s="1">
        <f t="shared" si="513"/>
        <v>0</v>
      </c>
      <c r="Q1054" s="1" t="str">
        <f t="shared" si="509"/>
        <v/>
      </c>
      <c r="R1054" s="1" t="str">
        <f t="shared" si="514"/>
        <v/>
      </c>
      <c r="S1054" s="1">
        <f t="shared" si="515"/>
        <v>553.12800000000186</v>
      </c>
      <c r="T1054" s="1">
        <f t="shared" si="516"/>
        <v>0.64</v>
      </c>
      <c r="U1054" s="1">
        <f t="shared" si="517"/>
        <v>527.99999999996999</v>
      </c>
      <c r="V1054" s="1">
        <f t="shared" si="518"/>
        <v>337.9199999999808</v>
      </c>
    </row>
    <row r="1055" spans="1:22" x14ac:dyDescent="0.25">
      <c r="A1055" s="1">
        <v>1054</v>
      </c>
      <c r="B1055" s="4">
        <v>7500</v>
      </c>
      <c r="C1055" s="4">
        <v>161.5</v>
      </c>
      <c r="D1055" s="4">
        <v>161.69999999999999</v>
      </c>
      <c r="E1055" s="4">
        <f t="shared" si="510"/>
        <v>0.19999999999998863</v>
      </c>
      <c r="F1055" s="4">
        <v>0</v>
      </c>
      <c r="G1055" s="4">
        <v>0.64</v>
      </c>
      <c r="H1055" s="4">
        <v>79</v>
      </c>
      <c r="I1055" s="4"/>
      <c r="J1055" s="4">
        <v>50</v>
      </c>
      <c r="K1055" s="2"/>
      <c r="M1055" s="4">
        <f t="shared" si="511"/>
        <v>161.69999999999999</v>
      </c>
      <c r="N1055" s="4"/>
      <c r="O1055" s="1">
        <f t="shared" si="512"/>
        <v>161.5</v>
      </c>
      <c r="P1055" s="1">
        <f t="shared" si="513"/>
        <v>0</v>
      </c>
      <c r="Q1055" s="1" t="str">
        <f t="shared" si="509"/>
        <v/>
      </c>
      <c r="R1055" s="1" t="str">
        <f t="shared" si="514"/>
        <v/>
      </c>
      <c r="S1055" s="1">
        <f t="shared" si="515"/>
        <v>556.50720000000172</v>
      </c>
      <c r="T1055" s="1">
        <f t="shared" si="516"/>
        <v>0.64</v>
      </c>
      <c r="U1055" s="1">
        <f t="shared" si="517"/>
        <v>1055.99999999994</v>
      </c>
      <c r="V1055" s="1">
        <f t="shared" si="518"/>
        <v>675.83999999996161</v>
      </c>
    </row>
    <row r="1056" spans="1:22" x14ac:dyDescent="0.25">
      <c r="A1056" s="1">
        <v>1055</v>
      </c>
      <c r="B1056" s="4">
        <v>7500</v>
      </c>
      <c r="C1056" s="4">
        <v>161.69999999999999</v>
      </c>
      <c r="D1056" s="4">
        <v>161.9</v>
      </c>
      <c r="E1056" s="4">
        <f t="shared" si="510"/>
        <v>0.20000000000001705</v>
      </c>
      <c r="F1056" s="4">
        <v>0</v>
      </c>
      <c r="G1056" s="4">
        <v>0.59</v>
      </c>
      <c r="H1056" s="4">
        <v>79</v>
      </c>
      <c r="I1056" s="4"/>
      <c r="J1056" s="4">
        <v>50</v>
      </c>
      <c r="K1056" s="2"/>
      <c r="M1056" s="4">
        <f t="shared" si="511"/>
        <v>161.9</v>
      </c>
      <c r="N1056" s="4"/>
      <c r="O1056" s="1">
        <f t="shared" si="512"/>
        <v>161.69999999999999</v>
      </c>
      <c r="P1056" s="1">
        <f t="shared" si="513"/>
        <v>0</v>
      </c>
      <c r="Q1056" s="1" t="str">
        <f t="shared" si="509"/>
        <v/>
      </c>
      <c r="R1056" s="1" t="str">
        <f t="shared" si="514"/>
        <v/>
      </c>
      <c r="S1056" s="1">
        <f t="shared" si="515"/>
        <v>563.26560000000131</v>
      </c>
      <c r="T1056" s="1">
        <f t="shared" si="516"/>
        <v>0.59</v>
      </c>
      <c r="U1056" s="1">
        <f t="shared" si="517"/>
        <v>1056.00000000009</v>
      </c>
      <c r="V1056" s="1">
        <f t="shared" si="518"/>
        <v>623.04000000005306</v>
      </c>
    </row>
    <row r="1057" spans="1:22" x14ac:dyDescent="0.25">
      <c r="A1057" s="1">
        <v>1056</v>
      </c>
      <c r="B1057" s="4">
        <v>7500</v>
      </c>
      <c r="C1057" s="4">
        <v>161.9</v>
      </c>
      <c r="D1057" s="4">
        <v>162</v>
      </c>
      <c r="E1057" s="4">
        <f t="shared" si="510"/>
        <v>9.9999999999994316E-2</v>
      </c>
      <c r="F1057" s="4">
        <v>0</v>
      </c>
      <c r="G1057" s="4">
        <v>0.49</v>
      </c>
      <c r="H1057" s="4">
        <v>79</v>
      </c>
      <c r="I1057" s="4"/>
      <c r="J1057" s="4">
        <v>50</v>
      </c>
      <c r="K1057" s="2"/>
      <c r="M1057" s="4">
        <f t="shared" si="511"/>
        <v>162</v>
      </c>
      <c r="N1057" s="4"/>
      <c r="O1057" s="1">
        <f t="shared" si="512"/>
        <v>161.9</v>
      </c>
      <c r="P1057" s="1">
        <f t="shared" si="513"/>
        <v>0</v>
      </c>
      <c r="Q1057" s="1" t="str">
        <f t="shared" si="509"/>
        <v/>
      </c>
      <c r="R1057" s="1" t="str">
        <f t="shared" si="514"/>
        <v/>
      </c>
      <c r="S1057" s="1">
        <f t="shared" si="515"/>
        <v>569.4960000000018</v>
      </c>
      <c r="T1057" s="1">
        <f t="shared" si="516"/>
        <v>0.49</v>
      </c>
      <c r="U1057" s="1">
        <f t="shared" si="517"/>
        <v>527.99999999996999</v>
      </c>
      <c r="V1057" s="1">
        <f t="shared" si="518"/>
        <v>258.7199999999853</v>
      </c>
    </row>
    <row r="1058" spans="1:22" x14ac:dyDescent="0.25">
      <c r="A1058" s="1">
        <v>1057</v>
      </c>
      <c r="B1058" s="4">
        <v>7500</v>
      </c>
      <c r="C1058" s="4">
        <v>162</v>
      </c>
      <c r="D1058" s="4">
        <v>162.1</v>
      </c>
      <c r="E1058" s="4">
        <f t="shared" si="510"/>
        <v>9.9999999999994316E-2</v>
      </c>
      <c r="F1058" s="4">
        <v>0</v>
      </c>
      <c r="G1058" s="4">
        <v>0.44</v>
      </c>
      <c r="H1058" s="4">
        <v>79</v>
      </c>
      <c r="I1058" s="4"/>
      <c r="J1058" s="4">
        <v>50</v>
      </c>
      <c r="K1058" s="2"/>
      <c r="M1058" s="4">
        <f t="shared" si="511"/>
        <v>162.1</v>
      </c>
      <c r="N1058" s="4"/>
      <c r="O1058" s="1">
        <f t="shared" si="512"/>
        <v>162</v>
      </c>
      <c r="P1058" s="1">
        <f t="shared" si="513"/>
        <v>0</v>
      </c>
      <c r="Q1058" s="1" t="str">
        <f t="shared" si="509"/>
        <v/>
      </c>
      <c r="R1058" s="1" t="str">
        <f t="shared" si="514"/>
        <v/>
      </c>
      <c r="S1058" s="1">
        <f t="shared" si="515"/>
        <v>572.08320000000163</v>
      </c>
      <c r="T1058" s="1">
        <f t="shared" si="516"/>
        <v>0.44</v>
      </c>
      <c r="U1058" s="1">
        <f t="shared" si="517"/>
        <v>527.99999999996999</v>
      </c>
      <c r="V1058" s="1">
        <f t="shared" si="518"/>
        <v>232.31999999998681</v>
      </c>
    </row>
    <row r="1059" spans="1:22" x14ac:dyDescent="0.25">
      <c r="A1059" s="1">
        <v>1058</v>
      </c>
      <c r="B1059" s="4">
        <v>7500</v>
      </c>
      <c r="C1059" s="4">
        <v>162.1</v>
      </c>
      <c r="D1059" s="4">
        <v>162.19999999999999</v>
      </c>
      <c r="E1059" s="4">
        <f t="shared" si="510"/>
        <v>9.9999999999994316E-2</v>
      </c>
      <c r="F1059" s="4">
        <v>1.8</v>
      </c>
      <c r="G1059" s="4">
        <v>0.35</v>
      </c>
      <c r="H1059" s="4">
        <v>79</v>
      </c>
      <c r="I1059" s="4"/>
      <c r="J1059" s="4">
        <v>50</v>
      </c>
      <c r="K1059" s="2"/>
      <c r="M1059" s="4">
        <f t="shared" si="511"/>
        <v>162.19999999999999</v>
      </c>
      <c r="N1059" s="4"/>
      <c r="O1059" s="1">
        <f t="shared" si="512"/>
        <v>162.1</v>
      </c>
      <c r="P1059" s="1">
        <f t="shared" si="513"/>
        <v>9.5039999999994595</v>
      </c>
      <c r="Q1059" s="1" t="str">
        <f t="shared" si="509"/>
        <v/>
      </c>
      <c r="R1059" s="1" t="str">
        <f t="shared" si="514"/>
        <v/>
      </c>
      <c r="S1059" s="1">
        <f t="shared" si="515"/>
        <v>574.40640000000144</v>
      </c>
      <c r="T1059" s="1">
        <f t="shared" si="516"/>
        <v>0.35</v>
      </c>
      <c r="U1059" s="1">
        <f t="shared" si="517"/>
        <v>527.99999999996999</v>
      </c>
      <c r="V1059" s="1">
        <f t="shared" si="518"/>
        <v>184.7999999999895</v>
      </c>
    </row>
    <row r="1060" spans="1:22" x14ac:dyDescent="0.25">
      <c r="A1060" s="1">
        <v>1059</v>
      </c>
      <c r="B1060" s="4">
        <v>7500</v>
      </c>
      <c r="C1060" s="4">
        <v>162.19999999999999</v>
      </c>
      <c r="D1060" s="4">
        <v>162.29999999999998</v>
      </c>
      <c r="E1060" s="4">
        <f t="shared" si="510"/>
        <v>9.9999999999994316E-2</v>
      </c>
      <c r="F1060" s="4">
        <v>1.8</v>
      </c>
      <c r="G1060" s="4">
        <v>0.09</v>
      </c>
      <c r="H1060" s="4">
        <v>79</v>
      </c>
      <c r="I1060" s="4"/>
      <c r="J1060" s="4">
        <v>50</v>
      </c>
      <c r="K1060" s="2"/>
      <c r="M1060" s="4">
        <f t="shared" si="511"/>
        <v>162.29999999999998</v>
      </c>
      <c r="N1060" s="4"/>
      <c r="O1060" s="1">
        <f t="shared" si="512"/>
        <v>162.19999999999999</v>
      </c>
      <c r="P1060" s="1">
        <f t="shared" si="513"/>
        <v>9.5039999999994595</v>
      </c>
      <c r="Q1060" s="1" t="str">
        <f t="shared" si="509"/>
        <v/>
      </c>
      <c r="R1060" s="1" t="str">
        <f t="shared" si="514"/>
        <v/>
      </c>
      <c r="S1060" s="1">
        <f t="shared" si="515"/>
        <v>576.25440000000128</v>
      </c>
      <c r="T1060" s="1">
        <f t="shared" si="516"/>
        <v>0.09</v>
      </c>
      <c r="U1060" s="1">
        <f t="shared" si="517"/>
        <v>527.99999999996999</v>
      </c>
      <c r="V1060" s="1">
        <f t="shared" si="518"/>
        <v>47.519999999997296</v>
      </c>
    </row>
    <row r="1061" spans="1:22" x14ac:dyDescent="0.25">
      <c r="A1061" s="1">
        <v>1060</v>
      </c>
      <c r="B1061" s="4">
        <v>7500</v>
      </c>
      <c r="C1061" s="4">
        <v>162.29999999999998</v>
      </c>
      <c r="D1061" s="4">
        <v>162.4</v>
      </c>
      <c r="E1061" s="4">
        <f t="shared" si="510"/>
        <v>0.10000000000002274</v>
      </c>
      <c r="F1061" s="4">
        <v>1.8</v>
      </c>
      <c r="G1061" s="4">
        <v>0.09</v>
      </c>
      <c r="H1061" s="4">
        <v>79</v>
      </c>
      <c r="I1061" s="4"/>
      <c r="J1061" s="4">
        <v>50</v>
      </c>
      <c r="K1061" s="2"/>
      <c r="M1061" s="4">
        <f t="shared" si="511"/>
        <v>162.4</v>
      </c>
      <c r="N1061" s="4"/>
      <c r="O1061" s="1">
        <f t="shared" si="512"/>
        <v>162.29999999999998</v>
      </c>
      <c r="P1061" s="1">
        <f t="shared" si="513"/>
        <v>9.5040000000021596</v>
      </c>
      <c r="Q1061" s="1" t="str">
        <f t="shared" si="509"/>
        <v/>
      </c>
      <c r="R1061" s="1" t="str">
        <f t="shared" si="514"/>
        <v/>
      </c>
      <c r="S1061" s="1">
        <f t="shared" si="515"/>
        <v>576.72960000000126</v>
      </c>
      <c r="T1061" s="1">
        <f t="shared" si="516"/>
        <v>0.09</v>
      </c>
      <c r="U1061" s="1">
        <f t="shared" si="517"/>
        <v>528.00000000012005</v>
      </c>
      <c r="V1061" s="1">
        <f t="shared" si="518"/>
        <v>47.520000000010803</v>
      </c>
    </row>
    <row r="1062" spans="1:22" x14ac:dyDescent="0.25">
      <c r="A1062" s="1">
        <v>1061</v>
      </c>
      <c r="B1062" s="4">
        <v>7500</v>
      </c>
      <c r="C1062" s="4">
        <v>162.4</v>
      </c>
      <c r="D1062" s="4">
        <v>162.5</v>
      </c>
      <c r="E1062" s="4">
        <f t="shared" si="510"/>
        <v>9.9999999999994316E-2</v>
      </c>
      <c r="F1062" s="4">
        <v>1.8</v>
      </c>
      <c r="G1062" s="4">
        <v>-0.03</v>
      </c>
      <c r="H1062" s="4">
        <v>79</v>
      </c>
      <c r="I1062" s="4"/>
      <c r="J1062" s="4">
        <v>50</v>
      </c>
      <c r="K1062" s="2"/>
      <c r="M1062" s="4">
        <f t="shared" si="511"/>
        <v>162.5</v>
      </c>
      <c r="N1062" s="4"/>
      <c r="O1062" s="1">
        <f t="shared" si="512"/>
        <v>162.4</v>
      </c>
      <c r="P1062" s="1">
        <f t="shared" si="513"/>
        <v>9.5039999999994595</v>
      </c>
      <c r="Q1062" s="1" t="str">
        <f t="shared" si="509"/>
        <v/>
      </c>
      <c r="R1062" s="1" t="str">
        <f t="shared" si="514"/>
        <v/>
      </c>
      <c r="S1062" s="1">
        <f t="shared" si="515"/>
        <v>577.20480000000134</v>
      </c>
      <c r="T1062" s="1">
        <f t="shared" si="516"/>
        <v>-0.03</v>
      </c>
      <c r="U1062" s="1">
        <f t="shared" si="517"/>
        <v>527.99999999996999</v>
      </c>
      <c r="V1062" s="1">
        <f t="shared" si="518"/>
        <v>15.839999999999099</v>
      </c>
    </row>
    <row r="1063" spans="1:22" x14ac:dyDescent="0.25">
      <c r="A1063" s="1">
        <v>1062</v>
      </c>
      <c r="B1063" s="4">
        <v>7500</v>
      </c>
      <c r="C1063" s="4">
        <v>162.5</v>
      </c>
      <c r="D1063" s="4">
        <v>162.6</v>
      </c>
      <c r="E1063" s="4">
        <f t="shared" si="510"/>
        <v>9.9999999999994316E-2</v>
      </c>
      <c r="F1063" s="4">
        <v>0</v>
      </c>
      <c r="G1063" s="4">
        <v>0.04</v>
      </c>
      <c r="H1063" s="4">
        <v>79</v>
      </c>
      <c r="I1063" s="4"/>
      <c r="J1063" s="4">
        <v>50</v>
      </c>
      <c r="K1063" s="2"/>
      <c r="M1063" s="4">
        <f t="shared" si="511"/>
        <v>162.6</v>
      </c>
      <c r="N1063" s="4"/>
      <c r="O1063" s="1">
        <f t="shared" si="512"/>
        <v>162.5</v>
      </c>
      <c r="P1063" s="1">
        <f t="shared" si="513"/>
        <v>0</v>
      </c>
      <c r="Q1063" s="1" t="str">
        <f t="shared" si="509"/>
        <v/>
      </c>
      <c r="R1063" s="1" t="str">
        <f t="shared" si="514"/>
        <v/>
      </c>
      <c r="S1063" s="1">
        <f t="shared" si="515"/>
        <v>577.04640000000131</v>
      </c>
      <c r="T1063" s="1">
        <f t="shared" si="516"/>
        <v>0.04</v>
      </c>
      <c r="U1063" s="1">
        <f t="shared" si="517"/>
        <v>527.99999999996999</v>
      </c>
      <c r="V1063" s="1">
        <f t="shared" si="518"/>
        <v>21.1199999999988</v>
      </c>
    </row>
    <row r="1064" spans="1:22" x14ac:dyDescent="0.25">
      <c r="A1064" s="1">
        <v>1063</v>
      </c>
      <c r="B1064" s="4">
        <v>7500</v>
      </c>
      <c r="C1064" s="4">
        <v>162.6</v>
      </c>
      <c r="D1064" s="4">
        <v>162.9</v>
      </c>
      <c r="E1064" s="4">
        <f t="shared" si="510"/>
        <v>0.30000000000001137</v>
      </c>
      <c r="F1064" s="4">
        <v>0</v>
      </c>
      <c r="G1064" s="4">
        <v>7.0000000000000007E-2</v>
      </c>
      <c r="H1064" s="4">
        <v>79</v>
      </c>
      <c r="I1064" s="4"/>
      <c r="J1064" s="4">
        <v>50</v>
      </c>
      <c r="K1064" s="2"/>
      <c r="M1064" s="4">
        <f t="shared" si="511"/>
        <v>162.9</v>
      </c>
      <c r="N1064" s="4"/>
      <c r="O1064" s="1">
        <f t="shared" si="512"/>
        <v>162.6</v>
      </c>
      <c r="P1064" s="1">
        <f t="shared" si="513"/>
        <v>0</v>
      </c>
      <c r="Q1064" s="1" t="str">
        <f t="shared" si="509"/>
        <v/>
      </c>
      <c r="R1064" s="1" t="str">
        <f t="shared" si="514"/>
        <v/>
      </c>
      <c r="S1064" s="1">
        <f t="shared" si="515"/>
        <v>577.25760000000128</v>
      </c>
      <c r="T1064" s="1">
        <f t="shared" si="516"/>
        <v>7.0000000000000007E-2</v>
      </c>
      <c r="U1064" s="1">
        <f t="shared" si="517"/>
        <v>1584.00000000006</v>
      </c>
      <c r="V1064" s="1">
        <f t="shared" si="518"/>
        <v>110.88000000000422</v>
      </c>
    </row>
    <row r="1065" spans="1:22" x14ac:dyDescent="0.25">
      <c r="A1065" s="1">
        <v>1064</v>
      </c>
      <c r="B1065" s="4">
        <v>7500</v>
      </c>
      <c r="C1065" s="4">
        <v>162.9</v>
      </c>
      <c r="D1065" s="4">
        <v>163.1</v>
      </c>
      <c r="E1065" s="4">
        <f t="shared" si="510"/>
        <v>0.19999999999998863</v>
      </c>
      <c r="F1065" s="4">
        <v>0</v>
      </c>
      <c r="G1065" s="4">
        <v>0.27</v>
      </c>
      <c r="H1065" s="4">
        <v>79</v>
      </c>
      <c r="I1065" s="4"/>
      <c r="J1065" s="4">
        <v>50</v>
      </c>
      <c r="K1065" s="2"/>
      <c r="M1065" s="4">
        <f t="shared" si="511"/>
        <v>163.1</v>
      </c>
      <c r="N1065" s="4"/>
      <c r="O1065" s="1">
        <f t="shared" si="512"/>
        <v>162.9</v>
      </c>
      <c r="P1065" s="1">
        <f t="shared" si="513"/>
        <v>0</v>
      </c>
      <c r="Q1065" s="1" t="str">
        <f t="shared" si="509"/>
        <v/>
      </c>
      <c r="R1065" s="1" t="str">
        <f t="shared" si="514"/>
        <v/>
      </c>
      <c r="S1065" s="1">
        <f t="shared" si="515"/>
        <v>578.36640000000136</v>
      </c>
      <c r="T1065" s="1">
        <f t="shared" si="516"/>
        <v>0.27</v>
      </c>
      <c r="U1065" s="1">
        <f t="shared" si="517"/>
        <v>1055.99999999994</v>
      </c>
      <c r="V1065" s="1">
        <f t="shared" si="518"/>
        <v>285.1199999999838</v>
      </c>
    </row>
    <row r="1066" spans="1:22" x14ac:dyDescent="0.25">
      <c r="A1066" s="1">
        <v>1065</v>
      </c>
      <c r="B1066" s="4">
        <v>7500</v>
      </c>
      <c r="C1066" s="4">
        <v>163.1</v>
      </c>
      <c r="D1066" s="4">
        <v>163.29999999999998</v>
      </c>
      <c r="E1066" s="4">
        <f t="shared" si="510"/>
        <v>0.19999999999998863</v>
      </c>
      <c r="F1066" s="4">
        <v>0</v>
      </c>
      <c r="G1066" s="4">
        <v>0.67</v>
      </c>
      <c r="H1066" s="4">
        <v>79</v>
      </c>
      <c r="I1066" s="4"/>
      <c r="J1066" s="4">
        <v>50</v>
      </c>
      <c r="K1066" s="2"/>
      <c r="M1066" s="4">
        <f t="shared" si="511"/>
        <v>163.29999999999998</v>
      </c>
      <c r="N1066" s="4"/>
      <c r="O1066" s="1">
        <f t="shared" si="512"/>
        <v>163.1</v>
      </c>
      <c r="P1066" s="1">
        <f t="shared" si="513"/>
        <v>0</v>
      </c>
      <c r="Q1066" s="1" t="str">
        <f t="shared" si="509"/>
        <v/>
      </c>
      <c r="R1066" s="1" t="str">
        <f t="shared" si="514"/>
        <v/>
      </c>
      <c r="S1066" s="1">
        <f t="shared" si="515"/>
        <v>581.2176000000012</v>
      </c>
      <c r="T1066" s="1">
        <f t="shared" si="516"/>
        <v>0.67</v>
      </c>
      <c r="U1066" s="1">
        <f t="shared" si="517"/>
        <v>1055.99999999994</v>
      </c>
      <c r="V1066" s="1">
        <f t="shared" si="518"/>
        <v>707.51999999995985</v>
      </c>
    </row>
    <row r="1067" spans="1:22" x14ac:dyDescent="0.25">
      <c r="A1067" s="1">
        <v>1066</v>
      </c>
      <c r="B1067" s="4">
        <v>7500</v>
      </c>
      <c r="C1067" s="4">
        <v>163.29999999999998</v>
      </c>
      <c r="D1067" s="4">
        <v>163.5</v>
      </c>
      <c r="E1067" s="4">
        <f t="shared" si="510"/>
        <v>0.20000000000001705</v>
      </c>
      <c r="F1067" s="4">
        <v>0</v>
      </c>
      <c r="G1067" s="4">
        <v>0.87</v>
      </c>
      <c r="H1067" s="4">
        <v>79</v>
      </c>
      <c r="I1067" s="4"/>
      <c r="J1067" s="4">
        <v>50</v>
      </c>
      <c r="K1067" s="2"/>
      <c r="M1067" s="4">
        <f t="shared" si="511"/>
        <v>163.5</v>
      </c>
      <c r="N1067" s="4"/>
      <c r="O1067" s="1">
        <f t="shared" si="512"/>
        <v>163.29999999999998</v>
      </c>
      <c r="P1067" s="1">
        <f t="shared" si="513"/>
        <v>0</v>
      </c>
      <c r="Q1067" s="1" t="str">
        <f t="shared" si="509"/>
        <v/>
      </c>
      <c r="R1067" s="1" t="str">
        <f t="shared" si="514"/>
        <v/>
      </c>
      <c r="S1067" s="1">
        <f t="shared" si="515"/>
        <v>588.29280000000085</v>
      </c>
      <c r="T1067" s="1">
        <f t="shared" si="516"/>
        <v>0.87</v>
      </c>
      <c r="U1067" s="1">
        <f t="shared" si="517"/>
        <v>1056.00000000009</v>
      </c>
      <c r="V1067" s="1">
        <f t="shared" si="518"/>
        <v>918.72000000007836</v>
      </c>
    </row>
    <row r="1068" spans="1:22" x14ac:dyDescent="0.25">
      <c r="A1068" s="1">
        <v>1067</v>
      </c>
      <c r="B1068" s="4">
        <v>7500</v>
      </c>
      <c r="C1068" s="4">
        <v>163.5</v>
      </c>
      <c r="D1068" s="4">
        <v>163.79999999999998</v>
      </c>
      <c r="E1068" s="4">
        <f t="shared" si="510"/>
        <v>0.29999999999998295</v>
      </c>
      <c r="F1068" s="4">
        <v>0</v>
      </c>
      <c r="G1068" s="4">
        <v>0.87</v>
      </c>
      <c r="H1068" s="4">
        <v>79</v>
      </c>
      <c r="I1068" s="4"/>
      <c r="J1068" s="4">
        <v>50</v>
      </c>
      <c r="K1068" s="2"/>
      <c r="M1068" s="4">
        <f t="shared" si="511"/>
        <v>163.79999999999998</v>
      </c>
      <c r="N1068" s="4"/>
      <c r="O1068" s="1">
        <f t="shared" si="512"/>
        <v>163.5</v>
      </c>
      <c r="P1068" s="1">
        <f t="shared" si="513"/>
        <v>0</v>
      </c>
      <c r="Q1068" s="1" t="str">
        <f t="shared" si="509"/>
        <v/>
      </c>
      <c r="R1068" s="1" t="str">
        <f t="shared" si="514"/>
        <v/>
      </c>
      <c r="S1068" s="1">
        <f t="shared" si="515"/>
        <v>597.48000000000161</v>
      </c>
      <c r="T1068" s="1">
        <f t="shared" si="516"/>
        <v>0.87</v>
      </c>
      <c r="U1068" s="1">
        <f t="shared" si="517"/>
        <v>1583.99999999991</v>
      </c>
      <c r="V1068" s="1">
        <f t="shared" si="518"/>
        <v>1378.0799999999217</v>
      </c>
    </row>
    <row r="1069" spans="1:22" x14ac:dyDescent="0.25">
      <c r="A1069" s="1">
        <v>1068</v>
      </c>
      <c r="B1069" s="4">
        <v>7500</v>
      </c>
      <c r="C1069" s="4">
        <v>163.79999999999998</v>
      </c>
      <c r="D1069" s="4">
        <v>163.9</v>
      </c>
      <c r="E1069" s="4">
        <f t="shared" si="510"/>
        <v>0.10000000000002274</v>
      </c>
      <c r="F1069" s="4">
        <v>0</v>
      </c>
      <c r="G1069" s="4">
        <v>0.61</v>
      </c>
      <c r="H1069" s="4">
        <v>79</v>
      </c>
      <c r="I1069" s="4"/>
      <c r="J1069" s="4">
        <v>50</v>
      </c>
      <c r="K1069" s="2"/>
      <c r="M1069" s="4">
        <f t="shared" si="511"/>
        <v>163.9</v>
      </c>
      <c r="N1069" s="4"/>
      <c r="O1069" s="1">
        <f t="shared" si="512"/>
        <v>163.79999999999998</v>
      </c>
      <c r="P1069" s="1">
        <f t="shared" si="513"/>
        <v>0</v>
      </c>
      <c r="Q1069" s="1" t="str">
        <f t="shared" si="509"/>
        <v/>
      </c>
      <c r="R1069" s="1" t="str">
        <f t="shared" si="514"/>
        <v/>
      </c>
      <c r="S1069" s="1">
        <f t="shared" si="515"/>
        <v>611.26080000000081</v>
      </c>
      <c r="T1069" s="1">
        <f t="shared" si="516"/>
        <v>0.61</v>
      </c>
      <c r="U1069" s="1">
        <f t="shared" si="517"/>
        <v>528.00000000012005</v>
      </c>
      <c r="V1069" s="1">
        <f t="shared" si="518"/>
        <v>322.0800000000732</v>
      </c>
    </row>
    <row r="1070" spans="1:22" x14ac:dyDescent="0.25">
      <c r="A1070" s="1">
        <v>1069</v>
      </c>
      <c r="B1070" s="4">
        <v>7500</v>
      </c>
      <c r="C1070" s="4">
        <v>163.9</v>
      </c>
      <c r="D1070" s="4">
        <v>164</v>
      </c>
      <c r="E1070" s="4">
        <f t="shared" si="510"/>
        <v>9.9999999999994316E-2</v>
      </c>
      <c r="F1070" s="4">
        <v>0</v>
      </c>
      <c r="G1070" s="4">
        <v>0.08</v>
      </c>
      <c r="H1070" s="4">
        <v>79</v>
      </c>
      <c r="I1070" s="4"/>
      <c r="J1070" s="4">
        <v>50</v>
      </c>
      <c r="K1070" s="2"/>
      <c r="M1070" s="4">
        <f t="shared" si="511"/>
        <v>164</v>
      </c>
      <c r="N1070" s="4"/>
      <c r="O1070" s="1">
        <f t="shared" si="512"/>
        <v>163.9</v>
      </c>
      <c r="P1070" s="1">
        <f t="shared" si="513"/>
        <v>0</v>
      </c>
      <c r="Q1070" s="1" t="str">
        <f t="shared" si="509"/>
        <v/>
      </c>
      <c r="R1070" s="1" t="str">
        <f t="shared" si="514"/>
        <v/>
      </c>
      <c r="S1070" s="1">
        <f t="shared" si="515"/>
        <v>614.48160000000155</v>
      </c>
      <c r="T1070" s="1">
        <f t="shared" si="516"/>
        <v>0.08</v>
      </c>
      <c r="U1070" s="1">
        <f t="shared" si="517"/>
        <v>527.99999999996999</v>
      </c>
      <c r="V1070" s="1">
        <f t="shared" si="518"/>
        <v>42.2399999999976</v>
      </c>
    </row>
    <row r="1071" spans="1:22" x14ac:dyDescent="0.25">
      <c r="A1071" s="1">
        <v>1070</v>
      </c>
      <c r="B1071" s="4">
        <v>7500</v>
      </c>
      <c r="C1071" s="4">
        <v>164</v>
      </c>
      <c r="D1071" s="4">
        <v>164.1</v>
      </c>
      <c r="E1071" s="4">
        <f t="shared" si="510"/>
        <v>9.9999999999994316E-2</v>
      </c>
      <c r="F1071" s="4">
        <v>0</v>
      </c>
      <c r="G1071" s="4">
        <v>-0.18</v>
      </c>
      <c r="H1071" s="4">
        <v>79</v>
      </c>
      <c r="I1071" s="4"/>
      <c r="J1071" s="4">
        <v>50</v>
      </c>
      <c r="K1071" s="2"/>
      <c r="M1071" s="4">
        <f t="shared" si="511"/>
        <v>164.1</v>
      </c>
      <c r="N1071" s="4"/>
      <c r="O1071" s="1">
        <f t="shared" si="512"/>
        <v>164</v>
      </c>
      <c r="P1071" s="1">
        <f t="shared" si="513"/>
        <v>0</v>
      </c>
      <c r="Q1071" s="1" t="str">
        <f t="shared" si="509"/>
        <v/>
      </c>
      <c r="R1071" s="1" t="str">
        <f t="shared" si="514"/>
        <v/>
      </c>
      <c r="S1071" s="1">
        <f t="shared" si="515"/>
        <v>614.90400000000147</v>
      </c>
      <c r="T1071" s="1">
        <f t="shared" si="516"/>
        <v>-0.18</v>
      </c>
      <c r="U1071" s="1">
        <f t="shared" si="517"/>
        <v>527.99999999996999</v>
      </c>
      <c r="V1071" s="1">
        <f t="shared" si="518"/>
        <v>95.039999999994592</v>
      </c>
    </row>
    <row r="1072" spans="1:22" x14ac:dyDescent="0.25">
      <c r="A1072" s="1">
        <v>1071</v>
      </c>
      <c r="B1072" s="4">
        <v>7500</v>
      </c>
      <c r="C1072" s="4">
        <v>164.1</v>
      </c>
      <c r="D1072" s="4">
        <v>164.2</v>
      </c>
      <c r="E1072" s="4">
        <f t="shared" si="510"/>
        <v>9.9999999999994316E-2</v>
      </c>
      <c r="F1072" s="4">
        <v>0</v>
      </c>
      <c r="G1072" s="4">
        <v>0.1</v>
      </c>
      <c r="H1072" s="4">
        <v>79</v>
      </c>
      <c r="I1072" s="4"/>
      <c r="J1072" s="4">
        <v>50</v>
      </c>
      <c r="K1072" s="2"/>
      <c r="M1072" s="4">
        <f t="shared" si="511"/>
        <v>164.2</v>
      </c>
      <c r="N1072" s="4"/>
      <c r="O1072" s="1">
        <f t="shared" si="512"/>
        <v>164.1</v>
      </c>
      <c r="P1072" s="1">
        <f t="shared" si="513"/>
        <v>0</v>
      </c>
      <c r="Q1072" s="1" t="str">
        <f t="shared" si="509"/>
        <v/>
      </c>
      <c r="R1072" s="1" t="str">
        <f t="shared" si="514"/>
        <v/>
      </c>
      <c r="S1072" s="1">
        <f t="shared" si="515"/>
        <v>613.95360000000153</v>
      </c>
      <c r="T1072" s="1">
        <f t="shared" si="516"/>
        <v>0.1</v>
      </c>
      <c r="U1072" s="1">
        <f t="shared" si="517"/>
        <v>527.99999999996999</v>
      </c>
      <c r="V1072" s="1">
        <f t="shared" si="518"/>
        <v>52.799999999996999</v>
      </c>
    </row>
    <row r="1073" spans="1:22" x14ac:dyDescent="0.25">
      <c r="A1073" s="1">
        <v>1072</v>
      </c>
      <c r="B1073" s="4">
        <v>7500</v>
      </c>
      <c r="C1073" s="4">
        <v>164.2</v>
      </c>
      <c r="D1073" s="4">
        <v>164.29999999999998</v>
      </c>
      <c r="E1073" s="4">
        <f t="shared" si="510"/>
        <v>9.9999999999994316E-2</v>
      </c>
      <c r="F1073" s="4">
        <v>0.8</v>
      </c>
      <c r="G1073" s="4">
        <v>0.65</v>
      </c>
      <c r="H1073" s="4">
        <v>79</v>
      </c>
      <c r="I1073" s="4"/>
      <c r="J1073" s="4">
        <v>50</v>
      </c>
      <c r="K1073" s="2"/>
      <c r="M1073" s="4">
        <f t="shared" si="511"/>
        <v>164.29999999999998</v>
      </c>
      <c r="N1073" s="4"/>
      <c r="O1073" s="1">
        <f t="shared" si="512"/>
        <v>164.2</v>
      </c>
      <c r="P1073" s="1">
        <f t="shared" si="513"/>
        <v>4.2239999999997604</v>
      </c>
      <c r="Q1073" s="1" t="str">
        <f t="shared" si="509"/>
        <v/>
      </c>
      <c r="R1073" s="1" t="str">
        <f t="shared" si="514"/>
        <v/>
      </c>
      <c r="S1073" s="1">
        <f t="shared" si="515"/>
        <v>614.48160000000155</v>
      </c>
      <c r="T1073" s="1">
        <f t="shared" si="516"/>
        <v>0.65</v>
      </c>
      <c r="U1073" s="1">
        <f t="shared" si="517"/>
        <v>527.99999999996999</v>
      </c>
      <c r="V1073" s="1">
        <f t="shared" si="518"/>
        <v>343.19999999998049</v>
      </c>
    </row>
    <row r="1074" spans="1:22" x14ac:dyDescent="0.25">
      <c r="A1074" s="1">
        <v>1073</v>
      </c>
      <c r="B1074" s="4">
        <v>7500</v>
      </c>
      <c r="C1074" s="4">
        <v>164.29999999999998</v>
      </c>
      <c r="D1074" s="4">
        <v>164.5</v>
      </c>
      <c r="E1074" s="4">
        <f t="shared" si="510"/>
        <v>0.20000000000001705</v>
      </c>
      <c r="F1074" s="4">
        <v>0.8</v>
      </c>
      <c r="G1074" s="4">
        <v>0.93</v>
      </c>
      <c r="H1074" s="4">
        <v>79</v>
      </c>
      <c r="I1074" s="4"/>
      <c r="J1074" s="4">
        <v>50</v>
      </c>
      <c r="K1074" s="2"/>
      <c r="M1074" s="4">
        <f t="shared" si="511"/>
        <v>164.5</v>
      </c>
      <c r="N1074" s="4"/>
      <c r="O1074" s="1">
        <f t="shared" si="512"/>
        <v>164.29999999999998</v>
      </c>
      <c r="P1074" s="1">
        <f t="shared" si="513"/>
        <v>8.4480000000007216</v>
      </c>
      <c r="Q1074" s="1" t="str">
        <f t="shared" si="509"/>
        <v/>
      </c>
      <c r="R1074" s="1" t="str">
        <f t="shared" si="514"/>
        <v/>
      </c>
      <c r="S1074" s="1">
        <f t="shared" si="515"/>
        <v>617.91360000000134</v>
      </c>
      <c r="T1074" s="1">
        <f t="shared" si="516"/>
        <v>0.93</v>
      </c>
      <c r="U1074" s="1">
        <f t="shared" si="517"/>
        <v>1056.00000000009</v>
      </c>
      <c r="V1074" s="1">
        <f t="shared" si="518"/>
        <v>982.08000000008383</v>
      </c>
    </row>
    <row r="1075" spans="1:22" x14ac:dyDescent="0.25">
      <c r="A1075" s="1">
        <v>1074</v>
      </c>
      <c r="B1075" s="4">
        <v>7500</v>
      </c>
      <c r="C1075" s="4">
        <v>164.5</v>
      </c>
      <c r="D1075" s="4">
        <v>164.6</v>
      </c>
      <c r="E1075" s="4">
        <f t="shared" si="510"/>
        <v>9.9999999999994316E-2</v>
      </c>
      <c r="F1075" s="4">
        <v>1</v>
      </c>
      <c r="G1075" s="4">
        <v>0.93</v>
      </c>
      <c r="H1075" s="4">
        <v>79</v>
      </c>
      <c r="I1075" s="4"/>
      <c r="J1075" s="4">
        <v>50</v>
      </c>
      <c r="K1075" s="2"/>
      <c r="M1075" s="4">
        <f t="shared" si="511"/>
        <v>164.6</v>
      </c>
      <c r="N1075" s="4"/>
      <c r="O1075" s="1">
        <f t="shared" si="512"/>
        <v>164.5</v>
      </c>
      <c r="P1075" s="1">
        <f t="shared" si="513"/>
        <v>5.2799999999996992</v>
      </c>
      <c r="Q1075" s="1" t="str">
        <f t="shared" si="509"/>
        <v/>
      </c>
      <c r="R1075" s="1" t="str">
        <f t="shared" si="514"/>
        <v/>
      </c>
      <c r="S1075" s="1">
        <f t="shared" si="515"/>
        <v>627.73440000000221</v>
      </c>
      <c r="T1075" s="1">
        <f t="shared" si="516"/>
        <v>0.93</v>
      </c>
      <c r="U1075" s="1">
        <f t="shared" si="517"/>
        <v>527.99999999996999</v>
      </c>
      <c r="V1075" s="1">
        <f t="shared" si="518"/>
        <v>491.03999999997211</v>
      </c>
    </row>
    <row r="1076" spans="1:22" x14ac:dyDescent="0.25">
      <c r="A1076" s="1">
        <v>1075</v>
      </c>
      <c r="B1076" s="4">
        <v>7500</v>
      </c>
      <c r="C1076" s="4">
        <v>164.6</v>
      </c>
      <c r="D1076" s="4">
        <v>164.79999999999998</v>
      </c>
      <c r="E1076" s="4">
        <f t="shared" si="510"/>
        <v>0.19999999999998863</v>
      </c>
      <c r="F1076" s="4">
        <v>0</v>
      </c>
      <c r="G1076" s="4">
        <v>0.84</v>
      </c>
      <c r="H1076" s="4">
        <v>79</v>
      </c>
      <c r="I1076" s="4"/>
      <c r="J1076" s="4">
        <v>50</v>
      </c>
      <c r="K1076" s="2"/>
      <c r="M1076" s="4">
        <f t="shared" si="511"/>
        <v>164.79999999999998</v>
      </c>
      <c r="N1076" s="4"/>
      <c r="O1076" s="1">
        <f t="shared" si="512"/>
        <v>164.6</v>
      </c>
      <c r="P1076" s="1">
        <f t="shared" si="513"/>
        <v>0</v>
      </c>
      <c r="Q1076" s="1" t="str">
        <f t="shared" si="509"/>
        <v/>
      </c>
      <c r="R1076" s="1" t="str">
        <f t="shared" si="514"/>
        <v/>
      </c>
      <c r="S1076" s="1">
        <f t="shared" si="515"/>
        <v>632.64480000000196</v>
      </c>
      <c r="T1076" s="1">
        <f t="shared" si="516"/>
        <v>0.84</v>
      </c>
      <c r="U1076" s="1">
        <f t="shared" si="517"/>
        <v>1055.99999999994</v>
      </c>
      <c r="V1076" s="1">
        <f t="shared" si="518"/>
        <v>887.0399999999496</v>
      </c>
    </row>
    <row r="1077" spans="1:22" x14ac:dyDescent="0.25">
      <c r="A1077" s="1">
        <v>1076</v>
      </c>
      <c r="B1077" s="4">
        <v>7500</v>
      </c>
      <c r="C1077" s="4">
        <v>164.79999999999998</v>
      </c>
      <c r="D1077" s="4">
        <v>164.9</v>
      </c>
      <c r="E1077" s="4">
        <f t="shared" si="510"/>
        <v>0.10000000000002274</v>
      </c>
      <c r="F1077" s="4">
        <v>2</v>
      </c>
      <c r="G1077" s="4">
        <v>0.64</v>
      </c>
      <c r="H1077" s="4">
        <v>79</v>
      </c>
      <c r="I1077" s="4"/>
      <c r="J1077" s="4">
        <v>50</v>
      </c>
      <c r="K1077" s="2"/>
      <c r="M1077" s="4">
        <f t="shared" si="511"/>
        <v>164.9</v>
      </c>
      <c r="N1077" s="4"/>
      <c r="O1077" s="1">
        <f t="shared" si="512"/>
        <v>164.79999999999998</v>
      </c>
      <c r="P1077" s="1">
        <f t="shared" si="513"/>
        <v>10.5600000000024</v>
      </c>
      <c r="Q1077" s="1" t="str">
        <f t="shared" si="509"/>
        <v/>
      </c>
      <c r="R1077" s="1" t="str">
        <f t="shared" si="514"/>
        <v/>
      </c>
      <c r="S1077" s="1">
        <f t="shared" si="515"/>
        <v>641.51520000000141</v>
      </c>
      <c r="T1077" s="1">
        <f t="shared" si="516"/>
        <v>0.64</v>
      </c>
      <c r="U1077" s="1">
        <f t="shared" si="517"/>
        <v>528.00000000012005</v>
      </c>
      <c r="V1077" s="1">
        <f t="shared" si="518"/>
        <v>337.92000000007687</v>
      </c>
    </row>
    <row r="1078" spans="1:22" x14ac:dyDescent="0.25">
      <c r="A1078" s="1">
        <v>1077</v>
      </c>
      <c r="B1078" s="4">
        <v>7500</v>
      </c>
      <c r="C1078" s="4">
        <v>164.9</v>
      </c>
      <c r="D1078" s="4">
        <v>165.1</v>
      </c>
      <c r="E1078" s="4">
        <f t="shared" si="510"/>
        <v>0.19999999999998863</v>
      </c>
      <c r="F1078" s="4">
        <v>2</v>
      </c>
      <c r="G1078" s="4">
        <v>0.02</v>
      </c>
      <c r="H1078" s="4">
        <v>79</v>
      </c>
      <c r="I1078" s="4"/>
      <c r="J1078" s="4">
        <v>50</v>
      </c>
      <c r="K1078" s="2"/>
      <c r="M1078" s="4">
        <f t="shared" si="511"/>
        <v>165.1</v>
      </c>
      <c r="N1078" s="4"/>
      <c r="O1078" s="1">
        <f t="shared" si="512"/>
        <v>164.9</v>
      </c>
      <c r="P1078" s="1">
        <f t="shared" si="513"/>
        <v>21.119999999998797</v>
      </c>
      <c r="Q1078" s="1" t="str">
        <f t="shared" si="509"/>
        <v/>
      </c>
      <c r="R1078" s="1" t="str">
        <f t="shared" si="514"/>
        <v/>
      </c>
      <c r="S1078" s="1">
        <f t="shared" si="515"/>
        <v>644.89440000000218</v>
      </c>
      <c r="T1078" s="1">
        <f t="shared" si="516"/>
        <v>0.02</v>
      </c>
      <c r="U1078" s="1">
        <f t="shared" si="517"/>
        <v>1055.99999999994</v>
      </c>
      <c r="V1078" s="1">
        <f t="shared" si="518"/>
        <v>21.1199999999988</v>
      </c>
    </row>
    <row r="1079" spans="1:22" x14ac:dyDescent="0.25">
      <c r="A1079" s="1">
        <v>1078</v>
      </c>
      <c r="B1079" s="4">
        <v>7500</v>
      </c>
      <c r="C1079" s="4">
        <v>165.1</v>
      </c>
      <c r="D1079" s="4">
        <v>165.2</v>
      </c>
      <c r="E1079" s="4">
        <f t="shared" si="510"/>
        <v>9.9999999999994316E-2</v>
      </c>
      <c r="F1079" s="4">
        <v>0</v>
      </c>
      <c r="G1079" s="4">
        <v>7.0000000000000007E-2</v>
      </c>
      <c r="H1079" s="4">
        <v>79</v>
      </c>
      <c r="I1079" s="4"/>
      <c r="J1079" s="4">
        <v>50</v>
      </c>
      <c r="K1079" s="2"/>
      <c r="M1079" s="4">
        <f t="shared" si="511"/>
        <v>165.2</v>
      </c>
      <c r="N1079" s="4"/>
      <c r="O1079" s="1">
        <f t="shared" si="512"/>
        <v>165.1</v>
      </c>
      <c r="P1079" s="1">
        <f t="shared" si="513"/>
        <v>0</v>
      </c>
      <c r="Q1079" s="1" t="str">
        <f t="shared" si="509"/>
        <v/>
      </c>
      <c r="R1079" s="1" t="str">
        <f t="shared" si="514"/>
        <v/>
      </c>
      <c r="S1079" s="1">
        <f t="shared" si="515"/>
        <v>645.10560000000214</v>
      </c>
      <c r="T1079" s="1">
        <f t="shared" si="516"/>
        <v>7.0000000000000007E-2</v>
      </c>
      <c r="U1079" s="1">
        <f t="shared" si="517"/>
        <v>527.99999999996999</v>
      </c>
      <c r="V1079" s="1">
        <f t="shared" si="518"/>
        <v>36.959999999997905</v>
      </c>
    </row>
    <row r="1080" spans="1:22" x14ac:dyDescent="0.25">
      <c r="A1080" s="1">
        <v>1079</v>
      </c>
      <c r="B1080" s="4">
        <v>7500</v>
      </c>
      <c r="C1080" s="4">
        <v>165.2</v>
      </c>
      <c r="D1080" s="4">
        <v>165.4</v>
      </c>
      <c r="E1080" s="4">
        <f t="shared" si="510"/>
        <v>0.20000000000001705</v>
      </c>
      <c r="F1080" s="4">
        <v>0</v>
      </c>
      <c r="G1080" s="4">
        <v>0.35</v>
      </c>
      <c r="H1080" s="4">
        <v>79</v>
      </c>
      <c r="I1080" s="4"/>
      <c r="J1080" s="4">
        <v>50</v>
      </c>
      <c r="K1080" s="2"/>
      <c r="M1080" s="4">
        <f t="shared" si="511"/>
        <v>165.4</v>
      </c>
      <c r="N1080" s="4"/>
      <c r="O1080" s="1">
        <f t="shared" si="512"/>
        <v>165.2</v>
      </c>
      <c r="P1080" s="1">
        <f t="shared" si="513"/>
        <v>0</v>
      </c>
      <c r="Q1080" s="1" t="str">
        <f t="shared" si="509"/>
        <v/>
      </c>
      <c r="R1080" s="1" t="str">
        <f t="shared" si="514"/>
        <v/>
      </c>
      <c r="S1080" s="1">
        <f t="shared" si="515"/>
        <v>645.47520000000213</v>
      </c>
      <c r="T1080" s="1">
        <f t="shared" si="516"/>
        <v>0.35</v>
      </c>
      <c r="U1080" s="1">
        <f t="shared" si="517"/>
        <v>1056.00000000009</v>
      </c>
      <c r="V1080" s="1">
        <f t="shared" si="518"/>
        <v>369.60000000003151</v>
      </c>
    </row>
    <row r="1081" spans="1:22" x14ac:dyDescent="0.25">
      <c r="A1081" s="1">
        <v>1080</v>
      </c>
      <c r="B1081" s="4">
        <v>7500</v>
      </c>
      <c r="C1081" s="4">
        <v>165.4</v>
      </c>
      <c r="D1081" s="4">
        <v>165.5</v>
      </c>
      <c r="E1081" s="4">
        <f t="shared" si="510"/>
        <v>9.9999999999994316E-2</v>
      </c>
      <c r="F1081" s="4">
        <v>0</v>
      </c>
      <c r="G1081" s="4">
        <v>0.44</v>
      </c>
      <c r="H1081" s="4">
        <v>79</v>
      </c>
      <c r="I1081" s="4"/>
      <c r="J1081" s="4">
        <v>50</v>
      </c>
      <c r="K1081" s="2"/>
      <c r="M1081" s="4">
        <f t="shared" si="511"/>
        <v>165.5</v>
      </c>
      <c r="N1081" s="4"/>
      <c r="O1081" s="1">
        <f t="shared" si="512"/>
        <v>165.4</v>
      </c>
      <c r="P1081" s="1">
        <f t="shared" si="513"/>
        <v>0</v>
      </c>
      <c r="Q1081" s="1" t="str">
        <f t="shared" si="509"/>
        <v/>
      </c>
      <c r="R1081" s="1" t="str">
        <f t="shared" si="514"/>
        <v/>
      </c>
      <c r="S1081" s="1">
        <f t="shared" si="515"/>
        <v>649.1712000000025</v>
      </c>
      <c r="T1081" s="1">
        <f t="shared" si="516"/>
        <v>0.44</v>
      </c>
      <c r="U1081" s="1">
        <f t="shared" si="517"/>
        <v>527.99999999996999</v>
      </c>
      <c r="V1081" s="1">
        <f t="shared" si="518"/>
        <v>232.31999999998681</v>
      </c>
    </row>
    <row r="1082" spans="1:22" x14ac:dyDescent="0.25">
      <c r="A1082" s="1">
        <v>1081</v>
      </c>
      <c r="B1082" s="4">
        <v>7500</v>
      </c>
      <c r="C1082" s="4">
        <v>165.5</v>
      </c>
      <c r="D1082" s="4">
        <v>165.79999999999998</v>
      </c>
      <c r="E1082" s="4">
        <f t="shared" si="510"/>
        <v>0.29999999999998295</v>
      </c>
      <c r="F1082" s="4">
        <v>0</v>
      </c>
      <c r="G1082" s="4">
        <v>0.44</v>
      </c>
      <c r="H1082" s="4">
        <v>79</v>
      </c>
      <c r="I1082" s="4"/>
      <c r="J1082" s="4">
        <v>50</v>
      </c>
      <c r="K1082" s="2"/>
      <c r="M1082" s="4">
        <f t="shared" si="511"/>
        <v>165.79999999999998</v>
      </c>
      <c r="N1082" s="4"/>
      <c r="O1082" s="1">
        <f t="shared" si="512"/>
        <v>165.5</v>
      </c>
      <c r="P1082" s="1">
        <f t="shared" si="513"/>
        <v>0</v>
      </c>
      <c r="Q1082" s="1" t="str">
        <f t="shared" si="509"/>
        <v/>
      </c>
      <c r="R1082" s="1" t="str">
        <f t="shared" si="514"/>
        <v/>
      </c>
      <c r="S1082" s="1">
        <f t="shared" si="515"/>
        <v>651.49440000000232</v>
      </c>
      <c r="T1082" s="1">
        <f t="shared" si="516"/>
        <v>0.44</v>
      </c>
      <c r="U1082" s="1">
        <f t="shared" si="517"/>
        <v>1583.99999999991</v>
      </c>
      <c r="V1082" s="1">
        <f t="shared" si="518"/>
        <v>696.95999999996036</v>
      </c>
    </row>
    <row r="1083" spans="1:22" x14ac:dyDescent="0.25">
      <c r="A1083" s="1">
        <v>1082</v>
      </c>
      <c r="B1083" s="4">
        <v>7500</v>
      </c>
      <c r="C1083" s="4">
        <v>165.79999999999998</v>
      </c>
      <c r="D1083" s="4">
        <v>165.9</v>
      </c>
      <c r="E1083" s="4">
        <f t="shared" si="510"/>
        <v>0.10000000000002274</v>
      </c>
      <c r="F1083" s="4">
        <v>1</v>
      </c>
      <c r="G1083" s="4">
        <v>0.44</v>
      </c>
      <c r="H1083" s="4">
        <v>79</v>
      </c>
      <c r="I1083" s="4"/>
      <c r="J1083" s="4">
        <v>50</v>
      </c>
      <c r="K1083" s="2"/>
      <c r="M1083" s="4">
        <f t="shared" si="511"/>
        <v>165.9</v>
      </c>
      <c r="N1083" s="4"/>
      <c r="O1083" s="1">
        <f t="shared" si="512"/>
        <v>165.79999999999998</v>
      </c>
      <c r="P1083" s="1">
        <f t="shared" si="513"/>
        <v>5.2800000000012002</v>
      </c>
      <c r="Q1083" s="1" t="str">
        <f t="shared" si="509"/>
        <v/>
      </c>
      <c r="R1083" s="1" t="str">
        <f t="shared" si="514"/>
        <v/>
      </c>
      <c r="S1083" s="1">
        <f t="shared" si="515"/>
        <v>658.46400000000187</v>
      </c>
      <c r="T1083" s="1">
        <f t="shared" si="516"/>
        <v>0.44</v>
      </c>
      <c r="U1083" s="1">
        <f t="shared" si="517"/>
        <v>528.00000000012005</v>
      </c>
      <c r="V1083" s="1">
        <f t="shared" si="518"/>
        <v>232.32000000005283</v>
      </c>
    </row>
    <row r="1084" spans="1:22" x14ac:dyDescent="0.25">
      <c r="A1084" s="1">
        <v>1083</v>
      </c>
      <c r="B1084" s="4">
        <v>7500</v>
      </c>
      <c r="C1084" s="4">
        <v>165.9</v>
      </c>
      <c r="D1084" s="4">
        <v>166</v>
      </c>
      <c r="E1084" s="4">
        <f t="shared" si="510"/>
        <v>9.9999999999994316E-2</v>
      </c>
      <c r="F1084" s="4">
        <v>0.9</v>
      </c>
      <c r="G1084" s="4">
        <v>0.44</v>
      </c>
      <c r="H1084" s="4">
        <v>79</v>
      </c>
      <c r="I1084" s="4"/>
      <c r="J1084" s="4">
        <v>50</v>
      </c>
      <c r="K1084" s="2"/>
      <c r="M1084" s="4">
        <f t="shared" si="511"/>
        <v>166</v>
      </c>
      <c r="N1084" s="4"/>
      <c r="O1084" s="1">
        <f t="shared" si="512"/>
        <v>165.9</v>
      </c>
      <c r="P1084" s="1">
        <f t="shared" si="513"/>
        <v>4.7519999999997298</v>
      </c>
      <c r="Q1084" s="1" t="str">
        <f t="shared" si="509"/>
        <v/>
      </c>
      <c r="R1084" s="1" t="str">
        <f t="shared" si="514"/>
        <v/>
      </c>
      <c r="S1084" s="1">
        <f t="shared" si="515"/>
        <v>660.78720000000237</v>
      </c>
      <c r="T1084" s="1">
        <f t="shared" si="516"/>
        <v>0.44</v>
      </c>
      <c r="U1084" s="1">
        <f t="shared" si="517"/>
        <v>527.99999999996999</v>
      </c>
      <c r="V1084" s="1">
        <f t="shared" si="518"/>
        <v>232.31999999998681</v>
      </c>
    </row>
    <row r="1085" spans="1:22" x14ac:dyDescent="0.25">
      <c r="A1085" s="1">
        <v>1084</v>
      </c>
      <c r="B1085" s="4">
        <v>7500</v>
      </c>
      <c r="C1085" s="4">
        <v>166</v>
      </c>
      <c r="D1085" s="4">
        <v>166.1</v>
      </c>
      <c r="E1085" s="4">
        <f t="shared" si="510"/>
        <v>9.9999999999994316E-2</v>
      </c>
      <c r="F1085" s="4">
        <v>1</v>
      </c>
      <c r="G1085" s="4">
        <v>0.44</v>
      </c>
      <c r="H1085" s="4">
        <v>79</v>
      </c>
      <c r="I1085" s="4"/>
      <c r="J1085" s="4">
        <v>50</v>
      </c>
      <c r="K1085" s="2"/>
      <c r="M1085" s="4">
        <f t="shared" si="511"/>
        <v>166.1</v>
      </c>
      <c r="N1085" s="4"/>
      <c r="O1085" s="1">
        <f t="shared" si="512"/>
        <v>166</v>
      </c>
      <c r="P1085" s="1">
        <f t="shared" si="513"/>
        <v>5.2799999999996992</v>
      </c>
      <c r="Q1085" s="1" t="str">
        <f t="shared" si="509"/>
        <v/>
      </c>
      <c r="R1085" s="1" t="str">
        <f t="shared" si="514"/>
        <v/>
      </c>
      <c r="S1085" s="1">
        <f t="shared" si="515"/>
        <v>663.11040000000219</v>
      </c>
      <c r="T1085" s="1">
        <f t="shared" si="516"/>
        <v>0.44</v>
      </c>
      <c r="U1085" s="1">
        <f t="shared" si="517"/>
        <v>527.99999999996999</v>
      </c>
      <c r="V1085" s="1">
        <f t="shared" si="518"/>
        <v>232.31999999998681</v>
      </c>
    </row>
    <row r="1086" spans="1:22" x14ac:dyDescent="0.25">
      <c r="A1086" s="1">
        <v>1085</v>
      </c>
      <c r="B1086" s="4">
        <v>7500</v>
      </c>
      <c r="C1086" s="4">
        <v>166.1</v>
      </c>
      <c r="D1086" s="4">
        <v>166.4</v>
      </c>
      <c r="E1086" s="4">
        <f t="shared" si="510"/>
        <v>0.30000000000001137</v>
      </c>
      <c r="F1086" s="4">
        <v>0</v>
      </c>
      <c r="G1086" s="4">
        <v>0.44</v>
      </c>
      <c r="H1086" s="4">
        <v>79</v>
      </c>
      <c r="I1086" s="4"/>
      <c r="J1086" s="4">
        <v>50</v>
      </c>
      <c r="K1086" s="2"/>
      <c r="M1086" s="4">
        <f t="shared" si="511"/>
        <v>166.4</v>
      </c>
      <c r="N1086" s="4"/>
      <c r="O1086" s="1">
        <f t="shared" si="512"/>
        <v>166.1</v>
      </c>
      <c r="P1086" s="1">
        <f t="shared" si="513"/>
        <v>0</v>
      </c>
      <c r="Q1086" s="1" t="str">
        <f t="shared" si="509"/>
        <v/>
      </c>
      <c r="R1086" s="1" t="str">
        <f t="shared" si="514"/>
        <v/>
      </c>
      <c r="S1086" s="1">
        <f t="shared" si="515"/>
        <v>665.433600000002</v>
      </c>
      <c r="T1086" s="1">
        <f t="shared" si="516"/>
        <v>0.44</v>
      </c>
      <c r="U1086" s="1">
        <f t="shared" si="517"/>
        <v>1584.00000000006</v>
      </c>
      <c r="V1086" s="1">
        <f t="shared" si="518"/>
        <v>696.96000000002641</v>
      </c>
    </row>
    <row r="1087" spans="1:22" x14ac:dyDescent="0.25">
      <c r="A1087" s="1">
        <v>1086</v>
      </c>
      <c r="B1087" s="4">
        <v>7500</v>
      </c>
      <c r="C1087" s="4">
        <v>166.4</v>
      </c>
      <c r="D1087" s="4">
        <v>166.5</v>
      </c>
      <c r="E1087" s="4">
        <f t="shared" si="510"/>
        <v>9.9999999999994316E-2</v>
      </c>
      <c r="F1087" s="4">
        <v>2</v>
      </c>
      <c r="G1087" s="4">
        <v>0.44</v>
      </c>
      <c r="H1087" s="4">
        <v>79</v>
      </c>
      <c r="I1087" s="4"/>
      <c r="J1087" s="4">
        <v>50</v>
      </c>
      <c r="K1087" s="2"/>
      <c r="M1087" s="4">
        <f t="shared" si="511"/>
        <v>166.5</v>
      </c>
      <c r="N1087" s="4"/>
      <c r="O1087" s="1">
        <f t="shared" si="512"/>
        <v>166.4</v>
      </c>
      <c r="P1087" s="1">
        <f t="shared" si="513"/>
        <v>10.559999999999398</v>
      </c>
      <c r="Q1087" s="1" t="str">
        <f t="shared" si="509"/>
        <v/>
      </c>
      <c r="R1087" s="1" t="str">
        <f t="shared" si="514"/>
        <v/>
      </c>
      <c r="S1087" s="1">
        <f t="shared" si="515"/>
        <v>672.40320000000224</v>
      </c>
      <c r="T1087" s="1">
        <f t="shared" si="516"/>
        <v>0.44</v>
      </c>
      <c r="U1087" s="1">
        <f t="shared" si="517"/>
        <v>527.99999999996999</v>
      </c>
      <c r="V1087" s="1">
        <f t="shared" si="518"/>
        <v>232.31999999998681</v>
      </c>
    </row>
    <row r="1088" spans="1:22" x14ac:dyDescent="0.25">
      <c r="A1088" s="1">
        <v>1087</v>
      </c>
      <c r="B1088" s="4">
        <v>7500</v>
      </c>
      <c r="C1088" s="4">
        <v>166.5</v>
      </c>
      <c r="D1088" s="4">
        <v>166.6</v>
      </c>
      <c r="E1088" s="4">
        <f t="shared" si="510"/>
        <v>9.9999999999994316E-2</v>
      </c>
      <c r="F1088" s="4">
        <v>2</v>
      </c>
      <c r="G1088" s="4">
        <v>0.44</v>
      </c>
      <c r="H1088" s="4">
        <v>79</v>
      </c>
      <c r="I1088" s="4"/>
      <c r="J1088" s="4">
        <v>50</v>
      </c>
      <c r="K1088" s="2"/>
      <c r="M1088" s="4">
        <f t="shared" si="511"/>
        <v>166.6</v>
      </c>
      <c r="N1088" s="4"/>
      <c r="O1088" s="1">
        <f t="shared" si="512"/>
        <v>166.5</v>
      </c>
      <c r="P1088" s="1">
        <f t="shared" si="513"/>
        <v>10.559999999999398</v>
      </c>
      <c r="Q1088" s="1" t="str">
        <f t="shared" si="509"/>
        <v/>
      </c>
      <c r="R1088" s="1" t="str">
        <f t="shared" si="514"/>
        <v/>
      </c>
      <c r="S1088" s="1">
        <f t="shared" si="515"/>
        <v>674.72640000000206</v>
      </c>
      <c r="T1088" s="1">
        <f t="shared" si="516"/>
        <v>0.44</v>
      </c>
      <c r="U1088" s="1">
        <f t="shared" si="517"/>
        <v>527.99999999996999</v>
      </c>
      <c r="V1088" s="1">
        <f t="shared" si="518"/>
        <v>232.31999999998681</v>
      </c>
    </row>
    <row r="1089" spans="1:22" x14ac:dyDescent="0.25">
      <c r="A1089" s="1">
        <v>1088</v>
      </c>
      <c r="B1089" s="4">
        <v>7500</v>
      </c>
      <c r="C1089" s="4">
        <v>166.6</v>
      </c>
      <c r="D1089" s="4">
        <v>166.7</v>
      </c>
      <c r="E1089" s="4">
        <f t="shared" si="510"/>
        <v>9.9999999999994316E-2</v>
      </c>
      <c r="F1089" s="4">
        <v>2</v>
      </c>
      <c r="G1089" s="4">
        <v>0.32</v>
      </c>
      <c r="H1089" s="4">
        <v>79</v>
      </c>
      <c r="I1089" s="4"/>
      <c r="J1089" s="4">
        <v>50</v>
      </c>
      <c r="K1089" s="2"/>
      <c r="M1089" s="4">
        <f t="shared" si="511"/>
        <v>166.7</v>
      </c>
      <c r="N1089" s="4"/>
      <c r="O1089" s="1">
        <f t="shared" si="512"/>
        <v>166.6</v>
      </c>
      <c r="P1089" s="1">
        <f t="shared" si="513"/>
        <v>10.559999999999398</v>
      </c>
      <c r="Q1089" s="1" t="str">
        <f t="shared" si="509"/>
        <v/>
      </c>
      <c r="R1089" s="1" t="str">
        <f t="shared" si="514"/>
        <v/>
      </c>
      <c r="S1089" s="1">
        <f t="shared" si="515"/>
        <v>677.04960000000187</v>
      </c>
      <c r="T1089" s="1">
        <f t="shared" si="516"/>
        <v>0.32</v>
      </c>
      <c r="U1089" s="1">
        <f t="shared" si="517"/>
        <v>527.99999999996999</v>
      </c>
      <c r="V1089" s="1">
        <f t="shared" si="518"/>
        <v>168.9599999999904</v>
      </c>
    </row>
    <row r="1090" spans="1:22" x14ac:dyDescent="0.25">
      <c r="A1090" s="1">
        <v>1089</v>
      </c>
      <c r="B1090" s="4">
        <v>7500</v>
      </c>
      <c r="C1090" s="4">
        <v>166.7</v>
      </c>
      <c r="D1090" s="4">
        <v>166.79999999999998</v>
      </c>
      <c r="E1090" s="4">
        <f t="shared" si="510"/>
        <v>9.9999999999994316E-2</v>
      </c>
      <c r="F1090" s="4">
        <v>0</v>
      </c>
      <c r="G1090" s="4">
        <v>7.0000000000000007E-2</v>
      </c>
      <c r="H1090" s="4">
        <v>79</v>
      </c>
      <c r="I1090" s="4"/>
      <c r="J1090" s="4">
        <v>50</v>
      </c>
      <c r="K1090" s="2"/>
      <c r="M1090" s="4">
        <f t="shared" si="511"/>
        <v>166.79999999999998</v>
      </c>
      <c r="N1090" s="4"/>
      <c r="O1090" s="1">
        <f t="shared" si="512"/>
        <v>166.7</v>
      </c>
      <c r="P1090" s="1">
        <f t="shared" si="513"/>
        <v>0</v>
      </c>
      <c r="Q1090" s="1" t="str">
        <f t="shared" si="509"/>
        <v/>
      </c>
      <c r="R1090" s="1" t="str">
        <f t="shared" si="514"/>
        <v/>
      </c>
      <c r="S1090" s="1">
        <f t="shared" si="515"/>
        <v>678.7392000000018</v>
      </c>
      <c r="T1090" s="1">
        <f t="shared" si="516"/>
        <v>7.0000000000000007E-2</v>
      </c>
      <c r="U1090" s="1">
        <f t="shared" si="517"/>
        <v>527.99999999996999</v>
      </c>
      <c r="V1090" s="1">
        <f t="shared" si="518"/>
        <v>36.959999999997905</v>
      </c>
    </row>
    <row r="1091" spans="1:22" x14ac:dyDescent="0.25">
      <c r="A1091" s="1">
        <v>1090</v>
      </c>
      <c r="B1091" s="4">
        <v>7500</v>
      </c>
      <c r="C1091" s="4">
        <v>166.79999999999998</v>
      </c>
      <c r="D1091" s="4">
        <v>166.9</v>
      </c>
      <c r="E1091" s="4">
        <f t="shared" si="510"/>
        <v>0.10000000000002274</v>
      </c>
      <c r="F1091" s="4">
        <v>0</v>
      </c>
      <c r="G1091" s="4">
        <v>-0.06</v>
      </c>
      <c r="H1091" s="4">
        <v>79</v>
      </c>
      <c r="I1091" s="4"/>
      <c r="J1091" s="4">
        <v>50</v>
      </c>
      <c r="K1091" s="2"/>
      <c r="M1091" s="4">
        <f t="shared" si="511"/>
        <v>166.9</v>
      </c>
      <c r="N1091" s="4"/>
      <c r="O1091" s="1">
        <f t="shared" si="512"/>
        <v>166.79999999999998</v>
      </c>
      <c r="P1091" s="1">
        <f t="shared" si="513"/>
        <v>0</v>
      </c>
      <c r="Q1091" s="1" t="str">
        <f t="shared" ref="Q1091:Q1136" si="519">IF(H1091&lt;&gt;"",IF(H1091=H1090,"",H1091),IF(H1089="","",MAX(H1090,Q1090)))</f>
        <v/>
      </c>
      <c r="R1091" s="1" t="str">
        <f t="shared" si="514"/>
        <v/>
      </c>
      <c r="S1091" s="1">
        <f t="shared" si="515"/>
        <v>679.10880000000179</v>
      </c>
      <c r="T1091" s="1">
        <f t="shared" si="516"/>
        <v>-0.06</v>
      </c>
      <c r="U1091" s="1">
        <f t="shared" si="517"/>
        <v>528.00000000012005</v>
      </c>
      <c r="V1091" s="1">
        <f t="shared" si="518"/>
        <v>31.680000000007201</v>
      </c>
    </row>
    <row r="1092" spans="1:22" x14ac:dyDescent="0.25">
      <c r="A1092" s="1">
        <v>1091</v>
      </c>
      <c r="B1092" s="4">
        <v>7500</v>
      </c>
      <c r="C1092" s="4">
        <v>166.9</v>
      </c>
      <c r="D1092" s="4">
        <v>167</v>
      </c>
      <c r="E1092" s="4">
        <f t="shared" si="510"/>
        <v>9.9999999999994316E-2</v>
      </c>
      <c r="F1092" s="4">
        <v>0</v>
      </c>
      <c r="G1092" s="4">
        <v>-0.25</v>
      </c>
      <c r="H1092" s="4">
        <v>79</v>
      </c>
      <c r="I1092" s="4"/>
      <c r="J1092" s="4">
        <v>50</v>
      </c>
      <c r="K1092" s="2"/>
      <c r="M1092" s="4">
        <f t="shared" si="511"/>
        <v>167</v>
      </c>
      <c r="N1092" s="4"/>
      <c r="O1092" s="1">
        <f t="shared" si="512"/>
        <v>166.9</v>
      </c>
      <c r="P1092" s="1">
        <f t="shared" si="513"/>
        <v>0</v>
      </c>
      <c r="Q1092" s="1" t="str">
        <f t="shared" si="519"/>
        <v/>
      </c>
      <c r="R1092" s="1" t="str">
        <f t="shared" si="514"/>
        <v/>
      </c>
      <c r="S1092" s="1">
        <f t="shared" si="515"/>
        <v>678.79200000000174</v>
      </c>
      <c r="T1092" s="1">
        <f t="shared" si="516"/>
        <v>-0.25</v>
      </c>
      <c r="U1092" s="1">
        <f t="shared" si="517"/>
        <v>527.99999999996999</v>
      </c>
      <c r="V1092" s="1">
        <f t="shared" si="518"/>
        <v>131.9999999999925</v>
      </c>
    </row>
    <row r="1093" spans="1:22" x14ac:dyDescent="0.25">
      <c r="A1093" s="1">
        <v>1092</v>
      </c>
      <c r="B1093" s="4">
        <v>7500</v>
      </c>
      <c r="C1093" s="4">
        <v>167</v>
      </c>
      <c r="D1093" s="4">
        <v>167.1</v>
      </c>
      <c r="E1093" s="4">
        <f t="shared" si="510"/>
        <v>9.9999999999994316E-2</v>
      </c>
      <c r="F1093" s="4">
        <v>0</v>
      </c>
      <c r="G1093" s="4">
        <v>-0.12</v>
      </c>
      <c r="H1093" s="4">
        <v>79</v>
      </c>
      <c r="I1093" s="4"/>
      <c r="J1093" s="4">
        <v>50</v>
      </c>
      <c r="K1093" s="2"/>
      <c r="M1093" s="4">
        <f t="shared" si="511"/>
        <v>167.1</v>
      </c>
      <c r="N1093" s="4"/>
      <c r="O1093" s="1">
        <f t="shared" si="512"/>
        <v>167</v>
      </c>
      <c r="P1093" s="1">
        <f t="shared" si="513"/>
        <v>0</v>
      </c>
      <c r="Q1093" s="1" t="str">
        <f t="shared" si="519"/>
        <v/>
      </c>
      <c r="R1093" s="1" t="str">
        <f t="shared" si="514"/>
        <v/>
      </c>
      <c r="S1093" s="1">
        <f t="shared" si="515"/>
        <v>677.4720000000018</v>
      </c>
      <c r="T1093" s="1">
        <f t="shared" si="516"/>
        <v>-0.12</v>
      </c>
      <c r="U1093" s="1">
        <f t="shared" si="517"/>
        <v>527.99999999996999</v>
      </c>
      <c r="V1093" s="1">
        <f t="shared" si="518"/>
        <v>63.359999999996397</v>
      </c>
    </row>
    <row r="1094" spans="1:22" x14ac:dyDescent="0.25">
      <c r="A1094" s="1">
        <v>1093</v>
      </c>
      <c r="B1094" s="4">
        <v>7500</v>
      </c>
      <c r="C1094" s="4">
        <v>167.1</v>
      </c>
      <c r="D1094" s="4">
        <v>167.2</v>
      </c>
      <c r="E1094" s="4">
        <f t="shared" si="510"/>
        <v>9.9999999999994316E-2</v>
      </c>
      <c r="F1094" s="4">
        <v>0</v>
      </c>
      <c r="G1094" s="4">
        <v>0.14000000000000001</v>
      </c>
      <c r="H1094" s="4">
        <v>79</v>
      </c>
      <c r="I1094" s="4"/>
      <c r="J1094" s="4">
        <v>50</v>
      </c>
      <c r="K1094" s="2"/>
      <c r="M1094" s="4">
        <f t="shared" si="511"/>
        <v>167.2</v>
      </c>
      <c r="N1094" s="4"/>
      <c r="O1094" s="1">
        <f t="shared" si="512"/>
        <v>167.1</v>
      </c>
      <c r="P1094" s="1">
        <f t="shared" si="513"/>
        <v>0</v>
      </c>
      <c r="Q1094" s="1" t="str">
        <f t="shared" si="519"/>
        <v/>
      </c>
      <c r="R1094" s="1" t="str">
        <f t="shared" si="514"/>
        <v/>
      </c>
      <c r="S1094" s="1">
        <f t="shared" si="515"/>
        <v>676.8384000000018</v>
      </c>
      <c r="T1094" s="1">
        <f t="shared" si="516"/>
        <v>0.14000000000000001</v>
      </c>
      <c r="U1094" s="1">
        <f t="shared" si="517"/>
        <v>527.99999999996999</v>
      </c>
      <c r="V1094" s="1">
        <f t="shared" si="518"/>
        <v>73.91999999999581</v>
      </c>
    </row>
    <row r="1095" spans="1:22" x14ac:dyDescent="0.25">
      <c r="A1095" s="1">
        <v>1094</v>
      </c>
      <c r="B1095" s="4">
        <v>7500</v>
      </c>
      <c r="C1095" s="4">
        <v>167.2</v>
      </c>
      <c r="D1095" s="4">
        <v>167.29999999999998</v>
      </c>
      <c r="E1095" s="4">
        <f t="shared" si="510"/>
        <v>9.9999999999994316E-2</v>
      </c>
      <c r="F1095" s="4">
        <v>0</v>
      </c>
      <c r="G1095" s="4">
        <v>0.27</v>
      </c>
      <c r="H1095" s="4">
        <v>79</v>
      </c>
      <c r="I1095" s="4"/>
      <c r="J1095" s="4">
        <v>50</v>
      </c>
      <c r="K1095" s="2"/>
      <c r="M1095" s="4">
        <f t="shared" si="511"/>
        <v>167.29999999999998</v>
      </c>
      <c r="N1095" s="4"/>
      <c r="O1095" s="1">
        <f t="shared" si="512"/>
        <v>167.2</v>
      </c>
      <c r="P1095" s="1">
        <f t="shared" si="513"/>
        <v>0</v>
      </c>
      <c r="Q1095" s="1" t="str">
        <f t="shared" si="519"/>
        <v/>
      </c>
      <c r="R1095" s="1" t="str">
        <f t="shared" si="514"/>
        <v/>
      </c>
      <c r="S1095" s="1">
        <f t="shared" si="515"/>
        <v>677.57760000000178</v>
      </c>
      <c r="T1095" s="1">
        <f t="shared" si="516"/>
        <v>0.27</v>
      </c>
      <c r="U1095" s="1">
        <f t="shared" si="517"/>
        <v>527.99999999996999</v>
      </c>
      <c r="V1095" s="1">
        <f t="shared" si="518"/>
        <v>142.5599999999919</v>
      </c>
    </row>
    <row r="1096" spans="1:22" x14ac:dyDescent="0.25">
      <c r="A1096" s="1">
        <v>1095</v>
      </c>
      <c r="B1096" s="4">
        <v>7500</v>
      </c>
      <c r="C1096" s="4">
        <v>167.29999999999998</v>
      </c>
      <c r="D1096" s="4">
        <v>167.4</v>
      </c>
      <c r="E1096" s="4">
        <f t="shared" ref="E1096:E1135" si="520">D1096-C1096</f>
        <v>0.10000000000002274</v>
      </c>
      <c r="F1096" s="4">
        <v>0</v>
      </c>
      <c r="G1096" s="4">
        <v>0.12</v>
      </c>
      <c r="H1096" s="4">
        <v>79</v>
      </c>
      <c r="I1096" s="4"/>
      <c r="J1096" s="4">
        <v>50</v>
      </c>
      <c r="K1096" s="2"/>
      <c r="M1096" s="4">
        <f t="shared" ref="M1096:M1159" si="521">E1096+M1095</f>
        <v>167.4</v>
      </c>
      <c r="N1096" s="4"/>
      <c r="O1096" s="1">
        <f t="shared" ref="O1096:O1159" si="522">E1095+O1095</f>
        <v>167.29999999999998</v>
      </c>
      <c r="P1096" s="1">
        <f t="shared" ref="P1096:P1159" si="523">F1096*52.8*E1096</f>
        <v>0</v>
      </c>
      <c r="Q1096" s="1" t="str">
        <f t="shared" si="519"/>
        <v/>
      </c>
      <c r="R1096" s="1" t="str">
        <f t="shared" ref="R1096:R1159" si="524">IF(I1096="",Q1096,IF(AND(H1096=H1095,I1096=I1095),"",I1096))</f>
        <v/>
      </c>
      <c r="S1096" s="1">
        <f t="shared" ref="S1096:S1159" si="525">S1095+U1095*T1095/100</f>
        <v>679.0032000000017</v>
      </c>
      <c r="T1096" s="1">
        <f t="shared" ref="T1096:T1159" si="526">IF(G1096="UNK",0,G1096)</f>
        <v>0.12</v>
      </c>
      <c r="U1096" s="1">
        <f t="shared" ref="U1096:U1159" si="527">E1096*5280</f>
        <v>528.00000000012005</v>
      </c>
      <c r="V1096" s="1">
        <f t="shared" ref="V1096:V1159" si="528">ABS(T1096*U1096)</f>
        <v>63.360000000014402</v>
      </c>
    </row>
    <row r="1097" spans="1:22" x14ac:dyDescent="0.25">
      <c r="A1097" s="1">
        <v>1096</v>
      </c>
      <c r="B1097" s="4">
        <v>7500</v>
      </c>
      <c r="C1097" s="4">
        <v>167.4</v>
      </c>
      <c r="D1097" s="4">
        <v>167.5</v>
      </c>
      <c r="E1097" s="4">
        <f t="shared" si="520"/>
        <v>9.9999999999994316E-2</v>
      </c>
      <c r="F1097" s="4">
        <v>0</v>
      </c>
      <c r="G1097" s="4">
        <v>0.12</v>
      </c>
      <c r="H1097" s="4">
        <v>79</v>
      </c>
      <c r="I1097" s="4"/>
      <c r="J1097" s="4">
        <v>50</v>
      </c>
      <c r="K1097" s="2"/>
      <c r="M1097" s="4">
        <f t="shared" si="521"/>
        <v>167.5</v>
      </c>
      <c r="N1097" s="4"/>
      <c r="O1097" s="1">
        <f t="shared" si="522"/>
        <v>167.4</v>
      </c>
      <c r="P1097" s="1">
        <f t="shared" si="523"/>
        <v>0</v>
      </c>
      <c r="Q1097" s="1" t="str">
        <f t="shared" si="519"/>
        <v/>
      </c>
      <c r="R1097" s="1" t="str">
        <f t="shared" si="524"/>
        <v/>
      </c>
      <c r="S1097" s="1">
        <f t="shared" si="525"/>
        <v>679.63680000000181</v>
      </c>
      <c r="T1097" s="1">
        <f t="shared" si="526"/>
        <v>0.12</v>
      </c>
      <c r="U1097" s="1">
        <f t="shared" si="527"/>
        <v>527.99999999996999</v>
      </c>
      <c r="V1097" s="1">
        <f t="shared" si="528"/>
        <v>63.359999999996397</v>
      </c>
    </row>
    <row r="1098" spans="1:22" x14ac:dyDescent="0.25">
      <c r="A1098" s="1">
        <v>1097</v>
      </c>
      <c r="B1098" s="4">
        <v>7500</v>
      </c>
      <c r="C1098" s="4">
        <v>167.5</v>
      </c>
      <c r="D1098" s="4">
        <v>167.6</v>
      </c>
      <c r="E1098" s="4">
        <f t="shared" si="520"/>
        <v>9.9999999999994316E-2</v>
      </c>
      <c r="F1098" s="4">
        <v>0</v>
      </c>
      <c r="G1098" s="4">
        <v>0.21</v>
      </c>
      <c r="H1098" s="4">
        <v>79</v>
      </c>
      <c r="I1098" s="4"/>
      <c r="J1098" s="4">
        <v>50</v>
      </c>
      <c r="K1098" s="2"/>
      <c r="M1098" s="4">
        <f t="shared" si="521"/>
        <v>167.6</v>
      </c>
      <c r="N1098" s="4"/>
      <c r="O1098" s="1">
        <f t="shared" si="522"/>
        <v>167.5</v>
      </c>
      <c r="P1098" s="1">
        <f t="shared" si="523"/>
        <v>0</v>
      </c>
      <c r="Q1098" s="1" t="str">
        <f t="shared" si="519"/>
        <v/>
      </c>
      <c r="R1098" s="1" t="str">
        <f t="shared" si="524"/>
        <v/>
      </c>
      <c r="S1098" s="1">
        <f t="shared" si="525"/>
        <v>680.27040000000181</v>
      </c>
      <c r="T1098" s="1">
        <f t="shared" si="526"/>
        <v>0.21</v>
      </c>
      <c r="U1098" s="1">
        <f t="shared" si="527"/>
        <v>527.99999999996999</v>
      </c>
      <c r="V1098" s="1">
        <f t="shared" si="528"/>
        <v>110.8799999999937</v>
      </c>
    </row>
    <row r="1099" spans="1:22" x14ac:dyDescent="0.25">
      <c r="A1099" s="1">
        <v>1098</v>
      </c>
      <c r="B1099" s="4">
        <v>7500</v>
      </c>
      <c r="C1099" s="4">
        <v>167.6</v>
      </c>
      <c r="D1099" s="4">
        <v>167.7</v>
      </c>
      <c r="E1099" s="4">
        <f t="shared" si="520"/>
        <v>9.9999999999994316E-2</v>
      </c>
      <c r="F1099" s="4">
        <v>0</v>
      </c>
      <c r="G1099" s="4">
        <v>0.55000000000000004</v>
      </c>
      <c r="H1099" s="4">
        <v>79</v>
      </c>
      <c r="I1099" s="4"/>
      <c r="J1099" s="4">
        <v>50</v>
      </c>
      <c r="K1099" s="2"/>
      <c r="M1099" s="4">
        <f t="shared" si="521"/>
        <v>167.7</v>
      </c>
      <c r="N1099" s="4"/>
      <c r="O1099" s="1">
        <f t="shared" si="522"/>
        <v>167.6</v>
      </c>
      <c r="P1099" s="1">
        <f t="shared" si="523"/>
        <v>0</v>
      </c>
      <c r="Q1099" s="1" t="str">
        <f t="shared" si="519"/>
        <v/>
      </c>
      <c r="R1099" s="1" t="str">
        <f t="shared" si="524"/>
        <v/>
      </c>
      <c r="S1099" s="1">
        <f t="shared" si="525"/>
        <v>681.37920000000179</v>
      </c>
      <c r="T1099" s="1">
        <f t="shared" si="526"/>
        <v>0.55000000000000004</v>
      </c>
      <c r="U1099" s="1">
        <f t="shared" si="527"/>
        <v>527.99999999996999</v>
      </c>
      <c r="V1099" s="1">
        <f t="shared" si="528"/>
        <v>290.39999999998349</v>
      </c>
    </row>
    <row r="1100" spans="1:22" x14ac:dyDescent="0.25">
      <c r="A1100" s="1">
        <v>1099</v>
      </c>
      <c r="B1100" s="4">
        <v>7500</v>
      </c>
      <c r="C1100" s="4">
        <v>167.7</v>
      </c>
      <c r="D1100" s="4">
        <v>167.79999999999998</v>
      </c>
      <c r="E1100" s="4">
        <f t="shared" si="520"/>
        <v>9.9999999999994316E-2</v>
      </c>
      <c r="F1100" s="4">
        <v>1</v>
      </c>
      <c r="G1100" s="4">
        <v>0.36</v>
      </c>
      <c r="H1100" s="4">
        <v>79</v>
      </c>
      <c r="I1100" s="4"/>
      <c r="J1100" s="4">
        <v>50</v>
      </c>
      <c r="K1100" s="2"/>
      <c r="M1100" s="4">
        <f t="shared" si="521"/>
        <v>167.79999999999998</v>
      </c>
      <c r="N1100" s="4"/>
      <c r="O1100" s="1">
        <f t="shared" si="522"/>
        <v>167.7</v>
      </c>
      <c r="P1100" s="1">
        <f t="shared" si="523"/>
        <v>5.2799999999996992</v>
      </c>
      <c r="Q1100" s="1" t="str">
        <f t="shared" si="519"/>
        <v/>
      </c>
      <c r="R1100" s="1" t="str">
        <f t="shared" si="524"/>
        <v/>
      </c>
      <c r="S1100" s="1">
        <f t="shared" si="525"/>
        <v>684.28320000000167</v>
      </c>
      <c r="T1100" s="1">
        <f t="shared" si="526"/>
        <v>0.36</v>
      </c>
      <c r="U1100" s="1">
        <f t="shared" si="527"/>
        <v>527.99999999996999</v>
      </c>
      <c r="V1100" s="1">
        <f t="shared" si="528"/>
        <v>190.07999999998918</v>
      </c>
    </row>
    <row r="1101" spans="1:22" x14ac:dyDescent="0.25">
      <c r="A1101" s="1">
        <v>1100</v>
      </c>
      <c r="B1101" s="4">
        <v>7500</v>
      </c>
      <c r="C1101" s="4">
        <v>167.79999999999998</v>
      </c>
      <c r="D1101" s="4">
        <v>167.9</v>
      </c>
      <c r="E1101" s="4">
        <f t="shared" si="520"/>
        <v>0.10000000000002274</v>
      </c>
      <c r="F1101" s="4">
        <v>0</v>
      </c>
      <c r="G1101" s="4">
        <v>0.73</v>
      </c>
      <c r="H1101" s="4">
        <v>79</v>
      </c>
      <c r="I1101" s="4"/>
      <c r="J1101" s="4">
        <v>50</v>
      </c>
      <c r="K1101" s="2"/>
      <c r="M1101" s="4">
        <f t="shared" si="521"/>
        <v>167.9</v>
      </c>
      <c r="N1101" s="4"/>
      <c r="O1101" s="1">
        <f t="shared" si="522"/>
        <v>167.79999999999998</v>
      </c>
      <c r="P1101" s="1">
        <f t="shared" si="523"/>
        <v>0</v>
      </c>
      <c r="Q1101" s="1" t="str">
        <f t="shared" si="519"/>
        <v/>
      </c>
      <c r="R1101" s="1" t="str">
        <f t="shared" si="524"/>
        <v/>
      </c>
      <c r="S1101" s="1">
        <f t="shared" si="525"/>
        <v>686.18400000000156</v>
      </c>
      <c r="T1101" s="1">
        <f t="shared" si="526"/>
        <v>0.73</v>
      </c>
      <c r="U1101" s="1">
        <f t="shared" si="527"/>
        <v>528.00000000012005</v>
      </c>
      <c r="V1101" s="1">
        <f t="shared" si="528"/>
        <v>385.44000000008765</v>
      </c>
    </row>
    <row r="1102" spans="1:22" x14ac:dyDescent="0.25">
      <c r="A1102" s="1">
        <v>1101</v>
      </c>
      <c r="B1102" s="4">
        <v>7500</v>
      </c>
      <c r="C1102" s="4">
        <v>167.9</v>
      </c>
      <c r="D1102" s="4">
        <v>168</v>
      </c>
      <c r="E1102" s="4">
        <f t="shared" si="520"/>
        <v>9.9999999999994316E-2</v>
      </c>
      <c r="F1102" s="4">
        <v>0</v>
      </c>
      <c r="G1102" s="4">
        <v>0.4</v>
      </c>
      <c r="H1102" s="4">
        <v>79</v>
      </c>
      <c r="I1102" s="4"/>
      <c r="J1102" s="4">
        <v>50</v>
      </c>
      <c r="K1102" s="2"/>
      <c r="M1102" s="4">
        <f t="shared" si="521"/>
        <v>168</v>
      </c>
      <c r="N1102" s="4"/>
      <c r="O1102" s="1">
        <f t="shared" si="522"/>
        <v>167.9</v>
      </c>
      <c r="P1102" s="1">
        <f t="shared" si="523"/>
        <v>0</v>
      </c>
      <c r="Q1102" s="1" t="str">
        <f t="shared" si="519"/>
        <v/>
      </c>
      <c r="R1102" s="1" t="str">
        <f t="shared" si="524"/>
        <v/>
      </c>
      <c r="S1102" s="1">
        <f t="shared" si="525"/>
        <v>690.03840000000241</v>
      </c>
      <c r="T1102" s="1">
        <f t="shared" si="526"/>
        <v>0.4</v>
      </c>
      <c r="U1102" s="1">
        <f t="shared" si="527"/>
        <v>527.99999999996999</v>
      </c>
      <c r="V1102" s="1">
        <f t="shared" si="528"/>
        <v>211.19999999998799</v>
      </c>
    </row>
    <row r="1103" spans="1:22" x14ac:dyDescent="0.25">
      <c r="A1103" s="1">
        <v>1102</v>
      </c>
      <c r="B1103" s="4">
        <v>7500</v>
      </c>
      <c r="C1103" s="4">
        <v>168</v>
      </c>
      <c r="D1103" s="4">
        <v>168.1</v>
      </c>
      <c r="E1103" s="4">
        <f t="shared" si="520"/>
        <v>9.9999999999994316E-2</v>
      </c>
      <c r="F1103" s="4">
        <v>0</v>
      </c>
      <c r="G1103" s="4">
        <v>0.49</v>
      </c>
      <c r="H1103" s="4">
        <v>79</v>
      </c>
      <c r="I1103" s="4"/>
      <c r="J1103" s="4">
        <v>50</v>
      </c>
      <c r="K1103" s="2"/>
      <c r="M1103" s="4">
        <f t="shared" si="521"/>
        <v>168.1</v>
      </c>
      <c r="N1103" s="4"/>
      <c r="O1103" s="1">
        <f t="shared" si="522"/>
        <v>168</v>
      </c>
      <c r="P1103" s="1">
        <f t="shared" si="523"/>
        <v>0</v>
      </c>
      <c r="Q1103" s="1" t="str">
        <f t="shared" si="519"/>
        <v/>
      </c>
      <c r="R1103" s="1" t="str">
        <f t="shared" si="524"/>
        <v/>
      </c>
      <c r="S1103" s="1">
        <f t="shared" si="525"/>
        <v>692.15040000000226</v>
      </c>
      <c r="T1103" s="1">
        <f t="shared" si="526"/>
        <v>0.49</v>
      </c>
      <c r="U1103" s="1">
        <f t="shared" si="527"/>
        <v>527.99999999996999</v>
      </c>
      <c r="V1103" s="1">
        <f t="shared" si="528"/>
        <v>258.7199999999853</v>
      </c>
    </row>
    <row r="1104" spans="1:22" x14ac:dyDescent="0.25">
      <c r="A1104" s="1">
        <v>1103</v>
      </c>
      <c r="B1104" s="4">
        <v>7500</v>
      </c>
      <c r="C1104" s="4">
        <v>168.1</v>
      </c>
      <c r="D1104" s="4">
        <v>168.29999999999998</v>
      </c>
      <c r="E1104" s="4">
        <f t="shared" si="520"/>
        <v>0.19999999999998863</v>
      </c>
      <c r="F1104" s="4">
        <v>0</v>
      </c>
      <c r="G1104" s="4">
        <v>0.53</v>
      </c>
      <c r="H1104" s="4">
        <v>79</v>
      </c>
      <c r="I1104" s="4"/>
      <c r="J1104" s="4">
        <v>50</v>
      </c>
      <c r="K1104" s="2"/>
      <c r="M1104" s="4">
        <f t="shared" si="521"/>
        <v>168.29999999999998</v>
      </c>
      <c r="N1104" s="4"/>
      <c r="O1104" s="1">
        <f t="shared" si="522"/>
        <v>168.1</v>
      </c>
      <c r="P1104" s="1">
        <f t="shared" si="523"/>
        <v>0</v>
      </c>
      <c r="Q1104" s="1" t="str">
        <f t="shared" si="519"/>
        <v/>
      </c>
      <c r="R1104" s="1" t="str">
        <f t="shared" si="524"/>
        <v/>
      </c>
      <c r="S1104" s="1">
        <f t="shared" si="525"/>
        <v>694.73760000000209</v>
      </c>
      <c r="T1104" s="1">
        <f t="shared" si="526"/>
        <v>0.53</v>
      </c>
      <c r="U1104" s="1">
        <f t="shared" si="527"/>
        <v>1055.99999999994</v>
      </c>
      <c r="V1104" s="1">
        <f t="shared" si="528"/>
        <v>559.67999999996823</v>
      </c>
    </row>
    <row r="1105" spans="1:22" x14ac:dyDescent="0.25">
      <c r="A1105" s="1">
        <v>1104</v>
      </c>
      <c r="B1105" s="4">
        <v>7500</v>
      </c>
      <c r="C1105" s="4">
        <v>168.29999999999998</v>
      </c>
      <c r="D1105" s="4">
        <v>168.5</v>
      </c>
      <c r="E1105" s="4">
        <f t="shared" si="520"/>
        <v>0.20000000000001705</v>
      </c>
      <c r="F1105" s="4">
        <v>0</v>
      </c>
      <c r="G1105" s="4">
        <v>0.74</v>
      </c>
      <c r="H1105" s="4">
        <v>79</v>
      </c>
      <c r="I1105" s="4"/>
      <c r="J1105" s="4">
        <v>50</v>
      </c>
      <c r="K1105" s="2"/>
      <c r="M1105" s="4">
        <f t="shared" si="521"/>
        <v>168.5</v>
      </c>
      <c r="N1105" s="4"/>
      <c r="O1105" s="1">
        <f t="shared" si="522"/>
        <v>168.29999999999998</v>
      </c>
      <c r="P1105" s="1">
        <f t="shared" si="523"/>
        <v>0</v>
      </c>
      <c r="Q1105" s="1" t="str">
        <f t="shared" si="519"/>
        <v/>
      </c>
      <c r="R1105" s="1" t="str">
        <f t="shared" si="524"/>
        <v/>
      </c>
      <c r="S1105" s="1">
        <f t="shared" si="525"/>
        <v>700.33440000000178</v>
      </c>
      <c r="T1105" s="1">
        <f t="shared" si="526"/>
        <v>0.74</v>
      </c>
      <c r="U1105" s="1">
        <f t="shared" si="527"/>
        <v>1056.00000000009</v>
      </c>
      <c r="V1105" s="1">
        <f t="shared" si="528"/>
        <v>781.44000000006668</v>
      </c>
    </row>
    <row r="1106" spans="1:22" x14ac:dyDescent="0.25">
      <c r="A1106" s="1">
        <v>1105</v>
      </c>
      <c r="B1106" s="4">
        <v>7500</v>
      </c>
      <c r="C1106" s="4">
        <v>168.5</v>
      </c>
      <c r="D1106" s="4">
        <v>168.6</v>
      </c>
      <c r="E1106" s="4">
        <f t="shared" si="520"/>
        <v>9.9999999999994316E-2</v>
      </c>
      <c r="F1106" s="4">
        <v>0</v>
      </c>
      <c r="G1106" s="4">
        <v>0.41</v>
      </c>
      <c r="H1106" s="4">
        <v>79</v>
      </c>
      <c r="I1106" s="4"/>
      <c r="J1106" s="4">
        <v>50</v>
      </c>
      <c r="K1106" s="2"/>
      <c r="M1106" s="4">
        <f t="shared" si="521"/>
        <v>168.6</v>
      </c>
      <c r="N1106" s="4"/>
      <c r="O1106" s="1">
        <f t="shared" si="522"/>
        <v>168.5</v>
      </c>
      <c r="P1106" s="1">
        <f t="shared" si="523"/>
        <v>0</v>
      </c>
      <c r="Q1106" s="1" t="str">
        <f t="shared" si="519"/>
        <v/>
      </c>
      <c r="R1106" s="1" t="str">
        <f t="shared" si="524"/>
        <v/>
      </c>
      <c r="S1106" s="1">
        <f t="shared" si="525"/>
        <v>708.14880000000244</v>
      </c>
      <c r="T1106" s="1">
        <f t="shared" si="526"/>
        <v>0.41</v>
      </c>
      <c r="U1106" s="1">
        <f t="shared" si="527"/>
        <v>527.99999999996999</v>
      </c>
      <c r="V1106" s="1">
        <f t="shared" si="528"/>
        <v>216.47999999998768</v>
      </c>
    </row>
    <row r="1107" spans="1:22" x14ac:dyDescent="0.25">
      <c r="A1107" s="1">
        <v>1106</v>
      </c>
      <c r="B1107" s="4">
        <v>7500</v>
      </c>
      <c r="C1107" s="4">
        <v>168.6</v>
      </c>
      <c r="D1107" s="4">
        <v>168.79999999999998</v>
      </c>
      <c r="E1107" s="4">
        <f t="shared" si="520"/>
        <v>0.19999999999998863</v>
      </c>
      <c r="F1107" s="4">
        <v>0</v>
      </c>
      <c r="G1107" s="4">
        <v>-0.26</v>
      </c>
      <c r="H1107" s="4">
        <v>79</v>
      </c>
      <c r="I1107" s="4"/>
      <c r="J1107" s="4">
        <v>50</v>
      </c>
      <c r="K1107" s="2"/>
      <c r="M1107" s="4">
        <f t="shared" si="521"/>
        <v>168.79999999999998</v>
      </c>
      <c r="N1107" s="4"/>
      <c r="O1107" s="1">
        <f t="shared" si="522"/>
        <v>168.6</v>
      </c>
      <c r="P1107" s="1">
        <f t="shared" si="523"/>
        <v>0</v>
      </c>
      <c r="Q1107" s="1" t="str">
        <f t="shared" si="519"/>
        <v/>
      </c>
      <c r="R1107" s="1" t="str">
        <f t="shared" si="524"/>
        <v/>
      </c>
      <c r="S1107" s="1">
        <f t="shared" si="525"/>
        <v>710.31360000000234</v>
      </c>
      <c r="T1107" s="1">
        <f t="shared" si="526"/>
        <v>-0.26</v>
      </c>
      <c r="U1107" s="1">
        <f t="shared" si="527"/>
        <v>1055.99999999994</v>
      </c>
      <c r="V1107" s="1">
        <f t="shared" si="528"/>
        <v>274.55999999998443</v>
      </c>
    </row>
    <row r="1108" spans="1:22" x14ac:dyDescent="0.25">
      <c r="A1108" s="1">
        <v>1107</v>
      </c>
      <c r="B1108" s="4">
        <v>7500</v>
      </c>
      <c r="C1108" s="4">
        <v>168.79999999999998</v>
      </c>
      <c r="D1108" s="4">
        <v>169.1</v>
      </c>
      <c r="E1108" s="4">
        <f t="shared" si="520"/>
        <v>0.30000000000001137</v>
      </c>
      <c r="F1108" s="4">
        <v>0</v>
      </c>
      <c r="G1108" s="4">
        <v>-0.59</v>
      </c>
      <c r="H1108" s="4">
        <v>79</v>
      </c>
      <c r="I1108" s="4"/>
      <c r="J1108" s="4">
        <v>50</v>
      </c>
      <c r="K1108" s="2"/>
      <c r="M1108" s="4">
        <f t="shared" si="521"/>
        <v>169.1</v>
      </c>
      <c r="N1108" s="4"/>
      <c r="O1108" s="1">
        <f t="shared" si="522"/>
        <v>168.79999999999998</v>
      </c>
      <c r="P1108" s="1">
        <f t="shared" si="523"/>
        <v>0</v>
      </c>
      <c r="Q1108" s="1" t="str">
        <f t="shared" si="519"/>
        <v/>
      </c>
      <c r="R1108" s="1" t="str">
        <f t="shared" si="524"/>
        <v/>
      </c>
      <c r="S1108" s="1">
        <f t="shared" si="525"/>
        <v>707.56800000000248</v>
      </c>
      <c r="T1108" s="1">
        <f t="shared" si="526"/>
        <v>-0.59</v>
      </c>
      <c r="U1108" s="1">
        <f t="shared" si="527"/>
        <v>1584.00000000006</v>
      </c>
      <c r="V1108" s="1">
        <f t="shared" si="528"/>
        <v>934.56000000003542</v>
      </c>
    </row>
    <row r="1109" spans="1:22" x14ac:dyDescent="0.25">
      <c r="A1109" s="1">
        <v>1108</v>
      </c>
      <c r="B1109" s="4">
        <v>7500</v>
      </c>
      <c r="C1109" s="4">
        <v>169.1</v>
      </c>
      <c r="D1109" s="4">
        <v>169.29999999999998</v>
      </c>
      <c r="E1109" s="4">
        <f t="shared" si="520"/>
        <v>0.19999999999998863</v>
      </c>
      <c r="F1109" s="4">
        <v>0</v>
      </c>
      <c r="G1109" s="4">
        <v>-0.52</v>
      </c>
      <c r="H1109" s="4">
        <v>79</v>
      </c>
      <c r="I1109" s="4"/>
      <c r="J1109" s="4">
        <v>50</v>
      </c>
      <c r="K1109" s="2"/>
      <c r="M1109" s="4">
        <f t="shared" si="521"/>
        <v>169.29999999999998</v>
      </c>
      <c r="N1109" s="4"/>
      <c r="O1109" s="1">
        <f t="shared" si="522"/>
        <v>169.1</v>
      </c>
      <c r="P1109" s="1">
        <f t="shared" si="523"/>
        <v>0</v>
      </c>
      <c r="Q1109" s="1" t="str">
        <f t="shared" si="519"/>
        <v/>
      </c>
      <c r="R1109" s="1" t="str">
        <f t="shared" si="524"/>
        <v/>
      </c>
      <c r="S1109" s="1">
        <f t="shared" si="525"/>
        <v>698.22240000000215</v>
      </c>
      <c r="T1109" s="1">
        <f t="shared" si="526"/>
        <v>-0.52</v>
      </c>
      <c r="U1109" s="1">
        <f t="shared" si="527"/>
        <v>1055.99999999994</v>
      </c>
      <c r="V1109" s="1">
        <f t="shared" si="528"/>
        <v>549.11999999996885</v>
      </c>
    </row>
    <row r="1110" spans="1:22" x14ac:dyDescent="0.25">
      <c r="A1110" s="1">
        <v>1109</v>
      </c>
      <c r="B1110" s="4">
        <v>7500</v>
      </c>
      <c r="C1110" s="4">
        <v>169.29999999999998</v>
      </c>
      <c r="D1110" s="4">
        <v>169.4</v>
      </c>
      <c r="E1110" s="4">
        <f t="shared" si="520"/>
        <v>0.10000000000002274</v>
      </c>
      <c r="F1110" s="4">
        <v>1.2</v>
      </c>
      <c r="G1110" s="4">
        <v>-0.33</v>
      </c>
      <c r="H1110" s="4">
        <v>79</v>
      </c>
      <c r="I1110" s="4"/>
      <c r="J1110" s="4">
        <v>50</v>
      </c>
      <c r="K1110" s="2"/>
      <c r="M1110" s="4">
        <f t="shared" si="521"/>
        <v>169.4</v>
      </c>
      <c r="N1110" s="4"/>
      <c r="O1110" s="1">
        <f t="shared" si="522"/>
        <v>169.29999999999998</v>
      </c>
      <c r="P1110" s="1">
        <f t="shared" si="523"/>
        <v>6.33600000000144</v>
      </c>
      <c r="Q1110" s="1" t="str">
        <f t="shared" si="519"/>
        <v/>
      </c>
      <c r="R1110" s="1" t="str">
        <f t="shared" si="524"/>
        <v/>
      </c>
      <c r="S1110" s="1">
        <f t="shared" si="525"/>
        <v>692.73120000000245</v>
      </c>
      <c r="T1110" s="1">
        <f t="shared" si="526"/>
        <v>-0.33</v>
      </c>
      <c r="U1110" s="1">
        <f t="shared" si="527"/>
        <v>528.00000000012005</v>
      </c>
      <c r="V1110" s="1">
        <f t="shared" si="528"/>
        <v>174.24000000003963</v>
      </c>
    </row>
    <row r="1111" spans="1:22" x14ac:dyDescent="0.25">
      <c r="A1111" s="1">
        <v>1110</v>
      </c>
      <c r="B1111" s="4">
        <v>7500</v>
      </c>
      <c r="C1111" s="4">
        <v>169.4</v>
      </c>
      <c r="D1111" s="4">
        <v>169.5</v>
      </c>
      <c r="E1111" s="4">
        <f t="shared" si="520"/>
        <v>9.9999999999994316E-2</v>
      </c>
      <c r="F1111" s="4">
        <v>1.2</v>
      </c>
      <c r="G1111" s="4">
        <v>-0.18</v>
      </c>
      <c r="H1111" s="4">
        <v>79</v>
      </c>
      <c r="I1111" s="4"/>
      <c r="J1111" s="4">
        <v>50</v>
      </c>
      <c r="K1111" s="2"/>
      <c r="M1111" s="4">
        <f t="shared" si="521"/>
        <v>169.5</v>
      </c>
      <c r="N1111" s="4"/>
      <c r="O1111" s="1">
        <f t="shared" si="522"/>
        <v>169.4</v>
      </c>
      <c r="P1111" s="1">
        <f t="shared" si="523"/>
        <v>6.3359999999996388</v>
      </c>
      <c r="Q1111" s="1" t="str">
        <f t="shared" si="519"/>
        <v/>
      </c>
      <c r="R1111" s="1" t="str">
        <f t="shared" si="524"/>
        <v/>
      </c>
      <c r="S1111" s="1">
        <f t="shared" si="525"/>
        <v>690.98880000000202</v>
      </c>
      <c r="T1111" s="1">
        <f t="shared" si="526"/>
        <v>-0.18</v>
      </c>
      <c r="U1111" s="1">
        <f t="shared" si="527"/>
        <v>527.99999999996999</v>
      </c>
      <c r="V1111" s="1">
        <f t="shared" si="528"/>
        <v>95.039999999994592</v>
      </c>
    </row>
    <row r="1112" spans="1:22" x14ac:dyDescent="0.25">
      <c r="A1112" s="1">
        <v>1111</v>
      </c>
      <c r="B1112" s="4">
        <v>7500</v>
      </c>
      <c r="C1112" s="4">
        <v>169.5</v>
      </c>
      <c r="D1112" s="4">
        <v>169.79999999999998</v>
      </c>
      <c r="E1112" s="4">
        <f t="shared" si="520"/>
        <v>0.29999999999998295</v>
      </c>
      <c r="F1112" s="4">
        <v>1.4</v>
      </c>
      <c r="G1112" s="4">
        <v>0.26</v>
      </c>
      <c r="H1112" s="4">
        <v>79</v>
      </c>
      <c r="I1112" s="4"/>
      <c r="J1112" s="4">
        <v>50</v>
      </c>
      <c r="K1112" s="2"/>
      <c r="M1112" s="4">
        <f t="shared" si="521"/>
        <v>169.79999999999998</v>
      </c>
      <c r="N1112" s="4"/>
      <c r="O1112" s="1">
        <f t="shared" si="522"/>
        <v>169.5</v>
      </c>
      <c r="P1112" s="1">
        <f t="shared" si="523"/>
        <v>22.175999999998737</v>
      </c>
      <c r="Q1112" s="1" t="str">
        <f t="shared" si="519"/>
        <v/>
      </c>
      <c r="R1112" s="1" t="str">
        <f t="shared" si="524"/>
        <v/>
      </c>
      <c r="S1112" s="1">
        <f t="shared" si="525"/>
        <v>690.03840000000207</v>
      </c>
      <c r="T1112" s="1">
        <f t="shared" si="526"/>
        <v>0.26</v>
      </c>
      <c r="U1112" s="1">
        <f t="shared" si="527"/>
        <v>1583.99999999991</v>
      </c>
      <c r="V1112" s="1">
        <f t="shared" si="528"/>
        <v>411.83999999997661</v>
      </c>
    </row>
    <row r="1113" spans="1:22" x14ac:dyDescent="0.25">
      <c r="A1113" s="1">
        <v>1112</v>
      </c>
      <c r="B1113" s="4">
        <v>7500</v>
      </c>
      <c r="C1113" s="4">
        <v>169.79999999999998</v>
      </c>
      <c r="D1113" s="4">
        <v>169.9</v>
      </c>
      <c r="E1113" s="4">
        <f t="shared" si="520"/>
        <v>0.10000000000002274</v>
      </c>
      <c r="F1113" s="4">
        <v>1.4</v>
      </c>
      <c r="G1113" s="4">
        <v>0.03</v>
      </c>
      <c r="H1113" s="4">
        <v>79</v>
      </c>
      <c r="I1113" s="4"/>
      <c r="J1113" s="4">
        <v>50</v>
      </c>
      <c r="K1113" s="2"/>
      <c r="M1113" s="4">
        <f t="shared" si="521"/>
        <v>169.9</v>
      </c>
      <c r="N1113" s="4"/>
      <c r="O1113" s="1">
        <f t="shared" si="522"/>
        <v>169.79999999999998</v>
      </c>
      <c r="P1113" s="1">
        <f t="shared" si="523"/>
        <v>7.3920000000016799</v>
      </c>
      <c r="Q1113" s="1" t="str">
        <f t="shared" si="519"/>
        <v/>
      </c>
      <c r="R1113" s="1" t="str">
        <f t="shared" si="524"/>
        <v/>
      </c>
      <c r="S1113" s="1">
        <f t="shared" si="525"/>
        <v>694.15680000000179</v>
      </c>
      <c r="T1113" s="1">
        <f t="shared" si="526"/>
        <v>0.03</v>
      </c>
      <c r="U1113" s="1">
        <f t="shared" si="527"/>
        <v>528.00000000012005</v>
      </c>
      <c r="V1113" s="1">
        <f t="shared" si="528"/>
        <v>15.840000000003601</v>
      </c>
    </row>
    <row r="1114" spans="1:22" x14ac:dyDescent="0.25">
      <c r="A1114" s="1">
        <v>1113</v>
      </c>
      <c r="B1114" s="4">
        <v>7500</v>
      </c>
      <c r="C1114" s="4">
        <v>169.9</v>
      </c>
      <c r="D1114" s="4">
        <v>170</v>
      </c>
      <c r="E1114" s="4">
        <f t="shared" si="520"/>
        <v>9.9999999999994316E-2</v>
      </c>
      <c r="F1114" s="4">
        <v>0</v>
      </c>
      <c r="G1114" s="4">
        <v>-0.45</v>
      </c>
      <c r="H1114" s="4">
        <v>79</v>
      </c>
      <c r="I1114" s="4"/>
      <c r="J1114" s="4">
        <v>50</v>
      </c>
      <c r="K1114" s="2"/>
      <c r="M1114" s="4">
        <f t="shared" si="521"/>
        <v>170</v>
      </c>
      <c r="N1114" s="4"/>
      <c r="O1114" s="1">
        <f t="shared" si="522"/>
        <v>169.9</v>
      </c>
      <c r="P1114" s="1">
        <f t="shared" si="523"/>
        <v>0</v>
      </c>
      <c r="Q1114" s="1" t="str">
        <f t="shared" si="519"/>
        <v/>
      </c>
      <c r="R1114" s="1" t="str">
        <f t="shared" si="524"/>
        <v/>
      </c>
      <c r="S1114" s="1">
        <f t="shared" si="525"/>
        <v>694.31520000000182</v>
      </c>
      <c r="T1114" s="1">
        <f t="shared" si="526"/>
        <v>-0.45</v>
      </c>
      <c r="U1114" s="1">
        <f t="shared" si="527"/>
        <v>527.99999999996999</v>
      </c>
      <c r="V1114" s="1">
        <f t="shared" si="528"/>
        <v>237.59999999998649</v>
      </c>
    </row>
    <row r="1115" spans="1:22" x14ac:dyDescent="0.25">
      <c r="A1115" s="1">
        <v>1114</v>
      </c>
      <c r="B1115" s="4">
        <v>7500</v>
      </c>
      <c r="C1115" s="4">
        <v>170</v>
      </c>
      <c r="D1115" s="4">
        <v>170.1</v>
      </c>
      <c r="E1115" s="4">
        <f t="shared" si="520"/>
        <v>9.9999999999994316E-2</v>
      </c>
      <c r="F1115" s="4">
        <v>1.3</v>
      </c>
      <c r="G1115" s="4">
        <v>-0.68</v>
      </c>
      <c r="H1115" s="4">
        <v>79</v>
      </c>
      <c r="I1115" s="4"/>
      <c r="J1115" s="4">
        <v>50</v>
      </c>
      <c r="K1115" s="2"/>
      <c r="M1115" s="4">
        <f t="shared" si="521"/>
        <v>170.1</v>
      </c>
      <c r="N1115" s="4"/>
      <c r="O1115" s="1">
        <f t="shared" si="522"/>
        <v>170</v>
      </c>
      <c r="P1115" s="1">
        <f t="shared" si="523"/>
        <v>6.86399999999961</v>
      </c>
      <c r="Q1115" s="1" t="str">
        <f t="shared" si="519"/>
        <v/>
      </c>
      <c r="R1115" s="1" t="str">
        <f t="shared" si="524"/>
        <v/>
      </c>
      <c r="S1115" s="1">
        <f t="shared" si="525"/>
        <v>691.93920000000196</v>
      </c>
      <c r="T1115" s="1">
        <f t="shared" si="526"/>
        <v>-0.68</v>
      </c>
      <c r="U1115" s="1">
        <f t="shared" si="527"/>
        <v>527.99999999996999</v>
      </c>
      <c r="V1115" s="1">
        <f t="shared" si="528"/>
        <v>359.03999999997961</v>
      </c>
    </row>
    <row r="1116" spans="1:22" x14ac:dyDescent="0.25">
      <c r="A1116" s="1">
        <v>1115</v>
      </c>
      <c r="B1116" s="4">
        <v>7500</v>
      </c>
      <c r="C1116" s="4">
        <v>170.1</v>
      </c>
      <c r="D1116" s="4">
        <v>170.2</v>
      </c>
      <c r="E1116" s="4">
        <f t="shared" si="520"/>
        <v>9.9999999999994316E-2</v>
      </c>
      <c r="F1116" s="4">
        <v>1.3</v>
      </c>
      <c r="G1116" s="4">
        <v>-0.27</v>
      </c>
      <c r="H1116" s="4">
        <v>79</v>
      </c>
      <c r="I1116" s="4"/>
      <c r="J1116" s="4">
        <v>50</v>
      </c>
      <c r="K1116" s="2"/>
      <c r="M1116" s="4">
        <f t="shared" si="521"/>
        <v>170.2</v>
      </c>
      <c r="N1116" s="4"/>
      <c r="O1116" s="1">
        <f t="shared" si="522"/>
        <v>170.1</v>
      </c>
      <c r="P1116" s="1">
        <f t="shared" si="523"/>
        <v>6.86399999999961</v>
      </c>
      <c r="Q1116" s="1" t="str">
        <f t="shared" si="519"/>
        <v/>
      </c>
      <c r="R1116" s="1" t="str">
        <f t="shared" si="524"/>
        <v/>
      </c>
      <c r="S1116" s="1">
        <f t="shared" si="525"/>
        <v>688.34880000000214</v>
      </c>
      <c r="T1116" s="1">
        <f t="shared" si="526"/>
        <v>-0.27</v>
      </c>
      <c r="U1116" s="1">
        <f t="shared" si="527"/>
        <v>527.99999999996999</v>
      </c>
      <c r="V1116" s="1">
        <f t="shared" si="528"/>
        <v>142.5599999999919</v>
      </c>
    </row>
    <row r="1117" spans="1:22" x14ac:dyDescent="0.25">
      <c r="A1117" s="1">
        <v>1116</v>
      </c>
      <c r="B1117" s="4">
        <v>7500</v>
      </c>
      <c r="C1117" s="4">
        <v>170.2</v>
      </c>
      <c r="D1117" s="4">
        <v>170.29999999999998</v>
      </c>
      <c r="E1117" s="4">
        <f t="shared" si="520"/>
        <v>9.9999999999994316E-2</v>
      </c>
      <c r="F1117" s="4">
        <v>1.3</v>
      </c>
      <c r="G1117" s="4">
        <v>-0.13</v>
      </c>
      <c r="H1117" s="4">
        <v>79</v>
      </c>
      <c r="I1117" s="4"/>
      <c r="J1117" s="4">
        <v>50</v>
      </c>
      <c r="K1117" s="2"/>
      <c r="M1117" s="4">
        <f t="shared" si="521"/>
        <v>170.29999999999998</v>
      </c>
      <c r="N1117" s="4"/>
      <c r="O1117" s="1">
        <f t="shared" si="522"/>
        <v>170.2</v>
      </c>
      <c r="P1117" s="1">
        <f t="shared" si="523"/>
        <v>6.86399999999961</v>
      </c>
      <c r="Q1117" s="1" t="str">
        <f t="shared" si="519"/>
        <v/>
      </c>
      <c r="R1117" s="1" t="str">
        <f t="shared" si="524"/>
        <v/>
      </c>
      <c r="S1117" s="1">
        <f t="shared" si="525"/>
        <v>686.92320000000223</v>
      </c>
      <c r="T1117" s="1">
        <f t="shared" si="526"/>
        <v>-0.13</v>
      </c>
      <c r="U1117" s="1">
        <f t="shared" si="527"/>
        <v>527.99999999996999</v>
      </c>
      <c r="V1117" s="1">
        <f t="shared" si="528"/>
        <v>68.639999999996107</v>
      </c>
    </row>
    <row r="1118" spans="1:22" x14ac:dyDescent="0.25">
      <c r="A1118" s="1">
        <v>1117</v>
      </c>
      <c r="B1118" s="4">
        <v>7500</v>
      </c>
      <c r="C1118" s="4">
        <v>170.29999999999998</v>
      </c>
      <c r="D1118" s="4">
        <v>170.4</v>
      </c>
      <c r="E1118" s="4">
        <f t="shared" si="520"/>
        <v>0.10000000000002274</v>
      </c>
      <c r="F1118" s="4">
        <v>1.3</v>
      </c>
      <c r="G1118" s="4">
        <v>0.1</v>
      </c>
      <c r="H1118" s="4">
        <v>79</v>
      </c>
      <c r="I1118" s="4"/>
      <c r="J1118" s="4">
        <v>50</v>
      </c>
      <c r="K1118" s="2"/>
      <c r="M1118" s="4">
        <f t="shared" si="521"/>
        <v>170.4</v>
      </c>
      <c r="N1118" s="4"/>
      <c r="O1118" s="1">
        <f t="shared" si="522"/>
        <v>170.29999999999998</v>
      </c>
      <c r="P1118" s="1">
        <f t="shared" si="523"/>
        <v>6.8640000000015604</v>
      </c>
      <c r="Q1118" s="1" t="str">
        <f t="shared" si="519"/>
        <v/>
      </c>
      <c r="R1118" s="1" t="str">
        <f t="shared" si="524"/>
        <v/>
      </c>
      <c r="S1118" s="1">
        <f t="shared" si="525"/>
        <v>686.23680000000229</v>
      </c>
      <c r="T1118" s="1">
        <f t="shared" si="526"/>
        <v>0.1</v>
      </c>
      <c r="U1118" s="1">
        <f t="shared" si="527"/>
        <v>528.00000000012005</v>
      </c>
      <c r="V1118" s="1">
        <f t="shared" si="528"/>
        <v>52.800000000012005</v>
      </c>
    </row>
    <row r="1119" spans="1:22" x14ac:dyDescent="0.25">
      <c r="A1119" s="1">
        <v>1118</v>
      </c>
      <c r="B1119" s="4">
        <v>7500</v>
      </c>
      <c r="C1119" s="4">
        <v>170.4</v>
      </c>
      <c r="D1119" s="4">
        <v>170.5</v>
      </c>
      <c r="E1119" s="4">
        <f t="shared" si="520"/>
        <v>9.9999999999994316E-2</v>
      </c>
      <c r="F1119" s="4">
        <v>1.3</v>
      </c>
      <c r="G1119" s="4">
        <v>0.55000000000000004</v>
      </c>
      <c r="H1119" s="4">
        <v>79</v>
      </c>
      <c r="I1119" s="4"/>
      <c r="J1119" s="4">
        <v>50</v>
      </c>
      <c r="K1119" s="2"/>
      <c r="M1119" s="4">
        <f t="shared" si="521"/>
        <v>170.5</v>
      </c>
      <c r="N1119" s="4"/>
      <c r="O1119" s="1">
        <f t="shared" si="522"/>
        <v>170.4</v>
      </c>
      <c r="P1119" s="1">
        <f t="shared" si="523"/>
        <v>6.86399999999961</v>
      </c>
      <c r="Q1119" s="1" t="str">
        <f t="shared" si="519"/>
        <v/>
      </c>
      <c r="R1119" s="1" t="str">
        <f t="shared" si="524"/>
        <v/>
      </c>
      <c r="S1119" s="1">
        <f t="shared" si="525"/>
        <v>686.76480000000242</v>
      </c>
      <c r="T1119" s="1">
        <f t="shared" si="526"/>
        <v>0.55000000000000004</v>
      </c>
      <c r="U1119" s="1">
        <f t="shared" si="527"/>
        <v>527.99999999996999</v>
      </c>
      <c r="V1119" s="1">
        <f t="shared" si="528"/>
        <v>290.39999999998349</v>
      </c>
    </row>
    <row r="1120" spans="1:22" x14ac:dyDescent="0.25">
      <c r="A1120" s="1">
        <v>1119</v>
      </c>
      <c r="B1120" s="4">
        <v>7500</v>
      </c>
      <c r="C1120" s="4">
        <v>170.5</v>
      </c>
      <c r="D1120" s="4">
        <v>170.6</v>
      </c>
      <c r="E1120" s="4">
        <f t="shared" si="520"/>
        <v>9.9999999999994316E-2</v>
      </c>
      <c r="F1120" s="4">
        <v>1.3</v>
      </c>
      <c r="G1120" s="4">
        <v>0.78</v>
      </c>
      <c r="H1120" s="4">
        <v>79</v>
      </c>
      <c r="I1120" s="4"/>
      <c r="J1120" s="4">
        <v>50</v>
      </c>
      <c r="K1120" s="2"/>
      <c r="M1120" s="4">
        <f t="shared" si="521"/>
        <v>170.6</v>
      </c>
      <c r="N1120" s="4"/>
      <c r="O1120" s="1">
        <f t="shared" si="522"/>
        <v>170.5</v>
      </c>
      <c r="P1120" s="1">
        <f t="shared" si="523"/>
        <v>6.86399999999961</v>
      </c>
      <c r="Q1120" s="1" t="str">
        <f t="shared" si="519"/>
        <v/>
      </c>
      <c r="R1120" s="1" t="str">
        <f t="shared" si="524"/>
        <v/>
      </c>
      <c r="S1120" s="1">
        <f t="shared" si="525"/>
        <v>689.66880000000231</v>
      </c>
      <c r="T1120" s="1">
        <f t="shared" si="526"/>
        <v>0.78</v>
      </c>
      <c r="U1120" s="1">
        <f t="shared" si="527"/>
        <v>527.99999999996999</v>
      </c>
      <c r="V1120" s="1">
        <f t="shared" si="528"/>
        <v>411.83999999997661</v>
      </c>
    </row>
    <row r="1121" spans="1:22" x14ac:dyDescent="0.25">
      <c r="A1121" s="1">
        <v>1120</v>
      </c>
      <c r="B1121" s="4">
        <v>7500</v>
      </c>
      <c r="C1121" s="4">
        <v>170.6</v>
      </c>
      <c r="D1121" s="4">
        <v>170.7</v>
      </c>
      <c r="E1121" s="4">
        <f t="shared" si="520"/>
        <v>9.9999999999994316E-2</v>
      </c>
      <c r="F1121" s="4">
        <v>1.3</v>
      </c>
      <c r="G1121" s="4">
        <v>0.42</v>
      </c>
      <c r="H1121" s="4">
        <v>79</v>
      </c>
      <c r="I1121" s="4"/>
      <c r="J1121" s="4">
        <v>50</v>
      </c>
      <c r="K1121" s="2"/>
      <c r="M1121" s="4">
        <f t="shared" si="521"/>
        <v>170.7</v>
      </c>
      <c r="N1121" s="4"/>
      <c r="O1121" s="1">
        <f t="shared" si="522"/>
        <v>170.6</v>
      </c>
      <c r="P1121" s="1">
        <f t="shared" si="523"/>
        <v>6.86399999999961</v>
      </c>
      <c r="Q1121" s="1" t="str">
        <f t="shared" si="519"/>
        <v/>
      </c>
      <c r="R1121" s="1" t="str">
        <f t="shared" si="524"/>
        <v/>
      </c>
      <c r="S1121" s="1">
        <f t="shared" si="525"/>
        <v>693.78720000000203</v>
      </c>
      <c r="T1121" s="1">
        <f t="shared" si="526"/>
        <v>0.42</v>
      </c>
      <c r="U1121" s="1">
        <f t="shared" si="527"/>
        <v>527.99999999996999</v>
      </c>
      <c r="V1121" s="1">
        <f t="shared" si="528"/>
        <v>221.7599999999874</v>
      </c>
    </row>
    <row r="1122" spans="1:22" x14ac:dyDescent="0.25">
      <c r="A1122" s="1">
        <v>1121</v>
      </c>
      <c r="B1122" s="4">
        <v>7500</v>
      </c>
      <c r="C1122" s="4">
        <v>170.7</v>
      </c>
      <c r="D1122" s="4">
        <v>170.9</v>
      </c>
      <c r="E1122" s="4">
        <f t="shared" si="520"/>
        <v>0.20000000000001705</v>
      </c>
      <c r="F1122" s="4">
        <v>1.3</v>
      </c>
      <c r="G1122" s="4">
        <v>-0.31</v>
      </c>
      <c r="H1122" s="4">
        <v>79</v>
      </c>
      <c r="I1122" s="4"/>
      <c r="J1122" s="4">
        <v>50</v>
      </c>
      <c r="K1122" s="2"/>
      <c r="M1122" s="4">
        <f t="shared" si="521"/>
        <v>170.9</v>
      </c>
      <c r="N1122" s="4"/>
      <c r="O1122" s="1">
        <f t="shared" si="522"/>
        <v>170.7</v>
      </c>
      <c r="P1122" s="1">
        <f t="shared" si="523"/>
        <v>13.72800000000117</v>
      </c>
      <c r="Q1122" s="1" t="str">
        <f t="shared" si="519"/>
        <v/>
      </c>
      <c r="R1122" s="1" t="str">
        <f t="shared" si="524"/>
        <v/>
      </c>
      <c r="S1122" s="1">
        <f t="shared" si="525"/>
        <v>696.00480000000186</v>
      </c>
      <c r="T1122" s="1">
        <f t="shared" si="526"/>
        <v>-0.31</v>
      </c>
      <c r="U1122" s="1">
        <f t="shared" si="527"/>
        <v>1056.00000000009</v>
      </c>
      <c r="V1122" s="1">
        <f t="shared" si="528"/>
        <v>327.36000000002792</v>
      </c>
    </row>
    <row r="1123" spans="1:22" x14ac:dyDescent="0.25">
      <c r="A1123" s="1">
        <v>1122</v>
      </c>
      <c r="B1123" s="4">
        <v>7500</v>
      </c>
      <c r="C1123" s="4">
        <v>170.9</v>
      </c>
      <c r="D1123" s="4">
        <v>171</v>
      </c>
      <c r="E1123" s="4">
        <f t="shared" si="520"/>
        <v>9.9999999999994316E-2</v>
      </c>
      <c r="F1123" s="4">
        <v>1</v>
      </c>
      <c r="G1123" s="4">
        <v>-0.31</v>
      </c>
      <c r="H1123" s="4">
        <v>79</v>
      </c>
      <c r="I1123" s="4"/>
      <c r="J1123" s="4">
        <v>50</v>
      </c>
      <c r="K1123" s="2"/>
      <c r="M1123" s="4">
        <f t="shared" si="521"/>
        <v>171</v>
      </c>
      <c r="N1123" s="4"/>
      <c r="O1123" s="1">
        <f t="shared" si="522"/>
        <v>170.9</v>
      </c>
      <c r="P1123" s="1">
        <f t="shared" si="523"/>
        <v>5.2799999999996992</v>
      </c>
      <c r="Q1123" s="1" t="str">
        <f t="shared" si="519"/>
        <v/>
      </c>
      <c r="R1123" s="1" t="str">
        <f t="shared" si="524"/>
        <v/>
      </c>
      <c r="S1123" s="1">
        <f t="shared" si="525"/>
        <v>692.73120000000154</v>
      </c>
      <c r="T1123" s="1">
        <f t="shared" si="526"/>
        <v>-0.31</v>
      </c>
      <c r="U1123" s="1">
        <f t="shared" si="527"/>
        <v>527.99999999996999</v>
      </c>
      <c r="V1123" s="1">
        <f t="shared" si="528"/>
        <v>163.67999999999068</v>
      </c>
    </row>
    <row r="1124" spans="1:22" x14ac:dyDescent="0.25">
      <c r="A1124" s="1">
        <v>1123</v>
      </c>
      <c r="B1124" s="4">
        <v>7500</v>
      </c>
      <c r="C1124" s="4">
        <v>171</v>
      </c>
      <c r="D1124" s="4">
        <v>171.4</v>
      </c>
      <c r="E1124" s="4">
        <f t="shared" si="520"/>
        <v>0.40000000000000568</v>
      </c>
      <c r="F1124" s="4">
        <v>1</v>
      </c>
      <c r="G1124" s="4">
        <v>-0.67</v>
      </c>
      <c r="H1124" s="4">
        <v>79</v>
      </c>
      <c r="I1124" s="4"/>
      <c r="J1124" s="4">
        <v>50</v>
      </c>
      <c r="K1124" s="2"/>
      <c r="M1124" s="4">
        <f t="shared" si="521"/>
        <v>171.4</v>
      </c>
      <c r="N1124" s="4"/>
      <c r="O1124" s="1">
        <f t="shared" si="522"/>
        <v>171</v>
      </c>
      <c r="P1124" s="1">
        <f t="shared" si="523"/>
        <v>21.120000000000299</v>
      </c>
      <c r="Q1124" s="1" t="str">
        <f t="shared" si="519"/>
        <v/>
      </c>
      <c r="R1124" s="1" t="str">
        <f t="shared" si="524"/>
        <v/>
      </c>
      <c r="S1124" s="1">
        <f t="shared" si="525"/>
        <v>691.09440000000166</v>
      </c>
      <c r="T1124" s="1">
        <f t="shared" si="526"/>
        <v>-0.67</v>
      </c>
      <c r="U1124" s="1">
        <f t="shared" si="527"/>
        <v>2112.00000000003</v>
      </c>
      <c r="V1124" s="1">
        <f t="shared" si="528"/>
        <v>1415.0400000000202</v>
      </c>
    </row>
    <row r="1125" spans="1:22" x14ac:dyDescent="0.25">
      <c r="A1125" s="1">
        <v>1124</v>
      </c>
      <c r="B1125" s="4">
        <v>7500</v>
      </c>
      <c r="C1125" s="4">
        <v>171.4</v>
      </c>
      <c r="D1125" s="4">
        <v>171.5</v>
      </c>
      <c r="E1125" s="4">
        <f t="shared" si="520"/>
        <v>9.9999999999994316E-2</v>
      </c>
      <c r="F1125" s="4">
        <v>0</v>
      </c>
      <c r="G1125" s="4">
        <v>-0.67</v>
      </c>
      <c r="H1125" s="4">
        <v>79</v>
      </c>
      <c r="I1125" s="4"/>
      <c r="J1125" s="4">
        <v>50</v>
      </c>
      <c r="K1125" s="2"/>
      <c r="M1125" s="4">
        <f t="shared" si="521"/>
        <v>171.5</v>
      </c>
      <c r="N1125" s="4"/>
      <c r="O1125" s="1">
        <f t="shared" si="522"/>
        <v>171.4</v>
      </c>
      <c r="P1125" s="1">
        <f t="shared" si="523"/>
        <v>0</v>
      </c>
      <c r="Q1125" s="1" t="str">
        <f t="shared" si="519"/>
        <v/>
      </c>
      <c r="R1125" s="1" t="str">
        <f t="shared" si="524"/>
        <v/>
      </c>
      <c r="S1125" s="1">
        <f t="shared" si="525"/>
        <v>676.94400000000144</v>
      </c>
      <c r="T1125" s="1">
        <f t="shared" si="526"/>
        <v>-0.67</v>
      </c>
      <c r="U1125" s="1">
        <f t="shared" si="527"/>
        <v>527.99999999996999</v>
      </c>
      <c r="V1125" s="1">
        <f t="shared" si="528"/>
        <v>353.75999999997993</v>
      </c>
    </row>
    <row r="1126" spans="1:22" x14ac:dyDescent="0.25">
      <c r="A1126" s="1">
        <v>1125</v>
      </c>
      <c r="B1126" s="4">
        <v>7500</v>
      </c>
      <c r="C1126" s="4">
        <v>171.5</v>
      </c>
      <c r="D1126" s="4">
        <v>172</v>
      </c>
      <c r="E1126" s="4">
        <f t="shared" si="520"/>
        <v>0.5</v>
      </c>
      <c r="F1126" s="4">
        <v>1</v>
      </c>
      <c r="G1126" s="4">
        <v>-0.87</v>
      </c>
      <c r="H1126" s="4">
        <v>79</v>
      </c>
      <c r="I1126" s="4"/>
      <c r="J1126" s="4">
        <v>50</v>
      </c>
      <c r="K1126" s="2"/>
      <c r="M1126" s="4">
        <f t="shared" si="521"/>
        <v>172</v>
      </c>
      <c r="N1126" s="4"/>
      <c r="O1126" s="1">
        <f t="shared" si="522"/>
        <v>171.5</v>
      </c>
      <c r="P1126" s="1">
        <f t="shared" si="523"/>
        <v>26.4</v>
      </c>
      <c r="Q1126" s="1" t="str">
        <f t="shared" si="519"/>
        <v/>
      </c>
      <c r="R1126" s="1" t="str">
        <f t="shared" si="524"/>
        <v/>
      </c>
      <c r="S1126" s="1">
        <f t="shared" si="525"/>
        <v>673.40640000000167</v>
      </c>
      <c r="T1126" s="1">
        <f t="shared" si="526"/>
        <v>-0.87</v>
      </c>
      <c r="U1126" s="1">
        <f t="shared" si="527"/>
        <v>2640</v>
      </c>
      <c r="V1126" s="1">
        <f t="shared" si="528"/>
        <v>2296.8000000000002</v>
      </c>
    </row>
    <row r="1127" spans="1:22" x14ac:dyDescent="0.25">
      <c r="A1127" s="1">
        <v>1126</v>
      </c>
      <c r="B1127" s="4">
        <v>7500</v>
      </c>
      <c r="C1127" s="4">
        <v>172</v>
      </c>
      <c r="D1127" s="4">
        <v>172.2</v>
      </c>
      <c r="E1127" s="4">
        <f t="shared" si="520"/>
        <v>0.19999999999998863</v>
      </c>
      <c r="F1127" s="4">
        <v>1</v>
      </c>
      <c r="G1127" s="4">
        <v>-0.97</v>
      </c>
      <c r="H1127" s="4">
        <v>79</v>
      </c>
      <c r="I1127" s="4"/>
      <c r="J1127" s="4">
        <v>50</v>
      </c>
      <c r="K1127" s="2"/>
      <c r="M1127" s="4">
        <f t="shared" si="521"/>
        <v>172.2</v>
      </c>
      <c r="N1127" s="4"/>
      <c r="O1127" s="1">
        <f t="shared" si="522"/>
        <v>172</v>
      </c>
      <c r="P1127" s="1">
        <f t="shared" si="523"/>
        <v>10.559999999999398</v>
      </c>
      <c r="Q1127" s="1" t="str">
        <f t="shared" si="519"/>
        <v/>
      </c>
      <c r="R1127" s="1" t="str">
        <f t="shared" si="524"/>
        <v/>
      </c>
      <c r="S1127" s="1">
        <f t="shared" si="525"/>
        <v>650.43840000000171</v>
      </c>
      <c r="T1127" s="1">
        <f t="shared" si="526"/>
        <v>-0.97</v>
      </c>
      <c r="U1127" s="1">
        <f t="shared" si="527"/>
        <v>1055.99999999994</v>
      </c>
      <c r="V1127" s="1">
        <f t="shared" si="528"/>
        <v>1024.3199999999417</v>
      </c>
    </row>
    <row r="1128" spans="1:22" x14ac:dyDescent="0.25">
      <c r="A1128" s="1">
        <v>1127</v>
      </c>
      <c r="B1128" s="4">
        <v>7500</v>
      </c>
      <c r="C1128" s="4">
        <v>172.2</v>
      </c>
      <c r="D1128" s="4">
        <v>172.29999999999998</v>
      </c>
      <c r="E1128" s="4">
        <f t="shared" si="520"/>
        <v>9.9999999999994316E-2</v>
      </c>
      <c r="F1128" s="4">
        <v>0</v>
      </c>
      <c r="G1128" s="4">
        <v>-0.86</v>
      </c>
      <c r="H1128" s="4">
        <v>79</v>
      </c>
      <c r="I1128" s="4"/>
      <c r="J1128" s="4">
        <v>50</v>
      </c>
      <c r="K1128" s="2"/>
      <c r="M1128" s="4">
        <f t="shared" si="521"/>
        <v>172.29999999999998</v>
      </c>
      <c r="N1128" s="4"/>
      <c r="O1128" s="1">
        <f t="shared" si="522"/>
        <v>172.2</v>
      </c>
      <c r="P1128" s="1">
        <f t="shared" si="523"/>
        <v>0</v>
      </c>
      <c r="Q1128" s="1" t="str">
        <f t="shared" si="519"/>
        <v/>
      </c>
      <c r="R1128" s="1" t="str">
        <f t="shared" si="524"/>
        <v/>
      </c>
      <c r="S1128" s="1">
        <f t="shared" si="525"/>
        <v>640.19520000000227</v>
      </c>
      <c r="T1128" s="1">
        <f t="shared" si="526"/>
        <v>-0.86</v>
      </c>
      <c r="U1128" s="1">
        <f t="shared" si="527"/>
        <v>527.99999999996999</v>
      </c>
      <c r="V1128" s="1">
        <f t="shared" si="528"/>
        <v>454.07999999997418</v>
      </c>
    </row>
    <row r="1129" spans="1:22" x14ac:dyDescent="0.25">
      <c r="A1129" s="1">
        <v>1128</v>
      </c>
      <c r="B1129" s="4">
        <v>7500</v>
      </c>
      <c r="C1129" s="4">
        <v>172.29999999999998</v>
      </c>
      <c r="D1129" s="4">
        <v>172.4</v>
      </c>
      <c r="E1129" s="4">
        <f t="shared" si="520"/>
        <v>0.10000000000002274</v>
      </c>
      <c r="F1129" s="4">
        <v>0</v>
      </c>
      <c r="G1129" s="4">
        <v>-0.64</v>
      </c>
      <c r="H1129" s="4">
        <v>79</v>
      </c>
      <c r="I1129" s="4"/>
      <c r="J1129" s="4">
        <v>50</v>
      </c>
      <c r="K1129" s="2"/>
      <c r="M1129" s="4">
        <f t="shared" si="521"/>
        <v>172.4</v>
      </c>
      <c r="N1129" s="4"/>
      <c r="O1129" s="1">
        <f t="shared" si="522"/>
        <v>172.29999999999998</v>
      </c>
      <c r="P1129" s="1">
        <f t="shared" si="523"/>
        <v>0</v>
      </c>
      <c r="Q1129" s="1" t="str">
        <f t="shared" si="519"/>
        <v/>
      </c>
      <c r="R1129" s="1" t="str">
        <f t="shared" si="524"/>
        <v/>
      </c>
      <c r="S1129" s="1">
        <f t="shared" si="525"/>
        <v>635.65440000000251</v>
      </c>
      <c r="T1129" s="1">
        <f t="shared" si="526"/>
        <v>-0.64</v>
      </c>
      <c r="U1129" s="1">
        <f t="shared" si="527"/>
        <v>528.00000000012005</v>
      </c>
      <c r="V1129" s="1">
        <f t="shared" si="528"/>
        <v>337.92000000007687</v>
      </c>
    </row>
    <row r="1130" spans="1:22" x14ac:dyDescent="0.25">
      <c r="A1130" s="1">
        <v>1129</v>
      </c>
      <c r="B1130" s="4">
        <v>7500</v>
      </c>
      <c r="C1130" s="4">
        <v>172.4</v>
      </c>
      <c r="D1130" s="4">
        <v>172.5</v>
      </c>
      <c r="E1130" s="4">
        <f t="shared" si="520"/>
        <v>9.9999999999994316E-2</v>
      </c>
      <c r="F1130" s="4">
        <v>0</v>
      </c>
      <c r="G1130" s="4">
        <v>-0.53</v>
      </c>
      <c r="H1130" s="4">
        <v>79</v>
      </c>
      <c r="I1130" s="4"/>
      <c r="J1130" s="4">
        <v>50</v>
      </c>
      <c r="K1130" s="2"/>
      <c r="M1130" s="4">
        <f t="shared" si="521"/>
        <v>172.5</v>
      </c>
      <c r="N1130" s="4"/>
      <c r="O1130" s="1">
        <f t="shared" si="522"/>
        <v>172.4</v>
      </c>
      <c r="P1130" s="1">
        <f t="shared" si="523"/>
        <v>0</v>
      </c>
      <c r="Q1130" s="1" t="str">
        <f t="shared" si="519"/>
        <v/>
      </c>
      <c r="R1130" s="1" t="str">
        <f t="shared" si="524"/>
        <v/>
      </c>
      <c r="S1130" s="1">
        <f t="shared" si="525"/>
        <v>632.27520000000175</v>
      </c>
      <c r="T1130" s="1">
        <f t="shared" si="526"/>
        <v>-0.53</v>
      </c>
      <c r="U1130" s="1">
        <f t="shared" si="527"/>
        <v>527.99999999996999</v>
      </c>
      <c r="V1130" s="1">
        <f t="shared" si="528"/>
        <v>279.83999999998412</v>
      </c>
    </row>
    <row r="1131" spans="1:22" x14ac:dyDescent="0.25">
      <c r="A1131" s="1">
        <v>1130</v>
      </c>
      <c r="B1131" s="4">
        <v>7500</v>
      </c>
      <c r="C1131" s="4">
        <v>172.5</v>
      </c>
      <c r="D1131" s="4">
        <v>172.7</v>
      </c>
      <c r="E1131" s="4">
        <f t="shared" si="520"/>
        <v>0.19999999999998863</v>
      </c>
      <c r="F1131" s="4">
        <v>0</v>
      </c>
      <c r="G1131" s="4">
        <v>-0.53</v>
      </c>
      <c r="H1131" s="4">
        <v>79</v>
      </c>
      <c r="I1131" s="4"/>
      <c r="J1131" s="4">
        <v>50</v>
      </c>
      <c r="K1131" s="2"/>
      <c r="M1131" s="4">
        <f t="shared" si="521"/>
        <v>172.7</v>
      </c>
      <c r="N1131" s="4"/>
      <c r="O1131" s="1">
        <f t="shared" si="522"/>
        <v>172.5</v>
      </c>
      <c r="P1131" s="1">
        <f t="shared" si="523"/>
        <v>0</v>
      </c>
      <c r="Q1131" s="1" t="str">
        <f t="shared" si="519"/>
        <v/>
      </c>
      <c r="R1131" s="1" t="str">
        <f t="shared" si="524"/>
        <v/>
      </c>
      <c r="S1131" s="1">
        <f t="shared" si="525"/>
        <v>629.47680000000196</v>
      </c>
      <c r="T1131" s="1">
        <f t="shared" si="526"/>
        <v>-0.53</v>
      </c>
      <c r="U1131" s="1">
        <f t="shared" si="527"/>
        <v>1055.99999999994</v>
      </c>
      <c r="V1131" s="1">
        <f t="shared" si="528"/>
        <v>559.67999999996823</v>
      </c>
    </row>
    <row r="1132" spans="1:22" x14ac:dyDescent="0.25">
      <c r="A1132" s="1">
        <v>1131</v>
      </c>
      <c r="B1132" s="4">
        <v>7500</v>
      </c>
      <c r="C1132" s="4">
        <v>172.7</v>
      </c>
      <c r="D1132" s="4">
        <v>172.79999999999998</v>
      </c>
      <c r="E1132" s="4">
        <f t="shared" si="520"/>
        <v>9.9999999999994316E-2</v>
      </c>
      <c r="F1132" s="4">
        <v>0</v>
      </c>
      <c r="G1132" s="4">
        <v>-0.24</v>
      </c>
      <c r="H1132" s="4">
        <v>79</v>
      </c>
      <c r="I1132" s="4"/>
      <c r="J1132" s="4">
        <v>50</v>
      </c>
      <c r="K1132" s="2"/>
      <c r="M1132" s="4">
        <f t="shared" si="521"/>
        <v>172.79999999999998</v>
      </c>
      <c r="N1132" s="4"/>
      <c r="O1132" s="1">
        <f t="shared" si="522"/>
        <v>172.7</v>
      </c>
      <c r="P1132" s="1">
        <f t="shared" si="523"/>
        <v>0</v>
      </c>
      <c r="Q1132" s="1" t="str">
        <f t="shared" si="519"/>
        <v/>
      </c>
      <c r="R1132" s="1" t="str">
        <f t="shared" si="524"/>
        <v/>
      </c>
      <c r="S1132" s="1">
        <f t="shared" si="525"/>
        <v>623.88000000000227</v>
      </c>
      <c r="T1132" s="1">
        <f t="shared" si="526"/>
        <v>-0.24</v>
      </c>
      <c r="U1132" s="1">
        <f t="shared" si="527"/>
        <v>527.99999999996999</v>
      </c>
      <c r="V1132" s="1">
        <f t="shared" si="528"/>
        <v>126.71999999999279</v>
      </c>
    </row>
    <row r="1133" spans="1:22" x14ac:dyDescent="0.25">
      <c r="A1133" s="1">
        <v>1132</v>
      </c>
      <c r="B1133" s="4">
        <v>7500</v>
      </c>
      <c r="C1133" s="4">
        <v>172.79999999999998</v>
      </c>
      <c r="D1133" s="4">
        <v>172.9</v>
      </c>
      <c r="E1133" s="4">
        <f t="shared" si="520"/>
        <v>0.10000000000002274</v>
      </c>
      <c r="F1133" s="4">
        <v>0</v>
      </c>
      <c r="G1133" s="4">
        <v>0.35</v>
      </c>
      <c r="H1133" s="4">
        <v>79</v>
      </c>
      <c r="I1133" s="4"/>
      <c r="J1133" s="4">
        <v>50</v>
      </c>
      <c r="K1133" s="2"/>
      <c r="M1133" s="4">
        <f t="shared" si="521"/>
        <v>172.9</v>
      </c>
      <c r="N1133" s="4"/>
      <c r="O1133" s="1">
        <f t="shared" si="522"/>
        <v>172.79999999999998</v>
      </c>
      <c r="P1133" s="1">
        <f t="shared" si="523"/>
        <v>0</v>
      </c>
      <c r="Q1133" s="1" t="str">
        <f t="shared" si="519"/>
        <v/>
      </c>
      <c r="R1133" s="1" t="str">
        <f t="shared" si="524"/>
        <v/>
      </c>
      <c r="S1133" s="1">
        <f t="shared" si="525"/>
        <v>622.61280000000238</v>
      </c>
      <c r="T1133" s="1">
        <f t="shared" si="526"/>
        <v>0.35</v>
      </c>
      <c r="U1133" s="1">
        <f t="shared" si="527"/>
        <v>528.00000000012005</v>
      </c>
      <c r="V1133" s="1">
        <f t="shared" si="528"/>
        <v>184.80000000004202</v>
      </c>
    </row>
    <row r="1134" spans="1:22" x14ac:dyDescent="0.25">
      <c r="A1134" s="1">
        <v>1133</v>
      </c>
      <c r="B1134" s="4">
        <v>7500</v>
      </c>
      <c r="C1134" s="4">
        <v>172.9</v>
      </c>
      <c r="D1134" s="4">
        <v>173</v>
      </c>
      <c r="E1134" s="4">
        <f t="shared" si="520"/>
        <v>9.9999999999994316E-2</v>
      </c>
      <c r="F1134" s="4">
        <v>0</v>
      </c>
      <c r="G1134" s="4">
        <v>0.64</v>
      </c>
      <c r="H1134" s="4">
        <v>79</v>
      </c>
      <c r="I1134" s="4"/>
      <c r="J1134" s="4">
        <v>50</v>
      </c>
      <c r="K1134" s="2"/>
      <c r="M1134" s="4">
        <f t="shared" si="521"/>
        <v>173</v>
      </c>
      <c r="N1134" s="4"/>
      <c r="O1134" s="1">
        <f t="shared" si="522"/>
        <v>172.9</v>
      </c>
      <c r="P1134" s="1">
        <f t="shared" si="523"/>
        <v>0</v>
      </c>
      <c r="Q1134" s="1" t="str">
        <f t="shared" si="519"/>
        <v/>
      </c>
      <c r="R1134" s="1" t="str">
        <f t="shared" si="524"/>
        <v/>
      </c>
      <c r="S1134" s="1">
        <f t="shared" si="525"/>
        <v>624.46080000000279</v>
      </c>
      <c r="T1134" s="1">
        <f t="shared" si="526"/>
        <v>0.64</v>
      </c>
      <c r="U1134" s="1">
        <f t="shared" si="527"/>
        <v>527.99999999996999</v>
      </c>
      <c r="V1134" s="1">
        <f t="shared" si="528"/>
        <v>337.9199999999808</v>
      </c>
    </row>
    <row r="1135" spans="1:22" x14ac:dyDescent="0.25">
      <c r="A1135" s="1">
        <v>1134</v>
      </c>
      <c r="B1135" s="4">
        <v>7500</v>
      </c>
      <c r="C1135" s="4">
        <v>173</v>
      </c>
      <c r="D1135" s="4">
        <v>173.1</v>
      </c>
      <c r="E1135" s="4">
        <f t="shared" si="520"/>
        <v>9.9999999999994316E-2</v>
      </c>
      <c r="F1135" s="4">
        <v>0</v>
      </c>
      <c r="G1135" s="4">
        <v>0.57999999999999996</v>
      </c>
      <c r="H1135" s="4">
        <v>79</v>
      </c>
      <c r="I1135" s="4"/>
      <c r="J1135" s="4">
        <v>50</v>
      </c>
      <c r="K1135" s="2"/>
      <c r="M1135" s="4">
        <f t="shared" si="521"/>
        <v>173.1</v>
      </c>
      <c r="N1135" s="4" t="s">
        <v>57</v>
      </c>
      <c r="O1135" s="1">
        <f t="shared" si="522"/>
        <v>173</v>
      </c>
      <c r="P1135" s="1">
        <f t="shared" si="523"/>
        <v>0</v>
      </c>
      <c r="Q1135" s="1" t="str">
        <f t="shared" si="519"/>
        <v/>
      </c>
      <c r="R1135" s="1" t="str">
        <f t="shared" si="524"/>
        <v/>
      </c>
      <c r="S1135" s="1">
        <f t="shared" si="525"/>
        <v>627.84000000000265</v>
      </c>
      <c r="T1135" s="1">
        <f t="shared" si="526"/>
        <v>0.57999999999999996</v>
      </c>
      <c r="U1135" s="1">
        <f t="shared" si="527"/>
        <v>527.99999999996999</v>
      </c>
      <c r="V1135" s="1">
        <f t="shared" si="528"/>
        <v>306.23999999998256</v>
      </c>
    </row>
    <row r="1136" spans="1:22" x14ac:dyDescent="0.25">
      <c r="B1136" s="2"/>
      <c r="C1136" s="2"/>
      <c r="D1136" s="2"/>
      <c r="E1136" s="4"/>
      <c r="F1136" s="2"/>
      <c r="G1136"/>
      <c r="H1136" s="2"/>
      <c r="I1136" s="4"/>
      <c r="J1136" s="2"/>
      <c r="K1136" s="2"/>
      <c r="M1136" s="4">
        <f t="shared" si="521"/>
        <v>173.1</v>
      </c>
      <c r="N1136" s="4"/>
      <c r="O1136" s="1">
        <f t="shared" si="522"/>
        <v>173.1</v>
      </c>
      <c r="P1136" s="1">
        <f t="shared" si="523"/>
        <v>0</v>
      </c>
      <c r="Q1136" s="1">
        <f t="shared" si="519"/>
        <v>79</v>
      </c>
      <c r="R1136" s="1">
        <f t="shared" si="524"/>
        <v>79</v>
      </c>
      <c r="S1136" s="1">
        <f t="shared" si="525"/>
        <v>630.90240000000244</v>
      </c>
      <c r="T1136" s="1">
        <f t="shared" si="526"/>
        <v>0</v>
      </c>
      <c r="U1136" s="1">
        <f t="shared" si="527"/>
        <v>0</v>
      </c>
      <c r="V1136" s="1">
        <f t="shared" si="528"/>
        <v>0</v>
      </c>
    </row>
    <row r="1137" spans="2:22" x14ac:dyDescent="0.25">
      <c r="B1137" s="2"/>
      <c r="C1137" s="2"/>
      <c r="D1137" s="2"/>
      <c r="E1137" s="4"/>
      <c r="F1137" s="2"/>
      <c r="G1137"/>
      <c r="H1137" s="2"/>
      <c r="I1137" s="4"/>
      <c r="J1137" s="2"/>
      <c r="K1137" s="2"/>
      <c r="M1137" s="4">
        <f t="shared" si="521"/>
        <v>173.1</v>
      </c>
      <c r="N1137" s="4"/>
      <c r="O1137" s="1">
        <f t="shared" si="522"/>
        <v>173.1</v>
      </c>
      <c r="P1137" s="1">
        <f t="shared" si="523"/>
        <v>0</v>
      </c>
      <c r="Q1137" s="1">
        <f>IF(H1137&lt;&gt;"",IF(H1137=H1136,"",H1137),IF(H1135="","",MAX(H1136,Q1136)))</f>
        <v>79</v>
      </c>
      <c r="R1137" s="1">
        <f t="shared" si="524"/>
        <v>79</v>
      </c>
      <c r="S1137" s="1">
        <f t="shared" si="525"/>
        <v>630.90240000000244</v>
      </c>
      <c r="T1137" s="1">
        <f t="shared" si="526"/>
        <v>0</v>
      </c>
      <c r="U1137" s="1">
        <f t="shared" si="527"/>
        <v>0</v>
      </c>
      <c r="V1137" s="1">
        <f t="shared" si="528"/>
        <v>0</v>
      </c>
    </row>
    <row r="1138" spans="2:22" x14ac:dyDescent="0.25">
      <c r="B1138" s="2"/>
      <c r="C1138" s="2"/>
      <c r="D1138" s="2"/>
      <c r="E1138" s="4"/>
      <c r="F1138" s="2"/>
      <c r="G1138"/>
      <c r="H1138" s="2"/>
      <c r="I1138" s="4"/>
      <c r="J1138" s="2"/>
      <c r="K1138" s="2"/>
      <c r="M1138" s="4">
        <f t="shared" si="521"/>
        <v>173.1</v>
      </c>
      <c r="N1138" s="4"/>
      <c r="O1138" s="1">
        <f t="shared" si="522"/>
        <v>173.1</v>
      </c>
      <c r="P1138" s="1">
        <f t="shared" si="523"/>
        <v>0</v>
      </c>
      <c r="Q1138" s="1" t="str">
        <f t="shared" ref="Q1138:Q1201" si="529">IF(H1138&lt;&gt;"",IF(H1138=H1137,"",H1138),IF(H1136="","",MAX(H1137,Q1137)))</f>
        <v/>
      </c>
      <c r="R1138" s="1" t="str">
        <f t="shared" si="524"/>
        <v/>
      </c>
      <c r="S1138" s="1">
        <f t="shared" si="525"/>
        <v>630.90240000000244</v>
      </c>
      <c r="T1138" s="1">
        <f t="shared" si="526"/>
        <v>0</v>
      </c>
      <c r="U1138" s="1">
        <f t="shared" si="527"/>
        <v>0</v>
      </c>
      <c r="V1138" s="1">
        <f t="shared" si="528"/>
        <v>0</v>
      </c>
    </row>
    <row r="1139" spans="2:22" x14ac:dyDescent="0.25">
      <c r="B1139" s="2"/>
      <c r="C1139" s="2"/>
      <c r="D1139" s="2"/>
      <c r="E1139" s="4"/>
      <c r="F1139" s="2"/>
      <c r="G1139"/>
      <c r="H1139" s="2"/>
      <c r="I1139" s="4"/>
      <c r="J1139" s="2"/>
      <c r="K1139" s="2"/>
      <c r="M1139" s="4">
        <f t="shared" si="521"/>
        <v>173.1</v>
      </c>
      <c r="N1139" s="4"/>
      <c r="O1139" s="1">
        <f t="shared" si="522"/>
        <v>173.1</v>
      </c>
      <c r="P1139" s="1">
        <f t="shared" si="523"/>
        <v>0</v>
      </c>
      <c r="Q1139" s="1" t="str">
        <f t="shared" si="529"/>
        <v/>
      </c>
      <c r="R1139" s="1" t="str">
        <f t="shared" si="524"/>
        <v/>
      </c>
      <c r="S1139" s="1">
        <f t="shared" si="525"/>
        <v>630.90240000000244</v>
      </c>
      <c r="T1139" s="1">
        <f t="shared" si="526"/>
        <v>0</v>
      </c>
      <c r="U1139" s="1">
        <f t="shared" si="527"/>
        <v>0</v>
      </c>
      <c r="V1139" s="1">
        <f t="shared" si="528"/>
        <v>0</v>
      </c>
    </row>
    <row r="1140" spans="2:22" x14ac:dyDescent="0.25">
      <c r="B1140" s="2"/>
      <c r="C1140" s="2"/>
      <c r="D1140" s="2"/>
      <c r="E1140" s="4"/>
      <c r="F1140" s="2"/>
      <c r="G1140"/>
      <c r="H1140" s="2"/>
      <c r="I1140" s="4"/>
      <c r="J1140" s="2"/>
      <c r="K1140" s="2"/>
      <c r="M1140" s="4">
        <f t="shared" si="521"/>
        <v>173.1</v>
      </c>
      <c r="N1140" s="4"/>
      <c r="O1140" s="1">
        <f t="shared" si="522"/>
        <v>173.1</v>
      </c>
      <c r="P1140" s="1">
        <f t="shared" si="523"/>
        <v>0</v>
      </c>
      <c r="Q1140" s="1" t="str">
        <f t="shared" si="529"/>
        <v/>
      </c>
      <c r="R1140" s="1" t="str">
        <f t="shared" si="524"/>
        <v/>
      </c>
      <c r="S1140" s="1">
        <f t="shared" si="525"/>
        <v>630.90240000000244</v>
      </c>
      <c r="T1140" s="1">
        <f t="shared" si="526"/>
        <v>0</v>
      </c>
      <c r="U1140" s="1">
        <f t="shared" si="527"/>
        <v>0</v>
      </c>
      <c r="V1140" s="1">
        <f t="shared" si="528"/>
        <v>0</v>
      </c>
    </row>
    <row r="1141" spans="2:22" x14ac:dyDescent="0.25">
      <c r="B1141" s="2"/>
      <c r="C1141" s="2"/>
      <c r="D1141" s="2"/>
      <c r="E1141" s="4"/>
      <c r="F1141" s="2"/>
      <c r="G1141"/>
      <c r="H1141" s="2"/>
      <c r="I1141" s="4"/>
      <c r="J1141" s="2"/>
      <c r="K1141" s="2"/>
      <c r="M1141" s="4">
        <f t="shared" si="521"/>
        <v>173.1</v>
      </c>
      <c r="N1141" s="4"/>
      <c r="O1141" s="1">
        <f t="shared" si="522"/>
        <v>173.1</v>
      </c>
      <c r="P1141" s="1">
        <f t="shared" si="523"/>
        <v>0</v>
      </c>
      <c r="Q1141" s="1" t="str">
        <f t="shared" si="529"/>
        <v/>
      </c>
      <c r="R1141" s="1" t="str">
        <f t="shared" si="524"/>
        <v/>
      </c>
      <c r="S1141" s="1">
        <f t="shared" si="525"/>
        <v>630.90240000000244</v>
      </c>
      <c r="T1141" s="1">
        <f t="shared" si="526"/>
        <v>0</v>
      </c>
      <c r="U1141" s="1">
        <f t="shared" si="527"/>
        <v>0</v>
      </c>
      <c r="V1141" s="1">
        <f t="shared" si="528"/>
        <v>0</v>
      </c>
    </row>
    <row r="1142" spans="2:22" x14ac:dyDescent="0.25">
      <c r="B1142" s="2"/>
      <c r="C1142" s="2"/>
      <c r="D1142" s="2"/>
      <c r="E1142" s="4"/>
      <c r="F1142" s="2"/>
      <c r="G1142"/>
      <c r="H1142" s="2"/>
      <c r="I1142" s="4"/>
      <c r="J1142" s="2"/>
      <c r="K1142" s="2"/>
      <c r="M1142" s="4">
        <f t="shared" si="521"/>
        <v>173.1</v>
      </c>
      <c r="N1142" s="4"/>
      <c r="O1142" s="1">
        <f t="shared" si="522"/>
        <v>173.1</v>
      </c>
      <c r="P1142" s="1">
        <f t="shared" si="523"/>
        <v>0</v>
      </c>
      <c r="Q1142" s="1" t="str">
        <f t="shared" si="529"/>
        <v/>
      </c>
      <c r="R1142" s="1" t="str">
        <f t="shared" si="524"/>
        <v/>
      </c>
      <c r="S1142" s="1">
        <f t="shared" si="525"/>
        <v>630.90240000000244</v>
      </c>
      <c r="T1142" s="1">
        <f t="shared" si="526"/>
        <v>0</v>
      </c>
      <c r="U1142" s="1">
        <f t="shared" si="527"/>
        <v>0</v>
      </c>
      <c r="V1142" s="1">
        <f t="shared" si="528"/>
        <v>0</v>
      </c>
    </row>
    <row r="1143" spans="2:22" x14ac:dyDescent="0.25">
      <c r="B1143" s="2"/>
      <c r="C1143" s="2"/>
      <c r="D1143" s="2"/>
      <c r="E1143" s="4"/>
      <c r="F1143" s="2"/>
      <c r="G1143"/>
      <c r="H1143" s="2"/>
      <c r="I1143" s="4"/>
      <c r="J1143" s="2"/>
      <c r="K1143" s="2"/>
      <c r="M1143" s="4">
        <f t="shared" si="521"/>
        <v>173.1</v>
      </c>
      <c r="N1143" s="4"/>
      <c r="O1143" s="1">
        <f t="shared" si="522"/>
        <v>173.1</v>
      </c>
      <c r="P1143" s="1">
        <f t="shared" si="523"/>
        <v>0</v>
      </c>
      <c r="Q1143" s="1" t="str">
        <f t="shared" si="529"/>
        <v/>
      </c>
      <c r="R1143" s="1" t="str">
        <f t="shared" si="524"/>
        <v/>
      </c>
      <c r="S1143" s="1">
        <f t="shared" si="525"/>
        <v>630.90240000000244</v>
      </c>
      <c r="T1143" s="1">
        <f t="shared" si="526"/>
        <v>0</v>
      </c>
      <c r="U1143" s="1">
        <f t="shared" si="527"/>
        <v>0</v>
      </c>
      <c r="V1143" s="1">
        <f t="shared" si="528"/>
        <v>0</v>
      </c>
    </row>
    <row r="1144" spans="2:22" x14ac:dyDescent="0.25">
      <c r="B1144" s="2"/>
      <c r="C1144" s="2"/>
      <c r="D1144" s="2"/>
      <c r="E1144" s="4"/>
      <c r="F1144" s="2"/>
      <c r="G1144"/>
      <c r="H1144" s="2"/>
      <c r="I1144" s="4"/>
      <c r="J1144" s="2"/>
      <c r="K1144" s="2"/>
      <c r="M1144" s="4">
        <f t="shared" si="521"/>
        <v>173.1</v>
      </c>
      <c r="N1144" s="4"/>
      <c r="O1144" s="1">
        <f t="shared" si="522"/>
        <v>173.1</v>
      </c>
      <c r="P1144" s="1">
        <f t="shared" si="523"/>
        <v>0</v>
      </c>
      <c r="Q1144" s="1" t="str">
        <f t="shared" si="529"/>
        <v/>
      </c>
      <c r="R1144" s="1" t="str">
        <f t="shared" si="524"/>
        <v/>
      </c>
      <c r="S1144" s="1">
        <f t="shared" si="525"/>
        <v>630.90240000000244</v>
      </c>
      <c r="T1144" s="1">
        <f t="shared" si="526"/>
        <v>0</v>
      </c>
      <c r="U1144" s="1">
        <f t="shared" si="527"/>
        <v>0</v>
      </c>
      <c r="V1144" s="1">
        <f t="shared" si="528"/>
        <v>0</v>
      </c>
    </row>
    <row r="1145" spans="2:22" x14ac:dyDescent="0.25">
      <c r="B1145" s="2"/>
      <c r="C1145" s="2"/>
      <c r="D1145" s="2"/>
      <c r="E1145" s="4"/>
      <c r="F1145" s="2"/>
      <c r="G1145"/>
      <c r="H1145" s="2"/>
      <c r="I1145" s="4"/>
      <c r="J1145" s="2"/>
      <c r="K1145" s="2"/>
      <c r="M1145" s="4">
        <f t="shared" si="521"/>
        <v>173.1</v>
      </c>
      <c r="N1145" s="4"/>
      <c r="O1145" s="1">
        <f t="shared" si="522"/>
        <v>173.1</v>
      </c>
      <c r="P1145" s="1">
        <f t="shared" si="523"/>
        <v>0</v>
      </c>
      <c r="Q1145" s="1" t="str">
        <f t="shared" si="529"/>
        <v/>
      </c>
      <c r="R1145" s="1" t="str">
        <f t="shared" si="524"/>
        <v/>
      </c>
      <c r="S1145" s="1">
        <f t="shared" si="525"/>
        <v>630.90240000000244</v>
      </c>
      <c r="T1145" s="1">
        <f t="shared" si="526"/>
        <v>0</v>
      </c>
      <c r="U1145" s="1">
        <f t="shared" si="527"/>
        <v>0</v>
      </c>
      <c r="V1145" s="1">
        <f t="shared" si="528"/>
        <v>0</v>
      </c>
    </row>
    <row r="1146" spans="2:22" x14ac:dyDescent="0.25">
      <c r="B1146" s="2"/>
      <c r="C1146" s="2"/>
      <c r="D1146" s="2"/>
      <c r="E1146" s="4"/>
      <c r="F1146" s="2"/>
      <c r="G1146"/>
      <c r="H1146" s="2"/>
      <c r="I1146" s="4"/>
      <c r="J1146" s="2"/>
      <c r="K1146" s="2"/>
      <c r="M1146" s="4">
        <f t="shared" si="521"/>
        <v>173.1</v>
      </c>
      <c r="N1146" s="4"/>
      <c r="O1146" s="1">
        <f t="shared" si="522"/>
        <v>173.1</v>
      </c>
      <c r="P1146" s="1">
        <f t="shared" si="523"/>
        <v>0</v>
      </c>
      <c r="Q1146" s="1" t="str">
        <f t="shared" si="529"/>
        <v/>
      </c>
      <c r="R1146" s="1" t="str">
        <f t="shared" si="524"/>
        <v/>
      </c>
      <c r="S1146" s="1">
        <f t="shared" si="525"/>
        <v>630.90240000000244</v>
      </c>
      <c r="T1146" s="1">
        <f t="shared" si="526"/>
        <v>0</v>
      </c>
      <c r="U1146" s="1">
        <f t="shared" si="527"/>
        <v>0</v>
      </c>
      <c r="V1146" s="1">
        <f t="shared" si="528"/>
        <v>0</v>
      </c>
    </row>
    <row r="1147" spans="2:22" x14ac:dyDescent="0.25">
      <c r="B1147" s="2"/>
      <c r="C1147" s="2"/>
      <c r="D1147" s="2"/>
      <c r="E1147" s="4"/>
      <c r="F1147" s="2"/>
      <c r="G1147" s="2"/>
      <c r="H1147" s="2"/>
      <c r="I1147" s="4"/>
      <c r="J1147" s="2"/>
      <c r="K1147" s="2"/>
      <c r="M1147" s="4">
        <f t="shared" si="521"/>
        <v>173.1</v>
      </c>
      <c r="N1147" s="4"/>
      <c r="O1147" s="1">
        <f t="shared" si="522"/>
        <v>173.1</v>
      </c>
      <c r="P1147" s="1">
        <f t="shared" si="523"/>
        <v>0</v>
      </c>
      <c r="Q1147" s="1" t="str">
        <f t="shared" si="529"/>
        <v/>
      </c>
      <c r="R1147" s="1" t="str">
        <f t="shared" si="524"/>
        <v/>
      </c>
      <c r="S1147" s="1">
        <f t="shared" si="525"/>
        <v>630.90240000000244</v>
      </c>
      <c r="T1147" s="1">
        <f t="shared" si="526"/>
        <v>0</v>
      </c>
      <c r="U1147" s="1">
        <f t="shared" si="527"/>
        <v>0</v>
      </c>
      <c r="V1147" s="1">
        <f t="shared" si="528"/>
        <v>0</v>
      </c>
    </row>
    <row r="1148" spans="2:22" x14ac:dyDescent="0.25">
      <c r="B1148" s="2"/>
      <c r="C1148" s="2"/>
      <c r="D1148" s="2"/>
      <c r="E1148" s="4"/>
      <c r="F1148" s="2"/>
      <c r="G1148" s="2"/>
      <c r="H1148" s="2"/>
      <c r="I1148" s="4"/>
      <c r="J1148" s="2"/>
      <c r="K1148" s="2"/>
      <c r="M1148" s="4">
        <f t="shared" si="521"/>
        <v>173.1</v>
      </c>
      <c r="N1148" s="4"/>
      <c r="O1148" s="1">
        <f t="shared" si="522"/>
        <v>173.1</v>
      </c>
      <c r="P1148" s="1">
        <f t="shared" si="523"/>
        <v>0</v>
      </c>
      <c r="Q1148" s="1" t="str">
        <f t="shared" si="529"/>
        <v/>
      </c>
      <c r="R1148" s="1" t="str">
        <f t="shared" si="524"/>
        <v/>
      </c>
      <c r="S1148" s="1">
        <f t="shared" si="525"/>
        <v>630.90240000000244</v>
      </c>
      <c r="T1148" s="1">
        <f t="shared" si="526"/>
        <v>0</v>
      </c>
      <c r="U1148" s="1">
        <f t="shared" si="527"/>
        <v>0</v>
      </c>
      <c r="V1148" s="1">
        <f t="shared" si="528"/>
        <v>0</v>
      </c>
    </row>
    <row r="1149" spans="2:22" x14ac:dyDescent="0.25">
      <c r="B1149" s="2"/>
      <c r="C1149" s="2"/>
      <c r="D1149" s="2"/>
      <c r="E1149" s="4"/>
      <c r="F1149" s="2"/>
      <c r="G1149" s="2"/>
      <c r="H1149" s="2"/>
      <c r="I1149" s="4"/>
      <c r="J1149" s="2"/>
      <c r="K1149" s="2"/>
      <c r="M1149" s="4">
        <f t="shared" si="521"/>
        <v>173.1</v>
      </c>
      <c r="N1149" s="4"/>
      <c r="O1149" s="1">
        <f t="shared" si="522"/>
        <v>173.1</v>
      </c>
      <c r="P1149" s="1">
        <f t="shared" si="523"/>
        <v>0</v>
      </c>
      <c r="Q1149" s="1" t="str">
        <f t="shared" si="529"/>
        <v/>
      </c>
      <c r="R1149" s="1" t="str">
        <f t="shared" si="524"/>
        <v/>
      </c>
      <c r="S1149" s="1">
        <f t="shared" si="525"/>
        <v>630.90240000000244</v>
      </c>
      <c r="T1149" s="1">
        <f t="shared" si="526"/>
        <v>0</v>
      </c>
      <c r="U1149" s="1">
        <f t="shared" si="527"/>
        <v>0</v>
      </c>
      <c r="V1149" s="1">
        <f t="shared" si="528"/>
        <v>0</v>
      </c>
    </row>
    <row r="1150" spans="2:22" x14ac:dyDescent="0.25">
      <c r="B1150" s="2"/>
      <c r="C1150" s="2"/>
      <c r="D1150" s="2"/>
      <c r="E1150" s="4"/>
      <c r="F1150" s="2"/>
      <c r="G1150" s="2"/>
      <c r="H1150" s="2"/>
      <c r="I1150" s="4"/>
      <c r="J1150" s="2"/>
      <c r="K1150" s="2"/>
      <c r="M1150" s="4">
        <f t="shared" si="521"/>
        <v>173.1</v>
      </c>
      <c r="N1150" s="4"/>
      <c r="O1150" s="1">
        <f t="shared" si="522"/>
        <v>173.1</v>
      </c>
      <c r="P1150" s="1">
        <f t="shared" si="523"/>
        <v>0</v>
      </c>
      <c r="Q1150" s="1" t="str">
        <f t="shared" si="529"/>
        <v/>
      </c>
      <c r="R1150" s="1" t="str">
        <f t="shared" si="524"/>
        <v/>
      </c>
      <c r="S1150" s="1">
        <f t="shared" si="525"/>
        <v>630.90240000000244</v>
      </c>
      <c r="T1150" s="1">
        <f t="shared" si="526"/>
        <v>0</v>
      </c>
      <c r="U1150" s="1">
        <f t="shared" si="527"/>
        <v>0</v>
      </c>
      <c r="V1150" s="1">
        <f t="shared" si="528"/>
        <v>0</v>
      </c>
    </row>
    <row r="1151" spans="2:22" x14ac:dyDescent="0.25">
      <c r="B1151" s="2"/>
      <c r="C1151" s="2"/>
      <c r="D1151" s="2"/>
      <c r="E1151" s="4"/>
      <c r="F1151" s="2"/>
      <c r="G1151" s="2"/>
      <c r="H1151" s="2"/>
      <c r="I1151" s="4"/>
      <c r="J1151" s="2"/>
      <c r="K1151" s="2"/>
      <c r="M1151" s="4">
        <f t="shared" si="521"/>
        <v>173.1</v>
      </c>
      <c r="N1151" s="4"/>
      <c r="O1151" s="1">
        <f t="shared" si="522"/>
        <v>173.1</v>
      </c>
      <c r="P1151" s="1">
        <f t="shared" si="523"/>
        <v>0</v>
      </c>
      <c r="Q1151" s="1" t="str">
        <f t="shared" si="529"/>
        <v/>
      </c>
      <c r="R1151" s="1" t="str">
        <f t="shared" si="524"/>
        <v/>
      </c>
      <c r="S1151" s="1">
        <f t="shared" si="525"/>
        <v>630.90240000000244</v>
      </c>
      <c r="T1151" s="1">
        <f t="shared" si="526"/>
        <v>0</v>
      </c>
      <c r="U1151" s="1">
        <f t="shared" si="527"/>
        <v>0</v>
      </c>
      <c r="V1151" s="1">
        <f t="shared" si="528"/>
        <v>0</v>
      </c>
    </row>
    <row r="1152" spans="2:22" x14ac:dyDescent="0.25">
      <c r="B1152" s="2"/>
      <c r="C1152" s="2"/>
      <c r="D1152" s="2"/>
      <c r="E1152" s="4"/>
      <c r="F1152" s="2"/>
      <c r="G1152" s="2"/>
      <c r="H1152" s="2"/>
      <c r="I1152" s="4"/>
      <c r="J1152" s="2"/>
      <c r="K1152" s="2"/>
      <c r="M1152" s="4">
        <f t="shared" si="521"/>
        <v>173.1</v>
      </c>
      <c r="N1152" s="4"/>
      <c r="O1152" s="1">
        <f t="shared" si="522"/>
        <v>173.1</v>
      </c>
      <c r="P1152" s="1">
        <f t="shared" si="523"/>
        <v>0</v>
      </c>
      <c r="Q1152" s="1" t="str">
        <f t="shared" si="529"/>
        <v/>
      </c>
      <c r="R1152" s="1" t="str">
        <f t="shared" si="524"/>
        <v/>
      </c>
      <c r="S1152" s="1">
        <f t="shared" si="525"/>
        <v>630.90240000000244</v>
      </c>
      <c r="T1152" s="1">
        <f t="shared" si="526"/>
        <v>0</v>
      </c>
      <c r="U1152" s="1">
        <f t="shared" si="527"/>
        <v>0</v>
      </c>
      <c r="V1152" s="1">
        <f t="shared" si="528"/>
        <v>0</v>
      </c>
    </row>
    <row r="1153" spans="2:22" x14ac:dyDescent="0.25">
      <c r="B1153" s="2"/>
      <c r="C1153" s="2"/>
      <c r="D1153" s="2"/>
      <c r="E1153" s="4"/>
      <c r="F1153" s="2"/>
      <c r="G1153" s="2"/>
      <c r="H1153" s="2"/>
      <c r="I1153" s="4"/>
      <c r="J1153" s="2"/>
      <c r="K1153" s="2"/>
      <c r="M1153" s="4">
        <f t="shared" si="521"/>
        <v>173.1</v>
      </c>
      <c r="N1153" s="4"/>
      <c r="O1153" s="1">
        <f t="shared" si="522"/>
        <v>173.1</v>
      </c>
      <c r="P1153" s="1">
        <f t="shared" si="523"/>
        <v>0</v>
      </c>
      <c r="Q1153" s="1" t="str">
        <f t="shared" si="529"/>
        <v/>
      </c>
      <c r="R1153" s="1" t="str">
        <f t="shared" si="524"/>
        <v/>
      </c>
      <c r="S1153" s="1">
        <f t="shared" si="525"/>
        <v>630.90240000000244</v>
      </c>
      <c r="T1153" s="1">
        <f t="shared" si="526"/>
        <v>0</v>
      </c>
      <c r="U1153" s="1">
        <f t="shared" si="527"/>
        <v>0</v>
      </c>
      <c r="V1153" s="1">
        <f t="shared" si="528"/>
        <v>0</v>
      </c>
    </row>
    <row r="1154" spans="2:22" x14ac:dyDescent="0.25">
      <c r="B1154" s="2"/>
      <c r="C1154" s="2"/>
      <c r="D1154" s="2"/>
      <c r="E1154" s="4"/>
      <c r="F1154" s="2"/>
      <c r="G1154" s="2"/>
      <c r="H1154" s="2"/>
      <c r="I1154" s="4"/>
      <c r="J1154" s="2"/>
      <c r="K1154" s="2"/>
      <c r="M1154" s="4">
        <f t="shared" si="521"/>
        <v>173.1</v>
      </c>
      <c r="N1154" s="4"/>
      <c r="O1154" s="1">
        <f t="shared" si="522"/>
        <v>173.1</v>
      </c>
      <c r="P1154" s="1">
        <f t="shared" si="523"/>
        <v>0</v>
      </c>
      <c r="Q1154" s="1" t="str">
        <f t="shared" si="529"/>
        <v/>
      </c>
      <c r="R1154" s="1" t="str">
        <f t="shared" si="524"/>
        <v/>
      </c>
      <c r="S1154" s="1">
        <f t="shared" si="525"/>
        <v>630.90240000000244</v>
      </c>
      <c r="T1154" s="1">
        <f t="shared" si="526"/>
        <v>0</v>
      </c>
      <c r="U1154" s="1">
        <f t="shared" si="527"/>
        <v>0</v>
      </c>
      <c r="V1154" s="1">
        <f t="shared" si="528"/>
        <v>0</v>
      </c>
    </row>
    <row r="1155" spans="2:22" x14ac:dyDescent="0.25">
      <c r="B1155" s="2"/>
      <c r="C1155" s="2"/>
      <c r="D1155" s="2"/>
      <c r="E1155" s="4"/>
      <c r="F1155" s="2"/>
      <c r="G1155" s="2"/>
      <c r="H1155" s="2"/>
      <c r="I1155" s="4"/>
      <c r="J1155" s="2"/>
      <c r="K1155" s="2"/>
      <c r="M1155" s="4">
        <f t="shared" si="521"/>
        <v>173.1</v>
      </c>
      <c r="N1155" s="4"/>
      <c r="O1155" s="1">
        <f t="shared" si="522"/>
        <v>173.1</v>
      </c>
      <c r="P1155" s="1">
        <f t="shared" si="523"/>
        <v>0</v>
      </c>
      <c r="Q1155" s="1" t="str">
        <f t="shared" si="529"/>
        <v/>
      </c>
      <c r="R1155" s="1" t="str">
        <f t="shared" si="524"/>
        <v/>
      </c>
      <c r="S1155" s="1">
        <f t="shared" si="525"/>
        <v>630.90240000000244</v>
      </c>
      <c r="T1155" s="1">
        <f t="shared" si="526"/>
        <v>0</v>
      </c>
      <c r="U1155" s="1">
        <f t="shared" si="527"/>
        <v>0</v>
      </c>
      <c r="V1155" s="1">
        <f t="shared" si="528"/>
        <v>0</v>
      </c>
    </row>
    <row r="1156" spans="2:22" x14ac:dyDescent="0.25">
      <c r="B1156" s="2"/>
      <c r="C1156" s="2"/>
      <c r="D1156" s="2"/>
      <c r="E1156" s="4"/>
      <c r="F1156" s="2"/>
      <c r="G1156" s="2"/>
      <c r="H1156" s="2"/>
      <c r="I1156" s="4"/>
      <c r="J1156" s="2"/>
      <c r="K1156" s="2"/>
      <c r="M1156" s="4">
        <f t="shared" si="521"/>
        <v>173.1</v>
      </c>
      <c r="N1156" s="4"/>
      <c r="O1156" s="1">
        <f t="shared" si="522"/>
        <v>173.1</v>
      </c>
      <c r="P1156" s="1">
        <f t="shared" si="523"/>
        <v>0</v>
      </c>
      <c r="Q1156" s="1" t="str">
        <f t="shared" si="529"/>
        <v/>
      </c>
      <c r="R1156" s="1" t="str">
        <f t="shared" si="524"/>
        <v/>
      </c>
      <c r="S1156" s="1">
        <f t="shared" si="525"/>
        <v>630.90240000000244</v>
      </c>
      <c r="T1156" s="1">
        <f t="shared" si="526"/>
        <v>0</v>
      </c>
      <c r="U1156" s="1">
        <f t="shared" si="527"/>
        <v>0</v>
      </c>
      <c r="V1156" s="1">
        <f t="shared" si="528"/>
        <v>0</v>
      </c>
    </row>
    <row r="1157" spans="2:22" x14ac:dyDescent="0.25">
      <c r="B1157" s="2"/>
      <c r="C1157" s="2"/>
      <c r="D1157" s="2"/>
      <c r="E1157" s="4"/>
      <c r="F1157" s="2"/>
      <c r="G1157" s="2"/>
      <c r="H1157" s="2"/>
      <c r="I1157" s="4"/>
      <c r="J1157" s="2"/>
      <c r="K1157" s="2"/>
      <c r="M1157" s="4">
        <f t="shared" si="521"/>
        <v>173.1</v>
      </c>
      <c r="N1157" s="4"/>
      <c r="O1157" s="1">
        <f t="shared" si="522"/>
        <v>173.1</v>
      </c>
      <c r="P1157" s="1">
        <f t="shared" si="523"/>
        <v>0</v>
      </c>
      <c r="Q1157" s="1" t="str">
        <f t="shared" si="529"/>
        <v/>
      </c>
      <c r="R1157" s="1" t="str">
        <f t="shared" si="524"/>
        <v/>
      </c>
      <c r="S1157" s="1">
        <f t="shared" si="525"/>
        <v>630.90240000000244</v>
      </c>
      <c r="T1157" s="1">
        <f t="shared" si="526"/>
        <v>0</v>
      </c>
      <c r="U1157" s="1">
        <f t="shared" si="527"/>
        <v>0</v>
      </c>
      <c r="V1157" s="1">
        <f t="shared" si="528"/>
        <v>0</v>
      </c>
    </row>
    <row r="1158" spans="2:22" x14ac:dyDescent="0.25">
      <c r="B1158" s="2"/>
      <c r="C1158" s="2"/>
      <c r="D1158" s="2"/>
      <c r="E1158" s="4"/>
      <c r="F1158" s="2"/>
      <c r="G1158" s="2"/>
      <c r="H1158" s="2"/>
      <c r="I1158" s="4"/>
      <c r="J1158" s="2"/>
      <c r="K1158" s="2"/>
      <c r="M1158" s="4">
        <f t="shared" si="521"/>
        <v>173.1</v>
      </c>
      <c r="N1158" s="4"/>
      <c r="O1158" s="1">
        <f t="shared" si="522"/>
        <v>173.1</v>
      </c>
      <c r="P1158" s="1">
        <f t="shared" si="523"/>
        <v>0</v>
      </c>
      <c r="Q1158" s="1" t="str">
        <f t="shared" si="529"/>
        <v/>
      </c>
      <c r="R1158" s="1" t="str">
        <f t="shared" si="524"/>
        <v/>
      </c>
      <c r="S1158" s="1">
        <f t="shared" si="525"/>
        <v>630.90240000000244</v>
      </c>
      <c r="T1158" s="1">
        <f t="shared" si="526"/>
        <v>0</v>
      </c>
      <c r="U1158" s="1">
        <f t="shared" si="527"/>
        <v>0</v>
      </c>
      <c r="V1158" s="1">
        <f t="shared" si="528"/>
        <v>0</v>
      </c>
    </row>
    <row r="1159" spans="2:22" x14ac:dyDescent="0.25">
      <c r="B1159" s="2"/>
      <c r="C1159" s="2"/>
      <c r="D1159" s="2"/>
      <c r="E1159" s="4"/>
      <c r="F1159" s="2"/>
      <c r="G1159" s="2"/>
      <c r="H1159" s="2"/>
      <c r="I1159" s="4"/>
      <c r="J1159" s="2"/>
      <c r="K1159" s="2"/>
      <c r="M1159" s="4">
        <f t="shared" si="521"/>
        <v>173.1</v>
      </c>
      <c r="N1159" s="4"/>
      <c r="O1159" s="1">
        <f t="shared" si="522"/>
        <v>173.1</v>
      </c>
      <c r="P1159" s="1">
        <f t="shared" si="523"/>
        <v>0</v>
      </c>
      <c r="Q1159" s="1" t="str">
        <f t="shared" si="529"/>
        <v/>
      </c>
      <c r="R1159" s="1" t="str">
        <f t="shared" si="524"/>
        <v/>
      </c>
      <c r="S1159" s="1">
        <f t="shared" si="525"/>
        <v>630.90240000000244</v>
      </c>
      <c r="T1159" s="1">
        <f t="shared" si="526"/>
        <v>0</v>
      </c>
      <c r="U1159" s="1">
        <f t="shared" si="527"/>
        <v>0</v>
      </c>
      <c r="V1159" s="1">
        <f t="shared" si="528"/>
        <v>0</v>
      </c>
    </row>
    <row r="1160" spans="2:22" x14ac:dyDescent="0.25">
      <c r="B1160" s="2"/>
      <c r="C1160" s="2"/>
      <c r="D1160" s="2"/>
      <c r="E1160" s="4"/>
      <c r="F1160" s="2"/>
      <c r="G1160" s="2"/>
      <c r="H1160" s="2"/>
      <c r="I1160" s="4"/>
      <c r="J1160" s="2"/>
      <c r="K1160" s="2"/>
      <c r="M1160" s="4">
        <f t="shared" ref="M1160:M1223" si="530">E1160+M1159</f>
        <v>173.1</v>
      </c>
      <c r="N1160" s="4"/>
      <c r="O1160" s="1">
        <f t="shared" ref="O1160:O1223" si="531">E1159+O1159</f>
        <v>173.1</v>
      </c>
      <c r="P1160" s="1">
        <f t="shared" ref="P1160:P1223" si="532">F1160*52.8*E1160</f>
        <v>0</v>
      </c>
      <c r="Q1160" s="1" t="str">
        <f t="shared" si="529"/>
        <v/>
      </c>
      <c r="R1160" s="1" t="str">
        <f t="shared" ref="R1160:R1223" si="533">IF(I1160="",Q1160,IF(AND(H1160=H1159,I1160=I1159),"",I1160))</f>
        <v/>
      </c>
      <c r="S1160" s="1">
        <f t="shared" ref="S1160:S1223" si="534">S1159+U1159*T1159/100</f>
        <v>630.90240000000244</v>
      </c>
      <c r="T1160" s="1">
        <f t="shared" ref="T1160:T1223" si="535">IF(G1160="UNK",0,G1160)</f>
        <v>0</v>
      </c>
      <c r="U1160" s="1">
        <f t="shared" ref="U1160:U1223" si="536">E1160*5280</f>
        <v>0</v>
      </c>
      <c r="V1160" s="1">
        <f t="shared" ref="V1160:V1223" si="537">ABS(T1160*U1160)</f>
        <v>0</v>
      </c>
    </row>
    <row r="1161" spans="2:22" x14ac:dyDescent="0.25">
      <c r="B1161" s="2"/>
      <c r="C1161" s="2"/>
      <c r="D1161" s="2"/>
      <c r="E1161" s="4"/>
      <c r="F1161" s="2"/>
      <c r="G1161" s="2"/>
      <c r="H1161" s="2"/>
      <c r="I1161" s="4"/>
      <c r="J1161" s="2"/>
      <c r="K1161" s="2"/>
      <c r="M1161" s="4">
        <f t="shared" si="530"/>
        <v>173.1</v>
      </c>
      <c r="N1161" s="4"/>
      <c r="O1161" s="1">
        <f t="shared" si="531"/>
        <v>173.1</v>
      </c>
      <c r="P1161" s="1">
        <f t="shared" si="532"/>
        <v>0</v>
      </c>
      <c r="Q1161" s="1" t="str">
        <f t="shared" si="529"/>
        <v/>
      </c>
      <c r="R1161" s="1" t="str">
        <f t="shared" si="533"/>
        <v/>
      </c>
      <c r="S1161" s="1">
        <f t="shared" si="534"/>
        <v>630.90240000000244</v>
      </c>
      <c r="T1161" s="1">
        <f t="shared" si="535"/>
        <v>0</v>
      </c>
      <c r="U1161" s="1">
        <f t="shared" si="536"/>
        <v>0</v>
      </c>
      <c r="V1161" s="1">
        <f t="shared" si="537"/>
        <v>0</v>
      </c>
    </row>
    <row r="1162" spans="2:22" x14ac:dyDescent="0.25">
      <c r="B1162" s="2"/>
      <c r="C1162" s="2"/>
      <c r="D1162" s="2"/>
      <c r="E1162" s="4"/>
      <c r="F1162" s="2"/>
      <c r="G1162" s="2"/>
      <c r="H1162" s="2"/>
      <c r="I1162" s="4"/>
      <c r="J1162" s="2"/>
      <c r="K1162" s="2"/>
      <c r="M1162" s="4">
        <f t="shared" si="530"/>
        <v>173.1</v>
      </c>
      <c r="N1162" s="4"/>
      <c r="O1162" s="1">
        <f t="shared" si="531"/>
        <v>173.1</v>
      </c>
      <c r="P1162" s="1">
        <f t="shared" si="532"/>
        <v>0</v>
      </c>
      <c r="Q1162" s="1" t="str">
        <f t="shared" si="529"/>
        <v/>
      </c>
      <c r="R1162" s="1" t="str">
        <f t="shared" si="533"/>
        <v/>
      </c>
      <c r="S1162" s="1">
        <f t="shared" si="534"/>
        <v>630.90240000000244</v>
      </c>
      <c r="T1162" s="1">
        <f t="shared" si="535"/>
        <v>0</v>
      </c>
      <c r="U1162" s="1">
        <f t="shared" si="536"/>
        <v>0</v>
      </c>
      <c r="V1162" s="1">
        <f t="shared" si="537"/>
        <v>0</v>
      </c>
    </row>
    <row r="1163" spans="2:22" x14ac:dyDescent="0.25">
      <c r="B1163" s="2"/>
      <c r="C1163" s="2"/>
      <c r="D1163" s="2"/>
      <c r="E1163" s="4"/>
      <c r="F1163" s="2"/>
      <c r="G1163" s="2"/>
      <c r="H1163" s="2"/>
      <c r="I1163" s="4"/>
      <c r="J1163" s="2"/>
      <c r="K1163" s="2"/>
      <c r="M1163" s="4">
        <f t="shared" si="530"/>
        <v>173.1</v>
      </c>
      <c r="N1163" s="4"/>
      <c r="O1163" s="1">
        <f t="shared" si="531"/>
        <v>173.1</v>
      </c>
      <c r="P1163" s="1">
        <f t="shared" si="532"/>
        <v>0</v>
      </c>
      <c r="Q1163" s="1" t="str">
        <f t="shared" si="529"/>
        <v/>
      </c>
      <c r="R1163" s="1" t="str">
        <f t="shared" si="533"/>
        <v/>
      </c>
      <c r="S1163" s="1">
        <f t="shared" si="534"/>
        <v>630.90240000000244</v>
      </c>
      <c r="T1163" s="1">
        <f t="shared" si="535"/>
        <v>0</v>
      </c>
      <c r="U1163" s="1">
        <f t="shared" si="536"/>
        <v>0</v>
      </c>
      <c r="V1163" s="1">
        <f t="shared" si="537"/>
        <v>0</v>
      </c>
    </row>
    <row r="1164" spans="2:22" x14ac:dyDescent="0.25">
      <c r="B1164" s="2"/>
      <c r="C1164" s="2"/>
      <c r="D1164" s="2"/>
      <c r="E1164" s="4"/>
      <c r="F1164" s="2"/>
      <c r="G1164" s="2"/>
      <c r="H1164" s="2"/>
      <c r="I1164" s="4"/>
      <c r="J1164" s="2"/>
      <c r="K1164" s="2"/>
      <c r="M1164" s="4">
        <f t="shared" si="530"/>
        <v>173.1</v>
      </c>
      <c r="N1164" s="4"/>
      <c r="O1164" s="1">
        <f t="shared" si="531"/>
        <v>173.1</v>
      </c>
      <c r="P1164" s="1">
        <f t="shared" si="532"/>
        <v>0</v>
      </c>
      <c r="Q1164" s="1" t="str">
        <f t="shared" si="529"/>
        <v/>
      </c>
      <c r="R1164" s="1" t="str">
        <f t="shared" si="533"/>
        <v/>
      </c>
      <c r="S1164" s="1">
        <f t="shared" si="534"/>
        <v>630.90240000000244</v>
      </c>
      <c r="T1164" s="1">
        <f t="shared" si="535"/>
        <v>0</v>
      </c>
      <c r="U1164" s="1">
        <f t="shared" si="536"/>
        <v>0</v>
      </c>
      <c r="V1164" s="1">
        <f t="shared" si="537"/>
        <v>0</v>
      </c>
    </row>
    <row r="1165" spans="2:22" x14ac:dyDescent="0.25">
      <c r="B1165" s="2"/>
      <c r="C1165" s="2"/>
      <c r="D1165" s="2"/>
      <c r="E1165" s="4"/>
      <c r="F1165" s="2"/>
      <c r="G1165" s="2"/>
      <c r="H1165" s="2"/>
      <c r="I1165" s="4"/>
      <c r="J1165" s="2"/>
      <c r="K1165" s="2"/>
      <c r="M1165" s="4">
        <f t="shared" si="530"/>
        <v>173.1</v>
      </c>
      <c r="N1165" s="4"/>
      <c r="O1165" s="1">
        <f t="shared" si="531"/>
        <v>173.1</v>
      </c>
      <c r="P1165" s="1">
        <f t="shared" si="532"/>
        <v>0</v>
      </c>
      <c r="Q1165" s="1" t="str">
        <f t="shared" si="529"/>
        <v/>
      </c>
      <c r="R1165" s="1" t="str">
        <f t="shared" si="533"/>
        <v/>
      </c>
      <c r="S1165" s="1">
        <f t="shared" si="534"/>
        <v>630.90240000000244</v>
      </c>
      <c r="T1165" s="1">
        <f t="shared" si="535"/>
        <v>0</v>
      </c>
      <c r="U1165" s="1">
        <f t="shared" si="536"/>
        <v>0</v>
      </c>
      <c r="V1165" s="1">
        <f t="shared" si="537"/>
        <v>0</v>
      </c>
    </row>
    <row r="1166" spans="2:22" x14ac:dyDescent="0.25">
      <c r="B1166" s="2"/>
      <c r="C1166" s="2"/>
      <c r="D1166" s="2"/>
      <c r="E1166" s="4"/>
      <c r="F1166" s="2"/>
      <c r="G1166" s="2"/>
      <c r="H1166" s="2"/>
      <c r="I1166" s="4"/>
      <c r="J1166" s="2"/>
      <c r="K1166" s="2"/>
      <c r="M1166" s="4">
        <f t="shared" si="530"/>
        <v>173.1</v>
      </c>
      <c r="N1166" s="4"/>
      <c r="O1166" s="1">
        <f t="shared" si="531"/>
        <v>173.1</v>
      </c>
      <c r="P1166" s="1">
        <f t="shared" si="532"/>
        <v>0</v>
      </c>
      <c r="Q1166" s="1" t="str">
        <f t="shared" si="529"/>
        <v/>
      </c>
      <c r="R1166" s="1" t="str">
        <f t="shared" si="533"/>
        <v/>
      </c>
      <c r="S1166" s="1">
        <f t="shared" si="534"/>
        <v>630.90240000000244</v>
      </c>
      <c r="T1166" s="1">
        <f t="shared" si="535"/>
        <v>0</v>
      </c>
      <c r="U1166" s="1">
        <f t="shared" si="536"/>
        <v>0</v>
      </c>
      <c r="V1166" s="1">
        <f t="shared" si="537"/>
        <v>0</v>
      </c>
    </row>
    <row r="1167" spans="2:22" x14ac:dyDescent="0.25">
      <c r="B1167" s="2"/>
      <c r="C1167" s="2"/>
      <c r="D1167" s="2"/>
      <c r="E1167" s="4"/>
      <c r="F1167" s="2"/>
      <c r="G1167" s="2"/>
      <c r="H1167" s="2"/>
      <c r="I1167" s="4"/>
      <c r="J1167" s="2"/>
      <c r="K1167" s="2"/>
      <c r="M1167" s="4">
        <f t="shared" si="530"/>
        <v>173.1</v>
      </c>
      <c r="N1167" s="4"/>
      <c r="O1167" s="1">
        <f t="shared" si="531"/>
        <v>173.1</v>
      </c>
      <c r="P1167" s="1">
        <f t="shared" si="532"/>
        <v>0</v>
      </c>
      <c r="Q1167" s="1" t="str">
        <f t="shared" si="529"/>
        <v/>
      </c>
      <c r="R1167" s="1" t="str">
        <f t="shared" si="533"/>
        <v/>
      </c>
      <c r="S1167" s="1">
        <f t="shared" si="534"/>
        <v>630.90240000000244</v>
      </c>
      <c r="T1167" s="1">
        <f t="shared" si="535"/>
        <v>0</v>
      </c>
      <c r="U1167" s="1">
        <f t="shared" si="536"/>
        <v>0</v>
      </c>
      <c r="V1167" s="1">
        <f t="shared" si="537"/>
        <v>0</v>
      </c>
    </row>
    <row r="1168" spans="2:22" x14ac:dyDescent="0.25">
      <c r="B1168" s="2"/>
      <c r="C1168" s="2"/>
      <c r="D1168" s="2"/>
      <c r="E1168" s="4"/>
      <c r="F1168" s="2"/>
      <c r="G1168" s="2"/>
      <c r="H1168" s="2"/>
      <c r="I1168" s="4"/>
      <c r="J1168" s="2"/>
      <c r="K1168" s="2"/>
      <c r="M1168" s="4">
        <f t="shared" si="530"/>
        <v>173.1</v>
      </c>
      <c r="N1168" s="4"/>
      <c r="O1168" s="1">
        <f t="shared" si="531"/>
        <v>173.1</v>
      </c>
      <c r="P1168" s="1">
        <f t="shared" si="532"/>
        <v>0</v>
      </c>
      <c r="Q1168" s="1" t="str">
        <f t="shared" si="529"/>
        <v/>
      </c>
      <c r="R1168" s="1" t="str">
        <f t="shared" si="533"/>
        <v/>
      </c>
      <c r="S1168" s="1">
        <f t="shared" si="534"/>
        <v>630.90240000000244</v>
      </c>
      <c r="T1168" s="1">
        <f t="shared" si="535"/>
        <v>0</v>
      </c>
      <c r="U1168" s="1">
        <f t="shared" si="536"/>
        <v>0</v>
      </c>
      <c r="V1168" s="1">
        <f t="shared" si="537"/>
        <v>0</v>
      </c>
    </row>
    <row r="1169" spans="2:22" x14ac:dyDescent="0.25">
      <c r="B1169" s="2"/>
      <c r="C1169" s="2"/>
      <c r="D1169" s="2"/>
      <c r="E1169" s="4"/>
      <c r="F1169" s="2"/>
      <c r="G1169" s="2"/>
      <c r="H1169" s="2"/>
      <c r="I1169" s="4"/>
      <c r="J1169" s="2"/>
      <c r="K1169" s="2"/>
      <c r="M1169" s="4">
        <f t="shared" si="530"/>
        <v>173.1</v>
      </c>
      <c r="N1169" s="4"/>
      <c r="O1169" s="1">
        <f t="shared" si="531"/>
        <v>173.1</v>
      </c>
      <c r="P1169" s="1">
        <f t="shared" si="532"/>
        <v>0</v>
      </c>
      <c r="Q1169" s="1" t="str">
        <f t="shared" si="529"/>
        <v/>
      </c>
      <c r="R1169" s="1" t="str">
        <f t="shared" si="533"/>
        <v/>
      </c>
      <c r="S1169" s="1">
        <f t="shared" si="534"/>
        <v>630.90240000000244</v>
      </c>
      <c r="T1169" s="1">
        <f t="shared" si="535"/>
        <v>0</v>
      </c>
      <c r="U1169" s="1">
        <f t="shared" si="536"/>
        <v>0</v>
      </c>
      <c r="V1169" s="1">
        <f t="shared" si="537"/>
        <v>0</v>
      </c>
    </row>
    <row r="1170" spans="2:22" x14ac:dyDescent="0.25">
      <c r="B1170" s="2"/>
      <c r="C1170" s="2"/>
      <c r="D1170" s="2"/>
      <c r="E1170" s="4"/>
      <c r="F1170" s="2"/>
      <c r="G1170" s="2"/>
      <c r="H1170" s="2"/>
      <c r="I1170" s="4"/>
      <c r="J1170" s="2"/>
      <c r="K1170" s="2"/>
      <c r="M1170" s="4">
        <f t="shared" si="530"/>
        <v>173.1</v>
      </c>
      <c r="N1170" s="4"/>
      <c r="O1170" s="1">
        <f t="shared" si="531"/>
        <v>173.1</v>
      </c>
      <c r="P1170" s="1">
        <f t="shared" si="532"/>
        <v>0</v>
      </c>
      <c r="Q1170" s="1" t="str">
        <f t="shared" si="529"/>
        <v/>
      </c>
      <c r="R1170" s="1" t="str">
        <f t="shared" si="533"/>
        <v/>
      </c>
      <c r="S1170" s="1">
        <f t="shared" si="534"/>
        <v>630.90240000000244</v>
      </c>
      <c r="T1170" s="1">
        <f t="shared" si="535"/>
        <v>0</v>
      </c>
      <c r="U1170" s="1">
        <f t="shared" si="536"/>
        <v>0</v>
      </c>
      <c r="V1170" s="1">
        <f t="shared" si="537"/>
        <v>0</v>
      </c>
    </row>
    <row r="1171" spans="2:22" x14ac:dyDescent="0.25">
      <c r="B1171" s="2"/>
      <c r="C1171" s="2"/>
      <c r="D1171" s="2"/>
      <c r="E1171" s="4"/>
      <c r="F1171" s="2"/>
      <c r="G1171" s="2"/>
      <c r="H1171" s="2"/>
      <c r="I1171" s="4"/>
      <c r="J1171" s="2"/>
      <c r="K1171" s="2"/>
      <c r="M1171" s="4">
        <f t="shared" si="530"/>
        <v>173.1</v>
      </c>
      <c r="N1171" s="4"/>
      <c r="O1171" s="1">
        <f t="shared" si="531"/>
        <v>173.1</v>
      </c>
      <c r="P1171" s="1">
        <f t="shared" si="532"/>
        <v>0</v>
      </c>
      <c r="Q1171" s="1" t="str">
        <f t="shared" si="529"/>
        <v/>
      </c>
      <c r="R1171" s="1" t="str">
        <f t="shared" si="533"/>
        <v/>
      </c>
      <c r="S1171" s="1">
        <f t="shared" si="534"/>
        <v>630.90240000000244</v>
      </c>
      <c r="T1171" s="1">
        <f t="shared" si="535"/>
        <v>0</v>
      </c>
      <c r="U1171" s="1">
        <f t="shared" si="536"/>
        <v>0</v>
      </c>
      <c r="V1171" s="1">
        <f t="shared" si="537"/>
        <v>0</v>
      </c>
    </row>
    <row r="1172" spans="2:22" x14ac:dyDescent="0.25">
      <c r="B1172" s="2"/>
      <c r="C1172" s="2"/>
      <c r="D1172" s="2"/>
      <c r="E1172" s="4"/>
      <c r="F1172" s="2"/>
      <c r="G1172" s="2"/>
      <c r="H1172" s="2"/>
      <c r="I1172" s="4"/>
      <c r="J1172" s="2"/>
      <c r="K1172" s="2"/>
      <c r="M1172" s="4">
        <f t="shared" si="530"/>
        <v>173.1</v>
      </c>
      <c r="N1172" s="4"/>
      <c r="O1172" s="1">
        <f t="shared" si="531"/>
        <v>173.1</v>
      </c>
      <c r="P1172" s="1">
        <f t="shared" si="532"/>
        <v>0</v>
      </c>
      <c r="Q1172" s="1" t="str">
        <f t="shared" si="529"/>
        <v/>
      </c>
      <c r="R1172" s="1" t="str">
        <f t="shared" si="533"/>
        <v/>
      </c>
      <c r="S1172" s="1">
        <f t="shared" si="534"/>
        <v>630.90240000000244</v>
      </c>
      <c r="T1172" s="1">
        <f t="shared" si="535"/>
        <v>0</v>
      </c>
      <c r="U1172" s="1">
        <f t="shared" si="536"/>
        <v>0</v>
      </c>
      <c r="V1172" s="1">
        <f t="shared" si="537"/>
        <v>0</v>
      </c>
    </row>
    <row r="1173" spans="2:22" x14ac:dyDescent="0.25">
      <c r="B1173" s="2"/>
      <c r="C1173" s="2"/>
      <c r="D1173" s="2"/>
      <c r="E1173" s="4"/>
      <c r="F1173" s="2"/>
      <c r="G1173" s="2"/>
      <c r="H1173" s="2"/>
      <c r="I1173" s="4"/>
      <c r="J1173" s="2"/>
      <c r="K1173" s="2"/>
      <c r="M1173" s="4">
        <f t="shared" si="530"/>
        <v>173.1</v>
      </c>
      <c r="N1173" s="4"/>
      <c r="O1173" s="1">
        <f t="shared" si="531"/>
        <v>173.1</v>
      </c>
      <c r="P1173" s="1">
        <f t="shared" si="532"/>
        <v>0</v>
      </c>
      <c r="Q1173" s="1" t="str">
        <f t="shared" si="529"/>
        <v/>
      </c>
      <c r="R1173" s="1" t="str">
        <f t="shared" si="533"/>
        <v/>
      </c>
      <c r="S1173" s="1">
        <f t="shared" si="534"/>
        <v>630.90240000000244</v>
      </c>
      <c r="T1173" s="1">
        <f t="shared" si="535"/>
        <v>0</v>
      </c>
      <c r="U1173" s="1">
        <f t="shared" si="536"/>
        <v>0</v>
      </c>
      <c r="V1173" s="1">
        <f t="shared" si="537"/>
        <v>0</v>
      </c>
    </row>
    <row r="1174" spans="2:22" x14ac:dyDescent="0.25">
      <c r="B1174" s="2"/>
      <c r="C1174" s="2"/>
      <c r="D1174" s="2"/>
      <c r="E1174" s="4"/>
      <c r="F1174" s="2"/>
      <c r="G1174" s="2"/>
      <c r="H1174" s="2"/>
      <c r="I1174" s="4"/>
      <c r="J1174" s="2"/>
      <c r="K1174" s="2"/>
      <c r="M1174" s="4">
        <f t="shared" si="530"/>
        <v>173.1</v>
      </c>
      <c r="N1174" s="4"/>
      <c r="O1174" s="1">
        <f t="shared" si="531"/>
        <v>173.1</v>
      </c>
      <c r="P1174" s="1">
        <f t="shared" si="532"/>
        <v>0</v>
      </c>
      <c r="Q1174" s="1" t="str">
        <f t="shared" si="529"/>
        <v/>
      </c>
      <c r="R1174" s="1" t="str">
        <f t="shared" si="533"/>
        <v/>
      </c>
      <c r="S1174" s="1">
        <f t="shared" si="534"/>
        <v>630.90240000000244</v>
      </c>
      <c r="T1174" s="1">
        <f t="shared" si="535"/>
        <v>0</v>
      </c>
      <c r="U1174" s="1">
        <f t="shared" si="536"/>
        <v>0</v>
      </c>
      <c r="V1174" s="1">
        <f t="shared" si="537"/>
        <v>0</v>
      </c>
    </row>
    <row r="1175" spans="2:22" x14ac:dyDescent="0.25">
      <c r="B1175" s="2"/>
      <c r="C1175" s="2"/>
      <c r="D1175" s="2"/>
      <c r="E1175" s="4"/>
      <c r="F1175" s="2"/>
      <c r="G1175" s="2"/>
      <c r="H1175" s="2"/>
      <c r="I1175" s="4"/>
      <c r="J1175" s="2"/>
      <c r="K1175" s="2"/>
      <c r="M1175" s="4">
        <f t="shared" si="530"/>
        <v>173.1</v>
      </c>
      <c r="N1175" s="4"/>
      <c r="O1175" s="1">
        <f t="shared" si="531"/>
        <v>173.1</v>
      </c>
      <c r="P1175" s="1">
        <f t="shared" si="532"/>
        <v>0</v>
      </c>
      <c r="Q1175" s="1" t="str">
        <f t="shared" si="529"/>
        <v/>
      </c>
      <c r="R1175" s="1" t="str">
        <f t="shared" si="533"/>
        <v/>
      </c>
      <c r="S1175" s="1">
        <f t="shared" si="534"/>
        <v>630.90240000000244</v>
      </c>
      <c r="T1175" s="1">
        <f t="shared" si="535"/>
        <v>0</v>
      </c>
      <c r="U1175" s="1">
        <f t="shared" si="536"/>
        <v>0</v>
      </c>
      <c r="V1175" s="1">
        <f t="shared" si="537"/>
        <v>0</v>
      </c>
    </row>
    <row r="1176" spans="2:22" x14ac:dyDescent="0.25">
      <c r="B1176" s="2"/>
      <c r="C1176" s="2"/>
      <c r="D1176" s="2"/>
      <c r="E1176" s="4"/>
      <c r="F1176" s="2"/>
      <c r="G1176" s="2"/>
      <c r="H1176" s="2"/>
      <c r="I1176" s="4"/>
      <c r="J1176" s="2"/>
      <c r="K1176" s="2"/>
      <c r="M1176" s="4">
        <f t="shared" si="530"/>
        <v>173.1</v>
      </c>
      <c r="N1176" s="4"/>
      <c r="O1176" s="1">
        <f t="shared" si="531"/>
        <v>173.1</v>
      </c>
      <c r="P1176" s="1">
        <f t="shared" si="532"/>
        <v>0</v>
      </c>
      <c r="Q1176" s="1" t="str">
        <f t="shared" si="529"/>
        <v/>
      </c>
      <c r="R1176" s="1" t="str">
        <f t="shared" si="533"/>
        <v/>
      </c>
      <c r="S1176" s="1">
        <f t="shared" si="534"/>
        <v>630.90240000000244</v>
      </c>
      <c r="T1176" s="1">
        <f t="shared" si="535"/>
        <v>0</v>
      </c>
      <c r="U1176" s="1">
        <f t="shared" si="536"/>
        <v>0</v>
      </c>
      <c r="V1176" s="1">
        <f t="shared" si="537"/>
        <v>0</v>
      </c>
    </row>
    <row r="1177" spans="2:22" x14ac:dyDescent="0.25">
      <c r="B1177" s="2"/>
      <c r="C1177" s="2"/>
      <c r="D1177" s="2"/>
      <c r="E1177" s="4"/>
      <c r="F1177" s="2"/>
      <c r="G1177" s="2"/>
      <c r="H1177" s="2"/>
      <c r="I1177" s="4"/>
      <c r="J1177" s="2"/>
      <c r="K1177" s="2"/>
      <c r="M1177" s="4">
        <f t="shared" si="530"/>
        <v>173.1</v>
      </c>
      <c r="N1177" s="4"/>
      <c r="O1177" s="1">
        <f t="shared" si="531"/>
        <v>173.1</v>
      </c>
      <c r="P1177" s="1">
        <f t="shared" si="532"/>
        <v>0</v>
      </c>
      <c r="Q1177" s="1" t="str">
        <f t="shared" si="529"/>
        <v/>
      </c>
      <c r="R1177" s="1" t="str">
        <f t="shared" si="533"/>
        <v/>
      </c>
      <c r="S1177" s="1">
        <f t="shared" si="534"/>
        <v>630.90240000000244</v>
      </c>
      <c r="T1177" s="1">
        <f t="shared" si="535"/>
        <v>0</v>
      </c>
      <c r="U1177" s="1">
        <f t="shared" si="536"/>
        <v>0</v>
      </c>
      <c r="V1177" s="1">
        <f t="shared" si="537"/>
        <v>0</v>
      </c>
    </row>
    <row r="1178" spans="2:22" x14ac:dyDescent="0.25">
      <c r="B1178" s="2"/>
      <c r="C1178" s="2"/>
      <c r="D1178" s="2"/>
      <c r="E1178" s="4"/>
      <c r="F1178" s="2"/>
      <c r="G1178" s="2"/>
      <c r="H1178" s="2"/>
      <c r="I1178" s="4"/>
      <c r="J1178" s="2"/>
      <c r="K1178" s="2"/>
      <c r="M1178" s="4">
        <f t="shared" si="530"/>
        <v>173.1</v>
      </c>
      <c r="N1178" s="4"/>
      <c r="O1178" s="1">
        <f t="shared" si="531"/>
        <v>173.1</v>
      </c>
      <c r="P1178" s="1">
        <f t="shared" si="532"/>
        <v>0</v>
      </c>
      <c r="Q1178" s="1" t="str">
        <f t="shared" si="529"/>
        <v/>
      </c>
      <c r="R1178" s="1" t="str">
        <f t="shared" si="533"/>
        <v/>
      </c>
      <c r="S1178" s="1">
        <f t="shared" si="534"/>
        <v>630.90240000000244</v>
      </c>
      <c r="T1178" s="1">
        <f t="shared" si="535"/>
        <v>0</v>
      </c>
      <c r="U1178" s="1">
        <f t="shared" si="536"/>
        <v>0</v>
      </c>
      <c r="V1178" s="1">
        <f t="shared" si="537"/>
        <v>0</v>
      </c>
    </row>
    <row r="1179" spans="2:22" x14ac:dyDescent="0.25">
      <c r="B1179" s="2"/>
      <c r="C1179" s="2"/>
      <c r="D1179" s="2"/>
      <c r="E1179" s="4"/>
      <c r="F1179" s="2"/>
      <c r="G1179" s="2"/>
      <c r="H1179" s="2"/>
      <c r="I1179" s="4"/>
      <c r="J1179" s="2"/>
      <c r="K1179" s="2"/>
      <c r="M1179" s="4">
        <f t="shared" si="530"/>
        <v>173.1</v>
      </c>
      <c r="N1179" s="4"/>
      <c r="O1179" s="1">
        <f t="shared" si="531"/>
        <v>173.1</v>
      </c>
      <c r="P1179" s="1">
        <f t="shared" si="532"/>
        <v>0</v>
      </c>
      <c r="Q1179" s="1" t="str">
        <f t="shared" si="529"/>
        <v/>
      </c>
      <c r="R1179" s="1" t="str">
        <f t="shared" si="533"/>
        <v/>
      </c>
      <c r="S1179" s="1">
        <f t="shared" si="534"/>
        <v>630.90240000000244</v>
      </c>
      <c r="T1179" s="1">
        <f t="shared" si="535"/>
        <v>0</v>
      </c>
      <c r="U1179" s="1">
        <f t="shared" si="536"/>
        <v>0</v>
      </c>
      <c r="V1179" s="1">
        <f t="shared" si="537"/>
        <v>0</v>
      </c>
    </row>
    <row r="1180" spans="2:22" x14ac:dyDescent="0.25">
      <c r="B1180" s="2"/>
      <c r="C1180" s="2"/>
      <c r="D1180" s="2"/>
      <c r="E1180" s="4"/>
      <c r="F1180" s="2"/>
      <c r="G1180" s="2"/>
      <c r="H1180" s="2"/>
      <c r="I1180" s="4"/>
      <c r="J1180" s="2"/>
      <c r="K1180" s="2"/>
      <c r="M1180" s="4">
        <f t="shared" si="530"/>
        <v>173.1</v>
      </c>
      <c r="N1180" s="4"/>
      <c r="O1180" s="1">
        <f t="shared" si="531"/>
        <v>173.1</v>
      </c>
      <c r="P1180" s="1">
        <f t="shared" si="532"/>
        <v>0</v>
      </c>
      <c r="Q1180" s="1" t="str">
        <f t="shared" si="529"/>
        <v/>
      </c>
      <c r="R1180" s="1" t="str">
        <f t="shared" si="533"/>
        <v/>
      </c>
      <c r="S1180" s="1">
        <f t="shared" si="534"/>
        <v>630.90240000000244</v>
      </c>
      <c r="T1180" s="1">
        <f t="shared" si="535"/>
        <v>0</v>
      </c>
      <c r="U1180" s="1">
        <f t="shared" si="536"/>
        <v>0</v>
      </c>
      <c r="V1180" s="1">
        <f t="shared" si="537"/>
        <v>0</v>
      </c>
    </row>
    <row r="1181" spans="2:22" x14ac:dyDescent="0.25">
      <c r="B1181" s="2"/>
      <c r="C1181" s="2"/>
      <c r="D1181" s="2"/>
      <c r="E1181" s="4"/>
      <c r="F1181" s="2"/>
      <c r="G1181" s="2"/>
      <c r="H1181" s="2"/>
      <c r="I1181" s="4"/>
      <c r="J1181" s="2"/>
      <c r="K1181" s="2"/>
      <c r="M1181" s="4">
        <f t="shared" si="530"/>
        <v>173.1</v>
      </c>
      <c r="N1181" s="4"/>
      <c r="O1181" s="1">
        <f t="shared" si="531"/>
        <v>173.1</v>
      </c>
      <c r="P1181" s="1">
        <f t="shared" si="532"/>
        <v>0</v>
      </c>
      <c r="Q1181" s="1" t="str">
        <f t="shared" si="529"/>
        <v/>
      </c>
      <c r="R1181" s="1" t="str">
        <f t="shared" si="533"/>
        <v/>
      </c>
      <c r="S1181" s="1">
        <f t="shared" si="534"/>
        <v>630.90240000000244</v>
      </c>
      <c r="T1181" s="1">
        <f t="shared" si="535"/>
        <v>0</v>
      </c>
      <c r="U1181" s="1">
        <f t="shared" si="536"/>
        <v>0</v>
      </c>
      <c r="V1181" s="1">
        <f t="shared" si="537"/>
        <v>0</v>
      </c>
    </row>
    <row r="1182" spans="2:22" x14ac:dyDescent="0.25">
      <c r="B1182" s="2"/>
      <c r="C1182" s="2"/>
      <c r="D1182" s="2"/>
      <c r="E1182" s="4"/>
      <c r="F1182" s="2"/>
      <c r="G1182" s="2"/>
      <c r="H1182" s="2"/>
      <c r="I1182" s="4"/>
      <c r="J1182" s="2"/>
      <c r="K1182" s="2"/>
      <c r="M1182" s="4">
        <f t="shared" si="530"/>
        <v>173.1</v>
      </c>
      <c r="N1182" s="4"/>
      <c r="O1182" s="1">
        <f t="shared" si="531"/>
        <v>173.1</v>
      </c>
      <c r="P1182" s="1">
        <f t="shared" si="532"/>
        <v>0</v>
      </c>
      <c r="Q1182" s="1" t="str">
        <f t="shared" si="529"/>
        <v/>
      </c>
      <c r="R1182" s="1" t="str">
        <f t="shared" si="533"/>
        <v/>
      </c>
      <c r="S1182" s="1">
        <f t="shared" si="534"/>
        <v>630.90240000000244</v>
      </c>
      <c r="T1182" s="1">
        <f t="shared" si="535"/>
        <v>0</v>
      </c>
      <c r="U1182" s="1">
        <f t="shared" si="536"/>
        <v>0</v>
      </c>
      <c r="V1182" s="1">
        <f t="shared" si="537"/>
        <v>0</v>
      </c>
    </row>
    <row r="1183" spans="2:22" x14ac:dyDescent="0.25">
      <c r="B1183" s="2"/>
      <c r="C1183" s="2"/>
      <c r="D1183" s="2"/>
      <c r="E1183" s="4"/>
      <c r="F1183" s="2"/>
      <c r="G1183" s="2"/>
      <c r="H1183" s="2"/>
      <c r="I1183" s="4"/>
      <c r="J1183" s="2"/>
      <c r="K1183" s="2"/>
      <c r="M1183" s="4">
        <f t="shared" si="530"/>
        <v>173.1</v>
      </c>
      <c r="N1183" s="4"/>
      <c r="O1183" s="1">
        <f t="shared" si="531"/>
        <v>173.1</v>
      </c>
      <c r="P1183" s="1">
        <f t="shared" si="532"/>
        <v>0</v>
      </c>
      <c r="Q1183" s="1" t="str">
        <f t="shared" si="529"/>
        <v/>
      </c>
      <c r="R1183" s="1" t="str">
        <f t="shared" si="533"/>
        <v/>
      </c>
      <c r="S1183" s="1">
        <f t="shared" si="534"/>
        <v>630.90240000000244</v>
      </c>
      <c r="T1183" s="1">
        <f t="shared" si="535"/>
        <v>0</v>
      </c>
      <c r="U1183" s="1">
        <f t="shared" si="536"/>
        <v>0</v>
      </c>
      <c r="V1183" s="1">
        <f t="shared" si="537"/>
        <v>0</v>
      </c>
    </row>
    <row r="1184" spans="2:22" x14ac:dyDescent="0.25">
      <c r="B1184" s="2"/>
      <c r="C1184" s="2"/>
      <c r="D1184" s="2"/>
      <c r="E1184" s="4"/>
      <c r="F1184" s="2"/>
      <c r="G1184" s="2"/>
      <c r="H1184" s="2"/>
      <c r="I1184" s="4"/>
      <c r="J1184" s="2"/>
      <c r="K1184" s="2"/>
      <c r="M1184" s="4">
        <f t="shared" si="530"/>
        <v>173.1</v>
      </c>
      <c r="N1184" s="4"/>
      <c r="O1184" s="1">
        <f t="shared" si="531"/>
        <v>173.1</v>
      </c>
      <c r="P1184" s="1">
        <f t="shared" si="532"/>
        <v>0</v>
      </c>
      <c r="Q1184" s="1" t="str">
        <f t="shared" si="529"/>
        <v/>
      </c>
      <c r="R1184" s="1" t="str">
        <f t="shared" si="533"/>
        <v/>
      </c>
      <c r="S1184" s="1">
        <f t="shared" si="534"/>
        <v>630.90240000000244</v>
      </c>
      <c r="T1184" s="1">
        <f t="shared" si="535"/>
        <v>0</v>
      </c>
      <c r="U1184" s="1">
        <f t="shared" si="536"/>
        <v>0</v>
      </c>
      <c r="V1184" s="1">
        <f t="shared" si="537"/>
        <v>0</v>
      </c>
    </row>
    <row r="1185" spans="2:22" x14ac:dyDescent="0.25">
      <c r="B1185" s="2"/>
      <c r="C1185" s="2"/>
      <c r="D1185" s="2"/>
      <c r="E1185" s="4"/>
      <c r="F1185" s="2"/>
      <c r="G1185" s="2"/>
      <c r="H1185" s="2"/>
      <c r="I1185" s="4"/>
      <c r="J1185" s="2"/>
      <c r="K1185" s="2"/>
      <c r="M1185" s="4">
        <f t="shared" si="530"/>
        <v>173.1</v>
      </c>
      <c r="N1185" s="4"/>
      <c r="O1185" s="1">
        <f t="shared" si="531"/>
        <v>173.1</v>
      </c>
      <c r="P1185" s="1">
        <f t="shared" si="532"/>
        <v>0</v>
      </c>
      <c r="Q1185" s="1" t="str">
        <f t="shared" si="529"/>
        <v/>
      </c>
      <c r="R1185" s="1" t="str">
        <f t="shared" si="533"/>
        <v/>
      </c>
      <c r="S1185" s="1">
        <f t="shared" si="534"/>
        <v>630.90240000000244</v>
      </c>
      <c r="T1185" s="1">
        <f t="shared" si="535"/>
        <v>0</v>
      </c>
      <c r="U1185" s="1">
        <f t="shared" si="536"/>
        <v>0</v>
      </c>
      <c r="V1185" s="1">
        <f t="shared" si="537"/>
        <v>0</v>
      </c>
    </row>
    <row r="1186" spans="2:22" x14ac:dyDescent="0.25">
      <c r="B1186" s="2"/>
      <c r="C1186" s="2"/>
      <c r="D1186" s="2"/>
      <c r="E1186" s="4"/>
      <c r="F1186" s="2"/>
      <c r="G1186" s="2"/>
      <c r="H1186" s="2"/>
      <c r="I1186" s="4"/>
      <c r="J1186" s="2"/>
      <c r="K1186" s="2"/>
      <c r="M1186" s="4">
        <f t="shared" si="530"/>
        <v>173.1</v>
      </c>
      <c r="N1186" s="4"/>
      <c r="O1186" s="1">
        <f t="shared" si="531"/>
        <v>173.1</v>
      </c>
      <c r="P1186" s="1">
        <f t="shared" si="532"/>
        <v>0</v>
      </c>
      <c r="Q1186" s="1" t="str">
        <f t="shared" si="529"/>
        <v/>
      </c>
      <c r="R1186" s="1" t="str">
        <f t="shared" si="533"/>
        <v/>
      </c>
      <c r="S1186" s="1">
        <f t="shared" si="534"/>
        <v>630.90240000000244</v>
      </c>
      <c r="T1186" s="1">
        <f t="shared" si="535"/>
        <v>0</v>
      </c>
      <c r="U1186" s="1">
        <f t="shared" si="536"/>
        <v>0</v>
      </c>
      <c r="V1186" s="1">
        <f t="shared" si="537"/>
        <v>0</v>
      </c>
    </row>
    <row r="1187" spans="2:22" x14ac:dyDescent="0.25">
      <c r="B1187" s="2"/>
      <c r="C1187" s="2"/>
      <c r="D1187" s="2"/>
      <c r="E1187" s="4"/>
      <c r="F1187" s="2"/>
      <c r="G1187" s="2"/>
      <c r="H1187" s="2"/>
      <c r="I1187" s="4"/>
      <c r="J1187" s="2"/>
      <c r="K1187" s="2"/>
      <c r="M1187" s="4">
        <f t="shared" si="530"/>
        <v>173.1</v>
      </c>
      <c r="N1187" s="4"/>
      <c r="O1187" s="1">
        <f t="shared" si="531"/>
        <v>173.1</v>
      </c>
      <c r="P1187" s="1">
        <f t="shared" si="532"/>
        <v>0</v>
      </c>
      <c r="Q1187" s="1" t="str">
        <f t="shared" si="529"/>
        <v/>
      </c>
      <c r="R1187" s="1" t="str">
        <f t="shared" si="533"/>
        <v/>
      </c>
      <c r="S1187" s="1">
        <f t="shared" si="534"/>
        <v>630.90240000000244</v>
      </c>
      <c r="T1187" s="1">
        <f t="shared" si="535"/>
        <v>0</v>
      </c>
      <c r="U1187" s="1">
        <f t="shared" si="536"/>
        <v>0</v>
      </c>
      <c r="V1187" s="1">
        <f t="shared" si="537"/>
        <v>0</v>
      </c>
    </row>
    <row r="1188" spans="2:22" x14ac:dyDescent="0.25">
      <c r="B1188" s="2"/>
      <c r="C1188" s="2"/>
      <c r="D1188" s="2"/>
      <c r="E1188" s="4"/>
      <c r="F1188" s="2"/>
      <c r="G1188" s="2"/>
      <c r="H1188" s="2"/>
      <c r="I1188" s="4"/>
      <c r="J1188" s="2"/>
      <c r="K1188" s="2"/>
      <c r="M1188" s="4">
        <f t="shared" si="530"/>
        <v>173.1</v>
      </c>
      <c r="N1188" s="4"/>
      <c r="O1188" s="1">
        <f t="shared" si="531"/>
        <v>173.1</v>
      </c>
      <c r="P1188" s="1">
        <f t="shared" si="532"/>
        <v>0</v>
      </c>
      <c r="Q1188" s="1" t="str">
        <f t="shared" si="529"/>
        <v/>
      </c>
      <c r="R1188" s="1" t="str">
        <f t="shared" si="533"/>
        <v/>
      </c>
      <c r="S1188" s="1">
        <f t="shared" si="534"/>
        <v>630.90240000000244</v>
      </c>
      <c r="T1188" s="1">
        <f t="shared" si="535"/>
        <v>0</v>
      </c>
      <c r="U1188" s="1">
        <f t="shared" si="536"/>
        <v>0</v>
      </c>
      <c r="V1188" s="1">
        <f t="shared" si="537"/>
        <v>0</v>
      </c>
    </row>
    <row r="1189" spans="2:22" x14ac:dyDescent="0.25">
      <c r="B1189" s="2"/>
      <c r="C1189" s="2"/>
      <c r="D1189" s="2"/>
      <c r="E1189" s="4"/>
      <c r="F1189" s="2"/>
      <c r="G1189" s="2"/>
      <c r="H1189" s="2"/>
      <c r="I1189" s="4"/>
      <c r="J1189" s="2"/>
      <c r="K1189" s="2"/>
      <c r="M1189" s="4">
        <f t="shared" si="530"/>
        <v>173.1</v>
      </c>
      <c r="N1189" s="4"/>
      <c r="O1189" s="1">
        <f t="shared" si="531"/>
        <v>173.1</v>
      </c>
      <c r="P1189" s="1">
        <f t="shared" si="532"/>
        <v>0</v>
      </c>
      <c r="Q1189" s="1" t="str">
        <f t="shared" si="529"/>
        <v/>
      </c>
      <c r="R1189" s="1" t="str">
        <f t="shared" si="533"/>
        <v/>
      </c>
      <c r="S1189" s="1">
        <f t="shared" si="534"/>
        <v>630.90240000000244</v>
      </c>
      <c r="T1189" s="1">
        <f t="shared" si="535"/>
        <v>0</v>
      </c>
      <c r="U1189" s="1">
        <f t="shared" si="536"/>
        <v>0</v>
      </c>
      <c r="V1189" s="1">
        <f t="shared" si="537"/>
        <v>0</v>
      </c>
    </row>
    <row r="1190" spans="2:22" x14ac:dyDescent="0.25">
      <c r="B1190" s="2"/>
      <c r="C1190" s="2"/>
      <c r="D1190" s="2"/>
      <c r="E1190" s="4"/>
      <c r="F1190" s="2"/>
      <c r="G1190" s="2"/>
      <c r="H1190" s="2"/>
      <c r="I1190" s="4"/>
      <c r="J1190" s="2"/>
      <c r="K1190" s="2"/>
      <c r="M1190" s="4">
        <f t="shared" si="530"/>
        <v>173.1</v>
      </c>
      <c r="N1190" s="4"/>
      <c r="O1190" s="1">
        <f t="shared" si="531"/>
        <v>173.1</v>
      </c>
      <c r="P1190" s="1">
        <f t="shared" si="532"/>
        <v>0</v>
      </c>
      <c r="Q1190" s="1" t="str">
        <f t="shared" si="529"/>
        <v/>
      </c>
      <c r="R1190" s="1" t="str">
        <f t="shared" si="533"/>
        <v/>
      </c>
      <c r="S1190" s="1">
        <f t="shared" si="534"/>
        <v>630.90240000000244</v>
      </c>
      <c r="T1190" s="1">
        <f t="shared" si="535"/>
        <v>0</v>
      </c>
      <c r="U1190" s="1">
        <f t="shared" si="536"/>
        <v>0</v>
      </c>
      <c r="V1190" s="1">
        <f t="shared" si="537"/>
        <v>0</v>
      </c>
    </row>
    <row r="1191" spans="2:22" x14ac:dyDescent="0.25">
      <c r="B1191" s="2"/>
      <c r="C1191" s="2"/>
      <c r="D1191" s="2"/>
      <c r="E1191" s="4"/>
      <c r="F1191" s="2"/>
      <c r="G1191" s="2"/>
      <c r="H1191" s="2"/>
      <c r="I1191" s="4"/>
      <c r="J1191" s="2"/>
      <c r="K1191" s="2"/>
      <c r="M1191" s="4">
        <f t="shared" si="530"/>
        <v>173.1</v>
      </c>
      <c r="N1191" s="4"/>
      <c r="O1191" s="1">
        <f t="shared" si="531"/>
        <v>173.1</v>
      </c>
      <c r="P1191" s="1">
        <f t="shared" si="532"/>
        <v>0</v>
      </c>
      <c r="Q1191" s="1" t="str">
        <f t="shared" si="529"/>
        <v/>
      </c>
      <c r="R1191" s="1" t="str">
        <f t="shared" si="533"/>
        <v/>
      </c>
      <c r="S1191" s="1">
        <f t="shared" si="534"/>
        <v>630.90240000000244</v>
      </c>
      <c r="T1191" s="1">
        <f t="shared" si="535"/>
        <v>0</v>
      </c>
      <c r="U1191" s="1">
        <f t="shared" si="536"/>
        <v>0</v>
      </c>
      <c r="V1191" s="1">
        <f t="shared" si="537"/>
        <v>0</v>
      </c>
    </row>
    <row r="1192" spans="2:22" x14ac:dyDescent="0.25">
      <c r="B1192" s="2"/>
      <c r="C1192" s="2"/>
      <c r="D1192" s="2"/>
      <c r="E1192" s="4"/>
      <c r="F1192" s="2"/>
      <c r="G1192" s="2"/>
      <c r="H1192" s="2"/>
      <c r="I1192" s="4"/>
      <c r="J1192" s="2"/>
      <c r="K1192" s="2"/>
      <c r="M1192" s="4">
        <f t="shared" si="530"/>
        <v>173.1</v>
      </c>
      <c r="N1192" s="4"/>
      <c r="O1192" s="1">
        <f t="shared" si="531"/>
        <v>173.1</v>
      </c>
      <c r="P1192" s="1">
        <f t="shared" si="532"/>
        <v>0</v>
      </c>
      <c r="Q1192" s="1" t="str">
        <f t="shared" si="529"/>
        <v/>
      </c>
      <c r="R1192" s="1" t="str">
        <f t="shared" si="533"/>
        <v/>
      </c>
      <c r="S1192" s="1">
        <f t="shared" si="534"/>
        <v>630.90240000000244</v>
      </c>
      <c r="T1192" s="1">
        <f t="shared" si="535"/>
        <v>0</v>
      </c>
      <c r="U1192" s="1">
        <f t="shared" si="536"/>
        <v>0</v>
      </c>
      <c r="V1192" s="1">
        <f t="shared" si="537"/>
        <v>0</v>
      </c>
    </row>
    <row r="1193" spans="2:22" x14ac:dyDescent="0.25">
      <c r="B1193" s="2"/>
      <c r="C1193" s="2"/>
      <c r="D1193" s="2"/>
      <c r="E1193" s="4"/>
      <c r="F1193" s="2"/>
      <c r="G1193" s="2"/>
      <c r="H1193" s="2"/>
      <c r="I1193" s="4"/>
      <c r="J1193" s="2"/>
      <c r="K1193" s="2"/>
      <c r="M1193" s="4">
        <f t="shared" si="530"/>
        <v>173.1</v>
      </c>
      <c r="N1193" s="4"/>
      <c r="O1193" s="1">
        <f t="shared" si="531"/>
        <v>173.1</v>
      </c>
      <c r="P1193" s="1">
        <f t="shared" si="532"/>
        <v>0</v>
      </c>
      <c r="Q1193" s="1" t="str">
        <f t="shared" si="529"/>
        <v/>
      </c>
      <c r="R1193" s="1" t="str">
        <f t="shared" si="533"/>
        <v/>
      </c>
      <c r="S1193" s="1">
        <f t="shared" si="534"/>
        <v>630.90240000000244</v>
      </c>
      <c r="T1193" s="1">
        <f t="shared" si="535"/>
        <v>0</v>
      </c>
      <c r="U1193" s="1">
        <f t="shared" si="536"/>
        <v>0</v>
      </c>
      <c r="V1193" s="1">
        <f t="shared" si="537"/>
        <v>0</v>
      </c>
    </row>
    <row r="1194" spans="2:22" x14ac:dyDescent="0.25">
      <c r="B1194" s="2"/>
      <c r="C1194" s="2"/>
      <c r="D1194" s="2"/>
      <c r="E1194" s="4"/>
      <c r="F1194" s="2"/>
      <c r="G1194" s="2"/>
      <c r="H1194" s="2"/>
      <c r="I1194" s="4"/>
      <c r="J1194" s="2"/>
      <c r="K1194" s="2"/>
      <c r="M1194" s="4">
        <f t="shared" si="530"/>
        <v>173.1</v>
      </c>
      <c r="N1194" s="4"/>
      <c r="O1194" s="1">
        <f t="shared" si="531"/>
        <v>173.1</v>
      </c>
      <c r="P1194" s="1">
        <f t="shared" si="532"/>
        <v>0</v>
      </c>
      <c r="Q1194" s="1" t="str">
        <f t="shared" si="529"/>
        <v/>
      </c>
      <c r="R1194" s="1" t="str">
        <f t="shared" si="533"/>
        <v/>
      </c>
      <c r="S1194" s="1">
        <f t="shared" si="534"/>
        <v>630.90240000000244</v>
      </c>
      <c r="T1194" s="1">
        <f t="shared" si="535"/>
        <v>0</v>
      </c>
      <c r="U1194" s="1">
        <f t="shared" si="536"/>
        <v>0</v>
      </c>
      <c r="V1194" s="1">
        <f t="shared" si="537"/>
        <v>0</v>
      </c>
    </row>
    <row r="1195" spans="2:22" x14ac:dyDescent="0.25">
      <c r="B1195" s="2"/>
      <c r="C1195" s="2"/>
      <c r="D1195" s="2"/>
      <c r="E1195" s="4"/>
      <c r="F1195" s="2"/>
      <c r="G1195" s="2"/>
      <c r="H1195" s="2"/>
      <c r="I1195" s="4"/>
      <c r="J1195" s="2"/>
      <c r="K1195" s="2"/>
      <c r="M1195" s="4">
        <f t="shared" si="530"/>
        <v>173.1</v>
      </c>
      <c r="N1195" s="4"/>
      <c r="O1195" s="1">
        <f t="shared" si="531"/>
        <v>173.1</v>
      </c>
      <c r="P1195" s="1">
        <f t="shared" si="532"/>
        <v>0</v>
      </c>
      <c r="Q1195" s="1" t="str">
        <f t="shared" si="529"/>
        <v/>
      </c>
      <c r="R1195" s="1" t="str">
        <f t="shared" si="533"/>
        <v/>
      </c>
      <c r="S1195" s="1">
        <f t="shared" si="534"/>
        <v>630.90240000000244</v>
      </c>
      <c r="T1195" s="1">
        <f t="shared" si="535"/>
        <v>0</v>
      </c>
      <c r="U1195" s="1">
        <f t="shared" si="536"/>
        <v>0</v>
      </c>
      <c r="V1195" s="1">
        <f t="shared" si="537"/>
        <v>0</v>
      </c>
    </row>
    <row r="1196" spans="2:22" x14ac:dyDescent="0.25">
      <c r="B1196" s="2"/>
      <c r="C1196" s="2"/>
      <c r="D1196" s="2"/>
      <c r="E1196" s="4"/>
      <c r="F1196" s="2"/>
      <c r="G1196" s="2"/>
      <c r="H1196" s="2"/>
      <c r="I1196" s="4"/>
      <c r="J1196" s="2"/>
      <c r="K1196" s="2"/>
      <c r="M1196" s="4">
        <f t="shared" si="530"/>
        <v>173.1</v>
      </c>
      <c r="N1196" s="4"/>
      <c r="O1196" s="1">
        <f t="shared" si="531"/>
        <v>173.1</v>
      </c>
      <c r="P1196" s="1">
        <f t="shared" si="532"/>
        <v>0</v>
      </c>
      <c r="Q1196" s="1" t="str">
        <f t="shared" si="529"/>
        <v/>
      </c>
      <c r="R1196" s="1" t="str">
        <f t="shared" si="533"/>
        <v/>
      </c>
      <c r="S1196" s="1">
        <f t="shared" si="534"/>
        <v>630.90240000000244</v>
      </c>
      <c r="T1196" s="1">
        <f t="shared" si="535"/>
        <v>0</v>
      </c>
      <c r="U1196" s="1">
        <f t="shared" si="536"/>
        <v>0</v>
      </c>
      <c r="V1196" s="1">
        <f t="shared" si="537"/>
        <v>0</v>
      </c>
    </row>
    <row r="1197" spans="2:22" x14ac:dyDescent="0.25">
      <c r="B1197" s="2"/>
      <c r="C1197" s="2"/>
      <c r="D1197" s="2"/>
      <c r="E1197" s="4"/>
      <c r="F1197" s="2"/>
      <c r="G1197" s="2"/>
      <c r="H1197" s="2"/>
      <c r="I1197" s="4"/>
      <c r="J1197" s="2"/>
      <c r="K1197" s="2"/>
      <c r="M1197" s="4">
        <f t="shared" si="530"/>
        <v>173.1</v>
      </c>
      <c r="N1197" s="4"/>
      <c r="O1197" s="1">
        <f t="shared" si="531"/>
        <v>173.1</v>
      </c>
      <c r="P1197" s="1">
        <f t="shared" si="532"/>
        <v>0</v>
      </c>
      <c r="Q1197" s="1" t="str">
        <f t="shared" si="529"/>
        <v/>
      </c>
      <c r="R1197" s="1" t="str">
        <f t="shared" si="533"/>
        <v/>
      </c>
      <c r="S1197" s="1">
        <f t="shared" si="534"/>
        <v>630.90240000000244</v>
      </c>
      <c r="T1197" s="1">
        <f t="shared" si="535"/>
        <v>0</v>
      </c>
      <c r="U1197" s="1">
        <f t="shared" si="536"/>
        <v>0</v>
      </c>
      <c r="V1197" s="1">
        <f t="shared" si="537"/>
        <v>0</v>
      </c>
    </row>
    <row r="1198" spans="2:22" x14ac:dyDescent="0.25">
      <c r="B1198" s="2"/>
      <c r="C1198" s="2"/>
      <c r="D1198" s="2"/>
      <c r="E1198" s="4"/>
      <c r="F1198" s="2"/>
      <c r="G1198" s="2"/>
      <c r="H1198" s="2"/>
      <c r="I1198" s="4"/>
      <c r="J1198" s="2"/>
      <c r="K1198" s="2"/>
      <c r="M1198" s="4">
        <f t="shared" si="530"/>
        <v>173.1</v>
      </c>
      <c r="N1198" s="4"/>
      <c r="O1198" s="1">
        <f t="shared" si="531"/>
        <v>173.1</v>
      </c>
      <c r="P1198" s="1">
        <f t="shared" si="532"/>
        <v>0</v>
      </c>
      <c r="Q1198" s="1" t="str">
        <f t="shared" si="529"/>
        <v/>
      </c>
      <c r="R1198" s="1" t="str">
        <f t="shared" si="533"/>
        <v/>
      </c>
      <c r="S1198" s="1">
        <f t="shared" si="534"/>
        <v>630.90240000000244</v>
      </c>
      <c r="T1198" s="1">
        <f t="shared" si="535"/>
        <v>0</v>
      </c>
      <c r="U1198" s="1">
        <f t="shared" si="536"/>
        <v>0</v>
      </c>
      <c r="V1198" s="1">
        <f t="shared" si="537"/>
        <v>0</v>
      </c>
    </row>
    <row r="1199" spans="2:22" x14ac:dyDescent="0.25">
      <c r="B1199" s="2"/>
      <c r="C1199" s="2"/>
      <c r="D1199" s="2"/>
      <c r="E1199" s="4"/>
      <c r="F1199" s="2"/>
      <c r="G1199" s="2"/>
      <c r="H1199" s="2"/>
      <c r="I1199" s="4"/>
      <c r="J1199" s="2"/>
      <c r="K1199" s="2"/>
      <c r="M1199" s="4">
        <f t="shared" si="530"/>
        <v>173.1</v>
      </c>
      <c r="N1199" s="4"/>
      <c r="O1199" s="1">
        <f t="shared" si="531"/>
        <v>173.1</v>
      </c>
      <c r="P1199" s="1">
        <f t="shared" si="532"/>
        <v>0</v>
      </c>
      <c r="Q1199" s="1" t="str">
        <f t="shared" si="529"/>
        <v/>
      </c>
      <c r="R1199" s="1" t="str">
        <f t="shared" si="533"/>
        <v/>
      </c>
      <c r="S1199" s="1">
        <f t="shared" si="534"/>
        <v>630.90240000000244</v>
      </c>
      <c r="T1199" s="1">
        <f t="shared" si="535"/>
        <v>0</v>
      </c>
      <c r="U1199" s="1">
        <f t="shared" si="536"/>
        <v>0</v>
      </c>
      <c r="V1199" s="1">
        <f t="shared" si="537"/>
        <v>0</v>
      </c>
    </row>
    <row r="1200" spans="2:22" x14ac:dyDescent="0.25">
      <c r="B1200" s="2"/>
      <c r="C1200" s="2"/>
      <c r="D1200" s="2"/>
      <c r="E1200" s="4"/>
      <c r="F1200" s="2"/>
      <c r="G1200" s="2"/>
      <c r="H1200" s="2"/>
      <c r="I1200" s="4"/>
      <c r="J1200" s="2"/>
      <c r="K1200" s="2"/>
      <c r="M1200" s="4">
        <f t="shared" si="530"/>
        <v>173.1</v>
      </c>
      <c r="N1200" s="4"/>
      <c r="O1200" s="1">
        <f t="shared" si="531"/>
        <v>173.1</v>
      </c>
      <c r="P1200" s="1">
        <f t="shared" si="532"/>
        <v>0</v>
      </c>
      <c r="Q1200" s="1" t="str">
        <f t="shared" si="529"/>
        <v/>
      </c>
      <c r="R1200" s="1" t="str">
        <f t="shared" si="533"/>
        <v/>
      </c>
      <c r="S1200" s="1">
        <f t="shared" si="534"/>
        <v>630.90240000000244</v>
      </c>
      <c r="T1200" s="1">
        <f t="shared" si="535"/>
        <v>0</v>
      </c>
      <c r="U1200" s="1">
        <f t="shared" si="536"/>
        <v>0</v>
      </c>
      <c r="V1200" s="1">
        <f t="shared" si="537"/>
        <v>0</v>
      </c>
    </row>
    <row r="1201" spans="2:22" x14ac:dyDescent="0.25">
      <c r="B1201" s="2"/>
      <c r="C1201" s="2"/>
      <c r="D1201" s="2"/>
      <c r="E1201" s="4"/>
      <c r="F1201" s="2"/>
      <c r="G1201" s="2"/>
      <c r="H1201" s="2"/>
      <c r="I1201" s="4"/>
      <c r="J1201" s="2"/>
      <c r="K1201" s="2"/>
      <c r="M1201" s="4">
        <f t="shared" si="530"/>
        <v>173.1</v>
      </c>
      <c r="N1201" s="4"/>
      <c r="O1201" s="1">
        <f t="shared" si="531"/>
        <v>173.1</v>
      </c>
      <c r="P1201" s="1">
        <f t="shared" si="532"/>
        <v>0</v>
      </c>
      <c r="Q1201" s="1" t="str">
        <f t="shared" si="529"/>
        <v/>
      </c>
      <c r="R1201" s="1" t="str">
        <f t="shared" si="533"/>
        <v/>
      </c>
      <c r="S1201" s="1">
        <f t="shared" si="534"/>
        <v>630.90240000000244</v>
      </c>
      <c r="T1201" s="1">
        <f t="shared" si="535"/>
        <v>0</v>
      </c>
      <c r="U1201" s="1">
        <f t="shared" si="536"/>
        <v>0</v>
      </c>
      <c r="V1201" s="1">
        <f t="shared" si="537"/>
        <v>0</v>
      </c>
    </row>
    <row r="1202" spans="2:22" x14ac:dyDescent="0.25">
      <c r="B1202" s="2"/>
      <c r="C1202" s="2"/>
      <c r="D1202" s="2"/>
      <c r="E1202" s="4"/>
      <c r="F1202" s="2"/>
      <c r="G1202" s="2"/>
      <c r="H1202" s="2"/>
      <c r="I1202" s="4"/>
      <c r="J1202" s="2"/>
      <c r="K1202" s="2"/>
      <c r="M1202" s="4">
        <f t="shared" si="530"/>
        <v>173.1</v>
      </c>
      <c r="N1202" s="4"/>
      <c r="O1202" s="1">
        <f t="shared" si="531"/>
        <v>173.1</v>
      </c>
      <c r="P1202" s="1">
        <f t="shared" si="532"/>
        <v>0</v>
      </c>
      <c r="Q1202" s="1" t="str">
        <f t="shared" ref="Q1202:Q1265" si="538">IF(H1202&lt;&gt;"",IF(H1202=H1201,"",H1202),IF(H1200="","",MAX(H1201,Q1201)))</f>
        <v/>
      </c>
      <c r="R1202" s="1" t="str">
        <f t="shared" si="533"/>
        <v/>
      </c>
      <c r="S1202" s="1">
        <f t="shared" si="534"/>
        <v>630.90240000000244</v>
      </c>
      <c r="T1202" s="1">
        <f t="shared" si="535"/>
        <v>0</v>
      </c>
      <c r="U1202" s="1">
        <f t="shared" si="536"/>
        <v>0</v>
      </c>
      <c r="V1202" s="1">
        <f t="shared" si="537"/>
        <v>0</v>
      </c>
    </row>
    <row r="1203" spans="2:22" x14ac:dyDescent="0.25">
      <c r="B1203" s="2"/>
      <c r="C1203" s="2"/>
      <c r="D1203" s="2"/>
      <c r="E1203" s="4"/>
      <c r="F1203" s="2"/>
      <c r="G1203" s="2"/>
      <c r="H1203" s="2"/>
      <c r="I1203" s="4"/>
      <c r="J1203" s="2"/>
      <c r="K1203" s="2"/>
      <c r="M1203" s="4">
        <f t="shared" si="530"/>
        <v>173.1</v>
      </c>
      <c r="N1203" s="4"/>
      <c r="O1203" s="1">
        <f t="shared" si="531"/>
        <v>173.1</v>
      </c>
      <c r="P1203" s="1">
        <f t="shared" si="532"/>
        <v>0</v>
      </c>
      <c r="Q1203" s="1" t="str">
        <f t="shared" si="538"/>
        <v/>
      </c>
      <c r="R1203" s="1" t="str">
        <f t="shared" si="533"/>
        <v/>
      </c>
      <c r="S1203" s="1">
        <f t="shared" si="534"/>
        <v>630.90240000000244</v>
      </c>
      <c r="T1203" s="1">
        <f t="shared" si="535"/>
        <v>0</v>
      </c>
      <c r="U1203" s="1">
        <f t="shared" si="536"/>
        <v>0</v>
      </c>
      <c r="V1203" s="1">
        <f t="shared" si="537"/>
        <v>0</v>
      </c>
    </row>
    <row r="1204" spans="2:22" x14ac:dyDescent="0.25">
      <c r="B1204" s="2"/>
      <c r="C1204" s="2"/>
      <c r="D1204" s="2"/>
      <c r="E1204" s="4"/>
      <c r="F1204" s="2"/>
      <c r="G1204" s="2"/>
      <c r="H1204" s="2"/>
      <c r="I1204" s="4"/>
      <c r="J1204" s="2"/>
      <c r="K1204" s="2"/>
      <c r="M1204" s="4">
        <f t="shared" si="530"/>
        <v>173.1</v>
      </c>
      <c r="N1204" s="4"/>
      <c r="O1204" s="1">
        <f t="shared" si="531"/>
        <v>173.1</v>
      </c>
      <c r="P1204" s="1">
        <f t="shared" si="532"/>
        <v>0</v>
      </c>
      <c r="Q1204" s="1" t="str">
        <f t="shared" si="538"/>
        <v/>
      </c>
      <c r="R1204" s="1" t="str">
        <f t="shared" si="533"/>
        <v/>
      </c>
      <c r="S1204" s="1">
        <f t="shared" si="534"/>
        <v>630.90240000000244</v>
      </c>
      <c r="T1204" s="1">
        <f t="shared" si="535"/>
        <v>0</v>
      </c>
      <c r="U1204" s="1">
        <f t="shared" si="536"/>
        <v>0</v>
      </c>
      <c r="V1204" s="1">
        <f t="shared" si="537"/>
        <v>0</v>
      </c>
    </row>
    <row r="1205" spans="2:22" x14ac:dyDescent="0.25">
      <c r="B1205" s="2"/>
      <c r="C1205" s="2"/>
      <c r="D1205" s="2"/>
      <c r="E1205" s="4"/>
      <c r="F1205" s="2"/>
      <c r="G1205" s="2"/>
      <c r="H1205" s="2"/>
      <c r="I1205" s="4"/>
      <c r="J1205" s="2"/>
      <c r="K1205" s="2"/>
      <c r="M1205" s="4">
        <f t="shared" si="530"/>
        <v>173.1</v>
      </c>
      <c r="N1205" s="4"/>
      <c r="O1205" s="1">
        <f t="shared" si="531"/>
        <v>173.1</v>
      </c>
      <c r="P1205" s="1">
        <f t="shared" si="532"/>
        <v>0</v>
      </c>
      <c r="Q1205" s="1" t="str">
        <f t="shared" si="538"/>
        <v/>
      </c>
      <c r="R1205" s="1" t="str">
        <f t="shared" si="533"/>
        <v/>
      </c>
      <c r="S1205" s="1">
        <f t="shared" si="534"/>
        <v>630.90240000000244</v>
      </c>
      <c r="T1205" s="1">
        <f t="shared" si="535"/>
        <v>0</v>
      </c>
      <c r="U1205" s="1">
        <f t="shared" si="536"/>
        <v>0</v>
      </c>
      <c r="V1205" s="1">
        <f t="shared" si="537"/>
        <v>0</v>
      </c>
    </row>
    <row r="1206" spans="2:22" x14ac:dyDescent="0.25">
      <c r="B1206" s="2"/>
      <c r="C1206" s="2"/>
      <c r="D1206" s="2"/>
      <c r="E1206" s="4"/>
      <c r="F1206" s="2"/>
      <c r="G1206" s="2"/>
      <c r="H1206" s="2"/>
      <c r="I1206" s="4"/>
      <c r="J1206" s="2"/>
      <c r="K1206" s="2"/>
      <c r="M1206" s="4">
        <f t="shared" si="530"/>
        <v>173.1</v>
      </c>
      <c r="N1206" s="4"/>
      <c r="O1206" s="1">
        <f t="shared" si="531"/>
        <v>173.1</v>
      </c>
      <c r="P1206" s="1">
        <f t="shared" si="532"/>
        <v>0</v>
      </c>
      <c r="Q1206" s="1" t="str">
        <f t="shared" si="538"/>
        <v/>
      </c>
      <c r="R1206" s="1" t="str">
        <f t="shared" si="533"/>
        <v/>
      </c>
      <c r="S1206" s="1">
        <f t="shared" si="534"/>
        <v>630.90240000000244</v>
      </c>
      <c r="T1206" s="1">
        <f t="shared" si="535"/>
        <v>0</v>
      </c>
      <c r="U1206" s="1">
        <f t="shared" si="536"/>
        <v>0</v>
      </c>
      <c r="V1206" s="1">
        <f t="shared" si="537"/>
        <v>0</v>
      </c>
    </row>
    <row r="1207" spans="2:22" x14ac:dyDescent="0.25">
      <c r="B1207" s="2"/>
      <c r="C1207" s="2"/>
      <c r="D1207" s="2"/>
      <c r="E1207" s="4"/>
      <c r="F1207" s="2"/>
      <c r="G1207" s="2"/>
      <c r="H1207" s="2"/>
      <c r="I1207" s="4"/>
      <c r="J1207" s="2"/>
      <c r="K1207" s="2"/>
      <c r="M1207" s="4">
        <f t="shared" si="530"/>
        <v>173.1</v>
      </c>
      <c r="N1207" s="4"/>
      <c r="O1207" s="1">
        <f t="shared" si="531"/>
        <v>173.1</v>
      </c>
      <c r="P1207" s="1">
        <f t="shared" si="532"/>
        <v>0</v>
      </c>
      <c r="Q1207" s="1" t="str">
        <f t="shared" si="538"/>
        <v/>
      </c>
      <c r="R1207" s="1" t="str">
        <f t="shared" si="533"/>
        <v/>
      </c>
      <c r="S1207" s="1">
        <f t="shared" si="534"/>
        <v>630.90240000000244</v>
      </c>
      <c r="T1207" s="1">
        <f t="shared" si="535"/>
        <v>0</v>
      </c>
      <c r="U1207" s="1">
        <f t="shared" si="536"/>
        <v>0</v>
      </c>
      <c r="V1207" s="1">
        <f t="shared" si="537"/>
        <v>0</v>
      </c>
    </row>
    <row r="1208" spans="2:22" x14ac:dyDescent="0.25">
      <c r="B1208" s="2"/>
      <c r="C1208" s="2"/>
      <c r="D1208" s="2"/>
      <c r="E1208" s="4"/>
      <c r="F1208" s="2"/>
      <c r="G1208" s="2"/>
      <c r="H1208" s="2"/>
      <c r="I1208" s="4"/>
      <c r="J1208" s="2"/>
      <c r="K1208" s="2"/>
      <c r="M1208" s="4">
        <f t="shared" si="530"/>
        <v>173.1</v>
      </c>
      <c r="N1208" s="4"/>
      <c r="O1208" s="1">
        <f t="shared" si="531"/>
        <v>173.1</v>
      </c>
      <c r="P1208" s="1">
        <f t="shared" si="532"/>
        <v>0</v>
      </c>
      <c r="Q1208" s="1" t="str">
        <f t="shared" si="538"/>
        <v/>
      </c>
      <c r="R1208" s="1" t="str">
        <f t="shared" si="533"/>
        <v/>
      </c>
      <c r="S1208" s="1">
        <f t="shared" si="534"/>
        <v>630.90240000000244</v>
      </c>
      <c r="T1208" s="1">
        <f t="shared" si="535"/>
        <v>0</v>
      </c>
      <c r="U1208" s="1">
        <f t="shared" si="536"/>
        <v>0</v>
      </c>
      <c r="V1208" s="1">
        <f t="shared" si="537"/>
        <v>0</v>
      </c>
    </row>
    <row r="1209" spans="2:22" x14ac:dyDescent="0.25">
      <c r="B1209" s="2"/>
      <c r="C1209" s="2"/>
      <c r="D1209" s="2"/>
      <c r="E1209" s="4"/>
      <c r="F1209" s="2"/>
      <c r="G1209" s="2"/>
      <c r="H1209" s="2"/>
      <c r="I1209" s="4"/>
      <c r="J1209" s="2"/>
      <c r="K1209" s="2"/>
      <c r="M1209" s="4">
        <f t="shared" si="530"/>
        <v>173.1</v>
      </c>
      <c r="N1209" s="4"/>
      <c r="O1209" s="1">
        <f t="shared" si="531"/>
        <v>173.1</v>
      </c>
      <c r="P1209" s="1">
        <f t="shared" si="532"/>
        <v>0</v>
      </c>
      <c r="Q1209" s="1" t="str">
        <f t="shared" si="538"/>
        <v/>
      </c>
      <c r="R1209" s="1" t="str">
        <f t="shared" si="533"/>
        <v/>
      </c>
      <c r="S1209" s="1">
        <f t="shared" si="534"/>
        <v>630.90240000000244</v>
      </c>
      <c r="T1209" s="1">
        <f t="shared" si="535"/>
        <v>0</v>
      </c>
      <c r="U1209" s="1">
        <f t="shared" si="536"/>
        <v>0</v>
      </c>
      <c r="V1209" s="1">
        <f t="shared" si="537"/>
        <v>0</v>
      </c>
    </row>
    <row r="1210" spans="2:22" x14ac:dyDescent="0.25">
      <c r="B1210" s="2"/>
      <c r="C1210" s="2"/>
      <c r="D1210" s="2"/>
      <c r="E1210" s="4"/>
      <c r="F1210" s="2"/>
      <c r="G1210" s="2"/>
      <c r="H1210" s="2"/>
      <c r="I1210" s="4"/>
      <c r="J1210" s="2"/>
      <c r="K1210" s="2"/>
      <c r="M1210" s="4">
        <f t="shared" si="530"/>
        <v>173.1</v>
      </c>
      <c r="N1210" s="4"/>
      <c r="O1210" s="1">
        <f t="shared" si="531"/>
        <v>173.1</v>
      </c>
      <c r="P1210" s="1">
        <f t="shared" si="532"/>
        <v>0</v>
      </c>
      <c r="Q1210" s="1" t="str">
        <f t="shared" si="538"/>
        <v/>
      </c>
      <c r="R1210" s="1" t="str">
        <f t="shared" si="533"/>
        <v/>
      </c>
      <c r="S1210" s="1">
        <f t="shared" si="534"/>
        <v>630.90240000000244</v>
      </c>
      <c r="T1210" s="1">
        <f t="shared" si="535"/>
        <v>0</v>
      </c>
      <c r="U1210" s="1">
        <f t="shared" si="536"/>
        <v>0</v>
      </c>
      <c r="V1210" s="1">
        <f t="shared" si="537"/>
        <v>0</v>
      </c>
    </row>
    <row r="1211" spans="2:22" x14ac:dyDescent="0.25">
      <c r="B1211" s="2"/>
      <c r="C1211" s="2"/>
      <c r="D1211" s="2"/>
      <c r="E1211" s="4"/>
      <c r="F1211" s="2"/>
      <c r="G1211" s="2"/>
      <c r="H1211" s="2"/>
      <c r="I1211" s="4"/>
      <c r="J1211" s="2"/>
      <c r="K1211" s="2"/>
      <c r="M1211" s="4">
        <f t="shared" si="530"/>
        <v>173.1</v>
      </c>
      <c r="N1211" s="4"/>
      <c r="O1211" s="1">
        <f t="shared" si="531"/>
        <v>173.1</v>
      </c>
      <c r="P1211" s="1">
        <f t="shared" si="532"/>
        <v>0</v>
      </c>
      <c r="Q1211" s="1" t="str">
        <f t="shared" si="538"/>
        <v/>
      </c>
      <c r="R1211" s="1" t="str">
        <f t="shared" si="533"/>
        <v/>
      </c>
      <c r="S1211" s="1">
        <f t="shared" si="534"/>
        <v>630.90240000000244</v>
      </c>
      <c r="T1211" s="1">
        <f t="shared" si="535"/>
        <v>0</v>
      </c>
      <c r="U1211" s="1">
        <f t="shared" si="536"/>
        <v>0</v>
      </c>
      <c r="V1211" s="1">
        <f t="shared" si="537"/>
        <v>0</v>
      </c>
    </row>
    <row r="1212" spans="2:22" x14ac:dyDescent="0.25">
      <c r="B1212" s="2"/>
      <c r="C1212" s="2"/>
      <c r="D1212" s="2"/>
      <c r="E1212" s="4"/>
      <c r="F1212" s="2"/>
      <c r="G1212" s="2"/>
      <c r="H1212" s="2"/>
      <c r="I1212" s="4"/>
      <c r="J1212" s="2"/>
      <c r="K1212" s="2"/>
      <c r="M1212" s="4">
        <f t="shared" si="530"/>
        <v>173.1</v>
      </c>
      <c r="N1212" s="4"/>
      <c r="O1212" s="1">
        <f t="shared" si="531"/>
        <v>173.1</v>
      </c>
      <c r="P1212" s="1">
        <f t="shared" si="532"/>
        <v>0</v>
      </c>
      <c r="Q1212" s="1" t="str">
        <f t="shared" si="538"/>
        <v/>
      </c>
      <c r="R1212" s="1" t="str">
        <f t="shared" si="533"/>
        <v/>
      </c>
      <c r="S1212" s="1">
        <f t="shared" si="534"/>
        <v>630.90240000000244</v>
      </c>
      <c r="T1212" s="1">
        <f t="shared" si="535"/>
        <v>0</v>
      </c>
      <c r="U1212" s="1">
        <f t="shared" si="536"/>
        <v>0</v>
      </c>
      <c r="V1212" s="1">
        <f t="shared" si="537"/>
        <v>0</v>
      </c>
    </row>
    <row r="1213" spans="2:22" x14ac:dyDescent="0.25">
      <c r="B1213" s="2"/>
      <c r="C1213" s="2"/>
      <c r="D1213" s="2"/>
      <c r="E1213" s="4"/>
      <c r="F1213" s="2"/>
      <c r="G1213" s="2"/>
      <c r="H1213" s="2"/>
      <c r="I1213" s="4"/>
      <c r="J1213" s="2"/>
      <c r="K1213" s="2"/>
      <c r="M1213" s="4">
        <f t="shared" si="530"/>
        <v>173.1</v>
      </c>
      <c r="N1213" s="4"/>
      <c r="O1213" s="1">
        <f t="shared" si="531"/>
        <v>173.1</v>
      </c>
      <c r="P1213" s="1">
        <f t="shared" si="532"/>
        <v>0</v>
      </c>
      <c r="Q1213" s="1" t="str">
        <f t="shared" si="538"/>
        <v/>
      </c>
      <c r="R1213" s="1" t="str">
        <f t="shared" si="533"/>
        <v/>
      </c>
      <c r="S1213" s="1">
        <f t="shared" si="534"/>
        <v>630.90240000000244</v>
      </c>
      <c r="T1213" s="1">
        <f t="shared" si="535"/>
        <v>0</v>
      </c>
      <c r="U1213" s="1">
        <f t="shared" si="536"/>
        <v>0</v>
      </c>
      <c r="V1213" s="1">
        <f t="shared" si="537"/>
        <v>0</v>
      </c>
    </row>
    <row r="1214" spans="2:22" x14ac:dyDescent="0.25">
      <c r="B1214" s="2"/>
      <c r="C1214" s="2"/>
      <c r="D1214" s="2"/>
      <c r="E1214" s="4"/>
      <c r="F1214" s="2"/>
      <c r="G1214" s="2"/>
      <c r="H1214" s="2"/>
      <c r="I1214" s="4"/>
      <c r="J1214" s="2"/>
      <c r="K1214" s="2"/>
      <c r="M1214" s="4">
        <f t="shared" si="530"/>
        <v>173.1</v>
      </c>
      <c r="N1214" s="4"/>
      <c r="O1214" s="1">
        <f t="shared" si="531"/>
        <v>173.1</v>
      </c>
      <c r="P1214" s="1">
        <f t="shared" si="532"/>
        <v>0</v>
      </c>
      <c r="Q1214" s="1" t="str">
        <f t="shared" si="538"/>
        <v/>
      </c>
      <c r="R1214" s="1" t="str">
        <f t="shared" si="533"/>
        <v/>
      </c>
      <c r="S1214" s="1">
        <f t="shared" si="534"/>
        <v>630.90240000000244</v>
      </c>
      <c r="T1214" s="1">
        <f t="shared" si="535"/>
        <v>0</v>
      </c>
      <c r="U1214" s="1">
        <f t="shared" si="536"/>
        <v>0</v>
      </c>
      <c r="V1214" s="1">
        <f t="shared" si="537"/>
        <v>0</v>
      </c>
    </row>
    <row r="1215" spans="2:22" x14ac:dyDescent="0.25">
      <c r="B1215" s="2"/>
      <c r="C1215" s="2"/>
      <c r="D1215" s="2"/>
      <c r="E1215" s="4"/>
      <c r="F1215" s="2"/>
      <c r="G1215" s="2"/>
      <c r="H1215" s="2"/>
      <c r="I1215" s="4"/>
      <c r="J1215" s="2"/>
      <c r="K1215" s="2"/>
      <c r="M1215" s="4">
        <f t="shared" si="530"/>
        <v>173.1</v>
      </c>
      <c r="N1215" s="4"/>
      <c r="O1215" s="1">
        <f t="shared" si="531"/>
        <v>173.1</v>
      </c>
      <c r="P1215" s="1">
        <f t="shared" si="532"/>
        <v>0</v>
      </c>
      <c r="Q1215" s="1" t="str">
        <f t="shared" si="538"/>
        <v/>
      </c>
      <c r="R1215" s="1" t="str">
        <f t="shared" si="533"/>
        <v/>
      </c>
      <c r="S1215" s="1">
        <f t="shared" si="534"/>
        <v>630.90240000000244</v>
      </c>
      <c r="T1215" s="1">
        <f t="shared" si="535"/>
        <v>0</v>
      </c>
      <c r="U1215" s="1">
        <f t="shared" si="536"/>
        <v>0</v>
      </c>
      <c r="V1215" s="1">
        <f t="shared" si="537"/>
        <v>0</v>
      </c>
    </row>
    <row r="1216" spans="2:22" x14ac:dyDescent="0.25">
      <c r="B1216" s="2"/>
      <c r="C1216" s="2"/>
      <c r="D1216" s="2"/>
      <c r="E1216" s="4"/>
      <c r="F1216" s="2"/>
      <c r="G1216" s="2"/>
      <c r="H1216" s="2"/>
      <c r="I1216" s="4"/>
      <c r="J1216" s="2"/>
      <c r="K1216" s="2"/>
      <c r="M1216" s="4">
        <f t="shared" si="530"/>
        <v>173.1</v>
      </c>
      <c r="N1216" s="4"/>
      <c r="O1216" s="1">
        <f t="shared" si="531"/>
        <v>173.1</v>
      </c>
      <c r="P1216" s="1">
        <f t="shared" si="532"/>
        <v>0</v>
      </c>
      <c r="Q1216" s="1" t="str">
        <f t="shared" si="538"/>
        <v/>
      </c>
      <c r="R1216" s="1" t="str">
        <f t="shared" si="533"/>
        <v/>
      </c>
      <c r="S1216" s="1">
        <f t="shared" si="534"/>
        <v>630.90240000000244</v>
      </c>
      <c r="T1216" s="1">
        <f t="shared" si="535"/>
        <v>0</v>
      </c>
      <c r="U1216" s="1">
        <f t="shared" si="536"/>
        <v>0</v>
      </c>
      <c r="V1216" s="1">
        <f t="shared" si="537"/>
        <v>0</v>
      </c>
    </row>
    <row r="1217" spans="2:22" x14ac:dyDescent="0.25">
      <c r="B1217" s="2"/>
      <c r="C1217" s="2"/>
      <c r="D1217" s="2"/>
      <c r="E1217" s="4"/>
      <c r="F1217" s="2"/>
      <c r="G1217" s="2"/>
      <c r="H1217" s="2"/>
      <c r="I1217" s="4"/>
      <c r="J1217" s="2"/>
      <c r="K1217" s="2"/>
      <c r="M1217" s="4">
        <f t="shared" si="530"/>
        <v>173.1</v>
      </c>
      <c r="N1217" s="4"/>
      <c r="O1217" s="1">
        <f t="shared" si="531"/>
        <v>173.1</v>
      </c>
      <c r="P1217" s="1">
        <f t="shared" si="532"/>
        <v>0</v>
      </c>
      <c r="Q1217" s="1" t="str">
        <f t="shared" si="538"/>
        <v/>
      </c>
      <c r="R1217" s="1" t="str">
        <f t="shared" si="533"/>
        <v/>
      </c>
      <c r="S1217" s="1">
        <f t="shared" si="534"/>
        <v>630.90240000000244</v>
      </c>
      <c r="T1217" s="1">
        <f t="shared" si="535"/>
        <v>0</v>
      </c>
      <c r="U1217" s="1">
        <f t="shared" si="536"/>
        <v>0</v>
      </c>
      <c r="V1217" s="1">
        <f t="shared" si="537"/>
        <v>0</v>
      </c>
    </row>
    <row r="1218" spans="2:22" x14ac:dyDescent="0.25">
      <c r="B1218" s="2"/>
      <c r="C1218" s="2"/>
      <c r="D1218" s="2"/>
      <c r="E1218" s="4"/>
      <c r="F1218" s="2"/>
      <c r="G1218" s="2"/>
      <c r="H1218" s="2"/>
      <c r="I1218" s="4"/>
      <c r="J1218" s="2"/>
      <c r="K1218" s="2"/>
      <c r="M1218" s="4">
        <f t="shared" si="530"/>
        <v>173.1</v>
      </c>
      <c r="N1218" s="4"/>
      <c r="O1218" s="1">
        <f t="shared" si="531"/>
        <v>173.1</v>
      </c>
      <c r="P1218" s="1">
        <f t="shared" si="532"/>
        <v>0</v>
      </c>
      <c r="Q1218" s="1" t="str">
        <f t="shared" si="538"/>
        <v/>
      </c>
      <c r="R1218" s="1" t="str">
        <f t="shared" si="533"/>
        <v/>
      </c>
      <c r="S1218" s="1">
        <f t="shared" si="534"/>
        <v>630.90240000000244</v>
      </c>
      <c r="T1218" s="1">
        <f t="shared" si="535"/>
        <v>0</v>
      </c>
      <c r="U1218" s="1">
        <f t="shared" si="536"/>
        <v>0</v>
      </c>
      <c r="V1218" s="1">
        <f t="shared" si="537"/>
        <v>0</v>
      </c>
    </row>
    <row r="1219" spans="2:22" x14ac:dyDescent="0.25">
      <c r="B1219" s="2"/>
      <c r="C1219" s="2"/>
      <c r="D1219" s="2"/>
      <c r="E1219" s="4"/>
      <c r="F1219" s="2"/>
      <c r="G1219" s="2"/>
      <c r="H1219" s="2"/>
      <c r="I1219" s="4"/>
      <c r="J1219" s="2"/>
      <c r="K1219" s="2"/>
      <c r="M1219" s="4">
        <f t="shared" si="530"/>
        <v>173.1</v>
      </c>
      <c r="N1219" s="4"/>
      <c r="O1219" s="1">
        <f t="shared" si="531"/>
        <v>173.1</v>
      </c>
      <c r="P1219" s="1">
        <f t="shared" si="532"/>
        <v>0</v>
      </c>
      <c r="Q1219" s="1" t="str">
        <f t="shared" si="538"/>
        <v/>
      </c>
      <c r="R1219" s="1" t="str">
        <f t="shared" si="533"/>
        <v/>
      </c>
      <c r="S1219" s="1">
        <f t="shared" si="534"/>
        <v>630.90240000000244</v>
      </c>
      <c r="T1219" s="1">
        <f t="shared" si="535"/>
        <v>0</v>
      </c>
      <c r="U1219" s="1">
        <f t="shared" si="536"/>
        <v>0</v>
      </c>
      <c r="V1219" s="1">
        <f t="shared" si="537"/>
        <v>0</v>
      </c>
    </row>
    <row r="1220" spans="2:22" x14ac:dyDescent="0.25">
      <c r="B1220" s="2"/>
      <c r="C1220" s="2"/>
      <c r="D1220" s="2"/>
      <c r="E1220" s="4"/>
      <c r="F1220" s="2"/>
      <c r="G1220" s="2"/>
      <c r="H1220" s="2"/>
      <c r="I1220" s="4"/>
      <c r="J1220" s="2"/>
      <c r="K1220" s="2"/>
      <c r="M1220" s="4">
        <f t="shared" si="530"/>
        <v>173.1</v>
      </c>
      <c r="N1220" s="4"/>
      <c r="O1220" s="1">
        <f t="shared" si="531"/>
        <v>173.1</v>
      </c>
      <c r="P1220" s="1">
        <f t="shared" si="532"/>
        <v>0</v>
      </c>
      <c r="Q1220" s="1" t="str">
        <f t="shared" si="538"/>
        <v/>
      </c>
      <c r="R1220" s="1" t="str">
        <f t="shared" si="533"/>
        <v/>
      </c>
      <c r="S1220" s="1">
        <f t="shared" si="534"/>
        <v>630.90240000000244</v>
      </c>
      <c r="T1220" s="1">
        <f t="shared" si="535"/>
        <v>0</v>
      </c>
      <c r="U1220" s="1">
        <f t="shared" si="536"/>
        <v>0</v>
      </c>
      <c r="V1220" s="1">
        <f t="shared" si="537"/>
        <v>0</v>
      </c>
    </row>
    <row r="1221" spans="2:22" x14ac:dyDescent="0.25">
      <c r="B1221" s="2"/>
      <c r="C1221" s="2"/>
      <c r="D1221" s="2"/>
      <c r="E1221" s="4"/>
      <c r="F1221" s="2"/>
      <c r="G1221" s="2"/>
      <c r="H1221" s="2"/>
      <c r="I1221" s="4"/>
      <c r="J1221" s="2"/>
      <c r="K1221" s="2"/>
      <c r="M1221" s="4">
        <f t="shared" si="530"/>
        <v>173.1</v>
      </c>
      <c r="N1221" s="4"/>
      <c r="O1221" s="1">
        <f t="shared" si="531"/>
        <v>173.1</v>
      </c>
      <c r="P1221" s="1">
        <f t="shared" si="532"/>
        <v>0</v>
      </c>
      <c r="Q1221" s="1" t="str">
        <f t="shared" si="538"/>
        <v/>
      </c>
      <c r="R1221" s="1" t="str">
        <f t="shared" si="533"/>
        <v/>
      </c>
      <c r="S1221" s="1">
        <f t="shared" si="534"/>
        <v>630.90240000000244</v>
      </c>
      <c r="T1221" s="1">
        <f t="shared" si="535"/>
        <v>0</v>
      </c>
      <c r="U1221" s="1">
        <f t="shared" si="536"/>
        <v>0</v>
      </c>
      <c r="V1221" s="1">
        <f t="shared" si="537"/>
        <v>0</v>
      </c>
    </row>
    <row r="1222" spans="2:22" x14ac:dyDescent="0.25">
      <c r="B1222" s="2"/>
      <c r="C1222" s="2"/>
      <c r="D1222" s="2"/>
      <c r="E1222" s="4"/>
      <c r="F1222" s="2"/>
      <c r="G1222" s="2"/>
      <c r="H1222" s="2"/>
      <c r="I1222" s="4"/>
      <c r="J1222" s="2"/>
      <c r="K1222" s="2"/>
      <c r="M1222" s="4">
        <f t="shared" si="530"/>
        <v>173.1</v>
      </c>
      <c r="N1222" s="4"/>
      <c r="O1222" s="1">
        <f t="shared" si="531"/>
        <v>173.1</v>
      </c>
      <c r="P1222" s="1">
        <f t="shared" si="532"/>
        <v>0</v>
      </c>
      <c r="Q1222" s="1" t="str">
        <f t="shared" si="538"/>
        <v/>
      </c>
      <c r="R1222" s="1" t="str">
        <f t="shared" si="533"/>
        <v/>
      </c>
      <c r="S1222" s="1">
        <f t="shared" si="534"/>
        <v>630.90240000000244</v>
      </c>
      <c r="T1222" s="1">
        <f t="shared" si="535"/>
        <v>0</v>
      </c>
      <c r="U1222" s="1">
        <f t="shared" si="536"/>
        <v>0</v>
      </c>
      <c r="V1222" s="1">
        <f t="shared" si="537"/>
        <v>0</v>
      </c>
    </row>
    <row r="1223" spans="2:22" x14ac:dyDescent="0.25">
      <c r="B1223" s="2"/>
      <c r="C1223" s="2"/>
      <c r="D1223" s="2"/>
      <c r="E1223" s="4"/>
      <c r="F1223" s="2"/>
      <c r="G1223" s="2"/>
      <c r="H1223" s="2"/>
      <c r="I1223" s="4"/>
      <c r="J1223" s="2"/>
      <c r="K1223" s="2"/>
      <c r="M1223" s="4">
        <f t="shared" si="530"/>
        <v>173.1</v>
      </c>
      <c r="N1223" s="4"/>
      <c r="O1223" s="1">
        <f t="shared" si="531"/>
        <v>173.1</v>
      </c>
      <c r="P1223" s="1">
        <f t="shared" si="532"/>
        <v>0</v>
      </c>
      <c r="Q1223" s="1" t="str">
        <f t="shared" si="538"/>
        <v/>
      </c>
      <c r="R1223" s="1" t="str">
        <f t="shared" si="533"/>
        <v/>
      </c>
      <c r="S1223" s="1">
        <f t="shared" si="534"/>
        <v>630.90240000000244</v>
      </c>
      <c r="T1223" s="1">
        <f t="shared" si="535"/>
        <v>0</v>
      </c>
      <c r="U1223" s="1">
        <f t="shared" si="536"/>
        <v>0</v>
      </c>
      <c r="V1223" s="1">
        <f t="shared" si="537"/>
        <v>0</v>
      </c>
    </row>
    <row r="1224" spans="2:22" x14ac:dyDescent="0.25">
      <c r="B1224" s="2"/>
      <c r="C1224" s="2"/>
      <c r="D1224" s="2"/>
      <c r="E1224" s="4"/>
      <c r="F1224" s="2"/>
      <c r="G1224" s="2"/>
      <c r="H1224" s="2"/>
      <c r="I1224" s="4"/>
      <c r="J1224" s="2"/>
      <c r="K1224" s="2"/>
      <c r="M1224" s="4">
        <f t="shared" ref="M1224:M1287" si="539">E1224+M1223</f>
        <v>173.1</v>
      </c>
      <c r="N1224" s="4"/>
      <c r="O1224" s="1">
        <f t="shared" ref="O1224:O1287" si="540">E1223+O1223</f>
        <v>173.1</v>
      </c>
      <c r="P1224" s="1">
        <f t="shared" ref="P1224:P1287" si="541">F1224*52.8*E1224</f>
        <v>0</v>
      </c>
      <c r="Q1224" s="1" t="str">
        <f t="shared" si="538"/>
        <v/>
      </c>
      <c r="R1224" s="1" t="str">
        <f t="shared" ref="R1224:R1287" si="542">IF(I1224="",Q1224,IF(AND(H1224=H1223,I1224=I1223),"",I1224))</f>
        <v/>
      </c>
      <c r="S1224" s="1">
        <f t="shared" ref="S1224:S1287" si="543">S1223+U1223*T1223/100</f>
        <v>630.90240000000244</v>
      </c>
      <c r="T1224" s="1">
        <f t="shared" ref="T1224:T1287" si="544">IF(G1224="UNK",0,G1224)</f>
        <v>0</v>
      </c>
      <c r="U1224" s="1">
        <f t="shared" ref="U1224:U1287" si="545">E1224*5280</f>
        <v>0</v>
      </c>
      <c r="V1224" s="1">
        <f t="shared" ref="V1224:V1287" si="546">ABS(T1224*U1224)</f>
        <v>0</v>
      </c>
    </row>
    <row r="1225" spans="2:22" x14ac:dyDescent="0.25">
      <c r="B1225" s="2"/>
      <c r="C1225" s="2"/>
      <c r="D1225" s="2"/>
      <c r="E1225" s="4"/>
      <c r="F1225" s="2"/>
      <c r="G1225" s="2"/>
      <c r="H1225" s="2"/>
      <c r="I1225" s="4"/>
      <c r="J1225" s="2"/>
      <c r="K1225" s="2"/>
      <c r="M1225" s="4">
        <f t="shared" si="539"/>
        <v>173.1</v>
      </c>
      <c r="N1225" s="4"/>
      <c r="O1225" s="1">
        <f t="shared" si="540"/>
        <v>173.1</v>
      </c>
      <c r="P1225" s="1">
        <f t="shared" si="541"/>
        <v>0</v>
      </c>
      <c r="Q1225" s="1" t="str">
        <f t="shared" si="538"/>
        <v/>
      </c>
      <c r="R1225" s="1" t="str">
        <f t="shared" si="542"/>
        <v/>
      </c>
      <c r="S1225" s="1">
        <f t="shared" si="543"/>
        <v>630.90240000000244</v>
      </c>
      <c r="T1225" s="1">
        <f t="shared" si="544"/>
        <v>0</v>
      </c>
      <c r="U1225" s="1">
        <f t="shared" si="545"/>
        <v>0</v>
      </c>
      <c r="V1225" s="1">
        <f t="shared" si="546"/>
        <v>0</v>
      </c>
    </row>
    <row r="1226" spans="2:22" x14ac:dyDescent="0.25">
      <c r="B1226" s="2"/>
      <c r="C1226" s="2"/>
      <c r="D1226" s="2"/>
      <c r="E1226" s="4"/>
      <c r="F1226" s="2"/>
      <c r="G1226" s="2"/>
      <c r="H1226" s="2"/>
      <c r="I1226" s="4"/>
      <c r="J1226" s="2"/>
      <c r="K1226" s="2"/>
      <c r="M1226" s="4">
        <f t="shared" si="539"/>
        <v>173.1</v>
      </c>
      <c r="N1226" s="4"/>
      <c r="O1226" s="1">
        <f t="shared" si="540"/>
        <v>173.1</v>
      </c>
      <c r="P1226" s="1">
        <f t="shared" si="541"/>
        <v>0</v>
      </c>
      <c r="Q1226" s="1" t="str">
        <f t="shared" si="538"/>
        <v/>
      </c>
      <c r="R1226" s="1" t="str">
        <f t="shared" si="542"/>
        <v/>
      </c>
      <c r="S1226" s="1">
        <f t="shared" si="543"/>
        <v>630.90240000000244</v>
      </c>
      <c r="T1226" s="1">
        <f t="shared" si="544"/>
        <v>0</v>
      </c>
      <c r="U1226" s="1">
        <f t="shared" si="545"/>
        <v>0</v>
      </c>
      <c r="V1226" s="1">
        <f t="shared" si="546"/>
        <v>0</v>
      </c>
    </row>
    <row r="1227" spans="2:22" x14ac:dyDescent="0.25">
      <c r="B1227" s="2"/>
      <c r="C1227" s="2"/>
      <c r="D1227" s="2"/>
      <c r="E1227" s="4"/>
      <c r="F1227" s="2"/>
      <c r="G1227" s="2"/>
      <c r="H1227" s="2"/>
      <c r="I1227" s="4"/>
      <c r="J1227" s="2"/>
      <c r="K1227" s="2"/>
      <c r="M1227" s="4">
        <f t="shared" si="539"/>
        <v>173.1</v>
      </c>
      <c r="N1227" s="4"/>
      <c r="O1227" s="1">
        <f t="shared" si="540"/>
        <v>173.1</v>
      </c>
      <c r="P1227" s="1">
        <f t="shared" si="541"/>
        <v>0</v>
      </c>
      <c r="Q1227" s="1" t="str">
        <f t="shared" si="538"/>
        <v/>
      </c>
      <c r="R1227" s="1" t="str">
        <f t="shared" si="542"/>
        <v/>
      </c>
      <c r="S1227" s="1">
        <f t="shared" si="543"/>
        <v>630.90240000000244</v>
      </c>
      <c r="T1227" s="1">
        <f t="shared" si="544"/>
        <v>0</v>
      </c>
      <c r="U1227" s="1">
        <f t="shared" si="545"/>
        <v>0</v>
      </c>
      <c r="V1227" s="1">
        <f t="shared" si="546"/>
        <v>0</v>
      </c>
    </row>
    <row r="1228" spans="2:22" x14ac:dyDescent="0.25">
      <c r="B1228" s="2"/>
      <c r="C1228" s="2"/>
      <c r="D1228" s="2"/>
      <c r="E1228" s="4"/>
      <c r="F1228" s="2"/>
      <c r="G1228" s="2"/>
      <c r="H1228" s="2"/>
      <c r="I1228" s="4"/>
      <c r="J1228" s="2"/>
      <c r="K1228" s="2"/>
      <c r="M1228" s="4">
        <f t="shared" si="539"/>
        <v>173.1</v>
      </c>
      <c r="N1228" s="4"/>
      <c r="O1228" s="1">
        <f t="shared" si="540"/>
        <v>173.1</v>
      </c>
      <c r="P1228" s="1">
        <f t="shared" si="541"/>
        <v>0</v>
      </c>
      <c r="Q1228" s="1" t="str">
        <f t="shared" si="538"/>
        <v/>
      </c>
      <c r="R1228" s="1" t="str">
        <f t="shared" si="542"/>
        <v/>
      </c>
      <c r="S1228" s="1">
        <f t="shared" si="543"/>
        <v>630.90240000000244</v>
      </c>
      <c r="T1228" s="1">
        <f t="shared" si="544"/>
        <v>0</v>
      </c>
      <c r="U1228" s="1">
        <f t="shared" si="545"/>
        <v>0</v>
      </c>
      <c r="V1228" s="1">
        <f t="shared" si="546"/>
        <v>0</v>
      </c>
    </row>
    <row r="1229" spans="2:22" x14ac:dyDescent="0.25">
      <c r="B1229" s="2"/>
      <c r="C1229" s="2"/>
      <c r="D1229" s="2"/>
      <c r="E1229" s="4"/>
      <c r="F1229" s="2"/>
      <c r="G1229" s="2"/>
      <c r="H1229" s="2"/>
      <c r="I1229" s="4"/>
      <c r="J1229" s="2"/>
      <c r="K1229" s="2"/>
      <c r="M1229" s="4">
        <f t="shared" si="539"/>
        <v>173.1</v>
      </c>
      <c r="N1229" s="4"/>
      <c r="O1229" s="1">
        <f t="shared" si="540"/>
        <v>173.1</v>
      </c>
      <c r="P1229" s="1">
        <f t="shared" si="541"/>
        <v>0</v>
      </c>
      <c r="Q1229" s="1" t="str">
        <f t="shared" si="538"/>
        <v/>
      </c>
      <c r="R1229" s="1" t="str">
        <f t="shared" si="542"/>
        <v/>
      </c>
      <c r="S1229" s="1">
        <f t="shared" si="543"/>
        <v>630.90240000000244</v>
      </c>
      <c r="T1229" s="1">
        <f t="shared" si="544"/>
        <v>0</v>
      </c>
      <c r="U1229" s="1">
        <f t="shared" si="545"/>
        <v>0</v>
      </c>
      <c r="V1229" s="1">
        <f t="shared" si="546"/>
        <v>0</v>
      </c>
    </row>
    <row r="1230" spans="2:22" x14ac:dyDescent="0.25">
      <c r="B1230" s="2"/>
      <c r="C1230" s="2"/>
      <c r="D1230" s="2"/>
      <c r="E1230" s="4"/>
      <c r="F1230" s="2"/>
      <c r="G1230" s="2"/>
      <c r="H1230" s="2"/>
      <c r="I1230" s="4"/>
      <c r="J1230" s="2"/>
      <c r="K1230" s="2"/>
      <c r="M1230" s="4">
        <f t="shared" si="539"/>
        <v>173.1</v>
      </c>
      <c r="N1230" s="4"/>
      <c r="O1230" s="1">
        <f t="shared" si="540"/>
        <v>173.1</v>
      </c>
      <c r="P1230" s="1">
        <f t="shared" si="541"/>
        <v>0</v>
      </c>
      <c r="Q1230" s="1" t="str">
        <f t="shared" si="538"/>
        <v/>
      </c>
      <c r="R1230" s="1" t="str">
        <f t="shared" si="542"/>
        <v/>
      </c>
      <c r="S1230" s="1">
        <f t="shared" si="543"/>
        <v>630.90240000000244</v>
      </c>
      <c r="T1230" s="1">
        <f t="shared" si="544"/>
        <v>0</v>
      </c>
      <c r="U1230" s="1">
        <f t="shared" si="545"/>
        <v>0</v>
      </c>
      <c r="V1230" s="1">
        <f t="shared" si="546"/>
        <v>0</v>
      </c>
    </row>
    <row r="1231" spans="2:22" x14ac:dyDescent="0.25">
      <c r="B1231" s="2"/>
      <c r="C1231" s="2"/>
      <c r="D1231" s="2"/>
      <c r="E1231" s="4"/>
      <c r="F1231" s="2"/>
      <c r="G1231" s="2"/>
      <c r="H1231" s="2"/>
      <c r="I1231" s="4"/>
      <c r="J1231" s="2"/>
      <c r="K1231" s="2"/>
      <c r="M1231" s="4">
        <f t="shared" si="539"/>
        <v>173.1</v>
      </c>
      <c r="N1231" s="4"/>
      <c r="O1231" s="1">
        <f t="shared" si="540"/>
        <v>173.1</v>
      </c>
      <c r="P1231" s="1">
        <f t="shared" si="541"/>
        <v>0</v>
      </c>
      <c r="Q1231" s="1" t="str">
        <f t="shared" si="538"/>
        <v/>
      </c>
      <c r="R1231" s="1" t="str">
        <f t="shared" si="542"/>
        <v/>
      </c>
      <c r="S1231" s="1">
        <f t="shared" si="543"/>
        <v>630.90240000000244</v>
      </c>
      <c r="T1231" s="1">
        <f t="shared" si="544"/>
        <v>0</v>
      </c>
      <c r="U1231" s="1">
        <f t="shared" si="545"/>
        <v>0</v>
      </c>
      <c r="V1231" s="1">
        <f t="shared" si="546"/>
        <v>0</v>
      </c>
    </row>
    <row r="1232" spans="2:22" x14ac:dyDescent="0.25">
      <c r="B1232" s="2"/>
      <c r="C1232" s="2"/>
      <c r="D1232" s="2"/>
      <c r="E1232" s="4"/>
      <c r="F1232" s="2"/>
      <c r="G1232" s="2"/>
      <c r="H1232" s="2"/>
      <c r="I1232" s="4"/>
      <c r="J1232" s="2"/>
      <c r="K1232" s="2"/>
      <c r="M1232" s="4">
        <f t="shared" si="539"/>
        <v>173.1</v>
      </c>
      <c r="N1232" s="4"/>
      <c r="O1232" s="1">
        <f t="shared" si="540"/>
        <v>173.1</v>
      </c>
      <c r="P1232" s="1">
        <f t="shared" si="541"/>
        <v>0</v>
      </c>
      <c r="Q1232" s="1" t="str">
        <f t="shared" si="538"/>
        <v/>
      </c>
      <c r="R1232" s="1" t="str">
        <f t="shared" si="542"/>
        <v/>
      </c>
      <c r="S1232" s="1">
        <f t="shared" si="543"/>
        <v>630.90240000000244</v>
      </c>
      <c r="T1232" s="1">
        <f t="shared" si="544"/>
        <v>0</v>
      </c>
      <c r="U1232" s="1">
        <f t="shared" si="545"/>
        <v>0</v>
      </c>
      <c r="V1232" s="1">
        <f t="shared" si="546"/>
        <v>0</v>
      </c>
    </row>
    <row r="1233" spans="2:22" x14ac:dyDescent="0.25">
      <c r="B1233" s="2"/>
      <c r="C1233" s="2"/>
      <c r="D1233" s="2"/>
      <c r="E1233" s="4"/>
      <c r="F1233" s="2"/>
      <c r="G1233" s="2"/>
      <c r="H1233" s="2"/>
      <c r="I1233" s="4"/>
      <c r="J1233" s="2"/>
      <c r="K1233" s="2"/>
      <c r="M1233" s="4">
        <f t="shared" si="539"/>
        <v>173.1</v>
      </c>
      <c r="N1233" s="4"/>
      <c r="O1233" s="1">
        <f t="shared" si="540"/>
        <v>173.1</v>
      </c>
      <c r="P1233" s="1">
        <f t="shared" si="541"/>
        <v>0</v>
      </c>
      <c r="Q1233" s="1" t="str">
        <f t="shared" si="538"/>
        <v/>
      </c>
      <c r="R1233" s="1" t="str">
        <f t="shared" si="542"/>
        <v/>
      </c>
      <c r="S1233" s="1">
        <f t="shared" si="543"/>
        <v>630.90240000000244</v>
      </c>
      <c r="T1233" s="1">
        <f t="shared" si="544"/>
        <v>0</v>
      </c>
      <c r="U1233" s="1">
        <f t="shared" si="545"/>
        <v>0</v>
      </c>
      <c r="V1233" s="1">
        <f t="shared" si="546"/>
        <v>0</v>
      </c>
    </row>
    <row r="1234" spans="2:22" x14ac:dyDescent="0.25">
      <c r="B1234" s="2"/>
      <c r="C1234" s="2"/>
      <c r="D1234" s="2"/>
      <c r="E1234" s="4"/>
      <c r="F1234" s="2"/>
      <c r="G1234" s="2"/>
      <c r="H1234" s="2"/>
      <c r="I1234" s="4"/>
      <c r="J1234" s="2"/>
      <c r="K1234" s="2"/>
      <c r="M1234" s="4">
        <f t="shared" si="539"/>
        <v>173.1</v>
      </c>
      <c r="N1234" s="4"/>
      <c r="O1234" s="1">
        <f t="shared" si="540"/>
        <v>173.1</v>
      </c>
      <c r="P1234" s="1">
        <f t="shared" si="541"/>
        <v>0</v>
      </c>
      <c r="Q1234" s="1" t="str">
        <f t="shared" si="538"/>
        <v/>
      </c>
      <c r="R1234" s="1" t="str">
        <f t="shared" si="542"/>
        <v/>
      </c>
      <c r="S1234" s="1">
        <f t="shared" si="543"/>
        <v>630.90240000000244</v>
      </c>
      <c r="T1234" s="1">
        <f t="shared" si="544"/>
        <v>0</v>
      </c>
      <c r="U1234" s="1">
        <f t="shared" si="545"/>
        <v>0</v>
      </c>
      <c r="V1234" s="1">
        <f t="shared" si="546"/>
        <v>0</v>
      </c>
    </row>
    <row r="1235" spans="2:22" x14ac:dyDescent="0.25">
      <c r="B1235" s="2"/>
      <c r="C1235" s="2"/>
      <c r="D1235" s="2"/>
      <c r="E1235" s="4"/>
      <c r="F1235" s="2"/>
      <c r="G1235" s="2"/>
      <c r="H1235" s="2"/>
      <c r="I1235" s="4"/>
      <c r="J1235" s="2"/>
      <c r="K1235" s="2"/>
      <c r="M1235" s="4">
        <f t="shared" si="539"/>
        <v>173.1</v>
      </c>
      <c r="N1235" s="4"/>
      <c r="O1235" s="1">
        <f t="shared" si="540"/>
        <v>173.1</v>
      </c>
      <c r="P1235" s="1">
        <f t="shared" si="541"/>
        <v>0</v>
      </c>
      <c r="Q1235" s="1" t="str">
        <f t="shared" si="538"/>
        <v/>
      </c>
      <c r="R1235" s="1" t="str">
        <f t="shared" si="542"/>
        <v/>
      </c>
      <c r="S1235" s="1">
        <f t="shared" si="543"/>
        <v>630.90240000000244</v>
      </c>
      <c r="T1235" s="1">
        <f t="shared" si="544"/>
        <v>0</v>
      </c>
      <c r="U1235" s="1">
        <f t="shared" si="545"/>
        <v>0</v>
      </c>
      <c r="V1235" s="1">
        <f t="shared" si="546"/>
        <v>0</v>
      </c>
    </row>
    <row r="1236" spans="2:22" x14ac:dyDescent="0.25">
      <c r="B1236" s="2"/>
      <c r="C1236" s="2"/>
      <c r="D1236" s="2"/>
      <c r="E1236" s="4"/>
      <c r="F1236" s="2"/>
      <c r="G1236" s="2"/>
      <c r="H1236" s="2"/>
      <c r="I1236" s="4"/>
      <c r="J1236" s="2"/>
      <c r="K1236" s="2"/>
      <c r="M1236" s="4">
        <f t="shared" si="539"/>
        <v>173.1</v>
      </c>
      <c r="N1236" s="4"/>
      <c r="O1236" s="1">
        <f t="shared" si="540"/>
        <v>173.1</v>
      </c>
      <c r="P1236" s="1">
        <f t="shared" si="541"/>
        <v>0</v>
      </c>
      <c r="Q1236" s="1" t="str">
        <f t="shared" si="538"/>
        <v/>
      </c>
      <c r="R1236" s="1" t="str">
        <f t="shared" si="542"/>
        <v/>
      </c>
      <c r="S1236" s="1">
        <f t="shared" si="543"/>
        <v>630.90240000000244</v>
      </c>
      <c r="T1236" s="1">
        <f t="shared" si="544"/>
        <v>0</v>
      </c>
      <c r="U1236" s="1">
        <f t="shared" si="545"/>
        <v>0</v>
      </c>
      <c r="V1236" s="1">
        <f t="shared" si="546"/>
        <v>0</v>
      </c>
    </row>
    <row r="1237" spans="2:22" x14ac:dyDescent="0.25">
      <c r="B1237" s="2"/>
      <c r="C1237" s="2"/>
      <c r="D1237" s="2"/>
      <c r="E1237" s="4"/>
      <c r="F1237" s="2"/>
      <c r="G1237" s="2"/>
      <c r="H1237" s="2"/>
      <c r="I1237" s="4"/>
      <c r="J1237" s="2"/>
      <c r="K1237" s="2"/>
      <c r="M1237" s="4">
        <f t="shared" si="539"/>
        <v>173.1</v>
      </c>
      <c r="N1237" s="4"/>
      <c r="O1237" s="1">
        <f t="shared" si="540"/>
        <v>173.1</v>
      </c>
      <c r="P1237" s="1">
        <f t="shared" si="541"/>
        <v>0</v>
      </c>
      <c r="Q1237" s="1" t="str">
        <f t="shared" si="538"/>
        <v/>
      </c>
      <c r="R1237" s="1" t="str">
        <f t="shared" si="542"/>
        <v/>
      </c>
      <c r="S1237" s="1">
        <f t="shared" si="543"/>
        <v>630.90240000000244</v>
      </c>
      <c r="T1237" s="1">
        <f t="shared" si="544"/>
        <v>0</v>
      </c>
      <c r="U1237" s="1">
        <f t="shared" si="545"/>
        <v>0</v>
      </c>
      <c r="V1237" s="1">
        <f t="shared" si="546"/>
        <v>0</v>
      </c>
    </row>
    <row r="1238" spans="2:22" x14ac:dyDescent="0.25">
      <c r="B1238" s="2"/>
      <c r="C1238" s="2"/>
      <c r="D1238" s="2"/>
      <c r="E1238" s="4"/>
      <c r="F1238" s="2"/>
      <c r="G1238" s="2"/>
      <c r="H1238" s="2"/>
      <c r="I1238" s="4"/>
      <c r="J1238" s="2"/>
      <c r="K1238" s="2"/>
      <c r="M1238" s="4">
        <f t="shared" si="539"/>
        <v>173.1</v>
      </c>
      <c r="N1238" s="4"/>
      <c r="O1238" s="1">
        <f t="shared" si="540"/>
        <v>173.1</v>
      </c>
      <c r="P1238" s="1">
        <f t="shared" si="541"/>
        <v>0</v>
      </c>
      <c r="Q1238" s="1" t="str">
        <f t="shared" si="538"/>
        <v/>
      </c>
      <c r="R1238" s="1" t="str">
        <f t="shared" si="542"/>
        <v/>
      </c>
      <c r="S1238" s="1">
        <f t="shared" si="543"/>
        <v>630.90240000000244</v>
      </c>
      <c r="T1238" s="1">
        <f t="shared" si="544"/>
        <v>0</v>
      </c>
      <c r="U1238" s="1">
        <f t="shared" si="545"/>
        <v>0</v>
      </c>
      <c r="V1238" s="1">
        <f t="shared" si="546"/>
        <v>0</v>
      </c>
    </row>
    <row r="1239" spans="2:22" x14ac:dyDescent="0.25">
      <c r="B1239" s="2"/>
      <c r="C1239" s="2"/>
      <c r="D1239" s="2"/>
      <c r="E1239" s="4"/>
      <c r="F1239" s="2"/>
      <c r="G1239" s="2"/>
      <c r="H1239" s="2"/>
      <c r="I1239" s="4"/>
      <c r="J1239" s="2"/>
      <c r="K1239" s="2"/>
      <c r="M1239" s="4">
        <f t="shared" si="539"/>
        <v>173.1</v>
      </c>
      <c r="N1239" s="4"/>
      <c r="O1239" s="1">
        <f t="shared" si="540"/>
        <v>173.1</v>
      </c>
      <c r="P1239" s="1">
        <f t="shared" si="541"/>
        <v>0</v>
      </c>
      <c r="Q1239" s="1" t="str">
        <f t="shared" si="538"/>
        <v/>
      </c>
      <c r="R1239" s="1" t="str">
        <f t="shared" si="542"/>
        <v/>
      </c>
      <c r="S1239" s="1">
        <f t="shared" si="543"/>
        <v>630.90240000000244</v>
      </c>
      <c r="T1239" s="1">
        <f t="shared" si="544"/>
        <v>0</v>
      </c>
      <c r="U1239" s="1">
        <f t="shared" si="545"/>
        <v>0</v>
      </c>
      <c r="V1239" s="1">
        <f t="shared" si="546"/>
        <v>0</v>
      </c>
    </row>
    <row r="1240" spans="2:22" x14ac:dyDescent="0.25">
      <c r="B1240" s="2"/>
      <c r="C1240" s="2"/>
      <c r="D1240" s="2"/>
      <c r="E1240" s="4"/>
      <c r="F1240" s="2"/>
      <c r="G1240" s="2"/>
      <c r="H1240" s="2"/>
      <c r="I1240" s="4"/>
      <c r="J1240" s="2"/>
      <c r="K1240" s="2"/>
      <c r="M1240" s="4">
        <f t="shared" si="539"/>
        <v>173.1</v>
      </c>
      <c r="N1240" s="4"/>
      <c r="O1240" s="1">
        <f t="shared" si="540"/>
        <v>173.1</v>
      </c>
      <c r="P1240" s="1">
        <f t="shared" si="541"/>
        <v>0</v>
      </c>
      <c r="Q1240" s="1" t="str">
        <f t="shared" si="538"/>
        <v/>
      </c>
      <c r="R1240" s="1" t="str">
        <f t="shared" si="542"/>
        <v/>
      </c>
      <c r="S1240" s="1">
        <f t="shared" si="543"/>
        <v>630.90240000000244</v>
      </c>
      <c r="T1240" s="1">
        <f t="shared" si="544"/>
        <v>0</v>
      </c>
      <c r="U1240" s="1">
        <f t="shared" si="545"/>
        <v>0</v>
      </c>
      <c r="V1240" s="1">
        <f t="shared" si="546"/>
        <v>0</v>
      </c>
    </row>
    <row r="1241" spans="2:22" x14ac:dyDescent="0.25">
      <c r="B1241" s="2"/>
      <c r="C1241" s="2"/>
      <c r="D1241" s="2"/>
      <c r="E1241" s="4"/>
      <c r="F1241" s="2"/>
      <c r="G1241" s="2"/>
      <c r="H1241" s="2"/>
      <c r="I1241" s="4"/>
      <c r="J1241" s="2"/>
      <c r="K1241" s="2"/>
      <c r="M1241" s="4">
        <f t="shared" si="539"/>
        <v>173.1</v>
      </c>
      <c r="N1241" s="4"/>
      <c r="O1241" s="1">
        <f t="shared" si="540"/>
        <v>173.1</v>
      </c>
      <c r="P1241" s="1">
        <f t="shared" si="541"/>
        <v>0</v>
      </c>
      <c r="Q1241" s="1" t="str">
        <f t="shared" si="538"/>
        <v/>
      </c>
      <c r="R1241" s="1" t="str">
        <f t="shared" si="542"/>
        <v/>
      </c>
      <c r="S1241" s="1">
        <f t="shared" si="543"/>
        <v>630.90240000000244</v>
      </c>
      <c r="T1241" s="1">
        <f t="shared" si="544"/>
        <v>0</v>
      </c>
      <c r="U1241" s="1">
        <f t="shared" si="545"/>
        <v>0</v>
      </c>
      <c r="V1241" s="1">
        <f t="shared" si="546"/>
        <v>0</v>
      </c>
    </row>
    <row r="1242" spans="2:22" x14ac:dyDescent="0.25">
      <c r="B1242" s="2"/>
      <c r="C1242" s="2"/>
      <c r="D1242" s="2"/>
      <c r="E1242" s="4"/>
      <c r="F1242" s="2"/>
      <c r="G1242" s="2"/>
      <c r="H1242" s="2"/>
      <c r="I1242" s="4"/>
      <c r="J1242" s="2"/>
      <c r="K1242" s="2"/>
      <c r="M1242" s="4">
        <f t="shared" si="539"/>
        <v>173.1</v>
      </c>
      <c r="N1242" s="4"/>
      <c r="O1242" s="1">
        <f t="shared" si="540"/>
        <v>173.1</v>
      </c>
      <c r="P1242" s="1">
        <f t="shared" si="541"/>
        <v>0</v>
      </c>
      <c r="Q1242" s="1" t="str">
        <f t="shared" si="538"/>
        <v/>
      </c>
      <c r="R1242" s="1" t="str">
        <f t="shared" si="542"/>
        <v/>
      </c>
      <c r="S1242" s="1">
        <f t="shared" si="543"/>
        <v>630.90240000000244</v>
      </c>
      <c r="T1242" s="1">
        <f t="shared" si="544"/>
        <v>0</v>
      </c>
      <c r="U1242" s="1">
        <f t="shared" si="545"/>
        <v>0</v>
      </c>
      <c r="V1242" s="1">
        <f t="shared" si="546"/>
        <v>0</v>
      </c>
    </row>
    <row r="1243" spans="2:22" x14ac:dyDescent="0.25">
      <c r="B1243" s="2"/>
      <c r="C1243" s="2"/>
      <c r="D1243" s="2"/>
      <c r="E1243" s="4"/>
      <c r="F1243" s="2"/>
      <c r="G1243" s="2"/>
      <c r="H1243" s="2"/>
      <c r="I1243" s="4"/>
      <c r="J1243" s="2"/>
      <c r="K1243" s="2"/>
      <c r="M1243" s="4">
        <f t="shared" si="539"/>
        <v>173.1</v>
      </c>
      <c r="N1243" s="4"/>
      <c r="O1243" s="1">
        <f t="shared" si="540"/>
        <v>173.1</v>
      </c>
      <c r="P1243" s="1">
        <f t="shared" si="541"/>
        <v>0</v>
      </c>
      <c r="Q1243" s="1" t="str">
        <f t="shared" si="538"/>
        <v/>
      </c>
      <c r="R1243" s="1" t="str">
        <f t="shared" si="542"/>
        <v/>
      </c>
      <c r="S1243" s="1">
        <f t="shared" si="543"/>
        <v>630.90240000000244</v>
      </c>
      <c r="T1243" s="1">
        <f t="shared" si="544"/>
        <v>0</v>
      </c>
      <c r="U1243" s="1">
        <f t="shared" si="545"/>
        <v>0</v>
      </c>
      <c r="V1243" s="1">
        <f t="shared" si="546"/>
        <v>0</v>
      </c>
    </row>
    <row r="1244" spans="2:22" x14ac:dyDescent="0.25">
      <c r="B1244" s="2"/>
      <c r="C1244" s="2"/>
      <c r="D1244" s="2"/>
      <c r="E1244" s="4"/>
      <c r="F1244" s="2"/>
      <c r="G1244" s="2"/>
      <c r="H1244" s="2"/>
      <c r="I1244" s="4"/>
      <c r="J1244" s="2"/>
      <c r="K1244" s="2"/>
      <c r="M1244" s="4">
        <f t="shared" si="539"/>
        <v>173.1</v>
      </c>
      <c r="N1244" s="4"/>
      <c r="O1244" s="1">
        <f t="shared" si="540"/>
        <v>173.1</v>
      </c>
      <c r="P1244" s="1">
        <f t="shared" si="541"/>
        <v>0</v>
      </c>
      <c r="Q1244" s="1" t="str">
        <f t="shared" si="538"/>
        <v/>
      </c>
      <c r="R1244" s="1" t="str">
        <f t="shared" si="542"/>
        <v/>
      </c>
      <c r="S1244" s="1">
        <f t="shared" si="543"/>
        <v>630.90240000000244</v>
      </c>
      <c r="T1244" s="1">
        <f t="shared" si="544"/>
        <v>0</v>
      </c>
      <c r="U1244" s="1">
        <f t="shared" si="545"/>
        <v>0</v>
      </c>
      <c r="V1244" s="1">
        <f t="shared" si="546"/>
        <v>0</v>
      </c>
    </row>
    <row r="1245" spans="2:22" x14ac:dyDescent="0.25">
      <c r="B1245" s="2"/>
      <c r="C1245" s="2"/>
      <c r="D1245" s="2"/>
      <c r="E1245" s="4"/>
      <c r="F1245" s="2"/>
      <c r="G1245" s="2"/>
      <c r="H1245" s="2"/>
      <c r="I1245" s="4"/>
      <c r="J1245" s="2"/>
      <c r="K1245" s="2"/>
      <c r="M1245" s="4">
        <f t="shared" si="539"/>
        <v>173.1</v>
      </c>
      <c r="N1245" s="4"/>
      <c r="O1245" s="1">
        <f t="shared" si="540"/>
        <v>173.1</v>
      </c>
      <c r="P1245" s="1">
        <f t="shared" si="541"/>
        <v>0</v>
      </c>
      <c r="Q1245" s="1" t="str">
        <f t="shared" si="538"/>
        <v/>
      </c>
      <c r="R1245" s="1" t="str">
        <f t="shared" si="542"/>
        <v/>
      </c>
      <c r="S1245" s="1">
        <f t="shared" si="543"/>
        <v>630.90240000000244</v>
      </c>
      <c r="T1245" s="1">
        <f t="shared" si="544"/>
        <v>0</v>
      </c>
      <c r="U1245" s="1">
        <f t="shared" si="545"/>
        <v>0</v>
      </c>
      <c r="V1245" s="1">
        <f t="shared" si="546"/>
        <v>0</v>
      </c>
    </row>
    <row r="1246" spans="2:22" x14ac:dyDescent="0.25">
      <c r="B1246" s="2"/>
      <c r="C1246" s="2"/>
      <c r="D1246" s="2"/>
      <c r="E1246" s="4"/>
      <c r="F1246" s="2"/>
      <c r="G1246" s="2"/>
      <c r="H1246" s="2"/>
      <c r="I1246" s="4"/>
      <c r="J1246" s="2"/>
      <c r="K1246" s="2"/>
      <c r="M1246" s="4">
        <f t="shared" si="539"/>
        <v>173.1</v>
      </c>
      <c r="N1246" s="4"/>
      <c r="O1246" s="1">
        <f t="shared" si="540"/>
        <v>173.1</v>
      </c>
      <c r="P1246" s="1">
        <f t="shared" si="541"/>
        <v>0</v>
      </c>
      <c r="Q1246" s="1" t="str">
        <f t="shared" si="538"/>
        <v/>
      </c>
      <c r="R1246" s="1" t="str">
        <f t="shared" si="542"/>
        <v/>
      </c>
      <c r="S1246" s="1">
        <f t="shared" si="543"/>
        <v>630.90240000000244</v>
      </c>
      <c r="T1246" s="1">
        <f t="shared" si="544"/>
        <v>0</v>
      </c>
      <c r="U1246" s="1">
        <f t="shared" si="545"/>
        <v>0</v>
      </c>
      <c r="V1246" s="1">
        <f t="shared" si="546"/>
        <v>0</v>
      </c>
    </row>
    <row r="1247" spans="2:22" x14ac:dyDescent="0.25">
      <c r="B1247" s="2"/>
      <c r="C1247" s="2"/>
      <c r="D1247" s="2"/>
      <c r="E1247" s="4"/>
      <c r="F1247" s="2"/>
      <c r="G1247" s="2"/>
      <c r="H1247" s="2"/>
      <c r="I1247" s="4"/>
      <c r="J1247" s="2"/>
      <c r="K1247" s="2"/>
      <c r="M1247" s="4">
        <f t="shared" si="539"/>
        <v>173.1</v>
      </c>
      <c r="N1247" s="4"/>
      <c r="O1247" s="1">
        <f t="shared" si="540"/>
        <v>173.1</v>
      </c>
      <c r="P1247" s="1">
        <f t="shared" si="541"/>
        <v>0</v>
      </c>
      <c r="Q1247" s="1" t="str">
        <f t="shared" si="538"/>
        <v/>
      </c>
      <c r="R1247" s="1" t="str">
        <f t="shared" si="542"/>
        <v/>
      </c>
      <c r="S1247" s="1">
        <f t="shared" si="543"/>
        <v>630.90240000000244</v>
      </c>
      <c r="T1247" s="1">
        <f t="shared" si="544"/>
        <v>0</v>
      </c>
      <c r="U1247" s="1">
        <f t="shared" si="545"/>
        <v>0</v>
      </c>
      <c r="V1247" s="1">
        <f t="shared" si="546"/>
        <v>0</v>
      </c>
    </row>
    <row r="1248" spans="2:22" x14ac:dyDescent="0.25">
      <c r="B1248" s="2"/>
      <c r="C1248" s="2"/>
      <c r="D1248" s="2"/>
      <c r="E1248" s="4"/>
      <c r="F1248" s="2"/>
      <c r="G1248" s="2"/>
      <c r="H1248" s="2"/>
      <c r="I1248" s="4"/>
      <c r="J1248" s="2"/>
      <c r="K1248" s="2"/>
      <c r="M1248" s="4">
        <f t="shared" si="539"/>
        <v>173.1</v>
      </c>
      <c r="N1248" s="4"/>
      <c r="O1248" s="1">
        <f t="shared" si="540"/>
        <v>173.1</v>
      </c>
      <c r="P1248" s="1">
        <f t="shared" si="541"/>
        <v>0</v>
      </c>
      <c r="Q1248" s="1" t="str">
        <f t="shared" si="538"/>
        <v/>
      </c>
      <c r="R1248" s="1" t="str">
        <f t="shared" si="542"/>
        <v/>
      </c>
      <c r="S1248" s="1">
        <f t="shared" si="543"/>
        <v>630.90240000000244</v>
      </c>
      <c r="T1248" s="1">
        <f t="shared" si="544"/>
        <v>0</v>
      </c>
      <c r="U1248" s="1">
        <f t="shared" si="545"/>
        <v>0</v>
      </c>
      <c r="V1248" s="1">
        <f t="shared" si="546"/>
        <v>0</v>
      </c>
    </row>
    <row r="1249" spans="2:22" x14ac:dyDescent="0.25">
      <c r="B1249" s="2"/>
      <c r="C1249" s="2"/>
      <c r="D1249" s="2"/>
      <c r="E1249" s="4"/>
      <c r="F1249" s="2"/>
      <c r="G1249" s="2"/>
      <c r="H1249" s="2"/>
      <c r="I1249" s="4"/>
      <c r="J1249" s="2"/>
      <c r="K1249" s="2"/>
      <c r="M1249" s="4">
        <f t="shared" si="539"/>
        <v>173.1</v>
      </c>
      <c r="N1249" s="4"/>
      <c r="O1249" s="1">
        <f t="shared" si="540"/>
        <v>173.1</v>
      </c>
      <c r="P1249" s="1">
        <f t="shared" si="541"/>
        <v>0</v>
      </c>
      <c r="Q1249" s="1" t="str">
        <f t="shared" si="538"/>
        <v/>
      </c>
      <c r="R1249" s="1" t="str">
        <f t="shared" si="542"/>
        <v/>
      </c>
      <c r="S1249" s="1">
        <f t="shared" si="543"/>
        <v>630.90240000000244</v>
      </c>
      <c r="T1249" s="1">
        <f t="shared" si="544"/>
        <v>0</v>
      </c>
      <c r="U1249" s="1">
        <f t="shared" si="545"/>
        <v>0</v>
      </c>
      <c r="V1249" s="1">
        <f t="shared" si="546"/>
        <v>0</v>
      </c>
    </row>
    <row r="1250" spans="2:22" x14ac:dyDescent="0.25">
      <c r="B1250" s="2"/>
      <c r="C1250" s="2"/>
      <c r="D1250" s="2"/>
      <c r="E1250" s="4"/>
      <c r="F1250" s="2"/>
      <c r="G1250" s="2"/>
      <c r="H1250" s="2"/>
      <c r="I1250" s="4"/>
      <c r="J1250" s="2"/>
      <c r="K1250" s="2"/>
      <c r="M1250" s="4">
        <f t="shared" si="539"/>
        <v>173.1</v>
      </c>
      <c r="N1250" s="4"/>
      <c r="O1250" s="1">
        <f t="shared" si="540"/>
        <v>173.1</v>
      </c>
      <c r="P1250" s="1">
        <f t="shared" si="541"/>
        <v>0</v>
      </c>
      <c r="Q1250" s="1" t="str">
        <f t="shared" si="538"/>
        <v/>
      </c>
      <c r="R1250" s="1" t="str">
        <f t="shared" si="542"/>
        <v/>
      </c>
      <c r="S1250" s="1">
        <f t="shared" si="543"/>
        <v>630.90240000000244</v>
      </c>
      <c r="T1250" s="1">
        <f t="shared" si="544"/>
        <v>0</v>
      </c>
      <c r="U1250" s="1">
        <f t="shared" si="545"/>
        <v>0</v>
      </c>
      <c r="V1250" s="1">
        <f t="shared" si="546"/>
        <v>0</v>
      </c>
    </row>
    <row r="1251" spans="2:22" x14ac:dyDescent="0.25">
      <c r="B1251" s="2"/>
      <c r="C1251" s="2"/>
      <c r="D1251" s="2"/>
      <c r="E1251" s="4"/>
      <c r="F1251" s="2"/>
      <c r="G1251" s="2"/>
      <c r="H1251" s="2"/>
      <c r="I1251" s="4"/>
      <c r="J1251" s="2"/>
      <c r="K1251" s="2"/>
      <c r="M1251" s="4">
        <f t="shared" si="539"/>
        <v>173.1</v>
      </c>
      <c r="N1251" s="4"/>
      <c r="O1251" s="1">
        <f t="shared" si="540"/>
        <v>173.1</v>
      </c>
      <c r="P1251" s="1">
        <f t="shared" si="541"/>
        <v>0</v>
      </c>
      <c r="Q1251" s="1" t="str">
        <f t="shared" si="538"/>
        <v/>
      </c>
      <c r="R1251" s="1" t="str">
        <f t="shared" si="542"/>
        <v/>
      </c>
      <c r="S1251" s="1">
        <f t="shared" si="543"/>
        <v>630.90240000000244</v>
      </c>
      <c r="T1251" s="1">
        <f t="shared" si="544"/>
        <v>0</v>
      </c>
      <c r="U1251" s="1">
        <f t="shared" si="545"/>
        <v>0</v>
      </c>
      <c r="V1251" s="1">
        <f t="shared" si="546"/>
        <v>0</v>
      </c>
    </row>
    <row r="1252" spans="2:22" x14ac:dyDescent="0.25">
      <c r="B1252" s="2"/>
      <c r="C1252" s="2"/>
      <c r="D1252" s="2"/>
      <c r="E1252" s="4"/>
      <c r="F1252" s="2"/>
      <c r="G1252" s="2"/>
      <c r="H1252" s="2"/>
      <c r="I1252" s="4"/>
      <c r="J1252" s="2"/>
      <c r="K1252" s="2"/>
      <c r="M1252" s="4">
        <f t="shared" si="539"/>
        <v>173.1</v>
      </c>
      <c r="N1252" s="4"/>
      <c r="O1252" s="1">
        <f t="shared" si="540"/>
        <v>173.1</v>
      </c>
      <c r="P1252" s="1">
        <f t="shared" si="541"/>
        <v>0</v>
      </c>
      <c r="Q1252" s="1" t="str">
        <f t="shared" si="538"/>
        <v/>
      </c>
      <c r="R1252" s="1" t="str">
        <f t="shared" si="542"/>
        <v/>
      </c>
      <c r="S1252" s="1">
        <f t="shared" si="543"/>
        <v>630.90240000000244</v>
      </c>
      <c r="T1252" s="1">
        <f t="shared" si="544"/>
        <v>0</v>
      </c>
      <c r="U1252" s="1">
        <f t="shared" si="545"/>
        <v>0</v>
      </c>
      <c r="V1252" s="1">
        <f t="shared" si="546"/>
        <v>0</v>
      </c>
    </row>
    <row r="1253" spans="2:22" x14ac:dyDescent="0.25">
      <c r="B1253" s="2"/>
      <c r="C1253" s="2"/>
      <c r="D1253" s="2"/>
      <c r="E1253" s="4"/>
      <c r="F1253" s="2"/>
      <c r="G1253" s="2"/>
      <c r="H1253" s="2"/>
      <c r="I1253" s="4"/>
      <c r="J1253" s="2"/>
      <c r="K1253" s="2"/>
      <c r="M1253" s="4">
        <f t="shared" si="539"/>
        <v>173.1</v>
      </c>
      <c r="N1253" s="4"/>
      <c r="O1253" s="1">
        <f t="shared" si="540"/>
        <v>173.1</v>
      </c>
      <c r="P1253" s="1">
        <f t="shared" si="541"/>
        <v>0</v>
      </c>
      <c r="Q1253" s="1" t="str">
        <f t="shared" si="538"/>
        <v/>
      </c>
      <c r="R1253" s="1" t="str">
        <f t="shared" si="542"/>
        <v/>
      </c>
      <c r="S1253" s="1">
        <f t="shared" si="543"/>
        <v>630.90240000000244</v>
      </c>
      <c r="T1253" s="1">
        <f t="shared" si="544"/>
        <v>0</v>
      </c>
      <c r="U1253" s="1">
        <f t="shared" si="545"/>
        <v>0</v>
      </c>
      <c r="V1253" s="1">
        <f t="shared" si="546"/>
        <v>0</v>
      </c>
    </row>
    <row r="1254" spans="2:22" x14ac:dyDescent="0.25">
      <c r="B1254" s="2"/>
      <c r="C1254" s="2"/>
      <c r="D1254" s="2"/>
      <c r="E1254" s="4"/>
      <c r="F1254" s="2"/>
      <c r="G1254" s="2"/>
      <c r="H1254" s="2"/>
      <c r="I1254" s="4"/>
      <c r="J1254" s="2"/>
      <c r="K1254" s="2"/>
      <c r="M1254" s="4">
        <f t="shared" si="539"/>
        <v>173.1</v>
      </c>
      <c r="N1254" s="4"/>
      <c r="O1254" s="1">
        <f t="shared" si="540"/>
        <v>173.1</v>
      </c>
      <c r="P1254" s="1">
        <f t="shared" si="541"/>
        <v>0</v>
      </c>
      <c r="Q1254" s="1" t="str">
        <f t="shared" si="538"/>
        <v/>
      </c>
      <c r="R1254" s="1" t="str">
        <f t="shared" si="542"/>
        <v/>
      </c>
      <c r="S1254" s="1">
        <f t="shared" si="543"/>
        <v>630.90240000000244</v>
      </c>
      <c r="T1254" s="1">
        <f t="shared" si="544"/>
        <v>0</v>
      </c>
      <c r="U1254" s="1">
        <f t="shared" si="545"/>
        <v>0</v>
      </c>
      <c r="V1254" s="1">
        <f t="shared" si="546"/>
        <v>0</v>
      </c>
    </row>
    <row r="1255" spans="2:22" x14ac:dyDescent="0.25">
      <c r="B1255" s="2"/>
      <c r="C1255" s="2"/>
      <c r="D1255" s="2"/>
      <c r="E1255" s="4"/>
      <c r="F1255" s="2"/>
      <c r="G1255" s="2"/>
      <c r="H1255" s="2"/>
      <c r="I1255" s="4"/>
      <c r="J1255" s="2"/>
      <c r="K1255" s="2"/>
      <c r="M1255" s="4">
        <f t="shared" si="539"/>
        <v>173.1</v>
      </c>
      <c r="N1255" s="4"/>
      <c r="O1255" s="1">
        <f t="shared" si="540"/>
        <v>173.1</v>
      </c>
      <c r="P1255" s="1">
        <f t="shared" si="541"/>
        <v>0</v>
      </c>
      <c r="Q1255" s="1" t="str">
        <f t="shared" si="538"/>
        <v/>
      </c>
      <c r="R1255" s="1" t="str">
        <f t="shared" si="542"/>
        <v/>
      </c>
      <c r="S1255" s="1">
        <f t="shared" si="543"/>
        <v>630.90240000000244</v>
      </c>
      <c r="T1255" s="1">
        <f t="shared" si="544"/>
        <v>0</v>
      </c>
      <c r="U1255" s="1">
        <f t="shared" si="545"/>
        <v>0</v>
      </c>
      <c r="V1255" s="1">
        <f t="shared" si="546"/>
        <v>0</v>
      </c>
    </row>
    <row r="1256" spans="2:22" x14ac:dyDescent="0.25">
      <c r="B1256" s="2"/>
      <c r="C1256" s="2"/>
      <c r="D1256" s="2"/>
      <c r="E1256" s="4"/>
      <c r="F1256" s="2"/>
      <c r="G1256" s="2"/>
      <c r="H1256" s="2"/>
      <c r="I1256" s="4"/>
      <c r="J1256" s="2"/>
      <c r="K1256" s="2"/>
      <c r="M1256" s="4">
        <f t="shared" si="539"/>
        <v>173.1</v>
      </c>
      <c r="N1256" s="4"/>
      <c r="O1256" s="1">
        <f t="shared" si="540"/>
        <v>173.1</v>
      </c>
      <c r="P1256" s="1">
        <f t="shared" si="541"/>
        <v>0</v>
      </c>
      <c r="Q1256" s="1" t="str">
        <f t="shared" si="538"/>
        <v/>
      </c>
      <c r="R1256" s="1" t="str">
        <f t="shared" si="542"/>
        <v/>
      </c>
      <c r="S1256" s="1">
        <f t="shared" si="543"/>
        <v>630.90240000000244</v>
      </c>
      <c r="T1256" s="1">
        <f t="shared" si="544"/>
        <v>0</v>
      </c>
      <c r="U1256" s="1">
        <f t="shared" si="545"/>
        <v>0</v>
      </c>
      <c r="V1256" s="1">
        <f t="shared" si="546"/>
        <v>0</v>
      </c>
    </row>
    <row r="1257" spans="2:22" x14ac:dyDescent="0.25">
      <c r="B1257" s="2"/>
      <c r="C1257" s="2"/>
      <c r="D1257" s="2"/>
      <c r="E1257" s="4"/>
      <c r="F1257" s="2"/>
      <c r="G1257" s="2"/>
      <c r="H1257" s="2"/>
      <c r="I1257" s="4"/>
      <c r="J1257" s="2"/>
      <c r="K1257" s="2"/>
      <c r="M1257" s="4">
        <f t="shared" si="539"/>
        <v>173.1</v>
      </c>
      <c r="N1257" s="4"/>
      <c r="O1257" s="1">
        <f t="shared" si="540"/>
        <v>173.1</v>
      </c>
      <c r="P1257" s="1">
        <f t="shared" si="541"/>
        <v>0</v>
      </c>
      <c r="Q1257" s="1" t="str">
        <f t="shared" si="538"/>
        <v/>
      </c>
      <c r="R1257" s="1" t="str">
        <f t="shared" si="542"/>
        <v/>
      </c>
      <c r="S1257" s="1">
        <f t="shared" si="543"/>
        <v>630.90240000000244</v>
      </c>
      <c r="T1257" s="1">
        <f t="shared" si="544"/>
        <v>0</v>
      </c>
      <c r="U1257" s="1">
        <f t="shared" si="545"/>
        <v>0</v>
      </c>
      <c r="V1257" s="1">
        <f t="shared" si="546"/>
        <v>0</v>
      </c>
    </row>
    <row r="1258" spans="2:22" x14ac:dyDescent="0.25">
      <c r="B1258" s="2"/>
      <c r="C1258" s="2"/>
      <c r="D1258" s="2"/>
      <c r="E1258" s="4"/>
      <c r="F1258" s="2"/>
      <c r="G1258" s="2"/>
      <c r="H1258" s="2"/>
      <c r="I1258" s="4"/>
      <c r="J1258" s="2"/>
      <c r="K1258" s="2"/>
      <c r="M1258" s="4">
        <f t="shared" si="539"/>
        <v>173.1</v>
      </c>
      <c r="N1258" s="4"/>
      <c r="O1258" s="1">
        <f t="shared" si="540"/>
        <v>173.1</v>
      </c>
      <c r="P1258" s="1">
        <f t="shared" si="541"/>
        <v>0</v>
      </c>
      <c r="Q1258" s="1" t="str">
        <f t="shared" si="538"/>
        <v/>
      </c>
      <c r="R1258" s="1" t="str">
        <f t="shared" si="542"/>
        <v/>
      </c>
      <c r="S1258" s="1">
        <f t="shared" si="543"/>
        <v>630.90240000000244</v>
      </c>
      <c r="T1258" s="1">
        <f t="shared" si="544"/>
        <v>0</v>
      </c>
      <c r="U1258" s="1">
        <f t="shared" si="545"/>
        <v>0</v>
      </c>
      <c r="V1258" s="1">
        <f t="shared" si="546"/>
        <v>0</v>
      </c>
    </row>
    <row r="1259" spans="2:22" x14ac:dyDescent="0.25">
      <c r="B1259" s="2"/>
      <c r="C1259" s="2"/>
      <c r="D1259" s="2"/>
      <c r="E1259" s="4"/>
      <c r="F1259" s="2"/>
      <c r="G1259" s="2"/>
      <c r="H1259" s="2"/>
      <c r="I1259" s="4"/>
      <c r="J1259" s="2"/>
      <c r="K1259" s="2"/>
      <c r="M1259" s="4">
        <f t="shared" si="539"/>
        <v>173.1</v>
      </c>
      <c r="N1259" s="4"/>
      <c r="O1259" s="1">
        <f t="shared" si="540"/>
        <v>173.1</v>
      </c>
      <c r="P1259" s="1">
        <f t="shared" si="541"/>
        <v>0</v>
      </c>
      <c r="Q1259" s="1" t="str">
        <f t="shared" si="538"/>
        <v/>
      </c>
      <c r="R1259" s="1" t="str">
        <f t="shared" si="542"/>
        <v/>
      </c>
      <c r="S1259" s="1">
        <f t="shared" si="543"/>
        <v>630.90240000000244</v>
      </c>
      <c r="T1259" s="1">
        <f t="shared" si="544"/>
        <v>0</v>
      </c>
      <c r="U1259" s="1">
        <f t="shared" si="545"/>
        <v>0</v>
      </c>
      <c r="V1259" s="1">
        <f t="shared" si="546"/>
        <v>0</v>
      </c>
    </row>
    <row r="1260" spans="2:22" x14ac:dyDescent="0.25">
      <c r="B1260" s="2"/>
      <c r="C1260" s="2"/>
      <c r="D1260" s="2"/>
      <c r="E1260" s="4"/>
      <c r="F1260" s="2"/>
      <c r="G1260" s="2"/>
      <c r="H1260" s="2"/>
      <c r="I1260" s="4"/>
      <c r="J1260" s="2"/>
      <c r="K1260" s="2"/>
      <c r="M1260" s="4">
        <f t="shared" si="539"/>
        <v>173.1</v>
      </c>
      <c r="N1260" s="4"/>
      <c r="O1260" s="1">
        <f t="shared" si="540"/>
        <v>173.1</v>
      </c>
      <c r="P1260" s="1">
        <f t="shared" si="541"/>
        <v>0</v>
      </c>
      <c r="Q1260" s="1" t="str">
        <f t="shared" si="538"/>
        <v/>
      </c>
      <c r="R1260" s="1" t="str">
        <f t="shared" si="542"/>
        <v/>
      </c>
      <c r="S1260" s="1">
        <f t="shared" si="543"/>
        <v>630.90240000000244</v>
      </c>
      <c r="T1260" s="1">
        <f t="shared" si="544"/>
        <v>0</v>
      </c>
      <c r="U1260" s="1">
        <f t="shared" si="545"/>
        <v>0</v>
      </c>
      <c r="V1260" s="1">
        <f t="shared" si="546"/>
        <v>0</v>
      </c>
    </row>
    <row r="1261" spans="2:22" x14ac:dyDescent="0.25">
      <c r="B1261" s="2"/>
      <c r="C1261" s="2"/>
      <c r="D1261" s="2"/>
      <c r="E1261" s="4"/>
      <c r="F1261" s="2"/>
      <c r="G1261" s="2"/>
      <c r="H1261" s="2"/>
      <c r="I1261" s="4"/>
      <c r="J1261" s="2"/>
      <c r="K1261" s="2"/>
      <c r="M1261" s="4">
        <f t="shared" si="539"/>
        <v>173.1</v>
      </c>
      <c r="N1261" s="4"/>
      <c r="O1261" s="1">
        <f t="shared" si="540"/>
        <v>173.1</v>
      </c>
      <c r="P1261" s="1">
        <f t="shared" si="541"/>
        <v>0</v>
      </c>
      <c r="Q1261" s="1" t="str">
        <f t="shared" si="538"/>
        <v/>
      </c>
      <c r="R1261" s="1" t="str">
        <f t="shared" si="542"/>
        <v/>
      </c>
      <c r="S1261" s="1">
        <f t="shared" si="543"/>
        <v>630.90240000000244</v>
      </c>
      <c r="T1261" s="1">
        <f t="shared" si="544"/>
        <v>0</v>
      </c>
      <c r="U1261" s="1">
        <f t="shared" si="545"/>
        <v>0</v>
      </c>
      <c r="V1261" s="1">
        <f t="shared" si="546"/>
        <v>0</v>
      </c>
    </row>
    <row r="1262" spans="2:22" x14ac:dyDescent="0.25">
      <c r="B1262" s="2"/>
      <c r="C1262" s="2"/>
      <c r="D1262" s="2"/>
      <c r="E1262" s="4"/>
      <c r="F1262" s="2"/>
      <c r="G1262" s="2"/>
      <c r="H1262" s="2"/>
      <c r="I1262" s="4"/>
      <c r="J1262" s="2"/>
      <c r="K1262" s="2"/>
      <c r="M1262" s="4">
        <f t="shared" si="539"/>
        <v>173.1</v>
      </c>
      <c r="N1262" s="4"/>
      <c r="O1262" s="1">
        <f t="shared" si="540"/>
        <v>173.1</v>
      </c>
      <c r="P1262" s="1">
        <f t="shared" si="541"/>
        <v>0</v>
      </c>
      <c r="Q1262" s="1" t="str">
        <f t="shared" si="538"/>
        <v/>
      </c>
      <c r="R1262" s="1" t="str">
        <f t="shared" si="542"/>
        <v/>
      </c>
      <c r="S1262" s="1">
        <f t="shared" si="543"/>
        <v>630.90240000000244</v>
      </c>
      <c r="T1262" s="1">
        <f t="shared" si="544"/>
        <v>0</v>
      </c>
      <c r="U1262" s="1">
        <f t="shared" si="545"/>
        <v>0</v>
      </c>
      <c r="V1262" s="1">
        <f t="shared" si="546"/>
        <v>0</v>
      </c>
    </row>
    <row r="1263" spans="2:22" x14ac:dyDescent="0.25">
      <c r="B1263" s="2"/>
      <c r="C1263" s="2"/>
      <c r="D1263" s="2"/>
      <c r="E1263" s="4"/>
      <c r="F1263" s="2"/>
      <c r="G1263" s="2"/>
      <c r="H1263" s="2"/>
      <c r="I1263" s="4"/>
      <c r="J1263" s="2"/>
      <c r="K1263" s="2"/>
      <c r="M1263" s="4">
        <f t="shared" si="539"/>
        <v>173.1</v>
      </c>
      <c r="N1263" s="4"/>
      <c r="O1263" s="1">
        <f t="shared" si="540"/>
        <v>173.1</v>
      </c>
      <c r="P1263" s="1">
        <f t="shared" si="541"/>
        <v>0</v>
      </c>
      <c r="Q1263" s="1" t="str">
        <f t="shared" si="538"/>
        <v/>
      </c>
      <c r="R1263" s="1" t="str">
        <f t="shared" si="542"/>
        <v/>
      </c>
      <c r="S1263" s="1">
        <f t="shared" si="543"/>
        <v>630.90240000000244</v>
      </c>
      <c r="T1263" s="1">
        <f t="shared" si="544"/>
        <v>0</v>
      </c>
      <c r="U1263" s="1">
        <f t="shared" si="545"/>
        <v>0</v>
      </c>
      <c r="V1263" s="1">
        <f t="shared" si="546"/>
        <v>0</v>
      </c>
    </row>
    <row r="1264" spans="2:22" x14ac:dyDescent="0.25">
      <c r="B1264" s="2"/>
      <c r="C1264" s="2"/>
      <c r="D1264" s="2"/>
      <c r="E1264" s="4"/>
      <c r="F1264" s="2"/>
      <c r="G1264" s="2"/>
      <c r="H1264" s="2"/>
      <c r="I1264" s="4"/>
      <c r="J1264" s="2"/>
      <c r="K1264" s="2"/>
      <c r="M1264" s="4">
        <f t="shared" si="539"/>
        <v>173.1</v>
      </c>
      <c r="N1264" s="4"/>
      <c r="O1264" s="1">
        <f t="shared" si="540"/>
        <v>173.1</v>
      </c>
      <c r="P1264" s="1">
        <f t="shared" si="541"/>
        <v>0</v>
      </c>
      <c r="Q1264" s="1" t="str">
        <f t="shared" si="538"/>
        <v/>
      </c>
      <c r="R1264" s="1" t="str">
        <f t="shared" si="542"/>
        <v/>
      </c>
      <c r="S1264" s="1">
        <f t="shared" si="543"/>
        <v>630.90240000000244</v>
      </c>
      <c r="T1264" s="1">
        <f t="shared" si="544"/>
        <v>0</v>
      </c>
      <c r="U1264" s="1">
        <f t="shared" si="545"/>
        <v>0</v>
      </c>
      <c r="V1264" s="1">
        <f t="shared" si="546"/>
        <v>0</v>
      </c>
    </row>
    <row r="1265" spans="2:22" x14ac:dyDescent="0.25">
      <c r="B1265" s="2"/>
      <c r="C1265" s="2"/>
      <c r="D1265" s="2"/>
      <c r="E1265" s="4"/>
      <c r="F1265" s="2"/>
      <c r="G1265" s="2"/>
      <c r="H1265" s="2"/>
      <c r="I1265" s="4"/>
      <c r="J1265" s="2"/>
      <c r="K1265" s="2"/>
      <c r="M1265" s="4">
        <f t="shared" si="539"/>
        <v>173.1</v>
      </c>
      <c r="N1265" s="4"/>
      <c r="O1265" s="1">
        <f t="shared" si="540"/>
        <v>173.1</v>
      </c>
      <c r="P1265" s="1">
        <f t="shared" si="541"/>
        <v>0</v>
      </c>
      <c r="Q1265" s="1" t="str">
        <f t="shared" si="538"/>
        <v/>
      </c>
      <c r="R1265" s="1" t="str">
        <f t="shared" si="542"/>
        <v/>
      </c>
      <c r="S1265" s="1">
        <f t="shared" si="543"/>
        <v>630.90240000000244</v>
      </c>
      <c r="T1265" s="1">
        <f t="shared" si="544"/>
        <v>0</v>
      </c>
      <c r="U1265" s="1">
        <f t="shared" si="545"/>
        <v>0</v>
      </c>
      <c r="V1265" s="1">
        <f t="shared" si="546"/>
        <v>0</v>
      </c>
    </row>
    <row r="1266" spans="2:22" x14ac:dyDescent="0.25">
      <c r="B1266" s="2"/>
      <c r="C1266" s="2"/>
      <c r="D1266" s="2"/>
      <c r="E1266" s="4"/>
      <c r="F1266" s="2"/>
      <c r="G1266" s="2"/>
      <c r="H1266" s="2"/>
      <c r="I1266" s="4"/>
      <c r="J1266" s="2"/>
      <c r="K1266" s="2"/>
      <c r="M1266" s="4">
        <f t="shared" si="539"/>
        <v>173.1</v>
      </c>
      <c r="N1266" s="4"/>
      <c r="O1266" s="1">
        <f t="shared" si="540"/>
        <v>173.1</v>
      </c>
      <c r="P1266" s="1">
        <f t="shared" si="541"/>
        <v>0</v>
      </c>
      <c r="Q1266" s="1" t="str">
        <f t="shared" ref="Q1266:Q1329" si="547">IF(H1266&lt;&gt;"",IF(H1266=H1265,"",H1266),IF(H1264="","",MAX(H1265,Q1265)))</f>
        <v/>
      </c>
      <c r="R1266" s="1" t="str">
        <f t="shared" si="542"/>
        <v/>
      </c>
      <c r="S1266" s="1">
        <f t="shared" si="543"/>
        <v>630.90240000000244</v>
      </c>
      <c r="T1266" s="1">
        <f t="shared" si="544"/>
        <v>0</v>
      </c>
      <c r="U1266" s="1">
        <f t="shared" si="545"/>
        <v>0</v>
      </c>
      <c r="V1266" s="1">
        <f t="shared" si="546"/>
        <v>0</v>
      </c>
    </row>
    <row r="1267" spans="2:22" x14ac:dyDescent="0.25">
      <c r="B1267" s="2"/>
      <c r="C1267" s="2"/>
      <c r="D1267" s="2"/>
      <c r="E1267" s="4"/>
      <c r="F1267" s="2"/>
      <c r="G1267" s="2"/>
      <c r="H1267" s="2"/>
      <c r="I1267" s="4"/>
      <c r="J1267" s="2"/>
      <c r="K1267" s="2"/>
      <c r="M1267" s="4">
        <f t="shared" si="539"/>
        <v>173.1</v>
      </c>
      <c r="N1267" s="4"/>
      <c r="O1267" s="1">
        <f t="shared" si="540"/>
        <v>173.1</v>
      </c>
      <c r="P1267" s="1">
        <f t="shared" si="541"/>
        <v>0</v>
      </c>
      <c r="Q1267" s="1" t="str">
        <f t="shared" si="547"/>
        <v/>
      </c>
      <c r="R1267" s="1" t="str">
        <f t="shared" si="542"/>
        <v/>
      </c>
      <c r="S1267" s="1">
        <f t="shared" si="543"/>
        <v>630.90240000000244</v>
      </c>
      <c r="T1267" s="1">
        <f t="shared" si="544"/>
        <v>0</v>
      </c>
      <c r="U1267" s="1">
        <f t="shared" si="545"/>
        <v>0</v>
      </c>
      <c r="V1267" s="1">
        <f t="shared" si="546"/>
        <v>0</v>
      </c>
    </row>
    <row r="1268" spans="2:22" x14ac:dyDescent="0.25">
      <c r="B1268" s="2"/>
      <c r="C1268" s="2"/>
      <c r="D1268" s="2"/>
      <c r="E1268" s="4"/>
      <c r="F1268" s="2"/>
      <c r="G1268" s="2"/>
      <c r="H1268" s="2"/>
      <c r="I1268" s="4"/>
      <c r="J1268" s="2"/>
      <c r="K1268" s="2"/>
      <c r="M1268" s="4">
        <f t="shared" si="539"/>
        <v>173.1</v>
      </c>
      <c r="N1268" s="4"/>
      <c r="O1268" s="1">
        <f t="shared" si="540"/>
        <v>173.1</v>
      </c>
      <c r="P1268" s="1">
        <f t="shared" si="541"/>
        <v>0</v>
      </c>
      <c r="Q1268" s="1" t="str">
        <f t="shared" si="547"/>
        <v/>
      </c>
      <c r="R1268" s="1" t="str">
        <f t="shared" si="542"/>
        <v/>
      </c>
      <c r="S1268" s="1">
        <f t="shared" si="543"/>
        <v>630.90240000000244</v>
      </c>
      <c r="T1268" s="1">
        <f t="shared" si="544"/>
        <v>0</v>
      </c>
      <c r="U1268" s="1">
        <f t="shared" si="545"/>
        <v>0</v>
      </c>
      <c r="V1268" s="1">
        <f t="shared" si="546"/>
        <v>0</v>
      </c>
    </row>
    <row r="1269" spans="2:22" x14ac:dyDescent="0.25">
      <c r="B1269" s="2"/>
      <c r="C1269" s="2"/>
      <c r="D1269" s="2"/>
      <c r="E1269" s="4"/>
      <c r="F1269" s="2"/>
      <c r="G1269" s="2"/>
      <c r="H1269" s="2"/>
      <c r="I1269" s="4"/>
      <c r="J1269" s="2"/>
      <c r="K1269" s="2"/>
      <c r="M1269" s="4">
        <f t="shared" si="539"/>
        <v>173.1</v>
      </c>
      <c r="N1269" s="4"/>
      <c r="O1269" s="1">
        <f t="shared" si="540"/>
        <v>173.1</v>
      </c>
      <c r="P1269" s="1">
        <f t="shared" si="541"/>
        <v>0</v>
      </c>
      <c r="Q1269" s="1" t="str">
        <f t="shared" si="547"/>
        <v/>
      </c>
      <c r="R1269" s="1" t="str">
        <f t="shared" si="542"/>
        <v/>
      </c>
      <c r="S1269" s="1">
        <f t="shared" si="543"/>
        <v>630.90240000000244</v>
      </c>
      <c r="T1269" s="1">
        <f t="shared" si="544"/>
        <v>0</v>
      </c>
      <c r="U1269" s="1">
        <f t="shared" si="545"/>
        <v>0</v>
      </c>
      <c r="V1269" s="1">
        <f t="shared" si="546"/>
        <v>0</v>
      </c>
    </row>
    <row r="1270" spans="2:22" x14ac:dyDescent="0.25">
      <c r="B1270" s="2"/>
      <c r="C1270" s="2"/>
      <c r="D1270" s="2"/>
      <c r="E1270" s="4"/>
      <c r="F1270" s="2"/>
      <c r="G1270" s="2"/>
      <c r="H1270" s="2"/>
      <c r="I1270" s="4"/>
      <c r="J1270" s="2"/>
      <c r="K1270" s="2"/>
      <c r="M1270" s="4">
        <f t="shared" si="539"/>
        <v>173.1</v>
      </c>
      <c r="N1270" s="4"/>
      <c r="O1270" s="1">
        <f t="shared" si="540"/>
        <v>173.1</v>
      </c>
      <c r="P1270" s="1">
        <f t="shared" si="541"/>
        <v>0</v>
      </c>
      <c r="Q1270" s="1" t="str">
        <f t="shared" si="547"/>
        <v/>
      </c>
      <c r="R1270" s="1" t="str">
        <f t="shared" si="542"/>
        <v/>
      </c>
      <c r="S1270" s="1">
        <f t="shared" si="543"/>
        <v>630.90240000000244</v>
      </c>
      <c r="T1270" s="1">
        <f t="shared" si="544"/>
        <v>0</v>
      </c>
      <c r="U1270" s="1">
        <f t="shared" si="545"/>
        <v>0</v>
      </c>
      <c r="V1270" s="1">
        <f t="shared" si="546"/>
        <v>0</v>
      </c>
    </row>
    <row r="1271" spans="2:22" x14ac:dyDescent="0.25">
      <c r="B1271" s="2"/>
      <c r="C1271" s="2"/>
      <c r="D1271" s="2"/>
      <c r="E1271" s="4"/>
      <c r="F1271" s="2"/>
      <c r="G1271" s="2"/>
      <c r="H1271" s="2"/>
      <c r="I1271" s="4"/>
      <c r="J1271" s="2"/>
      <c r="K1271" s="2"/>
      <c r="M1271" s="4">
        <f t="shared" si="539"/>
        <v>173.1</v>
      </c>
      <c r="N1271" s="4"/>
      <c r="O1271" s="1">
        <f t="shared" si="540"/>
        <v>173.1</v>
      </c>
      <c r="P1271" s="1">
        <f t="shared" si="541"/>
        <v>0</v>
      </c>
      <c r="Q1271" s="1" t="str">
        <f t="shared" si="547"/>
        <v/>
      </c>
      <c r="R1271" s="1" t="str">
        <f t="shared" si="542"/>
        <v/>
      </c>
      <c r="S1271" s="1">
        <f t="shared" si="543"/>
        <v>630.90240000000244</v>
      </c>
      <c r="T1271" s="1">
        <f t="shared" si="544"/>
        <v>0</v>
      </c>
      <c r="U1271" s="1">
        <f t="shared" si="545"/>
        <v>0</v>
      </c>
      <c r="V1271" s="1">
        <f t="shared" si="546"/>
        <v>0</v>
      </c>
    </row>
    <row r="1272" spans="2:22" x14ac:dyDescent="0.25">
      <c r="B1272" s="2"/>
      <c r="C1272" s="2"/>
      <c r="D1272" s="2"/>
      <c r="E1272" s="4"/>
      <c r="F1272" s="2"/>
      <c r="G1272" s="2"/>
      <c r="H1272" s="2"/>
      <c r="I1272" s="4"/>
      <c r="J1272" s="2"/>
      <c r="K1272" s="2"/>
      <c r="M1272" s="4">
        <f t="shared" si="539"/>
        <v>173.1</v>
      </c>
      <c r="N1272" s="4"/>
      <c r="O1272" s="1">
        <f t="shared" si="540"/>
        <v>173.1</v>
      </c>
      <c r="P1272" s="1">
        <f t="shared" si="541"/>
        <v>0</v>
      </c>
      <c r="Q1272" s="1" t="str">
        <f t="shared" si="547"/>
        <v/>
      </c>
      <c r="R1272" s="1" t="str">
        <f t="shared" si="542"/>
        <v/>
      </c>
      <c r="S1272" s="1">
        <f t="shared" si="543"/>
        <v>630.90240000000244</v>
      </c>
      <c r="T1272" s="1">
        <f t="shared" si="544"/>
        <v>0</v>
      </c>
      <c r="U1272" s="1">
        <f t="shared" si="545"/>
        <v>0</v>
      </c>
      <c r="V1272" s="1">
        <f t="shared" si="546"/>
        <v>0</v>
      </c>
    </row>
    <row r="1273" spans="2:22" x14ac:dyDescent="0.25">
      <c r="B1273" s="2"/>
      <c r="C1273" s="2"/>
      <c r="D1273" s="2"/>
      <c r="E1273" s="4"/>
      <c r="F1273" s="2"/>
      <c r="G1273" s="2"/>
      <c r="H1273" s="2"/>
      <c r="I1273" s="4"/>
      <c r="J1273" s="2"/>
      <c r="K1273" s="2"/>
      <c r="M1273" s="4">
        <f t="shared" si="539"/>
        <v>173.1</v>
      </c>
      <c r="N1273" s="4"/>
      <c r="O1273" s="1">
        <f t="shared" si="540"/>
        <v>173.1</v>
      </c>
      <c r="P1273" s="1">
        <f t="shared" si="541"/>
        <v>0</v>
      </c>
      <c r="Q1273" s="1" t="str">
        <f t="shared" si="547"/>
        <v/>
      </c>
      <c r="R1273" s="1" t="str">
        <f t="shared" si="542"/>
        <v/>
      </c>
      <c r="S1273" s="1">
        <f t="shared" si="543"/>
        <v>630.90240000000244</v>
      </c>
      <c r="T1273" s="1">
        <f t="shared" si="544"/>
        <v>0</v>
      </c>
      <c r="U1273" s="1">
        <f t="shared" si="545"/>
        <v>0</v>
      </c>
      <c r="V1273" s="1">
        <f t="shared" si="546"/>
        <v>0</v>
      </c>
    </row>
    <row r="1274" spans="2:22" x14ac:dyDescent="0.25">
      <c r="B1274" s="2"/>
      <c r="C1274" s="2"/>
      <c r="D1274" s="2"/>
      <c r="E1274" s="4"/>
      <c r="F1274" s="2"/>
      <c r="G1274" s="2"/>
      <c r="H1274" s="2"/>
      <c r="I1274" s="4"/>
      <c r="J1274" s="2"/>
      <c r="K1274" s="2"/>
      <c r="M1274" s="4">
        <f t="shared" si="539"/>
        <v>173.1</v>
      </c>
      <c r="N1274" s="4"/>
      <c r="O1274" s="1">
        <f t="shared" si="540"/>
        <v>173.1</v>
      </c>
      <c r="P1274" s="1">
        <f t="shared" si="541"/>
        <v>0</v>
      </c>
      <c r="Q1274" s="1" t="str">
        <f t="shared" si="547"/>
        <v/>
      </c>
      <c r="R1274" s="1" t="str">
        <f t="shared" si="542"/>
        <v/>
      </c>
      <c r="S1274" s="1">
        <f t="shared" si="543"/>
        <v>630.90240000000244</v>
      </c>
      <c r="T1274" s="1">
        <f t="shared" si="544"/>
        <v>0</v>
      </c>
      <c r="U1274" s="1">
        <f t="shared" si="545"/>
        <v>0</v>
      </c>
      <c r="V1274" s="1">
        <f t="shared" si="546"/>
        <v>0</v>
      </c>
    </row>
    <row r="1275" spans="2:22" x14ac:dyDescent="0.25">
      <c r="B1275" s="2"/>
      <c r="C1275" s="2"/>
      <c r="D1275" s="2"/>
      <c r="E1275" s="4"/>
      <c r="F1275" s="2"/>
      <c r="G1275" s="2"/>
      <c r="H1275" s="2"/>
      <c r="I1275" s="4"/>
      <c r="J1275" s="2"/>
      <c r="K1275" s="2"/>
      <c r="M1275" s="4">
        <f t="shared" si="539"/>
        <v>173.1</v>
      </c>
      <c r="N1275" s="4"/>
      <c r="O1275" s="1">
        <f t="shared" si="540"/>
        <v>173.1</v>
      </c>
      <c r="P1275" s="1">
        <f t="shared" si="541"/>
        <v>0</v>
      </c>
      <c r="Q1275" s="1" t="str">
        <f t="shared" si="547"/>
        <v/>
      </c>
      <c r="R1275" s="1" t="str">
        <f t="shared" si="542"/>
        <v/>
      </c>
      <c r="S1275" s="1">
        <f t="shared" si="543"/>
        <v>630.90240000000244</v>
      </c>
      <c r="T1275" s="1">
        <f t="shared" si="544"/>
        <v>0</v>
      </c>
      <c r="U1275" s="1">
        <f t="shared" si="545"/>
        <v>0</v>
      </c>
      <c r="V1275" s="1">
        <f t="shared" si="546"/>
        <v>0</v>
      </c>
    </row>
    <row r="1276" spans="2:22" x14ac:dyDescent="0.25">
      <c r="B1276" s="2"/>
      <c r="C1276" s="2"/>
      <c r="D1276" s="2"/>
      <c r="E1276" s="4"/>
      <c r="F1276" s="2"/>
      <c r="G1276" s="2"/>
      <c r="H1276" s="2"/>
      <c r="I1276" s="4"/>
      <c r="J1276" s="2"/>
      <c r="K1276" s="2"/>
      <c r="M1276" s="4">
        <f t="shared" si="539"/>
        <v>173.1</v>
      </c>
      <c r="N1276" s="4"/>
      <c r="O1276" s="1">
        <f t="shared" si="540"/>
        <v>173.1</v>
      </c>
      <c r="P1276" s="1">
        <f t="shared" si="541"/>
        <v>0</v>
      </c>
      <c r="Q1276" s="1" t="str">
        <f t="shared" si="547"/>
        <v/>
      </c>
      <c r="R1276" s="1" t="str">
        <f t="shared" si="542"/>
        <v/>
      </c>
      <c r="S1276" s="1">
        <f t="shared" si="543"/>
        <v>630.90240000000244</v>
      </c>
      <c r="T1276" s="1">
        <f t="shared" si="544"/>
        <v>0</v>
      </c>
      <c r="U1276" s="1">
        <f t="shared" si="545"/>
        <v>0</v>
      </c>
      <c r="V1276" s="1">
        <f t="shared" si="546"/>
        <v>0</v>
      </c>
    </row>
    <row r="1277" spans="2:22" x14ac:dyDescent="0.25">
      <c r="B1277" s="2"/>
      <c r="C1277" s="2"/>
      <c r="D1277" s="2"/>
      <c r="E1277" s="4"/>
      <c r="F1277" s="2"/>
      <c r="G1277" s="2"/>
      <c r="H1277" s="2"/>
      <c r="I1277" s="4"/>
      <c r="J1277" s="2"/>
      <c r="K1277" s="2"/>
      <c r="M1277" s="4">
        <f t="shared" si="539"/>
        <v>173.1</v>
      </c>
      <c r="N1277" s="4"/>
      <c r="O1277" s="1">
        <f t="shared" si="540"/>
        <v>173.1</v>
      </c>
      <c r="P1277" s="1">
        <f t="shared" si="541"/>
        <v>0</v>
      </c>
      <c r="Q1277" s="1" t="str">
        <f t="shared" si="547"/>
        <v/>
      </c>
      <c r="R1277" s="1" t="str">
        <f t="shared" si="542"/>
        <v/>
      </c>
      <c r="S1277" s="1">
        <f t="shared" si="543"/>
        <v>630.90240000000244</v>
      </c>
      <c r="T1277" s="1">
        <f t="shared" si="544"/>
        <v>0</v>
      </c>
      <c r="U1277" s="1">
        <f t="shared" si="545"/>
        <v>0</v>
      </c>
      <c r="V1277" s="1">
        <f t="shared" si="546"/>
        <v>0</v>
      </c>
    </row>
    <row r="1278" spans="2:22" x14ac:dyDescent="0.25">
      <c r="B1278" s="2"/>
      <c r="C1278" s="2"/>
      <c r="D1278" s="2"/>
      <c r="E1278" s="4"/>
      <c r="F1278" s="2"/>
      <c r="G1278" s="2"/>
      <c r="H1278" s="2"/>
      <c r="I1278" s="4"/>
      <c r="J1278" s="2"/>
      <c r="K1278" s="2"/>
      <c r="M1278" s="4">
        <f t="shared" si="539"/>
        <v>173.1</v>
      </c>
      <c r="N1278" s="4"/>
      <c r="O1278" s="1">
        <f t="shared" si="540"/>
        <v>173.1</v>
      </c>
      <c r="P1278" s="1">
        <f t="shared" si="541"/>
        <v>0</v>
      </c>
      <c r="Q1278" s="1" t="str">
        <f t="shared" si="547"/>
        <v/>
      </c>
      <c r="R1278" s="1" t="str">
        <f t="shared" si="542"/>
        <v/>
      </c>
      <c r="S1278" s="1">
        <f t="shared" si="543"/>
        <v>630.90240000000244</v>
      </c>
      <c r="T1278" s="1">
        <f t="shared" si="544"/>
        <v>0</v>
      </c>
      <c r="U1278" s="1">
        <f t="shared" si="545"/>
        <v>0</v>
      </c>
      <c r="V1278" s="1">
        <f t="shared" si="546"/>
        <v>0</v>
      </c>
    </row>
    <row r="1279" spans="2:22" x14ac:dyDescent="0.25">
      <c r="B1279" s="2"/>
      <c r="C1279" s="2"/>
      <c r="D1279" s="2"/>
      <c r="E1279" s="4"/>
      <c r="F1279" s="2"/>
      <c r="G1279" s="2"/>
      <c r="H1279" s="2"/>
      <c r="I1279" s="4"/>
      <c r="J1279" s="2"/>
      <c r="K1279" s="2"/>
      <c r="M1279" s="4">
        <f t="shared" si="539"/>
        <v>173.1</v>
      </c>
      <c r="N1279" s="4"/>
      <c r="O1279" s="1">
        <f t="shared" si="540"/>
        <v>173.1</v>
      </c>
      <c r="P1279" s="1">
        <f t="shared" si="541"/>
        <v>0</v>
      </c>
      <c r="Q1279" s="1" t="str">
        <f t="shared" si="547"/>
        <v/>
      </c>
      <c r="R1279" s="1" t="str">
        <f t="shared" si="542"/>
        <v/>
      </c>
      <c r="S1279" s="1">
        <f t="shared" si="543"/>
        <v>630.90240000000244</v>
      </c>
      <c r="T1279" s="1">
        <f t="shared" si="544"/>
        <v>0</v>
      </c>
      <c r="U1279" s="1">
        <f t="shared" si="545"/>
        <v>0</v>
      </c>
      <c r="V1279" s="1">
        <f t="shared" si="546"/>
        <v>0</v>
      </c>
    </row>
    <row r="1280" spans="2:22" x14ac:dyDescent="0.25">
      <c r="B1280" s="2"/>
      <c r="C1280" s="2"/>
      <c r="D1280" s="2"/>
      <c r="E1280" s="4"/>
      <c r="F1280" s="2"/>
      <c r="G1280" s="2"/>
      <c r="H1280" s="2"/>
      <c r="I1280" s="4"/>
      <c r="J1280" s="2"/>
      <c r="K1280" s="2"/>
      <c r="M1280" s="4">
        <f t="shared" si="539"/>
        <v>173.1</v>
      </c>
      <c r="N1280" s="4"/>
      <c r="O1280" s="1">
        <f t="shared" si="540"/>
        <v>173.1</v>
      </c>
      <c r="P1280" s="1">
        <f t="shared" si="541"/>
        <v>0</v>
      </c>
      <c r="Q1280" s="1" t="str">
        <f t="shared" si="547"/>
        <v/>
      </c>
      <c r="R1280" s="1" t="str">
        <f t="shared" si="542"/>
        <v/>
      </c>
      <c r="S1280" s="1">
        <f t="shared" si="543"/>
        <v>630.90240000000244</v>
      </c>
      <c r="T1280" s="1">
        <f t="shared" si="544"/>
        <v>0</v>
      </c>
      <c r="U1280" s="1">
        <f t="shared" si="545"/>
        <v>0</v>
      </c>
      <c r="V1280" s="1">
        <f t="shared" si="546"/>
        <v>0</v>
      </c>
    </row>
    <row r="1281" spans="2:22" x14ac:dyDescent="0.25">
      <c r="B1281" s="2"/>
      <c r="C1281" s="2"/>
      <c r="D1281" s="2"/>
      <c r="E1281" s="4"/>
      <c r="F1281" s="2"/>
      <c r="G1281" s="2"/>
      <c r="H1281" s="2"/>
      <c r="I1281" s="4"/>
      <c r="J1281" s="2"/>
      <c r="K1281" s="2"/>
      <c r="M1281" s="4">
        <f t="shared" si="539"/>
        <v>173.1</v>
      </c>
      <c r="N1281" s="4"/>
      <c r="O1281" s="1">
        <f t="shared" si="540"/>
        <v>173.1</v>
      </c>
      <c r="P1281" s="1">
        <f t="shared" si="541"/>
        <v>0</v>
      </c>
      <c r="Q1281" s="1" t="str">
        <f t="shared" si="547"/>
        <v/>
      </c>
      <c r="R1281" s="1" t="str">
        <f t="shared" si="542"/>
        <v/>
      </c>
      <c r="S1281" s="1">
        <f t="shared" si="543"/>
        <v>630.90240000000244</v>
      </c>
      <c r="T1281" s="1">
        <f t="shared" si="544"/>
        <v>0</v>
      </c>
      <c r="U1281" s="1">
        <f t="shared" si="545"/>
        <v>0</v>
      </c>
      <c r="V1281" s="1">
        <f t="shared" si="546"/>
        <v>0</v>
      </c>
    </row>
    <row r="1282" spans="2:22" x14ac:dyDescent="0.25">
      <c r="B1282" s="2"/>
      <c r="C1282" s="2"/>
      <c r="D1282" s="2"/>
      <c r="E1282" s="4"/>
      <c r="F1282" s="2"/>
      <c r="G1282" s="2"/>
      <c r="H1282" s="2"/>
      <c r="I1282" s="4"/>
      <c r="J1282" s="2"/>
      <c r="K1282" s="2"/>
      <c r="M1282" s="4">
        <f t="shared" si="539"/>
        <v>173.1</v>
      </c>
      <c r="N1282" s="4"/>
      <c r="O1282" s="1">
        <f t="shared" si="540"/>
        <v>173.1</v>
      </c>
      <c r="P1282" s="1">
        <f t="shared" si="541"/>
        <v>0</v>
      </c>
      <c r="Q1282" s="1" t="str">
        <f t="shared" si="547"/>
        <v/>
      </c>
      <c r="R1282" s="1" t="str">
        <f t="shared" si="542"/>
        <v/>
      </c>
      <c r="S1282" s="1">
        <f t="shared" si="543"/>
        <v>630.90240000000244</v>
      </c>
      <c r="T1282" s="1">
        <f t="shared" si="544"/>
        <v>0</v>
      </c>
      <c r="U1282" s="1">
        <f t="shared" si="545"/>
        <v>0</v>
      </c>
      <c r="V1282" s="1">
        <f t="shared" si="546"/>
        <v>0</v>
      </c>
    </row>
    <row r="1283" spans="2:22" x14ac:dyDescent="0.25">
      <c r="B1283" s="2"/>
      <c r="C1283" s="2"/>
      <c r="D1283" s="2"/>
      <c r="E1283" s="4"/>
      <c r="F1283" s="2"/>
      <c r="G1283" s="2"/>
      <c r="H1283" s="2"/>
      <c r="I1283" s="4"/>
      <c r="J1283" s="2"/>
      <c r="K1283" s="2"/>
      <c r="M1283" s="4">
        <f t="shared" si="539"/>
        <v>173.1</v>
      </c>
      <c r="N1283" s="4"/>
      <c r="O1283" s="1">
        <f t="shared" si="540"/>
        <v>173.1</v>
      </c>
      <c r="P1283" s="1">
        <f t="shared" si="541"/>
        <v>0</v>
      </c>
      <c r="Q1283" s="1" t="str">
        <f t="shared" si="547"/>
        <v/>
      </c>
      <c r="R1283" s="1" t="str">
        <f t="shared" si="542"/>
        <v/>
      </c>
      <c r="S1283" s="1">
        <f t="shared" si="543"/>
        <v>630.90240000000244</v>
      </c>
      <c r="T1283" s="1">
        <f t="shared" si="544"/>
        <v>0</v>
      </c>
      <c r="U1283" s="1">
        <f t="shared" si="545"/>
        <v>0</v>
      </c>
      <c r="V1283" s="1">
        <f t="shared" si="546"/>
        <v>0</v>
      </c>
    </row>
    <row r="1284" spans="2:22" x14ac:dyDescent="0.25">
      <c r="B1284" s="2"/>
      <c r="C1284" s="2"/>
      <c r="D1284" s="2"/>
      <c r="E1284" s="4"/>
      <c r="F1284" s="2"/>
      <c r="G1284" s="2"/>
      <c r="H1284" s="2"/>
      <c r="I1284" s="4"/>
      <c r="J1284" s="2"/>
      <c r="K1284" s="2"/>
      <c r="M1284" s="4">
        <f t="shared" si="539"/>
        <v>173.1</v>
      </c>
      <c r="N1284" s="4"/>
      <c r="O1284" s="1">
        <f t="shared" si="540"/>
        <v>173.1</v>
      </c>
      <c r="P1284" s="1">
        <f t="shared" si="541"/>
        <v>0</v>
      </c>
      <c r="Q1284" s="1" t="str">
        <f t="shared" si="547"/>
        <v/>
      </c>
      <c r="R1284" s="1" t="str">
        <f t="shared" si="542"/>
        <v/>
      </c>
      <c r="S1284" s="1">
        <f t="shared" si="543"/>
        <v>630.90240000000244</v>
      </c>
      <c r="T1284" s="1">
        <f t="shared" si="544"/>
        <v>0</v>
      </c>
      <c r="U1284" s="1">
        <f t="shared" si="545"/>
        <v>0</v>
      </c>
      <c r="V1284" s="1">
        <f t="shared" si="546"/>
        <v>0</v>
      </c>
    </row>
    <row r="1285" spans="2:22" x14ac:dyDescent="0.25">
      <c r="B1285" s="2"/>
      <c r="C1285" s="2"/>
      <c r="D1285" s="2"/>
      <c r="E1285" s="4"/>
      <c r="F1285" s="2"/>
      <c r="G1285" s="2"/>
      <c r="H1285" s="2"/>
      <c r="I1285" s="4"/>
      <c r="J1285" s="2"/>
      <c r="K1285" s="2"/>
      <c r="M1285" s="4">
        <f t="shared" si="539"/>
        <v>173.1</v>
      </c>
      <c r="N1285" s="4"/>
      <c r="O1285" s="1">
        <f t="shared" si="540"/>
        <v>173.1</v>
      </c>
      <c r="P1285" s="1">
        <f t="shared" si="541"/>
        <v>0</v>
      </c>
      <c r="Q1285" s="1" t="str">
        <f t="shared" si="547"/>
        <v/>
      </c>
      <c r="R1285" s="1" t="str">
        <f t="shared" si="542"/>
        <v/>
      </c>
      <c r="S1285" s="1">
        <f t="shared" si="543"/>
        <v>630.90240000000244</v>
      </c>
      <c r="T1285" s="1">
        <f t="shared" si="544"/>
        <v>0</v>
      </c>
      <c r="U1285" s="1">
        <f t="shared" si="545"/>
        <v>0</v>
      </c>
      <c r="V1285" s="1">
        <f t="shared" si="546"/>
        <v>0</v>
      </c>
    </row>
    <row r="1286" spans="2:22" x14ac:dyDescent="0.25">
      <c r="B1286" s="2"/>
      <c r="C1286" s="2"/>
      <c r="D1286" s="2"/>
      <c r="E1286" s="4"/>
      <c r="F1286" s="2"/>
      <c r="G1286" s="2"/>
      <c r="H1286" s="2"/>
      <c r="I1286" s="4"/>
      <c r="J1286" s="2"/>
      <c r="K1286" s="2"/>
      <c r="M1286" s="4">
        <f t="shared" si="539"/>
        <v>173.1</v>
      </c>
      <c r="N1286" s="4"/>
      <c r="O1286" s="1">
        <f t="shared" si="540"/>
        <v>173.1</v>
      </c>
      <c r="P1286" s="1">
        <f t="shared" si="541"/>
        <v>0</v>
      </c>
      <c r="Q1286" s="1" t="str">
        <f t="shared" si="547"/>
        <v/>
      </c>
      <c r="R1286" s="1" t="str">
        <f t="shared" si="542"/>
        <v/>
      </c>
      <c r="S1286" s="1">
        <f t="shared" si="543"/>
        <v>630.90240000000244</v>
      </c>
      <c r="T1286" s="1">
        <f t="shared" si="544"/>
        <v>0</v>
      </c>
      <c r="U1286" s="1">
        <f t="shared" si="545"/>
        <v>0</v>
      </c>
      <c r="V1286" s="1">
        <f t="shared" si="546"/>
        <v>0</v>
      </c>
    </row>
    <row r="1287" spans="2:22" x14ac:dyDescent="0.25">
      <c r="B1287" s="2"/>
      <c r="C1287" s="2"/>
      <c r="D1287" s="2"/>
      <c r="E1287" s="4"/>
      <c r="F1287" s="2"/>
      <c r="G1287" s="2"/>
      <c r="H1287" s="2"/>
      <c r="I1287" s="4"/>
      <c r="J1287" s="2"/>
      <c r="K1287" s="2"/>
      <c r="M1287" s="4">
        <f t="shared" si="539"/>
        <v>173.1</v>
      </c>
      <c r="N1287" s="4"/>
      <c r="O1287" s="1">
        <f t="shared" si="540"/>
        <v>173.1</v>
      </c>
      <c r="P1287" s="1">
        <f t="shared" si="541"/>
        <v>0</v>
      </c>
      <c r="Q1287" s="1" t="str">
        <f t="shared" si="547"/>
        <v/>
      </c>
      <c r="R1287" s="1" t="str">
        <f t="shared" si="542"/>
        <v/>
      </c>
      <c r="S1287" s="1">
        <f t="shared" si="543"/>
        <v>630.90240000000244</v>
      </c>
      <c r="T1287" s="1">
        <f t="shared" si="544"/>
        <v>0</v>
      </c>
      <c r="U1287" s="1">
        <f t="shared" si="545"/>
        <v>0</v>
      </c>
      <c r="V1287" s="1">
        <f t="shared" si="546"/>
        <v>0</v>
      </c>
    </row>
    <row r="1288" spans="2:22" x14ac:dyDescent="0.25">
      <c r="B1288" s="2"/>
      <c r="C1288" s="2"/>
      <c r="D1288" s="2"/>
      <c r="E1288" s="4"/>
      <c r="F1288" s="2"/>
      <c r="G1288" s="2"/>
      <c r="H1288" s="2"/>
      <c r="I1288" s="4"/>
      <c r="J1288" s="2"/>
      <c r="K1288" s="2"/>
      <c r="M1288" s="4">
        <f t="shared" ref="M1288:M1351" si="548">E1288+M1287</f>
        <v>173.1</v>
      </c>
      <c r="N1288" s="4"/>
      <c r="O1288" s="1">
        <f t="shared" ref="O1288:O1351" si="549">E1287+O1287</f>
        <v>173.1</v>
      </c>
      <c r="P1288" s="1">
        <f t="shared" ref="P1288:P1351" si="550">F1288*52.8*E1288</f>
        <v>0</v>
      </c>
      <c r="Q1288" s="1" t="str">
        <f t="shared" si="547"/>
        <v/>
      </c>
      <c r="R1288" s="1" t="str">
        <f t="shared" ref="R1288:R1351" si="551">IF(I1288="",Q1288,IF(AND(H1288=H1287,I1288=I1287),"",I1288))</f>
        <v/>
      </c>
      <c r="S1288" s="1">
        <f t="shared" ref="S1288:S1351" si="552">S1287+U1287*T1287/100</f>
        <v>630.90240000000244</v>
      </c>
      <c r="T1288" s="1">
        <f t="shared" ref="T1288:T1351" si="553">IF(G1288="UNK",0,G1288)</f>
        <v>0</v>
      </c>
      <c r="U1288" s="1">
        <f t="shared" ref="U1288:U1351" si="554">E1288*5280</f>
        <v>0</v>
      </c>
      <c r="V1288" s="1">
        <f t="shared" ref="V1288:V1351" si="555">ABS(T1288*U1288)</f>
        <v>0</v>
      </c>
    </row>
    <row r="1289" spans="2:22" x14ac:dyDescent="0.25">
      <c r="B1289" s="2"/>
      <c r="C1289" s="2"/>
      <c r="D1289" s="2"/>
      <c r="E1289" s="4"/>
      <c r="F1289" s="2"/>
      <c r="G1289" s="2"/>
      <c r="H1289" s="2"/>
      <c r="I1289" s="4"/>
      <c r="J1289" s="2"/>
      <c r="K1289" s="2"/>
      <c r="M1289" s="4">
        <f t="shared" si="548"/>
        <v>173.1</v>
      </c>
      <c r="N1289" s="4"/>
      <c r="O1289" s="1">
        <f t="shared" si="549"/>
        <v>173.1</v>
      </c>
      <c r="P1289" s="1">
        <f t="shared" si="550"/>
        <v>0</v>
      </c>
      <c r="Q1289" s="1" t="str">
        <f t="shared" si="547"/>
        <v/>
      </c>
      <c r="R1289" s="1" t="str">
        <f t="shared" si="551"/>
        <v/>
      </c>
      <c r="S1289" s="1">
        <f t="shared" si="552"/>
        <v>630.90240000000244</v>
      </c>
      <c r="T1289" s="1">
        <f t="shared" si="553"/>
        <v>0</v>
      </c>
      <c r="U1289" s="1">
        <f t="shared" si="554"/>
        <v>0</v>
      </c>
      <c r="V1289" s="1">
        <f t="shared" si="555"/>
        <v>0</v>
      </c>
    </row>
    <row r="1290" spans="2:22" x14ac:dyDescent="0.25">
      <c r="B1290" s="2"/>
      <c r="C1290" s="2"/>
      <c r="D1290" s="2"/>
      <c r="E1290" s="4"/>
      <c r="F1290" s="2"/>
      <c r="G1290" s="2"/>
      <c r="H1290" s="2"/>
      <c r="I1290" s="4"/>
      <c r="J1290" s="2"/>
      <c r="K1290" s="2"/>
      <c r="M1290" s="4">
        <f t="shared" si="548"/>
        <v>173.1</v>
      </c>
      <c r="N1290" s="4"/>
      <c r="O1290" s="1">
        <f t="shared" si="549"/>
        <v>173.1</v>
      </c>
      <c r="P1290" s="1">
        <f t="shared" si="550"/>
        <v>0</v>
      </c>
      <c r="Q1290" s="1" t="str">
        <f t="shared" si="547"/>
        <v/>
      </c>
      <c r="R1290" s="1" t="str">
        <f t="shared" si="551"/>
        <v/>
      </c>
      <c r="S1290" s="1">
        <f t="shared" si="552"/>
        <v>630.90240000000244</v>
      </c>
      <c r="T1290" s="1">
        <f t="shared" si="553"/>
        <v>0</v>
      </c>
      <c r="U1290" s="1">
        <f t="shared" si="554"/>
        <v>0</v>
      </c>
      <c r="V1290" s="1">
        <f t="shared" si="555"/>
        <v>0</v>
      </c>
    </row>
    <row r="1291" spans="2:22" x14ac:dyDescent="0.25">
      <c r="B1291" s="2"/>
      <c r="C1291" s="2"/>
      <c r="D1291" s="2"/>
      <c r="E1291" s="4"/>
      <c r="F1291" s="2"/>
      <c r="G1291" s="2"/>
      <c r="H1291" s="2"/>
      <c r="I1291" s="4"/>
      <c r="J1291" s="2"/>
      <c r="K1291" s="2"/>
      <c r="M1291" s="4">
        <f t="shared" si="548"/>
        <v>173.1</v>
      </c>
      <c r="N1291" s="4"/>
      <c r="O1291" s="1">
        <f t="shared" si="549"/>
        <v>173.1</v>
      </c>
      <c r="P1291" s="1">
        <f t="shared" si="550"/>
        <v>0</v>
      </c>
      <c r="Q1291" s="1" t="str">
        <f t="shared" si="547"/>
        <v/>
      </c>
      <c r="R1291" s="1" t="str">
        <f t="shared" si="551"/>
        <v/>
      </c>
      <c r="S1291" s="1">
        <f t="shared" si="552"/>
        <v>630.90240000000244</v>
      </c>
      <c r="T1291" s="1">
        <f t="shared" si="553"/>
        <v>0</v>
      </c>
      <c r="U1291" s="1">
        <f t="shared" si="554"/>
        <v>0</v>
      </c>
      <c r="V1291" s="1">
        <f t="shared" si="555"/>
        <v>0</v>
      </c>
    </row>
    <row r="1292" spans="2:22" x14ac:dyDescent="0.25">
      <c r="B1292" s="2"/>
      <c r="C1292" s="2"/>
      <c r="D1292" s="2"/>
      <c r="E1292" s="4"/>
      <c r="F1292" s="2"/>
      <c r="G1292" s="2"/>
      <c r="H1292" s="2"/>
      <c r="I1292" s="4"/>
      <c r="J1292" s="2"/>
      <c r="K1292" s="2"/>
      <c r="M1292" s="4">
        <f t="shared" si="548"/>
        <v>173.1</v>
      </c>
      <c r="N1292" s="4"/>
      <c r="O1292" s="1">
        <f t="shared" si="549"/>
        <v>173.1</v>
      </c>
      <c r="P1292" s="1">
        <f t="shared" si="550"/>
        <v>0</v>
      </c>
      <c r="Q1292" s="1" t="str">
        <f t="shared" si="547"/>
        <v/>
      </c>
      <c r="R1292" s="1" t="str">
        <f t="shared" si="551"/>
        <v/>
      </c>
      <c r="S1292" s="1">
        <f t="shared" si="552"/>
        <v>630.90240000000244</v>
      </c>
      <c r="T1292" s="1">
        <f t="shared" si="553"/>
        <v>0</v>
      </c>
      <c r="U1292" s="1">
        <f t="shared" si="554"/>
        <v>0</v>
      </c>
      <c r="V1292" s="1">
        <f t="shared" si="555"/>
        <v>0</v>
      </c>
    </row>
    <row r="1293" spans="2:22" x14ac:dyDescent="0.25">
      <c r="B1293" s="2"/>
      <c r="C1293" s="2"/>
      <c r="D1293" s="2"/>
      <c r="E1293" s="4"/>
      <c r="F1293" s="2"/>
      <c r="G1293" s="2"/>
      <c r="H1293" s="2"/>
      <c r="I1293" s="4"/>
      <c r="J1293" s="2"/>
      <c r="K1293" s="2"/>
      <c r="M1293" s="4">
        <f t="shared" si="548"/>
        <v>173.1</v>
      </c>
      <c r="N1293" s="4"/>
      <c r="O1293" s="1">
        <f t="shared" si="549"/>
        <v>173.1</v>
      </c>
      <c r="P1293" s="1">
        <f t="shared" si="550"/>
        <v>0</v>
      </c>
      <c r="Q1293" s="1" t="str">
        <f t="shared" si="547"/>
        <v/>
      </c>
      <c r="R1293" s="1" t="str">
        <f t="shared" si="551"/>
        <v/>
      </c>
      <c r="S1293" s="1">
        <f t="shared" si="552"/>
        <v>630.90240000000244</v>
      </c>
      <c r="T1293" s="1">
        <f t="shared" si="553"/>
        <v>0</v>
      </c>
      <c r="U1293" s="1">
        <f t="shared" si="554"/>
        <v>0</v>
      </c>
      <c r="V1293" s="1">
        <f t="shared" si="555"/>
        <v>0</v>
      </c>
    </row>
    <row r="1294" spans="2:22" x14ac:dyDescent="0.25">
      <c r="B1294" s="2"/>
      <c r="C1294" s="2"/>
      <c r="D1294" s="2"/>
      <c r="E1294" s="4"/>
      <c r="F1294" s="2"/>
      <c r="G1294" s="2"/>
      <c r="H1294" s="2"/>
      <c r="I1294" s="4"/>
      <c r="J1294" s="2"/>
      <c r="K1294" s="2"/>
      <c r="M1294" s="4">
        <f t="shared" si="548"/>
        <v>173.1</v>
      </c>
      <c r="N1294" s="4"/>
      <c r="O1294" s="1">
        <f t="shared" si="549"/>
        <v>173.1</v>
      </c>
      <c r="P1294" s="1">
        <f t="shared" si="550"/>
        <v>0</v>
      </c>
      <c r="Q1294" s="1" t="str">
        <f t="shared" si="547"/>
        <v/>
      </c>
      <c r="R1294" s="1" t="str">
        <f t="shared" si="551"/>
        <v/>
      </c>
      <c r="S1294" s="1">
        <f t="shared" si="552"/>
        <v>630.90240000000244</v>
      </c>
      <c r="T1294" s="1">
        <f t="shared" si="553"/>
        <v>0</v>
      </c>
      <c r="U1294" s="1">
        <f t="shared" si="554"/>
        <v>0</v>
      </c>
      <c r="V1294" s="1">
        <f t="shared" si="555"/>
        <v>0</v>
      </c>
    </row>
    <row r="1295" spans="2:22" x14ac:dyDescent="0.25">
      <c r="B1295" s="2"/>
      <c r="C1295" s="2"/>
      <c r="D1295" s="2"/>
      <c r="E1295" s="4"/>
      <c r="F1295" s="2"/>
      <c r="G1295" s="2"/>
      <c r="H1295" s="2"/>
      <c r="I1295" s="4"/>
      <c r="J1295" s="2"/>
      <c r="K1295" s="2"/>
      <c r="M1295" s="4">
        <f t="shared" si="548"/>
        <v>173.1</v>
      </c>
      <c r="N1295" s="4"/>
      <c r="O1295" s="1">
        <f t="shared" si="549"/>
        <v>173.1</v>
      </c>
      <c r="P1295" s="1">
        <f t="shared" si="550"/>
        <v>0</v>
      </c>
      <c r="Q1295" s="1" t="str">
        <f t="shared" si="547"/>
        <v/>
      </c>
      <c r="R1295" s="1" t="str">
        <f t="shared" si="551"/>
        <v/>
      </c>
      <c r="S1295" s="1">
        <f t="shared" si="552"/>
        <v>630.90240000000244</v>
      </c>
      <c r="T1295" s="1">
        <f t="shared" si="553"/>
        <v>0</v>
      </c>
      <c r="U1295" s="1">
        <f t="shared" si="554"/>
        <v>0</v>
      </c>
      <c r="V1295" s="1">
        <f t="shared" si="555"/>
        <v>0</v>
      </c>
    </row>
    <row r="1296" spans="2:22" x14ac:dyDescent="0.25">
      <c r="B1296" s="2"/>
      <c r="C1296" s="2"/>
      <c r="D1296" s="2"/>
      <c r="E1296" s="4"/>
      <c r="F1296" s="2"/>
      <c r="G1296" s="2"/>
      <c r="H1296" s="2"/>
      <c r="I1296" s="4"/>
      <c r="J1296" s="2"/>
      <c r="K1296" s="2"/>
      <c r="M1296" s="4">
        <f t="shared" si="548"/>
        <v>173.1</v>
      </c>
      <c r="N1296" s="4"/>
      <c r="O1296" s="1">
        <f t="shared" si="549"/>
        <v>173.1</v>
      </c>
      <c r="P1296" s="1">
        <f t="shared" si="550"/>
        <v>0</v>
      </c>
      <c r="Q1296" s="1" t="str">
        <f t="shared" si="547"/>
        <v/>
      </c>
      <c r="R1296" s="1" t="str">
        <f t="shared" si="551"/>
        <v/>
      </c>
      <c r="S1296" s="1">
        <f t="shared" si="552"/>
        <v>630.90240000000244</v>
      </c>
      <c r="T1296" s="1">
        <f t="shared" si="553"/>
        <v>0</v>
      </c>
      <c r="U1296" s="1">
        <f t="shared" si="554"/>
        <v>0</v>
      </c>
      <c r="V1296" s="1">
        <f t="shared" si="555"/>
        <v>0</v>
      </c>
    </row>
    <row r="1297" spans="2:22" x14ac:dyDescent="0.25">
      <c r="B1297" s="2"/>
      <c r="C1297" s="2"/>
      <c r="D1297" s="2"/>
      <c r="E1297" s="4"/>
      <c r="F1297" s="2"/>
      <c r="G1297" s="2"/>
      <c r="H1297" s="2"/>
      <c r="I1297" s="4"/>
      <c r="J1297" s="2"/>
      <c r="K1297" s="2"/>
      <c r="M1297" s="4">
        <f t="shared" si="548"/>
        <v>173.1</v>
      </c>
      <c r="N1297" s="4"/>
      <c r="O1297" s="1">
        <f t="shared" si="549"/>
        <v>173.1</v>
      </c>
      <c r="P1297" s="1">
        <f t="shared" si="550"/>
        <v>0</v>
      </c>
      <c r="Q1297" s="1" t="str">
        <f t="shared" si="547"/>
        <v/>
      </c>
      <c r="R1297" s="1" t="str">
        <f t="shared" si="551"/>
        <v/>
      </c>
      <c r="S1297" s="1">
        <f t="shared" si="552"/>
        <v>630.90240000000244</v>
      </c>
      <c r="T1297" s="1">
        <f t="shared" si="553"/>
        <v>0</v>
      </c>
      <c r="U1297" s="1">
        <f t="shared" si="554"/>
        <v>0</v>
      </c>
      <c r="V1297" s="1">
        <f t="shared" si="555"/>
        <v>0</v>
      </c>
    </row>
    <row r="1298" spans="2:22" x14ac:dyDescent="0.25">
      <c r="B1298" s="2"/>
      <c r="C1298" s="2"/>
      <c r="D1298" s="2"/>
      <c r="E1298" s="4"/>
      <c r="F1298" s="2"/>
      <c r="G1298" s="2"/>
      <c r="H1298" s="2"/>
      <c r="I1298" s="4"/>
      <c r="J1298" s="2"/>
      <c r="K1298" s="2"/>
      <c r="M1298" s="4">
        <f t="shared" si="548"/>
        <v>173.1</v>
      </c>
      <c r="N1298" s="4"/>
      <c r="O1298" s="1">
        <f t="shared" si="549"/>
        <v>173.1</v>
      </c>
      <c r="P1298" s="1">
        <f t="shared" si="550"/>
        <v>0</v>
      </c>
      <c r="Q1298" s="1" t="str">
        <f t="shared" si="547"/>
        <v/>
      </c>
      <c r="R1298" s="1" t="str">
        <f t="shared" si="551"/>
        <v/>
      </c>
      <c r="S1298" s="1">
        <f t="shared" si="552"/>
        <v>630.90240000000244</v>
      </c>
      <c r="T1298" s="1">
        <f t="shared" si="553"/>
        <v>0</v>
      </c>
      <c r="U1298" s="1">
        <f t="shared" si="554"/>
        <v>0</v>
      </c>
      <c r="V1298" s="1">
        <f t="shared" si="555"/>
        <v>0</v>
      </c>
    </row>
    <row r="1299" spans="2:22" x14ac:dyDescent="0.25">
      <c r="B1299" s="2"/>
      <c r="C1299" s="2"/>
      <c r="D1299" s="2"/>
      <c r="E1299" s="4"/>
      <c r="F1299" s="2"/>
      <c r="G1299" s="2"/>
      <c r="H1299" s="2"/>
      <c r="I1299" s="4"/>
      <c r="J1299" s="2"/>
      <c r="K1299" s="2"/>
      <c r="M1299" s="4">
        <f t="shared" si="548"/>
        <v>173.1</v>
      </c>
      <c r="N1299" s="4"/>
      <c r="O1299" s="1">
        <f t="shared" si="549"/>
        <v>173.1</v>
      </c>
      <c r="P1299" s="1">
        <f t="shared" si="550"/>
        <v>0</v>
      </c>
      <c r="Q1299" s="1" t="str">
        <f t="shared" si="547"/>
        <v/>
      </c>
      <c r="R1299" s="1" t="str">
        <f t="shared" si="551"/>
        <v/>
      </c>
      <c r="S1299" s="1">
        <f t="shared" si="552"/>
        <v>630.90240000000244</v>
      </c>
      <c r="T1299" s="1">
        <f t="shared" si="553"/>
        <v>0</v>
      </c>
      <c r="U1299" s="1">
        <f t="shared" si="554"/>
        <v>0</v>
      </c>
      <c r="V1299" s="1">
        <f t="shared" si="555"/>
        <v>0</v>
      </c>
    </row>
    <row r="1300" spans="2:22" x14ac:dyDescent="0.25">
      <c r="B1300" s="2"/>
      <c r="C1300" s="2"/>
      <c r="D1300" s="2"/>
      <c r="E1300" s="4"/>
      <c r="F1300" s="2"/>
      <c r="G1300" s="2"/>
      <c r="H1300" s="2"/>
      <c r="I1300" s="4"/>
      <c r="J1300" s="2"/>
      <c r="K1300" s="2"/>
      <c r="M1300" s="4">
        <f t="shared" si="548"/>
        <v>173.1</v>
      </c>
      <c r="N1300" s="4"/>
      <c r="O1300" s="1">
        <f t="shared" si="549"/>
        <v>173.1</v>
      </c>
      <c r="P1300" s="1">
        <f t="shared" si="550"/>
        <v>0</v>
      </c>
      <c r="Q1300" s="1" t="str">
        <f t="shared" si="547"/>
        <v/>
      </c>
      <c r="R1300" s="1" t="str">
        <f t="shared" si="551"/>
        <v/>
      </c>
      <c r="S1300" s="1">
        <f t="shared" si="552"/>
        <v>630.90240000000244</v>
      </c>
      <c r="T1300" s="1">
        <f t="shared" si="553"/>
        <v>0</v>
      </c>
      <c r="U1300" s="1">
        <f t="shared" si="554"/>
        <v>0</v>
      </c>
      <c r="V1300" s="1">
        <f t="shared" si="555"/>
        <v>0</v>
      </c>
    </row>
    <row r="1301" spans="2:22" x14ac:dyDescent="0.25">
      <c r="B1301" s="2"/>
      <c r="C1301" s="2"/>
      <c r="D1301" s="2"/>
      <c r="E1301" s="4"/>
      <c r="F1301" s="2"/>
      <c r="G1301" s="2"/>
      <c r="H1301" s="2"/>
      <c r="I1301" s="4"/>
      <c r="J1301" s="2"/>
      <c r="K1301" s="2"/>
      <c r="M1301" s="4">
        <f t="shared" si="548"/>
        <v>173.1</v>
      </c>
      <c r="N1301" s="4"/>
      <c r="O1301" s="1">
        <f t="shared" si="549"/>
        <v>173.1</v>
      </c>
      <c r="P1301" s="1">
        <f t="shared" si="550"/>
        <v>0</v>
      </c>
      <c r="Q1301" s="1" t="str">
        <f t="shared" si="547"/>
        <v/>
      </c>
      <c r="R1301" s="1" t="str">
        <f t="shared" si="551"/>
        <v/>
      </c>
      <c r="S1301" s="1">
        <f t="shared" si="552"/>
        <v>630.90240000000244</v>
      </c>
      <c r="T1301" s="1">
        <f t="shared" si="553"/>
        <v>0</v>
      </c>
      <c r="U1301" s="1">
        <f t="shared" si="554"/>
        <v>0</v>
      </c>
      <c r="V1301" s="1">
        <f t="shared" si="555"/>
        <v>0</v>
      </c>
    </row>
    <row r="1302" spans="2:22" x14ac:dyDescent="0.25">
      <c r="B1302" s="2"/>
      <c r="C1302" s="2"/>
      <c r="D1302" s="2"/>
      <c r="E1302" s="4"/>
      <c r="F1302" s="2"/>
      <c r="G1302" s="2"/>
      <c r="H1302" s="2"/>
      <c r="I1302" s="4"/>
      <c r="J1302" s="2"/>
      <c r="K1302" s="2"/>
      <c r="M1302" s="4">
        <f t="shared" si="548"/>
        <v>173.1</v>
      </c>
      <c r="N1302" s="4"/>
      <c r="O1302" s="1">
        <f t="shared" si="549"/>
        <v>173.1</v>
      </c>
      <c r="P1302" s="1">
        <f t="shared" si="550"/>
        <v>0</v>
      </c>
      <c r="Q1302" s="1" t="str">
        <f t="shared" si="547"/>
        <v/>
      </c>
      <c r="R1302" s="1" t="str">
        <f t="shared" si="551"/>
        <v/>
      </c>
      <c r="S1302" s="1">
        <f t="shared" si="552"/>
        <v>630.90240000000244</v>
      </c>
      <c r="T1302" s="1">
        <f t="shared" si="553"/>
        <v>0</v>
      </c>
      <c r="U1302" s="1">
        <f t="shared" si="554"/>
        <v>0</v>
      </c>
      <c r="V1302" s="1">
        <f t="shared" si="555"/>
        <v>0</v>
      </c>
    </row>
    <row r="1303" spans="2:22" x14ac:dyDescent="0.25">
      <c r="B1303" s="2"/>
      <c r="C1303" s="2"/>
      <c r="D1303" s="2"/>
      <c r="E1303" s="4"/>
      <c r="F1303" s="2"/>
      <c r="G1303" s="2"/>
      <c r="H1303" s="2"/>
      <c r="I1303" s="4"/>
      <c r="J1303" s="2"/>
      <c r="K1303" s="2"/>
      <c r="M1303" s="4">
        <f t="shared" si="548"/>
        <v>173.1</v>
      </c>
      <c r="N1303" s="4"/>
      <c r="O1303" s="1">
        <f t="shared" si="549"/>
        <v>173.1</v>
      </c>
      <c r="P1303" s="1">
        <f t="shared" si="550"/>
        <v>0</v>
      </c>
      <c r="Q1303" s="1" t="str">
        <f t="shared" si="547"/>
        <v/>
      </c>
      <c r="R1303" s="1" t="str">
        <f t="shared" si="551"/>
        <v/>
      </c>
      <c r="S1303" s="1">
        <f t="shared" si="552"/>
        <v>630.90240000000244</v>
      </c>
      <c r="T1303" s="1">
        <f t="shared" si="553"/>
        <v>0</v>
      </c>
      <c r="U1303" s="1">
        <f t="shared" si="554"/>
        <v>0</v>
      </c>
      <c r="V1303" s="1">
        <f t="shared" si="555"/>
        <v>0</v>
      </c>
    </row>
    <row r="1304" spans="2:22" x14ac:dyDescent="0.25">
      <c r="B1304" s="2"/>
      <c r="C1304" s="2"/>
      <c r="D1304" s="2"/>
      <c r="E1304" s="4"/>
      <c r="F1304" s="2"/>
      <c r="G1304" s="2"/>
      <c r="H1304" s="2"/>
      <c r="I1304" s="4"/>
      <c r="J1304" s="2"/>
      <c r="K1304" s="2"/>
      <c r="M1304" s="4">
        <f t="shared" si="548"/>
        <v>173.1</v>
      </c>
      <c r="N1304" s="4"/>
      <c r="O1304" s="1">
        <f t="shared" si="549"/>
        <v>173.1</v>
      </c>
      <c r="P1304" s="1">
        <f t="shared" si="550"/>
        <v>0</v>
      </c>
      <c r="Q1304" s="1" t="str">
        <f t="shared" si="547"/>
        <v/>
      </c>
      <c r="R1304" s="1" t="str">
        <f t="shared" si="551"/>
        <v/>
      </c>
      <c r="S1304" s="1">
        <f t="shared" si="552"/>
        <v>630.90240000000244</v>
      </c>
      <c r="T1304" s="1">
        <f t="shared" si="553"/>
        <v>0</v>
      </c>
      <c r="U1304" s="1">
        <f t="shared" si="554"/>
        <v>0</v>
      </c>
      <c r="V1304" s="1">
        <f t="shared" si="555"/>
        <v>0</v>
      </c>
    </row>
    <row r="1305" spans="2:22" x14ac:dyDescent="0.25">
      <c r="B1305" s="2"/>
      <c r="C1305" s="2"/>
      <c r="D1305" s="2"/>
      <c r="E1305" s="4"/>
      <c r="F1305" s="2"/>
      <c r="G1305" s="2"/>
      <c r="H1305" s="2"/>
      <c r="I1305" s="4"/>
      <c r="J1305" s="2"/>
      <c r="K1305" s="2"/>
      <c r="M1305" s="4">
        <f t="shared" si="548"/>
        <v>173.1</v>
      </c>
      <c r="N1305" s="4"/>
      <c r="O1305" s="1">
        <f t="shared" si="549"/>
        <v>173.1</v>
      </c>
      <c r="P1305" s="1">
        <f t="shared" si="550"/>
        <v>0</v>
      </c>
      <c r="Q1305" s="1" t="str">
        <f t="shared" si="547"/>
        <v/>
      </c>
      <c r="R1305" s="1" t="str">
        <f t="shared" si="551"/>
        <v/>
      </c>
      <c r="S1305" s="1">
        <f t="shared" si="552"/>
        <v>630.90240000000244</v>
      </c>
      <c r="T1305" s="1">
        <f t="shared" si="553"/>
        <v>0</v>
      </c>
      <c r="U1305" s="1">
        <f t="shared" si="554"/>
        <v>0</v>
      </c>
      <c r="V1305" s="1">
        <f t="shared" si="555"/>
        <v>0</v>
      </c>
    </row>
    <row r="1306" spans="2:22" x14ac:dyDescent="0.25">
      <c r="B1306" s="2"/>
      <c r="C1306" s="2"/>
      <c r="D1306" s="2"/>
      <c r="E1306" s="4"/>
      <c r="F1306" s="2"/>
      <c r="G1306" s="2"/>
      <c r="H1306" s="2"/>
      <c r="I1306" s="4"/>
      <c r="J1306" s="2"/>
      <c r="K1306" s="2"/>
      <c r="M1306" s="4">
        <f t="shared" si="548"/>
        <v>173.1</v>
      </c>
      <c r="N1306" s="4"/>
      <c r="O1306" s="1">
        <f t="shared" si="549"/>
        <v>173.1</v>
      </c>
      <c r="P1306" s="1">
        <f t="shared" si="550"/>
        <v>0</v>
      </c>
      <c r="Q1306" s="1" t="str">
        <f t="shared" si="547"/>
        <v/>
      </c>
      <c r="R1306" s="1" t="str">
        <f t="shared" si="551"/>
        <v/>
      </c>
      <c r="S1306" s="1">
        <f t="shared" si="552"/>
        <v>630.90240000000244</v>
      </c>
      <c r="T1306" s="1">
        <f t="shared" si="553"/>
        <v>0</v>
      </c>
      <c r="U1306" s="1">
        <f t="shared" si="554"/>
        <v>0</v>
      </c>
      <c r="V1306" s="1">
        <f t="shared" si="555"/>
        <v>0</v>
      </c>
    </row>
    <row r="1307" spans="2:22" x14ac:dyDescent="0.25">
      <c r="B1307" s="2"/>
      <c r="C1307" s="2"/>
      <c r="D1307" s="2"/>
      <c r="E1307" s="4"/>
      <c r="F1307" s="2"/>
      <c r="G1307" s="2"/>
      <c r="H1307" s="2"/>
      <c r="I1307" s="4"/>
      <c r="J1307" s="2"/>
      <c r="K1307" s="2"/>
      <c r="M1307" s="4">
        <f t="shared" si="548"/>
        <v>173.1</v>
      </c>
      <c r="N1307" s="4"/>
      <c r="O1307" s="1">
        <f t="shared" si="549"/>
        <v>173.1</v>
      </c>
      <c r="P1307" s="1">
        <f t="shared" si="550"/>
        <v>0</v>
      </c>
      <c r="Q1307" s="1" t="str">
        <f t="shared" si="547"/>
        <v/>
      </c>
      <c r="R1307" s="1" t="str">
        <f t="shared" si="551"/>
        <v/>
      </c>
      <c r="S1307" s="1">
        <f t="shared" si="552"/>
        <v>630.90240000000244</v>
      </c>
      <c r="T1307" s="1">
        <f t="shared" si="553"/>
        <v>0</v>
      </c>
      <c r="U1307" s="1">
        <f t="shared" si="554"/>
        <v>0</v>
      </c>
      <c r="V1307" s="1">
        <f t="shared" si="555"/>
        <v>0</v>
      </c>
    </row>
    <row r="1308" spans="2:22" x14ac:dyDescent="0.25">
      <c r="B1308" s="2"/>
      <c r="C1308" s="2"/>
      <c r="D1308" s="2"/>
      <c r="E1308" s="4"/>
      <c r="F1308" s="2"/>
      <c r="G1308" s="2"/>
      <c r="H1308" s="2"/>
      <c r="I1308" s="4"/>
      <c r="J1308" s="2"/>
      <c r="K1308" s="2"/>
      <c r="M1308" s="4">
        <f t="shared" si="548"/>
        <v>173.1</v>
      </c>
      <c r="N1308" s="4"/>
      <c r="O1308" s="1">
        <f t="shared" si="549"/>
        <v>173.1</v>
      </c>
      <c r="P1308" s="1">
        <f t="shared" si="550"/>
        <v>0</v>
      </c>
      <c r="Q1308" s="1" t="str">
        <f t="shared" si="547"/>
        <v/>
      </c>
      <c r="R1308" s="1" t="str">
        <f t="shared" si="551"/>
        <v/>
      </c>
      <c r="S1308" s="1">
        <f t="shared" si="552"/>
        <v>630.90240000000244</v>
      </c>
      <c r="T1308" s="1">
        <f t="shared" si="553"/>
        <v>0</v>
      </c>
      <c r="U1308" s="1">
        <f t="shared" si="554"/>
        <v>0</v>
      </c>
      <c r="V1308" s="1">
        <f t="shared" si="555"/>
        <v>0</v>
      </c>
    </row>
    <row r="1309" spans="2:22" x14ac:dyDescent="0.25">
      <c r="B1309" s="2"/>
      <c r="C1309" s="2"/>
      <c r="D1309" s="2"/>
      <c r="E1309" s="4"/>
      <c r="F1309" s="2"/>
      <c r="G1309" s="2"/>
      <c r="H1309" s="2"/>
      <c r="I1309" s="4"/>
      <c r="J1309" s="2"/>
      <c r="K1309" s="2"/>
      <c r="M1309" s="4">
        <f t="shared" si="548"/>
        <v>173.1</v>
      </c>
      <c r="N1309" s="4"/>
      <c r="O1309" s="1">
        <f t="shared" si="549"/>
        <v>173.1</v>
      </c>
      <c r="P1309" s="1">
        <f t="shared" si="550"/>
        <v>0</v>
      </c>
      <c r="Q1309" s="1" t="str">
        <f t="shared" si="547"/>
        <v/>
      </c>
      <c r="R1309" s="1" t="str">
        <f t="shared" si="551"/>
        <v/>
      </c>
      <c r="S1309" s="1">
        <f t="shared" si="552"/>
        <v>630.90240000000244</v>
      </c>
      <c r="T1309" s="1">
        <f t="shared" si="553"/>
        <v>0</v>
      </c>
      <c r="U1309" s="1">
        <f t="shared" si="554"/>
        <v>0</v>
      </c>
      <c r="V1309" s="1">
        <f t="shared" si="555"/>
        <v>0</v>
      </c>
    </row>
    <row r="1310" spans="2:22" x14ac:dyDescent="0.25">
      <c r="B1310" s="2"/>
      <c r="C1310" s="2"/>
      <c r="D1310" s="2"/>
      <c r="E1310" s="4"/>
      <c r="F1310" s="2"/>
      <c r="G1310" s="2"/>
      <c r="H1310" s="2"/>
      <c r="I1310" s="4"/>
      <c r="J1310" s="2"/>
      <c r="K1310" s="2"/>
      <c r="M1310" s="4">
        <f t="shared" si="548"/>
        <v>173.1</v>
      </c>
      <c r="N1310" s="4"/>
      <c r="O1310" s="1">
        <f t="shared" si="549"/>
        <v>173.1</v>
      </c>
      <c r="P1310" s="1">
        <f t="shared" si="550"/>
        <v>0</v>
      </c>
      <c r="Q1310" s="1" t="str">
        <f t="shared" si="547"/>
        <v/>
      </c>
      <c r="R1310" s="1" t="str">
        <f t="shared" si="551"/>
        <v/>
      </c>
      <c r="S1310" s="1">
        <f t="shared" si="552"/>
        <v>630.90240000000244</v>
      </c>
      <c r="T1310" s="1">
        <f t="shared" si="553"/>
        <v>0</v>
      </c>
      <c r="U1310" s="1">
        <f t="shared" si="554"/>
        <v>0</v>
      </c>
      <c r="V1310" s="1">
        <f t="shared" si="555"/>
        <v>0</v>
      </c>
    </row>
    <row r="1311" spans="2:22" x14ac:dyDescent="0.25">
      <c r="B1311" s="2"/>
      <c r="C1311" s="2"/>
      <c r="D1311" s="2"/>
      <c r="E1311" s="4"/>
      <c r="F1311" s="2"/>
      <c r="G1311" s="2"/>
      <c r="H1311" s="2"/>
      <c r="I1311" s="4"/>
      <c r="J1311" s="2"/>
      <c r="K1311" s="2"/>
      <c r="M1311" s="4">
        <f t="shared" si="548"/>
        <v>173.1</v>
      </c>
      <c r="N1311" s="4"/>
      <c r="O1311" s="1">
        <f t="shared" si="549"/>
        <v>173.1</v>
      </c>
      <c r="P1311" s="1">
        <f t="shared" si="550"/>
        <v>0</v>
      </c>
      <c r="Q1311" s="1" t="str">
        <f t="shared" si="547"/>
        <v/>
      </c>
      <c r="R1311" s="1" t="str">
        <f t="shared" si="551"/>
        <v/>
      </c>
      <c r="S1311" s="1">
        <f t="shared" si="552"/>
        <v>630.90240000000244</v>
      </c>
      <c r="T1311" s="1">
        <f t="shared" si="553"/>
        <v>0</v>
      </c>
      <c r="U1311" s="1">
        <f t="shared" si="554"/>
        <v>0</v>
      </c>
      <c r="V1311" s="1">
        <f t="shared" si="555"/>
        <v>0</v>
      </c>
    </row>
    <row r="1312" spans="2:22" x14ac:dyDescent="0.25">
      <c r="B1312" s="2"/>
      <c r="C1312" s="2"/>
      <c r="D1312" s="2"/>
      <c r="E1312" s="4"/>
      <c r="F1312" s="2"/>
      <c r="G1312" s="2"/>
      <c r="H1312" s="2"/>
      <c r="I1312" s="4"/>
      <c r="J1312" s="2"/>
      <c r="K1312" s="2"/>
      <c r="M1312" s="4">
        <f t="shared" si="548"/>
        <v>173.1</v>
      </c>
      <c r="N1312" s="4"/>
      <c r="O1312" s="1">
        <f t="shared" si="549"/>
        <v>173.1</v>
      </c>
      <c r="P1312" s="1">
        <f t="shared" si="550"/>
        <v>0</v>
      </c>
      <c r="Q1312" s="1" t="str">
        <f t="shared" si="547"/>
        <v/>
      </c>
      <c r="R1312" s="1" t="str">
        <f t="shared" si="551"/>
        <v/>
      </c>
      <c r="S1312" s="1">
        <f t="shared" si="552"/>
        <v>630.90240000000244</v>
      </c>
      <c r="T1312" s="1">
        <f t="shared" si="553"/>
        <v>0</v>
      </c>
      <c r="U1312" s="1">
        <f t="shared" si="554"/>
        <v>0</v>
      </c>
      <c r="V1312" s="1">
        <f t="shared" si="555"/>
        <v>0</v>
      </c>
    </row>
    <row r="1313" spans="2:22" x14ac:dyDescent="0.25">
      <c r="B1313" s="2"/>
      <c r="C1313" s="2"/>
      <c r="D1313" s="2"/>
      <c r="E1313" s="4"/>
      <c r="F1313" s="2"/>
      <c r="G1313" s="2"/>
      <c r="H1313" s="2"/>
      <c r="I1313" s="4"/>
      <c r="J1313" s="2"/>
      <c r="K1313" s="2"/>
      <c r="M1313" s="4">
        <f t="shared" si="548"/>
        <v>173.1</v>
      </c>
      <c r="N1313" s="4"/>
      <c r="O1313" s="1">
        <f t="shared" si="549"/>
        <v>173.1</v>
      </c>
      <c r="P1313" s="1">
        <f t="shared" si="550"/>
        <v>0</v>
      </c>
      <c r="Q1313" s="1" t="str">
        <f t="shared" si="547"/>
        <v/>
      </c>
      <c r="R1313" s="1" t="str">
        <f t="shared" si="551"/>
        <v/>
      </c>
      <c r="S1313" s="1">
        <f t="shared" si="552"/>
        <v>630.90240000000244</v>
      </c>
      <c r="T1313" s="1">
        <f t="shared" si="553"/>
        <v>0</v>
      </c>
      <c r="U1313" s="1">
        <f t="shared" si="554"/>
        <v>0</v>
      </c>
      <c r="V1313" s="1">
        <f t="shared" si="555"/>
        <v>0</v>
      </c>
    </row>
    <row r="1314" spans="2:22" x14ac:dyDescent="0.25">
      <c r="B1314" s="2"/>
      <c r="C1314" s="2"/>
      <c r="D1314" s="2"/>
      <c r="E1314" s="4"/>
      <c r="F1314" s="2"/>
      <c r="G1314" s="2"/>
      <c r="H1314" s="2"/>
      <c r="I1314" s="4"/>
      <c r="J1314" s="2"/>
      <c r="K1314" s="2"/>
      <c r="M1314" s="4">
        <f t="shared" si="548"/>
        <v>173.1</v>
      </c>
      <c r="N1314" s="4"/>
      <c r="O1314" s="1">
        <f t="shared" si="549"/>
        <v>173.1</v>
      </c>
      <c r="P1314" s="1">
        <f t="shared" si="550"/>
        <v>0</v>
      </c>
      <c r="Q1314" s="1" t="str">
        <f t="shared" si="547"/>
        <v/>
      </c>
      <c r="R1314" s="1" t="str">
        <f t="shared" si="551"/>
        <v/>
      </c>
      <c r="S1314" s="1">
        <f t="shared" si="552"/>
        <v>630.90240000000244</v>
      </c>
      <c r="T1314" s="1">
        <f t="shared" si="553"/>
        <v>0</v>
      </c>
      <c r="U1314" s="1">
        <f t="shared" si="554"/>
        <v>0</v>
      </c>
      <c r="V1314" s="1">
        <f t="shared" si="555"/>
        <v>0</v>
      </c>
    </row>
    <row r="1315" spans="2:22" x14ac:dyDescent="0.25">
      <c r="B1315" s="2"/>
      <c r="C1315" s="2"/>
      <c r="D1315" s="2"/>
      <c r="E1315" s="4"/>
      <c r="F1315" s="2"/>
      <c r="G1315" s="2"/>
      <c r="H1315" s="2"/>
      <c r="I1315" s="4"/>
      <c r="J1315" s="2"/>
      <c r="K1315" s="2"/>
      <c r="M1315" s="4">
        <f t="shared" si="548"/>
        <v>173.1</v>
      </c>
      <c r="N1315" s="4"/>
      <c r="O1315" s="1">
        <f t="shared" si="549"/>
        <v>173.1</v>
      </c>
      <c r="P1315" s="1">
        <f t="shared" si="550"/>
        <v>0</v>
      </c>
      <c r="Q1315" s="1" t="str">
        <f t="shared" si="547"/>
        <v/>
      </c>
      <c r="R1315" s="1" t="str">
        <f t="shared" si="551"/>
        <v/>
      </c>
      <c r="S1315" s="1">
        <f t="shared" si="552"/>
        <v>630.90240000000244</v>
      </c>
      <c r="T1315" s="1">
        <f t="shared" si="553"/>
        <v>0</v>
      </c>
      <c r="U1315" s="1">
        <f t="shared" si="554"/>
        <v>0</v>
      </c>
      <c r="V1315" s="1">
        <f t="shared" si="555"/>
        <v>0</v>
      </c>
    </row>
    <row r="1316" spans="2:22" x14ac:dyDescent="0.25">
      <c r="B1316" s="2"/>
      <c r="C1316" s="2"/>
      <c r="D1316" s="2"/>
      <c r="E1316" s="4"/>
      <c r="F1316" s="2"/>
      <c r="G1316" s="2"/>
      <c r="H1316" s="2"/>
      <c r="I1316" s="4"/>
      <c r="J1316" s="2"/>
      <c r="K1316" s="2"/>
      <c r="M1316" s="4">
        <f t="shared" si="548"/>
        <v>173.1</v>
      </c>
      <c r="N1316" s="4"/>
      <c r="O1316" s="1">
        <f t="shared" si="549"/>
        <v>173.1</v>
      </c>
      <c r="P1316" s="1">
        <f t="shared" si="550"/>
        <v>0</v>
      </c>
      <c r="Q1316" s="1" t="str">
        <f t="shared" si="547"/>
        <v/>
      </c>
      <c r="R1316" s="1" t="str">
        <f t="shared" si="551"/>
        <v/>
      </c>
      <c r="S1316" s="1">
        <f t="shared" si="552"/>
        <v>630.90240000000244</v>
      </c>
      <c r="T1316" s="1">
        <f t="shared" si="553"/>
        <v>0</v>
      </c>
      <c r="U1316" s="1">
        <f t="shared" si="554"/>
        <v>0</v>
      </c>
      <c r="V1316" s="1">
        <f t="shared" si="555"/>
        <v>0</v>
      </c>
    </row>
    <row r="1317" spans="2:22" x14ac:dyDescent="0.25">
      <c r="B1317" s="2"/>
      <c r="C1317" s="2"/>
      <c r="D1317" s="2"/>
      <c r="E1317" s="4"/>
      <c r="F1317" s="2"/>
      <c r="G1317" s="2"/>
      <c r="H1317" s="2"/>
      <c r="I1317" s="4"/>
      <c r="J1317" s="2"/>
      <c r="K1317" s="2"/>
      <c r="M1317" s="4">
        <f t="shared" si="548"/>
        <v>173.1</v>
      </c>
      <c r="N1317" s="4"/>
      <c r="O1317" s="1">
        <f t="shared" si="549"/>
        <v>173.1</v>
      </c>
      <c r="P1317" s="1">
        <f t="shared" si="550"/>
        <v>0</v>
      </c>
      <c r="Q1317" s="1" t="str">
        <f t="shared" si="547"/>
        <v/>
      </c>
      <c r="R1317" s="1" t="str">
        <f t="shared" si="551"/>
        <v/>
      </c>
      <c r="S1317" s="1">
        <f t="shared" si="552"/>
        <v>630.90240000000244</v>
      </c>
      <c r="T1317" s="1">
        <f t="shared" si="553"/>
        <v>0</v>
      </c>
      <c r="U1317" s="1">
        <f t="shared" si="554"/>
        <v>0</v>
      </c>
      <c r="V1317" s="1">
        <f t="shared" si="555"/>
        <v>0</v>
      </c>
    </row>
    <row r="1318" spans="2:22" x14ac:dyDescent="0.25">
      <c r="B1318" s="2"/>
      <c r="C1318" s="2"/>
      <c r="D1318" s="2"/>
      <c r="E1318" s="4"/>
      <c r="F1318" s="2"/>
      <c r="G1318" s="2"/>
      <c r="H1318" s="2"/>
      <c r="I1318" s="4"/>
      <c r="J1318" s="2"/>
      <c r="K1318" s="2"/>
      <c r="M1318" s="4">
        <f t="shared" si="548"/>
        <v>173.1</v>
      </c>
      <c r="N1318" s="4"/>
      <c r="O1318" s="1">
        <f t="shared" si="549"/>
        <v>173.1</v>
      </c>
      <c r="P1318" s="1">
        <f t="shared" si="550"/>
        <v>0</v>
      </c>
      <c r="Q1318" s="1" t="str">
        <f t="shared" si="547"/>
        <v/>
      </c>
      <c r="R1318" s="1" t="str">
        <f t="shared" si="551"/>
        <v/>
      </c>
      <c r="S1318" s="1">
        <f t="shared" si="552"/>
        <v>630.90240000000244</v>
      </c>
      <c r="T1318" s="1">
        <f t="shared" si="553"/>
        <v>0</v>
      </c>
      <c r="U1318" s="1">
        <f t="shared" si="554"/>
        <v>0</v>
      </c>
      <c r="V1318" s="1">
        <f t="shared" si="555"/>
        <v>0</v>
      </c>
    </row>
    <row r="1319" spans="2:22" x14ac:dyDescent="0.25">
      <c r="B1319" s="2"/>
      <c r="C1319" s="2"/>
      <c r="D1319" s="2"/>
      <c r="E1319" s="4"/>
      <c r="F1319" s="2"/>
      <c r="G1319" s="2"/>
      <c r="H1319" s="2"/>
      <c r="I1319" s="4"/>
      <c r="J1319" s="2"/>
      <c r="K1319" s="2"/>
      <c r="M1319" s="4">
        <f t="shared" si="548"/>
        <v>173.1</v>
      </c>
      <c r="N1319" s="4"/>
      <c r="O1319" s="1">
        <f t="shared" si="549"/>
        <v>173.1</v>
      </c>
      <c r="P1319" s="1">
        <f t="shared" si="550"/>
        <v>0</v>
      </c>
      <c r="Q1319" s="1" t="str">
        <f t="shared" si="547"/>
        <v/>
      </c>
      <c r="R1319" s="1" t="str">
        <f t="shared" si="551"/>
        <v/>
      </c>
      <c r="S1319" s="1">
        <f t="shared" si="552"/>
        <v>630.90240000000244</v>
      </c>
      <c r="T1319" s="1">
        <f t="shared" si="553"/>
        <v>0</v>
      </c>
      <c r="U1319" s="1">
        <f t="shared" si="554"/>
        <v>0</v>
      </c>
      <c r="V1319" s="1">
        <f t="shared" si="555"/>
        <v>0</v>
      </c>
    </row>
    <row r="1320" spans="2:22" x14ac:dyDescent="0.25">
      <c r="B1320" s="2"/>
      <c r="C1320" s="2"/>
      <c r="D1320" s="2"/>
      <c r="E1320" s="4"/>
      <c r="F1320" s="2"/>
      <c r="G1320" s="2"/>
      <c r="H1320" s="2"/>
      <c r="I1320" s="4"/>
      <c r="J1320" s="2"/>
      <c r="K1320" s="2"/>
      <c r="M1320" s="4">
        <f t="shared" si="548"/>
        <v>173.1</v>
      </c>
      <c r="N1320" s="4"/>
      <c r="O1320" s="1">
        <f t="shared" si="549"/>
        <v>173.1</v>
      </c>
      <c r="P1320" s="1">
        <f t="shared" si="550"/>
        <v>0</v>
      </c>
      <c r="Q1320" s="1" t="str">
        <f t="shared" si="547"/>
        <v/>
      </c>
      <c r="R1320" s="1" t="str">
        <f t="shared" si="551"/>
        <v/>
      </c>
      <c r="S1320" s="1">
        <f t="shared" si="552"/>
        <v>630.90240000000244</v>
      </c>
      <c r="T1320" s="1">
        <f t="shared" si="553"/>
        <v>0</v>
      </c>
      <c r="U1320" s="1">
        <f t="shared" si="554"/>
        <v>0</v>
      </c>
      <c r="V1320" s="1">
        <f t="shared" si="555"/>
        <v>0</v>
      </c>
    </row>
    <row r="1321" spans="2:22" x14ac:dyDescent="0.25">
      <c r="B1321" s="2"/>
      <c r="C1321" s="2"/>
      <c r="D1321" s="2"/>
      <c r="E1321" s="4"/>
      <c r="F1321" s="2"/>
      <c r="G1321" s="2"/>
      <c r="H1321" s="2"/>
      <c r="I1321" s="4"/>
      <c r="J1321" s="2"/>
      <c r="K1321" s="2"/>
      <c r="M1321" s="4">
        <f t="shared" si="548"/>
        <v>173.1</v>
      </c>
      <c r="N1321" s="4"/>
      <c r="O1321" s="1">
        <f t="shared" si="549"/>
        <v>173.1</v>
      </c>
      <c r="P1321" s="1">
        <f t="shared" si="550"/>
        <v>0</v>
      </c>
      <c r="Q1321" s="1" t="str">
        <f t="shared" si="547"/>
        <v/>
      </c>
      <c r="R1321" s="1" t="str">
        <f t="shared" si="551"/>
        <v/>
      </c>
      <c r="S1321" s="1">
        <f t="shared" si="552"/>
        <v>630.90240000000244</v>
      </c>
      <c r="T1321" s="1">
        <f t="shared" si="553"/>
        <v>0</v>
      </c>
      <c r="U1321" s="1">
        <f t="shared" si="554"/>
        <v>0</v>
      </c>
      <c r="V1321" s="1">
        <f t="shared" si="555"/>
        <v>0</v>
      </c>
    </row>
    <row r="1322" spans="2:22" x14ac:dyDescent="0.25">
      <c r="B1322" s="2"/>
      <c r="C1322" s="2"/>
      <c r="D1322" s="2"/>
      <c r="E1322" s="4"/>
      <c r="F1322" s="2"/>
      <c r="G1322" s="2"/>
      <c r="H1322" s="2"/>
      <c r="I1322" s="4"/>
      <c r="J1322" s="2"/>
      <c r="K1322" s="2"/>
      <c r="M1322" s="4">
        <f t="shared" si="548"/>
        <v>173.1</v>
      </c>
      <c r="N1322" s="4"/>
      <c r="O1322" s="1">
        <f t="shared" si="549"/>
        <v>173.1</v>
      </c>
      <c r="P1322" s="1">
        <f t="shared" si="550"/>
        <v>0</v>
      </c>
      <c r="Q1322" s="1" t="str">
        <f t="shared" si="547"/>
        <v/>
      </c>
      <c r="R1322" s="1" t="str">
        <f t="shared" si="551"/>
        <v/>
      </c>
      <c r="S1322" s="1">
        <f t="shared" si="552"/>
        <v>630.90240000000244</v>
      </c>
      <c r="T1322" s="1">
        <f t="shared" si="553"/>
        <v>0</v>
      </c>
      <c r="U1322" s="1">
        <f t="shared" si="554"/>
        <v>0</v>
      </c>
      <c r="V1322" s="1">
        <f t="shared" si="555"/>
        <v>0</v>
      </c>
    </row>
    <row r="1323" spans="2:22" x14ac:dyDescent="0.25">
      <c r="B1323" s="2"/>
      <c r="C1323" s="2"/>
      <c r="D1323" s="2"/>
      <c r="E1323" s="4"/>
      <c r="F1323" s="2"/>
      <c r="G1323" s="2"/>
      <c r="H1323" s="2"/>
      <c r="I1323" s="4"/>
      <c r="J1323" s="2"/>
      <c r="K1323" s="2"/>
      <c r="M1323" s="4">
        <f t="shared" si="548"/>
        <v>173.1</v>
      </c>
      <c r="N1323" s="4"/>
      <c r="O1323" s="1">
        <f t="shared" si="549"/>
        <v>173.1</v>
      </c>
      <c r="P1323" s="1">
        <f t="shared" si="550"/>
        <v>0</v>
      </c>
      <c r="Q1323" s="1" t="str">
        <f t="shared" si="547"/>
        <v/>
      </c>
      <c r="R1323" s="1" t="str">
        <f t="shared" si="551"/>
        <v/>
      </c>
      <c r="S1323" s="1">
        <f t="shared" si="552"/>
        <v>630.90240000000244</v>
      </c>
      <c r="T1323" s="1">
        <f t="shared" si="553"/>
        <v>0</v>
      </c>
      <c r="U1323" s="1">
        <f t="shared" si="554"/>
        <v>0</v>
      </c>
      <c r="V1323" s="1">
        <f t="shared" si="555"/>
        <v>0</v>
      </c>
    </row>
    <row r="1324" spans="2:22" x14ac:dyDescent="0.25">
      <c r="B1324" s="2"/>
      <c r="C1324" s="2"/>
      <c r="D1324" s="2"/>
      <c r="E1324" s="4"/>
      <c r="F1324" s="2"/>
      <c r="G1324" s="2"/>
      <c r="H1324" s="2"/>
      <c r="I1324" s="4"/>
      <c r="J1324" s="2"/>
      <c r="K1324" s="2"/>
      <c r="M1324" s="4">
        <f t="shared" si="548"/>
        <v>173.1</v>
      </c>
      <c r="N1324" s="4"/>
      <c r="O1324" s="1">
        <f t="shared" si="549"/>
        <v>173.1</v>
      </c>
      <c r="P1324" s="1">
        <f t="shared" si="550"/>
        <v>0</v>
      </c>
      <c r="Q1324" s="1" t="str">
        <f t="shared" si="547"/>
        <v/>
      </c>
      <c r="R1324" s="1" t="str">
        <f t="shared" si="551"/>
        <v/>
      </c>
      <c r="S1324" s="1">
        <f t="shared" si="552"/>
        <v>630.90240000000244</v>
      </c>
      <c r="T1324" s="1">
        <f t="shared" si="553"/>
        <v>0</v>
      </c>
      <c r="U1324" s="1">
        <f t="shared" si="554"/>
        <v>0</v>
      </c>
      <c r="V1324" s="1">
        <f t="shared" si="555"/>
        <v>0</v>
      </c>
    </row>
    <row r="1325" spans="2:22" x14ac:dyDescent="0.25">
      <c r="B1325" s="2"/>
      <c r="C1325" s="2"/>
      <c r="D1325" s="2"/>
      <c r="E1325" s="4"/>
      <c r="F1325" s="2"/>
      <c r="G1325" s="2"/>
      <c r="H1325" s="2"/>
      <c r="I1325" s="4"/>
      <c r="J1325" s="2"/>
      <c r="K1325" s="2"/>
      <c r="M1325" s="4">
        <f t="shared" si="548"/>
        <v>173.1</v>
      </c>
      <c r="N1325" s="4"/>
      <c r="O1325" s="1">
        <f t="shared" si="549"/>
        <v>173.1</v>
      </c>
      <c r="P1325" s="1">
        <f t="shared" si="550"/>
        <v>0</v>
      </c>
      <c r="Q1325" s="1" t="str">
        <f t="shared" si="547"/>
        <v/>
      </c>
      <c r="R1325" s="1" t="str">
        <f t="shared" si="551"/>
        <v/>
      </c>
      <c r="S1325" s="1">
        <f t="shared" si="552"/>
        <v>630.90240000000244</v>
      </c>
      <c r="T1325" s="1">
        <f t="shared" si="553"/>
        <v>0</v>
      </c>
      <c r="U1325" s="1">
        <f t="shared" si="554"/>
        <v>0</v>
      </c>
      <c r="V1325" s="1">
        <f t="shared" si="555"/>
        <v>0</v>
      </c>
    </row>
    <row r="1326" spans="2:22" x14ac:dyDescent="0.25">
      <c r="B1326" s="2"/>
      <c r="C1326" s="2"/>
      <c r="D1326" s="2"/>
      <c r="E1326" s="4"/>
      <c r="F1326" s="2"/>
      <c r="G1326" s="2"/>
      <c r="H1326" s="2"/>
      <c r="I1326" s="4"/>
      <c r="J1326" s="2"/>
      <c r="K1326" s="2"/>
      <c r="M1326" s="4">
        <f t="shared" si="548"/>
        <v>173.1</v>
      </c>
      <c r="N1326" s="4"/>
      <c r="O1326" s="1">
        <f t="shared" si="549"/>
        <v>173.1</v>
      </c>
      <c r="P1326" s="1">
        <f t="shared" si="550"/>
        <v>0</v>
      </c>
      <c r="Q1326" s="1" t="str">
        <f t="shared" si="547"/>
        <v/>
      </c>
      <c r="R1326" s="1" t="str">
        <f t="shared" si="551"/>
        <v/>
      </c>
      <c r="S1326" s="1">
        <f t="shared" si="552"/>
        <v>630.90240000000244</v>
      </c>
      <c r="T1326" s="1">
        <f t="shared" si="553"/>
        <v>0</v>
      </c>
      <c r="U1326" s="1">
        <f t="shared" si="554"/>
        <v>0</v>
      </c>
      <c r="V1326" s="1">
        <f t="shared" si="555"/>
        <v>0</v>
      </c>
    </row>
    <row r="1327" spans="2:22" x14ac:dyDescent="0.25">
      <c r="B1327" s="2"/>
      <c r="C1327" s="2"/>
      <c r="D1327" s="2"/>
      <c r="E1327" s="4"/>
      <c r="F1327" s="2"/>
      <c r="G1327" s="2"/>
      <c r="H1327" s="2"/>
      <c r="I1327" s="4"/>
      <c r="J1327" s="2"/>
      <c r="K1327" s="2"/>
      <c r="M1327" s="4">
        <f t="shared" si="548"/>
        <v>173.1</v>
      </c>
      <c r="N1327" s="4"/>
      <c r="O1327" s="1">
        <f t="shared" si="549"/>
        <v>173.1</v>
      </c>
      <c r="P1327" s="1">
        <f t="shared" si="550"/>
        <v>0</v>
      </c>
      <c r="Q1327" s="1" t="str">
        <f t="shared" si="547"/>
        <v/>
      </c>
      <c r="R1327" s="1" t="str">
        <f t="shared" si="551"/>
        <v/>
      </c>
      <c r="S1327" s="1">
        <f t="shared" si="552"/>
        <v>630.90240000000244</v>
      </c>
      <c r="T1327" s="1">
        <f t="shared" si="553"/>
        <v>0</v>
      </c>
      <c r="U1327" s="1">
        <f t="shared" si="554"/>
        <v>0</v>
      </c>
      <c r="V1327" s="1">
        <f t="shared" si="555"/>
        <v>0</v>
      </c>
    </row>
    <row r="1328" spans="2:22" x14ac:dyDescent="0.25">
      <c r="B1328" s="2"/>
      <c r="C1328" s="2"/>
      <c r="D1328" s="2"/>
      <c r="E1328" s="4"/>
      <c r="F1328" s="2"/>
      <c r="G1328" s="2"/>
      <c r="H1328" s="2"/>
      <c r="I1328" s="4"/>
      <c r="J1328" s="2"/>
      <c r="K1328" s="2"/>
      <c r="M1328" s="4">
        <f t="shared" si="548"/>
        <v>173.1</v>
      </c>
      <c r="N1328" s="4"/>
      <c r="O1328" s="1">
        <f t="shared" si="549"/>
        <v>173.1</v>
      </c>
      <c r="P1328" s="1">
        <f t="shared" si="550"/>
        <v>0</v>
      </c>
      <c r="Q1328" s="1" t="str">
        <f t="shared" si="547"/>
        <v/>
      </c>
      <c r="R1328" s="1" t="str">
        <f t="shared" si="551"/>
        <v/>
      </c>
      <c r="S1328" s="1">
        <f t="shared" si="552"/>
        <v>630.90240000000244</v>
      </c>
      <c r="T1328" s="1">
        <f t="shared" si="553"/>
        <v>0</v>
      </c>
      <c r="U1328" s="1">
        <f t="shared" si="554"/>
        <v>0</v>
      </c>
      <c r="V1328" s="1">
        <f t="shared" si="555"/>
        <v>0</v>
      </c>
    </row>
    <row r="1329" spans="2:22" x14ac:dyDescent="0.25">
      <c r="B1329" s="2"/>
      <c r="C1329" s="2"/>
      <c r="D1329" s="2"/>
      <c r="E1329" s="4"/>
      <c r="F1329" s="2"/>
      <c r="G1329" s="2"/>
      <c r="H1329" s="2"/>
      <c r="I1329" s="4"/>
      <c r="J1329" s="2"/>
      <c r="K1329" s="2"/>
      <c r="M1329" s="4">
        <f t="shared" si="548"/>
        <v>173.1</v>
      </c>
      <c r="N1329" s="4"/>
      <c r="O1329" s="1">
        <f t="shared" si="549"/>
        <v>173.1</v>
      </c>
      <c r="P1329" s="1">
        <f t="shared" si="550"/>
        <v>0</v>
      </c>
      <c r="Q1329" s="1" t="str">
        <f t="shared" si="547"/>
        <v/>
      </c>
      <c r="R1329" s="1" t="str">
        <f t="shared" si="551"/>
        <v/>
      </c>
      <c r="S1329" s="1">
        <f t="shared" si="552"/>
        <v>630.90240000000244</v>
      </c>
      <c r="T1329" s="1">
        <f t="shared" si="553"/>
        <v>0</v>
      </c>
      <c r="U1329" s="1">
        <f t="shared" si="554"/>
        <v>0</v>
      </c>
      <c r="V1329" s="1">
        <f t="shared" si="555"/>
        <v>0</v>
      </c>
    </row>
    <row r="1330" spans="2:22" x14ac:dyDescent="0.25">
      <c r="B1330" s="2"/>
      <c r="C1330" s="2"/>
      <c r="D1330" s="2"/>
      <c r="E1330" s="4"/>
      <c r="F1330" s="2"/>
      <c r="G1330" s="2"/>
      <c r="H1330" s="2"/>
      <c r="I1330" s="4"/>
      <c r="J1330" s="2"/>
      <c r="K1330" s="2"/>
      <c r="M1330" s="4">
        <f t="shared" si="548"/>
        <v>173.1</v>
      </c>
      <c r="N1330" s="4"/>
      <c r="O1330" s="1">
        <f t="shared" si="549"/>
        <v>173.1</v>
      </c>
      <c r="P1330" s="1">
        <f t="shared" si="550"/>
        <v>0</v>
      </c>
      <c r="Q1330" s="1" t="str">
        <f t="shared" ref="Q1330:Q1393" si="556">IF(H1330&lt;&gt;"",IF(H1330=H1329,"",H1330),IF(H1328="","",MAX(H1329,Q1329)))</f>
        <v/>
      </c>
      <c r="R1330" s="1" t="str">
        <f t="shared" si="551"/>
        <v/>
      </c>
      <c r="S1330" s="1">
        <f t="shared" si="552"/>
        <v>630.90240000000244</v>
      </c>
      <c r="T1330" s="1">
        <f t="shared" si="553"/>
        <v>0</v>
      </c>
      <c r="U1330" s="1">
        <f t="shared" si="554"/>
        <v>0</v>
      </c>
      <c r="V1330" s="1">
        <f t="shared" si="555"/>
        <v>0</v>
      </c>
    </row>
    <row r="1331" spans="2:22" x14ac:dyDescent="0.25">
      <c r="B1331" s="2"/>
      <c r="C1331" s="2"/>
      <c r="D1331" s="2"/>
      <c r="E1331" s="4"/>
      <c r="F1331" s="2"/>
      <c r="G1331" s="2"/>
      <c r="H1331" s="2"/>
      <c r="I1331" s="4"/>
      <c r="J1331" s="2"/>
      <c r="K1331" s="2"/>
      <c r="M1331" s="4">
        <f t="shared" si="548"/>
        <v>173.1</v>
      </c>
      <c r="N1331" s="4"/>
      <c r="O1331" s="1">
        <f t="shared" si="549"/>
        <v>173.1</v>
      </c>
      <c r="P1331" s="1">
        <f t="shared" si="550"/>
        <v>0</v>
      </c>
      <c r="Q1331" s="1" t="str">
        <f t="shared" si="556"/>
        <v/>
      </c>
      <c r="R1331" s="1" t="str">
        <f t="shared" si="551"/>
        <v/>
      </c>
      <c r="S1331" s="1">
        <f t="shared" si="552"/>
        <v>630.90240000000244</v>
      </c>
      <c r="T1331" s="1">
        <f t="shared" si="553"/>
        <v>0</v>
      </c>
      <c r="U1331" s="1">
        <f t="shared" si="554"/>
        <v>0</v>
      </c>
      <c r="V1331" s="1">
        <f t="shared" si="555"/>
        <v>0</v>
      </c>
    </row>
    <row r="1332" spans="2:22" x14ac:dyDescent="0.25">
      <c r="B1332" s="2"/>
      <c r="C1332" s="2"/>
      <c r="D1332" s="2"/>
      <c r="E1332" s="4"/>
      <c r="F1332" s="2"/>
      <c r="G1332" s="2"/>
      <c r="H1332" s="2"/>
      <c r="I1332" s="4"/>
      <c r="J1332" s="2"/>
      <c r="K1332" s="2"/>
      <c r="M1332" s="4">
        <f t="shared" si="548"/>
        <v>173.1</v>
      </c>
      <c r="N1332" s="4"/>
      <c r="O1332" s="1">
        <f t="shared" si="549"/>
        <v>173.1</v>
      </c>
      <c r="P1332" s="1">
        <f t="shared" si="550"/>
        <v>0</v>
      </c>
      <c r="Q1332" s="1" t="str">
        <f t="shared" si="556"/>
        <v/>
      </c>
      <c r="R1332" s="1" t="str">
        <f t="shared" si="551"/>
        <v/>
      </c>
      <c r="S1332" s="1">
        <f t="shared" si="552"/>
        <v>630.90240000000244</v>
      </c>
      <c r="T1332" s="1">
        <f t="shared" si="553"/>
        <v>0</v>
      </c>
      <c r="U1332" s="1">
        <f t="shared" si="554"/>
        <v>0</v>
      </c>
      <c r="V1332" s="1">
        <f t="shared" si="555"/>
        <v>0</v>
      </c>
    </row>
    <row r="1333" spans="2:22" x14ac:dyDescent="0.25">
      <c r="B1333" s="2"/>
      <c r="C1333" s="2"/>
      <c r="D1333" s="2"/>
      <c r="E1333" s="4"/>
      <c r="F1333" s="2"/>
      <c r="G1333" s="2"/>
      <c r="H1333" s="2"/>
      <c r="I1333" s="4"/>
      <c r="J1333" s="2"/>
      <c r="K1333" s="2"/>
      <c r="M1333" s="4">
        <f t="shared" si="548"/>
        <v>173.1</v>
      </c>
      <c r="N1333" s="4"/>
      <c r="O1333" s="1">
        <f t="shared" si="549"/>
        <v>173.1</v>
      </c>
      <c r="P1333" s="1">
        <f t="shared" si="550"/>
        <v>0</v>
      </c>
      <c r="Q1333" s="1" t="str">
        <f t="shared" si="556"/>
        <v/>
      </c>
      <c r="R1333" s="1" t="str">
        <f t="shared" si="551"/>
        <v/>
      </c>
      <c r="S1333" s="1">
        <f t="shared" si="552"/>
        <v>630.90240000000244</v>
      </c>
      <c r="T1333" s="1">
        <f t="shared" si="553"/>
        <v>0</v>
      </c>
      <c r="U1333" s="1">
        <f t="shared" si="554"/>
        <v>0</v>
      </c>
      <c r="V1333" s="1">
        <f t="shared" si="555"/>
        <v>0</v>
      </c>
    </row>
    <row r="1334" spans="2:22" x14ac:dyDescent="0.25">
      <c r="B1334" s="2"/>
      <c r="C1334" s="2"/>
      <c r="D1334" s="2"/>
      <c r="E1334" s="4"/>
      <c r="F1334" s="2"/>
      <c r="G1334" s="2"/>
      <c r="H1334" s="2"/>
      <c r="I1334" s="4"/>
      <c r="J1334" s="2"/>
      <c r="K1334" s="2"/>
      <c r="M1334" s="4">
        <f t="shared" si="548"/>
        <v>173.1</v>
      </c>
      <c r="N1334" s="4"/>
      <c r="O1334" s="1">
        <f t="shared" si="549"/>
        <v>173.1</v>
      </c>
      <c r="P1334" s="1">
        <f t="shared" si="550"/>
        <v>0</v>
      </c>
      <c r="Q1334" s="1" t="str">
        <f t="shared" si="556"/>
        <v/>
      </c>
      <c r="R1334" s="1" t="str">
        <f t="shared" si="551"/>
        <v/>
      </c>
      <c r="S1334" s="1">
        <f t="shared" si="552"/>
        <v>630.90240000000244</v>
      </c>
      <c r="T1334" s="1">
        <f t="shared" si="553"/>
        <v>0</v>
      </c>
      <c r="U1334" s="1">
        <f t="shared" si="554"/>
        <v>0</v>
      </c>
      <c r="V1334" s="1">
        <f t="shared" si="555"/>
        <v>0</v>
      </c>
    </row>
    <row r="1335" spans="2:22" x14ac:dyDescent="0.25">
      <c r="B1335" s="2"/>
      <c r="C1335" s="2"/>
      <c r="D1335" s="2"/>
      <c r="E1335" s="4"/>
      <c r="F1335" s="2"/>
      <c r="G1335" s="2"/>
      <c r="H1335" s="2"/>
      <c r="I1335" s="4"/>
      <c r="J1335" s="2"/>
      <c r="K1335" s="2"/>
      <c r="M1335" s="4">
        <f t="shared" si="548"/>
        <v>173.1</v>
      </c>
      <c r="N1335" s="4"/>
      <c r="O1335" s="1">
        <f t="shared" si="549"/>
        <v>173.1</v>
      </c>
      <c r="P1335" s="1">
        <f t="shared" si="550"/>
        <v>0</v>
      </c>
      <c r="Q1335" s="1" t="str">
        <f t="shared" si="556"/>
        <v/>
      </c>
      <c r="R1335" s="1" t="str">
        <f t="shared" si="551"/>
        <v/>
      </c>
      <c r="S1335" s="1">
        <f t="shared" si="552"/>
        <v>630.90240000000244</v>
      </c>
      <c r="T1335" s="1">
        <f t="shared" si="553"/>
        <v>0</v>
      </c>
      <c r="U1335" s="1">
        <f t="shared" si="554"/>
        <v>0</v>
      </c>
      <c r="V1335" s="1">
        <f t="shared" si="555"/>
        <v>0</v>
      </c>
    </row>
    <row r="1336" spans="2:22" x14ac:dyDescent="0.25">
      <c r="B1336" s="2"/>
      <c r="C1336" s="2"/>
      <c r="D1336" s="2"/>
      <c r="E1336" s="4"/>
      <c r="F1336" s="2"/>
      <c r="G1336" s="2"/>
      <c r="H1336" s="2"/>
      <c r="I1336" s="4"/>
      <c r="J1336" s="2"/>
      <c r="K1336" s="2"/>
      <c r="M1336" s="4">
        <f t="shared" si="548"/>
        <v>173.1</v>
      </c>
      <c r="N1336" s="4"/>
      <c r="O1336" s="1">
        <f t="shared" si="549"/>
        <v>173.1</v>
      </c>
      <c r="P1336" s="1">
        <f t="shared" si="550"/>
        <v>0</v>
      </c>
      <c r="Q1336" s="1" t="str">
        <f t="shared" si="556"/>
        <v/>
      </c>
      <c r="R1336" s="1" t="str">
        <f t="shared" si="551"/>
        <v/>
      </c>
      <c r="S1336" s="1">
        <f t="shared" si="552"/>
        <v>630.90240000000244</v>
      </c>
      <c r="T1336" s="1">
        <f t="shared" si="553"/>
        <v>0</v>
      </c>
      <c r="U1336" s="1">
        <f t="shared" si="554"/>
        <v>0</v>
      </c>
      <c r="V1336" s="1">
        <f t="shared" si="555"/>
        <v>0</v>
      </c>
    </row>
    <row r="1337" spans="2:22" x14ac:dyDescent="0.25">
      <c r="B1337" s="2"/>
      <c r="C1337" s="2"/>
      <c r="D1337" s="2"/>
      <c r="E1337" s="4"/>
      <c r="F1337" s="2"/>
      <c r="G1337" s="2"/>
      <c r="H1337" s="2"/>
      <c r="I1337" s="4"/>
      <c r="J1337" s="2"/>
      <c r="K1337" s="2"/>
      <c r="M1337" s="4">
        <f t="shared" si="548"/>
        <v>173.1</v>
      </c>
      <c r="N1337" s="4"/>
      <c r="O1337" s="1">
        <f t="shared" si="549"/>
        <v>173.1</v>
      </c>
      <c r="P1337" s="1">
        <f t="shared" si="550"/>
        <v>0</v>
      </c>
      <c r="Q1337" s="1" t="str">
        <f t="shared" si="556"/>
        <v/>
      </c>
      <c r="R1337" s="1" t="str">
        <f t="shared" si="551"/>
        <v/>
      </c>
      <c r="S1337" s="1">
        <f t="shared" si="552"/>
        <v>630.90240000000244</v>
      </c>
      <c r="T1337" s="1">
        <f t="shared" si="553"/>
        <v>0</v>
      </c>
      <c r="U1337" s="1">
        <f t="shared" si="554"/>
        <v>0</v>
      </c>
      <c r="V1337" s="1">
        <f t="shared" si="555"/>
        <v>0</v>
      </c>
    </row>
    <row r="1338" spans="2:22" x14ac:dyDescent="0.25">
      <c r="B1338" s="2"/>
      <c r="C1338" s="2"/>
      <c r="D1338" s="2"/>
      <c r="E1338" s="4"/>
      <c r="F1338" s="2"/>
      <c r="G1338" s="2"/>
      <c r="H1338" s="2"/>
      <c r="I1338" s="4"/>
      <c r="J1338" s="2"/>
      <c r="K1338" s="2"/>
      <c r="M1338" s="4">
        <f t="shared" si="548"/>
        <v>173.1</v>
      </c>
      <c r="N1338" s="4"/>
      <c r="O1338" s="1">
        <f t="shared" si="549"/>
        <v>173.1</v>
      </c>
      <c r="P1338" s="1">
        <f t="shared" si="550"/>
        <v>0</v>
      </c>
      <c r="Q1338" s="1" t="str">
        <f t="shared" si="556"/>
        <v/>
      </c>
      <c r="R1338" s="1" t="str">
        <f t="shared" si="551"/>
        <v/>
      </c>
      <c r="S1338" s="1">
        <f t="shared" si="552"/>
        <v>630.90240000000244</v>
      </c>
      <c r="T1338" s="1">
        <f t="shared" si="553"/>
        <v>0</v>
      </c>
      <c r="U1338" s="1">
        <f t="shared" si="554"/>
        <v>0</v>
      </c>
      <c r="V1338" s="1">
        <f t="shared" si="555"/>
        <v>0</v>
      </c>
    </row>
    <row r="1339" spans="2:22" x14ac:dyDescent="0.25">
      <c r="B1339" s="2"/>
      <c r="C1339" s="2"/>
      <c r="D1339" s="2"/>
      <c r="E1339" s="4"/>
      <c r="F1339" s="2"/>
      <c r="G1339" s="2"/>
      <c r="H1339" s="2"/>
      <c r="I1339" s="4"/>
      <c r="J1339" s="2"/>
      <c r="K1339" s="2"/>
      <c r="M1339" s="4">
        <f t="shared" si="548"/>
        <v>173.1</v>
      </c>
      <c r="N1339" s="4"/>
      <c r="O1339" s="1">
        <f t="shared" si="549"/>
        <v>173.1</v>
      </c>
      <c r="P1339" s="1">
        <f t="shared" si="550"/>
        <v>0</v>
      </c>
      <c r="Q1339" s="1" t="str">
        <f t="shared" si="556"/>
        <v/>
      </c>
      <c r="R1339" s="1" t="str">
        <f t="shared" si="551"/>
        <v/>
      </c>
      <c r="S1339" s="1">
        <f t="shared" si="552"/>
        <v>630.90240000000244</v>
      </c>
      <c r="T1339" s="1">
        <f t="shared" si="553"/>
        <v>0</v>
      </c>
      <c r="U1339" s="1">
        <f t="shared" si="554"/>
        <v>0</v>
      </c>
      <c r="V1339" s="1">
        <f t="shared" si="555"/>
        <v>0</v>
      </c>
    </row>
    <row r="1340" spans="2:22" x14ac:dyDescent="0.25">
      <c r="B1340" s="2"/>
      <c r="C1340" s="2"/>
      <c r="D1340" s="2"/>
      <c r="E1340" s="4"/>
      <c r="F1340" s="2"/>
      <c r="G1340" s="2"/>
      <c r="H1340" s="2"/>
      <c r="I1340" s="4"/>
      <c r="J1340" s="2"/>
      <c r="K1340" s="2"/>
      <c r="M1340" s="4">
        <f t="shared" si="548"/>
        <v>173.1</v>
      </c>
      <c r="N1340" s="4"/>
      <c r="O1340" s="1">
        <f t="shared" si="549"/>
        <v>173.1</v>
      </c>
      <c r="P1340" s="1">
        <f t="shared" si="550"/>
        <v>0</v>
      </c>
      <c r="Q1340" s="1" t="str">
        <f t="shared" si="556"/>
        <v/>
      </c>
      <c r="R1340" s="1" t="str">
        <f t="shared" si="551"/>
        <v/>
      </c>
      <c r="S1340" s="1">
        <f t="shared" si="552"/>
        <v>630.90240000000244</v>
      </c>
      <c r="T1340" s="1">
        <f t="shared" si="553"/>
        <v>0</v>
      </c>
      <c r="U1340" s="1">
        <f t="shared" si="554"/>
        <v>0</v>
      </c>
      <c r="V1340" s="1">
        <f t="shared" si="555"/>
        <v>0</v>
      </c>
    </row>
    <row r="1341" spans="2:22" x14ac:dyDescent="0.25">
      <c r="B1341" s="2"/>
      <c r="C1341" s="2"/>
      <c r="D1341" s="2"/>
      <c r="E1341" s="4"/>
      <c r="F1341" s="2"/>
      <c r="G1341" s="2"/>
      <c r="H1341" s="2"/>
      <c r="I1341" s="4"/>
      <c r="J1341" s="2"/>
      <c r="K1341" s="2"/>
      <c r="M1341" s="4">
        <f t="shared" si="548"/>
        <v>173.1</v>
      </c>
      <c r="N1341" s="4"/>
      <c r="O1341" s="1">
        <f t="shared" si="549"/>
        <v>173.1</v>
      </c>
      <c r="P1341" s="1">
        <f t="shared" si="550"/>
        <v>0</v>
      </c>
      <c r="Q1341" s="1" t="str">
        <f t="shared" si="556"/>
        <v/>
      </c>
      <c r="R1341" s="1" t="str">
        <f t="shared" si="551"/>
        <v/>
      </c>
      <c r="S1341" s="1">
        <f t="shared" si="552"/>
        <v>630.90240000000244</v>
      </c>
      <c r="T1341" s="1">
        <f t="shared" si="553"/>
        <v>0</v>
      </c>
      <c r="U1341" s="1">
        <f t="shared" si="554"/>
        <v>0</v>
      </c>
      <c r="V1341" s="1">
        <f t="shared" si="555"/>
        <v>0</v>
      </c>
    </row>
    <row r="1342" spans="2:22" x14ac:dyDescent="0.25">
      <c r="B1342" s="2"/>
      <c r="C1342" s="2"/>
      <c r="D1342" s="2"/>
      <c r="E1342" s="4"/>
      <c r="F1342" s="2"/>
      <c r="G1342" s="2"/>
      <c r="H1342" s="2"/>
      <c r="I1342" s="4"/>
      <c r="J1342" s="2"/>
      <c r="K1342" s="2"/>
      <c r="M1342" s="4">
        <f t="shared" si="548"/>
        <v>173.1</v>
      </c>
      <c r="N1342" s="4"/>
      <c r="O1342" s="1">
        <f t="shared" si="549"/>
        <v>173.1</v>
      </c>
      <c r="P1342" s="1">
        <f t="shared" si="550"/>
        <v>0</v>
      </c>
      <c r="Q1342" s="1" t="str">
        <f t="shared" si="556"/>
        <v/>
      </c>
      <c r="R1342" s="1" t="str">
        <f t="shared" si="551"/>
        <v/>
      </c>
      <c r="S1342" s="1">
        <f t="shared" si="552"/>
        <v>630.90240000000244</v>
      </c>
      <c r="T1342" s="1">
        <f t="shared" si="553"/>
        <v>0</v>
      </c>
      <c r="U1342" s="1">
        <f t="shared" si="554"/>
        <v>0</v>
      </c>
      <c r="V1342" s="1">
        <f t="shared" si="555"/>
        <v>0</v>
      </c>
    </row>
    <row r="1343" spans="2:22" x14ac:dyDescent="0.25">
      <c r="B1343" s="2"/>
      <c r="C1343" s="2"/>
      <c r="D1343" s="2"/>
      <c r="E1343" s="4"/>
      <c r="F1343" s="2"/>
      <c r="G1343" s="2"/>
      <c r="H1343" s="2"/>
      <c r="I1343" s="4"/>
      <c r="J1343" s="2"/>
      <c r="K1343" s="2"/>
      <c r="M1343" s="4">
        <f t="shared" si="548"/>
        <v>173.1</v>
      </c>
      <c r="N1343" s="4"/>
      <c r="O1343" s="1">
        <f t="shared" si="549"/>
        <v>173.1</v>
      </c>
      <c r="P1343" s="1">
        <f t="shared" si="550"/>
        <v>0</v>
      </c>
      <c r="Q1343" s="1" t="str">
        <f t="shared" si="556"/>
        <v/>
      </c>
      <c r="R1343" s="1" t="str">
        <f t="shared" si="551"/>
        <v/>
      </c>
      <c r="S1343" s="1">
        <f t="shared" si="552"/>
        <v>630.90240000000244</v>
      </c>
      <c r="T1343" s="1">
        <f t="shared" si="553"/>
        <v>0</v>
      </c>
      <c r="U1343" s="1">
        <f t="shared" si="554"/>
        <v>0</v>
      </c>
      <c r="V1343" s="1">
        <f t="shared" si="555"/>
        <v>0</v>
      </c>
    </row>
    <row r="1344" spans="2:22" x14ac:dyDescent="0.25">
      <c r="B1344" s="2"/>
      <c r="C1344" s="2"/>
      <c r="D1344" s="2"/>
      <c r="E1344" s="4"/>
      <c r="F1344" s="2"/>
      <c r="G1344" s="2"/>
      <c r="H1344" s="2"/>
      <c r="I1344" s="4"/>
      <c r="J1344" s="2"/>
      <c r="K1344" s="2"/>
      <c r="M1344" s="4">
        <f t="shared" si="548"/>
        <v>173.1</v>
      </c>
      <c r="N1344" s="4"/>
      <c r="O1344" s="1">
        <f t="shared" si="549"/>
        <v>173.1</v>
      </c>
      <c r="P1344" s="1">
        <f t="shared" si="550"/>
        <v>0</v>
      </c>
      <c r="Q1344" s="1" t="str">
        <f t="shared" si="556"/>
        <v/>
      </c>
      <c r="R1344" s="1" t="str">
        <f t="shared" si="551"/>
        <v/>
      </c>
      <c r="S1344" s="1">
        <f t="shared" si="552"/>
        <v>630.90240000000244</v>
      </c>
      <c r="T1344" s="1">
        <f t="shared" si="553"/>
        <v>0</v>
      </c>
      <c r="U1344" s="1">
        <f t="shared" si="554"/>
        <v>0</v>
      </c>
      <c r="V1344" s="1">
        <f t="shared" si="555"/>
        <v>0</v>
      </c>
    </row>
    <row r="1345" spans="2:22" x14ac:dyDescent="0.25">
      <c r="B1345" s="2"/>
      <c r="C1345" s="2"/>
      <c r="D1345" s="2"/>
      <c r="E1345" s="4"/>
      <c r="F1345" s="2"/>
      <c r="G1345" s="2"/>
      <c r="H1345" s="2"/>
      <c r="I1345" s="4"/>
      <c r="J1345" s="2"/>
      <c r="K1345" s="2"/>
      <c r="M1345" s="4">
        <f t="shared" si="548"/>
        <v>173.1</v>
      </c>
      <c r="N1345" s="4"/>
      <c r="O1345" s="1">
        <f t="shared" si="549"/>
        <v>173.1</v>
      </c>
      <c r="P1345" s="1">
        <f t="shared" si="550"/>
        <v>0</v>
      </c>
      <c r="Q1345" s="1" t="str">
        <f t="shared" si="556"/>
        <v/>
      </c>
      <c r="R1345" s="1" t="str">
        <f t="shared" si="551"/>
        <v/>
      </c>
      <c r="S1345" s="1">
        <f t="shared" si="552"/>
        <v>630.90240000000244</v>
      </c>
      <c r="T1345" s="1">
        <f t="shared" si="553"/>
        <v>0</v>
      </c>
      <c r="U1345" s="1">
        <f t="shared" si="554"/>
        <v>0</v>
      </c>
      <c r="V1345" s="1">
        <f t="shared" si="555"/>
        <v>0</v>
      </c>
    </row>
    <row r="1346" spans="2:22" x14ac:dyDescent="0.25">
      <c r="B1346" s="2"/>
      <c r="C1346" s="2"/>
      <c r="D1346" s="2"/>
      <c r="E1346" s="4"/>
      <c r="F1346" s="2"/>
      <c r="G1346" s="2"/>
      <c r="H1346" s="2"/>
      <c r="I1346" s="4"/>
      <c r="J1346" s="2"/>
      <c r="K1346" s="2"/>
      <c r="M1346" s="4">
        <f t="shared" si="548"/>
        <v>173.1</v>
      </c>
      <c r="N1346" s="4"/>
      <c r="O1346" s="1">
        <f t="shared" si="549"/>
        <v>173.1</v>
      </c>
      <c r="P1346" s="1">
        <f t="shared" si="550"/>
        <v>0</v>
      </c>
      <c r="Q1346" s="1" t="str">
        <f t="shared" si="556"/>
        <v/>
      </c>
      <c r="R1346" s="1" t="str">
        <f t="shared" si="551"/>
        <v/>
      </c>
      <c r="S1346" s="1">
        <f t="shared" si="552"/>
        <v>630.90240000000244</v>
      </c>
      <c r="T1346" s="1">
        <f t="shared" si="553"/>
        <v>0</v>
      </c>
      <c r="U1346" s="1">
        <f t="shared" si="554"/>
        <v>0</v>
      </c>
      <c r="V1346" s="1">
        <f t="shared" si="555"/>
        <v>0</v>
      </c>
    </row>
    <row r="1347" spans="2:22" x14ac:dyDescent="0.25">
      <c r="B1347" s="2"/>
      <c r="C1347" s="2"/>
      <c r="D1347" s="2"/>
      <c r="E1347" s="4"/>
      <c r="F1347" s="2"/>
      <c r="G1347" s="2"/>
      <c r="H1347" s="2"/>
      <c r="I1347" s="4"/>
      <c r="J1347" s="2"/>
      <c r="K1347" s="2"/>
      <c r="M1347" s="4">
        <f t="shared" si="548"/>
        <v>173.1</v>
      </c>
      <c r="N1347" s="4"/>
      <c r="O1347" s="1">
        <f t="shared" si="549"/>
        <v>173.1</v>
      </c>
      <c r="P1347" s="1">
        <f t="shared" si="550"/>
        <v>0</v>
      </c>
      <c r="Q1347" s="1" t="str">
        <f t="shared" si="556"/>
        <v/>
      </c>
      <c r="R1347" s="1" t="str">
        <f t="shared" si="551"/>
        <v/>
      </c>
      <c r="S1347" s="1">
        <f t="shared" si="552"/>
        <v>630.90240000000244</v>
      </c>
      <c r="T1347" s="1">
        <f t="shared" si="553"/>
        <v>0</v>
      </c>
      <c r="U1347" s="1">
        <f t="shared" si="554"/>
        <v>0</v>
      </c>
      <c r="V1347" s="1">
        <f t="shared" si="555"/>
        <v>0</v>
      </c>
    </row>
    <row r="1348" spans="2:22" x14ac:dyDescent="0.25">
      <c r="B1348" s="2"/>
      <c r="C1348" s="2"/>
      <c r="D1348" s="2"/>
      <c r="E1348" s="4"/>
      <c r="F1348" s="2"/>
      <c r="G1348" s="2"/>
      <c r="H1348" s="2"/>
      <c r="I1348" s="4"/>
      <c r="J1348" s="2"/>
      <c r="K1348" s="2"/>
      <c r="M1348" s="4">
        <f t="shared" si="548"/>
        <v>173.1</v>
      </c>
      <c r="N1348" s="4"/>
      <c r="O1348" s="1">
        <f t="shared" si="549"/>
        <v>173.1</v>
      </c>
      <c r="P1348" s="1">
        <f t="shared" si="550"/>
        <v>0</v>
      </c>
      <c r="Q1348" s="1" t="str">
        <f t="shared" si="556"/>
        <v/>
      </c>
      <c r="R1348" s="1" t="str">
        <f t="shared" si="551"/>
        <v/>
      </c>
      <c r="S1348" s="1">
        <f t="shared" si="552"/>
        <v>630.90240000000244</v>
      </c>
      <c r="T1348" s="1">
        <f t="shared" si="553"/>
        <v>0</v>
      </c>
      <c r="U1348" s="1">
        <f t="shared" si="554"/>
        <v>0</v>
      </c>
      <c r="V1348" s="1">
        <f t="shared" si="555"/>
        <v>0</v>
      </c>
    </row>
    <row r="1349" spans="2:22" x14ac:dyDescent="0.25">
      <c r="B1349" s="2"/>
      <c r="C1349" s="2"/>
      <c r="D1349" s="2"/>
      <c r="E1349" s="4"/>
      <c r="F1349" s="2"/>
      <c r="G1349" s="2"/>
      <c r="H1349" s="2"/>
      <c r="I1349" s="4"/>
      <c r="J1349" s="2"/>
      <c r="K1349" s="2"/>
      <c r="M1349" s="4">
        <f t="shared" si="548"/>
        <v>173.1</v>
      </c>
      <c r="N1349" s="4"/>
      <c r="O1349" s="1">
        <f t="shared" si="549"/>
        <v>173.1</v>
      </c>
      <c r="P1349" s="1">
        <f t="shared" si="550"/>
        <v>0</v>
      </c>
      <c r="Q1349" s="1" t="str">
        <f t="shared" si="556"/>
        <v/>
      </c>
      <c r="R1349" s="1" t="str">
        <f t="shared" si="551"/>
        <v/>
      </c>
      <c r="S1349" s="1">
        <f t="shared" si="552"/>
        <v>630.90240000000244</v>
      </c>
      <c r="T1349" s="1">
        <f t="shared" si="553"/>
        <v>0</v>
      </c>
      <c r="U1349" s="1">
        <f t="shared" si="554"/>
        <v>0</v>
      </c>
      <c r="V1349" s="1">
        <f t="shared" si="555"/>
        <v>0</v>
      </c>
    </row>
    <row r="1350" spans="2:22" x14ac:dyDescent="0.25">
      <c r="B1350" s="2"/>
      <c r="C1350" s="2"/>
      <c r="D1350" s="2"/>
      <c r="E1350" s="4"/>
      <c r="F1350" s="2"/>
      <c r="G1350" s="2"/>
      <c r="H1350" s="2"/>
      <c r="I1350" s="4"/>
      <c r="J1350" s="2"/>
      <c r="K1350" s="2"/>
      <c r="M1350" s="4">
        <f t="shared" si="548"/>
        <v>173.1</v>
      </c>
      <c r="N1350" s="4"/>
      <c r="O1350" s="1">
        <f t="shared" si="549"/>
        <v>173.1</v>
      </c>
      <c r="P1350" s="1">
        <f t="shared" si="550"/>
        <v>0</v>
      </c>
      <c r="Q1350" s="1" t="str">
        <f t="shared" si="556"/>
        <v/>
      </c>
      <c r="R1350" s="1" t="str">
        <f t="shared" si="551"/>
        <v/>
      </c>
      <c r="S1350" s="1">
        <f t="shared" si="552"/>
        <v>630.90240000000244</v>
      </c>
      <c r="T1350" s="1">
        <f t="shared" si="553"/>
        <v>0</v>
      </c>
      <c r="U1350" s="1">
        <f t="shared" si="554"/>
        <v>0</v>
      </c>
      <c r="V1350" s="1">
        <f t="shared" si="555"/>
        <v>0</v>
      </c>
    </row>
    <row r="1351" spans="2:22" x14ac:dyDescent="0.25">
      <c r="B1351" s="2"/>
      <c r="C1351" s="2"/>
      <c r="D1351" s="2"/>
      <c r="E1351" s="4"/>
      <c r="F1351" s="2"/>
      <c r="G1351" s="2"/>
      <c r="H1351" s="2"/>
      <c r="I1351" s="4"/>
      <c r="J1351" s="2"/>
      <c r="K1351" s="2"/>
      <c r="M1351" s="4">
        <f t="shared" si="548"/>
        <v>173.1</v>
      </c>
      <c r="N1351" s="4"/>
      <c r="O1351" s="1">
        <f t="shared" si="549"/>
        <v>173.1</v>
      </c>
      <c r="P1351" s="1">
        <f t="shared" si="550"/>
        <v>0</v>
      </c>
      <c r="Q1351" s="1" t="str">
        <f t="shared" si="556"/>
        <v/>
      </c>
      <c r="R1351" s="1" t="str">
        <f t="shared" si="551"/>
        <v/>
      </c>
      <c r="S1351" s="1">
        <f t="shared" si="552"/>
        <v>630.90240000000244</v>
      </c>
      <c r="T1351" s="1">
        <f t="shared" si="553"/>
        <v>0</v>
      </c>
      <c r="U1351" s="1">
        <f t="shared" si="554"/>
        <v>0</v>
      </c>
      <c r="V1351" s="1">
        <f t="shared" si="555"/>
        <v>0</v>
      </c>
    </row>
    <row r="1352" spans="2:22" x14ac:dyDescent="0.25">
      <c r="B1352" s="2"/>
      <c r="C1352" s="2"/>
      <c r="D1352" s="2"/>
      <c r="E1352" s="4"/>
      <c r="F1352" s="2"/>
      <c r="G1352" s="2"/>
      <c r="H1352" s="2"/>
      <c r="I1352" s="4"/>
      <c r="J1352" s="2"/>
      <c r="K1352" s="2"/>
      <c r="M1352" s="4">
        <f t="shared" ref="M1352:M1415" si="557">E1352+M1351</f>
        <v>173.1</v>
      </c>
      <c r="N1352" s="4"/>
      <c r="O1352" s="1">
        <f t="shared" ref="O1352:O1415" si="558">E1351+O1351</f>
        <v>173.1</v>
      </c>
      <c r="P1352" s="1">
        <f t="shared" ref="P1352:P1415" si="559">F1352*52.8*E1352</f>
        <v>0</v>
      </c>
      <c r="Q1352" s="1" t="str">
        <f t="shared" si="556"/>
        <v/>
      </c>
      <c r="R1352" s="1" t="str">
        <f t="shared" ref="R1352:R1415" si="560">IF(I1352="",Q1352,IF(AND(H1352=H1351,I1352=I1351),"",I1352))</f>
        <v/>
      </c>
      <c r="S1352" s="1">
        <f t="shared" ref="S1352:S1415" si="561">S1351+U1351*T1351/100</f>
        <v>630.90240000000244</v>
      </c>
      <c r="T1352" s="1">
        <f t="shared" ref="T1352:T1415" si="562">IF(G1352="UNK",0,G1352)</f>
        <v>0</v>
      </c>
      <c r="U1352" s="1">
        <f t="shared" ref="U1352:U1415" si="563">E1352*5280</f>
        <v>0</v>
      </c>
      <c r="V1352" s="1">
        <f t="shared" ref="V1352:V1415" si="564">ABS(T1352*U1352)</f>
        <v>0</v>
      </c>
    </row>
    <row r="1353" spans="2:22" x14ac:dyDescent="0.25">
      <c r="B1353" s="2"/>
      <c r="C1353" s="2"/>
      <c r="D1353" s="2"/>
      <c r="E1353" s="4"/>
      <c r="F1353" s="2"/>
      <c r="G1353" s="2"/>
      <c r="H1353" s="2"/>
      <c r="I1353" s="4"/>
      <c r="J1353" s="2"/>
      <c r="K1353" s="2"/>
      <c r="M1353" s="4">
        <f t="shared" si="557"/>
        <v>173.1</v>
      </c>
      <c r="N1353" s="4"/>
      <c r="O1353" s="1">
        <f t="shared" si="558"/>
        <v>173.1</v>
      </c>
      <c r="P1353" s="1">
        <f t="shared" si="559"/>
        <v>0</v>
      </c>
      <c r="Q1353" s="1" t="str">
        <f t="shared" si="556"/>
        <v/>
      </c>
      <c r="R1353" s="1" t="str">
        <f t="shared" si="560"/>
        <v/>
      </c>
      <c r="S1353" s="1">
        <f t="shared" si="561"/>
        <v>630.90240000000244</v>
      </c>
      <c r="T1353" s="1">
        <f t="shared" si="562"/>
        <v>0</v>
      </c>
      <c r="U1353" s="1">
        <f t="shared" si="563"/>
        <v>0</v>
      </c>
      <c r="V1353" s="1">
        <f t="shared" si="564"/>
        <v>0</v>
      </c>
    </row>
    <row r="1354" spans="2:22" x14ac:dyDescent="0.25">
      <c r="B1354" s="2"/>
      <c r="C1354" s="2"/>
      <c r="D1354" s="2"/>
      <c r="E1354" s="4"/>
      <c r="F1354" s="2"/>
      <c r="G1354" s="2"/>
      <c r="H1354" s="2"/>
      <c r="I1354" s="4"/>
      <c r="J1354" s="2"/>
      <c r="K1354" s="2"/>
      <c r="M1354" s="4">
        <f t="shared" si="557"/>
        <v>173.1</v>
      </c>
      <c r="N1354" s="4"/>
      <c r="O1354" s="1">
        <f t="shared" si="558"/>
        <v>173.1</v>
      </c>
      <c r="P1354" s="1">
        <f t="shared" si="559"/>
        <v>0</v>
      </c>
      <c r="Q1354" s="1" t="str">
        <f t="shared" si="556"/>
        <v/>
      </c>
      <c r="R1354" s="1" t="str">
        <f t="shared" si="560"/>
        <v/>
      </c>
      <c r="S1354" s="1">
        <f t="shared" si="561"/>
        <v>630.90240000000244</v>
      </c>
      <c r="T1354" s="1">
        <f t="shared" si="562"/>
        <v>0</v>
      </c>
      <c r="U1354" s="1">
        <f t="shared" si="563"/>
        <v>0</v>
      </c>
      <c r="V1354" s="1">
        <f t="shared" si="564"/>
        <v>0</v>
      </c>
    </row>
    <row r="1355" spans="2:22" x14ac:dyDescent="0.25">
      <c r="B1355" s="2"/>
      <c r="C1355" s="2"/>
      <c r="D1355" s="2"/>
      <c r="E1355" s="4"/>
      <c r="F1355" s="2"/>
      <c r="G1355" s="2"/>
      <c r="H1355" s="2"/>
      <c r="I1355" s="4"/>
      <c r="J1355" s="2"/>
      <c r="K1355" s="2"/>
      <c r="M1355" s="4">
        <f t="shared" si="557"/>
        <v>173.1</v>
      </c>
      <c r="N1355" s="4"/>
      <c r="O1355" s="1">
        <f t="shared" si="558"/>
        <v>173.1</v>
      </c>
      <c r="P1355" s="1">
        <f t="shared" si="559"/>
        <v>0</v>
      </c>
      <c r="Q1355" s="1" t="str">
        <f t="shared" si="556"/>
        <v/>
      </c>
      <c r="R1355" s="1" t="str">
        <f t="shared" si="560"/>
        <v/>
      </c>
      <c r="S1355" s="1">
        <f t="shared" si="561"/>
        <v>630.90240000000244</v>
      </c>
      <c r="T1355" s="1">
        <f t="shared" si="562"/>
        <v>0</v>
      </c>
      <c r="U1355" s="1">
        <f t="shared" si="563"/>
        <v>0</v>
      </c>
      <c r="V1355" s="1">
        <f t="shared" si="564"/>
        <v>0</v>
      </c>
    </row>
    <row r="1356" spans="2:22" x14ac:dyDescent="0.25">
      <c r="B1356" s="2"/>
      <c r="C1356" s="2"/>
      <c r="D1356" s="2"/>
      <c r="E1356" s="4"/>
      <c r="F1356" s="2"/>
      <c r="G1356" s="2"/>
      <c r="H1356" s="2"/>
      <c r="I1356" s="4"/>
      <c r="J1356" s="2"/>
      <c r="K1356" s="2"/>
      <c r="M1356" s="4">
        <f t="shared" si="557"/>
        <v>173.1</v>
      </c>
      <c r="N1356" s="4"/>
      <c r="O1356" s="1">
        <f t="shared" si="558"/>
        <v>173.1</v>
      </c>
      <c r="P1356" s="1">
        <f t="shared" si="559"/>
        <v>0</v>
      </c>
      <c r="Q1356" s="1" t="str">
        <f t="shared" si="556"/>
        <v/>
      </c>
      <c r="R1356" s="1" t="str">
        <f t="shared" si="560"/>
        <v/>
      </c>
      <c r="S1356" s="1">
        <f t="shared" si="561"/>
        <v>630.90240000000244</v>
      </c>
      <c r="T1356" s="1">
        <f t="shared" si="562"/>
        <v>0</v>
      </c>
      <c r="U1356" s="1">
        <f t="shared" si="563"/>
        <v>0</v>
      </c>
      <c r="V1356" s="1">
        <f t="shared" si="564"/>
        <v>0</v>
      </c>
    </row>
    <row r="1357" spans="2:22" x14ac:dyDescent="0.25">
      <c r="B1357" s="2"/>
      <c r="C1357" s="2"/>
      <c r="D1357" s="2"/>
      <c r="E1357" s="4"/>
      <c r="F1357" s="2"/>
      <c r="G1357" s="2"/>
      <c r="H1357" s="2"/>
      <c r="I1357" s="4"/>
      <c r="J1357" s="2"/>
      <c r="K1357" s="2"/>
      <c r="M1357" s="4">
        <f t="shared" si="557"/>
        <v>173.1</v>
      </c>
      <c r="N1357" s="4"/>
      <c r="O1357" s="1">
        <f t="shared" si="558"/>
        <v>173.1</v>
      </c>
      <c r="P1357" s="1">
        <f t="shared" si="559"/>
        <v>0</v>
      </c>
      <c r="Q1357" s="1" t="str">
        <f t="shared" si="556"/>
        <v/>
      </c>
      <c r="R1357" s="1" t="str">
        <f t="shared" si="560"/>
        <v/>
      </c>
      <c r="S1357" s="1">
        <f t="shared" si="561"/>
        <v>630.90240000000244</v>
      </c>
      <c r="T1357" s="1">
        <f t="shared" si="562"/>
        <v>0</v>
      </c>
      <c r="U1357" s="1">
        <f t="shared" si="563"/>
        <v>0</v>
      </c>
      <c r="V1357" s="1">
        <f t="shared" si="564"/>
        <v>0</v>
      </c>
    </row>
    <row r="1358" spans="2:22" x14ac:dyDescent="0.25">
      <c r="B1358" s="2"/>
      <c r="C1358" s="2"/>
      <c r="D1358" s="2"/>
      <c r="E1358" s="4"/>
      <c r="F1358" s="2"/>
      <c r="G1358" s="2"/>
      <c r="H1358" s="2"/>
      <c r="I1358" s="4"/>
      <c r="J1358" s="2"/>
      <c r="K1358" s="2"/>
      <c r="M1358" s="4">
        <f t="shared" si="557"/>
        <v>173.1</v>
      </c>
      <c r="N1358" s="4"/>
      <c r="O1358" s="1">
        <f t="shared" si="558"/>
        <v>173.1</v>
      </c>
      <c r="P1358" s="1">
        <f t="shared" si="559"/>
        <v>0</v>
      </c>
      <c r="Q1358" s="1" t="str">
        <f t="shared" si="556"/>
        <v/>
      </c>
      <c r="R1358" s="1" t="str">
        <f t="shared" si="560"/>
        <v/>
      </c>
      <c r="S1358" s="1">
        <f t="shared" si="561"/>
        <v>630.90240000000244</v>
      </c>
      <c r="T1358" s="1">
        <f t="shared" si="562"/>
        <v>0</v>
      </c>
      <c r="U1358" s="1">
        <f t="shared" si="563"/>
        <v>0</v>
      </c>
      <c r="V1358" s="1">
        <f t="shared" si="564"/>
        <v>0</v>
      </c>
    </row>
    <row r="1359" spans="2:22" x14ac:dyDescent="0.25">
      <c r="B1359" s="2"/>
      <c r="C1359" s="2"/>
      <c r="D1359" s="2"/>
      <c r="E1359" s="4"/>
      <c r="F1359" s="2"/>
      <c r="G1359" s="2"/>
      <c r="H1359" s="2"/>
      <c r="I1359" s="4"/>
      <c r="J1359" s="2"/>
      <c r="K1359" s="2"/>
      <c r="M1359" s="4">
        <f t="shared" si="557"/>
        <v>173.1</v>
      </c>
      <c r="N1359" s="4"/>
      <c r="O1359" s="1">
        <f t="shared" si="558"/>
        <v>173.1</v>
      </c>
      <c r="P1359" s="1">
        <f t="shared" si="559"/>
        <v>0</v>
      </c>
      <c r="Q1359" s="1" t="str">
        <f t="shared" si="556"/>
        <v/>
      </c>
      <c r="R1359" s="1" t="str">
        <f t="shared" si="560"/>
        <v/>
      </c>
      <c r="S1359" s="1">
        <f t="shared" si="561"/>
        <v>630.90240000000244</v>
      </c>
      <c r="T1359" s="1">
        <f t="shared" si="562"/>
        <v>0</v>
      </c>
      <c r="U1359" s="1">
        <f t="shared" si="563"/>
        <v>0</v>
      </c>
      <c r="V1359" s="1">
        <f t="shared" si="564"/>
        <v>0</v>
      </c>
    </row>
    <row r="1360" spans="2:22" x14ac:dyDescent="0.25">
      <c r="B1360" s="2"/>
      <c r="C1360" s="2"/>
      <c r="D1360" s="2"/>
      <c r="E1360" s="4"/>
      <c r="F1360" s="2"/>
      <c r="G1360" s="2"/>
      <c r="H1360" s="2"/>
      <c r="I1360" s="4"/>
      <c r="J1360" s="2"/>
      <c r="K1360" s="2"/>
      <c r="M1360" s="4">
        <f t="shared" si="557"/>
        <v>173.1</v>
      </c>
      <c r="N1360" s="4"/>
      <c r="O1360" s="1">
        <f t="shared" si="558"/>
        <v>173.1</v>
      </c>
      <c r="P1360" s="1">
        <f t="shared" si="559"/>
        <v>0</v>
      </c>
      <c r="Q1360" s="1" t="str">
        <f t="shared" si="556"/>
        <v/>
      </c>
      <c r="R1360" s="1" t="str">
        <f t="shared" si="560"/>
        <v/>
      </c>
      <c r="S1360" s="1">
        <f t="shared" si="561"/>
        <v>630.90240000000244</v>
      </c>
      <c r="T1360" s="1">
        <f t="shared" si="562"/>
        <v>0</v>
      </c>
      <c r="U1360" s="1">
        <f t="shared" si="563"/>
        <v>0</v>
      </c>
      <c r="V1360" s="1">
        <f t="shared" si="564"/>
        <v>0</v>
      </c>
    </row>
    <row r="1361" spans="2:22" x14ac:dyDescent="0.25">
      <c r="B1361" s="2"/>
      <c r="C1361" s="2"/>
      <c r="D1361" s="2"/>
      <c r="E1361" s="4"/>
      <c r="F1361" s="2"/>
      <c r="G1361" s="2"/>
      <c r="H1361" s="2"/>
      <c r="I1361" s="4"/>
      <c r="J1361" s="2"/>
      <c r="K1361" s="2"/>
      <c r="M1361" s="4">
        <f t="shared" si="557"/>
        <v>173.1</v>
      </c>
      <c r="N1361" s="4"/>
      <c r="O1361" s="1">
        <f t="shared" si="558"/>
        <v>173.1</v>
      </c>
      <c r="P1361" s="1">
        <f t="shared" si="559"/>
        <v>0</v>
      </c>
      <c r="Q1361" s="1" t="str">
        <f t="shared" si="556"/>
        <v/>
      </c>
      <c r="R1361" s="1" t="str">
        <f t="shared" si="560"/>
        <v/>
      </c>
      <c r="S1361" s="1">
        <f t="shared" si="561"/>
        <v>630.90240000000244</v>
      </c>
      <c r="T1361" s="1">
        <f t="shared" si="562"/>
        <v>0</v>
      </c>
      <c r="U1361" s="1">
        <f t="shared" si="563"/>
        <v>0</v>
      </c>
      <c r="V1361" s="1">
        <f t="shared" si="564"/>
        <v>0</v>
      </c>
    </row>
    <row r="1362" spans="2:22" x14ac:dyDescent="0.25">
      <c r="B1362" s="2"/>
      <c r="C1362" s="2"/>
      <c r="D1362" s="2"/>
      <c r="E1362" s="4"/>
      <c r="F1362" s="2"/>
      <c r="G1362" s="2"/>
      <c r="H1362" s="2"/>
      <c r="I1362" s="4"/>
      <c r="J1362" s="2"/>
      <c r="K1362" s="2"/>
      <c r="M1362" s="4">
        <f t="shared" si="557"/>
        <v>173.1</v>
      </c>
      <c r="N1362" s="4"/>
      <c r="O1362" s="1">
        <f t="shared" si="558"/>
        <v>173.1</v>
      </c>
      <c r="P1362" s="1">
        <f t="shared" si="559"/>
        <v>0</v>
      </c>
      <c r="Q1362" s="1" t="str">
        <f t="shared" si="556"/>
        <v/>
      </c>
      <c r="R1362" s="1" t="str">
        <f t="shared" si="560"/>
        <v/>
      </c>
      <c r="S1362" s="1">
        <f t="shared" si="561"/>
        <v>630.90240000000244</v>
      </c>
      <c r="T1362" s="1">
        <f t="shared" si="562"/>
        <v>0</v>
      </c>
      <c r="U1362" s="1">
        <f t="shared" si="563"/>
        <v>0</v>
      </c>
      <c r="V1362" s="1">
        <f t="shared" si="564"/>
        <v>0</v>
      </c>
    </row>
    <row r="1363" spans="2:22" x14ac:dyDescent="0.25">
      <c r="B1363" s="2"/>
      <c r="C1363" s="2"/>
      <c r="D1363" s="2"/>
      <c r="E1363" s="4"/>
      <c r="F1363" s="2"/>
      <c r="G1363" s="2"/>
      <c r="H1363" s="2"/>
      <c r="I1363" s="4"/>
      <c r="J1363" s="2"/>
      <c r="K1363" s="2"/>
      <c r="M1363" s="4">
        <f t="shared" si="557"/>
        <v>173.1</v>
      </c>
      <c r="N1363" s="4"/>
      <c r="O1363" s="1">
        <f t="shared" si="558"/>
        <v>173.1</v>
      </c>
      <c r="P1363" s="1">
        <f t="shared" si="559"/>
        <v>0</v>
      </c>
      <c r="Q1363" s="1" t="str">
        <f t="shared" si="556"/>
        <v/>
      </c>
      <c r="R1363" s="1" t="str">
        <f t="shared" si="560"/>
        <v/>
      </c>
      <c r="S1363" s="1">
        <f t="shared" si="561"/>
        <v>630.90240000000244</v>
      </c>
      <c r="T1363" s="1">
        <f t="shared" si="562"/>
        <v>0</v>
      </c>
      <c r="U1363" s="1">
        <f t="shared" si="563"/>
        <v>0</v>
      </c>
      <c r="V1363" s="1">
        <f t="shared" si="564"/>
        <v>0</v>
      </c>
    </row>
    <row r="1364" spans="2:22" x14ac:dyDescent="0.25">
      <c r="B1364" s="2"/>
      <c r="C1364" s="2"/>
      <c r="D1364" s="2"/>
      <c r="E1364" s="4"/>
      <c r="F1364" s="2"/>
      <c r="G1364" s="2"/>
      <c r="H1364" s="2"/>
      <c r="I1364" s="4"/>
      <c r="J1364" s="2"/>
      <c r="K1364" s="2"/>
      <c r="M1364" s="4">
        <f t="shared" si="557"/>
        <v>173.1</v>
      </c>
      <c r="N1364" s="4"/>
      <c r="O1364" s="1">
        <f t="shared" si="558"/>
        <v>173.1</v>
      </c>
      <c r="P1364" s="1">
        <f t="shared" si="559"/>
        <v>0</v>
      </c>
      <c r="Q1364" s="1" t="str">
        <f t="shared" si="556"/>
        <v/>
      </c>
      <c r="R1364" s="1" t="str">
        <f t="shared" si="560"/>
        <v/>
      </c>
      <c r="S1364" s="1">
        <f t="shared" si="561"/>
        <v>630.90240000000244</v>
      </c>
      <c r="T1364" s="1">
        <f t="shared" si="562"/>
        <v>0</v>
      </c>
      <c r="U1364" s="1">
        <f t="shared" si="563"/>
        <v>0</v>
      </c>
      <c r="V1364" s="1">
        <f t="shared" si="564"/>
        <v>0</v>
      </c>
    </row>
    <row r="1365" spans="2:22" x14ac:dyDescent="0.25">
      <c r="B1365" s="2"/>
      <c r="C1365" s="2"/>
      <c r="D1365" s="2"/>
      <c r="E1365" s="4"/>
      <c r="F1365" s="2"/>
      <c r="G1365" s="2"/>
      <c r="H1365" s="2"/>
      <c r="I1365" s="4"/>
      <c r="J1365" s="2"/>
      <c r="K1365" s="2"/>
      <c r="M1365" s="4">
        <f t="shared" si="557"/>
        <v>173.1</v>
      </c>
      <c r="N1365" s="4"/>
      <c r="O1365" s="1">
        <f t="shared" si="558"/>
        <v>173.1</v>
      </c>
      <c r="P1365" s="1">
        <f t="shared" si="559"/>
        <v>0</v>
      </c>
      <c r="Q1365" s="1" t="str">
        <f t="shared" si="556"/>
        <v/>
      </c>
      <c r="R1365" s="1" t="str">
        <f t="shared" si="560"/>
        <v/>
      </c>
      <c r="S1365" s="1">
        <f t="shared" si="561"/>
        <v>630.90240000000244</v>
      </c>
      <c r="T1365" s="1">
        <f t="shared" si="562"/>
        <v>0</v>
      </c>
      <c r="U1365" s="1">
        <f t="shared" si="563"/>
        <v>0</v>
      </c>
      <c r="V1365" s="1">
        <f t="shared" si="564"/>
        <v>0</v>
      </c>
    </row>
    <row r="1366" spans="2:22" x14ac:dyDescent="0.25">
      <c r="B1366" s="2"/>
      <c r="C1366" s="2"/>
      <c r="D1366" s="2"/>
      <c r="E1366" s="4"/>
      <c r="F1366" s="2"/>
      <c r="G1366" s="2"/>
      <c r="H1366" s="2"/>
      <c r="I1366" s="4"/>
      <c r="J1366" s="2"/>
      <c r="K1366" s="2"/>
      <c r="M1366" s="4">
        <f t="shared" si="557"/>
        <v>173.1</v>
      </c>
      <c r="N1366" s="4"/>
      <c r="O1366" s="1">
        <f t="shared" si="558"/>
        <v>173.1</v>
      </c>
      <c r="P1366" s="1">
        <f t="shared" si="559"/>
        <v>0</v>
      </c>
      <c r="Q1366" s="1" t="str">
        <f t="shared" si="556"/>
        <v/>
      </c>
      <c r="R1366" s="1" t="str">
        <f t="shared" si="560"/>
        <v/>
      </c>
      <c r="S1366" s="1">
        <f t="shared" si="561"/>
        <v>630.90240000000244</v>
      </c>
      <c r="T1366" s="1">
        <f t="shared" si="562"/>
        <v>0</v>
      </c>
      <c r="U1366" s="1">
        <f t="shared" si="563"/>
        <v>0</v>
      </c>
      <c r="V1366" s="1">
        <f t="shared" si="564"/>
        <v>0</v>
      </c>
    </row>
    <row r="1367" spans="2:22" x14ac:dyDescent="0.25">
      <c r="B1367" s="2"/>
      <c r="C1367" s="2"/>
      <c r="D1367" s="2"/>
      <c r="E1367" s="4"/>
      <c r="F1367" s="2"/>
      <c r="G1367" s="2"/>
      <c r="H1367" s="2"/>
      <c r="I1367" s="4"/>
      <c r="J1367" s="2"/>
      <c r="K1367" s="2"/>
      <c r="M1367" s="4">
        <f t="shared" si="557"/>
        <v>173.1</v>
      </c>
      <c r="N1367" s="4"/>
      <c r="O1367" s="1">
        <f t="shared" si="558"/>
        <v>173.1</v>
      </c>
      <c r="P1367" s="1">
        <f t="shared" si="559"/>
        <v>0</v>
      </c>
      <c r="Q1367" s="1" t="str">
        <f t="shared" si="556"/>
        <v/>
      </c>
      <c r="R1367" s="1" t="str">
        <f t="shared" si="560"/>
        <v/>
      </c>
      <c r="S1367" s="1">
        <f t="shared" si="561"/>
        <v>630.90240000000244</v>
      </c>
      <c r="T1367" s="1">
        <f t="shared" si="562"/>
        <v>0</v>
      </c>
      <c r="U1367" s="1">
        <f t="shared" si="563"/>
        <v>0</v>
      </c>
      <c r="V1367" s="1">
        <f t="shared" si="564"/>
        <v>0</v>
      </c>
    </row>
    <row r="1368" spans="2:22" x14ac:dyDescent="0.25">
      <c r="B1368" s="2"/>
      <c r="C1368" s="2"/>
      <c r="D1368" s="2"/>
      <c r="E1368" s="4"/>
      <c r="F1368" s="2"/>
      <c r="G1368" s="2"/>
      <c r="H1368" s="2"/>
      <c r="I1368" s="4"/>
      <c r="J1368" s="2"/>
      <c r="K1368" s="2"/>
      <c r="M1368" s="4">
        <f t="shared" si="557"/>
        <v>173.1</v>
      </c>
      <c r="N1368" s="4"/>
      <c r="O1368" s="1">
        <f t="shared" si="558"/>
        <v>173.1</v>
      </c>
      <c r="P1368" s="1">
        <f t="shared" si="559"/>
        <v>0</v>
      </c>
      <c r="Q1368" s="1" t="str">
        <f t="shared" si="556"/>
        <v/>
      </c>
      <c r="R1368" s="1" t="str">
        <f t="shared" si="560"/>
        <v/>
      </c>
      <c r="S1368" s="1">
        <f t="shared" si="561"/>
        <v>630.90240000000244</v>
      </c>
      <c r="T1368" s="1">
        <f t="shared" si="562"/>
        <v>0</v>
      </c>
      <c r="U1368" s="1">
        <f t="shared" si="563"/>
        <v>0</v>
      </c>
      <c r="V1368" s="1">
        <f t="shared" si="564"/>
        <v>0</v>
      </c>
    </row>
    <row r="1369" spans="2:22" x14ac:dyDescent="0.25">
      <c r="B1369" s="2"/>
      <c r="C1369" s="2"/>
      <c r="D1369" s="2"/>
      <c r="E1369" s="4"/>
      <c r="F1369" s="2"/>
      <c r="G1369" s="2"/>
      <c r="H1369" s="2"/>
      <c r="I1369" s="4"/>
      <c r="J1369" s="2"/>
      <c r="K1369" s="2"/>
      <c r="M1369" s="4">
        <f t="shared" si="557"/>
        <v>173.1</v>
      </c>
      <c r="N1369" s="4"/>
      <c r="O1369" s="1">
        <f t="shared" si="558"/>
        <v>173.1</v>
      </c>
      <c r="P1369" s="1">
        <f t="shared" si="559"/>
        <v>0</v>
      </c>
      <c r="Q1369" s="1" t="str">
        <f t="shared" si="556"/>
        <v/>
      </c>
      <c r="R1369" s="1" t="str">
        <f t="shared" si="560"/>
        <v/>
      </c>
      <c r="S1369" s="1">
        <f t="shared" si="561"/>
        <v>630.90240000000244</v>
      </c>
      <c r="T1369" s="1">
        <f t="shared" si="562"/>
        <v>0</v>
      </c>
      <c r="U1369" s="1">
        <f t="shared" si="563"/>
        <v>0</v>
      </c>
      <c r="V1369" s="1">
        <f t="shared" si="564"/>
        <v>0</v>
      </c>
    </row>
    <row r="1370" spans="2:22" x14ac:dyDescent="0.25">
      <c r="B1370" s="2"/>
      <c r="C1370" s="2"/>
      <c r="D1370" s="2"/>
      <c r="E1370" s="4"/>
      <c r="F1370" s="2"/>
      <c r="G1370" s="2"/>
      <c r="H1370" s="2"/>
      <c r="I1370" s="4"/>
      <c r="J1370" s="2"/>
      <c r="K1370" s="2"/>
      <c r="M1370" s="4">
        <f t="shared" si="557"/>
        <v>173.1</v>
      </c>
      <c r="N1370" s="4"/>
      <c r="O1370" s="1">
        <f t="shared" si="558"/>
        <v>173.1</v>
      </c>
      <c r="P1370" s="1">
        <f t="shared" si="559"/>
        <v>0</v>
      </c>
      <c r="Q1370" s="1" t="str">
        <f t="shared" si="556"/>
        <v/>
      </c>
      <c r="R1370" s="1" t="str">
        <f t="shared" si="560"/>
        <v/>
      </c>
      <c r="S1370" s="1">
        <f t="shared" si="561"/>
        <v>630.90240000000244</v>
      </c>
      <c r="T1370" s="1">
        <f t="shared" si="562"/>
        <v>0</v>
      </c>
      <c r="U1370" s="1">
        <f t="shared" si="563"/>
        <v>0</v>
      </c>
      <c r="V1370" s="1">
        <f t="shared" si="564"/>
        <v>0</v>
      </c>
    </row>
    <row r="1371" spans="2:22" x14ac:dyDescent="0.25">
      <c r="B1371" s="2"/>
      <c r="C1371" s="2"/>
      <c r="D1371" s="2"/>
      <c r="E1371" s="4"/>
      <c r="F1371" s="2"/>
      <c r="G1371" s="2"/>
      <c r="H1371" s="2"/>
      <c r="I1371" s="4"/>
      <c r="J1371" s="2"/>
      <c r="K1371" s="2"/>
      <c r="M1371" s="4">
        <f t="shared" si="557"/>
        <v>173.1</v>
      </c>
      <c r="N1371" s="4"/>
      <c r="O1371" s="1">
        <f t="shared" si="558"/>
        <v>173.1</v>
      </c>
      <c r="P1371" s="1">
        <f t="shared" si="559"/>
        <v>0</v>
      </c>
      <c r="Q1371" s="1" t="str">
        <f t="shared" si="556"/>
        <v/>
      </c>
      <c r="R1371" s="1" t="str">
        <f t="shared" si="560"/>
        <v/>
      </c>
      <c r="S1371" s="1">
        <f t="shared" si="561"/>
        <v>630.90240000000244</v>
      </c>
      <c r="T1371" s="1">
        <f t="shared" si="562"/>
        <v>0</v>
      </c>
      <c r="U1371" s="1">
        <f t="shared" si="563"/>
        <v>0</v>
      </c>
      <c r="V1371" s="1">
        <f t="shared" si="564"/>
        <v>0</v>
      </c>
    </row>
    <row r="1372" spans="2:22" x14ac:dyDescent="0.25">
      <c r="B1372" s="2"/>
      <c r="C1372" s="2"/>
      <c r="D1372" s="2"/>
      <c r="E1372" s="4"/>
      <c r="F1372" s="2"/>
      <c r="G1372" s="2"/>
      <c r="H1372" s="2"/>
      <c r="I1372" s="4"/>
      <c r="J1372" s="2"/>
      <c r="K1372" s="2"/>
      <c r="M1372" s="4">
        <f t="shared" si="557"/>
        <v>173.1</v>
      </c>
      <c r="N1372" s="4"/>
      <c r="O1372" s="1">
        <f t="shared" si="558"/>
        <v>173.1</v>
      </c>
      <c r="P1372" s="1">
        <f t="shared" si="559"/>
        <v>0</v>
      </c>
      <c r="Q1372" s="1" t="str">
        <f t="shared" si="556"/>
        <v/>
      </c>
      <c r="R1372" s="1" t="str">
        <f t="shared" si="560"/>
        <v/>
      </c>
      <c r="S1372" s="1">
        <f t="shared" si="561"/>
        <v>630.90240000000244</v>
      </c>
      <c r="T1372" s="1">
        <f t="shared" si="562"/>
        <v>0</v>
      </c>
      <c r="U1372" s="1">
        <f t="shared" si="563"/>
        <v>0</v>
      </c>
      <c r="V1372" s="1">
        <f t="shared" si="564"/>
        <v>0</v>
      </c>
    </row>
    <row r="1373" spans="2:22" x14ac:dyDescent="0.25">
      <c r="B1373" s="2"/>
      <c r="C1373" s="2"/>
      <c r="D1373" s="2"/>
      <c r="E1373" s="4"/>
      <c r="F1373" s="2"/>
      <c r="G1373" s="2"/>
      <c r="H1373" s="2"/>
      <c r="I1373" s="4"/>
      <c r="J1373" s="2"/>
      <c r="K1373" s="2"/>
      <c r="M1373" s="4">
        <f t="shared" si="557"/>
        <v>173.1</v>
      </c>
      <c r="N1373" s="4"/>
      <c r="O1373" s="1">
        <f t="shared" si="558"/>
        <v>173.1</v>
      </c>
      <c r="P1373" s="1">
        <f t="shared" si="559"/>
        <v>0</v>
      </c>
      <c r="Q1373" s="1" t="str">
        <f t="shared" si="556"/>
        <v/>
      </c>
      <c r="R1373" s="1" t="str">
        <f t="shared" si="560"/>
        <v/>
      </c>
      <c r="S1373" s="1">
        <f t="shared" si="561"/>
        <v>630.90240000000244</v>
      </c>
      <c r="T1373" s="1">
        <f t="shared" si="562"/>
        <v>0</v>
      </c>
      <c r="U1373" s="1">
        <f t="shared" si="563"/>
        <v>0</v>
      </c>
      <c r="V1373" s="1">
        <f t="shared" si="564"/>
        <v>0</v>
      </c>
    </row>
    <row r="1374" spans="2:22" x14ac:dyDescent="0.25">
      <c r="B1374" s="2"/>
      <c r="C1374" s="2"/>
      <c r="D1374" s="2"/>
      <c r="E1374" s="4"/>
      <c r="F1374" s="2"/>
      <c r="G1374" s="2"/>
      <c r="H1374" s="2"/>
      <c r="I1374" s="4"/>
      <c r="J1374" s="2"/>
      <c r="K1374" s="2"/>
      <c r="M1374" s="4">
        <f t="shared" si="557"/>
        <v>173.1</v>
      </c>
      <c r="N1374" s="4"/>
      <c r="O1374" s="1">
        <f t="shared" si="558"/>
        <v>173.1</v>
      </c>
      <c r="P1374" s="1">
        <f t="shared" si="559"/>
        <v>0</v>
      </c>
      <c r="Q1374" s="1" t="str">
        <f t="shared" si="556"/>
        <v/>
      </c>
      <c r="R1374" s="1" t="str">
        <f t="shared" si="560"/>
        <v/>
      </c>
      <c r="S1374" s="1">
        <f t="shared" si="561"/>
        <v>630.90240000000244</v>
      </c>
      <c r="T1374" s="1">
        <f t="shared" si="562"/>
        <v>0</v>
      </c>
      <c r="U1374" s="1">
        <f t="shared" si="563"/>
        <v>0</v>
      </c>
      <c r="V1374" s="1">
        <f t="shared" si="564"/>
        <v>0</v>
      </c>
    </row>
    <row r="1375" spans="2:22" x14ac:dyDescent="0.25">
      <c r="B1375" s="2"/>
      <c r="C1375" s="2"/>
      <c r="D1375" s="2"/>
      <c r="E1375" s="4"/>
      <c r="F1375" s="2"/>
      <c r="G1375" s="2"/>
      <c r="H1375" s="2"/>
      <c r="I1375" s="4"/>
      <c r="J1375" s="2"/>
      <c r="K1375" s="2"/>
      <c r="M1375" s="4">
        <f t="shared" si="557"/>
        <v>173.1</v>
      </c>
      <c r="N1375" s="4"/>
      <c r="O1375" s="1">
        <f t="shared" si="558"/>
        <v>173.1</v>
      </c>
      <c r="P1375" s="1">
        <f t="shared" si="559"/>
        <v>0</v>
      </c>
      <c r="Q1375" s="1" t="str">
        <f t="shared" si="556"/>
        <v/>
      </c>
      <c r="R1375" s="1" t="str">
        <f t="shared" si="560"/>
        <v/>
      </c>
      <c r="S1375" s="1">
        <f t="shared" si="561"/>
        <v>630.90240000000244</v>
      </c>
      <c r="T1375" s="1">
        <f t="shared" si="562"/>
        <v>0</v>
      </c>
      <c r="U1375" s="1">
        <f t="shared" si="563"/>
        <v>0</v>
      </c>
      <c r="V1375" s="1">
        <f t="shared" si="564"/>
        <v>0</v>
      </c>
    </row>
    <row r="1376" spans="2:22" x14ac:dyDescent="0.25">
      <c r="B1376" s="2"/>
      <c r="C1376" s="2"/>
      <c r="D1376" s="2"/>
      <c r="E1376" s="4"/>
      <c r="F1376" s="2"/>
      <c r="G1376" s="2"/>
      <c r="H1376" s="2"/>
      <c r="I1376" s="4"/>
      <c r="J1376" s="2"/>
      <c r="K1376" s="2"/>
      <c r="M1376" s="4">
        <f t="shared" si="557"/>
        <v>173.1</v>
      </c>
      <c r="N1376" s="4"/>
      <c r="O1376" s="1">
        <f t="shared" si="558"/>
        <v>173.1</v>
      </c>
      <c r="P1376" s="1">
        <f t="shared" si="559"/>
        <v>0</v>
      </c>
      <c r="Q1376" s="1" t="str">
        <f t="shared" si="556"/>
        <v/>
      </c>
      <c r="R1376" s="1" t="str">
        <f t="shared" si="560"/>
        <v/>
      </c>
      <c r="S1376" s="1">
        <f t="shared" si="561"/>
        <v>630.90240000000244</v>
      </c>
      <c r="T1376" s="1">
        <f t="shared" si="562"/>
        <v>0</v>
      </c>
      <c r="U1376" s="1">
        <f t="shared" si="563"/>
        <v>0</v>
      </c>
      <c r="V1376" s="1">
        <f t="shared" si="564"/>
        <v>0</v>
      </c>
    </row>
    <row r="1377" spans="2:22" x14ac:dyDescent="0.25">
      <c r="B1377" s="2"/>
      <c r="C1377" s="2"/>
      <c r="D1377" s="2"/>
      <c r="E1377" s="4"/>
      <c r="F1377" s="2"/>
      <c r="G1377" s="2"/>
      <c r="H1377" s="2"/>
      <c r="I1377" s="4"/>
      <c r="J1377" s="2"/>
      <c r="K1377" s="2"/>
      <c r="M1377" s="4">
        <f t="shared" si="557"/>
        <v>173.1</v>
      </c>
      <c r="N1377" s="4"/>
      <c r="O1377" s="1">
        <f t="shared" si="558"/>
        <v>173.1</v>
      </c>
      <c r="P1377" s="1">
        <f t="shared" si="559"/>
        <v>0</v>
      </c>
      <c r="Q1377" s="1" t="str">
        <f t="shared" si="556"/>
        <v/>
      </c>
      <c r="R1377" s="1" t="str">
        <f t="shared" si="560"/>
        <v/>
      </c>
      <c r="S1377" s="1">
        <f t="shared" si="561"/>
        <v>630.90240000000244</v>
      </c>
      <c r="T1377" s="1">
        <f t="shared" si="562"/>
        <v>0</v>
      </c>
      <c r="U1377" s="1">
        <f t="shared" si="563"/>
        <v>0</v>
      </c>
      <c r="V1377" s="1">
        <f t="shared" si="564"/>
        <v>0</v>
      </c>
    </row>
    <row r="1378" spans="2:22" x14ac:dyDescent="0.25">
      <c r="B1378" s="2"/>
      <c r="C1378" s="2"/>
      <c r="D1378" s="2"/>
      <c r="E1378" s="4"/>
      <c r="F1378" s="2"/>
      <c r="G1378" s="2"/>
      <c r="H1378" s="2"/>
      <c r="I1378" s="4"/>
      <c r="J1378" s="2"/>
      <c r="K1378" s="2"/>
      <c r="M1378" s="4">
        <f t="shared" si="557"/>
        <v>173.1</v>
      </c>
      <c r="N1378" s="4"/>
      <c r="O1378" s="1">
        <f t="shared" si="558"/>
        <v>173.1</v>
      </c>
      <c r="P1378" s="1">
        <f t="shared" si="559"/>
        <v>0</v>
      </c>
      <c r="Q1378" s="1" t="str">
        <f t="shared" si="556"/>
        <v/>
      </c>
      <c r="R1378" s="1" t="str">
        <f t="shared" si="560"/>
        <v/>
      </c>
      <c r="S1378" s="1">
        <f t="shared" si="561"/>
        <v>630.90240000000244</v>
      </c>
      <c r="T1378" s="1">
        <f t="shared" si="562"/>
        <v>0</v>
      </c>
      <c r="U1378" s="1">
        <f t="shared" si="563"/>
        <v>0</v>
      </c>
      <c r="V1378" s="1">
        <f t="shared" si="564"/>
        <v>0</v>
      </c>
    </row>
    <row r="1379" spans="2:22" x14ac:dyDescent="0.25">
      <c r="B1379" s="2"/>
      <c r="C1379" s="2"/>
      <c r="D1379" s="2"/>
      <c r="E1379" s="4"/>
      <c r="F1379" s="2"/>
      <c r="G1379" s="2"/>
      <c r="H1379" s="2"/>
      <c r="I1379" s="4"/>
      <c r="J1379" s="2"/>
      <c r="K1379" s="2"/>
      <c r="M1379" s="4">
        <f t="shared" si="557"/>
        <v>173.1</v>
      </c>
      <c r="N1379" s="4"/>
      <c r="O1379" s="1">
        <f t="shared" si="558"/>
        <v>173.1</v>
      </c>
      <c r="P1379" s="1">
        <f t="shared" si="559"/>
        <v>0</v>
      </c>
      <c r="Q1379" s="1" t="str">
        <f t="shared" si="556"/>
        <v/>
      </c>
      <c r="R1379" s="1" t="str">
        <f t="shared" si="560"/>
        <v/>
      </c>
      <c r="S1379" s="1">
        <f t="shared" si="561"/>
        <v>630.90240000000244</v>
      </c>
      <c r="T1379" s="1">
        <f t="shared" si="562"/>
        <v>0</v>
      </c>
      <c r="U1379" s="1">
        <f t="shared" si="563"/>
        <v>0</v>
      </c>
      <c r="V1379" s="1">
        <f t="shared" si="564"/>
        <v>0</v>
      </c>
    </row>
    <row r="1380" spans="2:22" x14ac:dyDescent="0.25">
      <c r="B1380" s="2"/>
      <c r="C1380" s="2"/>
      <c r="D1380" s="2"/>
      <c r="E1380" s="4"/>
      <c r="F1380" s="2"/>
      <c r="G1380" s="2"/>
      <c r="H1380" s="2"/>
      <c r="I1380" s="4"/>
      <c r="J1380" s="2"/>
      <c r="K1380" s="2"/>
      <c r="M1380" s="4">
        <f t="shared" si="557"/>
        <v>173.1</v>
      </c>
      <c r="N1380" s="4"/>
      <c r="O1380" s="1">
        <f t="shared" si="558"/>
        <v>173.1</v>
      </c>
      <c r="P1380" s="1">
        <f t="shared" si="559"/>
        <v>0</v>
      </c>
      <c r="Q1380" s="1" t="str">
        <f t="shared" si="556"/>
        <v/>
      </c>
      <c r="R1380" s="1" t="str">
        <f t="shared" si="560"/>
        <v/>
      </c>
      <c r="S1380" s="1">
        <f t="shared" si="561"/>
        <v>630.90240000000244</v>
      </c>
      <c r="T1380" s="1">
        <f t="shared" si="562"/>
        <v>0</v>
      </c>
      <c r="U1380" s="1">
        <f t="shared" si="563"/>
        <v>0</v>
      </c>
      <c r="V1380" s="1">
        <f t="shared" si="564"/>
        <v>0</v>
      </c>
    </row>
    <row r="1381" spans="2:22" x14ac:dyDescent="0.25">
      <c r="B1381" s="2"/>
      <c r="C1381" s="2"/>
      <c r="D1381" s="2"/>
      <c r="E1381" s="4"/>
      <c r="F1381" s="2"/>
      <c r="G1381" s="2"/>
      <c r="H1381" s="2"/>
      <c r="I1381" s="4"/>
      <c r="J1381" s="2"/>
      <c r="K1381" s="2"/>
      <c r="M1381" s="4">
        <f t="shared" si="557"/>
        <v>173.1</v>
      </c>
      <c r="N1381" s="4"/>
      <c r="O1381" s="1">
        <f t="shared" si="558"/>
        <v>173.1</v>
      </c>
      <c r="P1381" s="1">
        <f t="shared" si="559"/>
        <v>0</v>
      </c>
      <c r="Q1381" s="1" t="str">
        <f t="shared" si="556"/>
        <v/>
      </c>
      <c r="R1381" s="1" t="str">
        <f t="shared" si="560"/>
        <v/>
      </c>
      <c r="S1381" s="1">
        <f t="shared" si="561"/>
        <v>630.90240000000244</v>
      </c>
      <c r="T1381" s="1">
        <f t="shared" si="562"/>
        <v>0</v>
      </c>
      <c r="U1381" s="1">
        <f t="shared" si="563"/>
        <v>0</v>
      </c>
      <c r="V1381" s="1">
        <f t="shared" si="564"/>
        <v>0</v>
      </c>
    </row>
    <row r="1382" spans="2:22" x14ac:dyDescent="0.25">
      <c r="B1382" s="2"/>
      <c r="C1382" s="2"/>
      <c r="D1382" s="2"/>
      <c r="E1382" s="4"/>
      <c r="F1382" s="2"/>
      <c r="G1382" s="2"/>
      <c r="H1382" s="2"/>
      <c r="I1382" s="4"/>
      <c r="J1382" s="2"/>
      <c r="K1382" s="2"/>
      <c r="M1382" s="4">
        <f t="shared" si="557"/>
        <v>173.1</v>
      </c>
      <c r="N1382" s="4"/>
      <c r="O1382" s="1">
        <f t="shared" si="558"/>
        <v>173.1</v>
      </c>
      <c r="P1382" s="1">
        <f t="shared" si="559"/>
        <v>0</v>
      </c>
      <c r="Q1382" s="1" t="str">
        <f t="shared" si="556"/>
        <v/>
      </c>
      <c r="R1382" s="1" t="str">
        <f t="shared" si="560"/>
        <v/>
      </c>
      <c r="S1382" s="1">
        <f t="shared" si="561"/>
        <v>630.90240000000244</v>
      </c>
      <c r="T1382" s="1">
        <f t="shared" si="562"/>
        <v>0</v>
      </c>
      <c r="U1382" s="1">
        <f t="shared" si="563"/>
        <v>0</v>
      </c>
      <c r="V1382" s="1">
        <f t="shared" si="564"/>
        <v>0</v>
      </c>
    </row>
    <row r="1383" spans="2:22" x14ac:dyDescent="0.25">
      <c r="B1383" s="2"/>
      <c r="C1383" s="2"/>
      <c r="D1383" s="2"/>
      <c r="E1383" s="4"/>
      <c r="F1383" s="2"/>
      <c r="G1383" s="2"/>
      <c r="H1383" s="2"/>
      <c r="I1383" s="4"/>
      <c r="J1383" s="2"/>
      <c r="K1383" s="2"/>
      <c r="M1383" s="4">
        <f t="shared" si="557"/>
        <v>173.1</v>
      </c>
      <c r="N1383" s="4"/>
      <c r="O1383" s="1">
        <f t="shared" si="558"/>
        <v>173.1</v>
      </c>
      <c r="P1383" s="1">
        <f t="shared" si="559"/>
        <v>0</v>
      </c>
      <c r="Q1383" s="1" t="str">
        <f t="shared" si="556"/>
        <v/>
      </c>
      <c r="R1383" s="1" t="str">
        <f t="shared" si="560"/>
        <v/>
      </c>
      <c r="S1383" s="1">
        <f t="shared" si="561"/>
        <v>630.90240000000244</v>
      </c>
      <c r="T1383" s="1">
        <f t="shared" si="562"/>
        <v>0</v>
      </c>
      <c r="U1383" s="1">
        <f t="shared" si="563"/>
        <v>0</v>
      </c>
      <c r="V1383" s="1">
        <f t="shared" si="564"/>
        <v>0</v>
      </c>
    </row>
    <row r="1384" spans="2:22" x14ac:dyDescent="0.25">
      <c r="B1384" s="2"/>
      <c r="C1384" s="2"/>
      <c r="D1384" s="2"/>
      <c r="E1384" s="4"/>
      <c r="F1384" s="2"/>
      <c r="G1384" s="2"/>
      <c r="H1384" s="2"/>
      <c r="I1384" s="4"/>
      <c r="J1384" s="2"/>
      <c r="K1384" s="2"/>
      <c r="M1384" s="4">
        <f t="shared" si="557"/>
        <v>173.1</v>
      </c>
      <c r="N1384" s="4"/>
      <c r="O1384" s="1">
        <f t="shared" si="558"/>
        <v>173.1</v>
      </c>
      <c r="P1384" s="1">
        <f t="shared" si="559"/>
        <v>0</v>
      </c>
      <c r="Q1384" s="1" t="str">
        <f t="shared" si="556"/>
        <v/>
      </c>
      <c r="R1384" s="1" t="str">
        <f t="shared" si="560"/>
        <v/>
      </c>
      <c r="S1384" s="1">
        <f t="shared" si="561"/>
        <v>630.90240000000244</v>
      </c>
      <c r="T1384" s="1">
        <f t="shared" si="562"/>
        <v>0</v>
      </c>
      <c r="U1384" s="1">
        <f t="shared" si="563"/>
        <v>0</v>
      </c>
      <c r="V1384" s="1">
        <f t="shared" si="564"/>
        <v>0</v>
      </c>
    </row>
    <row r="1385" spans="2:22" x14ac:dyDescent="0.25">
      <c r="B1385" s="2"/>
      <c r="C1385" s="2"/>
      <c r="D1385" s="2"/>
      <c r="E1385" s="4"/>
      <c r="F1385" s="2"/>
      <c r="G1385" s="2"/>
      <c r="H1385" s="2"/>
      <c r="I1385" s="4"/>
      <c r="J1385" s="2"/>
      <c r="K1385" s="2"/>
      <c r="M1385" s="4">
        <f t="shared" si="557"/>
        <v>173.1</v>
      </c>
      <c r="N1385" s="4"/>
      <c r="O1385" s="1">
        <f t="shared" si="558"/>
        <v>173.1</v>
      </c>
      <c r="P1385" s="1">
        <f t="shared" si="559"/>
        <v>0</v>
      </c>
      <c r="Q1385" s="1" t="str">
        <f t="shared" si="556"/>
        <v/>
      </c>
      <c r="R1385" s="1" t="str">
        <f t="shared" si="560"/>
        <v/>
      </c>
      <c r="S1385" s="1">
        <f t="shared" si="561"/>
        <v>630.90240000000244</v>
      </c>
      <c r="T1385" s="1">
        <f t="shared" si="562"/>
        <v>0</v>
      </c>
      <c r="U1385" s="1">
        <f t="shared" si="563"/>
        <v>0</v>
      </c>
      <c r="V1385" s="1">
        <f t="shared" si="564"/>
        <v>0</v>
      </c>
    </row>
    <row r="1386" spans="2:22" x14ac:dyDescent="0.25">
      <c r="B1386" s="2"/>
      <c r="C1386" s="2"/>
      <c r="D1386" s="2"/>
      <c r="E1386" s="4"/>
      <c r="F1386" s="2"/>
      <c r="G1386" s="2"/>
      <c r="H1386" s="2"/>
      <c r="I1386" s="4"/>
      <c r="J1386" s="2"/>
      <c r="K1386" s="2"/>
      <c r="M1386" s="4">
        <f t="shared" si="557"/>
        <v>173.1</v>
      </c>
      <c r="N1386" s="4"/>
      <c r="O1386" s="1">
        <f t="shared" si="558"/>
        <v>173.1</v>
      </c>
      <c r="P1386" s="1">
        <f t="shared" si="559"/>
        <v>0</v>
      </c>
      <c r="Q1386" s="1" t="str">
        <f t="shared" si="556"/>
        <v/>
      </c>
      <c r="R1386" s="1" t="str">
        <f t="shared" si="560"/>
        <v/>
      </c>
      <c r="S1386" s="1">
        <f t="shared" si="561"/>
        <v>630.90240000000244</v>
      </c>
      <c r="T1386" s="1">
        <f t="shared" si="562"/>
        <v>0</v>
      </c>
      <c r="U1386" s="1">
        <f t="shared" si="563"/>
        <v>0</v>
      </c>
      <c r="V1386" s="1">
        <f t="shared" si="564"/>
        <v>0</v>
      </c>
    </row>
    <row r="1387" spans="2:22" x14ac:dyDescent="0.25">
      <c r="B1387" s="2"/>
      <c r="C1387" s="2"/>
      <c r="D1387" s="2"/>
      <c r="E1387" s="4"/>
      <c r="F1387" s="2"/>
      <c r="G1387" s="2"/>
      <c r="H1387" s="2"/>
      <c r="I1387" s="4"/>
      <c r="J1387" s="2"/>
      <c r="K1387" s="2"/>
      <c r="M1387" s="4">
        <f t="shared" si="557"/>
        <v>173.1</v>
      </c>
      <c r="N1387" s="4"/>
      <c r="O1387" s="1">
        <f t="shared" si="558"/>
        <v>173.1</v>
      </c>
      <c r="P1387" s="1">
        <f t="shared" si="559"/>
        <v>0</v>
      </c>
      <c r="Q1387" s="1" t="str">
        <f t="shared" si="556"/>
        <v/>
      </c>
      <c r="R1387" s="1" t="str">
        <f t="shared" si="560"/>
        <v/>
      </c>
      <c r="S1387" s="1">
        <f t="shared" si="561"/>
        <v>630.90240000000244</v>
      </c>
      <c r="T1387" s="1">
        <f t="shared" si="562"/>
        <v>0</v>
      </c>
      <c r="U1387" s="1">
        <f t="shared" si="563"/>
        <v>0</v>
      </c>
      <c r="V1387" s="1">
        <f t="shared" si="564"/>
        <v>0</v>
      </c>
    </row>
    <row r="1388" spans="2:22" x14ac:dyDescent="0.25">
      <c r="B1388" s="2"/>
      <c r="C1388" s="2"/>
      <c r="D1388" s="2"/>
      <c r="E1388" s="4"/>
      <c r="F1388" s="2"/>
      <c r="G1388" s="2"/>
      <c r="H1388" s="2"/>
      <c r="I1388" s="4"/>
      <c r="J1388" s="2"/>
      <c r="K1388" s="2"/>
      <c r="M1388" s="4">
        <f t="shared" si="557"/>
        <v>173.1</v>
      </c>
      <c r="N1388" s="4"/>
      <c r="O1388" s="1">
        <f t="shared" si="558"/>
        <v>173.1</v>
      </c>
      <c r="P1388" s="1">
        <f t="shared" si="559"/>
        <v>0</v>
      </c>
      <c r="Q1388" s="1" t="str">
        <f t="shared" si="556"/>
        <v/>
      </c>
      <c r="R1388" s="1" t="str">
        <f t="shared" si="560"/>
        <v/>
      </c>
      <c r="S1388" s="1">
        <f t="shared" si="561"/>
        <v>630.90240000000244</v>
      </c>
      <c r="T1388" s="1">
        <f t="shared" si="562"/>
        <v>0</v>
      </c>
      <c r="U1388" s="1">
        <f t="shared" si="563"/>
        <v>0</v>
      </c>
      <c r="V1388" s="1">
        <f t="shared" si="564"/>
        <v>0</v>
      </c>
    </row>
    <row r="1389" spans="2:22" x14ac:dyDescent="0.25">
      <c r="B1389" s="2"/>
      <c r="C1389" s="2"/>
      <c r="D1389" s="2"/>
      <c r="E1389" s="4"/>
      <c r="F1389" s="2"/>
      <c r="G1389" s="2"/>
      <c r="H1389" s="2"/>
      <c r="I1389" s="4"/>
      <c r="J1389" s="2"/>
      <c r="K1389" s="2"/>
      <c r="M1389" s="4">
        <f t="shared" si="557"/>
        <v>173.1</v>
      </c>
      <c r="N1389" s="4"/>
      <c r="O1389" s="1">
        <f t="shared" si="558"/>
        <v>173.1</v>
      </c>
      <c r="P1389" s="1">
        <f t="shared" si="559"/>
        <v>0</v>
      </c>
      <c r="Q1389" s="1" t="str">
        <f t="shared" si="556"/>
        <v/>
      </c>
      <c r="R1389" s="1" t="str">
        <f t="shared" si="560"/>
        <v/>
      </c>
      <c r="S1389" s="1">
        <f t="shared" si="561"/>
        <v>630.90240000000244</v>
      </c>
      <c r="T1389" s="1">
        <f t="shared" si="562"/>
        <v>0</v>
      </c>
      <c r="U1389" s="1">
        <f t="shared" si="563"/>
        <v>0</v>
      </c>
      <c r="V1389" s="1">
        <f t="shared" si="564"/>
        <v>0</v>
      </c>
    </row>
    <row r="1390" spans="2:22" x14ac:dyDescent="0.25">
      <c r="B1390" s="2"/>
      <c r="C1390" s="2"/>
      <c r="D1390" s="2"/>
      <c r="E1390" s="4"/>
      <c r="F1390" s="2"/>
      <c r="G1390" s="2"/>
      <c r="H1390" s="2"/>
      <c r="I1390" s="4"/>
      <c r="J1390" s="2"/>
      <c r="K1390" s="2"/>
      <c r="M1390" s="4">
        <f t="shared" si="557"/>
        <v>173.1</v>
      </c>
      <c r="N1390" s="4"/>
      <c r="O1390" s="1">
        <f t="shared" si="558"/>
        <v>173.1</v>
      </c>
      <c r="P1390" s="1">
        <f t="shared" si="559"/>
        <v>0</v>
      </c>
      <c r="Q1390" s="1" t="str">
        <f t="shared" si="556"/>
        <v/>
      </c>
      <c r="R1390" s="1" t="str">
        <f t="shared" si="560"/>
        <v/>
      </c>
      <c r="S1390" s="1">
        <f t="shared" si="561"/>
        <v>630.90240000000244</v>
      </c>
      <c r="T1390" s="1">
        <f t="shared" si="562"/>
        <v>0</v>
      </c>
      <c r="U1390" s="1">
        <f t="shared" si="563"/>
        <v>0</v>
      </c>
      <c r="V1390" s="1">
        <f t="shared" si="564"/>
        <v>0</v>
      </c>
    </row>
    <row r="1391" spans="2:22" x14ac:dyDescent="0.25">
      <c r="B1391" s="2"/>
      <c r="C1391" s="2"/>
      <c r="D1391" s="2"/>
      <c r="E1391" s="4"/>
      <c r="F1391" s="2"/>
      <c r="G1391" s="2"/>
      <c r="H1391" s="2"/>
      <c r="I1391" s="4"/>
      <c r="J1391" s="2"/>
      <c r="K1391" s="2"/>
      <c r="M1391" s="4">
        <f t="shared" si="557"/>
        <v>173.1</v>
      </c>
      <c r="N1391" s="4"/>
      <c r="O1391" s="1">
        <f t="shared" si="558"/>
        <v>173.1</v>
      </c>
      <c r="P1391" s="1">
        <f t="shared" si="559"/>
        <v>0</v>
      </c>
      <c r="Q1391" s="1" t="str">
        <f t="shared" si="556"/>
        <v/>
      </c>
      <c r="R1391" s="1" t="str">
        <f t="shared" si="560"/>
        <v/>
      </c>
      <c r="S1391" s="1">
        <f t="shared" si="561"/>
        <v>630.90240000000244</v>
      </c>
      <c r="T1391" s="1">
        <f t="shared" si="562"/>
        <v>0</v>
      </c>
      <c r="U1391" s="1">
        <f t="shared" si="563"/>
        <v>0</v>
      </c>
      <c r="V1391" s="1">
        <f t="shared" si="564"/>
        <v>0</v>
      </c>
    </row>
    <row r="1392" spans="2:22" x14ac:dyDescent="0.25">
      <c r="B1392" s="2"/>
      <c r="C1392" s="2"/>
      <c r="D1392" s="2"/>
      <c r="E1392" s="4"/>
      <c r="F1392" s="2"/>
      <c r="G1392" s="2"/>
      <c r="H1392" s="2"/>
      <c r="I1392" s="4"/>
      <c r="J1392" s="2"/>
      <c r="K1392" s="2"/>
      <c r="M1392" s="4">
        <f t="shared" si="557"/>
        <v>173.1</v>
      </c>
      <c r="N1392" s="4"/>
      <c r="O1392" s="1">
        <f t="shared" si="558"/>
        <v>173.1</v>
      </c>
      <c r="P1392" s="1">
        <f t="shared" si="559"/>
        <v>0</v>
      </c>
      <c r="Q1392" s="1" t="str">
        <f t="shared" si="556"/>
        <v/>
      </c>
      <c r="R1392" s="1" t="str">
        <f t="shared" si="560"/>
        <v/>
      </c>
      <c r="S1392" s="1">
        <f t="shared" si="561"/>
        <v>630.90240000000244</v>
      </c>
      <c r="T1392" s="1">
        <f t="shared" si="562"/>
        <v>0</v>
      </c>
      <c r="U1392" s="1">
        <f t="shared" si="563"/>
        <v>0</v>
      </c>
      <c r="V1392" s="1">
        <f t="shared" si="564"/>
        <v>0</v>
      </c>
    </row>
    <row r="1393" spans="2:22" x14ac:dyDescent="0.25">
      <c r="B1393" s="2"/>
      <c r="C1393" s="2"/>
      <c r="D1393" s="2"/>
      <c r="E1393" s="4"/>
      <c r="F1393" s="2"/>
      <c r="G1393" s="2"/>
      <c r="H1393" s="2"/>
      <c r="I1393" s="4"/>
      <c r="J1393" s="2"/>
      <c r="K1393" s="2"/>
      <c r="M1393" s="4">
        <f t="shared" si="557"/>
        <v>173.1</v>
      </c>
      <c r="N1393" s="4"/>
      <c r="O1393" s="1">
        <f t="shared" si="558"/>
        <v>173.1</v>
      </c>
      <c r="P1393" s="1">
        <f t="shared" si="559"/>
        <v>0</v>
      </c>
      <c r="Q1393" s="1" t="str">
        <f t="shared" si="556"/>
        <v/>
      </c>
      <c r="R1393" s="1" t="str">
        <f t="shared" si="560"/>
        <v/>
      </c>
      <c r="S1393" s="1">
        <f t="shared" si="561"/>
        <v>630.90240000000244</v>
      </c>
      <c r="T1393" s="1">
        <f t="shared" si="562"/>
        <v>0</v>
      </c>
      <c r="U1393" s="1">
        <f t="shared" si="563"/>
        <v>0</v>
      </c>
      <c r="V1393" s="1">
        <f t="shared" si="564"/>
        <v>0</v>
      </c>
    </row>
    <row r="1394" spans="2:22" x14ac:dyDescent="0.25">
      <c r="B1394" s="2"/>
      <c r="C1394" s="2"/>
      <c r="D1394" s="2"/>
      <c r="E1394" s="4"/>
      <c r="F1394" s="2"/>
      <c r="G1394" s="2"/>
      <c r="H1394" s="2"/>
      <c r="I1394" s="4"/>
      <c r="J1394" s="2"/>
      <c r="K1394" s="2"/>
      <c r="M1394" s="4">
        <f t="shared" si="557"/>
        <v>173.1</v>
      </c>
      <c r="N1394" s="4"/>
      <c r="O1394" s="1">
        <f t="shared" si="558"/>
        <v>173.1</v>
      </c>
      <c r="P1394" s="1">
        <f t="shared" si="559"/>
        <v>0</v>
      </c>
      <c r="Q1394" s="1" t="str">
        <f t="shared" ref="Q1394:Q1457" si="565">IF(H1394&lt;&gt;"",IF(H1394=H1393,"",H1394),IF(H1392="","",MAX(H1393,Q1393)))</f>
        <v/>
      </c>
      <c r="R1394" s="1" t="str">
        <f t="shared" si="560"/>
        <v/>
      </c>
      <c r="S1394" s="1">
        <f t="shared" si="561"/>
        <v>630.90240000000244</v>
      </c>
      <c r="T1394" s="1">
        <f t="shared" si="562"/>
        <v>0</v>
      </c>
      <c r="U1394" s="1">
        <f t="shared" si="563"/>
        <v>0</v>
      </c>
      <c r="V1394" s="1">
        <f t="shared" si="564"/>
        <v>0</v>
      </c>
    </row>
    <row r="1395" spans="2:22" x14ac:dyDescent="0.25">
      <c r="B1395" s="2"/>
      <c r="C1395" s="2"/>
      <c r="D1395" s="2"/>
      <c r="E1395" s="4"/>
      <c r="F1395" s="2"/>
      <c r="G1395" s="2"/>
      <c r="H1395" s="2"/>
      <c r="I1395" s="4"/>
      <c r="J1395" s="2"/>
      <c r="K1395" s="2"/>
      <c r="M1395" s="4">
        <f t="shared" si="557"/>
        <v>173.1</v>
      </c>
      <c r="N1395" s="4"/>
      <c r="O1395" s="1">
        <f t="shared" si="558"/>
        <v>173.1</v>
      </c>
      <c r="P1395" s="1">
        <f t="shared" si="559"/>
        <v>0</v>
      </c>
      <c r="Q1395" s="1" t="str">
        <f t="shared" si="565"/>
        <v/>
      </c>
      <c r="R1395" s="1" t="str">
        <f t="shared" si="560"/>
        <v/>
      </c>
      <c r="S1395" s="1">
        <f t="shared" si="561"/>
        <v>630.90240000000244</v>
      </c>
      <c r="T1395" s="1">
        <f t="shared" si="562"/>
        <v>0</v>
      </c>
      <c r="U1395" s="1">
        <f t="shared" si="563"/>
        <v>0</v>
      </c>
      <c r="V1395" s="1">
        <f t="shared" si="564"/>
        <v>0</v>
      </c>
    </row>
    <row r="1396" spans="2:22" x14ac:dyDescent="0.25">
      <c r="B1396" s="2"/>
      <c r="C1396" s="2"/>
      <c r="D1396" s="2"/>
      <c r="E1396" s="4"/>
      <c r="F1396" s="2"/>
      <c r="G1396" s="2"/>
      <c r="H1396" s="2"/>
      <c r="I1396" s="4"/>
      <c r="J1396" s="2"/>
      <c r="K1396" s="2"/>
      <c r="M1396" s="4">
        <f t="shared" si="557"/>
        <v>173.1</v>
      </c>
      <c r="N1396" s="4"/>
      <c r="O1396" s="1">
        <f t="shared" si="558"/>
        <v>173.1</v>
      </c>
      <c r="P1396" s="1">
        <f t="shared" si="559"/>
        <v>0</v>
      </c>
      <c r="Q1396" s="1" t="str">
        <f t="shared" si="565"/>
        <v/>
      </c>
      <c r="R1396" s="1" t="str">
        <f t="shared" si="560"/>
        <v/>
      </c>
      <c r="S1396" s="1">
        <f t="shared" si="561"/>
        <v>630.90240000000244</v>
      </c>
      <c r="T1396" s="1">
        <f t="shared" si="562"/>
        <v>0</v>
      </c>
      <c r="U1396" s="1">
        <f t="shared" si="563"/>
        <v>0</v>
      </c>
      <c r="V1396" s="1">
        <f t="shared" si="564"/>
        <v>0</v>
      </c>
    </row>
    <row r="1397" spans="2:22" x14ac:dyDescent="0.25">
      <c r="B1397" s="2"/>
      <c r="C1397" s="2"/>
      <c r="D1397" s="2"/>
      <c r="E1397" s="4"/>
      <c r="F1397" s="2"/>
      <c r="G1397" s="2"/>
      <c r="H1397" s="2"/>
      <c r="I1397" s="4"/>
      <c r="J1397" s="2"/>
      <c r="K1397" s="2"/>
      <c r="M1397" s="4">
        <f t="shared" si="557"/>
        <v>173.1</v>
      </c>
      <c r="N1397" s="4"/>
      <c r="O1397" s="1">
        <f t="shared" si="558"/>
        <v>173.1</v>
      </c>
      <c r="P1397" s="1">
        <f t="shared" si="559"/>
        <v>0</v>
      </c>
      <c r="Q1397" s="1" t="str">
        <f t="shared" si="565"/>
        <v/>
      </c>
      <c r="R1397" s="1" t="str">
        <f t="shared" si="560"/>
        <v/>
      </c>
      <c r="S1397" s="1">
        <f t="shared" si="561"/>
        <v>630.90240000000244</v>
      </c>
      <c r="T1397" s="1">
        <f t="shared" si="562"/>
        <v>0</v>
      </c>
      <c r="U1397" s="1">
        <f t="shared" si="563"/>
        <v>0</v>
      </c>
      <c r="V1397" s="1">
        <f t="shared" si="564"/>
        <v>0</v>
      </c>
    </row>
    <row r="1398" spans="2:22" x14ac:dyDescent="0.25">
      <c r="B1398" s="2"/>
      <c r="C1398" s="2"/>
      <c r="D1398" s="2"/>
      <c r="E1398" s="4"/>
      <c r="F1398" s="2"/>
      <c r="G1398" s="2"/>
      <c r="H1398" s="2"/>
      <c r="I1398" s="4"/>
      <c r="J1398" s="2"/>
      <c r="K1398" s="2"/>
      <c r="M1398" s="4">
        <f t="shared" si="557"/>
        <v>173.1</v>
      </c>
      <c r="N1398" s="4"/>
      <c r="O1398" s="1">
        <f t="shared" si="558"/>
        <v>173.1</v>
      </c>
      <c r="P1398" s="1">
        <f t="shared" si="559"/>
        <v>0</v>
      </c>
      <c r="Q1398" s="1" t="str">
        <f t="shared" si="565"/>
        <v/>
      </c>
      <c r="R1398" s="1" t="str">
        <f t="shared" si="560"/>
        <v/>
      </c>
      <c r="S1398" s="1">
        <f t="shared" si="561"/>
        <v>630.90240000000244</v>
      </c>
      <c r="T1398" s="1">
        <f t="shared" si="562"/>
        <v>0</v>
      </c>
      <c r="U1398" s="1">
        <f t="shared" si="563"/>
        <v>0</v>
      </c>
      <c r="V1398" s="1">
        <f t="shared" si="564"/>
        <v>0</v>
      </c>
    </row>
    <row r="1399" spans="2:22" x14ac:dyDescent="0.25">
      <c r="B1399" s="2"/>
      <c r="C1399" s="2"/>
      <c r="D1399" s="2"/>
      <c r="E1399" s="4"/>
      <c r="F1399" s="2"/>
      <c r="G1399" s="2"/>
      <c r="H1399" s="2"/>
      <c r="I1399" s="4"/>
      <c r="J1399" s="2"/>
      <c r="K1399" s="2"/>
      <c r="M1399" s="4">
        <f t="shared" si="557"/>
        <v>173.1</v>
      </c>
      <c r="N1399" s="4"/>
      <c r="O1399" s="1">
        <f t="shared" si="558"/>
        <v>173.1</v>
      </c>
      <c r="P1399" s="1">
        <f t="shared" si="559"/>
        <v>0</v>
      </c>
      <c r="Q1399" s="1" t="str">
        <f t="shared" si="565"/>
        <v/>
      </c>
      <c r="R1399" s="1" t="str">
        <f t="shared" si="560"/>
        <v/>
      </c>
      <c r="S1399" s="1">
        <f t="shared" si="561"/>
        <v>630.90240000000244</v>
      </c>
      <c r="T1399" s="1">
        <f t="shared" si="562"/>
        <v>0</v>
      </c>
      <c r="U1399" s="1">
        <f t="shared" si="563"/>
        <v>0</v>
      </c>
      <c r="V1399" s="1">
        <f t="shared" si="564"/>
        <v>0</v>
      </c>
    </row>
    <row r="1400" spans="2:22" x14ac:dyDescent="0.25">
      <c r="B1400" s="2"/>
      <c r="C1400" s="2"/>
      <c r="D1400" s="2"/>
      <c r="E1400" s="4"/>
      <c r="F1400" s="2"/>
      <c r="G1400" s="2"/>
      <c r="H1400" s="2"/>
      <c r="I1400" s="4"/>
      <c r="J1400" s="2"/>
      <c r="K1400" s="2"/>
      <c r="M1400" s="4">
        <f t="shared" si="557"/>
        <v>173.1</v>
      </c>
      <c r="N1400" s="4"/>
      <c r="O1400" s="1">
        <f t="shared" si="558"/>
        <v>173.1</v>
      </c>
      <c r="P1400" s="1">
        <f t="shared" si="559"/>
        <v>0</v>
      </c>
      <c r="Q1400" s="1" t="str">
        <f t="shared" si="565"/>
        <v/>
      </c>
      <c r="R1400" s="1" t="str">
        <f t="shared" si="560"/>
        <v/>
      </c>
      <c r="S1400" s="1">
        <f t="shared" si="561"/>
        <v>630.90240000000244</v>
      </c>
      <c r="T1400" s="1">
        <f t="shared" si="562"/>
        <v>0</v>
      </c>
      <c r="U1400" s="1">
        <f t="shared" si="563"/>
        <v>0</v>
      </c>
      <c r="V1400" s="1">
        <f t="shared" si="564"/>
        <v>0</v>
      </c>
    </row>
    <row r="1401" spans="2:22" x14ac:dyDescent="0.25">
      <c r="B1401" s="2"/>
      <c r="C1401" s="2"/>
      <c r="D1401" s="2"/>
      <c r="E1401" s="4"/>
      <c r="F1401" s="2"/>
      <c r="G1401" s="2"/>
      <c r="H1401" s="2"/>
      <c r="I1401" s="4"/>
      <c r="J1401" s="2"/>
      <c r="K1401" s="2"/>
      <c r="M1401" s="4">
        <f t="shared" si="557"/>
        <v>173.1</v>
      </c>
      <c r="N1401" s="4"/>
      <c r="O1401" s="1">
        <f t="shared" si="558"/>
        <v>173.1</v>
      </c>
      <c r="P1401" s="1">
        <f t="shared" si="559"/>
        <v>0</v>
      </c>
      <c r="Q1401" s="1" t="str">
        <f t="shared" si="565"/>
        <v/>
      </c>
      <c r="R1401" s="1" t="str">
        <f t="shared" si="560"/>
        <v/>
      </c>
      <c r="S1401" s="1">
        <f t="shared" si="561"/>
        <v>630.90240000000244</v>
      </c>
      <c r="T1401" s="1">
        <f t="shared" si="562"/>
        <v>0</v>
      </c>
      <c r="U1401" s="1">
        <f t="shared" si="563"/>
        <v>0</v>
      </c>
      <c r="V1401" s="1">
        <f t="shared" si="564"/>
        <v>0</v>
      </c>
    </row>
    <row r="1402" spans="2:22" x14ac:dyDescent="0.25">
      <c r="B1402" s="2"/>
      <c r="C1402" s="2"/>
      <c r="D1402" s="2"/>
      <c r="E1402" s="4"/>
      <c r="F1402" s="2"/>
      <c r="G1402" s="2"/>
      <c r="H1402" s="2"/>
      <c r="I1402" s="4"/>
      <c r="J1402" s="2"/>
      <c r="K1402" s="2"/>
      <c r="M1402" s="4">
        <f t="shared" si="557"/>
        <v>173.1</v>
      </c>
      <c r="N1402" s="4"/>
      <c r="O1402" s="1">
        <f t="shared" si="558"/>
        <v>173.1</v>
      </c>
      <c r="P1402" s="1">
        <f t="shared" si="559"/>
        <v>0</v>
      </c>
      <c r="Q1402" s="1" t="str">
        <f t="shared" si="565"/>
        <v/>
      </c>
      <c r="R1402" s="1" t="str">
        <f t="shared" si="560"/>
        <v/>
      </c>
      <c r="S1402" s="1">
        <f t="shared" si="561"/>
        <v>630.90240000000244</v>
      </c>
      <c r="T1402" s="1">
        <f t="shared" si="562"/>
        <v>0</v>
      </c>
      <c r="U1402" s="1">
        <f t="shared" si="563"/>
        <v>0</v>
      </c>
      <c r="V1402" s="1">
        <f t="shared" si="564"/>
        <v>0</v>
      </c>
    </row>
    <row r="1403" spans="2:22" x14ac:dyDescent="0.25">
      <c r="B1403" s="2"/>
      <c r="C1403" s="2"/>
      <c r="D1403" s="2"/>
      <c r="E1403" s="4"/>
      <c r="F1403" s="2"/>
      <c r="G1403" s="2"/>
      <c r="H1403" s="2"/>
      <c r="I1403" s="4"/>
      <c r="J1403" s="2"/>
      <c r="K1403" s="2"/>
      <c r="M1403" s="4">
        <f t="shared" si="557"/>
        <v>173.1</v>
      </c>
      <c r="N1403" s="4"/>
      <c r="O1403" s="1">
        <f t="shared" si="558"/>
        <v>173.1</v>
      </c>
      <c r="P1403" s="1">
        <f t="shared" si="559"/>
        <v>0</v>
      </c>
      <c r="Q1403" s="1" t="str">
        <f t="shared" si="565"/>
        <v/>
      </c>
      <c r="R1403" s="1" t="str">
        <f t="shared" si="560"/>
        <v/>
      </c>
      <c r="S1403" s="1">
        <f t="shared" si="561"/>
        <v>630.90240000000244</v>
      </c>
      <c r="T1403" s="1">
        <f t="shared" si="562"/>
        <v>0</v>
      </c>
      <c r="U1403" s="1">
        <f t="shared" si="563"/>
        <v>0</v>
      </c>
      <c r="V1403" s="1">
        <f t="shared" si="564"/>
        <v>0</v>
      </c>
    </row>
    <row r="1404" spans="2:22" x14ac:dyDescent="0.25">
      <c r="B1404" s="2"/>
      <c r="C1404" s="2"/>
      <c r="D1404" s="2"/>
      <c r="E1404" s="4"/>
      <c r="F1404" s="2"/>
      <c r="G1404" s="2"/>
      <c r="H1404" s="2"/>
      <c r="I1404" s="4"/>
      <c r="J1404" s="2"/>
      <c r="K1404" s="2"/>
      <c r="M1404" s="4">
        <f t="shared" si="557"/>
        <v>173.1</v>
      </c>
      <c r="N1404" s="4"/>
      <c r="O1404" s="1">
        <f t="shared" si="558"/>
        <v>173.1</v>
      </c>
      <c r="P1404" s="1">
        <f t="shared" si="559"/>
        <v>0</v>
      </c>
      <c r="Q1404" s="1" t="str">
        <f t="shared" si="565"/>
        <v/>
      </c>
      <c r="R1404" s="1" t="str">
        <f t="shared" si="560"/>
        <v/>
      </c>
      <c r="S1404" s="1">
        <f t="shared" si="561"/>
        <v>630.90240000000244</v>
      </c>
      <c r="T1404" s="1">
        <f t="shared" si="562"/>
        <v>0</v>
      </c>
      <c r="U1404" s="1">
        <f t="shared" si="563"/>
        <v>0</v>
      </c>
      <c r="V1404" s="1">
        <f t="shared" si="564"/>
        <v>0</v>
      </c>
    </row>
    <row r="1405" spans="2:22" x14ac:dyDescent="0.25">
      <c r="B1405" s="2"/>
      <c r="C1405" s="2"/>
      <c r="D1405" s="2"/>
      <c r="E1405" s="4"/>
      <c r="F1405" s="2"/>
      <c r="G1405" s="2"/>
      <c r="H1405" s="2"/>
      <c r="I1405" s="4"/>
      <c r="J1405" s="2"/>
      <c r="K1405" s="2"/>
      <c r="M1405" s="4">
        <f t="shared" si="557"/>
        <v>173.1</v>
      </c>
      <c r="N1405" s="4"/>
      <c r="O1405" s="1">
        <f t="shared" si="558"/>
        <v>173.1</v>
      </c>
      <c r="P1405" s="1">
        <f t="shared" si="559"/>
        <v>0</v>
      </c>
      <c r="Q1405" s="1" t="str">
        <f t="shared" si="565"/>
        <v/>
      </c>
      <c r="R1405" s="1" t="str">
        <f t="shared" si="560"/>
        <v/>
      </c>
      <c r="S1405" s="1">
        <f t="shared" si="561"/>
        <v>630.90240000000244</v>
      </c>
      <c r="T1405" s="1">
        <f t="shared" si="562"/>
        <v>0</v>
      </c>
      <c r="U1405" s="1">
        <f t="shared" si="563"/>
        <v>0</v>
      </c>
      <c r="V1405" s="1">
        <f t="shared" si="564"/>
        <v>0</v>
      </c>
    </row>
    <row r="1406" spans="2:22" x14ac:dyDescent="0.25">
      <c r="B1406" s="2"/>
      <c r="C1406" s="2"/>
      <c r="D1406" s="2"/>
      <c r="E1406" s="4"/>
      <c r="F1406" s="2"/>
      <c r="G1406" s="2"/>
      <c r="H1406" s="2"/>
      <c r="I1406" s="4"/>
      <c r="J1406" s="2"/>
      <c r="K1406" s="2"/>
      <c r="M1406" s="4">
        <f t="shared" si="557"/>
        <v>173.1</v>
      </c>
      <c r="N1406" s="4"/>
      <c r="O1406" s="1">
        <f t="shared" si="558"/>
        <v>173.1</v>
      </c>
      <c r="P1406" s="1">
        <f t="shared" si="559"/>
        <v>0</v>
      </c>
      <c r="Q1406" s="1" t="str">
        <f t="shared" si="565"/>
        <v/>
      </c>
      <c r="R1406" s="1" t="str">
        <f t="shared" si="560"/>
        <v/>
      </c>
      <c r="S1406" s="1">
        <f t="shared" si="561"/>
        <v>630.90240000000244</v>
      </c>
      <c r="T1406" s="1">
        <f t="shared" si="562"/>
        <v>0</v>
      </c>
      <c r="U1406" s="1">
        <f t="shared" si="563"/>
        <v>0</v>
      </c>
      <c r="V1406" s="1">
        <f t="shared" si="564"/>
        <v>0</v>
      </c>
    </row>
    <row r="1407" spans="2:22" x14ac:dyDescent="0.25">
      <c r="B1407" s="2"/>
      <c r="C1407" s="2"/>
      <c r="D1407" s="2"/>
      <c r="E1407" s="4"/>
      <c r="F1407" s="2"/>
      <c r="G1407" s="2"/>
      <c r="H1407" s="2"/>
      <c r="I1407" s="4"/>
      <c r="J1407" s="2"/>
      <c r="K1407" s="2"/>
      <c r="M1407" s="4">
        <f t="shared" si="557"/>
        <v>173.1</v>
      </c>
      <c r="N1407" s="4"/>
      <c r="O1407" s="1">
        <f t="shared" si="558"/>
        <v>173.1</v>
      </c>
      <c r="P1407" s="1">
        <f t="shared" si="559"/>
        <v>0</v>
      </c>
      <c r="Q1407" s="1" t="str">
        <f t="shared" si="565"/>
        <v/>
      </c>
      <c r="R1407" s="1" t="str">
        <f t="shared" si="560"/>
        <v/>
      </c>
      <c r="S1407" s="1">
        <f t="shared" si="561"/>
        <v>630.90240000000244</v>
      </c>
      <c r="T1407" s="1">
        <f t="shared" si="562"/>
        <v>0</v>
      </c>
      <c r="U1407" s="1">
        <f t="shared" si="563"/>
        <v>0</v>
      </c>
      <c r="V1407" s="1">
        <f t="shared" si="564"/>
        <v>0</v>
      </c>
    </row>
    <row r="1408" spans="2:22" x14ac:dyDescent="0.25">
      <c r="B1408" s="2"/>
      <c r="C1408" s="2"/>
      <c r="D1408" s="2"/>
      <c r="E1408" s="4"/>
      <c r="F1408" s="2"/>
      <c r="G1408" s="2"/>
      <c r="H1408" s="2"/>
      <c r="I1408" s="4"/>
      <c r="J1408" s="2"/>
      <c r="K1408" s="2"/>
      <c r="M1408" s="4">
        <f t="shared" si="557"/>
        <v>173.1</v>
      </c>
      <c r="N1408" s="4"/>
      <c r="O1408" s="1">
        <f t="shared" si="558"/>
        <v>173.1</v>
      </c>
      <c r="P1408" s="1">
        <f t="shared" si="559"/>
        <v>0</v>
      </c>
      <c r="Q1408" s="1" t="str">
        <f t="shared" si="565"/>
        <v/>
      </c>
      <c r="R1408" s="1" t="str">
        <f t="shared" si="560"/>
        <v/>
      </c>
      <c r="S1408" s="1">
        <f t="shared" si="561"/>
        <v>630.90240000000244</v>
      </c>
      <c r="T1408" s="1">
        <f t="shared" si="562"/>
        <v>0</v>
      </c>
      <c r="U1408" s="1">
        <f t="shared" si="563"/>
        <v>0</v>
      </c>
      <c r="V1408" s="1">
        <f t="shared" si="564"/>
        <v>0</v>
      </c>
    </row>
    <row r="1409" spans="2:22" x14ac:dyDescent="0.25">
      <c r="B1409" s="2"/>
      <c r="C1409" s="2"/>
      <c r="D1409" s="2"/>
      <c r="E1409" s="4"/>
      <c r="F1409" s="2"/>
      <c r="G1409" s="2"/>
      <c r="H1409" s="2"/>
      <c r="I1409" s="4"/>
      <c r="J1409" s="2"/>
      <c r="K1409" s="2"/>
      <c r="M1409" s="4">
        <f t="shared" si="557"/>
        <v>173.1</v>
      </c>
      <c r="N1409" s="4"/>
      <c r="O1409" s="1">
        <f t="shared" si="558"/>
        <v>173.1</v>
      </c>
      <c r="P1409" s="1">
        <f t="shared" si="559"/>
        <v>0</v>
      </c>
      <c r="Q1409" s="1" t="str">
        <f t="shared" si="565"/>
        <v/>
      </c>
      <c r="R1409" s="1" t="str">
        <f t="shared" si="560"/>
        <v/>
      </c>
      <c r="S1409" s="1">
        <f t="shared" si="561"/>
        <v>630.90240000000244</v>
      </c>
      <c r="T1409" s="1">
        <f t="shared" si="562"/>
        <v>0</v>
      </c>
      <c r="U1409" s="1">
        <f t="shared" si="563"/>
        <v>0</v>
      </c>
      <c r="V1409" s="1">
        <f t="shared" si="564"/>
        <v>0</v>
      </c>
    </row>
    <row r="1410" spans="2:22" x14ac:dyDescent="0.25">
      <c r="B1410" s="2"/>
      <c r="C1410" s="2"/>
      <c r="D1410" s="2"/>
      <c r="E1410" s="4"/>
      <c r="F1410" s="2"/>
      <c r="G1410" s="2"/>
      <c r="H1410" s="2"/>
      <c r="I1410" s="4"/>
      <c r="J1410" s="2"/>
      <c r="K1410" s="2"/>
      <c r="M1410" s="4">
        <f t="shared" si="557"/>
        <v>173.1</v>
      </c>
      <c r="N1410" s="4"/>
      <c r="O1410" s="1">
        <f t="shared" si="558"/>
        <v>173.1</v>
      </c>
      <c r="P1410" s="1">
        <f t="shared" si="559"/>
        <v>0</v>
      </c>
      <c r="Q1410" s="1" t="str">
        <f t="shared" si="565"/>
        <v/>
      </c>
      <c r="R1410" s="1" t="str">
        <f t="shared" si="560"/>
        <v/>
      </c>
      <c r="S1410" s="1">
        <f t="shared" si="561"/>
        <v>630.90240000000244</v>
      </c>
      <c r="T1410" s="1">
        <f t="shared" si="562"/>
        <v>0</v>
      </c>
      <c r="U1410" s="1">
        <f t="shared" si="563"/>
        <v>0</v>
      </c>
      <c r="V1410" s="1">
        <f t="shared" si="564"/>
        <v>0</v>
      </c>
    </row>
    <row r="1411" spans="2:22" x14ac:dyDescent="0.25">
      <c r="B1411" s="2"/>
      <c r="C1411" s="2"/>
      <c r="D1411" s="2"/>
      <c r="E1411" s="4"/>
      <c r="F1411" s="2"/>
      <c r="G1411" s="2"/>
      <c r="H1411" s="2"/>
      <c r="I1411" s="4"/>
      <c r="J1411" s="2"/>
      <c r="K1411" s="2"/>
      <c r="M1411" s="4">
        <f t="shared" si="557"/>
        <v>173.1</v>
      </c>
      <c r="N1411" s="4"/>
      <c r="O1411" s="1">
        <f t="shared" si="558"/>
        <v>173.1</v>
      </c>
      <c r="P1411" s="1">
        <f t="shared" si="559"/>
        <v>0</v>
      </c>
      <c r="Q1411" s="1" t="str">
        <f t="shared" si="565"/>
        <v/>
      </c>
      <c r="R1411" s="1" t="str">
        <f t="shared" si="560"/>
        <v/>
      </c>
      <c r="S1411" s="1">
        <f t="shared" si="561"/>
        <v>630.90240000000244</v>
      </c>
      <c r="T1411" s="1">
        <f t="shared" si="562"/>
        <v>0</v>
      </c>
      <c r="U1411" s="1">
        <f t="shared" si="563"/>
        <v>0</v>
      </c>
      <c r="V1411" s="1">
        <f t="shared" si="564"/>
        <v>0</v>
      </c>
    </row>
    <row r="1412" spans="2:22" x14ac:dyDescent="0.25">
      <c r="B1412" s="2"/>
      <c r="C1412" s="2"/>
      <c r="D1412" s="2"/>
      <c r="E1412" s="4"/>
      <c r="F1412" s="2"/>
      <c r="G1412" s="2"/>
      <c r="H1412" s="2"/>
      <c r="I1412" s="4"/>
      <c r="J1412" s="2"/>
      <c r="K1412" s="2"/>
      <c r="M1412" s="4">
        <f t="shared" si="557"/>
        <v>173.1</v>
      </c>
      <c r="N1412" s="4"/>
      <c r="O1412" s="1">
        <f t="shared" si="558"/>
        <v>173.1</v>
      </c>
      <c r="P1412" s="1">
        <f t="shared" si="559"/>
        <v>0</v>
      </c>
      <c r="Q1412" s="1" t="str">
        <f t="shared" si="565"/>
        <v/>
      </c>
      <c r="R1412" s="1" t="str">
        <f t="shared" si="560"/>
        <v/>
      </c>
      <c r="S1412" s="1">
        <f t="shared" si="561"/>
        <v>630.90240000000244</v>
      </c>
      <c r="T1412" s="1">
        <f t="shared" si="562"/>
        <v>0</v>
      </c>
      <c r="U1412" s="1">
        <f t="shared" si="563"/>
        <v>0</v>
      </c>
      <c r="V1412" s="1">
        <f t="shared" si="564"/>
        <v>0</v>
      </c>
    </row>
    <row r="1413" spans="2:22" x14ac:dyDescent="0.25">
      <c r="B1413" s="2"/>
      <c r="C1413" s="2"/>
      <c r="D1413" s="2"/>
      <c r="E1413" s="4"/>
      <c r="F1413" s="2"/>
      <c r="G1413" s="2"/>
      <c r="H1413" s="2"/>
      <c r="I1413" s="4"/>
      <c r="J1413" s="2"/>
      <c r="K1413" s="2"/>
      <c r="M1413" s="4">
        <f t="shared" si="557"/>
        <v>173.1</v>
      </c>
      <c r="N1413" s="4"/>
      <c r="O1413" s="1">
        <f t="shared" si="558"/>
        <v>173.1</v>
      </c>
      <c r="P1413" s="1">
        <f t="shared" si="559"/>
        <v>0</v>
      </c>
      <c r="Q1413" s="1" t="str">
        <f t="shared" si="565"/>
        <v/>
      </c>
      <c r="R1413" s="1" t="str">
        <f t="shared" si="560"/>
        <v/>
      </c>
      <c r="S1413" s="1">
        <f t="shared" si="561"/>
        <v>630.90240000000244</v>
      </c>
      <c r="T1413" s="1">
        <f t="shared" si="562"/>
        <v>0</v>
      </c>
      <c r="U1413" s="1">
        <f t="shared" si="563"/>
        <v>0</v>
      </c>
      <c r="V1413" s="1">
        <f t="shared" si="564"/>
        <v>0</v>
      </c>
    </row>
    <row r="1414" spans="2:22" x14ac:dyDescent="0.25">
      <c r="B1414" s="2"/>
      <c r="C1414" s="2"/>
      <c r="D1414" s="2"/>
      <c r="E1414" s="4"/>
      <c r="F1414" s="2"/>
      <c r="G1414" s="2"/>
      <c r="H1414" s="2"/>
      <c r="I1414" s="4"/>
      <c r="J1414" s="2"/>
      <c r="K1414" s="2"/>
      <c r="M1414" s="4">
        <f t="shared" si="557"/>
        <v>173.1</v>
      </c>
      <c r="N1414" s="4"/>
      <c r="O1414" s="1">
        <f t="shared" si="558"/>
        <v>173.1</v>
      </c>
      <c r="P1414" s="1">
        <f t="shared" si="559"/>
        <v>0</v>
      </c>
      <c r="Q1414" s="1" t="str">
        <f t="shared" si="565"/>
        <v/>
      </c>
      <c r="R1414" s="1" t="str">
        <f t="shared" si="560"/>
        <v/>
      </c>
      <c r="S1414" s="1">
        <f t="shared" si="561"/>
        <v>630.90240000000244</v>
      </c>
      <c r="T1414" s="1">
        <f t="shared" si="562"/>
        <v>0</v>
      </c>
      <c r="U1414" s="1">
        <f t="shared" si="563"/>
        <v>0</v>
      </c>
      <c r="V1414" s="1">
        <f t="shared" si="564"/>
        <v>0</v>
      </c>
    </row>
    <row r="1415" spans="2:22" x14ac:dyDescent="0.25">
      <c r="B1415" s="2"/>
      <c r="C1415" s="2"/>
      <c r="D1415" s="2"/>
      <c r="E1415" s="4"/>
      <c r="F1415" s="2"/>
      <c r="G1415" s="2"/>
      <c r="H1415" s="2"/>
      <c r="I1415" s="4"/>
      <c r="J1415" s="2"/>
      <c r="K1415" s="2"/>
      <c r="M1415" s="4">
        <f t="shared" si="557"/>
        <v>173.1</v>
      </c>
      <c r="N1415" s="4"/>
      <c r="O1415" s="1">
        <f t="shared" si="558"/>
        <v>173.1</v>
      </c>
      <c r="P1415" s="1">
        <f t="shared" si="559"/>
        <v>0</v>
      </c>
      <c r="Q1415" s="1" t="str">
        <f t="shared" si="565"/>
        <v/>
      </c>
      <c r="R1415" s="1" t="str">
        <f t="shared" si="560"/>
        <v/>
      </c>
      <c r="S1415" s="1">
        <f t="shared" si="561"/>
        <v>630.90240000000244</v>
      </c>
      <c r="T1415" s="1">
        <f t="shared" si="562"/>
        <v>0</v>
      </c>
      <c r="U1415" s="1">
        <f t="shared" si="563"/>
        <v>0</v>
      </c>
      <c r="V1415" s="1">
        <f t="shared" si="564"/>
        <v>0</v>
      </c>
    </row>
    <row r="1416" spans="2:22" x14ac:dyDescent="0.25">
      <c r="B1416" s="2"/>
      <c r="C1416" s="2"/>
      <c r="D1416" s="2"/>
      <c r="E1416" s="4"/>
      <c r="F1416" s="2"/>
      <c r="G1416" s="2"/>
      <c r="H1416" s="2"/>
      <c r="I1416" s="4"/>
      <c r="J1416" s="2"/>
      <c r="K1416" s="2"/>
      <c r="M1416" s="4">
        <f t="shared" ref="M1416:M1479" si="566">E1416+M1415</f>
        <v>173.1</v>
      </c>
      <c r="N1416" s="4"/>
      <c r="O1416" s="1">
        <f t="shared" ref="O1416:O1479" si="567">E1415+O1415</f>
        <v>173.1</v>
      </c>
      <c r="P1416" s="1">
        <f t="shared" ref="P1416:P1479" si="568">F1416*52.8*E1416</f>
        <v>0</v>
      </c>
      <c r="Q1416" s="1" t="str">
        <f t="shared" si="565"/>
        <v/>
      </c>
      <c r="R1416" s="1" t="str">
        <f t="shared" ref="R1416:R1479" si="569">IF(I1416="",Q1416,IF(AND(H1416=H1415,I1416=I1415),"",I1416))</f>
        <v/>
      </c>
      <c r="S1416" s="1">
        <f t="shared" ref="S1416:S1479" si="570">S1415+U1415*T1415/100</f>
        <v>630.90240000000244</v>
      </c>
      <c r="T1416" s="1">
        <f t="shared" ref="T1416:T1479" si="571">IF(G1416="UNK",0,G1416)</f>
        <v>0</v>
      </c>
      <c r="U1416" s="1">
        <f t="shared" ref="U1416:U1479" si="572">E1416*5280</f>
        <v>0</v>
      </c>
      <c r="V1416" s="1">
        <f t="shared" ref="V1416:V1479" si="573">ABS(T1416*U1416)</f>
        <v>0</v>
      </c>
    </row>
    <row r="1417" spans="2:22" x14ac:dyDescent="0.25">
      <c r="B1417" s="2"/>
      <c r="C1417" s="2"/>
      <c r="D1417" s="2"/>
      <c r="E1417" s="4"/>
      <c r="F1417" s="2"/>
      <c r="G1417" s="2"/>
      <c r="H1417" s="2"/>
      <c r="I1417" s="4"/>
      <c r="J1417" s="2"/>
      <c r="K1417" s="2"/>
      <c r="M1417" s="4">
        <f t="shared" si="566"/>
        <v>173.1</v>
      </c>
      <c r="N1417" s="4"/>
      <c r="O1417" s="1">
        <f t="shared" si="567"/>
        <v>173.1</v>
      </c>
      <c r="P1417" s="1">
        <f t="shared" si="568"/>
        <v>0</v>
      </c>
      <c r="Q1417" s="1" t="str">
        <f t="shared" si="565"/>
        <v/>
      </c>
      <c r="R1417" s="1" t="str">
        <f t="shared" si="569"/>
        <v/>
      </c>
      <c r="S1417" s="1">
        <f t="shared" si="570"/>
        <v>630.90240000000244</v>
      </c>
      <c r="T1417" s="1">
        <f t="shared" si="571"/>
        <v>0</v>
      </c>
      <c r="U1417" s="1">
        <f t="shared" si="572"/>
        <v>0</v>
      </c>
      <c r="V1417" s="1">
        <f t="shared" si="573"/>
        <v>0</v>
      </c>
    </row>
    <row r="1418" spans="2:22" x14ac:dyDescent="0.25">
      <c r="B1418" s="2"/>
      <c r="C1418" s="2"/>
      <c r="D1418" s="2"/>
      <c r="E1418" s="4"/>
      <c r="F1418" s="2"/>
      <c r="G1418" s="2"/>
      <c r="H1418" s="2"/>
      <c r="I1418" s="4"/>
      <c r="J1418" s="2"/>
      <c r="K1418" s="2"/>
      <c r="M1418" s="4">
        <f t="shared" si="566"/>
        <v>173.1</v>
      </c>
      <c r="N1418" s="4"/>
      <c r="O1418" s="1">
        <f t="shared" si="567"/>
        <v>173.1</v>
      </c>
      <c r="P1418" s="1">
        <f t="shared" si="568"/>
        <v>0</v>
      </c>
      <c r="Q1418" s="1" t="str">
        <f t="shared" si="565"/>
        <v/>
      </c>
      <c r="R1418" s="1" t="str">
        <f t="shared" si="569"/>
        <v/>
      </c>
      <c r="S1418" s="1">
        <f t="shared" si="570"/>
        <v>630.90240000000244</v>
      </c>
      <c r="T1418" s="1">
        <f t="shared" si="571"/>
        <v>0</v>
      </c>
      <c r="U1418" s="1">
        <f t="shared" si="572"/>
        <v>0</v>
      </c>
      <c r="V1418" s="1">
        <f t="shared" si="573"/>
        <v>0</v>
      </c>
    </row>
    <row r="1419" spans="2:22" x14ac:dyDescent="0.25">
      <c r="B1419" s="2"/>
      <c r="C1419" s="2"/>
      <c r="D1419" s="2"/>
      <c r="E1419" s="4"/>
      <c r="F1419" s="2"/>
      <c r="G1419" s="2"/>
      <c r="H1419" s="2"/>
      <c r="I1419" s="4"/>
      <c r="J1419" s="2"/>
      <c r="K1419" s="2"/>
      <c r="M1419" s="4">
        <f t="shared" si="566"/>
        <v>173.1</v>
      </c>
      <c r="N1419" s="4"/>
      <c r="O1419" s="1">
        <f t="shared" si="567"/>
        <v>173.1</v>
      </c>
      <c r="P1419" s="1">
        <f t="shared" si="568"/>
        <v>0</v>
      </c>
      <c r="Q1419" s="1" t="str">
        <f t="shared" si="565"/>
        <v/>
      </c>
      <c r="R1419" s="1" t="str">
        <f t="shared" si="569"/>
        <v/>
      </c>
      <c r="S1419" s="1">
        <f t="shared" si="570"/>
        <v>630.90240000000244</v>
      </c>
      <c r="T1419" s="1">
        <f t="shared" si="571"/>
        <v>0</v>
      </c>
      <c r="U1419" s="1">
        <f t="shared" si="572"/>
        <v>0</v>
      </c>
      <c r="V1419" s="1">
        <f t="shared" si="573"/>
        <v>0</v>
      </c>
    </row>
    <row r="1420" spans="2:22" x14ac:dyDescent="0.25">
      <c r="B1420" s="2"/>
      <c r="C1420" s="2"/>
      <c r="D1420" s="2"/>
      <c r="E1420" s="4"/>
      <c r="F1420" s="2"/>
      <c r="G1420" s="2"/>
      <c r="H1420" s="2"/>
      <c r="I1420" s="4"/>
      <c r="J1420" s="2"/>
      <c r="K1420" s="2"/>
      <c r="M1420" s="4">
        <f t="shared" si="566"/>
        <v>173.1</v>
      </c>
      <c r="N1420" s="4"/>
      <c r="O1420" s="1">
        <f t="shared" si="567"/>
        <v>173.1</v>
      </c>
      <c r="P1420" s="1">
        <f t="shared" si="568"/>
        <v>0</v>
      </c>
      <c r="Q1420" s="1" t="str">
        <f t="shared" si="565"/>
        <v/>
      </c>
      <c r="R1420" s="1" t="str">
        <f t="shared" si="569"/>
        <v/>
      </c>
      <c r="S1420" s="1">
        <f t="shared" si="570"/>
        <v>630.90240000000244</v>
      </c>
      <c r="T1420" s="1">
        <f t="shared" si="571"/>
        <v>0</v>
      </c>
      <c r="U1420" s="1">
        <f t="shared" si="572"/>
        <v>0</v>
      </c>
      <c r="V1420" s="1">
        <f t="shared" si="573"/>
        <v>0</v>
      </c>
    </row>
    <row r="1421" spans="2:22" x14ac:dyDescent="0.25">
      <c r="B1421" s="2"/>
      <c r="C1421" s="2"/>
      <c r="D1421" s="2"/>
      <c r="E1421" s="4"/>
      <c r="F1421" s="2"/>
      <c r="G1421" s="2"/>
      <c r="H1421" s="2"/>
      <c r="I1421" s="4"/>
      <c r="J1421" s="2"/>
      <c r="K1421" s="2"/>
      <c r="M1421" s="4">
        <f t="shared" si="566"/>
        <v>173.1</v>
      </c>
      <c r="N1421" s="4"/>
      <c r="O1421" s="1">
        <f t="shared" si="567"/>
        <v>173.1</v>
      </c>
      <c r="P1421" s="1">
        <f t="shared" si="568"/>
        <v>0</v>
      </c>
      <c r="Q1421" s="1" t="str">
        <f t="shared" si="565"/>
        <v/>
      </c>
      <c r="R1421" s="1" t="str">
        <f t="shared" si="569"/>
        <v/>
      </c>
      <c r="S1421" s="1">
        <f t="shared" si="570"/>
        <v>630.90240000000244</v>
      </c>
      <c r="T1421" s="1">
        <f t="shared" si="571"/>
        <v>0</v>
      </c>
      <c r="U1421" s="1">
        <f t="shared" si="572"/>
        <v>0</v>
      </c>
      <c r="V1421" s="1">
        <f t="shared" si="573"/>
        <v>0</v>
      </c>
    </row>
    <row r="1422" spans="2:22" x14ac:dyDescent="0.25">
      <c r="B1422" s="2"/>
      <c r="C1422" s="2"/>
      <c r="D1422" s="2"/>
      <c r="E1422" s="4"/>
      <c r="F1422" s="2"/>
      <c r="G1422" s="2"/>
      <c r="H1422" s="2"/>
      <c r="I1422" s="4"/>
      <c r="J1422" s="2"/>
      <c r="K1422" s="2"/>
      <c r="M1422" s="4">
        <f t="shared" si="566"/>
        <v>173.1</v>
      </c>
      <c r="N1422" s="4"/>
      <c r="O1422" s="1">
        <f t="shared" si="567"/>
        <v>173.1</v>
      </c>
      <c r="P1422" s="1">
        <f t="shared" si="568"/>
        <v>0</v>
      </c>
      <c r="Q1422" s="1" t="str">
        <f t="shared" si="565"/>
        <v/>
      </c>
      <c r="R1422" s="1" t="str">
        <f t="shared" si="569"/>
        <v/>
      </c>
      <c r="S1422" s="1">
        <f t="shared" si="570"/>
        <v>630.90240000000244</v>
      </c>
      <c r="T1422" s="1">
        <f t="shared" si="571"/>
        <v>0</v>
      </c>
      <c r="U1422" s="1">
        <f t="shared" si="572"/>
        <v>0</v>
      </c>
      <c r="V1422" s="1">
        <f t="shared" si="573"/>
        <v>0</v>
      </c>
    </row>
    <row r="1423" spans="2:22" x14ac:dyDescent="0.25">
      <c r="B1423" s="2"/>
      <c r="C1423" s="2"/>
      <c r="D1423" s="2"/>
      <c r="E1423" s="4"/>
      <c r="F1423" s="2"/>
      <c r="G1423" s="2"/>
      <c r="H1423" s="2"/>
      <c r="I1423" s="4"/>
      <c r="J1423" s="2"/>
      <c r="K1423" s="2"/>
      <c r="M1423" s="4">
        <f t="shared" si="566"/>
        <v>173.1</v>
      </c>
      <c r="N1423" s="4"/>
      <c r="O1423" s="1">
        <f t="shared" si="567"/>
        <v>173.1</v>
      </c>
      <c r="P1423" s="1">
        <f t="shared" si="568"/>
        <v>0</v>
      </c>
      <c r="Q1423" s="1" t="str">
        <f t="shared" si="565"/>
        <v/>
      </c>
      <c r="R1423" s="1" t="str">
        <f t="shared" si="569"/>
        <v/>
      </c>
      <c r="S1423" s="1">
        <f t="shared" si="570"/>
        <v>630.90240000000244</v>
      </c>
      <c r="T1423" s="1">
        <f t="shared" si="571"/>
        <v>0</v>
      </c>
      <c r="U1423" s="1">
        <f t="shared" si="572"/>
        <v>0</v>
      </c>
      <c r="V1423" s="1">
        <f t="shared" si="573"/>
        <v>0</v>
      </c>
    </row>
    <row r="1424" spans="2:22" x14ac:dyDescent="0.25">
      <c r="B1424" s="2"/>
      <c r="C1424" s="2"/>
      <c r="D1424" s="2"/>
      <c r="E1424" s="4"/>
      <c r="F1424" s="2"/>
      <c r="G1424" s="2"/>
      <c r="H1424" s="2"/>
      <c r="I1424" s="4"/>
      <c r="J1424" s="2"/>
      <c r="K1424" s="2"/>
      <c r="M1424" s="4">
        <f t="shared" si="566"/>
        <v>173.1</v>
      </c>
      <c r="N1424" s="4"/>
      <c r="O1424" s="1">
        <f t="shared" si="567"/>
        <v>173.1</v>
      </c>
      <c r="P1424" s="1">
        <f t="shared" si="568"/>
        <v>0</v>
      </c>
      <c r="Q1424" s="1" t="str">
        <f t="shared" si="565"/>
        <v/>
      </c>
      <c r="R1424" s="1" t="str">
        <f t="shared" si="569"/>
        <v/>
      </c>
      <c r="S1424" s="1">
        <f t="shared" si="570"/>
        <v>630.90240000000244</v>
      </c>
      <c r="T1424" s="1">
        <f t="shared" si="571"/>
        <v>0</v>
      </c>
      <c r="U1424" s="1">
        <f t="shared" si="572"/>
        <v>0</v>
      </c>
      <c r="V1424" s="1">
        <f t="shared" si="573"/>
        <v>0</v>
      </c>
    </row>
    <row r="1425" spans="2:22" x14ac:dyDescent="0.25">
      <c r="B1425" s="2"/>
      <c r="C1425" s="2"/>
      <c r="D1425" s="2"/>
      <c r="E1425" s="4"/>
      <c r="F1425" s="2"/>
      <c r="G1425" s="2"/>
      <c r="H1425" s="2"/>
      <c r="I1425" s="4"/>
      <c r="J1425" s="2"/>
      <c r="K1425" s="2"/>
      <c r="M1425" s="4">
        <f t="shared" si="566"/>
        <v>173.1</v>
      </c>
      <c r="N1425" s="4"/>
      <c r="O1425" s="1">
        <f t="shared" si="567"/>
        <v>173.1</v>
      </c>
      <c r="P1425" s="1">
        <f t="shared" si="568"/>
        <v>0</v>
      </c>
      <c r="Q1425" s="1" t="str">
        <f t="shared" si="565"/>
        <v/>
      </c>
      <c r="R1425" s="1" t="str">
        <f t="shared" si="569"/>
        <v/>
      </c>
      <c r="S1425" s="1">
        <f t="shared" si="570"/>
        <v>630.90240000000244</v>
      </c>
      <c r="T1425" s="1">
        <f t="shared" si="571"/>
        <v>0</v>
      </c>
      <c r="U1425" s="1">
        <f t="shared" si="572"/>
        <v>0</v>
      </c>
      <c r="V1425" s="1">
        <f t="shared" si="573"/>
        <v>0</v>
      </c>
    </row>
    <row r="1426" spans="2:22" x14ac:dyDescent="0.25">
      <c r="B1426" s="2"/>
      <c r="C1426" s="2"/>
      <c r="D1426" s="2"/>
      <c r="E1426" s="4"/>
      <c r="F1426" s="2"/>
      <c r="G1426" s="2"/>
      <c r="H1426" s="2"/>
      <c r="I1426" s="4"/>
      <c r="J1426" s="2"/>
      <c r="K1426" s="2"/>
      <c r="M1426" s="4">
        <f t="shared" si="566"/>
        <v>173.1</v>
      </c>
      <c r="N1426" s="4"/>
      <c r="O1426" s="1">
        <f t="shared" si="567"/>
        <v>173.1</v>
      </c>
      <c r="P1426" s="1">
        <f t="shared" si="568"/>
        <v>0</v>
      </c>
      <c r="Q1426" s="1" t="str">
        <f t="shared" si="565"/>
        <v/>
      </c>
      <c r="R1426" s="1" t="str">
        <f t="shared" si="569"/>
        <v/>
      </c>
      <c r="S1426" s="1">
        <f t="shared" si="570"/>
        <v>630.90240000000244</v>
      </c>
      <c r="T1426" s="1">
        <f t="shared" si="571"/>
        <v>0</v>
      </c>
      <c r="U1426" s="1">
        <f t="shared" si="572"/>
        <v>0</v>
      </c>
      <c r="V1426" s="1">
        <f t="shared" si="573"/>
        <v>0</v>
      </c>
    </row>
    <row r="1427" spans="2:22" x14ac:dyDescent="0.25">
      <c r="B1427" s="2"/>
      <c r="C1427" s="2"/>
      <c r="D1427" s="2"/>
      <c r="E1427" s="4"/>
      <c r="F1427" s="2"/>
      <c r="G1427" s="2"/>
      <c r="H1427" s="2"/>
      <c r="I1427" s="4"/>
      <c r="J1427" s="2"/>
      <c r="K1427" s="2"/>
      <c r="M1427" s="4">
        <f t="shared" si="566"/>
        <v>173.1</v>
      </c>
      <c r="N1427" s="4"/>
      <c r="O1427" s="1">
        <f t="shared" si="567"/>
        <v>173.1</v>
      </c>
      <c r="P1427" s="1">
        <f t="shared" si="568"/>
        <v>0</v>
      </c>
      <c r="Q1427" s="1" t="str">
        <f t="shared" si="565"/>
        <v/>
      </c>
      <c r="R1427" s="1" t="str">
        <f t="shared" si="569"/>
        <v/>
      </c>
      <c r="S1427" s="1">
        <f t="shared" si="570"/>
        <v>630.90240000000244</v>
      </c>
      <c r="T1427" s="1">
        <f t="shared" si="571"/>
        <v>0</v>
      </c>
      <c r="U1427" s="1">
        <f t="shared" si="572"/>
        <v>0</v>
      </c>
      <c r="V1427" s="1">
        <f t="shared" si="573"/>
        <v>0</v>
      </c>
    </row>
    <row r="1428" spans="2:22" x14ac:dyDescent="0.25">
      <c r="B1428" s="2"/>
      <c r="C1428" s="2"/>
      <c r="D1428" s="2"/>
      <c r="E1428" s="4"/>
      <c r="F1428" s="2"/>
      <c r="G1428" s="2"/>
      <c r="H1428" s="2"/>
      <c r="I1428" s="4"/>
      <c r="J1428" s="2"/>
      <c r="K1428" s="2"/>
      <c r="M1428" s="4">
        <f t="shared" si="566"/>
        <v>173.1</v>
      </c>
      <c r="N1428" s="4"/>
      <c r="O1428" s="1">
        <f t="shared" si="567"/>
        <v>173.1</v>
      </c>
      <c r="P1428" s="1">
        <f t="shared" si="568"/>
        <v>0</v>
      </c>
      <c r="Q1428" s="1" t="str">
        <f t="shared" si="565"/>
        <v/>
      </c>
      <c r="R1428" s="1" t="str">
        <f t="shared" si="569"/>
        <v/>
      </c>
      <c r="S1428" s="1">
        <f t="shared" si="570"/>
        <v>630.90240000000244</v>
      </c>
      <c r="T1428" s="1">
        <f t="shared" si="571"/>
        <v>0</v>
      </c>
      <c r="U1428" s="1">
        <f t="shared" si="572"/>
        <v>0</v>
      </c>
      <c r="V1428" s="1">
        <f t="shared" si="573"/>
        <v>0</v>
      </c>
    </row>
    <row r="1429" spans="2:22" x14ac:dyDescent="0.25">
      <c r="B1429" s="2"/>
      <c r="C1429" s="2"/>
      <c r="D1429" s="2"/>
      <c r="E1429" s="4"/>
      <c r="F1429" s="2"/>
      <c r="G1429" s="2"/>
      <c r="H1429" s="2"/>
      <c r="I1429" s="4"/>
      <c r="J1429" s="2"/>
      <c r="K1429" s="2"/>
      <c r="M1429" s="4">
        <f t="shared" si="566"/>
        <v>173.1</v>
      </c>
      <c r="N1429" s="4"/>
      <c r="O1429" s="1">
        <f t="shared" si="567"/>
        <v>173.1</v>
      </c>
      <c r="P1429" s="1">
        <f t="shared" si="568"/>
        <v>0</v>
      </c>
      <c r="Q1429" s="1" t="str">
        <f t="shared" si="565"/>
        <v/>
      </c>
      <c r="R1429" s="1" t="str">
        <f t="shared" si="569"/>
        <v/>
      </c>
      <c r="S1429" s="1">
        <f t="shared" si="570"/>
        <v>630.90240000000244</v>
      </c>
      <c r="T1429" s="1">
        <f t="shared" si="571"/>
        <v>0</v>
      </c>
      <c r="U1429" s="1">
        <f t="shared" si="572"/>
        <v>0</v>
      </c>
      <c r="V1429" s="1">
        <f t="shared" si="573"/>
        <v>0</v>
      </c>
    </row>
    <row r="1430" spans="2:22" x14ac:dyDescent="0.25">
      <c r="B1430" s="2"/>
      <c r="C1430" s="2"/>
      <c r="D1430" s="2"/>
      <c r="E1430" s="4"/>
      <c r="F1430" s="2"/>
      <c r="G1430" s="2"/>
      <c r="H1430" s="2"/>
      <c r="I1430" s="4"/>
      <c r="J1430" s="2"/>
      <c r="K1430" s="2"/>
      <c r="M1430" s="4">
        <f t="shared" si="566"/>
        <v>173.1</v>
      </c>
      <c r="N1430" s="4"/>
      <c r="O1430" s="1">
        <f t="shared" si="567"/>
        <v>173.1</v>
      </c>
      <c r="P1430" s="1">
        <f t="shared" si="568"/>
        <v>0</v>
      </c>
      <c r="Q1430" s="1" t="str">
        <f t="shared" si="565"/>
        <v/>
      </c>
      <c r="R1430" s="1" t="str">
        <f t="shared" si="569"/>
        <v/>
      </c>
      <c r="S1430" s="1">
        <f t="shared" si="570"/>
        <v>630.90240000000244</v>
      </c>
      <c r="T1430" s="1">
        <f t="shared" si="571"/>
        <v>0</v>
      </c>
      <c r="U1430" s="1">
        <f t="shared" si="572"/>
        <v>0</v>
      </c>
      <c r="V1430" s="1">
        <f t="shared" si="573"/>
        <v>0</v>
      </c>
    </row>
    <row r="1431" spans="2:22" x14ac:dyDescent="0.25">
      <c r="B1431" s="2"/>
      <c r="C1431" s="2"/>
      <c r="D1431" s="2"/>
      <c r="E1431" s="4"/>
      <c r="F1431" s="2"/>
      <c r="G1431" s="2"/>
      <c r="H1431" s="2"/>
      <c r="I1431" s="4"/>
      <c r="J1431" s="2"/>
      <c r="K1431" s="2"/>
      <c r="M1431" s="4">
        <f t="shared" si="566"/>
        <v>173.1</v>
      </c>
      <c r="N1431" s="4"/>
      <c r="O1431" s="1">
        <f t="shared" si="567"/>
        <v>173.1</v>
      </c>
      <c r="P1431" s="1">
        <f t="shared" si="568"/>
        <v>0</v>
      </c>
      <c r="Q1431" s="1" t="str">
        <f t="shared" si="565"/>
        <v/>
      </c>
      <c r="R1431" s="1" t="str">
        <f t="shared" si="569"/>
        <v/>
      </c>
      <c r="S1431" s="1">
        <f t="shared" si="570"/>
        <v>630.90240000000244</v>
      </c>
      <c r="T1431" s="1">
        <f t="shared" si="571"/>
        <v>0</v>
      </c>
      <c r="U1431" s="1">
        <f t="shared" si="572"/>
        <v>0</v>
      </c>
      <c r="V1431" s="1">
        <f t="shared" si="573"/>
        <v>0</v>
      </c>
    </row>
    <row r="1432" spans="2:22" x14ac:dyDescent="0.25">
      <c r="B1432" s="2"/>
      <c r="C1432" s="2"/>
      <c r="D1432" s="2"/>
      <c r="E1432" s="4"/>
      <c r="F1432" s="2"/>
      <c r="G1432" s="2"/>
      <c r="H1432" s="2"/>
      <c r="I1432" s="4"/>
      <c r="J1432" s="2"/>
      <c r="K1432" s="2"/>
      <c r="M1432" s="4">
        <f t="shared" si="566"/>
        <v>173.1</v>
      </c>
      <c r="N1432" s="4"/>
      <c r="O1432" s="1">
        <f t="shared" si="567"/>
        <v>173.1</v>
      </c>
      <c r="P1432" s="1">
        <f t="shared" si="568"/>
        <v>0</v>
      </c>
      <c r="Q1432" s="1" t="str">
        <f t="shared" si="565"/>
        <v/>
      </c>
      <c r="R1432" s="1" t="str">
        <f t="shared" si="569"/>
        <v/>
      </c>
      <c r="S1432" s="1">
        <f t="shared" si="570"/>
        <v>630.90240000000244</v>
      </c>
      <c r="T1432" s="1">
        <f t="shared" si="571"/>
        <v>0</v>
      </c>
      <c r="U1432" s="1">
        <f t="shared" si="572"/>
        <v>0</v>
      </c>
      <c r="V1432" s="1">
        <f t="shared" si="573"/>
        <v>0</v>
      </c>
    </row>
    <row r="1433" spans="2:22" x14ac:dyDescent="0.25">
      <c r="B1433" s="2"/>
      <c r="C1433" s="2"/>
      <c r="D1433" s="2"/>
      <c r="E1433" s="4"/>
      <c r="F1433" s="2"/>
      <c r="G1433" s="2"/>
      <c r="H1433" s="2"/>
      <c r="I1433" s="4"/>
      <c r="J1433" s="2"/>
      <c r="K1433" s="2"/>
      <c r="M1433" s="4">
        <f t="shared" si="566"/>
        <v>173.1</v>
      </c>
      <c r="N1433" s="4"/>
      <c r="O1433" s="1">
        <f t="shared" si="567"/>
        <v>173.1</v>
      </c>
      <c r="P1433" s="1">
        <f t="shared" si="568"/>
        <v>0</v>
      </c>
      <c r="Q1433" s="1" t="str">
        <f t="shared" si="565"/>
        <v/>
      </c>
      <c r="R1433" s="1" t="str">
        <f t="shared" si="569"/>
        <v/>
      </c>
      <c r="S1433" s="1">
        <f t="shared" si="570"/>
        <v>630.90240000000244</v>
      </c>
      <c r="T1433" s="1">
        <f t="shared" si="571"/>
        <v>0</v>
      </c>
      <c r="U1433" s="1">
        <f t="shared" si="572"/>
        <v>0</v>
      </c>
      <c r="V1433" s="1">
        <f t="shared" si="573"/>
        <v>0</v>
      </c>
    </row>
    <row r="1434" spans="2:22" x14ac:dyDescent="0.25">
      <c r="B1434" s="2"/>
      <c r="C1434" s="2"/>
      <c r="D1434" s="2"/>
      <c r="E1434" s="4"/>
      <c r="F1434" s="2"/>
      <c r="G1434" s="2"/>
      <c r="H1434" s="2"/>
      <c r="I1434" s="4"/>
      <c r="J1434" s="2"/>
      <c r="K1434" s="2"/>
      <c r="M1434" s="4">
        <f t="shared" si="566"/>
        <v>173.1</v>
      </c>
      <c r="N1434" s="4"/>
      <c r="O1434" s="1">
        <f t="shared" si="567"/>
        <v>173.1</v>
      </c>
      <c r="P1434" s="1">
        <f t="shared" si="568"/>
        <v>0</v>
      </c>
      <c r="Q1434" s="1" t="str">
        <f t="shared" si="565"/>
        <v/>
      </c>
      <c r="R1434" s="1" t="str">
        <f t="shared" si="569"/>
        <v/>
      </c>
      <c r="S1434" s="1">
        <f t="shared" si="570"/>
        <v>630.90240000000244</v>
      </c>
      <c r="T1434" s="1">
        <f t="shared" si="571"/>
        <v>0</v>
      </c>
      <c r="U1434" s="1">
        <f t="shared" si="572"/>
        <v>0</v>
      </c>
      <c r="V1434" s="1">
        <f t="shared" si="573"/>
        <v>0</v>
      </c>
    </row>
    <row r="1435" spans="2:22" x14ac:dyDescent="0.25">
      <c r="B1435" s="2"/>
      <c r="C1435" s="2"/>
      <c r="D1435" s="2"/>
      <c r="E1435" s="4"/>
      <c r="F1435" s="2"/>
      <c r="G1435" s="2"/>
      <c r="H1435" s="2"/>
      <c r="I1435" s="4"/>
      <c r="J1435" s="2"/>
      <c r="K1435" s="2"/>
      <c r="M1435" s="4">
        <f t="shared" si="566"/>
        <v>173.1</v>
      </c>
      <c r="N1435" s="4"/>
      <c r="O1435" s="1">
        <f t="shared" si="567"/>
        <v>173.1</v>
      </c>
      <c r="P1435" s="1">
        <f t="shared" si="568"/>
        <v>0</v>
      </c>
      <c r="Q1435" s="1" t="str">
        <f t="shared" si="565"/>
        <v/>
      </c>
      <c r="R1435" s="1" t="str">
        <f t="shared" si="569"/>
        <v/>
      </c>
      <c r="S1435" s="1">
        <f t="shared" si="570"/>
        <v>630.90240000000244</v>
      </c>
      <c r="T1435" s="1">
        <f t="shared" si="571"/>
        <v>0</v>
      </c>
      <c r="U1435" s="1">
        <f t="shared" si="572"/>
        <v>0</v>
      </c>
      <c r="V1435" s="1">
        <f t="shared" si="573"/>
        <v>0</v>
      </c>
    </row>
    <row r="1436" spans="2:22" x14ac:dyDescent="0.25">
      <c r="B1436" s="2"/>
      <c r="C1436" s="2"/>
      <c r="D1436" s="2"/>
      <c r="E1436" s="4"/>
      <c r="F1436" s="2"/>
      <c r="G1436" s="2"/>
      <c r="H1436" s="2"/>
      <c r="I1436" s="4"/>
      <c r="J1436" s="2"/>
      <c r="K1436" s="2"/>
      <c r="M1436" s="4">
        <f t="shared" si="566"/>
        <v>173.1</v>
      </c>
      <c r="N1436" s="4"/>
      <c r="O1436" s="1">
        <f t="shared" si="567"/>
        <v>173.1</v>
      </c>
      <c r="P1436" s="1">
        <f t="shared" si="568"/>
        <v>0</v>
      </c>
      <c r="Q1436" s="1" t="str">
        <f t="shared" si="565"/>
        <v/>
      </c>
      <c r="R1436" s="1" t="str">
        <f t="shared" si="569"/>
        <v/>
      </c>
      <c r="S1436" s="1">
        <f t="shared" si="570"/>
        <v>630.90240000000244</v>
      </c>
      <c r="T1436" s="1">
        <f t="shared" si="571"/>
        <v>0</v>
      </c>
      <c r="U1436" s="1">
        <f t="shared" si="572"/>
        <v>0</v>
      </c>
      <c r="V1436" s="1">
        <f t="shared" si="573"/>
        <v>0</v>
      </c>
    </row>
    <row r="1437" spans="2:22" x14ac:dyDescent="0.25">
      <c r="B1437" s="2"/>
      <c r="C1437" s="2"/>
      <c r="D1437" s="2"/>
      <c r="E1437" s="4"/>
      <c r="F1437" s="2"/>
      <c r="G1437" s="2"/>
      <c r="H1437" s="2"/>
      <c r="I1437" s="4"/>
      <c r="J1437" s="2"/>
      <c r="K1437" s="2"/>
      <c r="M1437" s="4">
        <f t="shared" si="566"/>
        <v>173.1</v>
      </c>
      <c r="N1437" s="4"/>
      <c r="O1437" s="1">
        <f t="shared" si="567"/>
        <v>173.1</v>
      </c>
      <c r="P1437" s="1">
        <f t="shared" si="568"/>
        <v>0</v>
      </c>
      <c r="Q1437" s="1" t="str">
        <f t="shared" si="565"/>
        <v/>
      </c>
      <c r="R1437" s="1" t="str">
        <f t="shared" si="569"/>
        <v/>
      </c>
      <c r="S1437" s="1">
        <f t="shared" si="570"/>
        <v>630.90240000000244</v>
      </c>
      <c r="T1437" s="1">
        <f t="shared" si="571"/>
        <v>0</v>
      </c>
      <c r="U1437" s="1">
        <f t="shared" si="572"/>
        <v>0</v>
      </c>
      <c r="V1437" s="1">
        <f t="shared" si="573"/>
        <v>0</v>
      </c>
    </row>
    <row r="1438" spans="2:22" x14ac:dyDescent="0.25">
      <c r="B1438" s="2"/>
      <c r="C1438" s="2"/>
      <c r="D1438" s="2"/>
      <c r="E1438" s="4"/>
      <c r="F1438" s="2"/>
      <c r="G1438" s="2"/>
      <c r="H1438" s="2"/>
      <c r="I1438" s="4"/>
      <c r="J1438" s="2"/>
      <c r="K1438" s="2"/>
      <c r="M1438" s="4">
        <f t="shared" si="566"/>
        <v>173.1</v>
      </c>
      <c r="N1438" s="4"/>
      <c r="O1438" s="1">
        <f t="shared" si="567"/>
        <v>173.1</v>
      </c>
      <c r="P1438" s="1">
        <f t="shared" si="568"/>
        <v>0</v>
      </c>
      <c r="Q1438" s="1" t="str">
        <f t="shared" si="565"/>
        <v/>
      </c>
      <c r="R1438" s="1" t="str">
        <f t="shared" si="569"/>
        <v/>
      </c>
      <c r="S1438" s="1">
        <f t="shared" si="570"/>
        <v>630.90240000000244</v>
      </c>
      <c r="T1438" s="1">
        <f t="shared" si="571"/>
        <v>0</v>
      </c>
      <c r="U1438" s="1">
        <f t="shared" si="572"/>
        <v>0</v>
      </c>
      <c r="V1438" s="1">
        <f t="shared" si="573"/>
        <v>0</v>
      </c>
    </row>
    <row r="1439" spans="2:22" x14ac:dyDescent="0.25">
      <c r="B1439" s="2"/>
      <c r="C1439" s="2"/>
      <c r="D1439" s="2"/>
      <c r="E1439" s="4"/>
      <c r="F1439" s="2"/>
      <c r="G1439" s="2"/>
      <c r="H1439" s="2"/>
      <c r="I1439" s="4"/>
      <c r="J1439" s="2"/>
      <c r="K1439" s="2"/>
      <c r="M1439" s="4">
        <f t="shared" si="566"/>
        <v>173.1</v>
      </c>
      <c r="N1439" s="4"/>
      <c r="O1439" s="1">
        <f t="shared" si="567"/>
        <v>173.1</v>
      </c>
      <c r="P1439" s="1">
        <f t="shared" si="568"/>
        <v>0</v>
      </c>
      <c r="Q1439" s="1" t="str">
        <f t="shared" si="565"/>
        <v/>
      </c>
      <c r="R1439" s="1" t="str">
        <f t="shared" si="569"/>
        <v/>
      </c>
      <c r="S1439" s="1">
        <f t="shared" si="570"/>
        <v>630.90240000000244</v>
      </c>
      <c r="T1439" s="1">
        <f t="shared" si="571"/>
        <v>0</v>
      </c>
      <c r="U1439" s="1">
        <f t="shared" si="572"/>
        <v>0</v>
      </c>
      <c r="V1439" s="1">
        <f t="shared" si="573"/>
        <v>0</v>
      </c>
    </row>
    <row r="1440" spans="2:22" x14ac:dyDescent="0.25">
      <c r="B1440" s="2"/>
      <c r="C1440" s="2"/>
      <c r="D1440" s="2"/>
      <c r="E1440" s="4"/>
      <c r="F1440" s="2"/>
      <c r="G1440" s="2"/>
      <c r="H1440" s="2"/>
      <c r="I1440" s="4"/>
      <c r="J1440" s="2"/>
      <c r="K1440" s="2"/>
      <c r="M1440" s="4">
        <f t="shared" si="566"/>
        <v>173.1</v>
      </c>
      <c r="N1440" s="4"/>
      <c r="O1440" s="1">
        <f t="shared" si="567"/>
        <v>173.1</v>
      </c>
      <c r="P1440" s="1">
        <f t="shared" si="568"/>
        <v>0</v>
      </c>
      <c r="Q1440" s="1" t="str">
        <f t="shared" si="565"/>
        <v/>
      </c>
      <c r="R1440" s="1" t="str">
        <f t="shared" si="569"/>
        <v/>
      </c>
      <c r="S1440" s="1">
        <f t="shared" si="570"/>
        <v>630.90240000000244</v>
      </c>
      <c r="T1440" s="1">
        <f t="shared" si="571"/>
        <v>0</v>
      </c>
      <c r="U1440" s="1">
        <f t="shared" si="572"/>
        <v>0</v>
      </c>
      <c r="V1440" s="1">
        <f t="shared" si="573"/>
        <v>0</v>
      </c>
    </row>
    <row r="1441" spans="2:22" x14ac:dyDescent="0.25">
      <c r="B1441" s="2"/>
      <c r="C1441" s="2"/>
      <c r="D1441" s="2"/>
      <c r="E1441" s="4"/>
      <c r="F1441" s="2"/>
      <c r="G1441" s="2"/>
      <c r="H1441" s="2"/>
      <c r="I1441" s="4"/>
      <c r="J1441" s="2"/>
      <c r="K1441" s="2"/>
      <c r="M1441" s="4">
        <f t="shared" si="566"/>
        <v>173.1</v>
      </c>
      <c r="N1441" s="4"/>
      <c r="O1441" s="1">
        <f t="shared" si="567"/>
        <v>173.1</v>
      </c>
      <c r="P1441" s="1">
        <f t="shared" si="568"/>
        <v>0</v>
      </c>
      <c r="Q1441" s="1" t="str">
        <f t="shared" si="565"/>
        <v/>
      </c>
      <c r="R1441" s="1" t="str">
        <f t="shared" si="569"/>
        <v/>
      </c>
      <c r="S1441" s="1">
        <f t="shared" si="570"/>
        <v>630.90240000000244</v>
      </c>
      <c r="T1441" s="1">
        <f t="shared" si="571"/>
        <v>0</v>
      </c>
      <c r="U1441" s="1">
        <f t="shared" si="572"/>
        <v>0</v>
      </c>
      <c r="V1441" s="1">
        <f t="shared" si="573"/>
        <v>0</v>
      </c>
    </row>
    <row r="1442" spans="2:22" x14ac:dyDescent="0.25">
      <c r="B1442" s="2"/>
      <c r="C1442" s="2"/>
      <c r="D1442" s="2"/>
      <c r="E1442" s="4"/>
      <c r="F1442" s="2"/>
      <c r="G1442" s="2"/>
      <c r="H1442" s="2"/>
      <c r="I1442" s="4"/>
      <c r="J1442" s="2"/>
      <c r="K1442" s="2"/>
      <c r="M1442" s="4">
        <f t="shared" si="566"/>
        <v>173.1</v>
      </c>
      <c r="N1442" s="4"/>
      <c r="O1442" s="1">
        <f t="shared" si="567"/>
        <v>173.1</v>
      </c>
      <c r="P1442" s="1">
        <f t="shared" si="568"/>
        <v>0</v>
      </c>
      <c r="Q1442" s="1" t="str">
        <f t="shared" si="565"/>
        <v/>
      </c>
      <c r="R1442" s="1" t="str">
        <f t="shared" si="569"/>
        <v/>
      </c>
      <c r="S1442" s="1">
        <f t="shared" si="570"/>
        <v>630.90240000000244</v>
      </c>
      <c r="T1442" s="1">
        <f t="shared" si="571"/>
        <v>0</v>
      </c>
      <c r="U1442" s="1">
        <f t="shared" si="572"/>
        <v>0</v>
      </c>
      <c r="V1442" s="1">
        <f t="shared" si="573"/>
        <v>0</v>
      </c>
    </row>
    <row r="1443" spans="2:22" x14ac:dyDescent="0.25">
      <c r="B1443" s="2"/>
      <c r="C1443" s="2"/>
      <c r="D1443" s="2"/>
      <c r="E1443" s="4"/>
      <c r="F1443" s="2"/>
      <c r="G1443" s="2"/>
      <c r="H1443" s="2"/>
      <c r="I1443" s="4"/>
      <c r="J1443" s="2"/>
      <c r="K1443" s="2"/>
      <c r="M1443" s="4">
        <f t="shared" si="566"/>
        <v>173.1</v>
      </c>
      <c r="N1443" s="4"/>
      <c r="O1443" s="1">
        <f t="shared" si="567"/>
        <v>173.1</v>
      </c>
      <c r="P1443" s="1">
        <f t="shared" si="568"/>
        <v>0</v>
      </c>
      <c r="Q1443" s="1" t="str">
        <f t="shared" si="565"/>
        <v/>
      </c>
      <c r="R1443" s="1" t="str">
        <f t="shared" si="569"/>
        <v/>
      </c>
      <c r="S1443" s="1">
        <f t="shared" si="570"/>
        <v>630.90240000000244</v>
      </c>
      <c r="T1443" s="1">
        <f t="shared" si="571"/>
        <v>0</v>
      </c>
      <c r="U1443" s="1">
        <f t="shared" si="572"/>
        <v>0</v>
      </c>
      <c r="V1443" s="1">
        <f t="shared" si="573"/>
        <v>0</v>
      </c>
    </row>
    <row r="1444" spans="2:22" x14ac:dyDescent="0.25">
      <c r="B1444" s="2"/>
      <c r="C1444" s="2"/>
      <c r="D1444" s="2"/>
      <c r="E1444" s="4"/>
      <c r="F1444" s="2"/>
      <c r="G1444" s="2"/>
      <c r="H1444" s="2"/>
      <c r="I1444" s="4"/>
      <c r="J1444" s="2"/>
      <c r="K1444" s="2"/>
      <c r="M1444" s="4">
        <f t="shared" si="566"/>
        <v>173.1</v>
      </c>
      <c r="N1444" s="4"/>
      <c r="O1444" s="1">
        <f t="shared" si="567"/>
        <v>173.1</v>
      </c>
      <c r="P1444" s="1">
        <f t="shared" si="568"/>
        <v>0</v>
      </c>
      <c r="Q1444" s="1" t="str">
        <f t="shared" si="565"/>
        <v/>
      </c>
      <c r="R1444" s="1" t="str">
        <f t="shared" si="569"/>
        <v/>
      </c>
      <c r="S1444" s="1">
        <f t="shared" si="570"/>
        <v>630.90240000000244</v>
      </c>
      <c r="T1444" s="1">
        <f t="shared" si="571"/>
        <v>0</v>
      </c>
      <c r="U1444" s="1">
        <f t="shared" si="572"/>
        <v>0</v>
      </c>
      <c r="V1444" s="1">
        <f t="shared" si="573"/>
        <v>0</v>
      </c>
    </row>
    <row r="1445" spans="2:22" x14ac:dyDescent="0.25">
      <c r="B1445" s="2"/>
      <c r="C1445" s="2"/>
      <c r="D1445" s="2"/>
      <c r="E1445" s="4"/>
      <c r="F1445" s="2"/>
      <c r="G1445" s="2"/>
      <c r="H1445" s="2"/>
      <c r="I1445" s="4"/>
      <c r="J1445" s="2"/>
      <c r="K1445" s="2"/>
      <c r="M1445" s="4">
        <f t="shared" si="566"/>
        <v>173.1</v>
      </c>
      <c r="N1445" s="4"/>
      <c r="O1445" s="1">
        <f t="shared" si="567"/>
        <v>173.1</v>
      </c>
      <c r="P1445" s="1">
        <f t="shared" si="568"/>
        <v>0</v>
      </c>
      <c r="Q1445" s="1" t="str">
        <f t="shared" si="565"/>
        <v/>
      </c>
      <c r="R1445" s="1" t="str">
        <f t="shared" si="569"/>
        <v/>
      </c>
      <c r="S1445" s="1">
        <f t="shared" si="570"/>
        <v>630.90240000000244</v>
      </c>
      <c r="T1445" s="1">
        <f t="shared" si="571"/>
        <v>0</v>
      </c>
      <c r="U1445" s="1">
        <f t="shared" si="572"/>
        <v>0</v>
      </c>
      <c r="V1445" s="1">
        <f t="shared" si="573"/>
        <v>0</v>
      </c>
    </row>
    <row r="1446" spans="2:22" x14ac:dyDescent="0.25">
      <c r="B1446" s="2"/>
      <c r="C1446" s="2"/>
      <c r="D1446" s="2"/>
      <c r="E1446" s="4"/>
      <c r="F1446" s="2"/>
      <c r="G1446" s="2"/>
      <c r="H1446" s="2"/>
      <c r="I1446" s="4"/>
      <c r="J1446" s="2"/>
      <c r="K1446" s="2"/>
      <c r="M1446" s="4">
        <f t="shared" si="566"/>
        <v>173.1</v>
      </c>
      <c r="N1446" s="4"/>
      <c r="O1446" s="1">
        <f t="shared" si="567"/>
        <v>173.1</v>
      </c>
      <c r="P1446" s="1">
        <f t="shared" si="568"/>
        <v>0</v>
      </c>
      <c r="Q1446" s="1" t="str">
        <f t="shared" si="565"/>
        <v/>
      </c>
      <c r="R1446" s="1" t="str">
        <f t="shared" si="569"/>
        <v/>
      </c>
      <c r="S1446" s="1">
        <f t="shared" si="570"/>
        <v>630.90240000000244</v>
      </c>
      <c r="T1446" s="1">
        <f t="shared" si="571"/>
        <v>0</v>
      </c>
      <c r="U1446" s="1">
        <f t="shared" si="572"/>
        <v>0</v>
      </c>
      <c r="V1446" s="1">
        <f t="shared" si="573"/>
        <v>0</v>
      </c>
    </row>
    <row r="1447" spans="2:22" x14ac:dyDescent="0.25">
      <c r="B1447" s="2"/>
      <c r="C1447" s="2"/>
      <c r="D1447" s="2"/>
      <c r="E1447" s="4"/>
      <c r="F1447" s="2"/>
      <c r="G1447" s="2"/>
      <c r="H1447" s="2"/>
      <c r="I1447" s="4"/>
      <c r="J1447" s="2"/>
      <c r="K1447" s="2"/>
      <c r="M1447" s="4">
        <f t="shared" si="566"/>
        <v>173.1</v>
      </c>
      <c r="N1447" s="4"/>
      <c r="O1447" s="1">
        <f t="shared" si="567"/>
        <v>173.1</v>
      </c>
      <c r="P1447" s="1">
        <f t="shared" si="568"/>
        <v>0</v>
      </c>
      <c r="Q1447" s="1" t="str">
        <f t="shared" si="565"/>
        <v/>
      </c>
      <c r="R1447" s="1" t="str">
        <f t="shared" si="569"/>
        <v/>
      </c>
      <c r="S1447" s="1">
        <f t="shared" si="570"/>
        <v>630.90240000000244</v>
      </c>
      <c r="T1447" s="1">
        <f t="shared" si="571"/>
        <v>0</v>
      </c>
      <c r="U1447" s="1">
        <f t="shared" si="572"/>
        <v>0</v>
      </c>
      <c r="V1447" s="1">
        <f t="shared" si="573"/>
        <v>0</v>
      </c>
    </row>
    <row r="1448" spans="2:22" x14ac:dyDescent="0.25">
      <c r="B1448" s="2"/>
      <c r="C1448" s="2"/>
      <c r="D1448" s="2"/>
      <c r="E1448" s="4"/>
      <c r="F1448" s="2"/>
      <c r="G1448" s="2"/>
      <c r="H1448" s="2"/>
      <c r="I1448" s="4"/>
      <c r="J1448" s="2"/>
      <c r="K1448" s="2"/>
      <c r="M1448" s="4">
        <f t="shared" si="566"/>
        <v>173.1</v>
      </c>
      <c r="N1448" s="4"/>
      <c r="O1448" s="1">
        <f t="shared" si="567"/>
        <v>173.1</v>
      </c>
      <c r="P1448" s="1">
        <f t="shared" si="568"/>
        <v>0</v>
      </c>
      <c r="Q1448" s="1" t="str">
        <f t="shared" si="565"/>
        <v/>
      </c>
      <c r="R1448" s="1" t="str">
        <f t="shared" si="569"/>
        <v/>
      </c>
      <c r="S1448" s="1">
        <f t="shared" si="570"/>
        <v>630.90240000000244</v>
      </c>
      <c r="T1448" s="1">
        <f t="shared" si="571"/>
        <v>0</v>
      </c>
      <c r="U1448" s="1">
        <f t="shared" si="572"/>
        <v>0</v>
      </c>
      <c r="V1448" s="1">
        <f t="shared" si="573"/>
        <v>0</v>
      </c>
    </row>
    <row r="1449" spans="2:22" x14ac:dyDescent="0.25">
      <c r="B1449" s="2"/>
      <c r="C1449" s="2"/>
      <c r="D1449" s="2"/>
      <c r="E1449" s="4"/>
      <c r="F1449" s="2"/>
      <c r="G1449" s="2"/>
      <c r="H1449" s="2"/>
      <c r="I1449" s="4"/>
      <c r="J1449" s="2"/>
      <c r="K1449" s="2"/>
      <c r="M1449" s="4">
        <f t="shared" si="566"/>
        <v>173.1</v>
      </c>
      <c r="N1449" s="4"/>
      <c r="O1449" s="1">
        <f t="shared" si="567"/>
        <v>173.1</v>
      </c>
      <c r="P1449" s="1">
        <f t="shared" si="568"/>
        <v>0</v>
      </c>
      <c r="Q1449" s="1" t="str">
        <f t="shared" si="565"/>
        <v/>
      </c>
      <c r="R1449" s="1" t="str">
        <f t="shared" si="569"/>
        <v/>
      </c>
      <c r="S1449" s="1">
        <f t="shared" si="570"/>
        <v>630.90240000000244</v>
      </c>
      <c r="T1449" s="1">
        <f t="shared" si="571"/>
        <v>0</v>
      </c>
      <c r="U1449" s="1">
        <f t="shared" si="572"/>
        <v>0</v>
      </c>
      <c r="V1449" s="1">
        <f t="shared" si="573"/>
        <v>0</v>
      </c>
    </row>
    <row r="1450" spans="2:22" x14ac:dyDescent="0.25">
      <c r="B1450" s="2"/>
      <c r="C1450" s="2"/>
      <c r="D1450" s="2"/>
      <c r="E1450" s="4"/>
      <c r="F1450" s="2"/>
      <c r="G1450" s="2"/>
      <c r="H1450" s="2"/>
      <c r="I1450" s="4"/>
      <c r="J1450" s="2"/>
      <c r="K1450" s="2"/>
      <c r="M1450" s="4">
        <f t="shared" si="566"/>
        <v>173.1</v>
      </c>
      <c r="N1450" s="4"/>
      <c r="O1450" s="1">
        <f t="shared" si="567"/>
        <v>173.1</v>
      </c>
      <c r="P1450" s="1">
        <f t="shared" si="568"/>
        <v>0</v>
      </c>
      <c r="Q1450" s="1" t="str">
        <f t="shared" si="565"/>
        <v/>
      </c>
      <c r="R1450" s="1" t="str">
        <f t="shared" si="569"/>
        <v/>
      </c>
      <c r="S1450" s="1">
        <f t="shared" si="570"/>
        <v>630.90240000000244</v>
      </c>
      <c r="T1450" s="1">
        <f t="shared" si="571"/>
        <v>0</v>
      </c>
      <c r="U1450" s="1">
        <f t="shared" si="572"/>
        <v>0</v>
      </c>
      <c r="V1450" s="1">
        <f t="shared" si="573"/>
        <v>0</v>
      </c>
    </row>
    <row r="1451" spans="2:22" x14ac:dyDescent="0.25">
      <c r="B1451" s="2"/>
      <c r="C1451" s="2"/>
      <c r="D1451" s="2"/>
      <c r="E1451" s="4"/>
      <c r="F1451" s="2"/>
      <c r="G1451" s="2"/>
      <c r="H1451" s="2"/>
      <c r="I1451" s="4"/>
      <c r="J1451" s="2"/>
      <c r="K1451" s="2"/>
      <c r="M1451" s="4">
        <f t="shared" si="566"/>
        <v>173.1</v>
      </c>
      <c r="N1451" s="4"/>
      <c r="O1451" s="1">
        <f t="shared" si="567"/>
        <v>173.1</v>
      </c>
      <c r="P1451" s="1">
        <f t="shared" si="568"/>
        <v>0</v>
      </c>
      <c r="Q1451" s="1" t="str">
        <f t="shared" si="565"/>
        <v/>
      </c>
      <c r="R1451" s="1" t="str">
        <f t="shared" si="569"/>
        <v/>
      </c>
      <c r="S1451" s="1">
        <f t="shared" si="570"/>
        <v>630.90240000000244</v>
      </c>
      <c r="T1451" s="1">
        <f t="shared" si="571"/>
        <v>0</v>
      </c>
      <c r="U1451" s="1">
        <f t="shared" si="572"/>
        <v>0</v>
      </c>
      <c r="V1451" s="1">
        <f t="shared" si="573"/>
        <v>0</v>
      </c>
    </row>
    <row r="1452" spans="2:22" x14ac:dyDescent="0.25">
      <c r="B1452" s="2"/>
      <c r="C1452" s="2"/>
      <c r="D1452" s="2"/>
      <c r="E1452" s="4"/>
      <c r="F1452" s="2"/>
      <c r="G1452" s="2"/>
      <c r="H1452" s="2"/>
      <c r="I1452" s="4"/>
      <c r="J1452" s="2"/>
      <c r="K1452" s="2"/>
      <c r="M1452" s="4">
        <f t="shared" si="566"/>
        <v>173.1</v>
      </c>
      <c r="N1452" s="4"/>
      <c r="O1452" s="1">
        <f t="shared" si="567"/>
        <v>173.1</v>
      </c>
      <c r="P1452" s="1">
        <f t="shared" si="568"/>
        <v>0</v>
      </c>
      <c r="Q1452" s="1" t="str">
        <f t="shared" si="565"/>
        <v/>
      </c>
      <c r="R1452" s="1" t="str">
        <f t="shared" si="569"/>
        <v/>
      </c>
      <c r="S1452" s="1">
        <f t="shared" si="570"/>
        <v>630.90240000000244</v>
      </c>
      <c r="T1452" s="1">
        <f t="shared" si="571"/>
        <v>0</v>
      </c>
      <c r="U1452" s="1">
        <f t="shared" si="572"/>
        <v>0</v>
      </c>
      <c r="V1452" s="1">
        <f t="shared" si="573"/>
        <v>0</v>
      </c>
    </row>
    <row r="1453" spans="2:22" x14ac:dyDescent="0.25">
      <c r="B1453" s="2"/>
      <c r="C1453" s="2"/>
      <c r="D1453" s="2"/>
      <c r="E1453" s="4"/>
      <c r="F1453" s="2"/>
      <c r="G1453" s="2"/>
      <c r="H1453" s="2"/>
      <c r="I1453" s="4"/>
      <c r="J1453" s="2"/>
      <c r="K1453" s="2"/>
      <c r="M1453" s="4">
        <f t="shared" si="566"/>
        <v>173.1</v>
      </c>
      <c r="N1453" s="4"/>
      <c r="O1453" s="1">
        <f t="shared" si="567"/>
        <v>173.1</v>
      </c>
      <c r="P1453" s="1">
        <f t="shared" si="568"/>
        <v>0</v>
      </c>
      <c r="Q1453" s="1" t="str">
        <f t="shared" si="565"/>
        <v/>
      </c>
      <c r="R1453" s="1" t="str">
        <f t="shared" si="569"/>
        <v/>
      </c>
      <c r="S1453" s="1">
        <f t="shared" si="570"/>
        <v>630.90240000000244</v>
      </c>
      <c r="T1453" s="1">
        <f t="shared" si="571"/>
        <v>0</v>
      </c>
      <c r="U1453" s="1">
        <f t="shared" si="572"/>
        <v>0</v>
      </c>
      <c r="V1453" s="1">
        <f t="shared" si="573"/>
        <v>0</v>
      </c>
    </row>
    <row r="1454" spans="2:22" x14ac:dyDescent="0.25">
      <c r="B1454" s="2"/>
      <c r="C1454" s="2"/>
      <c r="D1454" s="2"/>
      <c r="E1454" s="4"/>
      <c r="F1454" s="2"/>
      <c r="G1454" s="2"/>
      <c r="H1454" s="2"/>
      <c r="I1454" s="4"/>
      <c r="J1454" s="2"/>
      <c r="K1454" s="2"/>
      <c r="M1454" s="4">
        <f t="shared" si="566"/>
        <v>173.1</v>
      </c>
      <c r="N1454" s="4"/>
      <c r="O1454" s="1">
        <f t="shared" si="567"/>
        <v>173.1</v>
      </c>
      <c r="P1454" s="1">
        <f t="shared" si="568"/>
        <v>0</v>
      </c>
      <c r="Q1454" s="1" t="str">
        <f t="shared" si="565"/>
        <v/>
      </c>
      <c r="R1454" s="1" t="str">
        <f t="shared" si="569"/>
        <v/>
      </c>
      <c r="S1454" s="1">
        <f t="shared" si="570"/>
        <v>630.90240000000244</v>
      </c>
      <c r="T1454" s="1">
        <f t="shared" si="571"/>
        <v>0</v>
      </c>
      <c r="U1454" s="1">
        <f t="shared" si="572"/>
        <v>0</v>
      </c>
      <c r="V1454" s="1">
        <f t="shared" si="573"/>
        <v>0</v>
      </c>
    </row>
    <row r="1455" spans="2:22" x14ac:dyDescent="0.25">
      <c r="B1455" s="2"/>
      <c r="C1455" s="2"/>
      <c r="D1455" s="2"/>
      <c r="E1455" s="4"/>
      <c r="F1455" s="2"/>
      <c r="G1455" s="2"/>
      <c r="H1455" s="2"/>
      <c r="I1455" s="4"/>
      <c r="J1455" s="2"/>
      <c r="K1455" s="2"/>
      <c r="M1455" s="4">
        <f t="shared" si="566"/>
        <v>173.1</v>
      </c>
      <c r="N1455" s="4"/>
      <c r="O1455" s="1">
        <f t="shared" si="567"/>
        <v>173.1</v>
      </c>
      <c r="P1455" s="1">
        <f t="shared" si="568"/>
        <v>0</v>
      </c>
      <c r="Q1455" s="1" t="str">
        <f t="shared" si="565"/>
        <v/>
      </c>
      <c r="R1455" s="1" t="str">
        <f t="shared" si="569"/>
        <v/>
      </c>
      <c r="S1455" s="1">
        <f t="shared" si="570"/>
        <v>630.90240000000244</v>
      </c>
      <c r="T1455" s="1">
        <f t="shared" si="571"/>
        <v>0</v>
      </c>
      <c r="U1455" s="1">
        <f t="shared" si="572"/>
        <v>0</v>
      </c>
      <c r="V1455" s="1">
        <f t="shared" si="573"/>
        <v>0</v>
      </c>
    </row>
    <row r="1456" spans="2:22" x14ac:dyDescent="0.25">
      <c r="B1456" s="2"/>
      <c r="C1456" s="2"/>
      <c r="D1456" s="2"/>
      <c r="E1456" s="4"/>
      <c r="F1456" s="2"/>
      <c r="G1456" s="2"/>
      <c r="H1456" s="2"/>
      <c r="I1456" s="4"/>
      <c r="J1456" s="2"/>
      <c r="K1456" s="2"/>
      <c r="M1456" s="4">
        <f t="shared" si="566"/>
        <v>173.1</v>
      </c>
      <c r="N1456" s="4"/>
      <c r="O1456" s="1">
        <f t="shared" si="567"/>
        <v>173.1</v>
      </c>
      <c r="P1456" s="1">
        <f t="shared" si="568"/>
        <v>0</v>
      </c>
      <c r="Q1456" s="1" t="str">
        <f t="shared" si="565"/>
        <v/>
      </c>
      <c r="R1456" s="1" t="str">
        <f t="shared" si="569"/>
        <v/>
      </c>
      <c r="S1456" s="1">
        <f t="shared" si="570"/>
        <v>630.90240000000244</v>
      </c>
      <c r="T1456" s="1">
        <f t="shared" si="571"/>
        <v>0</v>
      </c>
      <c r="U1456" s="1">
        <f t="shared" si="572"/>
        <v>0</v>
      </c>
      <c r="V1456" s="1">
        <f t="shared" si="573"/>
        <v>0</v>
      </c>
    </row>
    <row r="1457" spans="2:22" x14ac:dyDescent="0.25">
      <c r="B1457" s="2"/>
      <c r="C1457" s="2"/>
      <c r="D1457" s="2"/>
      <c r="E1457" s="4"/>
      <c r="F1457" s="2"/>
      <c r="G1457" s="2"/>
      <c r="H1457" s="2"/>
      <c r="I1457" s="4"/>
      <c r="J1457" s="2"/>
      <c r="K1457" s="2"/>
      <c r="M1457" s="4">
        <f t="shared" si="566"/>
        <v>173.1</v>
      </c>
      <c r="N1457" s="4"/>
      <c r="O1457" s="1">
        <f t="shared" si="567"/>
        <v>173.1</v>
      </c>
      <c r="P1457" s="1">
        <f t="shared" si="568"/>
        <v>0</v>
      </c>
      <c r="Q1457" s="1" t="str">
        <f t="shared" si="565"/>
        <v/>
      </c>
      <c r="R1457" s="1" t="str">
        <f t="shared" si="569"/>
        <v/>
      </c>
      <c r="S1457" s="1">
        <f t="shared" si="570"/>
        <v>630.90240000000244</v>
      </c>
      <c r="T1457" s="1">
        <f t="shared" si="571"/>
        <v>0</v>
      </c>
      <c r="U1457" s="1">
        <f t="shared" si="572"/>
        <v>0</v>
      </c>
      <c r="V1457" s="1">
        <f t="shared" si="573"/>
        <v>0</v>
      </c>
    </row>
    <row r="1458" spans="2:22" x14ac:dyDescent="0.25">
      <c r="B1458" s="2"/>
      <c r="C1458" s="2"/>
      <c r="D1458" s="2"/>
      <c r="E1458" s="4"/>
      <c r="F1458" s="2"/>
      <c r="G1458" s="2"/>
      <c r="H1458" s="2"/>
      <c r="I1458" s="4"/>
      <c r="J1458" s="2"/>
      <c r="K1458" s="2"/>
      <c r="M1458" s="4">
        <f t="shared" si="566"/>
        <v>173.1</v>
      </c>
      <c r="N1458" s="4"/>
      <c r="O1458" s="1">
        <f t="shared" si="567"/>
        <v>173.1</v>
      </c>
      <c r="P1458" s="1">
        <f t="shared" si="568"/>
        <v>0</v>
      </c>
      <c r="Q1458" s="1" t="str">
        <f t="shared" ref="Q1458:Q1521" si="574">IF(H1458&lt;&gt;"",IF(H1458=H1457,"",H1458),IF(H1456="","",MAX(H1457,Q1457)))</f>
        <v/>
      </c>
      <c r="R1458" s="1" t="str">
        <f t="shared" si="569"/>
        <v/>
      </c>
      <c r="S1458" s="1">
        <f t="shared" si="570"/>
        <v>630.90240000000244</v>
      </c>
      <c r="T1458" s="1">
        <f t="shared" si="571"/>
        <v>0</v>
      </c>
      <c r="U1458" s="1">
        <f t="shared" si="572"/>
        <v>0</v>
      </c>
      <c r="V1458" s="1">
        <f t="shared" si="573"/>
        <v>0</v>
      </c>
    </row>
    <row r="1459" spans="2:22" x14ac:dyDescent="0.25">
      <c r="B1459" s="2"/>
      <c r="C1459" s="2"/>
      <c r="D1459" s="2"/>
      <c r="E1459" s="4"/>
      <c r="F1459" s="2"/>
      <c r="G1459" s="2"/>
      <c r="H1459" s="2"/>
      <c r="I1459" s="4"/>
      <c r="J1459" s="2"/>
      <c r="K1459" s="2"/>
      <c r="M1459" s="4">
        <f t="shared" si="566"/>
        <v>173.1</v>
      </c>
      <c r="N1459" s="4"/>
      <c r="O1459" s="1">
        <f t="shared" si="567"/>
        <v>173.1</v>
      </c>
      <c r="P1459" s="1">
        <f t="shared" si="568"/>
        <v>0</v>
      </c>
      <c r="Q1459" s="1" t="str">
        <f t="shared" si="574"/>
        <v/>
      </c>
      <c r="R1459" s="1" t="str">
        <f t="shared" si="569"/>
        <v/>
      </c>
      <c r="S1459" s="1">
        <f t="shared" si="570"/>
        <v>630.90240000000244</v>
      </c>
      <c r="T1459" s="1">
        <f t="shared" si="571"/>
        <v>0</v>
      </c>
      <c r="U1459" s="1">
        <f t="shared" si="572"/>
        <v>0</v>
      </c>
      <c r="V1459" s="1">
        <f t="shared" si="573"/>
        <v>0</v>
      </c>
    </row>
    <row r="1460" spans="2:22" x14ac:dyDescent="0.25">
      <c r="B1460" s="2"/>
      <c r="C1460" s="2"/>
      <c r="D1460" s="2"/>
      <c r="E1460" s="4"/>
      <c r="F1460" s="2"/>
      <c r="G1460" s="2"/>
      <c r="H1460" s="2"/>
      <c r="I1460" s="4"/>
      <c r="J1460" s="2"/>
      <c r="K1460" s="2"/>
      <c r="M1460" s="4">
        <f t="shared" si="566"/>
        <v>173.1</v>
      </c>
      <c r="N1460" s="4"/>
      <c r="O1460" s="1">
        <f t="shared" si="567"/>
        <v>173.1</v>
      </c>
      <c r="P1460" s="1">
        <f t="shared" si="568"/>
        <v>0</v>
      </c>
      <c r="Q1460" s="1" t="str">
        <f t="shared" si="574"/>
        <v/>
      </c>
      <c r="R1460" s="1" t="str">
        <f t="shared" si="569"/>
        <v/>
      </c>
      <c r="S1460" s="1">
        <f t="shared" si="570"/>
        <v>630.90240000000244</v>
      </c>
      <c r="T1460" s="1">
        <f t="shared" si="571"/>
        <v>0</v>
      </c>
      <c r="U1460" s="1">
        <f t="shared" si="572"/>
        <v>0</v>
      </c>
      <c r="V1460" s="1">
        <f t="shared" si="573"/>
        <v>0</v>
      </c>
    </row>
    <row r="1461" spans="2:22" x14ac:dyDescent="0.25">
      <c r="E1461" s="4"/>
      <c r="M1461" s="4">
        <f t="shared" si="566"/>
        <v>173.1</v>
      </c>
      <c r="N1461" s="4"/>
      <c r="O1461" s="1">
        <f t="shared" si="567"/>
        <v>173.1</v>
      </c>
      <c r="P1461" s="1">
        <f t="shared" si="568"/>
        <v>0</v>
      </c>
      <c r="Q1461" s="1" t="str">
        <f t="shared" si="574"/>
        <v/>
      </c>
      <c r="R1461" s="1" t="str">
        <f t="shared" si="569"/>
        <v/>
      </c>
      <c r="S1461" s="1">
        <f t="shared" si="570"/>
        <v>630.90240000000244</v>
      </c>
      <c r="T1461" s="1">
        <f t="shared" si="571"/>
        <v>0</v>
      </c>
      <c r="U1461" s="1">
        <f t="shared" si="572"/>
        <v>0</v>
      </c>
      <c r="V1461" s="1">
        <f t="shared" si="573"/>
        <v>0</v>
      </c>
    </row>
    <row r="1462" spans="2:22" x14ac:dyDescent="0.25">
      <c r="E1462" s="4"/>
      <c r="M1462" s="4">
        <f t="shared" si="566"/>
        <v>173.1</v>
      </c>
      <c r="N1462" s="4"/>
      <c r="O1462" s="1">
        <f t="shared" si="567"/>
        <v>173.1</v>
      </c>
      <c r="P1462" s="1">
        <f t="shared" si="568"/>
        <v>0</v>
      </c>
      <c r="Q1462" s="1" t="str">
        <f t="shared" si="574"/>
        <v/>
      </c>
      <c r="R1462" s="1" t="str">
        <f t="shared" si="569"/>
        <v/>
      </c>
      <c r="S1462" s="1">
        <f t="shared" si="570"/>
        <v>630.90240000000244</v>
      </c>
      <c r="T1462" s="1">
        <f t="shared" si="571"/>
        <v>0</v>
      </c>
      <c r="U1462" s="1">
        <f t="shared" si="572"/>
        <v>0</v>
      </c>
      <c r="V1462" s="1">
        <f t="shared" si="573"/>
        <v>0</v>
      </c>
    </row>
    <row r="1463" spans="2:22" x14ac:dyDescent="0.25">
      <c r="E1463" s="4"/>
      <c r="M1463" s="4">
        <f t="shared" si="566"/>
        <v>173.1</v>
      </c>
      <c r="N1463" s="4"/>
      <c r="O1463" s="1">
        <f t="shared" si="567"/>
        <v>173.1</v>
      </c>
      <c r="P1463" s="1">
        <f t="shared" si="568"/>
        <v>0</v>
      </c>
      <c r="Q1463" s="1" t="str">
        <f t="shared" si="574"/>
        <v/>
      </c>
      <c r="R1463" s="1" t="str">
        <f t="shared" si="569"/>
        <v/>
      </c>
      <c r="S1463" s="1">
        <f t="shared" si="570"/>
        <v>630.90240000000244</v>
      </c>
      <c r="T1463" s="1">
        <f t="shared" si="571"/>
        <v>0</v>
      </c>
      <c r="U1463" s="1">
        <f t="shared" si="572"/>
        <v>0</v>
      </c>
      <c r="V1463" s="1">
        <f t="shared" si="573"/>
        <v>0</v>
      </c>
    </row>
    <row r="1464" spans="2:22" x14ac:dyDescent="0.25">
      <c r="E1464" s="4"/>
      <c r="M1464" s="4">
        <f t="shared" si="566"/>
        <v>173.1</v>
      </c>
      <c r="N1464" s="4"/>
      <c r="O1464" s="1">
        <f t="shared" si="567"/>
        <v>173.1</v>
      </c>
      <c r="P1464" s="1">
        <f t="shared" si="568"/>
        <v>0</v>
      </c>
      <c r="Q1464" s="1" t="str">
        <f t="shared" si="574"/>
        <v/>
      </c>
      <c r="R1464" s="1" t="str">
        <f t="shared" si="569"/>
        <v/>
      </c>
      <c r="S1464" s="1">
        <f t="shared" si="570"/>
        <v>630.90240000000244</v>
      </c>
      <c r="T1464" s="1">
        <f t="shared" si="571"/>
        <v>0</v>
      </c>
      <c r="U1464" s="1">
        <f t="shared" si="572"/>
        <v>0</v>
      </c>
      <c r="V1464" s="1">
        <f t="shared" si="573"/>
        <v>0</v>
      </c>
    </row>
    <row r="1465" spans="2:22" x14ac:dyDescent="0.25">
      <c r="E1465" s="4"/>
      <c r="M1465" s="4">
        <f t="shared" si="566"/>
        <v>173.1</v>
      </c>
      <c r="N1465" s="4"/>
      <c r="O1465" s="1">
        <f t="shared" si="567"/>
        <v>173.1</v>
      </c>
      <c r="P1465" s="1">
        <f t="shared" si="568"/>
        <v>0</v>
      </c>
      <c r="Q1465" s="1" t="str">
        <f t="shared" si="574"/>
        <v/>
      </c>
      <c r="R1465" s="1" t="str">
        <f t="shared" si="569"/>
        <v/>
      </c>
      <c r="S1465" s="1">
        <f t="shared" si="570"/>
        <v>630.90240000000244</v>
      </c>
      <c r="T1465" s="1">
        <f t="shared" si="571"/>
        <v>0</v>
      </c>
      <c r="U1465" s="1">
        <f t="shared" si="572"/>
        <v>0</v>
      </c>
      <c r="V1465" s="1">
        <f t="shared" si="573"/>
        <v>0</v>
      </c>
    </row>
    <row r="1466" spans="2:22" x14ac:dyDescent="0.25">
      <c r="E1466" s="4"/>
      <c r="M1466" s="4">
        <f t="shared" si="566"/>
        <v>173.1</v>
      </c>
      <c r="N1466" s="4"/>
      <c r="O1466" s="1">
        <f t="shared" si="567"/>
        <v>173.1</v>
      </c>
      <c r="P1466" s="1">
        <f t="shared" si="568"/>
        <v>0</v>
      </c>
      <c r="Q1466" s="1" t="str">
        <f t="shared" si="574"/>
        <v/>
      </c>
      <c r="R1466" s="1" t="str">
        <f t="shared" si="569"/>
        <v/>
      </c>
      <c r="S1466" s="1">
        <f t="shared" si="570"/>
        <v>630.90240000000244</v>
      </c>
      <c r="T1466" s="1">
        <f t="shared" si="571"/>
        <v>0</v>
      </c>
      <c r="U1466" s="1">
        <f t="shared" si="572"/>
        <v>0</v>
      </c>
      <c r="V1466" s="1">
        <f t="shared" si="573"/>
        <v>0</v>
      </c>
    </row>
    <row r="1467" spans="2:22" x14ac:dyDescent="0.25">
      <c r="E1467" s="4"/>
      <c r="M1467" s="4">
        <f t="shared" si="566"/>
        <v>173.1</v>
      </c>
      <c r="N1467" s="4"/>
      <c r="O1467" s="1">
        <f t="shared" si="567"/>
        <v>173.1</v>
      </c>
      <c r="P1467" s="1">
        <f t="shared" si="568"/>
        <v>0</v>
      </c>
      <c r="Q1467" s="1" t="str">
        <f t="shared" si="574"/>
        <v/>
      </c>
      <c r="R1467" s="1" t="str">
        <f t="shared" si="569"/>
        <v/>
      </c>
      <c r="S1467" s="1">
        <f t="shared" si="570"/>
        <v>630.90240000000244</v>
      </c>
      <c r="T1467" s="1">
        <f t="shared" si="571"/>
        <v>0</v>
      </c>
      <c r="U1467" s="1">
        <f t="shared" si="572"/>
        <v>0</v>
      </c>
      <c r="V1467" s="1">
        <f t="shared" si="573"/>
        <v>0</v>
      </c>
    </row>
    <row r="1468" spans="2:22" x14ac:dyDescent="0.25">
      <c r="E1468" s="4"/>
      <c r="M1468" s="4">
        <f t="shared" si="566"/>
        <v>173.1</v>
      </c>
      <c r="N1468" s="4"/>
      <c r="O1468" s="1">
        <f t="shared" si="567"/>
        <v>173.1</v>
      </c>
      <c r="P1468" s="1">
        <f t="shared" si="568"/>
        <v>0</v>
      </c>
      <c r="Q1468" s="1" t="str">
        <f t="shared" si="574"/>
        <v/>
      </c>
      <c r="R1468" s="1" t="str">
        <f t="shared" si="569"/>
        <v/>
      </c>
      <c r="S1468" s="1">
        <f t="shared" si="570"/>
        <v>630.90240000000244</v>
      </c>
      <c r="T1468" s="1">
        <f t="shared" si="571"/>
        <v>0</v>
      </c>
      <c r="U1468" s="1">
        <f t="shared" si="572"/>
        <v>0</v>
      </c>
      <c r="V1468" s="1">
        <f t="shared" si="573"/>
        <v>0</v>
      </c>
    </row>
    <row r="1469" spans="2:22" x14ac:dyDescent="0.25">
      <c r="E1469" s="4"/>
      <c r="M1469" s="4">
        <f t="shared" si="566"/>
        <v>173.1</v>
      </c>
      <c r="N1469" s="4"/>
      <c r="O1469" s="1">
        <f t="shared" si="567"/>
        <v>173.1</v>
      </c>
      <c r="P1469" s="1">
        <f t="shared" si="568"/>
        <v>0</v>
      </c>
      <c r="Q1469" s="1" t="str">
        <f t="shared" si="574"/>
        <v/>
      </c>
      <c r="R1469" s="1" t="str">
        <f t="shared" si="569"/>
        <v/>
      </c>
      <c r="S1469" s="1">
        <f t="shared" si="570"/>
        <v>630.90240000000244</v>
      </c>
      <c r="T1469" s="1">
        <f t="shared" si="571"/>
        <v>0</v>
      </c>
      <c r="U1469" s="1">
        <f t="shared" si="572"/>
        <v>0</v>
      </c>
      <c r="V1469" s="1">
        <f t="shared" si="573"/>
        <v>0</v>
      </c>
    </row>
    <row r="1470" spans="2:22" x14ac:dyDescent="0.25">
      <c r="E1470" s="4"/>
      <c r="M1470" s="4">
        <f t="shared" si="566"/>
        <v>173.1</v>
      </c>
      <c r="N1470" s="4"/>
      <c r="O1470" s="1">
        <f t="shared" si="567"/>
        <v>173.1</v>
      </c>
      <c r="P1470" s="1">
        <f t="shared" si="568"/>
        <v>0</v>
      </c>
      <c r="Q1470" s="1" t="str">
        <f t="shared" si="574"/>
        <v/>
      </c>
      <c r="R1470" s="1" t="str">
        <f t="shared" si="569"/>
        <v/>
      </c>
      <c r="S1470" s="1">
        <f t="shared" si="570"/>
        <v>630.90240000000244</v>
      </c>
      <c r="T1470" s="1">
        <f t="shared" si="571"/>
        <v>0</v>
      </c>
      <c r="U1470" s="1">
        <f t="shared" si="572"/>
        <v>0</v>
      </c>
      <c r="V1470" s="1">
        <f t="shared" si="573"/>
        <v>0</v>
      </c>
    </row>
    <row r="1471" spans="2:22" x14ac:dyDescent="0.25">
      <c r="E1471" s="4"/>
      <c r="M1471" s="4">
        <f t="shared" si="566"/>
        <v>173.1</v>
      </c>
      <c r="N1471" s="4"/>
      <c r="O1471" s="1">
        <f t="shared" si="567"/>
        <v>173.1</v>
      </c>
      <c r="P1471" s="1">
        <f t="shared" si="568"/>
        <v>0</v>
      </c>
      <c r="Q1471" s="1" t="str">
        <f t="shared" si="574"/>
        <v/>
      </c>
      <c r="R1471" s="1" t="str">
        <f t="shared" si="569"/>
        <v/>
      </c>
      <c r="S1471" s="1">
        <f t="shared" si="570"/>
        <v>630.90240000000244</v>
      </c>
      <c r="T1471" s="1">
        <f t="shared" si="571"/>
        <v>0</v>
      </c>
      <c r="U1471" s="1">
        <f t="shared" si="572"/>
        <v>0</v>
      </c>
      <c r="V1471" s="1">
        <f t="shared" si="573"/>
        <v>0</v>
      </c>
    </row>
    <row r="1472" spans="2:22" x14ac:dyDescent="0.25">
      <c r="E1472" s="4"/>
      <c r="M1472" s="4">
        <f t="shared" si="566"/>
        <v>173.1</v>
      </c>
      <c r="N1472" s="4"/>
      <c r="O1472" s="1">
        <f t="shared" si="567"/>
        <v>173.1</v>
      </c>
      <c r="P1472" s="1">
        <f t="shared" si="568"/>
        <v>0</v>
      </c>
      <c r="Q1472" s="1" t="str">
        <f t="shared" si="574"/>
        <v/>
      </c>
      <c r="R1472" s="1" t="str">
        <f t="shared" si="569"/>
        <v/>
      </c>
      <c r="S1472" s="1">
        <f t="shared" si="570"/>
        <v>630.90240000000244</v>
      </c>
      <c r="T1472" s="1">
        <f t="shared" si="571"/>
        <v>0</v>
      </c>
      <c r="U1472" s="1">
        <f t="shared" si="572"/>
        <v>0</v>
      </c>
      <c r="V1472" s="1">
        <f t="shared" si="573"/>
        <v>0</v>
      </c>
    </row>
    <row r="1473" spans="5:22" x14ac:dyDescent="0.25">
      <c r="E1473" s="4"/>
      <c r="M1473" s="4">
        <f t="shared" si="566"/>
        <v>173.1</v>
      </c>
      <c r="N1473" s="4"/>
      <c r="O1473" s="1">
        <f t="shared" si="567"/>
        <v>173.1</v>
      </c>
      <c r="P1473" s="1">
        <f t="shared" si="568"/>
        <v>0</v>
      </c>
      <c r="Q1473" s="1" t="str">
        <f t="shared" si="574"/>
        <v/>
      </c>
      <c r="R1473" s="1" t="str">
        <f t="shared" si="569"/>
        <v/>
      </c>
      <c r="S1473" s="1">
        <f t="shared" si="570"/>
        <v>630.90240000000244</v>
      </c>
      <c r="T1473" s="1">
        <f t="shared" si="571"/>
        <v>0</v>
      </c>
      <c r="U1473" s="1">
        <f t="shared" si="572"/>
        <v>0</v>
      </c>
      <c r="V1473" s="1">
        <f t="shared" si="573"/>
        <v>0</v>
      </c>
    </row>
    <row r="1474" spans="5:22" x14ac:dyDescent="0.25">
      <c r="E1474" s="4"/>
      <c r="M1474" s="4">
        <f t="shared" si="566"/>
        <v>173.1</v>
      </c>
      <c r="N1474" s="4"/>
      <c r="O1474" s="1">
        <f t="shared" si="567"/>
        <v>173.1</v>
      </c>
      <c r="P1474" s="1">
        <f t="shared" si="568"/>
        <v>0</v>
      </c>
      <c r="Q1474" s="1" t="str">
        <f t="shared" si="574"/>
        <v/>
      </c>
      <c r="R1474" s="1" t="str">
        <f t="shared" si="569"/>
        <v/>
      </c>
      <c r="S1474" s="1">
        <f t="shared" si="570"/>
        <v>630.90240000000244</v>
      </c>
      <c r="T1474" s="1">
        <f t="shared" si="571"/>
        <v>0</v>
      </c>
      <c r="U1474" s="1">
        <f t="shared" si="572"/>
        <v>0</v>
      </c>
      <c r="V1474" s="1">
        <f t="shared" si="573"/>
        <v>0</v>
      </c>
    </row>
    <row r="1475" spans="5:22" x14ac:dyDescent="0.25">
      <c r="E1475" s="4"/>
      <c r="M1475" s="4">
        <f t="shared" si="566"/>
        <v>173.1</v>
      </c>
      <c r="N1475" s="4"/>
      <c r="O1475" s="1">
        <f t="shared" si="567"/>
        <v>173.1</v>
      </c>
      <c r="P1475" s="1">
        <f t="shared" si="568"/>
        <v>0</v>
      </c>
      <c r="Q1475" s="1" t="str">
        <f t="shared" si="574"/>
        <v/>
      </c>
      <c r="R1475" s="1" t="str">
        <f t="shared" si="569"/>
        <v/>
      </c>
      <c r="S1475" s="1">
        <f t="shared" si="570"/>
        <v>630.90240000000244</v>
      </c>
      <c r="T1475" s="1">
        <f t="shared" si="571"/>
        <v>0</v>
      </c>
      <c r="U1475" s="1">
        <f t="shared" si="572"/>
        <v>0</v>
      </c>
      <c r="V1475" s="1">
        <f t="shared" si="573"/>
        <v>0</v>
      </c>
    </row>
    <row r="1476" spans="5:22" x14ac:dyDescent="0.25">
      <c r="E1476" s="4"/>
      <c r="M1476" s="4">
        <f t="shared" si="566"/>
        <v>173.1</v>
      </c>
      <c r="N1476" s="4"/>
      <c r="O1476" s="1">
        <f t="shared" si="567"/>
        <v>173.1</v>
      </c>
      <c r="P1476" s="1">
        <f t="shared" si="568"/>
        <v>0</v>
      </c>
      <c r="Q1476" s="1" t="str">
        <f t="shared" si="574"/>
        <v/>
      </c>
      <c r="R1476" s="1" t="str">
        <f t="shared" si="569"/>
        <v/>
      </c>
      <c r="S1476" s="1">
        <f t="shared" si="570"/>
        <v>630.90240000000244</v>
      </c>
      <c r="T1476" s="1">
        <f t="shared" si="571"/>
        <v>0</v>
      </c>
      <c r="U1476" s="1">
        <f t="shared" si="572"/>
        <v>0</v>
      </c>
      <c r="V1476" s="1">
        <f t="shared" si="573"/>
        <v>0</v>
      </c>
    </row>
    <row r="1477" spans="5:22" x14ac:dyDescent="0.25">
      <c r="E1477" s="4"/>
      <c r="M1477" s="4">
        <f t="shared" si="566"/>
        <v>173.1</v>
      </c>
      <c r="N1477" s="4"/>
      <c r="O1477" s="1">
        <f t="shared" si="567"/>
        <v>173.1</v>
      </c>
      <c r="P1477" s="1">
        <f t="shared" si="568"/>
        <v>0</v>
      </c>
      <c r="Q1477" s="1" t="str">
        <f t="shared" si="574"/>
        <v/>
      </c>
      <c r="R1477" s="1" t="str">
        <f t="shared" si="569"/>
        <v/>
      </c>
      <c r="S1477" s="1">
        <f t="shared" si="570"/>
        <v>630.90240000000244</v>
      </c>
      <c r="T1477" s="1">
        <f t="shared" si="571"/>
        <v>0</v>
      </c>
      <c r="U1477" s="1">
        <f t="shared" si="572"/>
        <v>0</v>
      </c>
      <c r="V1477" s="1">
        <f t="shared" si="573"/>
        <v>0</v>
      </c>
    </row>
    <row r="1478" spans="5:22" x14ac:dyDescent="0.25">
      <c r="E1478" s="4"/>
      <c r="M1478" s="4">
        <f t="shared" si="566"/>
        <v>173.1</v>
      </c>
      <c r="N1478" s="4"/>
      <c r="O1478" s="1">
        <f t="shared" si="567"/>
        <v>173.1</v>
      </c>
      <c r="P1478" s="1">
        <f t="shared" si="568"/>
        <v>0</v>
      </c>
      <c r="Q1478" s="1" t="str">
        <f t="shared" si="574"/>
        <v/>
      </c>
      <c r="R1478" s="1" t="str">
        <f t="shared" si="569"/>
        <v/>
      </c>
      <c r="S1478" s="1">
        <f t="shared" si="570"/>
        <v>630.90240000000244</v>
      </c>
      <c r="T1478" s="1">
        <f t="shared" si="571"/>
        <v>0</v>
      </c>
      <c r="U1478" s="1">
        <f t="shared" si="572"/>
        <v>0</v>
      </c>
      <c r="V1478" s="1">
        <f t="shared" si="573"/>
        <v>0</v>
      </c>
    </row>
    <row r="1479" spans="5:22" x14ac:dyDescent="0.25">
      <c r="E1479" s="4"/>
      <c r="M1479" s="4">
        <f t="shared" si="566"/>
        <v>173.1</v>
      </c>
      <c r="N1479" s="4"/>
      <c r="O1479" s="1">
        <f t="shared" si="567"/>
        <v>173.1</v>
      </c>
      <c r="P1479" s="1">
        <f t="shared" si="568"/>
        <v>0</v>
      </c>
      <c r="Q1479" s="1" t="str">
        <f t="shared" si="574"/>
        <v/>
      </c>
      <c r="R1479" s="1" t="str">
        <f t="shared" si="569"/>
        <v/>
      </c>
      <c r="S1479" s="1">
        <f t="shared" si="570"/>
        <v>630.90240000000244</v>
      </c>
      <c r="T1479" s="1">
        <f t="shared" si="571"/>
        <v>0</v>
      </c>
      <c r="U1479" s="1">
        <f t="shared" si="572"/>
        <v>0</v>
      </c>
      <c r="V1479" s="1">
        <f t="shared" si="573"/>
        <v>0</v>
      </c>
    </row>
    <row r="1480" spans="5:22" x14ac:dyDescent="0.25">
      <c r="E1480" s="4"/>
      <c r="M1480" s="4">
        <f t="shared" ref="M1480:M1543" si="575">E1480+M1479</f>
        <v>173.1</v>
      </c>
      <c r="N1480" s="4"/>
      <c r="O1480" s="1">
        <f t="shared" ref="O1480:O1543" si="576">E1479+O1479</f>
        <v>173.1</v>
      </c>
      <c r="P1480" s="1">
        <f t="shared" ref="P1480:P1543" si="577">F1480*52.8*E1480</f>
        <v>0</v>
      </c>
      <c r="Q1480" s="1" t="str">
        <f t="shared" si="574"/>
        <v/>
      </c>
      <c r="R1480" s="1" t="str">
        <f t="shared" ref="R1480:R1543" si="578">IF(I1480="",Q1480,IF(AND(H1480=H1479,I1480=I1479),"",I1480))</f>
        <v/>
      </c>
      <c r="S1480" s="1">
        <f t="shared" ref="S1480:S1543" si="579">S1479+U1479*T1479/100</f>
        <v>630.90240000000244</v>
      </c>
      <c r="T1480" s="1">
        <f t="shared" ref="T1480:T1543" si="580">IF(G1480="UNK",0,G1480)</f>
        <v>0</v>
      </c>
      <c r="U1480" s="1">
        <f t="shared" ref="U1480:U1543" si="581">E1480*5280</f>
        <v>0</v>
      </c>
      <c r="V1480" s="1">
        <f t="shared" ref="V1480:V1543" si="582">ABS(T1480*U1480)</f>
        <v>0</v>
      </c>
    </row>
    <row r="1481" spans="5:22" x14ac:dyDescent="0.25">
      <c r="E1481" s="4"/>
      <c r="M1481" s="4">
        <f t="shared" si="575"/>
        <v>173.1</v>
      </c>
      <c r="N1481" s="4"/>
      <c r="O1481" s="1">
        <f t="shared" si="576"/>
        <v>173.1</v>
      </c>
      <c r="P1481" s="1">
        <f t="shared" si="577"/>
        <v>0</v>
      </c>
      <c r="Q1481" s="1" t="str">
        <f t="shared" si="574"/>
        <v/>
      </c>
      <c r="R1481" s="1" t="str">
        <f t="shared" si="578"/>
        <v/>
      </c>
      <c r="S1481" s="1">
        <f t="shared" si="579"/>
        <v>630.90240000000244</v>
      </c>
      <c r="T1481" s="1">
        <f t="shared" si="580"/>
        <v>0</v>
      </c>
      <c r="U1481" s="1">
        <f t="shared" si="581"/>
        <v>0</v>
      </c>
      <c r="V1481" s="1">
        <f t="shared" si="582"/>
        <v>0</v>
      </c>
    </row>
    <row r="1482" spans="5:22" x14ac:dyDescent="0.25">
      <c r="E1482" s="4"/>
      <c r="M1482" s="4">
        <f t="shared" si="575"/>
        <v>173.1</v>
      </c>
      <c r="N1482" s="4"/>
      <c r="O1482" s="1">
        <f t="shared" si="576"/>
        <v>173.1</v>
      </c>
      <c r="P1482" s="1">
        <f t="shared" si="577"/>
        <v>0</v>
      </c>
      <c r="Q1482" s="1" t="str">
        <f t="shared" si="574"/>
        <v/>
      </c>
      <c r="R1482" s="1" t="str">
        <f t="shared" si="578"/>
        <v/>
      </c>
      <c r="S1482" s="1">
        <f t="shared" si="579"/>
        <v>630.90240000000244</v>
      </c>
      <c r="T1482" s="1">
        <f t="shared" si="580"/>
        <v>0</v>
      </c>
      <c r="U1482" s="1">
        <f t="shared" si="581"/>
        <v>0</v>
      </c>
      <c r="V1482" s="1">
        <f t="shared" si="582"/>
        <v>0</v>
      </c>
    </row>
    <row r="1483" spans="5:22" x14ac:dyDescent="0.25">
      <c r="E1483" s="4"/>
      <c r="M1483" s="4">
        <f t="shared" si="575"/>
        <v>173.1</v>
      </c>
      <c r="N1483" s="4"/>
      <c r="O1483" s="1">
        <f t="shared" si="576"/>
        <v>173.1</v>
      </c>
      <c r="P1483" s="1">
        <f t="shared" si="577"/>
        <v>0</v>
      </c>
      <c r="Q1483" s="1" t="str">
        <f t="shared" si="574"/>
        <v/>
      </c>
      <c r="R1483" s="1" t="str">
        <f t="shared" si="578"/>
        <v/>
      </c>
      <c r="S1483" s="1">
        <f t="shared" si="579"/>
        <v>630.90240000000244</v>
      </c>
      <c r="T1483" s="1">
        <f t="shared" si="580"/>
        <v>0</v>
      </c>
      <c r="U1483" s="1">
        <f t="shared" si="581"/>
        <v>0</v>
      </c>
      <c r="V1483" s="1">
        <f t="shared" si="582"/>
        <v>0</v>
      </c>
    </row>
    <row r="1484" spans="5:22" x14ac:dyDescent="0.25">
      <c r="E1484" s="4"/>
      <c r="M1484" s="4">
        <f t="shared" si="575"/>
        <v>173.1</v>
      </c>
      <c r="N1484" s="4"/>
      <c r="O1484" s="1">
        <f t="shared" si="576"/>
        <v>173.1</v>
      </c>
      <c r="P1484" s="1">
        <f t="shared" si="577"/>
        <v>0</v>
      </c>
      <c r="Q1484" s="1" t="str">
        <f t="shared" si="574"/>
        <v/>
      </c>
      <c r="R1484" s="1" t="str">
        <f t="shared" si="578"/>
        <v/>
      </c>
      <c r="S1484" s="1">
        <f t="shared" si="579"/>
        <v>630.90240000000244</v>
      </c>
      <c r="T1484" s="1">
        <f t="shared" si="580"/>
        <v>0</v>
      </c>
      <c r="U1484" s="1">
        <f t="shared" si="581"/>
        <v>0</v>
      </c>
      <c r="V1484" s="1">
        <f t="shared" si="582"/>
        <v>0</v>
      </c>
    </row>
    <row r="1485" spans="5:22" x14ac:dyDescent="0.25">
      <c r="E1485" s="4"/>
      <c r="M1485" s="4">
        <f t="shared" si="575"/>
        <v>173.1</v>
      </c>
      <c r="N1485" s="4"/>
      <c r="O1485" s="1">
        <f t="shared" si="576"/>
        <v>173.1</v>
      </c>
      <c r="P1485" s="1">
        <f t="shared" si="577"/>
        <v>0</v>
      </c>
      <c r="Q1485" s="1" t="str">
        <f t="shared" si="574"/>
        <v/>
      </c>
      <c r="R1485" s="1" t="str">
        <f t="shared" si="578"/>
        <v/>
      </c>
      <c r="S1485" s="1">
        <f t="shared" si="579"/>
        <v>630.90240000000244</v>
      </c>
      <c r="T1485" s="1">
        <f t="shared" si="580"/>
        <v>0</v>
      </c>
      <c r="U1485" s="1">
        <f t="shared" si="581"/>
        <v>0</v>
      </c>
      <c r="V1485" s="1">
        <f t="shared" si="582"/>
        <v>0</v>
      </c>
    </row>
    <row r="1486" spans="5:22" x14ac:dyDescent="0.25">
      <c r="E1486" s="4"/>
      <c r="M1486" s="4">
        <f t="shared" si="575"/>
        <v>173.1</v>
      </c>
      <c r="N1486" s="4"/>
      <c r="O1486" s="1">
        <f t="shared" si="576"/>
        <v>173.1</v>
      </c>
      <c r="P1486" s="1">
        <f t="shared" si="577"/>
        <v>0</v>
      </c>
      <c r="Q1486" s="1" t="str">
        <f t="shared" si="574"/>
        <v/>
      </c>
      <c r="R1486" s="1" t="str">
        <f t="shared" si="578"/>
        <v/>
      </c>
      <c r="S1486" s="1">
        <f t="shared" si="579"/>
        <v>630.90240000000244</v>
      </c>
      <c r="T1486" s="1">
        <f t="shared" si="580"/>
        <v>0</v>
      </c>
      <c r="U1486" s="1">
        <f t="shared" si="581"/>
        <v>0</v>
      </c>
      <c r="V1486" s="1">
        <f t="shared" si="582"/>
        <v>0</v>
      </c>
    </row>
    <row r="1487" spans="5:22" x14ac:dyDescent="0.25">
      <c r="E1487" s="4"/>
      <c r="M1487" s="4">
        <f t="shared" si="575"/>
        <v>173.1</v>
      </c>
      <c r="N1487" s="4"/>
      <c r="O1487" s="1">
        <f t="shared" si="576"/>
        <v>173.1</v>
      </c>
      <c r="P1487" s="1">
        <f t="shared" si="577"/>
        <v>0</v>
      </c>
      <c r="Q1487" s="1" t="str">
        <f t="shared" si="574"/>
        <v/>
      </c>
      <c r="R1487" s="1" t="str">
        <f t="shared" si="578"/>
        <v/>
      </c>
      <c r="S1487" s="1">
        <f t="shared" si="579"/>
        <v>630.90240000000244</v>
      </c>
      <c r="T1487" s="1">
        <f t="shared" si="580"/>
        <v>0</v>
      </c>
      <c r="U1487" s="1">
        <f t="shared" si="581"/>
        <v>0</v>
      </c>
      <c r="V1487" s="1">
        <f t="shared" si="582"/>
        <v>0</v>
      </c>
    </row>
    <row r="1488" spans="5:22" x14ac:dyDescent="0.25">
      <c r="E1488" s="4"/>
      <c r="M1488" s="4">
        <f t="shared" si="575"/>
        <v>173.1</v>
      </c>
      <c r="N1488" s="4"/>
      <c r="O1488" s="1">
        <f t="shared" si="576"/>
        <v>173.1</v>
      </c>
      <c r="P1488" s="1">
        <f t="shared" si="577"/>
        <v>0</v>
      </c>
      <c r="Q1488" s="1" t="str">
        <f t="shared" si="574"/>
        <v/>
      </c>
      <c r="R1488" s="1" t="str">
        <f t="shared" si="578"/>
        <v/>
      </c>
      <c r="S1488" s="1">
        <f t="shared" si="579"/>
        <v>630.90240000000244</v>
      </c>
      <c r="T1488" s="1">
        <f t="shared" si="580"/>
        <v>0</v>
      </c>
      <c r="U1488" s="1">
        <f t="shared" si="581"/>
        <v>0</v>
      </c>
      <c r="V1488" s="1">
        <f t="shared" si="582"/>
        <v>0</v>
      </c>
    </row>
    <row r="1489" spans="5:22" x14ac:dyDescent="0.25">
      <c r="E1489" s="4"/>
      <c r="M1489" s="4">
        <f t="shared" si="575"/>
        <v>173.1</v>
      </c>
      <c r="N1489" s="4"/>
      <c r="O1489" s="1">
        <f t="shared" si="576"/>
        <v>173.1</v>
      </c>
      <c r="P1489" s="1">
        <f t="shared" si="577"/>
        <v>0</v>
      </c>
      <c r="Q1489" s="1" t="str">
        <f t="shared" si="574"/>
        <v/>
      </c>
      <c r="R1489" s="1" t="str">
        <f t="shared" si="578"/>
        <v/>
      </c>
      <c r="S1489" s="1">
        <f t="shared" si="579"/>
        <v>630.90240000000244</v>
      </c>
      <c r="T1489" s="1">
        <f t="shared" si="580"/>
        <v>0</v>
      </c>
      <c r="U1489" s="1">
        <f t="shared" si="581"/>
        <v>0</v>
      </c>
      <c r="V1489" s="1">
        <f t="shared" si="582"/>
        <v>0</v>
      </c>
    </row>
    <row r="1490" spans="5:22" x14ac:dyDescent="0.25">
      <c r="E1490" s="4"/>
      <c r="M1490" s="4">
        <f t="shared" si="575"/>
        <v>173.1</v>
      </c>
      <c r="N1490" s="4"/>
      <c r="O1490" s="1">
        <f t="shared" si="576"/>
        <v>173.1</v>
      </c>
      <c r="P1490" s="1">
        <f t="shared" si="577"/>
        <v>0</v>
      </c>
      <c r="Q1490" s="1" t="str">
        <f t="shared" si="574"/>
        <v/>
      </c>
      <c r="R1490" s="1" t="str">
        <f t="shared" si="578"/>
        <v/>
      </c>
      <c r="S1490" s="1">
        <f t="shared" si="579"/>
        <v>630.90240000000244</v>
      </c>
      <c r="T1490" s="1">
        <f t="shared" si="580"/>
        <v>0</v>
      </c>
      <c r="U1490" s="1">
        <f t="shared" si="581"/>
        <v>0</v>
      </c>
      <c r="V1490" s="1">
        <f t="shared" si="582"/>
        <v>0</v>
      </c>
    </row>
    <row r="1491" spans="5:22" x14ac:dyDescent="0.25">
      <c r="E1491" s="4"/>
      <c r="M1491" s="4">
        <f t="shared" si="575"/>
        <v>173.1</v>
      </c>
      <c r="N1491" s="4"/>
      <c r="O1491" s="1">
        <f t="shared" si="576"/>
        <v>173.1</v>
      </c>
      <c r="P1491" s="1">
        <f t="shared" si="577"/>
        <v>0</v>
      </c>
      <c r="Q1491" s="1" t="str">
        <f t="shared" si="574"/>
        <v/>
      </c>
      <c r="R1491" s="1" t="str">
        <f t="shared" si="578"/>
        <v/>
      </c>
      <c r="S1491" s="1">
        <f t="shared" si="579"/>
        <v>630.90240000000244</v>
      </c>
      <c r="T1491" s="1">
        <f t="shared" si="580"/>
        <v>0</v>
      </c>
      <c r="U1491" s="1">
        <f t="shared" si="581"/>
        <v>0</v>
      </c>
      <c r="V1491" s="1">
        <f t="shared" si="582"/>
        <v>0</v>
      </c>
    </row>
    <row r="1492" spans="5:22" x14ac:dyDescent="0.25">
      <c r="E1492" s="4"/>
      <c r="M1492" s="4">
        <f t="shared" si="575"/>
        <v>173.1</v>
      </c>
      <c r="N1492" s="4"/>
      <c r="O1492" s="1">
        <f t="shared" si="576"/>
        <v>173.1</v>
      </c>
      <c r="P1492" s="1">
        <f t="shared" si="577"/>
        <v>0</v>
      </c>
      <c r="Q1492" s="1" t="str">
        <f t="shared" si="574"/>
        <v/>
      </c>
      <c r="R1492" s="1" t="str">
        <f t="shared" si="578"/>
        <v/>
      </c>
      <c r="S1492" s="1">
        <f t="shared" si="579"/>
        <v>630.90240000000244</v>
      </c>
      <c r="T1492" s="1">
        <f t="shared" si="580"/>
        <v>0</v>
      </c>
      <c r="U1492" s="1">
        <f t="shared" si="581"/>
        <v>0</v>
      </c>
      <c r="V1492" s="1">
        <f t="shared" si="582"/>
        <v>0</v>
      </c>
    </row>
    <row r="1493" spans="5:22" x14ac:dyDescent="0.25">
      <c r="E1493" s="4"/>
      <c r="M1493" s="4">
        <f t="shared" si="575"/>
        <v>173.1</v>
      </c>
      <c r="N1493" s="4"/>
      <c r="O1493" s="1">
        <f t="shared" si="576"/>
        <v>173.1</v>
      </c>
      <c r="P1493" s="1">
        <f t="shared" si="577"/>
        <v>0</v>
      </c>
      <c r="Q1493" s="1" t="str">
        <f t="shared" si="574"/>
        <v/>
      </c>
      <c r="R1493" s="1" t="str">
        <f t="shared" si="578"/>
        <v/>
      </c>
      <c r="S1493" s="1">
        <f t="shared" si="579"/>
        <v>630.90240000000244</v>
      </c>
      <c r="T1493" s="1">
        <f t="shared" si="580"/>
        <v>0</v>
      </c>
      <c r="U1493" s="1">
        <f t="shared" si="581"/>
        <v>0</v>
      </c>
      <c r="V1493" s="1">
        <f t="shared" si="582"/>
        <v>0</v>
      </c>
    </row>
    <row r="1494" spans="5:22" x14ac:dyDescent="0.25">
      <c r="E1494" s="4"/>
      <c r="M1494" s="4">
        <f t="shared" si="575"/>
        <v>173.1</v>
      </c>
      <c r="N1494" s="4"/>
      <c r="O1494" s="1">
        <f t="shared" si="576"/>
        <v>173.1</v>
      </c>
      <c r="P1494" s="1">
        <f t="shared" si="577"/>
        <v>0</v>
      </c>
      <c r="Q1494" s="1" t="str">
        <f t="shared" si="574"/>
        <v/>
      </c>
      <c r="R1494" s="1" t="str">
        <f t="shared" si="578"/>
        <v/>
      </c>
      <c r="S1494" s="1">
        <f t="shared" si="579"/>
        <v>630.90240000000244</v>
      </c>
      <c r="T1494" s="1">
        <f t="shared" si="580"/>
        <v>0</v>
      </c>
      <c r="U1494" s="1">
        <f t="shared" si="581"/>
        <v>0</v>
      </c>
      <c r="V1494" s="1">
        <f t="shared" si="582"/>
        <v>0</v>
      </c>
    </row>
    <row r="1495" spans="5:22" x14ac:dyDescent="0.25">
      <c r="E1495" s="4"/>
      <c r="M1495" s="4">
        <f t="shared" si="575"/>
        <v>173.1</v>
      </c>
      <c r="N1495" s="4"/>
      <c r="O1495" s="1">
        <f t="shared" si="576"/>
        <v>173.1</v>
      </c>
      <c r="P1495" s="1">
        <f t="shared" si="577"/>
        <v>0</v>
      </c>
      <c r="Q1495" s="1" t="str">
        <f t="shared" si="574"/>
        <v/>
      </c>
      <c r="R1495" s="1" t="str">
        <f t="shared" si="578"/>
        <v/>
      </c>
      <c r="S1495" s="1">
        <f t="shared" si="579"/>
        <v>630.90240000000244</v>
      </c>
      <c r="T1495" s="1">
        <f t="shared" si="580"/>
        <v>0</v>
      </c>
      <c r="U1495" s="1">
        <f t="shared" si="581"/>
        <v>0</v>
      </c>
      <c r="V1495" s="1">
        <f t="shared" si="582"/>
        <v>0</v>
      </c>
    </row>
    <row r="1496" spans="5:22" x14ac:dyDescent="0.25">
      <c r="E1496" s="4"/>
      <c r="M1496" s="4">
        <f t="shared" si="575"/>
        <v>173.1</v>
      </c>
      <c r="N1496" s="4"/>
      <c r="O1496" s="1">
        <f t="shared" si="576"/>
        <v>173.1</v>
      </c>
      <c r="P1496" s="1">
        <f t="shared" si="577"/>
        <v>0</v>
      </c>
      <c r="Q1496" s="1" t="str">
        <f t="shared" si="574"/>
        <v/>
      </c>
      <c r="R1496" s="1" t="str">
        <f t="shared" si="578"/>
        <v/>
      </c>
      <c r="S1496" s="1">
        <f t="shared" si="579"/>
        <v>630.90240000000244</v>
      </c>
      <c r="T1496" s="1">
        <f t="shared" si="580"/>
        <v>0</v>
      </c>
      <c r="U1496" s="1">
        <f t="shared" si="581"/>
        <v>0</v>
      </c>
      <c r="V1496" s="1">
        <f t="shared" si="582"/>
        <v>0</v>
      </c>
    </row>
    <row r="1497" spans="5:22" x14ac:dyDescent="0.25">
      <c r="E1497" s="4"/>
      <c r="M1497" s="4">
        <f t="shared" si="575"/>
        <v>173.1</v>
      </c>
      <c r="N1497" s="4"/>
      <c r="O1497" s="1">
        <f t="shared" si="576"/>
        <v>173.1</v>
      </c>
      <c r="P1497" s="1">
        <f t="shared" si="577"/>
        <v>0</v>
      </c>
      <c r="Q1497" s="1" t="str">
        <f t="shared" si="574"/>
        <v/>
      </c>
      <c r="R1497" s="1" t="str">
        <f t="shared" si="578"/>
        <v/>
      </c>
      <c r="S1497" s="1">
        <f t="shared" si="579"/>
        <v>630.90240000000244</v>
      </c>
      <c r="T1497" s="1">
        <f t="shared" si="580"/>
        <v>0</v>
      </c>
      <c r="U1497" s="1">
        <f t="shared" si="581"/>
        <v>0</v>
      </c>
      <c r="V1497" s="1">
        <f t="shared" si="582"/>
        <v>0</v>
      </c>
    </row>
    <row r="1498" spans="5:22" x14ac:dyDescent="0.25">
      <c r="E1498" s="4"/>
      <c r="M1498" s="4">
        <f t="shared" si="575"/>
        <v>173.1</v>
      </c>
      <c r="N1498" s="4"/>
      <c r="O1498" s="1">
        <f t="shared" si="576"/>
        <v>173.1</v>
      </c>
      <c r="P1498" s="1">
        <f t="shared" si="577"/>
        <v>0</v>
      </c>
      <c r="Q1498" s="1" t="str">
        <f t="shared" si="574"/>
        <v/>
      </c>
      <c r="R1498" s="1" t="str">
        <f t="shared" si="578"/>
        <v/>
      </c>
      <c r="S1498" s="1">
        <f t="shared" si="579"/>
        <v>630.90240000000244</v>
      </c>
      <c r="T1498" s="1">
        <f t="shared" si="580"/>
        <v>0</v>
      </c>
      <c r="U1498" s="1">
        <f t="shared" si="581"/>
        <v>0</v>
      </c>
      <c r="V1498" s="1">
        <f t="shared" si="582"/>
        <v>0</v>
      </c>
    </row>
    <row r="1499" spans="5:22" x14ac:dyDescent="0.25">
      <c r="E1499" s="4"/>
      <c r="M1499" s="4">
        <f t="shared" si="575"/>
        <v>173.1</v>
      </c>
      <c r="N1499" s="4"/>
      <c r="O1499" s="1">
        <f t="shared" si="576"/>
        <v>173.1</v>
      </c>
      <c r="P1499" s="1">
        <f t="shared" si="577"/>
        <v>0</v>
      </c>
      <c r="Q1499" s="1" t="str">
        <f t="shared" si="574"/>
        <v/>
      </c>
      <c r="R1499" s="1" t="str">
        <f t="shared" si="578"/>
        <v/>
      </c>
      <c r="S1499" s="1">
        <f t="shared" si="579"/>
        <v>630.90240000000244</v>
      </c>
      <c r="T1499" s="1">
        <f t="shared" si="580"/>
        <v>0</v>
      </c>
      <c r="U1499" s="1">
        <f t="shared" si="581"/>
        <v>0</v>
      </c>
      <c r="V1499" s="1">
        <f t="shared" si="582"/>
        <v>0</v>
      </c>
    </row>
    <row r="1500" spans="5:22" x14ac:dyDescent="0.25">
      <c r="E1500" s="4"/>
      <c r="M1500" s="4">
        <f t="shared" si="575"/>
        <v>173.1</v>
      </c>
      <c r="N1500" s="4"/>
      <c r="O1500" s="1">
        <f t="shared" si="576"/>
        <v>173.1</v>
      </c>
      <c r="P1500" s="1">
        <f t="shared" si="577"/>
        <v>0</v>
      </c>
      <c r="Q1500" s="1" t="str">
        <f t="shared" si="574"/>
        <v/>
      </c>
      <c r="R1500" s="1" t="str">
        <f t="shared" si="578"/>
        <v/>
      </c>
      <c r="S1500" s="1">
        <f t="shared" si="579"/>
        <v>630.90240000000244</v>
      </c>
      <c r="T1500" s="1">
        <f t="shared" si="580"/>
        <v>0</v>
      </c>
      <c r="U1500" s="1">
        <f t="shared" si="581"/>
        <v>0</v>
      </c>
      <c r="V1500" s="1">
        <f t="shared" si="582"/>
        <v>0</v>
      </c>
    </row>
    <row r="1501" spans="5:22" x14ac:dyDescent="0.25">
      <c r="E1501" s="4"/>
      <c r="M1501" s="4">
        <f t="shared" si="575"/>
        <v>173.1</v>
      </c>
      <c r="N1501" s="4"/>
      <c r="O1501" s="1">
        <f t="shared" si="576"/>
        <v>173.1</v>
      </c>
      <c r="P1501" s="1">
        <f t="shared" si="577"/>
        <v>0</v>
      </c>
      <c r="Q1501" s="1" t="str">
        <f t="shared" si="574"/>
        <v/>
      </c>
      <c r="R1501" s="1" t="str">
        <f t="shared" si="578"/>
        <v/>
      </c>
      <c r="S1501" s="1">
        <f t="shared" si="579"/>
        <v>630.90240000000244</v>
      </c>
      <c r="T1501" s="1">
        <f t="shared" si="580"/>
        <v>0</v>
      </c>
      <c r="U1501" s="1">
        <f t="shared" si="581"/>
        <v>0</v>
      </c>
      <c r="V1501" s="1">
        <f t="shared" si="582"/>
        <v>0</v>
      </c>
    </row>
    <row r="1502" spans="5:22" x14ac:dyDescent="0.25">
      <c r="E1502" s="4"/>
      <c r="M1502" s="4">
        <f t="shared" si="575"/>
        <v>173.1</v>
      </c>
      <c r="N1502" s="4"/>
      <c r="O1502" s="1">
        <f t="shared" si="576"/>
        <v>173.1</v>
      </c>
      <c r="P1502" s="1">
        <f t="shared" si="577"/>
        <v>0</v>
      </c>
      <c r="Q1502" s="1" t="str">
        <f t="shared" si="574"/>
        <v/>
      </c>
      <c r="R1502" s="1" t="str">
        <f t="shared" si="578"/>
        <v/>
      </c>
      <c r="S1502" s="1">
        <f t="shared" si="579"/>
        <v>630.90240000000244</v>
      </c>
      <c r="T1502" s="1">
        <f t="shared" si="580"/>
        <v>0</v>
      </c>
      <c r="U1502" s="1">
        <f t="shared" si="581"/>
        <v>0</v>
      </c>
      <c r="V1502" s="1">
        <f t="shared" si="582"/>
        <v>0</v>
      </c>
    </row>
    <row r="1503" spans="5:22" x14ac:dyDescent="0.25">
      <c r="E1503" s="4"/>
      <c r="M1503" s="4">
        <f t="shared" si="575"/>
        <v>173.1</v>
      </c>
      <c r="N1503" s="4"/>
      <c r="O1503" s="1">
        <f t="shared" si="576"/>
        <v>173.1</v>
      </c>
      <c r="P1503" s="1">
        <f t="shared" si="577"/>
        <v>0</v>
      </c>
      <c r="Q1503" s="1" t="str">
        <f t="shared" si="574"/>
        <v/>
      </c>
      <c r="R1503" s="1" t="str">
        <f t="shared" si="578"/>
        <v/>
      </c>
      <c r="S1503" s="1">
        <f t="shared" si="579"/>
        <v>630.90240000000244</v>
      </c>
      <c r="T1503" s="1">
        <f t="shared" si="580"/>
        <v>0</v>
      </c>
      <c r="U1503" s="1">
        <f t="shared" si="581"/>
        <v>0</v>
      </c>
      <c r="V1503" s="1">
        <f t="shared" si="582"/>
        <v>0</v>
      </c>
    </row>
    <row r="1504" spans="5:22" x14ac:dyDescent="0.25">
      <c r="E1504" s="4"/>
      <c r="M1504" s="4">
        <f t="shared" si="575"/>
        <v>173.1</v>
      </c>
      <c r="N1504" s="4"/>
      <c r="O1504" s="1">
        <f t="shared" si="576"/>
        <v>173.1</v>
      </c>
      <c r="P1504" s="1">
        <f t="shared" si="577"/>
        <v>0</v>
      </c>
      <c r="Q1504" s="1" t="str">
        <f t="shared" si="574"/>
        <v/>
      </c>
      <c r="R1504" s="1" t="str">
        <f t="shared" si="578"/>
        <v/>
      </c>
      <c r="S1504" s="1">
        <f t="shared" si="579"/>
        <v>630.90240000000244</v>
      </c>
      <c r="T1504" s="1">
        <f t="shared" si="580"/>
        <v>0</v>
      </c>
      <c r="U1504" s="1">
        <f t="shared" si="581"/>
        <v>0</v>
      </c>
      <c r="V1504" s="1">
        <f t="shared" si="582"/>
        <v>0</v>
      </c>
    </row>
    <row r="1505" spans="5:22" x14ac:dyDescent="0.25">
      <c r="E1505" s="4"/>
      <c r="M1505" s="4">
        <f t="shared" si="575"/>
        <v>173.1</v>
      </c>
      <c r="N1505" s="4"/>
      <c r="O1505" s="1">
        <f t="shared" si="576"/>
        <v>173.1</v>
      </c>
      <c r="P1505" s="1">
        <f t="shared" si="577"/>
        <v>0</v>
      </c>
      <c r="Q1505" s="1" t="str">
        <f t="shared" si="574"/>
        <v/>
      </c>
      <c r="R1505" s="1" t="str">
        <f t="shared" si="578"/>
        <v/>
      </c>
      <c r="S1505" s="1">
        <f t="shared" si="579"/>
        <v>630.90240000000244</v>
      </c>
      <c r="T1505" s="1">
        <f t="shared" si="580"/>
        <v>0</v>
      </c>
      <c r="U1505" s="1">
        <f t="shared" si="581"/>
        <v>0</v>
      </c>
      <c r="V1505" s="1">
        <f t="shared" si="582"/>
        <v>0</v>
      </c>
    </row>
    <row r="1506" spans="5:22" x14ac:dyDescent="0.25">
      <c r="E1506" s="4"/>
      <c r="M1506" s="4">
        <f t="shared" si="575"/>
        <v>173.1</v>
      </c>
      <c r="N1506" s="4"/>
      <c r="O1506" s="1">
        <f t="shared" si="576"/>
        <v>173.1</v>
      </c>
      <c r="P1506" s="1">
        <f t="shared" si="577"/>
        <v>0</v>
      </c>
      <c r="Q1506" s="1" t="str">
        <f t="shared" si="574"/>
        <v/>
      </c>
      <c r="R1506" s="1" t="str">
        <f t="shared" si="578"/>
        <v/>
      </c>
      <c r="S1506" s="1">
        <f t="shared" si="579"/>
        <v>630.90240000000244</v>
      </c>
      <c r="T1506" s="1">
        <f t="shared" si="580"/>
        <v>0</v>
      </c>
      <c r="U1506" s="1">
        <f t="shared" si="581"/>
        <v>0</v>
      </c>
      <c r="V1506" s="1">
        <f t="shared" si="582"/>
        <v>0</v>
      </c>
    </row>
    <row r="1507" spans="5:22" x14ac:dyDescent="0.25">
      <c r="E1507" s="4"/>
      <c r="M1507" s="4">
        <f t="shared" si="575"/>
        <v>173.1</v>
      </c>
      <c r="N1507" s="4"/>
      <c r="O1507" s="1">
        <f t="shared" si="576"/>
        <v>173.1</v>
      </c>
      <c r="P1507" s="1">
        <f t="shared" si="577"/>
        <v>0</v>
      </c>
      <c r="Q1507" s="1" t="str">
        <f t="shared" si="574"/>
        <v/>
      </c>
      <c r="R1507" s="1" t="str">
        <f t="shared" si="578"/>
        <v/>
      </c>
      <c r="S1507" s="1">
        <f t="shared" si="579"/>
        <v>630.90240000000244</v>
      </c>
      <c r="T1507" s="1">
        <f t="shared" si="580"/>
        <v>0</v>
      </c>
      <c r="U1507" s="1">
        <f t="shared" si="581"/>
        <v>0</v>
      </c>
      <c r="V1507" s="1">
        <f t="shared" si="582"/>
        <v>0</v>
      </c>
    </row>
    <row r="1508" spans="5:22" x14ac:dyDescent="0.25">
      <c r="E1508" s="4"/>
      <c r="M1508" s="4">
        <f t="shared" si="575"/>
        <v>173.1</v>
      </c>
      <c r="N1508" s="4"/>
      <c r="O1508" s="1">
        <f t="shared" si="576"/>
        <v>173.1</v>
      </c>
      <c r="P1508" s="1">
        <f t="shared" si="577"/>
        <v>0</v>
      </c>
      <c r="Q1508" s="1" t="str">
        <f t="shared" si="574"/>
        <v/>
      </c>
      <c r="R1508" s="1" t="str">
        <f t="shared" si="578"/>
        <v/>
      </c>
      <c r="S1508" s="1">
        <f t="shared" si="579"/>
        <v>630.90240000000244</v>
      </c>
      <c r="T1508" s="1">
        <f t="shared" si="580"/>
        <v>0</v>
      </c>
      <c r="U1508" s="1">
        <f t="shared" si="581"/>
        <v>0</v>
      </c>
      <c r="V1508" s="1">
        <f t="shared" si="582"/>
        <v>0</v>
      </c>
    </row>
    <row r="1509" spans="5:22" x14ac:dyDescent="0.25">
      <c r="E1509" s="4"/>
      <c r="M1509" s="4">
        <f t="shared" si="575"/>
        <v>173.1</v>
      </c>
      <c r="N1509" s="4"/>
      <c r="O1509" s="1">
        <f t="shared" si="576"/>
        <v>173.1</v>
      </c>
      <c r="P1509" s="1">
        <f t="shared" si="577"/>
        <v>0</v>
      </c>
      <c r="Q1509" s="1" t="str">
        <f t="shared" si="574"/>
        <v/>
      </c>
      <c r="R1509" s="1" t="str">
        <f t="shared" si="578"/>
        <v/>
      </c>
      <c r="S1509" s="1">
        <f t="shared" si="579"/>
        <v>630.90240000000244</v>
      </c>
      <c r="T1509" s="1">
        <f t="shared" si="580"/>
        <v>0</v>
      </c>
      <c r="U1509" s="1">
        <f t="shared" si="581"/>
        <v>0</v>
      </c>
      <c r="V1509" s="1">
        <f t="shared" si="582"/>
        <v>0</v>
      </c>
    </row>
    <row r="1510" spans="5:22" x14ac:dyDescent="0.25">
      <c r="E1510" s="4"/>
      <c r="M1510" s="4">
        <f t="shared" si="575"/>
        <v>173.1</v>
      </c>
      <c r="N1510" s="4"/>
      <c r="O1510" s="1">
        <f t="shared" si="576"/>
        <v>173.1</v>
      </c>
      <c r="P1510" s="1">
        <f t="shared" si="577"/>
        <v>0</v>
      </c>
      <c r="Q1510" s="1" t="str">
        <f t="shared" si="574"/>
        <v/>
      </c>
      <c r="R1510" s="1" t="str">
        <f t="shared" si="578"/>
        <v/>
      </c>
      <c r="S1510" s="1">
        <f t="shared" si="579"/>
        <v>630.90240000000244</v>
      </c>
      <c r="T1510" s="1">
        <f t="shared" si="580"/>
        <v>0</v>
      </c>
      <c r="U1510" s="1">
        <f t="shared" si="581"/>
        <v>0</v>
      </c>
      <c r="V1510" s="1">
        <f t="shared" si="582"/>
        <v>0</v>
      </c>
    </row>
    <row r="1511" spans="5:22" x14ac:dyDescent="0.25">
      <c r="E1511" s="4"/>
      <c r="M1511" s="4">
        <f t="shared" si="575"/>
        <v>173.1</v>
      </c>
      <c r="N1511" s="4"/>
      <c r="O1511" s="1">
        <f t="shared" si="576"/>
        <v>173.1</v>
      </c>
      <c r="P1511" s="1">
        <f t="shared" si="577"/>
        <v>0</v>
      </c>
      <c r="Q1511" s="1" t="str">
        <f t="shared" si="574"/>
        <v/>
      </c>
      <c r="R1511" s="1" t="str">
        <f t="shared" si="578"/>
        <v/>
      </c>
      <c r="S1511" s="1">
        <f t="shared" si="579"/>
        <v>630.90240000000244</v>
      </c>
      <c r="T1511" s="1">
        <f t="shared" si="580"/>
        <v>0</v>
      </c>
      <c r="U1511" s="1">
        <f t="shared" si="581"/>
        <v>0</v>
      </c>
      <c r="V1511" s="1">
        <f t="shared" si="582"/>
        <v>0</v>
      </c>
    </row>
    <row r="1512" spans="5:22" x14ac:dyDescent="0.25">
      <c r="E1512" s="4"/>
      <c r="M1512" s="4">
        <f t="shared" si="575"/>
        <v>173.1</v>
      </c>
      <c r="N1512" s="4"/>
      <c r="O1512" s="1">
        <f t="shared" si="576"/>
        <v>173.1</v>
      </c>
      <c r="P1512" s="1">
        <f t="shared" si="577"/>
        <v>0</v>
      </c>
      <c r="Q1512" s="1" t="str">
        <f t="shared" si="574"/>
        <v/>
      </c>
      <c r="R1512" s="1" t="str">
        <f t="shared" si="578"/>
        <v/>
      </c>
      <c r="S1512" s="1">
        <f t="shared" si="579"/>
        <v>630.90240000000244</v>
      </c>
      <c r="T1512" s="1">
        <f t="shared" si="580"/>
        <v>0</v>
      </c>
      <c r="U1512" s="1">
        <f t="shared" si="581"/>
        <v>0</v>
      </c>
      <c r="V1512" s="1">
        <f t="shared" si="582"/>
        <v>0</v>
      </c>
    </row>
    <row r="1513" spans="5:22" x14ac:dyDescent="0.25">
      <c r="E1513" s="4"/>
      <c r="M1513" s="4">
        <f t="shared" si="575"/>
        <v>173.1</v>
      </c>
      <c r="N1513" s="4"/>
      <c r="O1513" s="1">
        <f t="shared" si="576"/>
        <v>173.1</v>
      </c>
      <c r="P1513" s="1">
        <f t="shared" si="577"/>
        <v>0</v>
      </c>
      <c r="Q1513" s="1" t="str">
        <f t="shared" si="574"/>
        <v/>
      </c>
      <c r="R1513" s="1" t="str">
        <f t="shared" si="578"/>
        <v/>
      </c>
      <c r="S1513" s="1">
        <f t="shared" si="579"/>
        <v>630.90240000000244</v>
      </c>
      <c r="T1513" s="1">
        <f t="shared" si="580"/>
        <v>0</v>
      </c>
      <c r="U1513" s="1">
        <f t="shared" si="581"/>
        <v>0</v>
      </c>
      <c r="V1513" s="1">
        <f t="shared" si="582"/>
        <v>0</v>
      </c>
    </row>
    <row r="1514" spans="5:22" x14ac:dyDescent="0.25">
      <c r="E1514" s="4"/>
      <c r="M1514" s="4">
        <f t="shared" si="575"/>
        <v>173.1</v>
      </c>
      <c r="N1514" s="4"/>
      <c r="O1514" s="1">
        <f t="shared" si="576"/>
        <v>173.1</v>
      </c>
      <c r="P1514" s="1">
        <f t="shared" si="577"/>
        <v>0</v>
      </c>
      <c r="Q1514" s="1" t="str">
        <f t="shared" si="574"/>
        <v/>
      </c>
      <c r="R1514" s="1" t="str">
        <f t="shared" si="578"/>
        <v/>
      </c>
      <c r="S1514" s="1">
        <f t="shared" si="579"/>
        <v>630.90240000000244</v>
      </c>
      <c r="T1514" s="1">
        <f t="shared" si="580"/>
        <v>0</v>
      </c>
      <c r="U1514" s="1">
        <f t="shared" si="581"/>
        <v>0</v>
      </c>
      <c r="V1514" s="1">
        <f t="shared" si="582"/>
        <v>0</v>
      </c>
    </row>
    <row r="1515" spans="5:22" x14ac:dyDescent="0.25">
      <c r="E1515" s="4"/>
      <c r="M1515" s="4">
        <f t="shared" si="575"/>
        <v>173.1</v>
      </c>
      <c r="N1515" s="4"/>
      <c r="O1515" s="1">
        <f t="shared" si="576"/>
        <v>173.1</v>
      </c>
      <c r="P1515" s="1">
        <f t="shared" si="577"/>
        <v>0</v>
      </c>
      <c r="Q1515" s="1" t="str">
        <f t="shared" si="574"/>
        <v/>
      </c>
      <c r="R1515" s="1" t="str">
        <f t="shared" si="578"/>
        <v/>
      </c>
      <c r="S1515" s="1">
        <f t="shared" si="579"/>
        <v>630.90240000000244</v>
      </c>
      <c r="T1515" s="1">
        <f t="shared" si="580"/>
        <v>0</v>
      </c>
      <c r="U1515" s="1">
        <f t="shared" si="581"/>
        <v>0</v>
      </c>
      <c r="V1515" s="1">
        <f t="shared" si="582"/>
        <v>0</v>
      </c>
    </row>
    <row r="1516" spans="5:22" x14ac:dyDescent="0.25">
      <c r="E1516" s="4"/>
      <c r="M1516" s="4">
        <f t="shared" si="575"/>
        <v>173.1</v>
      </c>
      <c r="N1516" s="4"/>
      <c r="O1516" s="1">
        <f t="shared" si="576"/>
        <v>173.1</v>
      </c>
      <c r="P1516" s="1">
        <f t="shared" si="577"/>
        <v>0</v>
      </c>
      <c r="Q1516" s="1" t="str">
        <f t="shared" si="574"/>
        <v/>
      </c>
      <c r="R1516" s="1" t="str">
        <f t="shared" si="578"/>
        <v/>
      </c>
      <c r="S1516" s="1">
        <f t="shared" si="579"/>
        <v>630.90240000000244</v>
      </c>
      <c r="T1516" s="1">
        <f t="shared" si="580"/>
        <v>0</v>
      </c>
      <c r="U1516" s="1">
        <f t="shared" si="581"/>
        <v>0</v>
      </c>
      <c r="V1516" s="1">
        <f t="shared" si="582"/>
        <v>0</v>
      </c>
    </row>
    <row r="1517" spans="5:22" x14ac:dyDescent="0.25">
      <c r="E1517" s="4"/>
      <c r="M1517" s="4">
        <f t="shared" si="575"/>
        <v>173.1</v>
      </c>
      <c r="N1517" s="4"/>
      <c r="O1517" s="1">
        <f t="shared" si="576"/>
        <v>173.1</v>
      </c>
      <c r="P1517" s="1">
        <f t="shared" si="577"/>
        <v>0</v>
      </c>
      <c r="Q1517" s="1" t="str">
        <f t="shared" si="574"/>
        <v/>
      </c>
      <c r="R1517" s="1" t="str">
        <f t="shared" si="578"/>
        <v/>
      </c>
      <c r="S1517" s="1">
        <f t="shared" si="579"/>
        <v>630.90240000000244</v>
      </c>
      <c r="T1517" s="1">
        <f t="shared" si="580"/>
        <v>0</v>
      </c>
      <c r="U1517" s="1">
        <f t="shared" si="581"/>
        <v>0</v>
      </c>
      <c r="V1517" s="1">
        <f t="shared" si="582"/>
        <v>0</v>
      </c>
    </row>
    <row r="1518" spans="5:22" x14ac:dyDescent="0.25">
      <c r="E1518" s="4"/>
      <c r="M1518" s="4">
        <f t="shared" si="575"/>
        <v>173.1</v>
      </c>
      <c r="N1518" s="4"/>
      <c r="O1518" s="1">
        <f t="shared" si="576"/>
        <v>173.1</v>
      </c>
      <c r="P1518" s="1">
        <f t="shared" si="577"/>
        <v>0</v>
      </c>
      <c r="Q1518" s="1" t="str">
        <f t="shared" si="574"/>
        <v/>
      </c>
      <c r="R1518" s="1" t="str">
        <f t="shared" si="578"/>
        <v/>
      </c>
      <c r="S1518" s="1">
        <f t="shared" si="579"/>
        <v>630.90240000000244</v>
      </c>
      <c r="T1518" s="1">
        <f t="shared" si="580"/>
        <v>0</v>
      </c>
      <c r="U1518" s="1">
        <f t="shared" si="581"/>
        <v>0</v>
      </c>
      <c r="V1518" s="1">
        <f t="shared" si="582"/>
        <v>0</v>
      </c>
    </row>
    <row r="1519" spans="5:22" x14ac:dyDescent="0.25">
      <c r="E1519" s="4"/>
      <c r="M1519" s="4">
        <f t="shared" si="575"/>
        <v>173.1</v>
      </c>
      <c r="N1519" s="4"/>
      <c r="O1519" s="1">
        <f t="shared" si="576"/>
        <v>173.1</v>
      </c>
      <c r="P1519" s="1">
        <f t="shared" si="577"/>
        <v>0</v>
      </c>
      <c r="Q1519" s="1" t="str">
        <f t="shared" si="574"/>
        <v/>
      </c>
      <c r="R1519" s="1" t="str">
        <f t="shared" si="578"/>
        <v/>
      </c>
      <c r="S1519" s="1">
        <f t="shared" si="579"/>
        <v>630.90240000000244</v>
      </c>
      <c r="T1519" s="1">
        <f t="shared" si="580"/>
        <v>0</v>
      </c>
      <c r="U1519" s="1">
        <f t="shared" si="581"/>
        <v>0</v>
      </c>
      <c r="V1519" s="1">
        <f t="shared" si="582"/>
        <v>0</v>
      </c>
    </row>
    <row r="1520" spans="5:22" x14ac:dyDescent="0.25">
      <c r="E1520" s="4"/>
      <c r="M1520" s="4">
        <f t="shared" si="575"/>
        <v>173.1</v>
      </c>
      <c r="N1520" s="4"/>
      <c r="O1520" s="1">
        <f t="shared" si="576"/>
        <v>173.1</v>
      </c>
      <c r="P1520" s="1">
        <f t="shared" si="577"/>
        <v>0</v>
      </c>
      <c r="Q1520" s="1" t="str">
        <f t="shared" si="574"/>
        <v/>
      </c>
      <c r="R1520" s="1" t="str">
        <f t="shared" si="578"/>
        <v/>
      </c>
      <c r="S1520" s="1">
        <f t="shared" si="579"/>
        <v>630.90240000000244</v>
      </c>
      <c r="T1520" s="1">
        <f t="shared" si="580"/>
        <v>0</v>
      </c>
      <c r="U1520" s="1">
        <f t="shared" si="581"/>
        <v>0</v>
      </c>
      <c r="V1520" s="1">
        <f t="shared" si="582"/>
        <v>0</v>
      </c>
    </row>
    <row r="1521" spans="5:22" x14ac:dyDescent="0.25">
      <c r="E1521" s="4"/>
      <c r="M1521" s="4">
        <f t="shared" si="575"/>
        <v>173.1</v>
      </c>
      <c r="N1521" s="4"/>
      <c r="O1521" s="1">
        <f t="shared" si="576"/>
        <v>173.1</v>
      </c>
      <c r="P1521" s="1">
        <f t="shared" si="577"/>
        <v>0</v>
      </c>
      <c r="Q1521" s="1" t="str">
        <f t="shared" si="574"/>
        <v/>
      </c>
      <c r="R1521" s="1" t="str">
        <f t="shared" si="578"/>
        <v/>
      </c>
      <c r="S1521" s="1">
        <f t="shared" si="579"/>
        <v>630.90240000000244</v>
      </c>
      <c r="T1521" s="1">
        <f t="shared" si="580"/>
        <v>0</v>
      </c>
      <c r="U1521" s="1">
        <f t="shared" si="581"/>
        <v>0</v>
      </c>
      <c r="V1521" s="1">
        <f t="shared" si="582"/>
        <v>0</v>
      </c>
    </row>
    <row r="1522" spans="5:22" x14ac:dyDescent="0.25">
      <c r="E1522" s="4"/>
      <c r="M1522" s="4">
        <f t="shared" si="575"/>
        <v>173.1</v>
      </c>
      <c r="N1522" s="4"/>
      <c r="O1522" s="1">
        <f t="shared" si="576"/>
        <v>173.1</v>
      </c>
      <c r="P1522" s="1">
        <f t="shared" si="577"/>
        <v>0</v>
      </c>
      <c r="Q1522" s="1" t="str">
        <f t="shared" ref="Q1522:Q1585" si="583">IF(H1522&lt;&gt;"",IF(H1522=H1521,"",H1522),IF(H1520="","",MAX(H1521,Q1521)))</f>
        <v/>
      </c>
      <c r="R1522" s="1" t="str">
        <f t="shared" si="578"/>
        <v/>
      </c>
      <c r="S1522" s="1">
        <f t="shared" si="579"/>
        <v>630.90240000000244</v>
      </c>
      <c r="T1522" s="1">
        <f t="shared" si="580"/>
        <v>0</v>
      </c>
      <c r="U1522" s="1">
        <f t="shared" si="581"/>
        <v>0</v>
      </c>
      <c r="V1522" s="1">
        <f t="shared" si="582"/>
        <v>0</v>
      </c>
    </row>
    <row r="1523" spans="5:22" x14ac:dyDescent="0.25">
      <c r="E1523" s="4"/>
      <c r="M1523" s="4">
        <f t="shared" si="575"/>
        <v>173.1</v>
      </c>
      <c r="N1523" s="4"/>
      <c r="O1523" s="1">
        <f t="shared" si="576"/>
        <v>173.1</v>
      </c>
      <c r="P1523" s="1">
        <f t="shared" si="577"/>
        <v>0</v>
      </c>
      <c r="Q1523" s="1" t="str">
        <f t="shared" si="583"/>
        <v/>
      </c>
      <c r="R1523" s="1" t="str">
        <f t="shared" si="578"/>
        <v/>
      </c>
      <c r="S1523" s="1">
        <f t="shared" si="579"/>
        <v>630.90240000000244</v>
      </c>
      <c r="T1523" s="1">
        <f t="shared" si="580"/>
        <v>0</v>
      </c>
      <c r="U1523" s="1">
        <f t="shared" si="581"/>
        <v>0</v>
      </c>
      <c r="V1523" s="1">
        <f t="shared" si="582"/>
        <v>0</v>
      </c>
    </row>
    <row r="1524" spans="5:22" x14ac:dyDescent="0.25">
      <c r="E1524" s="4"/>
      <c r="M1524" s="4">
        <f t="shared" si="575"/>
        <v>173.1</v>
      </c>
      <c r="N1524" s="4"/>
      <c r="O1524" s="1">
        <f t="shared" si="576"/>
        <v>173.1</v>
      </c>
      <c r="P1524" s="1">
        <f t="shared" si="577"/>
        <v>0</v>
      </c>
      <c r="Q1524" s="1" t="str">
        <f t="shared" si="583"/>
        <v/>
      </c>
      <c r="R1524" s="1" t="str">
        <f t="shared" si="578"/>
        <v/>
      </c>
      <c r="S1524" s="1">
        <f t="shared" si="579"/>
        <v>630.90240000000244</v>
      </c>
      <c r="T1524" s="1">
        <f t="shared" si="580"/>
        <v>0</v>
      </c>
      <c r="U1524" s="1">
        <f t="shared" si="581"/>
        <v>0</v>
      </c>
      <c r="V1524" s="1">
        <f t="shared" si="582"/>
        <v>0</v>
      </c>
    </row>
    <row r="1525" spans="5:22" x14ac:dyDescent="0.25">
      <c r="E1525" s="4"/>
      <c r="M1525" s="4">
        <f t="shared" si="575"/>
        <v>173.1</v>
      </c>
      <c r="N1525" s="4"/>
      <c r="O1525" s="1">
        <f t="shared" si="576"/>
        <v>173.1</v>
      </c>
      <c r="P1525" s="1">
        <f t="shared" si="577"/>
        <v>0</v>
      </c>
      <c r="Q1525" s="1" t="str">
        <f t="shared" si="583"/>
        <v/>
      </c>
      <c r="R1525" s="1" t="str">
        <f t="shared" si="578"/>
        <v/>
      </c>
      <c r="S1525" s="1">
        <f t="shared" si="579"/>
        <v>630.90240000000244</v>
      </c>
      <c r="T1525" s="1">
        <f t="shared" si="580"/>
        <v>0</v>
      </c>
      <c r="U1525" s="1">
        <f t="shared" si="581"/>
        <v>0</v>
      </c>
      <c r="V1525" s="1">
        <f t="shared" si="582"/>
        <v>0</v>
      </c>
    </row>
    <row r="1526" spans="5:22" x14ac:dyDescent="0.25">
      <c r="E1526" s="4"/>
      <c r="M1526" s="4">
        <f t="shared" si="575"/>
        <v>173.1</v>
      </c>
      <c r="N1526" s="4"/>
      <c r="O1526" s="1">
        <f t="shared" si="576"/>
        <v>173.1</v>
      </c>
      <c r="P1526" s="1">
        <f t="shared" si="577"/>
        <v>0</v>
      </c>
      <c r="Q1526" s="1" t="str">
        <f t="shared" si="583"/>
        <v/>
      </c>
      <c r="R1526" s="1" t="str">
        <f t="shared" si="578"/>
        <v/>
      </c>
      <c r="S1526" s="1">
        <f t="shared" si="579"/>
        <v>630.90240000000244</v>
      </c>
      <c r="T1526" s="1">
        <f t="shared" si="580"/>
        <v>0</v>
      </c>
      <c r="U1526" s="1">
        <f t="shared" si="581"/>
        <v>0</v>
      </c>
      <c r="V1526" s="1">
        <f t="shared" si="582"/>
        <v>0</v>
      </c>
    </row>
    <row r="1527" spans="5:22" x14ac:dyDescent="0.25">
      <c r="E1527" s="4"/>
      <c r="M1527" s="4">
        <f t="shared" si="575"/>
        <v>173.1</v>
      </c>
      <c r="N1527" s="4"/>
      <c r="O1527" s="1">
        <f t="shared" si="576"/>
        <v>173.1</v>
      </c>
      <c r="P1527" s="1">
        <f t="shared" si="577"/>
        <v>0</v>
      </c>
      <c r="Q1527" s="1" t="str">
        <f t="shared" si="583"/>
        <v/>
      </c>
      <c r="R1527" s="1" t="str">
        <f t="shared" si="578"/>
        <v/>
      </c>
      <c r="S1527" s="1">
        <f t="shared" si="579"/>
        <v>630.90240000000244</v>
      </c>
      <c r="T1527" s="1">
        <f t="shared" si="580"/>
        <v>0</v>
      </c>
      <c r="U1527" s="1">
        <f t="shared" si="581"/>
        <v>0</v>
      </c>
      <c r="V1527" s="1">
        <f t="shared" si="582"/>
        <v>0</v>
      </c>
    </row>
    <row r="1528" spans="5:22" x14ac:dyDescent="0.25">
      <c r="E1528" s="4"/>
      <c r="M1528" s="4">
        <f t="shared" si="575"/>
        <v>173.1</v>
      </c>
      <c r="N1528" s="4"/>
      <c r="O1528" s="1">
        <f t="shared" si="576"/>
        <v>173.1</v>
      </c>
      <c r="P1528" s="1">
        <f t="shared" si="577"/>
        <v>0</v>
      </c>
      <c r="Q1528" s="1" t="str">
        <f t="shared" si="583"/>
        <v/>
      </c>
      <c r="R1528" s="1" t="str">
        <f t="shared" si="578"/>
        <v/>
      </c>
      <c r="S1528" s="1">
        <f t="shared" si="579"/>
        <v>630.90240000000244</v>
      </c>
      <c r="T1528" s="1">
        <f t="shared" si="580"/>
        <v>0</v>
      </c>
      <c r="U1528" s="1">
        <f t="shared" si="581"/>
        <v>0</v>
      </c>
      <c r="V1528" s="1">
        <f t="shared" si="582"/>
        <v>0</v>
      </c>
    </row>
    <row r="1529" spans="5:22" x14ac:dyDescent="0.25">
      <c r="E1529" s="4"/>
      <c r="M1529" s="4">
        <f t="shared" si="575"/>
        <v>173.1</v>
      </c>
      <c r="N1529" s="4"/>
      <c r="O1529" s="1">
        <f t="shared" si="576"/>
        <v>173.1</v>
      </c>
      <c r="P1529" s="1">
        <f t="shared" si="577"/>
        <v>0</v>
      </c>
      <c r="Q1529" s="1" t="str">
        <f t="shared" si="583"/>
        <v/>
      </c>
      <c r="R1529" s="1" t="str">
        <f t="shared" si="578"/>
        <v/>
      </c>
      <c r="S1529" s="1">
        <f t="shared" si="579"/>
        <v>630.90240000000244</v>
      </c>
      <c r="T1529" s="1">
        <f t="shared" si="580"/>
        <v>0</v>
      </c>
      <c r="U1529" s="1">
        <f t="shared" si="581"/>
        <v>0</v>
      </c>
      <c r="V1529" s="1">
        <f t="shared" si="582"/>
        <v>0</v>
      </c>
    </row>
    <row r="1530" spans="5:22" x14ac:dyDescent="0.25">
      <c r="E1530" s="4"/>
      <c r="M1530" s="4">
        <f t="shared" si="575"/>
        <v>173.1</v>
      </c>
      <c r="N1530" s="4"/>
      <c r="O1530" s="1">
        <f t="shared" si="576"/>
        <v>173.1</v>
      </c>
      <c r="P1530" s="1">
        <f t="shared" si="577"/>
        <v>0</v>
      </c>
      <c r="Q1530" s="1" t="str">
        <f t="shared" si="583"/>
        <v/>
      </c>
      <c r="R1530" s="1" t="str">
        <f t="shared" si="578"/>
        <v/>
      </c>
      <c r="S1530" s="1">
        <f t="shared" si="579"/>
        <v>630.90240000000244</v>
      </c>
      <c r="T1530" s="1">
        <f t="shared" si="580"/>
        <v>0</v>
      </c>
      <c r="U1530" s="1">
        <f t="shared" si="581"/>
        <v>0</v>
      </c>
      <c r="V1530" s="1">
        <f t="shared" si="582"/>
        <v>0</v>
      </c>
    </row>
    <row r="1531" spans="5:22" x14ac:dyDescent="0.25">
      <c r="E1531" s="4"/>
      <c r="M1531" s="4">
        <f t="shared" si="575"/>
        <v>173.1</v>
      </c>
      <c r="N1531" s="4"/>
      <c r="O1531" s="1">
        <f t="shared" si="576"/>
        <v>173.1</v>
      </c>
      <c r="P1531" s="1">
        <f t="shared" si="577"/>
        <v>0</v>
      </c>
      <c r="Q1531" s="1" t="str">
        <f t="shared" si="583"/>
        <v/>
      </c>
      <c r="R1531" s="1" t="str">
        <f t="shared" si="578"/>
        <v/>
      </c>
      <c r="S1531" s="1">
        <f t="shared" si="579"/>
        <v>630.90240000000244</v>
      </c>
      <c r="T1531" s="1">
        <f t="shared" si="580"/>
        <v>0</v>
      </c>
      <c r="U1531" s="1">
        <f t="shared" si="581"/>
        <v>0</v>
      </c>
      <c r="V1531" s="1">
        <f t="shared" si="582"/>
        <v>0</v>
      </c>
    </row>
    <row r="1532" spans="5:22" x14ac:dyDescent="0.25">
      <c r="E1532" s="4"/>
      <c r="M1532" s="4">
        <f t="shared" si="575"/>
        <v>173.1</v>
      </c>
      <c r="N1532" s="4"/>
      <c r="O1532" s="1">
        <f t="shared" si="576"/>
        <v>173.1</v>
      </c>
      <c r="P1532" s="1">
        <f t="shared" si="577"/>
        <v>0</v>
      </c>
      <c r="Q1532" s="1" t="str">
        <f t="shared" si="583"/>
        <v/>
      </c>
      <c r="R1532" s="1" t="str">
        <f t="shared" si="578"/>
        <v/>
      </c>
      <c r="S1532" s="1">
        <f t="shared" si="579"/>
        <v>630.90240000000244</v>
      </c>
      <c r="T1532" s="1">
        <f t="shared" si="580"/>
        <v>0</v>
      </c>
      <c r="U1532" s="1">
        <f t="shared" si="581"/>
        <v>0</v>
      </c>
      <c r="V1532" s="1">
        <f t="shared" si="582"/>
        <v>0</v>
      </c>
    </row>
    <row r="1533" spans="5:22" x14ac:dyDescent="0.25">
      <c r="E1533" s="4"/>
      <c r="M1533" s="4">
        <f t="shared" si="575"/>
        <v>173.1</v>
      </c>
      <c r="N1533" s="4"/>
      <c r="O1533" s="1">
        <f t="shared" si="576"/>
        <v>173.1</v>
      </c>
      <c r="P1533" s="1">
        <f t="shared" si="577"/>
        <v>0</v>
      </c>
      <c r="Q1533" s="1" t="str">
        <f t="shared" si="583"/>
        <v/>
      </c>
      <c r="R1533" s="1" t="str">
        <f t="shared" si="578"/>
        <v/>
      </c>
      <c r="S1533" s="1">
        <f t="shared" si="579"/>
        <v>630.90240000000244</v>
      </c>
      <c r="T1533" s="1">
        <f t="shared" si="580"/>
        <v>0</v>
      </c>
      <c r="U1533" s="1">
        <f t="shared" si="581"/>
        <v>0</v>
      </c>
      <c r="V1533" s="1">
        <f t="shared" si="582"/>
        <v>0</v>
      </c>
    </row>
    <row r="1534" spans="5:22" x14ac:dyDescent="0.25">
      <c r="E1534" s="4"/>
      <c r="M1534" s="4">
        <f t="shared" si="575"/>
        <v>173.1</v>
      </c>
      <c r="N1534" s="4"/>
      <c r="O1534" s="1">
        <f t="shared" si="576"/>
        <v>173.1</v>
      </c>
      <c r="P1534" s="1">
        <f t="shared" si="577"/>
        <v>0</v>
      </c>
      <c r="Q1534" s="1" t="str">
        <f t="shared" si="583"/>
        <v/>
      </c>
      <c r="R1534" s="1" t="str">
        <f t="shared" si="578"/>
        <v/>
      </c>
      <c r="S1534" s="1">
        <f t="shared" si="579"/>
        <v>630.90240000000244</v>
      </c>
      <c r="T1534" s="1">
        <f t="shared" si="580"/>
        <v>0</v>
      </c>
      <c r="U1534" s="1">
        <f t="shared" si="581"/>
        <v>0</v>
      </c>
      <c r="V1534" s="1">
        <f t="shared" si="582"/>
        <v>0</v>
      </c>
    </row>
    <row r="1535" spans="5:22" x14ac:dyDescent="0.25">
      <c r="E1535" s="4"/>
      <c r="M1535" s="4">
        <f t="shared" si="575"/>
        <v>173.1</v>
      </c>
      <c r="N1535" s="4"/>
      <c r="O1535" s="1">
        <f t="shared" si="576"/>
        <v>173.1</v>
      </c>
      <c r="P1535" s="1">
        <f t="shared" si="577"/>
        <v>0</v>
      </c>
      <c r="Q1535" s="1" t="str">
        <f t="shared" si="583"/>
        <v/>
      </c>
      <c r="R1535" s="1" t="str">
        <f t="shared" si="578"/>
        <v/>
      </c>
      <c r="S1535" s="1">
        <f t="shared" si="579"/>
        <v>630.90240000000244</v>
      </c>
      <c r="T1535" s="1">
        <f t="shared" si="580"/>
        <v>0</v>
      </c>
      <c r="U1535" s="1">
        <f t="shared" si="581"/>
        <v>0</v>
      </c>
      <c r="V1535" s="1">
        <f t="shared" si="582"/>
        <v>0</v>
      </c>
    </row>
    <row r="1536" spans="5:22" x14ac:dyDescent="0.25">
      <c r="E1536" s="4"/>
      <c r="M1536" s="4">
        <f t="shared" si="575"/>
        <v>173.1</v>
      </c>
      <c r="N1536" s="4"/>
      <c r="O1536" s="1">
        <f t="shared" si="576"/>
        <v>173.1</v>
      </c>
      <c r="P1536" s="1">
        <f t="shared" si="577"/>
        <v>0</v>
      </c>
      <c r="Q1536" s="1" t="str">
        <f t="shared" si="583"/>
        <v/>
      </c>
      <c r="R1536" s="1" t="str">
        <f t="shared" si="578"/>
        <v/>
      </c>
      <c r="S1536" s="1">
        <f t="shared" si="579"/>
        <v>630.90240000000244</v>
      </c>
      <c r="T1536" s="1">
        <f t="shared" si="580"/>
        <v>0</v>
      </c>
      <c r="U1536" s="1">
        <f t="shared" si="581"/>
        <v>0</v>
      </c>
      <c r="V1536" s="1">
        <f t="shared" si="582"/>
        <v>0</v>
      </c>
    </row>
    <row r="1537" spans="5:22" x14ac:dyDescent="0.25">
      <c r="E1537" s="4"/>
      <c r="M1537" s="4">
        <f t="shared" si="575"/>
        <v>173.1</v>
      </c>
      <c r="N1537" s="4"/>
      <c r="O1537" s="1">
        <f t="shared" si="576"/>
        <v>173.1</v>
      </c>
      <c r="P1537" s="1">
        <f t="shared" si="577"/>
        <v>0</v>
      </c>
      <c r="Q1537" s="1" t="str">
        <f t="shared" si="583"/>
        <v/>
      </c>
      <c r="R1537" s="1" t="str">
        <f t="shared" si="578"/>
        <v/>
      </c>
      <c r="S1537" s="1">
        <f t="shared" si="579"/>
        <v>630.90240000000244</v>
      </c>
      <c r="T1537" s="1">
        <f t="shared" si="580"/>
        <v>0</v>
      </c>
      <c r="U1537" s="1">
        <f t="shared" si="581"/>
        <v>0</v>
      </c>
      <c r="V1537" s="1">
        <f t="shared" si="582"/>
        <v>0</v>
      </c>
    </row>
    <row r="1538" spans="5:22" x14ac:dyDescent="0.25">
      <c r="E1538" s="4"/>
      <c r="M1538" s="4">
        <f t="shared" si="575"/>
        <v>173.1</v>
      </c>
      <c r="N1538" s="4"/>
      <c r="O1538" s="1">
        <f t="shared" si="576"/>
        <v>173.1</v>
      </c>
      <c r="P1538" s="1">
        <f t="shared" si="577"/>
        <v>0</v>
      </c>
      <c r="Q1538" s="1" t="str">
        <f t="shared" si="583"/>
        <v/>
      </c>
      <c r="R1538" s="1" t="str">
        <f t="shared" si="578"/>
        <v/>
      </c>
      <c r="S1538" s="1">
        <f t="shared" si="579"/>
        <v>630.90240000000244</v>
      </c>
      <c r="T1538" s="1">
        <f t="shared" si="580"/>
        <v>0</v>
      </c>
      <c r="U1538" s="1">
        <f t="shared" si="581"/>
        <v>0</v>
      </c>
      <c r="V1538" s="1">
        <f t="shared" si="582"/>
        <v>0</v>
      </c>
    </row>
    <row r="1539" spans="5:22" x14ac:dyDescent="0.25">
      <c r="E1539" s="4"/>
      <c r="M1539" s="4">
        <f t="shared" si="575"/>
        <v>173.1</v>
      </c>
      <c r="N1539" s="4"/>
      <c r="O1539" s="1">
        <f t="shared" si="576"/>
        <v>173.1</v>
      </c>
      <c r="P1539" s="1">
        <f t="shared" si="577"/>
        <v>0</v>
      </c>
      <c r="Q1539" s="1" t="str">
        <f t="shared" si="583"/>
        <v/>
      </c>
      <c r="R1539" s="1" t="str">
        <f t="shared" si="578"/>
        <v/>
      </c>
      <c r="S1539" s="1">
        <f t="shared" si="579"/>
        <v>630.90240000000244</v>
      </c>
      <c r="T1539" s="1">
        <f t="shared" si="580"/>
        <v>0</v>
      </c>
      <c r="U1539" s="1">
        <f t="shared" si="581"/>
        <v>0</v>
      </c>
      <c r="V1539" s="1">
        <f t="shared" si="582"/>
        <v>0</v>
      </c>
    </row>
    <row r="1540" spans="5:22" x14ac:dyDescent="0.25">
      <c r="E1540" s="4"/>
      <c r="M1540" s="4">
        <f t="shared" si="575"/>
        <v>173.1</v>
      </c>
      <c r="N1540" s="4"/>
      <c r="O1540" s="1">
        <f t="shared" si="576"/>
        <v>173.1</v>
      </c>
      <c r="P1540" s="1">
        <f t="shared" si="577"/>
        <v>0</v>
      </c>
      <c r="Q1540" s="1" t="str">
        <f t="shared" si="583"/>
        <v/>
      </c>
      <c r="R1540" s="1" t="str">
        <f t="shared" si="578"/>
        <v/>
      </c>
      <c r="S1540" s="1">
        <f t="shared" si="579"/>
        <v>630.90240000000244</v>
      </c>
      <c r="T1540" s="1">
        <f t="shared" si="580"/>
        <v>0</v>
      </c>
      <c r="U1540" s="1">
        <f t="shared" si="581"/>
        <v>0</v>
      </c>
      <c r="V1540" s="1">
        <f t="shared" si="582"/>
        <v>0</v>
      </c>
    </row>
    <row r="1541" spans="5:22" x14ac:dyDescent="0.25">
      <c r="E1541" s="4"/>
      <c r="M1541" s="4">
        <f t="shared" si="575"/>
        <v>173.1</v>
      </c>
      <c r="N1541" s="4"/>
      <c r="O1541" s="1">
        <f t="shared" si="576"/>
        <v>173.1</v>
      </c>
      <c r="P1541" s="1">
        <f t="shared" si="577"/>
        <v>0</v>
      </c>
      <c r="Q1541" s="1" t="str">
        <f t="shared" si="583"/>
        <v/>
      </c>
      <c r="R1541" s="1" t="str">
        <f t="shared" si="578"/>
        <v/>
      </c>
      <c r="S1541" s="1">
        <f t="shared" si="579"/>
        <v>630.90240000000244</v>
      </c>
      <c r="T1541" s="1">
        <f t="shared" si="580"/>
        <v>0</v>
      </c>
      <c r="U1541" s="1">
        <f t="shared" si="581"/>
        <v>0</v>
      </c>
      <c r="V1541" s="1">
        <f t="shared" si="582"/>
        <v>0</v>
      </c>
    </row>
    <row r="1542" spans="5:22" x14ac:dyDescent="0.25">
      <c r="E1542" s="4"/>
      <c r="M1542" s="4">
        <f t="shared" si="575"/>
        <v>173.1</v>
      </c>
      <c r="N1542" s="4"/>
      <c r="O1542" s="1">
        <f t="shared" si="576"/>
        <v>173.1</v>
      </c>
      <c r="P1542" s="1">
        <f t="shared" si="577"/>
        <v>0</v>
      </c>
      <c r="Q1542" s="1" t="str">
        <f t="shared" si="583"/>
        <v/>
      </c>
      <c r="R1542" s="1" t="str">
        <f t="shared" si="578"/>
        <v/>
      </c>
      <c r="S1542" s="1">
        <f t="shared" si="579"/>
        <v>630.90240000000244</v>
      </c>
      <c r="T1542" s="1">
        <f t="shared" si="580"/>
        <v>0</v>
      </c>
      <c r="U1542" s="1">
        <f t="shared" si="581"/>
        <v>0</v>
      </c>
      <c r="V1542" s="1">
        <f t="shared" si="582"/>
        <v>0</v>
      </c>
    </row>
    <row r="1543" spans="5:22" x14ac:dyDescent="0.25">
      <c r="E1543" s="4"/>
      <c r="M1543" s="4">
        <f t="shared" si="575"/>
        <v>173.1</v>
      </c>
      <c r="N1543" s="4"/>
      <c r="O1543" s="1">
        <f t="shared" si="576"/>
        <v>173.1</v>
      </c>
      <c r="P1543" s="1">
        <f t="shared" si="577"/>
        <v>0</v>
      </c>
      <c r="Q1543" s="1" t="str">
        <f t="shared" si="583"/>
        <v/>
      </c>
      <c r="R1543" s="1" t="str">
        <f t="shared" si="578"/>
        <v/>
      </c>
      <c r="S1543" s="1">
        <f t="shared" si="579"/>
        <v>630.90240000000244</v>
      </c>
      <c r="T1543" s="1">
        <f t="shared" si="580"/>
        <v>0</v>
      </c>
      <c r="U1543" s="1">
        <f t="shared" si="581"/>
        <v>0</v>
      </c>
      <c r="V1543" s="1">
        <f t="shared" si="582"/>
        <v>0</v>
      </c>
    </row>
    <row r="1544" spans="5:22" x14ac:dyDescent="0.25">
      <c r="E1544" s="4"/>
      <c r="M1544" s="4">
        <f t="shared" ref="M1544:M1607" si="584">E1544+M1543</f>
        <v>173.1</v>
      </c>
      <c r="N1544" s="4"/>
      <c r="O1544" s="1">
        <f t="shared" ref="O1544:O1607" si="585">E1543+O1543</f>
        <v>173.1</v>
      </c>
      <c r="P1544" s="1">
        <f t="shared" ref="P1544:P1607" si="586">F1544*52.8*E1544</f>
        <v>0</v>
      </c>
      <c r="Q1544" s="1" t="str">
        <f t="shared" si="583"/>
        <v/>
      </c>
      <c r="R1544" s="1" t="str">
        <f t="shared" ref="R1544:R1607" si="587">IF(I1544="",Q1544,IF(AND(H1544=H1543,I1544=I1543),"",I1544))</f>
        <v/>
      </c>
      <c r="S1544" s="1">
        <f t="shared" ref="S1544:S1607" si="588">S1543+U1543*T1543/100</f>
        <v>630.90240000000244</v>
      </c>
      <c r="T1544" s="1">
        <f t="shared" ref="T1544:T1607" si="589">IF(G1544="UNK",0,G1544)</f>
        <v>0</v>
      </c>
      <c r="U1544" s="1">
        <f t="shared" ref="U1544:U1607" si="590">E1544*5280</f>
        <v>0</v>
      </c>
      <c r="V1544" s="1">
        <f t="shared" ref="V1544:V1607" si="591">ABS(T1544*U1544)</f>
        <v>0</v>
      </c>
    </row>
    <row r="1545" spans="5:22" x14ac:dyDescent="0.25">
      <c r="E1545" s="4"/>
      <c r="M1545" s="4">
        <f t="shared" si="584"/>
        <v>173.1</v>
      </c>
      <c r="N1545" s="4"/>
      <c r="O1545" s="1">
        <f t="shared" si="585"/>
        <v>173.1</v>
      </c>
      <c r="P1545" s="1">
        <f t="shared" si="586"/>
        <v>0</v>
      </c>
      <c r="Q1545" s="1" t="str">
        <f t="shared" si="583"/>
        <v/>
      </c>
      <c r="R1545" s="1" t="str">
        <f t="shared" si="587"/>
        <v/>
      </c>
      <c r="S1545" s="1">
        <f t="shared" si="588"/>
        <v>630.90240000000244</v>
      </c>
      <c r="T1545" s="1">
        <f t="shared" si="589"/>
        <v>0</v>
      </c>
      <c r="U1545" s="1">
        <f t="shared" si="590"/>
        <v>0</v>
      </c>
      <c r="V1545" s="1">
        <f t="shared" si="591"/>
        <v>0</v>
      </c>
    </row>
    <row r="1546" spans="5:22" x14ac:dyDescent="0.25">
      <c r="E1546" s="4"/>
      <c r="M1546" s="4">
        <f t="shared" si="584"/>
        <v>173.1</v>
      </c>
      <c r="N1546" s="4"/>
      <c r="O1546" s="1">
        <f t="shared" si="585"/>
        <v>173.1</v>
      </c>
      <c r="P1546" s="1">
        <f t="shared" si="586"/>
        <v>0</v>
      </c>
      <c r="Q1546" s="1" t="str">
        <f t="shared" si="583"/>
        <v/>
      </c>
      <c r="R1546" s="1" t="str">
        <f t="shared" si="587"/>
        <v/>
      </c>
      <c r="S1546" s="1">
        <f t="shared" si="588"/>
        <v>630.90240000000244</v>
      </c>
      <c r="T1546" s="1">
        <f t="shared" si="589"/>
        <v>0</v>
      </c>
      <c r="U1546" s="1">
        <f t="shared" si="590"/>
        <v>0</v>
      </c>
      <c r="V1546" s="1">
        <f t="shared" si="591"/>
        <v>0</v>
      </c>
    </row>
    <row r="1547" spans="5:22" x14ac:dyDescent="0.25">
      <c r="E1547" s="4"/>
      <c r="M1547" s="4">
        <f t="shared" si="584"/>
        <v>173.1</v>
      </c>
      <c r="N1547" s="4"/>
      <c r="O1547" s="1">
        <f t="shared" si="585"/>
        <v>173.1</v>
      </c>
      <c r="P1547" s="1">
        <f t="shared" si="586"/>
        <v>0</v>
      </c>
      <c r="Q1547" s="1" t="str">
        <f t="shared" si="583"/>
        <v/>
      </c>
      <c r="R1547" s="1" t="str">
        <f t="shared" si="587"/>
        <v/>
      </c>
      <c r="S1547" s="1">
        <f t="shared" si="588"/>
        <v>630.90240000000244</v>
      </c>
      <c r="T1547" s="1">
        <f t="shared" si="589"/>
        <v>0</v>
      </c>
      <c r="U1547" s="1">
        <f t="shared" si="590"/>
        <v>0</v>
      </c>
      <c r="V1547" s="1">
        <f t="shared" si="591"/>
        <v>0</v>
      </c>
    </row>
    <row r="1548" spans="5:22" x14ac:dyDescent="0.25">
      <c r="E1548" s="4"/>
      <c r="M1548" s="4">
        <f t="shared" si="584"/>
        <v>173.1</v>
      </c>
      <c r="N1548" s="4"/>
      <c r="O1548" s="1">
        <f t="shared" si="585"/>
        <v>173.1</v>
      </c>
      <c r="P1548" s="1">
        <f t="shared" si="586"/>
        <v>0</v>
      </c>
      <c r="Q1548" s="1" t="str">
        <f t="shared" si="583"/>
        <v/>
      </c>
      <c r="R1548" s="1" t="str">
        <f t="shared" si="587"/>
        <v/>
      </c>
      <c r="S1548" s="1">
        <f t="shared" si="588"/>
        <v>630.90240000000244</v>
      </c>
      <c r="T1548" s="1">
        <f t="shared" si="589"/>
        <v>0</v>
      </c>
      <c r="U1548" s="1">
        <f t="shared" si="590"/>
        <v>0</v>
      </c>
      <c r="V1548" s="1">
        <f t="shared" si="591"/>
        <v>0</v>
      </c>
    </row>
    <row r="1549" spans="5:22" x14ac:dyDescent="0.25">
      <c r="E1549" s="4"/>
      <c r="M1549" s="4">
        <f t="shared" si="584"/>
        <v>173.1</v>
      </c>
      <c r="N1549" s="4"/>
      <c r="O1549" s="1">
        <f t="shared" si="585"/>
        <v>173.1</v>
      </c>
      <c r="P1549" s="1">
        <f t="shared" si="586"/>
        <v>0</v>
      </c>
      <c r="Q1549" s="1" t="str">
        <f t="shared" si="583"/>
        <v/>
      </c>
      <c r="R1549" s="1" t="str">
        <f t="shared" si="587"/>
        <v/>
      </c>
      <c r="S1549" s="1">
        <f t="shared" si="588"/>
        <v>630.90240000000244</v>
      </c>
      <c r="T1549" s="1">
        <f t="shared" si="589"/>
        <v>0</v>
      </c>
      <c r="U1549" s="1">
        <f t="shared" si="590"/>
        <v>0</v>
      </c>
      <c r="V1549" s="1">
        <f t="shared" si="591"/>
        <v>0</v>
      </c>
    </row>
    <row r="1550" spans="5:22" x14ac:dyDescent="0.25">
      <c r="E1550" s="4"/>
      <c r="M1550" s="4">
        <f t="shared" si="584"/>
        <v>173.1</v>
      </c>
      <c r="N1550" s="4"/>
      <c r="O1550" s="1">
        <f t="shared" si="585"/>
        <v>173.1</v>
      </c>
      <c r="P1550" s="1">
        <f t="shared" si="586"/>
        <v>0</v>
      </c>
      <c r="Q1550" s="1" t="str">
        <f t="shared" si="583"/>
        <v/>
      </c>
      <c r="R1550" s="1" t="str">
        <f t="shared" si="587"/>
        <v/>
      </c>
      <c r="S1550" s="1">
        <f t="shared" si="588"/>
        <v>630.90240000000244</v>
      </c>
      <c r="T1550" s="1">
        <f t="shared" si="589"/>
        <v>0</v>
      </c>
      <c r="U1550" s="1">
        <f t="shared" si="590"/>
        <v>0</v>
      </c>
      <c r="V1550" s="1">
        <f t="shared" si="591"/>
        <v>0</v>
      </c>
    </row>
    <row r="1551" spans="5:22" x14ac:dyDescent="0.25">
      <c r="E1551" s="4"/>
      <c r="M1551" s="4">
        <f t="shared" si="584"/>
        <v>173.1</v>
      </c>
      <c r="N1551" s="4"/>
      <c r="O1551" s="1">
        <f t="shared" si="585"/>
        <v>173.1</v>
      </c>
      <c r="P1551" s="1">
        <f t="shared" si="586"/>
        <v>0</v>
      </c>
      <c r="Q1551" s="1" t="str">
        <f t="shared" si="583"/>
        <v/>
      </c>
      <c r="R1551" s="1" t="str">
        <f t="shared" si="587"/>
        <v/>
      </c>
      <c r="S1551" s="1">
        <f t="shared" si="588"/>
        <v>630.90240000000244</v>
      </c>
      <c r="T1551" s="1">
        <f t="shared" si="589"/>
        <v>0</v>
      </c>
      <c r="U1551" s="1">
        <f t="shared" si="590"/>
        <v>0</v>
      </c>
      <c r="V1551" s="1">
        <f t="shared" si="591"/>
        <v>0</v>
      </c>
    </row>
    <row r="1552" spans="5:22" x14ac:dyDescent="0.25">
      <c r="E1552" s="4"/>
      <c r="M1552" s="4">
        <f t="shared" si="584"/>
        <v>173.1</v>
      </c>
      <c r="N1552" s="4"/>
      <c r="O1552" s="1">
        <f t="shared" si="585"/>
        <v>173.1</v>
      </c>
      <c r="P1552" s="1">
        <f t="shared" si="586"/>
        <v>0</v>
      </c>
      <c r="Q1552" s="1" t="str">
        <f t="shared" si="583"/>
        <v/>
      </c>
      <c r="R1552" s="1" t="str">
        <f t="shared" si="587"/>
        <v/>
      </c>
      <c r="S1552" s="1">
        <f t="shared" si="588"/>
        <v>630.90240000000244</v>
      </c>
      <c r="T1552" s="1">
        <f t="shared" si="589"/>
        <v>0</v>
      </c>
      <c r="U1552" s="1">
        <f t="shared" si="590"/>
        <v>0</v>
      </c>
      <c r="V1552" s="1">
        <f t="shared" si="591"/>
        <v>0</v>
      </c>
    </row>
    <row r="1553" spans="5:22" x14ac:dyDescent="0.25">
      <c r="E1553" s="4"/>
      <c r="M1553" s="4">
        <f t="shared" si="584"/>
        <v>173.1</v>
      </c>
      <c r="N1553" s="4"/>
      <c r="O1553" s="1">
        <f t="shared" si="585"/>
        <v>173.1</v>
      </c>
      <c r="P1553" s="1">
        <f t="shared" si="586"/>
        <v>0</v>
      </c>
      <c r="Q1553" s="1" t="str">
        <f t="shared" si="583"/>
        <v/>
      </c>
      <c r="R1553" s="1" t="str">
        <f t="shared" si="587"/>
        <v/>
      </c>
      <c r="S1553" s="1">
        <f t="shared" si="588"/>
        <v>630.90240000000244</v>
      </c>
      <c r="T1553" s="1">
        <f t="shared" si="589"/>
        <v>0</v>
      </c>
      <c r="U1553" s="1">
        <f t="shared" si="590"/>
        <v>0</v>
      </c>
      <c r="V1553" s="1">
        <f t="shared" si="591"/>
        <v>0</v>
      </c>
    </row>
    <row r="1554" spans="5:22" x14ac:dyDescent="0.25">
      <c r="E1554" s="4"/>
      <c r="M1554" s="4">
        <f t="shared" si="584"/>
        <v>173.1</v>
      </c>
      <c r="N1554" s="4"/>
      <c r="O1554" s="1">
        <f t="shared" si="585"/>
        <v>173.1</v>
      </c>
      <c r="P1554" s="1">
        <f t="shared" si="586"/>
        <v>0</v>
      </c>
      <c r="Q1554" s="1" t="str">
        <f t="shared" si="583"/>
        <v/>
      </c>
      <c r="R1554" s="1" t="str">
        <f t="shared" si="587"/>
        <v/>
      </c>
      <c r="S1554" s="1">
        <f t="shared" si="588"/>
        <v>630.90240000000244</v>
      </c>
      <c r="T1554" s="1">
        <f t="shared" si="589"/>
        <v>0</v>
      </c>
      <c r="U1554" s="1">
        <f t="shared" si="590"/>
        <v>0</v>
      </c>
      <c r="V1554" s="1">
        <f t="shared" si="591"/>
        <v>0</v>
      </c>
    </row>
    <row r="1555" spans="5:22" x14ac:dyDescent="0.25">
      <c r="E1555" s="4"/>
      <c r="M1555" s="4">
        <f t="shared" si="584"/>
        <v>173.1</v>
      </c>
      <c r="N1555" s="4"/>
      <c r="O1555" s="1">
        <f t="shared" si="585"/>
        <v>173.1</v>
      </c>
      <c r="P1555" s="1">
        <f t="shared" si="586"/>
        <v>0</v>
      </c>
      <c r="Q1555" s="1" t="str">
        <f t="shared" si="583"/>
        <v/>
      </c>
      <c r="R1555" s="1" t="str">
        <f t="shared" si="587"/>
        <v/>
      </c>
      <c r="S1555" s="1">
        <f t="shared" si="588"/>
        <v>630.90240000000244</v>
      </c>
      <c r="T1555" s="1">
        <f t="shared" si="589"/>
        <v>0</v>
      </c>
      <c r="U1555" s="1">
        <f t="shared" si="590"/>
        <v>0</v>
      </c>
      <c r="V1555" s="1">
        <f t="shared" si="591"/>
        <v>0</v>
      </c>
    </row>
    <row r="1556" spans="5:22" x14ac:dyDescent="0.25">
      <c r="E1556" s="4"/>
      <c r="M1556" s="4">
        <f t="shared" si="584"/>
        <v>173.1</v>
      </c>
      <c r="N1556" s="4"/>
      <c r="O1556" s="1">
        <f t="shared" si="585"/>
        <v>173.1</v>
      </c>
      <c r="P1556" s="1">
        <f t="shared" si="586"/>
        <v>0</v>
      </c>
      <c r="Q1556" s="1" t="str">
        <f t="shared" si="583"/>
        <v/>
      </c>
      <c r="R1556" s="1" t="str">
        <f t="shared" si="587"/>
        <v/>
      </c>
      <c r="S1556" s="1">
        <f t="shared" si="588"/>
        <v>630.90240000000244</v>
      </c>
      <c r="T1556" s="1">
        <f t="shared" si="589"/>
        <v>0</v>
      </c>
      <c r="U1556" s="1">
        <f t="shared" si="590"/>
        <v>0</v>
      </c>
      <c r="V1556" s="1">
        <f t="shared" si="591"/>
        <v>0</v>
      </c>
    </row>
    <row r="1557" spans="5:22" x14ac:dyDescent="0.25">
      <c r="E1557" s="4"/>
      <c r="M1557" s="4">
        <f t="shared" si="584"/>
        <v>173.1</v>
      </c>
      <c r="N1557" s="4"/>
      <c r="O1557" s="1">
        <f t="shared" si="585"/>
        <v>173.1</v>
      </c>
      <c r="P1557" s="1">
        <f t="shared" si="586"/>
        <v>0</v>
      </c>
      <c r="Q1557" s="1" t="str">
        <f t="shared" si="583"/>
        <v/>
      </c>
      <c r="R1557" s="1" t="str">
        <f t="shared" si="587"/>
        <v/>
      </c>
      <c r="S1557" s="1">
        <f t="shared" si="588"/>
        <v>630.90240000000244</v>
      </c>
      <c r="T1557" s="1">
        <f t="shared" si="589"/>
        <v>0</v>
      </c>
      <c r="U1557" s="1">
        <f t="shared" si="590"/>
        <v>0</v>
      </c>
      <c r="V1557" s="1">
        <f t="shared" si="591"/>
        <v>0</v>
      </c>
    </row>
    <row r="1558" spans="5:22" x14ac:dyDescent="0.25">
      <c r="E1558" s="4"/>
      <c r="M1558" s="4">
        <f t="shared" si="584"/>
        <v>173.1</v>
      </c>
      <c r="N1558" s="4"/>
      <c r="O1558" s="1">
        <f t="shared" si="585"/>
        <v>173.1</v>
      </c>
      <c r="P1558" s="1">
        <f t="shared" si="586"/>
        <v>0</v>
      </c>
      <c r="Q1558" s="1" t="str">
        <f t="shared" si="583"/>
        <v/>
      </c>
      <c r="R1558" s="1" t="str">
        <f t="shared" si="587"/>
        <v/>
      </c>
      <c r="S1558" s="1">
        <f t="shared" si="588"/>
        <v>630.90240000000244</v>
      </c>
      <c r="T1558" s="1">
        <f t="shared" si="589"/>
        <v>0</v>
      </c>
      <c r="U1558" s="1">
        <f t="shared" si="590"/>
        <v>0</v>
      </c>
      <c r="V1558" s="1">
        <f t="shared" si="591"/>
        <v>0</v>
      </c>
    </row>
    <row r="1559" spans="5:22" x14ac:dyDescent="0.25">
      <c r="E1559" s="4"/>
      <c r="M1559" s="4">
        <f t="shared" si="584"/>
        <v>173.1</v>
      </c>
      <c r="N1559" s="4"/>
      <c r="O1559" s="1">
        <f t="shared" si="585"/>
        <v>173.1</v>
      </c>
      <c r="P1559" s="1">
        <f t="shared" si="586"/>
        <v>0</v>
      </c>
      <c r="Q1559" s="1" t="str">
        <f t="shared" si="583"/>
        <v/>
      </c>
      <c r="R1559" s="1" t="str">
        <f t="shared" si="587"/>
        <v/>
      </c>
      <c r="S1559" s="1">
        <f t="shared" si="588"/>
        <v>630.90240000000244</v>
      </c>
      <c r="T1559" s="1">
        <f t="shared" si="589"/>
        <v>0</v>
      </c>
      <c r="U1559" s="1">
        <f t="shared" si="590"/>
        <v>0</v>
      </c>
      <c r="V1559" s="1">
        <f t="shared" si="591"/>
        <v>0</v>
      </c>
    </row>
    <row r="1560" spans="5:22" x14ac:dyDescent="0.25">
      <c r="E1560" s="4"/>
      <c r="M1560" s="4">
        <f t="shared" si="584"/>
        <v>173.1</v>
      </c>
      <c r="N1560" s="4"/>
      <c r="O1560" s="1">
        <f t="shared" si="585"/>
        <v>173.1</v>
      </c>
      <c r="P1560" s="1">
        <f t="shared" si="586"/>
        <v>0</v>
      </c>
      <c r="Q1560" s="1" t="str">
        <f t="shared" si="583"/>
        <v/>
      </c>
      <c r="R1560" s="1" t="str">
        <f t="shared" si="587"/>
        <v/>
      </c>
      <c r="S1560" s="1">
        <f t="shared" si="588"/>
        <v>630.90240000000244</v>
      </c>
      <c r="T1560" s="1">
        <f t="shared" si="589"/>
        <v>0</v>
      </c>
      <c r="U1560" s="1">
        <f t="shared" si="590"/>
        <v>0</v>
      </c>
      <c r="V1560" s="1">
        <f t="shared" si="591"/>
        <v>0</v>
      </c>
    </row>
    <row r="1561" spans="5:22" x14ac:dyDescent="0.25">
      <c r="E1561" s="4"/>
      <c r="M1561" s="4">
        <f t="shared" si="584"/>
        <v>173.1</v>
      </c>
      <c r="N1561" s="4"/>
      <c r="O1561" s="1">
        <f t="shared" si="585"/>
        <v>173.1</v>
      </c>
      <c r="P1561" s="1">
        <f t="shared" si="586"/>
        <v>0</v>
      </c>
      <c r="Q1561" s="1" t="str">
        <f t="shared" si="583"/>
        <v/>
      </c>
      <c r="R1561" s="1" t="str">
        <f t="shared" si="587"/>
        <v/>
      </c>
      <c r="S1561" s="1">
        <f t="shared" si="588"/>
        <v>630.90240000000244</v>
      </c>
      <c r="T1561" s="1">
        <f t="shared" si="589"/>
        <v>0</v>
      </c>
      <c r="U1561" s="1">
        <f t="shared" si="590"/>
        <v>0</v>
      </c>
      <c r="V1561" s="1">
        <f t="shared" si="591"/>
        <v>0</v>
      </c>
    </row>
    <row r="1562" spans="5:22" x14ac:dyDescent="0.25">
      <c r="E1562" s="4"/>
      <c r="M1562" s="4">
        <f t="shared" si="584"/>
        <v>173.1</v>
      </c>
      <c r="N1562" s="4"/>
      <c r="O1562" s="1">
        <f t="shared" si="585"/>
        <v>173.1</v>
      </c>
      <c r="P1562" s="1">
        <f t="shared" si="586"/>
        <v>0</v>
      </c>
      <c r="Q1562" s="1" t="str">
        <f t="shared" si="583"/>
        <v/>
      </c>
      <c r="R1562" s="1" t="str">
        <f t="shared" si="587"/>
        <v/>
      </c>
      <c r="S1562" s="1">
        <f t="shared" si="588"/>
        <v>630.90240000000244</v>
      </c>
      <c r="T1562" s="1">
        <f t="shared" si="589"/>
        <v>0</v>
      </c>
      <c r="U1562" s="1">
        <f t="shared" si="590"/>
        <v>0</v>
      </c>
      <c r="V1562" s="1">
        <f t="shared" si="591"/>
        <v>0</v>
      </c>
    </row>
    <row r="1563" spans="5:22" x14ac:dyDescent="0.25">
      <c r="E1563" s="4"/>
      <c r="M1563" s="4">
        <f t="shared" si="584"/>
        <v>173.1</v>
      </c>
      <c r="N1563" s="4"/>
      <c r="O1563" s="1">
        <f t="shared" si="585"/>
        <v>173.1</v>
      </c>
      <c r="P1563" s="1">
        <f t="shared" si="586"/>
        <v>0</v>
      </c>
      <c r="Q1563" s="1" t="str">
        <f t="shared" si="583"/>
        <v/>
      </c>
      <c r="R1563" s="1" t="str">
        <f t="shared" si="587"/>
        <v/>
      </c>
      <c r="S1563" s="1">
        <f t="shared" si="588"/>
        <v>630.90240000000244</v>
      </c>
      <c r="T1563" s="1">
        <f t="shared" si="589"/>
        <v>0</v>
      </c>
      <c r="U1563" s="1">
        <f t="shared" si="590"/>
        <v>0</v>
      </c>
      <c r="V1563" s="1">
        <f t="shared" si="591"/>
        <v>0</v>
      </c>
    </row>
    <row r="1564" spans="5:22" x14ac:dyDescent="0.25">
      <c r="E1564" s="4"/>
      <c r="M1564" s="4">
        <f t="shared" si="584"/>
        <v>173.1</v>
      </c>
      <c r="N1564" s="4"/>
      <c r="O1564" s="1">
        <f t="shared" si="585"/>
        <v>173.1</v>
      </c>
      <c r="P1564" s="1">
        <f t="shared" si="586"/>
        <v>0</v>
      </c>
      <c r="Q1564" s="1" t="str">
        <f t="shared" si="583"/>
        <v/>
      </c>
      <c r="R1564" s="1" t="str">
        <f t="shared" si="587"/>
        <v/>
      </c>
      <c r="S1564" s="1">
        <f t="shared" si="588"/>
        <v>630.90240000000244</v>
      </c>
      <c r="T1564" s="1">
        <f t="shared" si="589"/>
        <v>0</v>
      </c>
      <c r="U1564" s="1">
        <f t="shared" si="590"/>
        <v>0</v>
      </c>
      <c r="V1564" s="1">
        <f t="shared" si="591"/>
        <v>0</v>
      </c>
    </row>
    <row r="1565" spans="5:22" x14ac:dyDescent="0.25">
      <c r="E1565" s="4"/>
      <c r="M1565" s="4">
        <f t="shared" si="584"/>
        <v>173.1</v>
      </c>
      <c r="N1565" s="4"/>
      <c r="O1565" s="1">
        <f t="shared" si="585"/>
        <v>173.1</v>
      </c>
      <c r="P1565" s="1">
        <f t="shared" si="586"/>
        <v>0</v>
      </c>
      <c r="Q1565" s="1" t="str">
        <f t="shared" si="583"/>
        <v/>
      </c>
      <c r="R1565" s="1" t="str">
        <f t="shared" si="587"/>
        <v/>
      </c>
      <c r="S1565" s="1">
        <f t="shared" si="588"/>
        <v>630.90240000000244</v>
      </c>
      <c r="T1565" s="1">
        <f t="shared" si="589"/>
        <v>0</v>
      </c>
      <c r="U1565" s="1">
        <f t="shared" si="590"/>
        <v>0</v>
      </c>
      <c r="V1565" s="1">
        <f t="shared" si="591"/>
        <v>0</v>
      </c>
    </row>
    <row r="1566" spans="5:22" x14ac:dyDescent="0.25">
      <c r="E1566" s="4"/>
      <c r="M1566" s="4">
        <f t="shared" si="584"/>
        <v>173.1</v>
      </c>
      <c r="N1566" s="4"/>
      <c r="O1566" s="1">
        <f t="shared" si="585"/>
        <v>173.1</v>
      </c>
      <c r="P1566" s="1">
        <f t="shared" si="586"/>
        <v>0</v>
      </c>
      <c r="Q1566" s="1" t="str">
        <f t="shared" si="583"/>
        <v/>
      </c>
      <c r="R1566" s="1" t="str">
        <f t="shared" si="587"/>
        <v/>
      </c>
      <c r="S1566" s="1">
        <f t="shared" si="588"/>
        <v>630.90240000000244</v>
      </c>
      <c r="T1566" s="1">
        <f t="shared" si="589"/>
        <v>0</v>
      </c>
      <c r="U1566" s="1">
        <f t="shared" si="590"/>
        <v>0</v>
      </c>
      <c r="V1566" s="1">
        <f t="shared" si="591"/>
        <v>0</v>
      </c>
    </row>
    <row r="1567" spans="5:22" x14ac:dyDescent="0.25">
      <c r="E1567" s="4"/>
      <c r="M1567" s="4">
        <f t="shared" si="584"/>
        <v>173.1</v>
      </c>
      <c r="N1567" s="4"/>
      <c r="O1567" s="1">
        <f t="shared" si="585"/>
        <v>173.1</v>
      </c>
      <c r="P1567" s="1">
        <f t="shared" si="586"/>
        <v>0</v>
      </c>
      <c r="Q1567" s="1" t="str">
        <f t="shared" si="583"/>
        <v/>
      </c>
      <c r="R1567" s="1" t="str">
        <f t="shared" si="587"/>
        <v/>
      </c>
      <c r="S1567" s="1">
        <f t="shared" si="588"/>
        <v>630.90240000000244</v>
      </c>
      <c r="T1567" s="1">
        <f t="shared" si="589"/>
        <v>0</v>
      </c>
      <c r="U1567" s="1">
        <f t="shared" si="590"/>
        <v>0</v>
      </c>
      <c r="V1567" s="1">
        <f t="shared" si="591"/>
        <v>0</v>
      </c>
    </row>
    <row r="1568" spans="5:22" x14ac:dyDescent="0.25">
      <c r="E1568" s="4"/>
      <c r="M1568" s="4">
        <f t="shared" si="584"/>
        <v>173.1</v>
      </c>
      <c r="N1568" s="4"/>
      <c r="O1568" s="1">
        <f t="shared" si="585"/>
        <v>173.1</v>
      </c>
      <c r="P1568" s="1">
        <f t="shared" si="586"/>
        <v>0</v>
      </c>
      <c r="Q1568" s="1" t="str">
        <f t="shared" si="583"/>
        <v/>
      </c>
      <c r="R1568" s="1" t="str">
        <f t="shared" si="587"/>
        <v/>
      </c>
      <c r="S1568" s="1">
        <f t="shared" si="588"/>
        <v>630.90240000000244</v>
      </c>
      <c r="T1568" s="1">
        <f t="shared" si="589"/>
        <v>0</v>
      </c>
      <c r="U1568" s="1">
        <f t="shared" si="590"/>
        <v>0</v>
      </c>
      <c r="V1568" s="1">
        <f t="shared" si="591"/>
        <v>0</v>
      </c>
    </row>
    <row r="1569" spans="5:22" x14ac:dyDescent="0.25">
      <c r="E1569" s="4"/>
      <c r="M1569" s="4">
        <f t="shared" si="584"/>
        <v>173.1</v>
      </c>
      <c r="N1569" s="4"/>
      <c r="O1569" s="1">
        <f t="shared" si="585"/>
        <v>173.1</v>
      </c>
      <c r="P1569" s="1">
        <f t="shared" si="586"/>
        <v>0</v>
      </c>
      <c r="Q1569" s="1" t="str">
        <f t="shared" si="583"/>
        <v/>
      </c>
      <c r="R1569" s="1" t="str">
        <f t="shared" si="587"/>
        <v/>
      </c>
      <c r="S1569" s="1">
        <f t="shared" si="588"/>
        <v>630.90240000000244</v>
      </c>
      <c r="T1569" s="1">
        <f t="shared" si="589"/>
        <v>0</v>
      </c>
      <c r="U1569" s="1">
        <f t="shared" si="590"/>
        <v>0</v>
      </c>
      <c r="V1569" s="1">
        <f t="shared" si="591"/>
        <v>0</v>
      </c>
    </row>
    <row r="1570" spans="5:22" x14ac:dyDescent="0.25">
      <c r="E1570" s="4"/>
      <c r="M1570" s="4">
        <f t="shared" si="584"/>
        <v>173.1</v>
      </c>
      <c r="N1570" s="4"/>
      <c r="O1570" s="1">
        <f t="shared" si="585"/>
        <v>173.1</v>
      </c>
      <c r="P1570" s="1">
        <f t="shared" si="586"/>
        <v>0</v>
      </c>
      <c r="Q1570" s="1" t="str">
        <f t="shared" si="583"/>
        <v/>
      </c>
      <c r="R1570" s="1" t="str">
        <f t="shared" si="587"/>
        <v/>
      </c>
      <c r="S1570" s="1">
        <f t="shared" si="588"/>
        <v>630.90240000000244</v>
      </c>
      <c r="T1570" s="1">
        <f t="shared" si="589"/>
        <v>0</v>
      </c>
      <c r="U1570" s="1">
        <f t="shared" si="590"/>
        <v>0</v>
      </c>
      <c r="V1570" s="1">
        <f t="shared" si="591"/>
        <v>0</v>
      </c>
    </row>
    <row r="1571" spans="5:22" x14ac:dyDescent="0.25">
      <c r="E1571" s="4"/>
      <c r="M1571" s="4">
        <f t="shared" si="584"/>
        <v>173.1</v>
      </c>
      <c r="N1571" s="4"/>
      <c r="O1571" s="1">
        <f t="shared" si="585"/>
        <v>173.1</v>
      </c>
      <c r="P1571" s="1">
        <f t="shared" si="586"/>
        <v>0</v>
      </c>
      <c r="Q1571" s="1" t="str">
        <f t="shared" si="583"/>
        <v/>
      </c>
      <c r="R1571" s="1" t="str">
        <f t="shared" si="587"/>
        <v/>
      </c>
      <c r="S1571" s="1">
        <f t="shared" si="588"/>
        <v>630.90240000000244</v>
      </c>
      <c r="T1571" s="1">
        <f t="shared" si="589"/>
        <v>0</v>
      </c>
      <c r="U1571" s="1">
        <f t="shared" si="590"/>
        <v>0</v>
      </c>
      <c r="V1571" s="1">
        <f t="shared" si="591"/>
        <v>0</v>
      </c>
    </row>
    <row r="1572" spans="5:22" x14ac:dyDescent="0.25">
      <c r="E1572" s="4"/>
      <c r="M1572" s="4">
        <f t="shared" si="584"/>
        <v>173.1</v>
      </c>
      <c r="N1572" s="4"/>
      <c r="O1572" s="1">
        <f t="shared" si="585"/>
        <v>173.1</v>
      </c>
      <c r="P1572" s="1">
        <f t="shared" si="586"/>
        <v>0</v>
      </c>
      <c r="Q1572" s="1" t="str">
        <f t="shared" si="583"/>
        <v/>
      </c>
      <c r="R1572" s="1" t="str">
        <f t="shared" si="587"/>
        <v/>
      </c>
      <c r="S1572" s="1">
        <f t="shared" si="588"/>
        <v>630.90240000000244</v>
      </c>
      <c r="T1572" s="1">
        <f t="shared" si="589"/>
        <v>0</v>
      </c>
      <c r="U1572" s="1">
        <f t="shared" si="590"/>
        <v>0</v>
      </c>
      <c r="V1572" s="1">
        <f t="shared" si="591"/>
        <v>0</v>
      </c>
    </row>
    <row r="1573" spans="5:22" x14ac:dyDescent="0.25">
      <c r="E1573" s="4"/>
      <c r="M1573" s="4">
        <f t="shared" si="584"/>
        <v>173.1</v>
      </c>
      <c r="N1573" s="4"/>
      <c r="O1573" s="1">
        <f t="shared" si="585"/>
        <v>173.1</v>
      </c>
      <c r="P1573" s="1">
        <f t="shared" si="586"/>
        <v>0</v>
      </c>
      <c r="Q1573" s="1" t="str">
        <f t="shared" si="583"/>
        <v/>
      </c>
      <c r="R1573" s="1" t="str">
        <f t="shared" si="587"/>
        <v/>
      </c>
      <c r="S1573" s="1">
        <f t="shared" si="588"/>
        <v>630.90240000000244</v>
      </c>
      <c r="T1573" s="1">
        <f t="shared" si="589"/>
        <v>0</v>
      </c>
      <c r="U1573" s="1">
        <f t="shared" si="590"/>
        <v>0</v>
      </c>
      <c r="V1573" s="1">
        <f t="shared" si="591"/>
        <v>0</v>
      </c>
    </row>
    <row r="1574" spans="5:22" x14ac:dyDescent="0.25">
      <c r="E1574" s="4"/>
      <c r="M1574" s="4">
        <f t="shared" si="584"/>
        <v>173.1</v>
      </c>
      <c r="N1574" s="4"/>
      <c r="O1574" s="1">
        <f t="shared" si="585"/>
        <v>173.1</v>
      </c>
      <c r="P1574" s="1">
        <f t="shared" si="586"/>
        <v>0</v>
      </c>
      <c r="Q1574" s="1" t="str">
        <f t="shared" si="583"/>
        <v/>
      </c>
      <c r="R1574" s="1" t="str">
        <f t="shared" si="587"/>
        <v/>
      </c>
      <c r="S1574" s="1">
        <f t="shared" si="588"/>
        <v>630.90240000000244</v>
      </c>
      <c r="T1574" s="1">
        <f t="shared" si="589"/>
        <v>0</v>
      </c>
      <c r="U1574" s="1">
        <f t="shared" si="590"/>
        <v>0</v>
      </c>
      <c r="V1574" s="1">
        <f t="shared" si="591"/>
        <v>0</v>
      </c>
    </row>
    <row r="1575" spans="5:22" x14ac:dyDescent="0.25">
      <c r="E1575" s="4"/>
      <c r="M1575" s="4">
        <f t="shared" si="584"/>
        <v>173.1</v>
      </c>
      <c r="N1575" s="4"/>
      <c r="O1575" s="1">
        <f t="shared" si="585"/>
        <v>173.1</v>
      </c>
      <c r="P1575" s="1">
        <f t="shared" si="586"/>
        <v>0</v>
      </c>
      <c r="Q1575" s="1" t="str">
        <f t="shared" si="583"/>
        <v/>
      </c>
      <c r="R1575" s="1" t="str">
        <f t="shared" si="587"/>
        <v/>
      </c>
      <c r="S1575" s="1">
        <f t="shared" si="588"/>
        <v>630.90240000000244</v>
      </c>
      <c r="T1575" s="1">
        <f t="shared" si="589"/>
        <v>0</v>
      </c>
      <c r="U1575" s="1">
        <f t="shared" si="590"/>
        <v>0</v>
      </c>
      <c r="V1575" s="1">
        <f t="shared" si="591"/>
        <v>0</v>
      </c>
    </row>
    <row r="1576" spans="5:22" x14ac:dyDescent="0.25">
      <c r="E1576" s="4"/>
      <c r="M1576" s="4">
        <f t="shared" si="584"/>
        <v>173.1</v>
      </c>
      <c r="N1576" s="4"/>
      <c r="O1576" s="1">
        <f t="shared" si="585"/>
        <v>173.1</v>
      </c>
      <c r="P1576" s="1">
        <f t="shared" si="586"/>
        <v>0</v>
      </c>
      <c r="Q1576" s="1" t="str">
        <f t="shared" si="583"/>
        <v/>
      </c>
      <c r="R1576" s="1" t="str">
        <f t="shared" si="587"/>
        <v/>
      </c>
      <c r="S1576" s="1">
        <f t="shared" si="588"/>
        <v>630.90240000000244</v>
      </c>
      <c r="T1576" s="1">
        <f t="shared" si="589"/>
        <v>0</v>
      </c>
      <c r="U1576" s="1">
        <f t="shared" si="590"/>
        <v>0</v>
      </c>
      <c r="V1576" s="1">
        <f t="shared" si="591"/>
        <v>0</v>
      </c>
    </row>
    <row r="1577" spans="5:22" x14ac:dyDescent="0.25">
      <c r="E1577" s="4"/>
      <c r="M1577" s="4">
        <f t="shared" si="584"/>
        <v>173.1</v>
      </c>
      <c r="N1577" s="4"/>
      <c r="O1577" s="1">
        <f t="shared" si="585"/>
        <v>173.1</v>
      </c>
      <c r="P1577" s="1">
        <f t="shared" si="586"/>
        <v>0</v>
      </c>
      <c r="Q1577" s="1" t="str">
        <f t="shared" si="583"/>
        <v/>
      </c>
      <c r="R1577" s="1" t="str">
        <f t="shared" si="587"/>
        <v/>
      </c>
      <c r="S1577" s="1">
        <f t="shared" si="588"/>
        <v>630.90240000000244</v>
      </c>
      <c r="T1577" s="1">
        <f t="shared" si="589"/>
        <v>0</v>
      </c>
      <c r="U1577" s="1">
        <f t="shared" si="590"/>
        <v>0</v>
      </c>
      <c r="V1577" s="1">
        <f t="shared" si="591"/>
        <v>0</v>
      </c>
    </row>
    <row r="1578" spans="5:22" x14ac:dyDescent="0.25">
      <c r="E1578" s="4"/>
      <c r="M1578" s="4">
        <f t="shared" si="584"/>
        <v>173.1</v>
      </c>
      <c r="N1578" s="4"/>
      <c r="O1578" s="1">
        <f t="shared" si="585"/>
        <v>173.1</v>
      </c>
      <c r="P1578" s="1">
        <f t="shared" si="586"/>
        <v>0</v>
      </c>
      <c r="Q1578" s="1" t="str">
        <f t="shared" si="583"/>
        <v/>
      </c>
      <c r="R1578" s="1" t="str">
        <f t="shared" si="587"/>
        <v/>
      </c>
      <c r="S1578" s="1">
        <f t="shared" si="588"/>
        <v>630.90240000000244</v>
      </c>
      <c r="T1578" s="1">
        <f t="shared" si="589"/>
        <v>0</v>
      </c>
      <c r="U1578" s="1">
        <f t="shared" si="590"/>
        <v>0</v>
      </c>
      <c r="V1578" s="1">
        <f t="shared" si="591"/>
        <v>0</v>
      </c>
    </row>
    <row r="1579" spans="5:22" x14ac:dyDescent="0.25">
      <c r="E1579" s="4"/>
      <c r="M1579" s="4">
        <f t="shared" si="584"/>
        <v>173.1</v>
      </c>
      <c r="N1579" s="4"/>
      <c r="O1579" s="1">
        <f t="shared" si="585"/>
        <v>173.1</v>
      </c>
      <c r="P1579" s="1">
        <f t="shared" si="586"/>
        <v>0</v>
      </c>
      <c r="Q1579" s="1" t="str">
        <f t="shared" si="583"/>
        <v/>
      </c>
      <c r="R1579" s="1" t="str">
        <f t="shared" si="587"/>
        <v/>
      </c>
      <c r="S1579" s="1">
        <f t="shared" si="588"/>
        <v>630.90240000000244</v>
      </c>
      <c r="T1579" s="1">
        <f t="shared" si="589"/>
        <v>0</v>
      </c>
      <c r="U1579" s="1">
        <f t="shared" si="590"/>
        <v>0</v>
      </c>
      <c r="V1579" s="1">
        <f t="shared" si="591"/>
        <v>0</v>
      </c>
    </row>
    <row r="1580" spans="5:22" x14ac:dyDescent="0.25">
      <c r="E1580" s="4"/>
      <c r="M1580" s="4">
        <f t="shared" si="584"/>
        <v>173.1</v>
      </c>
      <c r="N1580" s="4"/>
      <c r="O1580" s="1">
        <f t="shared" si="585"/>
        <v>173.1</v>
      </c>
      <c r="P1580" s="1">
        <f t="shared" si="586"/>
        <v>0</v>
      </c>
      <c r="Q1580" s="1" t="str">
        <f t="shared" si="583"/>
        <v/>
      </c>
      <c r="R1580" s="1" t="str">
        <f t="shared" si="587"/>
        <v/>
      </c>
      <c r="S1580" s="1">
        <f t="shared" si="588"/>
        <v>630.90240000000244</v>
      </c>
      <c r="T1580" s="1">
        <f t="shared" si="589"/>
        <v>0</v>
      </c>
      <c r="U1580" s="1">
        <f t="shared" si="590"/>
        <v>0</v>
      </c>
      <c r="V1580" s="1">
        <f t="shared" si="591"/>
        <v>0</v>
      </c>
    </row>
    <row r="1581" spans="5:22" x14ac:dyDescent="0.25">
      <c r="E1581" s="4"/>
      <c r="M1581" s="4">
        <f t="shared" si="584"/>
        <v>173.1</v>
      </c>
      <c r="N1581" s="4"/>
      <c r="O1581" s="1">
        <f t="shared" si="585"/>
        <v>173.1</v>
      </c>
      <c r="P1581" s="1">
        <f t="shared" si="586"/>
        <v>0</v>
      </c>
      <c r="Q1581" s="1" t="str">
        <f t="shared" si="583"/>
        <v/>
      </c>
      <c r="R1581" s="1" t="str">
        <f t="shared" si="587"/>
        <v/>
      </c>
      <c r="S1581" s="1">
        <f t="shared" si="588"/>
        <v>630.90240000000244</v>
      </c>
      <c r="T1581" s="1">
        <f t="shared" si="589"/>
        <v>0</v>
      </c>
      <c r="U1581" s="1">
        <f t="shared" si="590"/>
        <v>0</v>
      </c>
      <c r="V1581" s="1">
        <f t="shared" si="591"/>
        <v>0</v>
      </c>
    </row>
    <row r="1582" spans="5:22" x14ac:dyDescent="0.25">
      <c r="E1582" s="4"/>
      <c r="M1582" s="4">
        <f t="shared" si="584"/>
        <v>173.1</v>
      </c>
      <c r="N1582" s="4"/>
      <c r="O1582" s="1">
        <f t="shared" si="585"/>
        <v>173.1</v>
      </c>
      <c r="P1582" s="1">
        <f t="shared" si="586"/>
        <v>0</v>
      </c>
      <c r="Q1582" s="1" t="str">
        <f t="shared" si="583"/>
        <v/>
      </c>
      <c r="R1582" s="1" t="str">
        <f t="shared" si="587"/>
        <v/>
      </c>
      <c r="S1582" s="1">
        <f t="shared" si="588"/>
        <v>630.90240000000244</v>
      </c>
      <c r="T1582" s="1">
        <f t="shared" si="589"/>
        <v>0</v>
      </c>
      <c r="U1582" s="1">
        <f t="shared" si="590"/>
        <v>0</v>
      </c>
      <c r="V1582" s="1">
        <f t="shared" si="591"/>
        <v>0</v>
      </c>
    </row>
    <row r="1583" spans="5:22" x14ac:dyDescent="0.25">
      <c r="E1583" s="4"/>
      <c r="M1583" s="4">
        <f t="shared" si="584"/>
        <v>173.1</v>
      </c>
      <c r="N1583" s="4"/>
      <c r="O1583" s="1">
        <f t="shared" si="585"/>
        <v>173.1</v>
      </c>
      <c r="P1583" s="1">
        <f t="shared" si="586"/>
        <v>0</v>
      </c>
      <c r="Q1583" s="1" t="str">
        <f t="shared" si="583"/>
        <v/>
      </c>
      <c r="R1583" s="1" t="str">
        <f t="shared" si="587"/>
        <v/>
      </c>
      <c r="S1583" s="1">
        <f t="shared" si="588"/>
        <v>630.90240000000244</v>
      </c>
      <c r="T1583" s="1">
        <f t="shared" si="589"/>
        <v>0</v>
      </c>
      <c r="U1583" s="1">
        <f t="shared" si="590"/>
        <v>0</v>
      </c>
      <c r="V1583" s="1">
        <f t="shared" si="591"/>
        <v>0</v>
      </c>
    </row>
    <row r="1584" spans="5:22" x14ac:dyDescent="0.25">
      <c r="E1584" s="4"/>
      <c r="M1584" s="4">
        <f t="shared" si="584"/>
        <v>173.1</v>
      </c>
      <c r="N1584" s="4"/>
      <c r="O1584" s="1">
        <f t="shared" si="585"/>
        <v>173.1</v>
      </c>
      <c r="P1584" s="1">
        <f t="shared" si="586"/>
        <v>0</v>
      </c>
      <c r="Q1584" s="1" t="str">
        <f t="shared" si="583"/>
        <v/>
      </c>
      <c r="R1584" s="1" t="str">
        <f t="shared" si="587"/>
        <v/>
      </c>
      <c r="S1584" s="1">
        <f t="shared" si="588"/>
        <v>630.90240000000244</v>
      </c>
      <c r="T1584" s="1">
        <f t="shared" si="589"/>
        <v>0</v>
      </c>
      <c r="U1584" s="1">
        <f t="shared" si="590"/>
        <v>0</v>
      </c>
      <c r="V1584" s="1">
        <f t="shared" si="591"/>
        <v>0</v>
      </c>
    </row>
    <row r="1585" spans="5:22" x14ac:dyDescent="0.25">
      <c r="E1585" s="4"/>
      <c r="M1585" s="4">
        <f t="shared" si="584"/>
        <v>173.1</v>
      </c>
      <c r="N1585" s="4"/>
      <c r="O1585" s="1">
        <f t="shared" si="585"/>
        <v>173.1</v>
      </c>
      <c r="P1585" s="1">
        <f t="shared" si="586"/>
        <v>0</v>
      </c>
      <c r="Q1585" s="1" t="str">
        <f t="shared" si="583"/>
        <v/>
      </c>
      <c r="R1585" s="1" t="str">
        <f t="shared" si="587"/>
        <v/>
      </c>
      <c r="S1585" s="1">
        <f t="shared" si="588"/>
        <v>630.90240000000244</v>
      </c>
      <c r="T1585" s="1">
        <f t="shared" si="589"/>
        <v>0</v>
      </c>
      <c r="U1585" s="1">
        <f t="shared" si="590"/>
        <v>0</v>
      </c>
      <c r="V1585" s="1">
        <f t="shared" si="591"/>
        <v>0</v>
      </c>
    </row>
    <row r="1586" spans="5:22" x14ac:dyDescent="0.25">
      <c r="E1586" s="4"/>
      <c r="M1586" s="4">
        <f t="shared" si="584"/>
        <v>173.1</v>
      </c>
      <c r="N1586" s="4"/>
      <c r="O1586" s="1">
        <f t="shared" si="585"/>
        <v>173.1</v>
      </c>
      <c r="P1586" s="1">
        <f t="shared" si="586"/>
        <v>0</v>
      </c>
      <c r="Q1586" s="1" t="str">
        <f t="shared" ref="Q1586:Q1649" si="592">IF(H1586&lt;&gt;"",IF(H1586=H1585,"",H1586),IF(H1584="","",MAX(H1585,Q1585)))</f>
        <v/>
      </c>
      <c r="R1586" s="1" t="str">
        <f t="shared" si="587"/>
        <v/>
      </c>
      <c r="S1586" s="1">
        <f t="shared" si="588"/>
        <v>630.90240000000244</v>
      </c>
      <c r="T1586" s="1">
        <f t="shared" si="589"/>
        <v>0</v>
      </c>
      <c r="U1586" s="1">
        <f t="shared" si="590"/>
        <v>0</v>
      </c>
      <c r="V1586" s="1">
        <f t="shared" si="591"/>
        <v>0</v>
      </c>
    </row>
    <row r="1587" spans="5:22" x14ac:dyDescent="0.25">
      <c r="E1587" s="4"/>
      <c r="M1587" s="4">
        <f t="shared" si="584"/>
        <v>173.1</v>
      </c>
      <c r="N1587" s="4"/>
      <c r="O1587" s="1">
        <f t="shared" si="585"/>
        <v>173.1</v>
      </c>
      <c r="P1587" s="1">
        <f t="shared" si="586"/>
        <v>0</v>
      </c>
      <c r="Q1587" s="1" t="str">
        <f t="shared" si="592"/>
        <v/>
      </c>
      <c r="R1587" s="1" t="str">
        <f t="shared" si="587"/>
        <v/>
      </c>
      <c r="S1587" s="1">
        <f t="shared" si="588"/>
        <v>630.90240000000244</v>
      </c>
      <c r="T1587" s="1">
        <f t="shared" si="589"/>
        <v>0</v>
      </c>
      <c r="U1587" s="1">
        <f t="shared" si="590"/>
        <v>0</v>
      </c>
      <c r="V1587" s="1">
        <f t="shared" si="591"/>
        <v>0</v>
      </c>
    </row>
    <row r="1588" spans="5:22" x14ac:dyDescent="0.25">
      <c r="E1588" s="4"/>
      <c r="M1588" s="4">
        <f t="shared" si="584"/>
        <v>173.1</v>
      </c>
      <c r="N1588" s="4"/>
      <c r="O1588" s="1">
        <f t="shared" si="585"/>
        <v>173.1</v>
      </c>
      <c r="P1588" s="1">
        <f t="shared" si="586"/>
        <v>0</v>
      </c>
      <c r="Q1588" s="1" t="str">
        <f t="shared" si="592"/>
        <v/>
      </c>
      <c r="R1588" s="1" t="str">
        <f t="shared" si="587"/>
        <v/>
      </c>
      <c r="S1588" s="1">
        <f t="shared" si="588"/>
        <v>630.90240000000244</v>
      </c>
      <c r="T1588" s="1">
        <f t="shared" si="589"/>
        <v>0</v>
      </c>
      <c r="U1588" s="1">
        <f t="shared" si="590"/>
        <v>0</v>
      </c>
      <c r="V1588" s="1">
        <f t="shared" si="591"/>
        <v>0</v>
      </c>
    </row>
    <row r="1589" spans="5:22" x14ac:dyDescent="0.25">
      <c r="E1589" s="4"/>
      <c r="M1589" s="4">
        <f t="shared" si="584"/>
        <v>173.1</v>
      </c>
      <c r="N1589" s="4"/>
      <c r="O1589" s="1">
        <f t="shared" si="585"/>
        <v>173.1</v>
      </c>
      <c r="P1589" s="1">
        <f t="shared" si="586"/>
        <v>0</v>
      </c>
      <c r="Q1589" s="1" t="str">
        <f t="shared" si="592"/>
        <v/>
      </c>
      <c r="R1589" s="1" t="str">
        <f t="shared" si="587"/>
        <v/>
      </c>
      <c r="S1589" s="1">
        <f t="shared" si="588"/>
        <v>630.90240000000244</v>
      </c>
      <c r="T1589" s="1">
        <f t="shared" si="589"/>
        <v>0</v>
      </c>
      <c r="U1589" s="1">
        <f t="shared" si="590"/>
        <v>0</v>
      </c>
      <c r="V1589" s="1">
        <f t="shared" si="591"/>
        <v>0</v>
      </c>
    </row>
    <row r="1590" spans="5:22" x14ac:dyDescent="0.25">
      <c r="E1590" s="4"/>
      <c r="M1590" s="4">
        <f t="shared" si="584"/>
        <v>173.1</v>
      </c>
      <c r="N1590" s="4"/>
      <c r="O1590" s="1">
        <f t="shared" si="585"/>
        <v>173.1</v>
      </c>
      <c r="P1590" s="1">
        <f t="shared" si="586"/>
        <v>0</v>
      </c>
      <c r="Q1590" s="1" t="str">
        <f t="shared" si="592"/>
        <v/>
      </c>
      <c r="R1590" s="1" t="str">
        <f t="shared" si="587"/>
        <v/>
      </c>
      <c r="S1590" s="1">
        <f t="shared" si="588"/>
        <v>630.90240000000244</v>
      </c>
      <c r="T1590" s="1">
        <f t="shared" si="589"/>
        <v>0</v>
      </c>
      <c r="U1590" s="1">
        <f t="shared" si="590"/>
        <v>0</v>
      </c>
      <c r="V1590" s="1">
        <f t="shared" si="591"/>
        <v>0</v>
      </c>
    </row>
    <row r="1591" spans="5:22" x14ac:dyDescent="0.25">
      <c r="E1591" s="4"/>
      <c r="M1591" s="4">
        <f t="shared" si="584"/>
        <v>173.1</v>
      </c>
      <c r="N1591" s="4"/>
      <c r="O1591" s="1">
        <f t="shared" si="585"/>
        <v>173.1</v>
      </c>
      <c r="P1591" s="1">
        <f t="shared" si="586"/>
        <v>0</v>
      </c>
      <c r="Q1591" s="1" t="str">
        <f t="shared" si="592"/>
        <v/>
      </c>
      <c r="R1591" s="1" t="str">
        <f t="shared" si="587"/>
        <v/>
      </c>
      <c r="S1591" s="1">
        <f t="shared" si="588"/>
        <v>630.90240000000244</v>
      </c>
      <c r="T1591" s="1">
        <f t="shared" si="589"/>
        <v>0</v>
      </c>
      <c r="U1591" s="1">
        <f t="shared" si="590"/>
        <v>0</v>
      </c>
      <c r="V1591" s="1">
        <f t="shared" si="591"/>
        <v>0</v>
      </c>
    </row>
    <row r="1592" spans="5:22" x14ac:dyDescent="0.25">
      <c r="E1592" s="4"/>
      <c r="M1592" s="4">
        <f t="shared" si="584"/>
        <v>173.1</v>
      </c>
      <c r="N1592" s="4"/>
      <c r="O1592" s="1">
        <f t="shared" si="585"/>
        <v>173.1</v>
      </c>
      <c r="P1592" s="1">
        <f t="shared" si="586"/>
        <v>0</v>
      </c>
      <c r="Q1592" s="1" t="str">
        <f t="shared" si="592"/>
        <v/>
      </c>
      <c r="R1592" s="1" t="str">
        <f t="shared" si="587"/>
        <v/>
      </c>
      <c r="S1592" s="1">
        <f t="shared" si="588"/>
        <v>630.90240000000244</v>
      </c>
      <c r="T1592" s="1">
        <f t="shared" si="589"/>
        <v>0</v>
      </c>
      <c r="U1592" s="1">
        <f t="shared" si="590"/>
        <v>0</v>
      </c>
      <c r="V1592" s="1">
        <f t="shared" si="591"/>
        <v>0</v>
      </c>
    </row>
    <row r="1593" spans="5:22" x14ac:dyDescent="0.25">
      <c r="E1593" s="4"/>
      <c r="M1593" s="4">
        <f t="shared" si="584"/>
        <v>173.1</v>
      </c>
      <c r="N1593" s="4"/>
      <c r="O1593" s="1">
        <f t="shared" si="585"/>
        <v>173.1</v>
      </c>
      <c r="P1593" s="1">
        <f t="shared" si="586"/>
        <v>0</v>
      </c>
      <c r="Q1593" s="1" t="str">
        <f t="shared" si="592"/>
        <v/>
      </c>
      <c r="R1593" s="1" t="str">
        <f t="shared" si="587"/>
        <v/>
      </c>
      <c r="S1593" s="1">
        <f t="shared" si="588"/>
        <v>630.90240000000244</v>
      </c>
      <c r="T1593" s="1">
        <f t="shared" si="589"/>
        <v>0</v>
      </c>
      <c r="U1593" s="1">
        <f t="shared" si="590"/>
        <v>0</v>
      </c>
      <c r="V1593" s="1">
        <f t="shared" si="591"/>
        <v>0</v>
      </c>
    </row>
    <row r="1594" spans="5:22" x14ac:dyDescent="0.25">
      <c r="E1594" s="4"/>
      <c r="M1594" s="4">
        <f t="shared" si="584"/>
        <v>173.1</v>
      </c>
      <c r="N1594" s="4"/>
      <c r="O1594" s="1">
        <f t="shared" si="585"/>
        <v>173.1</v>
      </c>
      <c r="P1594" s="1">
        <f t="shared" si="586"/>
        <v>0</v>
      </c>
      <c r="Q1594" s="1" t="str">
        <f t="shared" si="592"/>
        <v/>
      </c>
      <c r="R1594" s="1" t="str">
        <f t="shared" si="587"/>
        <v/>
      </c>
      <c r="S1594" s="1">
        <f t="shared" si="588"/>
        <v>630.90240000000244</v>
      </c>
      <c r="T1594" s="1">
        <f t="shared" si="589"/>
        <v>0</v>
      </c>
      <c r="U1594" s="1">
        <f t="shared" si="590"/>
        <v>0</v>
      </c>
      <c r="V1594" s="1">
        <f t="shared" si="591"/>
        <v>0</v>
      </c>
    </row>
    <row r="1595" spans="5:22" x14ac:dyDescent="0.25">
      <c r="E1595" s="4"/>
      <c r="M1595" s="4">
        <f t="shared" si="584"/>
        <v>173.1</v>
      </c>
      <c r="N1595" s="4"/>
      <c r="O1595" s="1">
        <f t="shared" si="585"/>
        <v>173.1</v>
      </c>
      <c r="P1595" s="1">
        <f t="shared" si="586"/>
        <v>0</v>
      </c>
      <c r="Q1595" s="1" t="str">
        <f t="shared" si="592"/>
        <v/>
      </c>
      <c r="R1595" s="1" t="str">
        <f t="shared" si="587"/>
        <v/>
      </c>
      <c r="S1595" s="1">
        <f t="shared" si="588"/>
        <v>630.90240000000244</v>
      </c>
      <c r="T1595" s="1">
        <f t="shared" si="589"/>
        <v>0</v>
      </c>
      <c r="U1595" s="1">
        <f t="shared" si="590"/>
        <v>0</v>
      </c>
      <c r="V1595" s="1">
        <f t="shared" si="591"/>
        <v>0</v>
      </c>
    </row>
    <row r="1596" spans="5:22" x14ac:dyDescent="0.25">
      <c r="E1596" s="4"/>
      <c r="M1596" s="4">
        <f t="shared" si="584"/>
        <v>173.1</v>
      </c>
      <c r="N1596" s="4"/>
      <c r="O1596" s="1">
        <f t="shared" si="585"/>
        <v>173.1</v>
      </c>
      <c r="P1596" s="1">
        <f t="shared" si="586"/>
        <v>0</v>
      </c>
      <c r="Q1596" s="1" t="str">
        <f t="shared" si="592"/>
        <v/>
      </c>
      <c r="R1596" s="1" t="str">
        <f t="shared" si="587"/>
        <v/>
      </c>
      <c r="S1596" s="1">
        <f t="shared" si="588"/>
        <v>630.90240000000244</v>
      </c>
      <c r="T1596" s="1">
        <f t="shared" si="589"/>
        <v>0</v>
      </c>
      <c r="U1596" s="1">
        <f t="shared" si="590"/>
        <v>0</v>
      </c>
      <c r="V1596" s="1">
        <f t="shared" si="591"/>
        <v>0</v>
      </c>
    </row>
    <row r="1597" spans="5:22" x14ac:dyDescent="0.25">
      <c r="E1597" s="4"/>
      <c r="M1597" s="4">
        <f t="shared" si="584"/>
        <v>173.1</v>
      </c>
      <c r="N1597" s="4"/>
      <c r="O1597" s="1">
        <f t="shared" si="585"/>
        <v>173.1</v>
      </c>
      <c r="P1597" s="1">
        <f t="shared" si="586"/>
        <v>0</v>
      </c>
      <c r="Q1597" s="1" t="str">
        <f t="shared" si="592"/>
        <v/>
      </c>
      <c r="R1597" s="1" t="str">
        <f t="shared" si="587"/>
        <v/>
      </c>
      <c r="S1597" s="1">
        <f t="shared" si="588"/>
        <v>630.90240000000244</v>
      </c>
      <c r="T1597" s="1">
        <f t="shared" si="589"/>
        <v>0</v>
      </c>
      <c r="U1597" s="1">
        <f t="shared" si="590"/>
        <v>0</v>
      </c>
      <c r="V1597" s="1">
        <f t="shared" si="591"/>
        <v>0</v>
      </c>
    </row>
    <row r="1598" spans="5:22" x14ac:dyDescent="0.25">
      <c r="E1598" s="4"/>
      <c r="M1598" s="4">
        <f t="shared" si="584"/>
        <v>173.1</v>
      </c>
      <c r="N1598" s="4"/>
      <c r="O1598" s="1">
        <f t="shared" si="585"/>
        <v>173.1</v>
      </c>
      <c r="P1598" s="1">
        <f t="shared" si="586"/>
        <v>0</v>
      </c>
      <c r="Q1598" s="1" t="str">
        <f t="shared" si="592"/>
        <v/>
      </c>
      <c r="R1598" s="1" t="str">
        <f t="shared" si="587"/>
        <v/>
      </c>
      <c r="S1598" s="1">
        <f t="shared" si="588"/>
        <v>630.90240000000244</v>
      </c>
      <c r="T1598" s="1">
        <f t="shared" si="589"/>
        <v>0</v>
      </c>
      <c r="U1598" s="1">
        <f t="shared" si="590"/>
        <v>0</v>
      </c>
      <c r="V1598" s="1">
        <f t="shared" si="591"/>
        <v>0</v>
      </c>
    </row>
    <row r="1599" spans="5:22" x14ac:dyDescent="0.25">
      <c r="E1599" s="4"/>
      <c r="M1599" s="4">
        <f t="shared" si="584"/>
        <v>173.1</v>
      </c>
      <c r="N1599" s="4"/>
      <c r="O1599" s="1">
        <f t="shared" si="585"/>
        <v>173.1</v>
      </c>
      <c r="P1599" s="1">
        <f t="shared" si="586"/>
        <v>0</v>
      </c>
      <c r="Q1599" s="1" t="str">
        <f t="shared" si="592"/>
        <v/>
      </c>
      <c r="R1599" s="1" t="str">
        <f t="shared" si="587"/>
        <v/>
      </c>
      <c r="S1599" s="1">
        <f t="shared" si="588"/>
        <v>630.90240000000244</v>
      </c>
      <c r="T1599" s="1">
        <f t="shared" si="589"/>
        <v>0</v>
      </c>
      <c r="U1599" s="1">
        <f t="shared" si="590"/>
        <v>0</v>
      </c>
      <c r="V1599" s="1">
        <f t="shared" si="591"/>
        <v>0</v>
      </c>
    </row>
    <row r="1600" spans="5:22" x14ac:dyDescent="0.25">
      <c r="E1600" s="4"/>
      <c r="M1600" s="4">
        <f t="shared" si="584"/>
        <v>173.1</v>
      </c>
      <c r="N1600" s="4"/>
      <c r="O1600" s="1">
        <f t="shared" si="585"/>
        <v>173.1</v>
      </c>
      <c r="P1600" s="1">
        <f t="shared" si="586"/>
        <v>0</v>
      </c>
      <c r="Q1600" s="1" t="str">
        <f t="shared" si="592"/>
        <v/>
      </c>
      <c r="R1600" s="1" t="str">
        <f t="shared" si="587"/>
        <v/>
      </c>
      <c r="S1600" s="1">
        <f t="shared" si="588"/>
        <v>630.90240000000244</v>
      </c>
      <c r="T1600" s="1">
        <f t="shared" si="589"/>
        <v>0</v>
      </c>
      <c r="U1600" s="1">
        <f t="shared" si="590"/>
        <v>0</v>
      </c>
      <c r="V1600" s="1">
        <f t="shared" si="591"/>
        <v>0</v>
      </c>
    </row>
    <row r="1601" spans="5:22" x14ac:dyDescent="0.25">
      <c r="E1601" s="4"/>
      <c r="M1601" s="4">
        <f t="shared" si="584"/>
        <v>173.1</v>
      </c>
      <c r="N1601" s="4"/>
      <c r="O1601" s="1">
        <f t="shared" si="585"/>
        <v>173.1</v>
      </c>
      <c r="P1601" s="1">
        <f t="shared" si="586"/>
        <v>0</v>
      </c>
      <c r="Q1601" s="1" t="str">
        <f t="shared" si="592"/>
        <v/>
      </c>
      <c r="R1601" s="1" t="str">
        <f t="shared" si="587"/>
        <v/>
      </c>
      <c r="S1601" s="1">
        <f t="shared" si="588"/>
        <v>630.90240000000244</v>
      </c>
      <c r="T1601" s="1">
        <f t="shared" si="589"/>
        <v>0</v>
      </c>
      <c r="U1601" s="1">
        <f t="shared" si="590"/>
        <v>0</v>
      </c>
      <c r="V1601" s="1">
        <f t="shared" si="591"/>
        <v>0</v>
      </c>
    </row>
    <row r="1602" spans="5:22" x14ac:dyDescent="0.25">
      <c r="E1602" s="4"/>
      <c r="M1602" s="4">
        <f t="shared" si="584"/>
        <v>173.1</v>
      </c>
      <c r="N1602" s="4"/>
      <c r="O1602" s="1">
        <f t="shared" si="585"/>
        <v>173.1</v>
      </c>
      <c r="P1602" s="1">
        <f t="shared" si="586"/>
        <v>0</v>
      </c>
      <c r="Q1602" s="1" t="str">
        <f t="shared" si="592"/>
        <v/>
      </c>
      <c r="R1602" s="1" t="str">
        <f t="shared" si="587"/>
        <v/>
      </c>
      <c r="S1602" s="1">
        <f t="shared" si="588"/>
        <v>630.90240000000244</v>
      </c>
      <c r="T1602" s="1">
        <f t="shared" si="589"/>
        <v>0</v>
      </c>
      <c r="U1602" s="1">
        <f t="shared" si="590"/>
        <v>0</v>
      </c>
      <c r="V1602" s="1">
        <f t="shared" si="591"/>
        <v>0</v>
      </c>
    </row>
    <row r="1603" spans="5:22" x14ac:dyDescent="0.25">
      <c r="E1603" s="4"/>
      <c r="M1603" s="4">
        <f t="shared" si="584"/>
        <v>173.1</v>
      </c>
      <c r="N1603" s="4"/>
      <c r="O1603" s="1">
        <f t="shared" si="585"/>
        <v>173.1</v>
      </c>
      <c r="P1603" s="1">
        <f t="shared" si="586"/>
        <v>0</v>
      </c>
      <c r="Q1603" s="1" t="str">
        <f t="shared" si="592"/>
        <v/>
      </c>
      <c r="R1603" s="1" t="str">
        <f t="shared" si="587"/>
        <v/>
      </c>
      <c r="S1603" s="1">
        <f t="shared" si="588"/>
        <v>630.90240000000244</v>
      </c>
      <c r="T1603" s="1">
        <f t="shared" si="589"/>
        <v>0</v>
      </c>
      <c r="U1603" s="1">
        <f t="shared" si="590"/>
        <v>0</v>
      </c>
      <c r="V1603" s="1">
        <f t="shared" si="591"/>
        <v>0</v>
      </c>
    </row>
    <row r="1604" spans="5:22" x14ac:dyDescent="0.25">
      <c r="E1604" s="4"/>
      <c r="M1604" s="4">
        <f t="shared" si="584"/>
        <v>173.1</v>
      </c>
      <c r="N1604" s="4"/>
      <c r="O1604" s="1">
        <f t="shared" si="585"/>
        <v>173.1</v>
      </c>
      <c r="P1604" s="1">
        <f t="shared" si="586"/>
        <v>0</v>
      </c>
      <c r="Q1604" s="1" t="str">
        <f t="shared" si="592"/>
        <v/>
      </c>
      <c r="R1604" s="1" t="str">
        <f t="shared" si="587"/>
        <v/>
      </c>
      <c r="S1604" s="1">
        <f t="shared" si="588"/>
        <v>630.90240000000244</v>
      </c>
      <c r="T1604" s="1">
        <f t="shared" si="589"/>
        <v>0</v>
      </c>
      <c r="U1604" s="1">
        <f t="shared" si="590"/>
        <v>0</v>
      </c>
      <c r="V1604" s="1">
        <f t="shared" si="591"/>
        <v>0</v>
      </c>
    </row>
    <row r="1605" spans="5:22" x14ac:dyDescent="0.25">
      <c r="E1605" s="4"/>
      <c r="M1605" s="4">
        <f t="shared" si="584"/>
        <v>173.1</v>
      </c>
      <c r="N1605" s="4"/>
      <c r="O1605" s="1">
        <f t="shared" si="585"/>
        <v>173.1</v>
      </c>
      <c r="P1605" s="1">
        <f t="shared" si="586"/>
        <v>0</v>
      </c>
      <c r="Q1605" s="1" t="str">
        <f t="shared" si="592"/>
        <v/>
      </c>
      <c r="R1605" s="1" t="str">
        <f t="shared" si="587"/>
        <v/>
      </c>
      <c r="S1605" s="1">
        <f t="shared" si="588"/>
        <v>630.90240000000244</v>
      </c>
      <c r="T1605" s="1">
        <f t="shared" si="589"/>
        <v>0</v>
      </c>
      <c r="U1605" s="1">
        <f t="shared" si="590"/>
        <v>0</v>
      </c>
      <c r="V1605" s="1">
        <f t="shared" si="591"/>
        <v>0</v>
      </c>
    </row>
    <row r="1606" spans="5:22" x14ac:dyDescent="0.25">
      <c r="E1606" s="4"/>
      <c r="M1606" s="4">
        <f t="shared" si="584"/>
        <v>173.1</v>
      </c>
      <c r="N1606" s="4"/>
      <c r="O1606" s="1">
        <f t="shared" si="585"/>
        <v>173.1</v>
      </c>
      <c r="P1606" s="1">
        <f t="shared" si="586"/>
        <v>0</v>
      </c>
      <c r="Q1606" s="1" t="str">
        <f t="shared" si="592"/>
        <v/>
      </c>
      <c r="R1606" s="1" t="str">
        <f t="shared" si="587"/>
        <v/>
      </c>
      <c r="S1606" s="1">
        <f t="shared" si="588"/>
        <v>630.90240000000244</v>
      </c>
      <c r="T1606" s="1">
        <f t="shared" si="589"/>
        <v>0</v>
      </c>
      <c r="U1606" s="1">
        <f t="shared" si="590"/>
        <v>0</v>
      </c>
      <c r="V1606" s="1">
        <f t="shared" si="591"/>
        <v>0</v>
      </c>
    </row>
    <row r="1607" spans="5:22" x14ac:dyDescent="0.25">
      <c r="E1607" s="4"/>
      <c r="M1607" s="4">
        <f t="shared" si="584"/>
        <v>173.1</v>
      </c>
      <c r="N1607" s="4"/>
      <c r="O1607" s="1">
        <f t="shared" si="585"/>
        <v>173.1</v>
      </c>
      <c r="P1607" s="1">
        <f t="shared" si="586"/>
        <v>0</v>
      </c>
      <c r="Q1607" s="1" t="str">
        <f t="shared" si="592"/>
        <v/>
      </c>
      <c r="R1607" s="1" t="str">
        <f t="shared" si="587"/>
        <v/>
      </c>
      <c r="S1607" s="1">
        <f t="shared" si="588"/>
        <v>630.90240000000244</v>
      </c>
      <c r="T1607" s="1">
        <f t="shared" si="589"/>
        <v>0</v>
      </c>
      <c r="U1607" s="1">
        <f t="shared" si="590"/>
        <v>0</v>
      </c>
      <c r="V1607" s="1">
        <f t="shared" si="591"/>
        <v>0</v>
      </c>
    </row>
    <row r="1608" spans="5:22" x14ac:dyDescent="0.25">
      <c r="E1608" s="4"/>
      <c r="M1608" s="4">
        <f t="shared" ref="M1608:M1671" si="593">E1608+M1607</f>
        <v>173.1</v>
      </c>
      <c r="N1608" s="4"/>
      <c r="O1608" s="1">
        <f t="shared" ref="O1608:O1671" si="594">E1607+O1607</f>
        <v>173.1</v>
      </c>
      <c r="P1608" s="1">
        <f t="shared" ref="P1608:P1671" si="595">F1608*52.8*E1608</f>
        <v>0</v>
      </c>
      <c r="Q1608" s="1" t="str">
        <f t="shared" si="592"/>
        <v/>
      </c>
      <c r="R1608" s="1" t="str">
        <f t="shared" ref="R1608:R1671" si="596">IF(I1608="",Q1608,IF(AND(H1608=H1607,I1608=I1607),"",I1608))</f>
        <v/>
      </c>
      <c r="S1608" s="1">
        <f t="shared" ref="S1608:S1671" si="597">S1607+U1607*T1607/100</f>
        <v>630.90240000000244</v>
      </c>
      <c r="T1608" s="1">
        <f t="shared" ref="T1608:T1671" si="598">IF(G1608="UNK",0,G1608)</f>
        <v>0</v>
      </c>
      <c r="U1608" s="1">
        <f t="shared" ref="U1608:U1671" si="599">E1608*5280</f>
        <v>0</v>
      </c>
      <c r="V1608" s="1">
        <f t="shared" ref="V1608:V1671" si="600">ABS(T1608*U1608)</f>
        <v>0</v>
      </c>
    </row>
    <row r="1609" spans="5:22" x14ac:dyDescent="0.25">
      <c r="E1609" s="4"/>
      <c r="M1609" s="4">
        <f t="shared" si="593"/>
        <v>173.1</v>
      </c>
      <c r="N1609" s="4"/>
      <c r="O1609" s="1">
        <f t="shared" si="594"/>
        <v>173.1</v>
      </c>
      <c r="P1609" s="1">
        <f t="shared" si="595"/>
        <v>0</v>
      </c>
      <c r="Q1609" s="1" t="str">
        <f t="shared" si="592"/>
        <v/>
      </c>
      <c r="R1609" s="1" t="str">
        <f t="shared" si="596"/>
        <v/>
      </c>
      <c r="S1609" s="1">
        <f t="shared" si="597"/>
        <v>630.90240000000244</v>
      </c>
      <c r="T1609" s="1">
        <f t="shared" si="598"/>
        <v>0</v>
      </c>
      <c r="U1609" s="1">
        <f t="shared" si="599"/>
        <v>0</v>
      </c>
      <c r="V1609" s="1">
        <f t="shared" si="600"/>
        <v>0</v>
      </c>
    </row>
    <row r="1610" spans="5:22" x14ac:dyDescent="0.25">
      <c r="E1610" s="4"/>
      <c r="M1610" s="4">
        <f t="shared" si="593"/>
        <v>173.1</v>
      </c>
      <c r="N1610" s="4"/>
      <c r="O1610" s="1">
        <f t="shared" si="594"/>
        <v>173.1</v>
      </c>
      <c r="P1610" s="1">
        <f t="shared" si="595"/>
        <v>0</v>
      </c>
      <c r="Q1610" s="1" t="str">
        <f t="shared" si="592"/>
        <v/>
      </c>
      <c r="R1610" s="1" t="str">
        <f t="shared" si="596"/>
        <v/>
      </c>
      <c r="S1610" s="1">
        <f t="shared" si="597"/>
        <v>630.90240000000244</v>
      </c>
      <c r="T1610" s="1">
        <f t="shared" si="598"/>
        <v>0</v>
      </c>
      <c r="U1610" s="1">
        <f t="shared" si="599"/>
        <v>0</v>
      </c>
      <c r="V1610" s="1">
        <f t="shared" si="600"/>
        <v>0</v>
      </c>
    </row>
    <row r="1611" spans="5:22" x14ac:dyDescent="0.25">
      <c r="E1611" s="4"/>
      <c r="M1611" s="4">
        <f t="shared" si="593"/>
        <v>173.1</v>
      </c>
      <c r="N1611" s="4"/>
      <c r="O1611" s="1">
        <f t="shared" si="594"/>
        <v>173.1</v>
      </c>
      <c r="P1611" s="1">
        <f t="shared" si="595"/>
        <v>0</v>
      </c>
      <c r="Q1611" s="1" t="str">
        <f t="shared" si="592"/>
        <v/>
      </c>
      <c r="R1611" s="1" t="str">
        <f t="shared" si="596"/>
        <v/>
      </c>
      <c r="S1611" s="1">
        <f t="shared" si="597"/>
        <v>630.90240000000244</v>
      </c>
      <c r="T1611" s="1">
        <f t="shared" si="598"/>
        <v>0</v>
      </c>
      <c r="U1611" s="1">
        <f t="shared" si="599"/>
        <v>0</v>
      </c>
      <c r="V1611" s="1">
        <f t="shared" si="600"/>
        <v>0</v>
      </c>
    </row>
    <row r="1612" spans="5:22" x14ac:dyDescent="0.25">
      <c r="E1612" s="4"/>
      <c r="M1612" s="4">
        <f t="shared" si="593"/>
        <v>173.1</v>
      </c>
      <c r="N1612" s="4"/>
      <c r="O1612" s="1">
        <f t="shared" si="594"/>
        <v>173.1</v>
      </c>
      <c r="P1612" s="1">
        <f t="shared" si="595"/>
        <v>0</v>
      </c>
      <c r="Q1612" s="1" t="str">
        <f t="shared" si="592"/>
        <v/>
      </c>
      <c r="R1612" s="1" t="str">
        <f t="shared" si="596"/>
        <v/>
      </c>
      <c r="S1612" s="1">
        <f t="shared" si="597"/>
        <v>630.90240000000244</v>
      </c>
      <c r="T1612" s="1">
        <f t="shared" si="598"/>
        <v>0</v>
      </c>
      <c r="U1612" s="1">
        <f t="shared" si="599"/>
        <v>0</v>
      </c>
      <c r="V1612" s="1">
        <f t="shared" si="600"/>
        <v>0</v>
      </c>
    </row>
    <row r="1613" spans="5:22" x14ac:dyDescent="0.25">
      <c r="E1613" s="4"/>
      <c r="M1613" s="4">
        <f t="shared" si="593"/>
        <v>173.1</v>
      </c>
      <c r="N1613" s="4"/>
      <c r="O1613" s="1">
        <f t="shared" si="594"/>
        <v>173.1</v>
      </c>
      <c r="P1613" s="1">
        <f t="shared" si="595"/>
        <v>0</v>
      </c>
      <c r="Q1613" s="1" t="str">
        <f t="shared" si="592"/>
        <v/>
      </c>
      <c r="R1613" s="1" t="str">
        <f t="shared" si="596"/>
        <v/>
      </c>
      <c r="S1613" s="1">
        <f t="shared" si="597"/>
        <v>630.90240000000244</v>
      </c>
      <c r="T1613" s="1">
        <f t="shared" si="598"/>
        <v>0</v>
      </c>
      <c r="U1613" s="1">
        <f t="shared" si="599"/>
        <v>0</v>
      </c>
      <c r="V1613" s="1">
        <f t="shared" si="600"/>
        <v>0</v>
      </c>
    </row>
    <row r="1614" spans="5:22" x14ac:dyDescent="0.25">
      <c r="E1614" s="4"/>
      <c r="M1614" s="4">
        <f t="shared" si="593"/>
        <v>173.1</v>
      </c>
      <c r="N1614" s="4"/>
      <c r="O1614" s="1">
        <f t="shared" si="594"/>
        <v>173.1</v>
      </c>
      <c r="P1614" s="1">
        <f t="shared" si="595"/>
        <v>0</v>
      </c>
      <c r="Q1614" s="1" t="str">
        <f t="shared" si="592"/>
        <v/>
      </c>
      <c r="R1614" s="1" t="str">
        <f t="shared" si="596"/>
        <v/>
      </c>
      <c r="S1614" s="1">
        <f t="shared" si="597"/>
        <v>630.90240000000244</v>
      </c>
      <c r="T1614" s="1">
        <f t="shared" si="598"/>
        <v>0</v>
      </c>
      <c r="U1614" s="1">
        <f t="shared" si="599"/>
        <v>0</v>
      </c>
      <c r="V1614" s="1">
        <f t="shared" si="600"/>
        <v>0</v>
      </c>
    </row>
    <row r="1615" spans="5:22" x14ac:dyDescent="0.25">
      <c r="E1615" s="4"/>
      <c r="M1615" s="4">
        <f t="shared" si="593"/>
        <v>173.1</v>
      </c>
      <c r="N1615" s="4"/>
      <c r="O1615" s="1">
        <f t="shared" si="594"/>
        <v>173.1</v>
      </c>
      <c r="P1615" s="1">
        <f t="shared" si="595"/>
        <v>0</v>
      </c>
      <c r="Q1615" s="1" t="str">
        <f t="shared" si="592"/>
        <v/>
      </c>
      <c r="R1615" s="1" t="str">
        <f t="shared" si="596"/>
        <v/>
      </c>
      <c r="S1615" s="1">
        <f t="shared" si="597"/>
        <v>630.90240000000244</v>
      </c>
      <c r="T1615" s="1">
        <f t="shared" si="598"/>
        <v>0</v>
      </c>
      <c r="U1615" s="1">
        <f t="shared" si="599"/>
        <v>0</v>
      </c>
      <c r="V1615" s="1">
        <f t="shared" si="600"/>
        <v>0</v>
      </c>
    </row>
    <row r="1616" spans="5:22" x14ac:dyDescent="0.25">
      <c r="E1616" s="4"/>
      <c r="M1616" s="4">
        <f t="shared" si="593"/>
        <v>173.1</v>
      </c>
      <c r="N1616" s="4"/>
      <c r="O1616" s="1">
        <f t="shared" si="594"/>
        <v>173.1</v>
      </c>
      <c r="P1616" s="1">
        <f t="shared" si="595"/>
        <v>0</v>
      </c>
      <c r="Q1616" s="1" t="str">
        <f t="shared" si="592"/>
        <v/>
      </c>
      <c r="R1616" s="1" t="str">
        <f t="shared" si="596"/>
        <v/>
      </c>
      <c r="S1616" s="1">
        <f t="shared" si="597"/>
        <v>630.90240000000244</v>
      </c>
      <c r="T1616" s="1">
        <f t="shared" si="598"/>
        <v>0</v>
      </c>
      <c r="U1616" s="1">
        <f t="shared" si="599"/>
        <v>0</v>
      </c>
      <c r="V1616" s="1">
        <f t="shared" si="600"/>
        <v>0</v>
      </c>
    </row>
    <row r="1617" spans="5:22" x14ac:dyDescent="0.25">
      <c r="E1617" s="4"/>
      <c r="M1617" s="4">
        <f t="shared" si="593"/>
        <v>173.1</v>
      </c>
      <c r="N1617" s="4"/>
      <c r="O1617" s="1">
        <f t="shared" si="594"/>
        <v>173.1</v>
      </c>
      <c r="P1617" s="1">
        <f t="shared" si="595"/>
        <v>0</v>
      </c>
      <c r="Q1617" s="1" t="str">
        <f t="shared" si="592"/>
        <v/>
      </c>
      <c r="R1617" s="1" t="str">
        <f t="shared" si="596"/>
        <v/>
      </c>
      <c r="S1617" s="1">
        <f t="shared" si="597"/>
        <v>630.90240000000244</v>
      </c>
      <c r="T1617" s="1">
        <f t="shared" si="598"/>
        <v>0</v>
      </c>
      <c r="U1617" s="1">
        <f t="shared" si="599"/>
        <v>0</v>
      </c>
      <c r="V1617" s="1">
        <f t="shared" si="600"/>
        <v>0</v>
      </c>
    </row>
    <row r="1618" spans="5:22" x14ac:dyDescent="0.25">
      <c r="E1618" s="4"/>
      <c r="M1618" s="4">
        <f t="shared" si="593"/>
        <v>173.1</v>
      </c>
      <c r="N1618" s="4"/>
      <c r="O1618" s="1">
        <f t="shared" si="594"/>
        <v>173.1</v>
      </c>
      <c r="P1618" s="1">
        <f t="shared" si="595"/>
        <v>0</v>
      </c>
      <c r="Q1618" s="1" t="str">
        <f t="shared" si="592"/>
        <v/>
      </c>
      <c r="R1618" s="1" t="str">
        <f t="shared" si="596"/>
        <v/>
      </c>
      <c r="S1618" s="1">
        <f t="shared" si="597"/>
        <v>630.90240000000244</v>
      </c>
      <c r="T1618" s="1">
        <f t="shared" si="598"/>
        <v>0</v>
      </c>
      <c r="U1618" s="1">
        <f t="shared" si="599"/>
        <v>0</v>
      </c>
      <c r="V1618" s="1">
        <f t="shared" si="600"/>
        <v>0</v>
      </c>
    </row>
    <row r="1619" spans="5:22" x14ac:dyDescent="0.25">
      <c r="E1619" s="4"/>
      <c r="M1619" s="4">
        <f t="shared" si="593"/>
        <v>173.1</v>
      </c>
      <c r="N1619" s="4"/>
      <c r="O1619" s="1">
        <f t="shared" si="594"/>
        <v>173.1</v>
      </c>
      <c r="P1619" s="1">
        <f t="shared" si="595"/>
        <v>0</v>
      </c>
      <c r="Q1619" s="1" t="str">
        <f t="shared" si="592"/>
        <v/>
      </c>
      <c r="R1619" s="1" t="str">
        <f t="shared" si="596"/>
        <v/>
      </c>
      <c r="S1619" s="1">
        <f t="shared" si="597"/>
        <v>630.90240000000244</v>
      </c>
      <c r="T1619" s="1">
        <f t="shared" si="598"/>
        <v>0</v>
      </c>
      <c r="U1619" s="1">
        <f t="shared" si="599"/>
        <v>0</v>
      </c>
      <c r="V1619" s="1">
        <f t="shared" si="600"/>
        <v>0</v>
      </c>
    </row>
    <row r="1620" spans="5:22" x14ac:dyDescent="0.25">
      <c r="E1620" s="4"/>
      <c r="M1620" s="4">
        <f t="shared" si="593"/>
        <v>173.1</v>
      </c>
      <c r="N1620" s="4"/>
      <c r="O1620" s="1">
        <f t="shared" si="594"/>
        <v>173.1</v>
      </c>
      <c r="P1620" s="1">
        <f t="shared" si="595"/>
        <v>0</v>
      </c>
      <c r="Q1620" s="1" t="str">
        <f t="shared" si="592"/>
        <v/>
      </c>
      <c r="R1620" s="1" t="str">
        <f t="shared" si="596"/>
        <v/>
      </c>
      <c r="S1620" s="1">
        <f t="shared" si="597"/>
        <v>630.90240000000244</v>
      </c>
      <c r="T1620" s="1">
        <f t="shared" si="598"/>
        <v>0</v>
      </c>
      <c r="U1620" s="1">
        <f t="shared" si="599"/>
        <v>0</v>
      </c>
      <c r="V1620" s="1">
        <f t="shared" si="600"/>
        <v>0</v>
      </c>
    </row>
    <row r="1621" spans="5:22" x14ac:dyDescent="0.25">
      <c r="E1621" s="4"/>
      <c r="M1621" s="4">
        <f t="shared" si="593"/>
        <v>173.1</v>
      </c>
      <c r="N1621" s="4"/>
      <c r="O1621" s="1">
        <f t="shared" si="594"/>
        <v>173.1</v>
      </c>
      <c r="P1621" s="1">
        <f t="shared" si="595"/>
        <v>0</v>
      </c>
      <c r="Q1621" s="1" t="str">
        <f t="shared" si="592"/>
        <v/>
      </c>
      <c r="R1621" s="1" t="str">
        <f t="shared" si="596"/>
        <v/>
      </c>
      <c r="S1621" s="1">
        <f t="shared" si="597"/>
        <v>630.90240000000244</v>
      </c>
      <c r="T1621" s="1">
        <f t="shared" si="598"/>
        <v>0</v>
      </c>
      <c r="U1621" s="1">
        <f t="shared" si="599"/>
        <v>0</v>
      </c>
      <c r="V1621" s="1">
        <f t="shared" si="600"/>
        <v>0</v>
      </c>
    </row>
    <row r="1622" spans="5:22" x14ac:dyDescent="0.25">
      <c r="E1622" s="4"/>
      <c r="M1622" s="4">
        <f t="shared" si="593"/>
        <v>173.1</v>
      </c>
      <c r="N1622" s="4"/>
      <c r="O1622" s="1">
        <f t="shared" si="594"/>
        <v>173.1</v>
      </c>
      <c r="P1622" s="1">
        <f t="shared" si="595"/>
        <v>0</v>
      </c>
      <c r="Q1622" s="1" t="str">
        <f t="shared" si="592"/>
        <v/>
      </c>
      <c r="R1622" s="1" t="str">
        <f t="shared" si="596"/>
        <v/>
      </c>
      <c r="S1622" s="1">
        <f t="shared" si="597"/>
        <v>630.90240000000244</v>
      </c>
      <c r="T1622" s="1">
        <f t="shared" si="598"/>
        <v>0</v>
      </c>
      <c r="U1622" s="1">
        <f t="shared" si="599"/>
        <v>0</v>
      </c>
      <c r="V1622" s="1">
        <f t="shared" si="600"/>
        <v>0</v>
      </c>
    </row>
    <row r="1623" spans="5:22" x14ac:dyDescent="0.25">
      <c r="E1623" s="4"/>
      <c r="M1623" s="4">
        <f t="shared" si="593"/>
        <v>173.1</v>
      </c>
      <c r="N1623" s="4"/>
      <c r="O1623" s="1">
        <f t="shared" si="594"/>
        <v>173.1</v>
      </c>
      <c r="P1623" s="1">
        <f t="shared" si="595"/>
        <v>0</v>
      </c>
      <c r="Q1623" s="1" t="str">
        <f t="shared" si="592"/>
        <v/>
      </c>
      <c r="R1623" s="1" t="str">
        <f t="shared" si="596"/>
        <v/>
      </c>
      <c r="S1623" s="1">
        <f t="shared" si="597"/>
        <v>630.90240000000244</v>
      </c>
      <c r="T1623" s="1">
        <f t="shared" si="598"/>
        <v>0</v>
      </c>
      <c r="U1623" s="1">
        <f t="shared" si="599"/>
        <v>0</v>
      </c>
      <c r="V1623" s="1">
        <f t="shared" si="600"/>
        <v>0</v>
      </c>
    </row>
    <row r="1624" spans="5:22" x14ac:dyDescent="0.25">
      <c r="E1624" s="4"/>
      <c r="M1624" s="4">
        <f t="shared" si="593"/>
        <v>173.1</v>
      </c>
      <c r="N1624" s="4"/>
      <c r="O1624" s="1">
        <f t="shared" si="594"/>
        <v>173.1</v>
      </c>
      <c r="P1624" s="1">
        <f t="shared" si="595"/>
        <v>0</v>
      </c>
      <c r="Q1624" s="1" t="str">
        <f t="shared" si="592"/>
        <v/>
      </c>
      <c r="R1624" s="1" t="str">
        <f t="shared" si="596"/>
        <v/>
      </c>
      <c r="S1624" s="1">
        <f t="shared" si="597"/>
        <v>630.90240000000244</v>
      </c>
      <c r="T1624" s="1">
        <f t="shared" si="598"/>
        <v>0</v>
      </c>
      <c r="U1624" s="1">
        <f t="shared" si="599"/>
        <v>0</v>
      </c>
      <c r="V1624" s="1">
        <f t="shared" si="600"/>
        <v>0</v>
      </c>
    </row>
    <row r="1625" spans="5:22" x14ac:dyDescent="0.25">
      <c r="E1625" s="4"/>
      <c r="M1625" s="4">
        <f t="shared" si="593"/>
        <v>173.1</v>
      </c>
      <c r="N1625" s="4"/>
      <c r="O1625" s="1">
        <f t="shared" si="594"/>
        <v>173.1</v>
      </c>
      <c r="P1625" s="1">
        <f t="shared" si="595"/>
        <v>0</v>
      </c>
      <c r="Q1625" s="1" t="str">
        <f t="shared" si="592"/>
        <v/>
      </c>
      <c r="R1625" s="1" t="str">
        <f t="shared" si="596"/>
        <v/>
      </c>
      <c r="S1625" s="1">
        <f t="shared" si="597"/>
        <v>630.90240000000244</v>
      </c>
      <c r="T1625" s="1">
        <f t="shared" si="598"/>
        <v>0</v>
      </c>
      <c r="U1625" s="1">
        <f t="shared" si="599"/>
        <v>0</v>
      </c>
      <c r="V1625" s="1">
        <f t="shared" si="600"/>
        <v>0</v>
      </c>
    </row>
    <row r="1626" spans="5:22" x14ac:dyDescent="0.25">
      <c r="E1626" s="4"/>
      <c r="M1626" s="4">
        <f t="shared" si="593"/>
        <v>173.1</v>
      </c>
      <c r="N1626" s="4"/>
      <c r="O1626" s="1">
        <f t="shared" si="594"/>
        <v>173.1</v>
      </c>
      <c r="P1626" s="1">
        <f t="shared" si="595"/>
        <v>0</v>
      </c>
      <c r="Q1626" s="1" t="str">
        <f t="shared" si="592"/>
        <v/>
      </c>
      <c r="R1626" s="1" t="str">
        <f t="shared" si="596"/>
        <v/>
      </c>
      <c r="S1626" s="1">
        <f t="shared" si="597"/>
        <v>630.90240000000244</v>
      </c>
      <c r="T1626" s="1">
        <f t="shared" si="598"/>
        <v>0</v>
      </c>
      <c r="U1626" s="1">
        <f t="shared" si="599"/>
        <v>0</v>
      </c>
      <c r="V1626" s="1">
        <f t="shared" si="600"/>
        <v>0</v>
      </c>
    </row>
    <row r="1627" spans="5:22" x14ac:dyDescent="0.25">
      <c r="E1627" s="4"/>
      <c r="M1627" s="4">
        <f t="shared" si="593"/>
        <v>173.1</v>
      </c>
      <c r="N1627" s="4"/>
      <c r="O1627" s="1">
        <f t="shared" si="594"/>
        <v>173.1</v>
      </c>
      <c r="P1627" s="1">
        <f t="shared" si="595"/>
        <v>0</v>
      </c>
      <c r="Q1627" s="1" t="str">
        <f t="shared" si="592"/>
        <v/>
      </c>
      <c r="R1627" s="1" t="str">
        <f t="shared" si="596"/>
        <v/>
      </c>
      <c r="S1627" s="1">
        <f t="shared" si="597"/>
        <v>630.90240000000244</v>
      </c>
      <c r="T1627" s="1">
        <f t="shared" si="598"/>
        <v>0</v>
      </c>
      <c r="U1627" s="1">
        <f t="shared" si="599"/>
        <v>0</v>
      </c>
      <c r="V1627" s="1">
        <f t="shared" si="600"/>
        <v>0</v>
      </c>
    </row>
    <row r="1628" spans="5:22" x14ac:dyDescent="0.25">
      <c r="E1628" s="4"/>
      <c r="M1628" s="4">
        <f t="shared" si="593"/>
        <v>173.1</v>
      </c>
      <c r="N1628" s="4"/>
      <c r="O1628" s="1">
        <f t="shared" si="594"/>
        <v>173.1</v>
      </c>
      <c r="P1628" s="1">
        <f t="shared" si="595"/>
        <v>0</v>
      </c>
      <c r="Q1628" s="1" t="str">
        <f t="shared" si="592"/>
        <v/>
      </c>
      <c r="R1628" s="1" t="str">
        <f t="shared" si="596"/>
        <v/>
      </c>
      <c r="S1628" s="1">
        <f t="shared" si="597"/>
        <v>630.90240000000244</v>
      </c>
      <c r="T1628" s="1">
        <f t="shared" si="598"/>
        <v>0</v>
      </c>
      <c r="U1628" s="1">
        <f t="shared" si="599"/>
        <v>0</v>
      </c>
      <c r="V1628" s="1">
        <f t="shared" si="600"/>
        <v>0</v>
      </c>
    </row>
    <row r="1629" spans="5:22" x14ac:dyDescent="0.25">
      <c r="E1629" s="4"/>
      <c r="M1629" s="4">
        <f t="shared" si="593"/>
        <v>173.1</v>
      </c>
      <c r="N1629" s="4"/>
      <c r="O1629" s="1">
        <f t="shared" si="594"/>
        <v>173.1</v>
      </c>
      <c r="P1629" s="1">
        <f t="shared" si="595"/>
        <v>0</v>
      </c>
      <c r="Q1629" s="1" t="str">
        <f t="shared" si="592"/>
        <v/>
      </c>
      <c r="R1629" s="1" t="str">
        <f t="shared" si="596"/>
        <v/>
      </c>
      <c r="S1629" s="1">
        <f t="shared" si="597"/>
        <v>630.90240000000244</v>
      </c>
      <c r="T1629" s="1">
        <f t="shared" si="598"/>
        <v>0</v>
      </c>
      <c r="U1629" s="1">
        <f t="shared" si="599"/>
        <v>0</v>
      </c>
      <c r="V1629" s="1">
        <f t="shared" si="600"/>
        <v>0</v>
      </c>
    </row>
    <row r="1630" spans="5:22" x14ac:dyDescent="0.25">
      <c r="E1630" s="4"/>
      <c r="M1630" s="4">
        <f t="shared" si="593"/>
        <v>173.1</v>
      </c>
      <c r="N1630" s="4"/>
      <c r="O1630" s="1">
        <f t="shared" si="594"/>
        <v>173.1</v>
      </c>
      <c r="P1630" s="1">
        <f t="shared" si="595"/>
        <v>0</v>
      </c>
      <c r="Q1630" s="1" t="str">
        <f t="shared" si="592"/>
        <v/>
      </c>
      <c r="R1630" s="1" t="str">
        <f t="shared" si="596"/>
        <v/>
      </c>
      <c r="S1630" s="1">
        <f t="shared" si="597"/>
        <v>630.90240000000244</v>
      </c>
      <c r="T1630" s="1">
        <f t="shared" si="598"/>
        <v>0</v>
      </c>
      <c r="U1630" s="1">
        <f t="shared" si="599"/>
        <v>0</v>
      </c>
      <c r="V1630" s="1">
        <f t="shared" si="600"/>
        <v>0</v>
      </c>
    </row>
    <row r="1631" spans="5:22" x14ac:dyDescent="0.25">
      <c r="E1631" s="4"/>
      <c r="M1631" s="4">
        <f t="shared" si="593"/>
        <v>173.1</v>
      </c>
      <c r="N1631" s="4"/>
      <c r="O1631" s="1">
        <f t="shared" si="594"/>
        <v>173.1</v>
      </c>
      <c r="P1631" s="1">
        <f t="shared" si="595"/>
        <v>0</v>
      </c>
      <c r="Q1631" s="1" t="str">
        <f t="shared" si="592"/>
        <v/>
      </c>
      <c r="R1631" s="1" t="str">
        <f t="shared" si="596"/>
        <v/>
      </c>
      <c r="S1631" s="1">
        <f t="shared" si="597"/>
        <v>630.90240000000244</v>
      </c>
      <c r="T1631" s="1">
        <f t="shared" si="598"/>
        <v>0</v>
      </c>
      <c r="U1631" s="1">
        <f t="shared" si="599"/>
        <v>0</v>
      </c>
      <c r="V1631" s="1">
        <f t="shared" si="600"/>
        <v>0</v>
      </c>
    </row>
    <row r="1632" spans="5:22" x14ac:dyDescent="0.25">
      <c r="E1632" s="4"/>
      <c r="M1632" s="4">
        <f t="shared" si="593"/>
        <v>173.1</v>
      </c>
      <c r="N1632" s="4"/>
      <c r="O1632" s="1">
        <f t="shared" si="594"/>
        <v>173.1</v>
      </c>
      <c r="P1632" s="1">
        <f t="shared" si="595"/>
        <v>0</v>
      </c>
      <c r="Q1632" s="1" t="str">
        <f t="shared" si="592"/>
        <v/>
      </c>
      <c r="R1632" s="1" t="str">
        <f t="shared" si="596"/>
        <v/>
      </c>
      <c r="S1632" s="1">
        <f t="shared" si="597"/>
        <v>630.90240000000244</v>
      </c>
      <c r="T1632" s="1">
        <f t="shared" si="598"/>
        <v>0</v>
      </c>
      <c r="U1632" s="1">
        <f t="shared" si="599"/>
        <v>0</v>
      </c>
      <c r="V1632" s="1">
        <f t="shared" si="600"/>
        <v>0</v>
      </c>
    </row>
    <row r="1633" spans="5:22" x14ac:dyDescent="0.25">
      <c r="E1633" s="4"/>
      <c r="M1633" s="4">
        <f t="shared" si="593"/>
        <v>173.1</v>
      </c>
      <c r="N1633" s="4"/>
      <c r="O1633" s="1">
        <f t="shared" si="594"/>
        <v>173.1</v>
      </c>
      <c r="P1633" s="1">
        <f t="shared" si="595"/>
        <v>0</v>
      </c>
      <c r="Q1633" s="1" t="str">
        <f t="shared" si="592"/>
        <v/>
      </c>
      <c r="R1633" s="1" t="str">
        <f t="shared" si="596"/>
        <v/>
      </c>
      <c r="S1633" s="1">
        <f t="shared" si="597"/>
        <v>630.90240000000244</v>
      </c>
      <c r="T1633" s="1">
        <f t="shared" si="598"/>
        <v>0</v>
      </c>
      <c r="U1633" s="1">
        <f t="shared" si="599"/>
        <v>0</v>
      </c>
      <c r="V1633" s="1">
        <f t="shared" si="600"/>
        <v>0</v>
      </c>
    </row>
    <row r="1634" spans="5:22" x14ac:dyDescent="0.25">
      <c r="E1634" s="4"/>
      <c r="M1634" s="4">
        <f t="shared" si="593"/>
        <v>173.1</v>
      </c>
      <c r="N1634" s="4"/>
      <c r="O1634" s="1">
        <f t="shared" si="594"/>
        <v>173.1</v>
      </c>
      <c r="P1634" s="1">
        <f t="shared" si="595"/>
        <v>0</v>
      </c>
      <c r="Q1634" s="1" t="str">
        <f t="shared" si="592"/>
        <v/>
      </c>
      <c r="R1634" s="1" t="str">
        <f t="shared" si="596"/>
        <v/>
      </c>
      <c r="S1634" s="1">
        <f t="shared" si="597"/>
        <v>630.90240000000244</v>
      </c>
      <c r="T1634" s="1">
        <f t="shared" si="598"/>
        <v>0</v>
      </c>
      <c r="U1634" s="1">
        <f t="shared" si="599"/>
        <v>0</v>
      </c>
      <c r="V1634" s="1">
        <f t="shared" si="600"/>
        <v>0</v>
      </c>
    </row>
    <row r="1635" spans="5:22" x14ac:dyDescent="0.25">
      <c r="E1635" s="4"/>
      <c r="M1635" s="4">
        <f t="shared" si="593"/>
        <v>173.1</v>
      </c>
      <c r="N1635" s="4"/>
      <c r="O1635" s="1">
        <f t="shared" si="594"/>
        <v>173.1</v>
      </c>
      <c r="P1635" s="1">
        <f t="shared" si="595"/>
        <v>0</v>
      </c>
      <c r="Q1635" s="1" t="str">
        <f t="shared" si="592"/>
        <v/>
      </c>
      <c r="R1635" s="1" t="str">
        <f t="shared" si="596"/>
        <v/>
      </c>
      <c r="S1635" s="1">
        <f t="shared" si="597"/>
        <v>630.90240000000244</v>
      </c>
      <c r="T1635" s="1">
        <f t="shared" si="598"/>
        <v>0</v>
      </c>
      <c r="U1635" s="1">
        <f t="shared" si="599"/>
        <v>0</v>
      </c>
      <c r="V1635" s="1">
        <f t="shared" si="600"/>
        <v>0</v>
      </c>
    </row>
    <row r="1636" spans="5:22" x14ac:dyDescent="0.25">
      <c r="E1636" s="4"/>
      <c r="M1636" s="4">
        <f t="shared" si="593"/>
        <v>173.1</v>
      </c>
      <c r="N1636" s="4"/>
      <c r="O1636" s="1">
        <f t="shared" si="594"/>
        <v>173.1</v>
      </c>
      <c r="P1636" s="1">
        <f t="shared" si="595"/>
        <v>0</v>
      </c>
      <c r="Q1636" s="1" t="str">
        <f t="shared" si="592"/>
        <v/>
      </c>
      <c r="R1636" s="1" t="str">
        <f t="shared" si="596"/>
        <v/>
      </c>
      <c r="S1636" s="1">
        <f t="shared" si="597"/>
        <v>630.90240000000244</v>
      </c>
      <c r="T1636" s="1">
        <f t="shared" si="598"/>
        <v>0</v>
      </c>
      <c r="U1636" s="1">
        <f t="shared" si="599"/>
        <v>0</v>
      </c>
      <c r="V1636" s="1">
        <f t="shared" si="600"/>
        <v>0</v>
      </c>
    </row>
    <row r="1637" spans="5:22" x14ac:dyDescent="0.25">
      <c r="E1637" s="4"/>
      <c r="M1637" s="4">
        <f t="shared" si="593"/>
        <v>173.1</v>
      </c>
      <c r="N1637" s="4"/>
      <c r="O1637" s="1">
        <f t="shared" si="594"/>
        <v>173.1</v>
      </c>
      <c r="P1637" s="1">
        <f t="shared" si="595"/>
        <v>0</v>
      </c>
      <c r="Q1637" s="1" t="str">
        <f t="shared" si="592"/>
        <v/>
      </c>
      <c r="R1637" s="1" t="str">
        <f t="shared" si="596"/>
        <v/>
      </c>
      <c r="S1637" s="1">
        <f t="shared" si="597"/>
        <v>630.90240000000244</v>
      </c>
      <c r="T1637" s="1">
        <f t="shared" si="598"/>
        <v>0</v>
      </c>
      <c r="U1637" s="1">
        <f t="shared" si="599"/>
        <v>0</v>
      </c>
      <c r="V1637" s="1">
        <f t="shared" si="600"/>
        <v>0</v>
      </c>
    </row>
    <row r="1638" spans="5:22" x14ac:dyDescent="0.25">
      <c r="E1638" s="4"/>
      <c r="M1638" s="4">
        <f t="shared" si="593"/>
        <v>173.1</v>
      </c>
      <c r="N1638" s="4"/>
      <c r="O1638" s="1">
        <f t="shared" si="594"/>
        <v>173.1</v>
      </c>
      <c r="P1638" s="1">
        <f t="shared" si="595"/>
        <v>0</v>
      </c>
      <c r="Q1638" s="1" t="str">
        <f t="shared" si="592"/>
        <v/>
      </c>
      <c r="R1638" s="1" t="str">
        <f t="shared" si="596"/>
        <v/>
      </c>
      <c r="S1638" s="1">
        <f t="shared" si="597"/>
        <v>630.90240000000244</v>
      </c>
      <c r="T1638" s="1">
        <f t="shared" si="598"/>
        <v>0</v>
      </c>
      <c r="U1638" s="1">
        <f t="shared" si="599"/>
        <v>0</v>
      </c>
      <c r="V1638" s="1">
        <f t="shared" si="600"/>
        <v>0</v>
      </c>
    </row>
    <row r="1639" spans="5:22" x14ac:dyDescent="0.25">
      <c r="E1639" s="4"/>
      <c r="M1639" s="4">
        <f t="shared" si="593"/>
        <v>173.1</v>
      </c>
      <c r="N1639" s="4"/>
      <c r="O1639" s="1">
        <f t="shared" si="594"/>
        <v>173.1</v>
      </c>
      <c r="P1639" s="1">
        <f t="shared" si="595"/>
        <v>0</v>
      </c>
      <c r="Q1639" s="1" t="str">
        <f t="shared" si="592"/>
        <v/>
      </c>
      <c r="R1639" s="1" t="str">
        <f t="shared" si="596"/>
        <v/>
      </c>
      <c r="S1639" s="1">
        <f t="shared" si="597"/>
        <v>630.90240000000244</v>
      </c>
      <c r="T1639" s="1">
        <f t="shared" si="598"/>
        <v>0</v>
      </c>
      <c r="U1639" s="1">
        <f t="shared" si="599"/>
        <v>0</v>
      </c>
      <c r="V1639" s="1">
        <f t="shared" si="600"/>
        <v>0</v>
      </c>
    </row>
    <row r="1640" spans="5:22" x14ac:dyDescent="0.25">
      <c r="E1640" s="4"/>
      <c r="M1640" s="4">
        <f t="shared" si="593"/>
        <v>173.1</v>
      </c>
      <c r="N1640" s="4"/>
      <c r="O1640" s="1">
        <f t="shared" si="594"/>
        <v>173.1</v>
      </c>
      <c r="P1640" s="1">
        <f t="shared" si="595"/>
        <v>0</v>
      </c>
      <c r="Q1640" s="1" t="str">
        <f t="shared" si="592"/>
        <v/>
      </c>
      <c r="R1640" s="1" t="str">
        <f t="shared" si="596"/>
        <v/>
      </c>
      <c r="S1640" s="1">
        <f t="shared" si="597"/>
        <v>630.90240000000244</v>
      </c>
      <c r="T1640" s="1">
        <f t="shared" si="598"/>
        <v>0</v>
      </c>
      <c r="U1640" s="1">
        <f t="shared" si="599"/>
        <v>0</v>
      </c>
      <c r="V1640" s="1">
        <f t="shared" si="600"/>
        <v>0</v>
      </c>
    </row>
    <row r="1641" spans="5:22" x14ac:dyDescent="0.25">
      <c r="E1641" s="4"/>
      <c r="M1641" s="4">
        <f t="shared" si="593"/>
        <v>173.1</v>
      </c>
      <c r="N1641" s="4"/>
      <c r="O1641" s="1">
        <f t="shared" si="594"/>
        <v>173.1</v>
      </c>
      <c r="P1641" s="1">
        <f t="shared" si="595"/>
        <v>0</v>
      </c>
      <c r="Q1641" s="1" t="str">
        <f t="shared" si="592"/>
        <v/>
      </c>
      <c r="R1641" s="1" t="str">
        <f t="shared" si="596"/>
        <v/>
      </c>
      <c r="S1641" s="1">
        <f t="shared" si="597"/>
        <v>630.90240000000244</v>
      </c>
      <c r="T1641" s="1">
        <f t="shared" si="598"/>
        <v>0</v>
      </c>
      <c r="U1641" s="1">
        <f t="shared" si="599"/>
        <v>0</v>
      </c>
      <c r="V1641" s="1">
        <f t="shared" si="600"/>
        <v>0</v>
      </c>
    </row>
    <row r="1642" spans="5:22" x14ac:dyDescent="0.25">
      <c r="E1642" s="4"/>
      <c r="M1642" s="4">
        <f t="shared" si="593"/>
        <v>173.1</v>
      </c>
      <c r="N1642" s="4"/>
      <c r="O1642" s="1">
        <f t="shared" si="594"/>
        <v>173.1</v>
      </c>
      <c r="P1642" s="1">
        <f t="shared" si="595"/>
        <v>0</v>
      </c>
      <c r="Q1642" s="1" t="str">
        <f t="shared" si="592"/>
        <v/>
      </c>
      <c r="R1642" s="1" t="str">
        <f t="shared" si="596"/>
        <v/>
      </c>
      <c r="S1642" s="1">
        <f t="shared" si="597"/>
        <v>630.90240000000244</v>
      </c>
      <c r="T1642" s="1">
        <f t="shared" si="598"/>
        <v>0</v>
      </c>
      <c r="U1642" s="1">
        <f t="shared" si="599"/>
        <v>0</v>
      </c>
      <c r="V1642" s="1">
        <f t="shared" si="600"/>
        <v>0</v>
      </c>
    </row>
    <row r="1643" spans="5:22" x14ac:dyDescent="0.25">
      <c r="E1643" s="4"/>
      <c r="M1643" s="4">
        <f t="shared" si="593"/>
        <v>173.1</v>
      </c>
      <c r="N1643" s="4"/>
      <c r="O1643" s="1">
        <f t="shared" si="594"/>
        <v>173.1</v>
      </c>
      <c r="P1643" s="1">
        <f t="shared" si="595"/>
        <v>0</v>
      </c>
      <c r="Q1643" s="1" t="str">
        <f t="shared" si="592"/>
        <v/>
      </c>
      <c r="R1643" s="1" t="str">
        <f t="shared" si="596"/>
        <v/>
      </c>
      <c r="S1643" s="1">
        <f t="shared" si="597"/>
        <v>630.90240000000244</v>
      </c>
      <c r="T1643" s="1">
        <f t="shared" si="598"/>
        <v>0</v>
      </c>
      <c r="U1643" s="1">
        <f t="shared" si="599"/>
        <v>0</v>
      </c>
      <c r="V1643" s="1">
        <f t="shared" si="600"/>
        <v>0</v>
      </c>
    </row>
    <row r="1644" spans="5:22" x14ac:dyDescent="0.25">
      <c r="E1644" s="4"/>
      <c r="M1644" s="4">
        <f t="shared" si="593"/>
        <v>173.1</v>
      </c>
      <c r="N1644" s="4"/>
      <c r="O1644" s="1">
        <f t="shared" si="594"/>
        <v>173.1</v>
      </c>
      <c r="P1644" s="1">
        <f t="shared" si="595"/>
        <v>0</v>
      </c>
      <c r="Q1644" s="1" t="str">
        <f t="shared" si="592"/>
        <v/>
      </c>
      <c r="R1644" s="1" t="str">
        <f t="shared" si="596"/>
        <v/>
      </c>
      <c r="S1644" s="1">
        <f t="shared" si="597"/>
        <v>630.90240000000244</v>
      </c>
      <c r="T1644" s="1">
        <f t="shared" si="598"/>
        <v>0</v>
      </c>
      <c r="U1644" s="1">
        <f t="shared" si="599"/>
        <v>0</v>
      </c>
      <c r="V1644" s="1">
        <f t="shared" si="600"/>
        <v>0</v>
      </c>
    </row>
    <row r="1645" spans="5:22" x14ac:dyDescent="0.25">
      <c r="E1645" s="4"/>
      <c r="M1645" s="4">
        <f t="shared" si="593"/>
        <v>173.1</v>
      </c>
      <c r="N1645" s="4"/>
      <c r="O1645" s="1">
        <f t="shared" si="594"/>
        <v>173.1</v>
      </c>
      <c r="P1645" s="1">
        <f t="shared" si="595"/>
        <v>0</v>
      </c>
      <c r="Q1645" s="1" t="str">
        <f t="shared" si="592"/>
        <v/>
      </c>
      <c r="R1645" s="1" t="str">
        <f t="shared" si="596"/>
        <v/>
      </c>
      <c r="S1645" s="1">
        <f t="shared" si="597"/>
        <v>630.90240000000244</v>
      </c>
      <c r="T1645" s="1">
        <f t="shared" si="598"/>
        <v>0</v>
      </c>
      <c r="U1645" s="1">
        <f t="shared" si="599"/>
        <v>0</v>
      </c>
      <c r="V1645" s="1">
        <f t="shared" si="600"/>
        <v>0</v>
      </c>
    </row>
    <row r="1646" spans="5:22" x14ac:dyDescent="0.25">
      <c r="E1646" s="4"/>
      <c r="M1646" s="4">
        <f t="shared" si="593"/>
        <v>173.1</v>
      </c>
      <c r="N1646" s="4"/>
      <c r="O1646" s="1">
        <f t="shared" si="594"/>
        <v>173.1</v>
      </c>
      <c r="P1646" s="1">
        <f t="shared" si="595"/>
        <v>0</v>
      </c>
      <c r="Q1646" s="1" t="str">
        <f t="shared" si="592"/>
        <v/>
      </c>
      <c r="R1646" s="1" t="str">
        <f t="shared" si="596"/>
        <v/>
      </c>
      <c r="S1646" s="1">
        <f t="shared" si="597"/>
        <v>630.90240000000244</v>
      </c>
      <c r="T1646" s="1">
        <f t="shared" si="598"/>
        <v>0</v>
      </c>
      <c r="U1646" s="1">
        <f t="shared" si="599"/>
        <v>0</v>
      </c>
      <c r="V1646" s="1">
        <f t="shared" si="600"/>
        <v>0</v>
      </c>
    </row>
    <row r="1647" spans="5:22" x14ac:dyDescent="0.25">
      <c r="E1647" s="4"/>
      <c r="M1647" s="4">
        <f t="shared" si="593"/>
        <v>173.1</v>
      </c>
      <c r="N1647" s="4"/>
      <c r="O1647" s="1">
        <f t="shared" si="594"/>
        <v>173.1</v>
      </c>
      <c r="P1647" s="1">
        <f t="shared" si="595"/>
        <v>0</v>
      </c>
      <c r="Q1647" s="1" t="str">
        <f t="shared" si="592"/>
        <v/>
      </c>
      <c r="R1647" s="1" t="str">
        <f t="shared" si="596"/>
        <v/>
      </c>
      <c r="S1647" s="1">
        <f t="shared" si="597"/>
        <v>630.90240000000244</v>
      </c>
      <c r="T1647" s="1">
        <f t="shared" si="598"/>
        <v>0</v>
      </c>
      <c r="U1647" s="1">
        <f t="shared" si="599"/>
        <v>0</v>
      </c>
      <c r="V1647" s="1">
        <f t="shared" si="600"/>
        <v>0</v>
      </c>
    </row>
    <row r="1648" spans="5:22" x14ac:dyDescent="0.25">
      <c r="E1648" s="4"/>
      <c r="M1648" s="4">
        <f t="shared" si="593"/>
        <v>173.1</v>
      </c>
      <c r="N1648" s="4"/>
      <c r="O1648" s="1">
        <f t="shared" si="594"/>
        <v>173.1</v>
      </c>
      <c r="P1648" s="1">
        <f t="shared" si="595"/>
        <v>0</v>
      </c>
      <c r="Q1648" s="1" t="str">
        <f t="shared" si="592"/>
        <v/>
      </c>
      <c r="R1648" s="1" t="str">
        <f t="shared" si="596"/>
        <v/>
      </c>
      <c r="S1648" s="1">
        <f t="shared" si="597"/>
        <v>630.90240000000244</v>
      </c>
      <c r="T1648" s="1">
        <f t="shared" si="598"/>
        <v>0</v>
      </c>
      <c r="U1648" s="1">
        <f t="shared" si="599"/>
        <v>0</v>
      </c>
      <c r="V1648" s="1">
        <f t="shared" si="600"/>
        <v>0</v>
      </c>
    </row>
    <row r="1649" spans="5:22" x14ac:dyDescent="0.25">
      <c r="E1649" s="4"/>
      <c r="M1649" s="4">
        <f t="shared" si="593"/>
        <v>173.1</v>
      </c>
      <c r="N1649" s="4"/>
      <c r="O1649" s="1">
        <f t="shared" si="594"/>
        <v>173.1</v>
      </c>
      <c r="P1649" s="1">
        <f t="shared" si="595"/>
        <v>0</v>
      </c>
      <c r="Q1649" s="1" t="str">
        <f t="shared" si="592"/>
        <v/>
      </c>
      <c r="R1649" s="1" t="str">
        <f t="shared" si="596"/>
        <v/>
      </c>
      <c r="S1649" s="1">
        <f t="shared" si="597"/>
        <v>630.90240000000244</v>
      </c>
      <c r="T1649" s="1">
        <f t="shared" si="598"/>
        <v>0</v>
      </c>
      <c r="U1649" s="1">
        <f t="shared" si="599"/>
        <v>0</v>
      </c>
      <c r="V1649" s="1">
        <f t="shared" si="600"/>
        <v>0</v>
      </c>
    </row>
    <row r="1650" spans="5:22" x14ac:dyDescent="0.25">
      <c r="E1650" s="4"/>
      <c r="M1650" s="4">
        <f t="shared" si="593"/>
        <v>173.1</v>
      </c>
      <c r="N1650" s="4"/>
      <c r="O1650" s="1">
        <f t="shared" si="594"/>
        <v>173.1</v>
      </c>
      <c r="P1650" s="1">
        <f t="shared" si="595"/>
        <v>0</v>
      </c>
      <c r="Q1650" s="1" t="str">
        <f t="shared" ref="Q1650:Q1713" si="601">IF(H1650&lt;&gt;"",IF(H1650=H1649,"",H1650),IF(H1648="","",MAX(H1649,Q1649)))</f>
        <v/>
      </c>
      <c r="R1650" s="1" t="str">
        <f t="shared" si="596"/>
        <v/>
      </c>
      <c r="S1650" s="1">
        <f t="shared" si="597"/>
        <v>630.90240000000244</v>
      </c>
      <c r="T1650" s="1">
        <f t="shared" si="598"/>
        <v>0</v>
      </c>
      <c r="U1650" s="1">
        <f t="shared" si="599"/>
        <v>0</v>
      </c>
      <c r="V1650" s="1">
        <f t="shared" si="600"/>
        <v>0</v>
      </c>
    </row>
    <row r="1651" spans="5:22" x14ac:dyDescent="0.25">
      <c r="E1651" s="4"/>
      <c r="M1651" s="4">
        <f t="shared" si="593"/>
        <v>173.1</v>
      </c>
      <c r="N1651" s="4"/>
      <c r="O1651" s="1">
        <f t="shared" si="594"/>
        <v>173.1</v>
      </c>
      <c r="P1651" s="1">
        <f t="shared" si="595"/>
        <v>0</v>
      </c>
      <c r="Q1651" s="1" t="str">
        <f t="shared" si="601"/>
        <v/>
      </c>
      <c r="R1651" s="1" t="str">
        <f t="shared" si="596"/>
        <v/>
      </c>
      <c r="S1651" s="1">
        <f t="shared" si="597"/>
        <v>630.90240000000244</v>
      </c>
      <c r="T1651" s="1">
        <f t="shared" si="598"/>
        <v>0</v>
      </c>
      <c r="U1651" s="1">
        <f t="shared" si="599"/>
        <v>0</v>
      </c>
      <c r="V1651" s="1">
        <f t="shared" si="600"/>
        <v>0</v>
      </c>
    </row>
    <row r="1652" spans="5:22" x14ac:dyDescent="0.25">
      <c r="E1652" s="4"/>
      <c r="M1652" s="4">
        <f t="shared" si="593"/>
        <v>173.1</v>
      </c>
      <c r="N1652" s="4"/>
      <c r="O1652" s="1">
        <f t="shared" si="594"/>
        <v>173.1</v>
      </c>
      <c r="P1652" s="1">
        <f t="shared" si="595"/>
        <v>0</v>
      </c>
      <c r="Q1652" s="1" t="str">
        <f t="shared" si="601"/>
        <v/>
      </c>
      <c r="R1652" s="1" t="str">
        <f t="shared" si="596"/>
        <v/>
      </c>
      <c r="S1652" s="1">
        <f t="shared" si="597"/>
        <v>630.90240000000244</v>
      </c>
      <c r="T1652" s="1">
        <f t="shared" si="598"/>
        <v>0</v>
      </c>
      <c r="U1652" s="1">
        <f t="shared" si="599"/>
        <v>0</v>
      </c>
      <c r="V1652" s="1">
        <f t="shared" si="600"/>
        <v>0</v>
      </c>
    </row>
    <row r="1653" spans="5:22" x14ac:dyDescent="0.25">
      <c r="E1653" s="4"/>
      <c r="M1653" s="4">
        <f t="shared" si="593"/>
        <v>173.1</v>
      </c>
      <c r="N1653" s="4"/>
      <c r="O1653" s="1">
        <f t="shared" si="594"/>
        <v>173.1</v>
      </c>
      <c r="P1653" s="1">
        <f t="shared" si="595"/>
        <v>0</v>
      </c>
      <c r="Q1653" s="1" t="str">
        <f t="shared" si="601"/>
        <v/>
      </c>
      <c r="R1653" s="1" t="str">
        <f t="shared" si="596"/>
        <v/>
      </c>
      <c r="S1653" s="1">
        <f t="shared" si="597"/>
        <v>630.90240000000244</v>
      </c>
      <c r="T1653" s="1">
        <f t="shared" si="598"/>
        <v>0</v>
      </c>
      <c r="U1653" s="1">
        <f t="shared" si="599"/>
        <v>0</v>
      </c>
      <c r="V1653" s="1">
        <f t="shared" si="600"/>
        <v>0</v>
      </c>
    </row>
    <row r="1654" spans="5:22" x14ac:dyDescent="0.25">
      <c r="E1654" s="4"/>
      <c r="M1654" s="4">
        <f t="shared" si="593"/>
        <v>173.1</v>
      </c>
      <c r="N1654" s="4"/>
      <c r="O1654" s="1">
        <f t="shared" si="594"/>
        <v>173.1</v>
      </c>
      <c r="P1654" s="1">
        <f t="shared" si="595"/>
        <v>0</v>
      </c>
      <c r="Q1654" s="1" t="str">
        <f t="shared" si="601"/>
        <v/>
      </c>
      <c r="R1654" s="1" t="str">
        <f t="shared" si="596"/>
        <v/>
      </c>
      <c r="S1654" s="1">
        <f t="shared" si="597"/>
        <v>630.90240000000244</v>
      </c>
      <c r="T1654" s="1">
        <f t="shared" si="598"/>
        <v>0</v>
      </c>
      <c r="U1654" s="1">
        <f t="shared" si="599"/>
        <v>0</v>
      </c>
      <c r="V1654" s="1">
        <f t="shared" si="600"/>
        <v>0</v>
      </c>
    </row>
    <row r="1655" spans="5:22" x14ac:dyDescent="0.25">
      <c r="E1655" s="4"/>
      <c r="M1655" s="4">
        <f t="shared" si="593"/>
        <v>173.1</v>
      </c>
      <c r="N1655" s="4"/>
      <c r="O1655" s="1">
        <f t="shared" si="594"/>
        <v>173.1</v>
      </c>
      <c r="P1655" s="1">
        <f t="shared" si="595"/>
        <v>0</v>
      </c>
      <c r="Q1655" s="1" t="str">
        <f t="shared" si="601"/>
        <v/>
      </c>
      <c r="R1655" s="1" t="str">
        <f t="shared" si="596"/>
        <v/>
      </c>
      <c r="S1655" s="1">
        <f t="shared" si="597"/>
        <v>630.90240000000244</v>
      </c>
      <c r="T1655" s="1">
        <f t="shared" si="598"/>
        <v>0</v>
      </c>
      <c r="U1655" s="1">
        <f t="shared" si="599"/>
        <v>0</v>
      </c>
      <c r="V1655" s="1">
        <f t="shared" si="600"/>
        <v>0</v>
      </c>
    </row>
    <row r="1656" spans="5:22" x14ac:dyDescent="0.25">
      <c r="E1656" s="4"/>
      <c r="M1656" s="4">
        <f t="shared" si="593"/>
        <v>173.1</v>
      </c>
      <c r="N1656" s="4"/>
      <c r="O1656" s="1">
        <f t="shared" si="594"/>
        <v>173.1</v>
      </c>
      <c r="P1656" s="1">
        <f t="shared" si="595"/>
        <v>0</v>
      </c>
      <c r="Q1656" s="1" t="str">
        <f t="shared" si="601"/>
        <v/>
      </c>
      <c r="R1656" s="1" t="str">
        <f t="shared" si="596"/>
        <v/>
      </c>
      <c r="S1656" s="1">
        <f t="shared" si="597"/>
        <v>630.90240000000244</v>
      </c>
      <c r="T1656" s="1">
        <f t="shared" si="598"/>
        <v>0</v>
      </c>
      <c r="U1656" s="1">
        <f t="shared" si="599"/>
        <v>0</v>
      </c>
      <c r="V1656" s="1">
        <f t="shared" si="600"/>
        <v>0</v>
      </c>
    </row>
    <row r="1657" spans="5:22" x14ac:dyDescent="0.25">
      <c r="E1657" s="4"/>
      <c r="M1657" s="4">
        <f t="shared" si="593"/>
        <v>173.1</v>
      </c>
      <c r="N1657" s="4"/>
      <c r="O1657" s="1">
        <f t="shared" si="594"/>
        <v>173.1</v>
      </c>
      <c r="P1657" s="1">
        <f t="shared" si="595"/>
        <v>0</v>
      </c>
      <c r="Q1657" s="1" t="str">
        <f t="shared" si="601"/>
        <v/>
      </c>
      <c r="R1657" s="1" t="str">
        <f t="shared" si="596"/>
        <v/>
      </c>
      <c r="S1657" s="1">
        <f t="shared" si="597"/>
        <v>630.90240000000244</v>
      </c>
      <c r="T1657" s="1">
        <f t="shared" si="598"/>
        <v>0</v>
      </c>
      <c r="U1657" s="1">
        <f t="shared" si="599"/>
        <v>0</v>
      </c>
      <c r="V1657" s="1">
        <f t="shared" si="600"/>
        <v>0</v>
      </c>
    </row>
    <row r="1658" spans="5:22" x14ac:dyDescent="0.25">
      <c r="E1658" s="4"/>
      <c r="M1658" s="4">
        <f t="shared" si="593"/>
        <v>173.1</v>
      </c>
      <c r="N1658" s="4"/>
      <c r="O1658" s="1">
        <f t="shared" si="594"/>
        <v>173.1</v>
      </c>
      <c r="P1658" s="1">
        <f t="shared" si="595"/>
        <v>0</v>
      </c>
      <c r="Q1658" s="1" t="str">
        <f t="shared" si="601"/>
        <v/>
      </c>
      <c r="R1658" s="1" t="str">
        <f t="shared" si="596"/>
        <v/>
      </c>
      <c r="S1658" s="1">
        <f t="shared" si="597"/>
        <v>630.90240000000244</v>
      </c>
      <c r="T1658" s="1">
        <f t="shared" si="598"/>
        <v>0</v>
      </c>
      <c r="U1658" s="1">
        <f t="shared" si="599"/>
        <v>0</v>
      </c>
      <c r="V1658" s="1">
        <f t="shared" si="600"/>
        <v>0</v>
      </c>
    </row>
    <row r="1659" spans="5:22" x14ac:dyDescent="0.25">
      <c r="E1659" s="4"/>
      <c r="M1659" s="4">
        <f t="shared" si="593"/>
        <v>173.1</v>
      </c>
      <c r="N1659" s="4"/>
      <c r="O1659" s="1">
        <f t="shared" si="594"/>
        <v>173.1</v>
      </c>
      <c r="P1659" s="1">
        <f t="shared" si="595"/>
        <v>0</v>
      </c>
      <c r="Q1659" s="1" t="str">
        <f t="shared" si="601"/>
        <v/>
      </c>
      <c r="R1659" s="1" t="str">
        <f t="shared" si="596"/>
        <v/>
      </c>
      <c r="S1659" s="1">
        <f t="shared" si="597"/>
        <v>630.90240000000244</v>
      </c>
      <c r="T1659" s="1">
        <f t="shared" si="598"/>
        <v>0</v>
      </c>
      <c r="U1659" s="1">
        <f t="shared" si="599"/>
        <v>0</v>
      </c>
      <c r="V1659" s="1">
        <f t="shared" si="600"/>
        <v>0</v>
      </c>
    </row>
    <row r="1660" spans="5:22" x14ac:dyDescent="0.25">
      <c r="E1660" s="4"/>
      <c r="M1660" s="4">
        <f t="shared" si="593"/>
        <v>173.1</v>
      </c>
      <c r="N1660" s="4"/>
      <c r="O1660" s="1">
        <f t="shared" si="594"/>
        <v>173.1</v>
      </c>
      <c r="P1660" s="1">
        <f t="shared" si="595"/>
        <v>0</v>
      </c>
      <c r="Q1660" s="1" t="str">
        <f t="shared" si="601"/>
        <v/>
      </c>
      <c r="R1660" s="1" t="str">
        <f t="shared" si="596"/>
        <v/>
      </c>
      <c r="S1660" s="1">
        <f t="shared" si="597"/>
        <v>630.90240000000244</v>
      </c>
      <c r="T1660" s="1">
        <f t="shared" si="598"/>
        <v>0</v>
      </c>
      <c r="U1660" s="1">
        <f t="shared" si="599"/>
        <v>0</v>
      </c>
      <c r="V1660" s="1">
        <f t="shared" si="600"/>
        <v>0</v>
      </c>
    </row>
    <row r="1661" spans="5:22" x14ac:dyDescent="0.25">
      <c r="E1661" s="4"/>
      <c r="M1661" s="4">
        <f t="shared" si="593"/>
        <v>173.1</v>
      </c>
      <c r="N1661" s="4"/>
      <c r="O1661" s="1">
        <f t="shared" si="594"/>
        <v>173.1</v>
      </c>
      <c r="P1661" s="1">
        <f t="shared" si="595"/>
        <v>0</v>
      </c>
      <c r="Q1661" s="1" t="str">
        <f t="shared" si="601"/>
        <v/>
      </c>
      <c r="R1661" s="1" t="str">
        <f t="shared" si="596"/>
        <v/>
      </c>
      <c r="S1661" s="1">
        <f t="shared" si="597"/>
        <v>630.90240000000244</v>
      </c>
      <c r="T1661" s="1">
        <f t="shared" si="598"/>
        <v>0</v>
      </c>
      <c r="U1661" s="1">
        <f t="shared" si="599"/>
        <v>0</v>
      </c>
      <c r="V1661" s="1">
        <f t="shared" si="600"/>
        <v>0</v>
      </c>
    </row>
    <row r="1662" spans="5:22" x14ac:dyDescent="0.25">
      <c r="E1662" s="4"/>
      <c r="M1662" s="4">
        <f t="shared" si="593"/>
        <v>173.1</v>
      </c>
      <c r="N1662" s="4"/>
      <c r="O1662" s="1">
        <f t="shared" si="594"/>
        <v>173.1</v>
      </c>
      <c r="P1662" s="1">
        <f t="shared" si="595"/>
        <v>0</v>
      </c>
      <c r="Q1662" s="1" t="str">
        <f t="shared" si="601"/>
        <v/>
      </c>
      <c r="R1662" s="1" t="str">
        <f t="shared" si="596"/>
        <v/>
      </c>
      <c r="S1662" s="1">
        <f t="shared" si="597"/>
        <v>630.90240000000244</v>
      </c>
      <c r="T1662" s="1">
        <f t="shared" si="598"/>
        <v>0</v>
      </c>
      <c r="U1662" s="1">
        <f t="shared" si="599"/>
        <v>0</v>
      </c>
      <c r="V1662" s="1">
        <f t="shared" si="600"/>
        <v>0</v>
      </c>
    </row>
    <row r="1663" spans="5:22" x14ac:dyDescent="0.25">
      <c r="E1663" s="4"/>
      <c r="M1663" s="4">
        <f t="shared" si="593"/>
        <v>173.1</v>
      </c>
      <c r="N1663" s="4"/>
      <c r="O1663" s="1">
        <f t="shared" si="594"/>
        <v>173.1</v>
      </c>
      <c r="P1663" s="1">
        <f t="shared" si="595"/>
        <v>0</v>
      </c>
      <c r="Q1663" s="1" t="str">
        <f t="shared" si="601"/>
        <v/>
      </c>
      <c r="R1663" s="1" t="str">
        <f t="shared" si="596"/>
        <v/>
      </c>
      <c r="S1663" s="1">
        <f t="shared" si="597"/>
        <v>630.90240000000244</v>
      </c>
      <c r="T1663" s="1">
        <f t="shared" si="598"/>
        <v>0</v>
      </c>
      <c r="U1663" s="1">
        <f t="shared" si="599"/>
        <v>0</v>
      </c>
      <c r="V1663" s="1">
        <f t="shared" si="600"/>
        <v>0</v>
      </c>
    </row>
    <row r="1664" spans="5:22" x14ac:dyDescent="0.25">
      <c r="E1664" s="4"/>
      <c r="M1664" s="4">
        <f t="shared" si="593"/>
        <v>173.1</v>
      </c>
      <c r="N1664" s="4"/>
      <c r="O1664" s="1">
        <f t="shared" si="594"/>
        <v>173.1</v>
      </c>
      <c r="P1664" s="1">
        <f t="shared" si="595"/>
        <v>0</v>
      </c>
      <c r="Q1664" s="1" t="str">
        <f t="shared" si="601"/>
        <v/>
      </c>
      <c r="R1664" s="1" t="str">
        <f t="shared" si="596"/>
        <v/>
      </c>
      <c r="S1664" s="1">
        <f t="shared" si="597"/>
        <v>630.90240000000244</v>
      </c>
      <c r="T1664" s="1">
        <f t="shared" si="598"/>
        <v>0</v>
      </c>
      <c r="U1664" s="1">
        <f t="shared" si="599"/>
        <v>0</v>
      </c>
      <c r="V1664" s="1">
        <f t="shared" si="600"/>
        <v>0</v>
      </c>
    </row>
    <row r="1665" spans="5:22" x14ac:dyDescent="0.25">
      <c r="E1665" s="4"/>
      <c r="M1665" s="4">
        <f t="shared" si="593"/>
        <v>173.1</v>
      </c>
      <c r="N1665" s="4"/>
      <c r="O1665" s="1">
        <f t="shared" si="594"/>
        <v>173.1</v>
      </c>
      <c r="P1665" s="1">
        <f t="shared" si="595"/>
        <v>0</v>
      </c>
      <c r="Q1665" s="1" t="str">
        <f t="shared" si="601"/>
        <v/>
      </c>
      <c r="R1665" s="1" t="str">
        <f t="shared" si="596"/>
        <v/>
      </c>
      <c r="S1665" s="1">
        <f t="shared" si="597"/>
        <v>630.90240000000244</v>
      </c>
      <c r="T1665" s="1">
        <f t="shared" si="598"/>
        <v>0</v>
      </c>
      <c r="U1665" s="1">
        <f t="shared" si="599"/>
        <v>0</v>
      </c>
      <c r="V1665" s="1">
        <f t="shared" si="600"/>
        <v>0</v>
      </c>
    </row>
    <row r="1666" spans="5:22" x14ac:dyDescent="0.25">
      <c r="E1666" s="4"/>
      <c r="M1666" s="4">
        <f t="shared" si="593"/>
        <v>173.1</v>
      </c>
      <c r="N1666" s="4"/>
      <c r="O1666" s="1">
        <f t="shared" si="594"/>
        <v>173.1</v>
      </c>
      <c r="P1666" s="1">
        <f t="shared" si="595"/>
        <v>0</v>
      </c>
      <c r="Q1666" s="1" t="str">
        <f t="shared" si="601"/>
        <v/>
      </c>
      <c r="R1666" s="1" t="str">
        <f t="shared" si="596"/>
        <v/>
      </c>
      <c r="S1666" s="1">
        <f t="shared" si="597"/>
        <v>630.90240000000244</v>
      </c>
      <c r="T1666" s="1">
        <f t="shared" si="598"/>
        <v>0</v>
      </c>
      <c r="U1666" s="1">
        <f t="shared" si="599"/>
        <v>0</v>
      </c>
      <c r="V1666" s="1">
        <f t="shared" si="600"/>
        <v>0</v>
      </c>
    </row>
    <row r="1667" spans="5:22" x14ac:dyDescent="0.25">
      <c r="E1667" s="4"/>
      <c r="M1667" s="4">
        <f t="shared" si="593"/>
        <v>173.1</v>
      </c>
      <c r="N1667" s="4"/>
      <c r="O1667" s="1">
        <f t="shared" si="594"/>
        <v>173.1</v>
      </c>
      <c r="P1667" s="1">
        <f t="shared" si="595"/>
        <v>0</v>
      </c>
      <c r="Q1667" s="1" t="str">
        <f t="shared" si="601"/>
        <v/>
      </c>
      <c r="R1667" s="1" t="str">
        <f t="shared" si="596"/>
        <v/>
      </c>
      <c r="S1667" s="1">
        <f t="shared" si="597"/>
        <v>630.90240000000244</v>
      </c>
      <c r="T1667" s="1">
        <f t="shared" si="598"/>
        <v>0</v>
      </c>
      <c r="U1667" s="1">
        <f t="shared" si="599"/>
        <v>0</v>
      </c>
      <c r="V1667" s="1">
        <f t="shared" si="600"/>
        <v>0</v>
      </c>
    </row>
    <row r="1668" spans="5:22" x14ac:dyDescent="0.25">
      <c r="E1668" s="4"/>
      <c r="M1668" s="4">
        <f t="shared" si="593"/>
        <v>173.1</v>
      </c>
      <c r="N1668" s="4"/>
      <c r="O1668" s="1">
        <f t="shared" si="594"/>
        <v>173.1</v>
      </c>
      <c r="P1668" s="1">
        <f t="shared" si="595"/>
        <v>0</v>
      </c>
      <c r="Q1668" s="1" t="str">
        <f t="shared" si="601"/>
        <v/>
      </c>
      <c r="R1668" s="1" t="str">
        <f t="shared" si="596"/>
        <v/>
      </c>
      <c r="S1668" s="1">
        <f t="shared" si="597"/>
        <v>630.90240000000244</v>
      </c>
      <c r="T1668" s="1">
        <f t="shared" si="598"/>
        <v>0</v>
      </c>
      <c r="U1668" s="1">
        <f t="shared" si="599"/>
        <v>0</v>
      </c>
      <c r="V1668" s="1">
        <f t="shared" si="600"/>
        <v>0</v>
      </c>
    </row>
    <row r="1669" spans="5:22" x14ac:dyDescent="0.25">
      <c r="E1669" s="4"/>
      <c r="M1669" s="4">
        <f t="shared" si="593"/>
        <v>173.1</v>
      </c>
      <c r="N1669" s="4"/>
      <c r="O1669" s="1">
        <f t="shared" si="594"/>
        <v>173.1</v>
      </c>
      <c r="P1669" s="1">
        <f t="shared" si="595"/>
        <v>0</v>
      </c>
      <c r="Q1669" s="1" t="str">
        <f t="shared" si="601"/>
        <v/>
      </c>
      <c r="R1669" s="1" t="str">
        <f t="shared" si="596"/>
        <v/>
      </c>
      <c r="S1669" s="1">
        <f t="shared" si="597"/>
        <v>630.90240000000244</v>
      </c>
      <c r="T1669" s="1">
        <f t="shared" si="598"/>
        <v>0</v>
      </c>
      <c r="U1669" s="1">
        <f t="shared" si="599"/>
        <v>0</v>
      </c>
      <c r="V1669" s="1">
        <f t="shared" si="600"/>
        <v>0</v>
      </c>
    </row>
    <row r="1670" spans="5:22" x14ac:dyDescent="0.25">
      <c r="E1670" s="4"/>
      <c r="M1670" s="4">
        <f t="shared" si="593"/>
        <v>173.1</v>
      </c>
      <c r="N1670" s="4"/>
      <c r="O1670" s="1">
        <f t="shared" si="594"/>
        <v>173.1</v>
      </c>
      <c r="P1670" s="1">
        <f t="shared" si="595"/>
        <v>0</v>
      </c>
      <c r="Q1670" s="1" t="str">
        <f t="shared" si="601"/>
        <v/>
      </c>
      <c r="R1670" s="1" t="str">
        <f t="shared" si="596"/>
        <v/>
      </c>
      <c r="S1670" s="1">
        <f t="shared" si="597"/>
        <v>630.90240000000244</v>
      </c>
      <c r="T1670" s="1">
        <f t="shared" si="598"/>
        <v>0</v>
      </c>
      <c r="U1670" s="1">
        <f t="shared" si="599"/>
        <v>0</v>
      </c>
      <c r="V1670" s="1">
        <f t="shared" si="600"/>
        <v>0</v>
      </c>
    </row>
    <row r="1671" spans="5:22" x14ac:dyDescent="0.25">
      <c r="E1671" s="4"/>
      <c r="M1671" s="4">
        <f t="shared" si="593"/>
        <v>173.1</v>
      </c>
      <c r="N1671" s="4"/>
      <c r="O1671" s="1">
        <f t="shared" si="594"/>
        <v>173.1</v>
      </c>
      <c r="P1671" s="1">
        <f t="shared" si="595"/>
        <v>0</v>
      </c>
      <c r="Q1671" s="1" t="str">
        <f t="shared" si="601"/>
        <v/>
      </c>
      <c r="R1671" s="1" t="str">
        <f t="shared" si="596"/>
        <v/>
      </c>
      <c r="S1671" s="1">
        <f t="shared" si="597"/>
        <v>630.90240000000244</v>
      </c>
      <c r="T1671" s="1">
        <f t="shared" si="598"/>
        <v>0</v>
      </c>
      <c r="U1671" s="1">
        <f t="shared" si="599"/>
        <v>0</v>
      </c>
      <c r="V1671" s="1">
        <f t="shared" si="600"/>
        <v>0</v>
      </c>
    </row>
    <row r="1672" spans="5:22" x14ac:dyDescent="0.25">
      <c r="E1672" s="4"/>
      <c r="M1672" s="4">
        <f t="shared" ref="M1672:M1735" si="602">E1672+M1671</f>
        <v>173.1</v>
      </c>
      <c r="N1672" s="4"/>
      <c r="O1672" s="1">
        <f t="shared" ref="O1672:O1735" si="603">E1671+O1671</f>
        <v>173.1</v>
      </c>
      <c r="P1672" s="1">
        <f t="shared" ref="P1672:P1735" si="604">F1672*52.8*E1672</f>
        <v>0</v>
      </c>
      <c r="Q1672" s="1" t="str">
        <f t="shared" si="601"/>
        <v/>
      </c>
      <c r="R1672" s="1" t="str">
        <f t="shared" ref="R1672:R1735" si="605">IF(I1672="",Q1672,IF(AND(H1672=H1671,I1672=I1671),"",I1672))</f>
        <v/>
      </c>
      <c r="S1672" s="1">
        <f t="shared" ref="S1672:S1735" si="606">S1671+U1671*T1671/100</f>
        <v>630.90240000000244</v>
      </c>
      <c r="T1672" s="1">
        <f t="shared" ref="T1672:T1735" si="607">IF(G1672="UNK",0,G1672)</f>
        <v>0</v>
      </c>
      <c r="U1672" s="1">
        <f t="shared" ref="U1672:U1735" si="608">E1672*5280</f>
        <v>0</v>
      </c>
      <c r="V1672" s="1">
        <f t="shared" ref="V1672:V1735" si="609">ABS(T1672*U1672)</f>
        <v>0</v>
      </c>
    </row>
    <row r="1673" spans="5:22" x14ac:dyDescent="0.25">
      <c r="E1673" s="4"/>
      <c r="M1673" s="4">
        <f t="shared" si="602"/>
        <v>173.1</v>
      </c>
      <c r="N1673" s="4"/>
      <c r="O1673" s="1">
        <f t="shared" si="603"/>
        <v>173.1</v>
      </c>
      <c r="P1673" s="1">
        <f t="shared" si="604"/>
        <v>0</v>
      </c>
      <c r="Q1673" s="1" t="str">
        <f t="shared" si="601"/>
        <v/>
      </c>
      <c r="R1673" s="1" t="str">
        <f t="shared" si="605"/>
        <v/>
      </c>
      <c r="S1673" s="1">
        <f t="shared" si="606"/>
        <v>630.90240000000244</v>
      </c>
      <c r="T1673" s="1">
        <f t="shared" si="607"/>
        <v>0</v>
      </c>
      <c r="U1673" s="1">
        <f t="shared" si="608"/>
        <v>0</v>
      </c>
      <c r="V1673" s="1">
        <f t="shared" si="609"/>
        <v>0</v>
      </c>
    </row>
    <row r="1674" spans="5:22" x14ac:dyDescent="0.25">
      <c r="E1674" s="4"/>
      <c r="M1674" s="4">
        <f t="shared" si="602"/>
        <v>173.1</v>
      </c>
      <c r="N1674" s="4"/>
      <c r="O1674" s="1">
        <f t="shared" si="603"/>
        <v>173.1</v>
      </c>
      <c r="P1674" s="1">
        <f t="shared" si="604"/>
        <v>0</v>
      </c>
      <c r="Q1674" s="1" t="str">
        <f t="shared" si="601"/>
        <v/>
      </c>
      <c r="R1674" s="1" t="str">
        <f t="shared" si="605"/>
        <v/>
      </c>
      <c r="S1674" s="1">
        <f t="shared" si="606"/>
        <v>630.90240000000244</v>
      </c>
      <c r="T1674" s="1">
        <f t="shared" si="607"/>
        <v>0</v>
      </c>
      <c r="U1674" s="1">
        <f t="shared" si="608"/>
        <v>0</v>
      </c>
      <c r="V1674" s="1">
        <f t="shared" si="609"/>
        <v>0</v>
      </c>
    </row>
    <row r="1675" spans="5:22" x14ac:dyDescent="0.25">
      <c r="E1675" s="4"/>
      <c r="M1675" s="4">
        <f t="shared" si="602"/>
        <v>173.1</v>
      </c>
      <c r="N1675" s="4"/>
      <c r="O1675" s="1">
        <f t="shared" si="603"/>
        <v>173.1</v>
      </c>
      <c r="P1675" s="1">
        <f t="shared" si="604"/>
        <v>0</v>
      </c>
      <c r="Q1675" s="1" t="str">
        <f t="shared" si="601"/>
        <v/>
      </c>
      <c r="R1675" s="1" t="str">
        <f t="shared" si="605"/>
        <v/>
      </c>
      <c r="S1675" s="1">
        <f t="shared" si="606"/>
        <v>630.90240000000244</v>
      </c>
      <c r="T1675" s="1">
        <f t="shared" si="607"/>
        <v>0</v>
      </c>
      <c r="U1675" s="1">
        <f t="shared" si="608"/>
        <v>0</v>
      </c>
      <c r="V1675" s="1">
        <f t="shared" si="609"/>
        <v>0</v>
      </c>
    </row>
    <row r="1676" spans="5:22" x14ac:dyDescent="0.25">
      <c r="E1676" s="4"/>
      <c r="M1676" s="4">
        <f t="shared" si="602"/>
        <v>173.1</v>
      </c>
      <c r="N1676" s="4"/>
      <c r="O1676" s="1">
        <f t="shared" si="603"/>
        <v>173.1</v>
      </c>
      <c r="P1676" s="1">
        <f t="shared" si="604"/>
        <v>0</v>
      </c>
      <c r="Q1676" s="1" t="str">
        <f t="shared" si="601"/>
        <v/>
      </c>
      <c r="R1676" s="1" t="str">
        <f t="shared" si="605"/>
        <v/>
      </c>
      <c r="S1676" s="1">
        <f t="shared" si="606"/>
        <v>630.90240000000244</v>
      </c>
      <c r="T1676" s="1">
        <f t="shared" si="607"/>
        <v>0</v>
      </c>
      <c r="U1676" s="1">
        <f t="shared" si="608"/>
        <v>0</v>
      </c>
      <c r="V1676" s="1">
        <f t="shared" si="609"/>
        <v>0</v>
      </c>
    </row>
    <row r="1677" spans="5:22" x14ac:dyDescent="0.25">
      <c r="E1677" s="4"/>
      <c r="M1677" s="4">
        <f t="shared" si="602"/>
        <v>173.1</v>
      </c>
      <c r="N1677" s="4"/>
      <c r="O1677" s="1">
        <f t="shared" si="603"/>
        <v>173.1</v>
      </c>
      <c r="P1677" s="1">
        <f t="shared" si="604"/>
        <v>0</v>
      </c>
      <c r="Q1677" s="1" t="str">
        <f t="shared" si="601"/>
        <v/>
      </c>
      <c r="R1677" s="1" t="str">
        <f t="shared" si="605"/>
        <v/>
      </c>
      <c r="S1677" s="1">
        <f t="shared" si="606"/>
        <v>630.90240000000244</v>
      </c>
      <c r="T1677" s="1">
        <f t="shared" si="607"/>
        <v>0</v>
      </c>
      <c r="U1677" s="1">
        <f t="shared" si="608"/>
        <v>0</v>
      </c>
      <c r="V1677" s="1">
        <f t="shared" si="609"/>
        <v>0</v>
      </c>
    </row>
    <row r="1678" spans="5:22" x14ac:dyDescent="0.25">
      <c r="E1678" s="4"/>
      <c r="M1678" s="4">
        <f t="shared" si="602"/>
        <v>173.1</v>
      </c>
      <c r="N1678" s="4"/>
      <c r="O1678" s="1">
        <f t="shared" si="603"/>
        <v>173.1</v>
      </c>
      <c r="P1678" s="1">
        <f t="shared" si="604"/>
        <v>0</v>
      </c>
      <c r="Q1678" s="1" t="str">
        <f t="shared" si="601"/>
        <v/>
      </c>
      <c r="R1678" s="1" t="str">
        <f t="shared" si="605"/>
        <v/>
      </c>
      <c r="S1678" s="1">
        <f t="shared" si="606"/>
        <v>630.90240000000244</v>
      </c>
      <c r="T1678" s="1">
        <f t="shared" si="607"/>
        <v>0</v>
      </c>
      <c r="U1678" s="1">
        <f t="shared" si="608"/>
        <v>0</v>
      </c>
      <c r="V1678" s="1">
        <f t="shared" si="609"/>
        <v>0</v>
      </c>
    </row>
    <row r="1679" spans="5:22" x14ac:dyDescent="0.25">
      <c r="E1679" s="4"/>
      <c r="M1679" s="4">
        <f t="shared" si="602"/>
        <v>173.1</v>
      </c>
      <c r="N1679" s="4"/>
      <c r="O1679" s="1">
        <f t="shared" si="603"/>
        <v>173.1</v>
      </c>
      <c r="P1679" s="1">
        <f t="shared" si="604"/>
        <v>0</v>
      </c>
      <c r="Q1679" s="1" t="str">
        <f t="shared" si="601"/>
        <v/>
      </c>
      <c r="R1679" s="1" t="str">
        <f t="shared" si="605"/>
        <v/>
      </c>
      <c r="S1679" s="1">
        <f t="shared" si="606"/>
        <v>630.90240000000244</v>
      </c>
      <c r="T1679" s="1">
        <f t="shared" si="607"/>
        <v>0</v>
      </c>
      <c r="U1679" s="1">
        <f t="shared" si="608"/>
        <v>0</v>
      </c>
      <c r="V1679" s="1">
        <f t="shared" si="609"/>
        <v>0</v>
      </c>
    </row>
    <row r="1680" spans="5:22" x14ac:dyDescent="0.25">
      <c r="E1680" s="4"/>
      <c r="M1680" s="4">
        <f t="shared" si="602"/>
        <v>173.1</v>
      </c>
      <c r="N1680" s="4"/>
      <c r="O1680" s="1">
        <f t="shared" si="603"/>
        <v>173.1</v>
      </c>
      <c r="P1680" s="1">
        <f t="shared" si="604"/>
        <v>0</v>
      </c>
      <c r="Q1680" s="1" t="str">
        <f t="shared" si="601"/>
        <v/>
      </c>
      <c r="R1680" s="1" t="str">
        <f t="shared" si="605"/>
        <v/>
      </c>
      <c r="S1680" s="1">
        <f t="shared" si="606"/>
        <v>630.90240000000244</v>
      </c>
      <c r="T1680" s="1">
        <f t="shared" si="607"/>
        <v>0</v>
      </c>
      <c r="U1680" s="1">
        <f t="shared" si="608"/>
        <v>0</v>
      </c>
      <c r="V1680" s="1">
        <f t="shared" si="609"/>
        <v>0</v>
      </c>
    </row>
    <row r="1681" spans="5:22" x14ac:dyDescent="0.25">
      <c r="E1681" s="4"/>
      <c r="M1681" s="4">
        <f t="shared" si="602"/>
        <v>173.1</v>
      </c>
      <c r="N1681" s="4"/>
      <c r="O1681" s="1">
        <f t="shared" si="603"/>
        <v>173.1</v>
      </c>
      <c r="P1681" s="1">
        <f t="shared" si="604"/>
        <v>0</v>
      </c>
      <c r="Q1681" s="1" t="str">
        <f t="shared" si="601"/>
        <v/>
      </c>
      <c r="R1681" s="1" t="str">
        <f t="shared" si="605"/>
        <v/>
      </c>
      <c r="S1681" s="1">
        <f t="shared" si="606"/>
        <v>630.90240000000244</v>
      </c>
      <c r="T1681" s="1">
        <f t="shared" si="607"/>
        <v>0</v>
      </c>
      <c r="U1681" s="1">
        <f t="shared" si="608"/>
        <v>0</v>
      </c>
      <c r="V1681" s="1">
        <f t="shared" si="609"/>
        <v>0</v>
      </c>
    </row>
    <row r="1682" spans="5:22" x14ac:dyDescent="0.25">
      <c r="E1682" s="4"/>
      <c r="M1682" s="4">
        <f t="shared" si="602"/>
        <v>173.1</v>
      </c>
      <c r="N1682" s="4"/>
      <c r="O1682" s="1">
        <f t="shared" si="603"/>
        <v>173.1</v>
      </c>
      <c r="P1682" s="1">
        <f t="shared" si="604"/>
        <v>0</v>
      </c>
      <c r="Q1682" s="1" t="str">
        <f t="shared" si="601"/>
        <v/>
      </c>
      <c r="R1682" s="1" t="str">
        <f t="shared" si="605"/>
        <v/>
      </c>
      <c r="S1682" s="1">
        <f t="shared" si="606"/>
        <v>630.90240000000244</v>
      </c>
      <c r="T1682" s="1">
        <f t="shared" si="607"/>
        <v>0</v>
      </c>
      <c r="U1682" s="1">
        <f t="shared" si="608"/>
        <v>0</v>
      </c>
      <c r="V1682" s="1">
        <f t="shared" si="609"/>
        <v>0</v>
      </c>
    </row>
    <row r="1683" spans="5:22" x14ac:dyDescent="0.25">
      <c r="E1683" s="4"/>
      <c r="M1683" s="4">
        <f t="shared" si="602"/>
        <v>173.1</v>
      </c>
      <c r="N1683" s="4"/>
      <c r="O1683" s="1">
        <f t="shared" si="603"/>
        <v>173.1</v>
      </c>
      <c r="P1683" s="1">
        <f t="shared" si="604"/>
        <v>0</v>
      </c>
      <c r="Q1683" s="1" t="str">
        <f t="shared" si="601"/>
        <v/>
      </c>
      <c r="R1683" s="1" t="str">
        <f t="shared" si="605"/>
        <v/>
      </c>
      <c r="S1683" s="1">
        <f t="shared" si="606"/>
        <v>630.90240000000244</v>
      </c>
      <c r="T1683" s="1">
        <f t="shared" si="607"/>
        <v>0</v>
      </c>
      <c r="U1683" s="1">
        <f t="shared" si="608"/>
        <v>0</v>
      </c>
      <c r="V1683" s="1">
        <f t="shared" si="609"/>
        <v>0</v>
      </c>
    </row>
    <row r="1684" spans="5:22" x14ac:dyDescent="0.25">
      <c r="E1684" s="4"/>
      <c r="M1684" s="4">
        <f t="shared" si="602"/>
        <v>173.1</v>
      </c>
      <c r="N1684" s="4"/>
      <c r="O1684" s="1">
        <f t="shared" si="603"/>
        <v>173.1</v>
      </c>
      <c r="P1684" s="1">
        <f t="shared" si="604"/>
        <v>0</v>
      </c>
      <c r="Q1684" s="1" t="str">
        <f t="shared" si="601"/>
        <v/>
      </c>
      <c r="R1684" s="1" t="str">
        <f t="shared" si="605"/>
        <v/>
      </c>
      <c r="S1684" s="1">
        <f t="shared" si="606"/>
        <v>630.90240000000244</v>
      </c>
      <c r="T1684" s="1">
        <f t="shared" si="607"/>
        <v>0</v>
      </c>
      <c r="U1684" s="1">
        <f t="shared" si="608"/>
        <v>0</v>
      </c>
      <c r="V1684" s="1">
        <f t="shared" si="609"/>
        <v>0</v>
      </c>
    </row>
    <row r="1685" spans="5:22" x14ac:dyDescent="0.25">
      <c r="E1685" s="4"/>
      <c r="M1685" s="4">
        <f t="shared" si="602"/>
        <v>173.1</v>
      </c>
      <c r="N1685" s="4"/>
      <c r="O1685" s="1">
        <f t="shared" si="603"/>
        <v>173.1</v>
      </c>
      <c r="P1685" s="1">
        <f t="shared" si="604"/>
        <v>0</v>
      </c>
      <c r="Q1685" s="1" t="str">
        <f t="shared" si="601"/>
        <v/>
      </c>
      <c r="R1685" s="1" t="str">
        <f t="shared" si="605"/>
        <v/>
      </c>
      <c r="S1685" s="1">
        <f t="shared" si="606"/>
        <v>630.90240000000244</v>
      </c>
      <c r="T1685" s="1">
        <f t="shared" si="607"/>
        <v>0</v>
      </c>
      <c r="U1685" s="1">
        <f t="shared" si="608"/>
        <v>0</v>
      </c>
      <c r="V1685" s="1">
        <f t="shared" si="609"/>
        <v>0</v>
      </c>
    </row>
    <row r="1686" spans="5:22" x14ac:dyDescent="0.25">
      <c r="E1686" s="4"/>
      <c r="M1686" s="4">
        <f t="shared" si="602"/>
        <v>173.1</v>
      </c>
      <c r="N1686" s="4"/>
      <c r="O1686" s="1">
        <f t="shared" si="603"/>
        <v>173.1</v>
      </c>
      <c r="P1686" s="1">
        <f t="shared" si="604"/>
        <v>0</v>
      </c>
      <c r="Q1686" s="1" t="str">
        <f t="shared" si="601"/>
        <v/>
      </c>
      <c r="R1686" s="1" t="str">
        <f t="shared" si="605"/>
        <v/>
      </c>
      <c r="S1686" s="1">
        <f t="shared" si="606"/>
        <v>630.90240000000244</v>
      </c>
      <c r="T1686" s="1">
        <f t="shared" si="607"/>
        <v>0</v>
      </c>
      <c r="U1686" s="1">
        <f t="shared" si="608"/>
        <v>0</v>
      </c>
      <c r="V1686" s="1">
        <f t="shared" si="609"/>
        <v>0</v>
      </c>
    </row>
    <row r="1687" spans="5:22" x14ac:dyDescent="0.25">
      <c r="E1687" s="4"/>
      <c r="M1687" s="4">
        <f t="shared" si="602"/>
        <v>173.1</v>
      </c>
      <c r="N1687" s="4"/>
      <c r="O1687" s="1">
        <f t="shared" si="603"/>
        <v>173.1</v>
      </c>
      <c r="P1687" s="1">
        <f t="shared" si="604"/>
        <v>0</v>
      </c>
      <c r="Q1687" s="1" t="str">
        <f t="shared" si="601"/>
        <v/>
      </c>
      <c r="R1687" s="1" t="str">
        <f t="shared" si="605"/>
        <v/>
      </c>
      <c r="S1687" s="1">
        <f t="shared" si="606"/>
        <v>630.90240000000244</v>
      </c>
      <c r="T1687" s="1">
        <f t="shared" si="607"/>
        <v>0</v>
      </c>
      <c r="U1687" s="1">
        <f t="shared" si="608"/>
        <v>0</v>
      </c>
      <c r="V1687" s="1">
        <f t="shared" si="609"/>
        <v>0</v>
      </c>
    </row>
    <row r="1688" spans="5:22" x14ac:dyDescent="0.25">
      <c r="E1688" s="4"/>
      <c r="M1688" s="4">
        <f t="shared" si="602"/>
        <v>173.1</v>
      </c>
      <c r="N1688" s="4"/>
      <c r="O1688" s="1">
        <f t="shared" si="603"/>
        <v>173.1</v>
      </c>
      <c r="P1688" s="1">
        <f t="shared" si="604"/>
        <v>0</v>
      </c>
      <c r="Q1688" s="1" t="str">
        <f t="shared" si="601"/>
        <v/>
      </c>
      <c r="R1688" s="1" t="str">
        <f t="shared" si="605"/>
        <v/>
      </c>
      <c r="S1688" s="1">
        <f t="shared" si="606"/>
        <v>630.90240000000244</v>
      </c>
      <c r="T1688" s="1">
        <f t="shared" si="607"/>
        <v>0</v>
      </c>
      <c r="U1688" s="1">
        <f t="shared" si="608"/>
        <v>0</v>
      </c>
      <c r="V1688" s="1">
        <f t="shared" si="609"/>
        <v>0</v>
      </c>
    </row>
    <row r="1689" spans="5:22" x14ac:dyDescent="0.25">
      <c r="E1689" s="4"/>
      <c r="M1689" s="4">
        <f t="shared" si="602"/>
        <v>173.1</v>
      </c>
      <c r="N1689" s="4"/>
      <c r="O1689" s="1">
        <f t="shared" si="603"/>
        <v>173.1</v>
      </c>
      <c r="P1689" s="1">
        <f t="shared" si="604"/>
        <v>0</v>
      </c>
      <c r="Q1689" s="1" t="str">
        <f t="shared" si="601"/>
        <v/>
      </c>
      <c r="R1689" s="1" t="str">
        <f t="shared" si="605"/>
        <v/>
      </c>
      <c r="S1689" s="1">
        <f t="shared" si="606"/>
        <v>630.90240000000244</v>
      </c>
      <c r="T1689" s="1">
        <f t="shared" si="607"/>
        <v>0</v>
      </c>
      <c r="U1689" s="1">
        <f t="shared" si="608"/>
        <v>0</v>
      </c>
      <c r="V1689" s="1">
        <f t="shared" si="609"/>
        <v>0</v>
      </c>
    </row>
    <row r="1690" spans="5:22" x14ac:dyDescent="0.25">
      <c r="E1690" s="4"/>
      <c r="M1690" s="4">
        <f t="shared" si="602"/>
        <v>173.1</v>
      </c>
      <c r="N1690" s="4"/>
      <c r="O1690" s="1">
        <f t="shared" si="603"/>
        <v>173.1</v>
      </c>
      <c r="P1690" s="1">
        <f t="shared" si="604"/>
        <v>0</v>
      </c>
      <c r="Q1690" s="1" t="str">
        <f t="shared" si="601"/>
        <v/>
      </c>
      <c r="R1690" s="1" t="str">
        <f t="shared" si="605"/>
        <v/>
      </c>
      <c r="S1690" s="1">
        <f t="shared" si="606"/>
        <v>630.90240000000244</v>
      </c>
      <c r="T1690" s="1">
        <f t="shared" si="607"/>
        <v>0</v>
      </c>
      <c r="U1690" s="1">
        <f t="shared" si="608"/>
        <v>0</v>
      </c>
      <c r="V1690" s="1">
        <f t="shared" si="609"/>
        <v>0</v>
      </c>
    </row>
    <row r="1691" spans="5:22" x14ac:dyDescent="0.25">
      <c r="E1691" s="4"/>
      <c r="M1691" s="4">
        <f t="shared" si="602"/>
        <v>173.1</v>
      </c>
      <c r="N1691" s="4"/>
      <c r="O1691" s="1">
        <f t="shared" si="603"/>
        <v>173.1</v>
      </c>
      <c r="P1691" s="1">
        <f t="shared" si="604"/>
        <v>0</v>
      </c>
      <c r="Q1691" s="1" t="str">
        <f t="shared" si="601"/>
        <v/>
      </c>
      <c r="R1691" s="1" t="str">
        <f t="shared" si="605"/>
        <v/>
      </c>
      <c r="S1691" s="1">
        <f t="shared" si="606"/>
        <v>630.90240000000244</v>
      </c>
      <c r="T1691" s="1">
        <f t="shared" si="607"/>
        <v>0</v>
      </c>
      <c r="U1691" s="1">
        <f t="shared" si="608"/>
        <v>0</v>
      </c>
      <c r="V1691" s="1">
        <f t="shared" si="609"/>
        <v>0</v>
      </c>
    </row>
    <row r="1692" spans="5:22" x14ac:dyDescent="0.25">
      <c r="E1692" s="4"/>
      <c r="M1692" s="4">
        <f t="shared" si="602"/>
        <v>173.1</v>
      </c>
      <c r="N1692" s="4"/>
      <c r="O1692" s="1">
        <f t="shared" si="603"/>
        <v>173.1</v>
      </c>
      <c r="P1692" s="1">
        <f t="shared" si="604"/>
        <v>0</v>
      </c>
      <c r="Q1692" s="1" t="str">
        <f t="shared" si="601"/>
        <v/>
      </c>
      <c r="R1692" s="1" t="str">
        <f t="shared" si="605"/>
        <v/>
      </c>
      <c r="S1692" s="1">
        <f t="shared" si="606"/>
        <v>630.90240000000244</v>
      </c>
      <c r="T1692" s="1">
        <f t="shared" si="607"/>
        <v>0</v>
      </c>
      <c r="U1692" s="1">
        <f t="shared" si="608"/>
        <v>0</v>
      </c>
      <c r="V1692" s="1">
        <f t="shared" si="609"/>
        <v>0</v>
      </c>
    </row>
    <row r="1693" spans="5:22" x14ac:dyDescent="0.25">
      <c r="E1693" s="4"/>
      <c r="M1693" s="4">
        <f t="shared" si="602"/>
        <v>173.1</v>
      </c>
      <c r="N1693" s="4"/>
      <c r="O1693" s="1">
        <f t="shared" si="603"/>
        <v>173.1</v>
      </c>
      <c r="P1693" s="1">
        <f t="shared" si="604"/>
        <v>0</v>
      </c>
      <c r="Q1693" s="1" t="str">
        <f t="shared" si="601"/>
        <v/>
      </c>
      <c r="R1693" s="1" t="str">
        <f t="shared" si="605"/>
        <v/>
      </c>
      <c r="S1693" s="1">
        <f t="shared" si="606"/>
        <v>630.90240000000244</v>
      </c>
      <c r="T1693" s="1">
        <f t="shared" si="607"/>
        <v>0</v>
      </c>
      <c r="U1693" s="1">
        <f t="shared" si="608"/>
        <v>0</v>
      </c>
      <c r="V1693" s="1">
        <f t="shared" si="609"/>
        <v>0</v>
      </c>
    </row>
    <row r="1694" spans="5:22" x14ac:dyDescent="0.25">
      <c r="E1694" s="4"/>
      <c r="M1694" s="4">
        <f t="shared" si="602"/>
        <v>173.1</v>
      </c>
      <c r="N1694" s="4"/>
      <c r="O1694" s="1">
        <f t="shared" si="603"/>
        <v>173.1</v>
      </c>
      <c r="P1694" s="1">
        <f t="shared" si="604"/>
        <v>0</v>
      </c>
      <c r="Q1694" s="1" t="str">
        <f t="shared" si="601"/>
        <v/>
      </c>
      <c r="R1694" s="1" t="str">
        <f t="shared" si="605"/>
        <v/>
      </c>
      <c r="S1694" s="1">
        <f t="shared" si="606"/>
        <v>630.90240000000244</v>
      </c>
      <c r="T1694" s="1">
        <f t="shared" si="607"/>
        <v>0</v>
      </c>
      <c r="U1694" s="1">
        <f t="shared" si="608"/>
        <v>0</v>
      </c>
      <c r="V1694" s="1">
        <f t="shared" si="609"/>
        <v>0</v>
      </c>
    </row>
    <row r="1695" spans="5:22" x14ac:dyDescent="0.25">
      <c r="E1695" s="4"/>
      <c r="M1695" s="4">
        <f t="shared" si="602"/>
        <v>173.1</v>
      </c>
      <c r="N1695" s="4"/>
      <c r="O1695" s="1">
        <f t="shared" si="603"/>
        <v>173.1</v>
      </c>
      <c r="P1695" s="1">
        <f t="shared" si="604"/>
        <v>0</v>
      </c>
      <c r="Q1695" s="1" t="str">
        <f t="shared" si="601"/>
        <v/>
      </c>
      <c r="R1695" s="1" t="str">
        <f t="shared" si="605"/>
        <v/>
      </c>
      <c r="S1695" s="1">
        <f t="shared" si="606"/>
        <v>630.90240000000244</v>
      </c>
      <c r="T1695" s="1">
        <f t="shared" si="607"/>
        <v>0</v>
      </c>
      <c r="U1695" s="1">
        <f t="shared" si="608"/>
        <v>0</v>
      </c>
      <c r="V1695" s="1">
        <f t="shared" si="609"/>
        <v>0</v>
      </c>
    </row>
    <row r="1696" spans="5:22" x14ac:dyDescent="0.25">
      <c r="E1696" s="4"/>
      <c r="M1696" s="4">
        <f t="shared" si="602"/>
        <v>173.1</v>
      </c>
      <c r="N1696" s="4"/>
      <c r="O1696" s="1">
        <f t="shared" si="603"/>
        <v>173.1</v>
      </c>
      <c r="P1696" s="1">
        <f t="shared" si="604"/>
        <v>0</v>
      </c>
      <c r="Q1696" s="1" t="str">
        <f t="shared" si="601"/>
        <v/>
      </c>
      <c r="R1696" s="1" t="str">
        <f t="shared" si="605"/>
        <v/>
      </c>
      <c r="S1696" s="1">
        <f t="shared" si="606"/>
        <v>630.90240000000244</v>
      </c>
      <c r="T1696" s="1">
        <f t="shared" si="607"/>
        <v>0</v>
      </c>
      <c r="U1696" s="1">
        <f t="shared" si="608"/>
        <v>0</v>
      </c>
      <c r="V1696" s="1">
        <f t="shared" si="609"/>
        <v>0</v>
      </c>
    </row>
    <row r="1697" spans="5:22" x14ac:dyDescent="0.25">
      <c r="E1697" s="4"/>
      <c r="M1697" s="4">
        <f t="shared" si="602"/>
        <v>173.1</v>
      </c>
      <c r="N1697" s="4"/>
      <c r="O1697" s="1">
        <f t="shared" si="603"/>
        <v>173.1</v>
      </c>
      <c r="P1697" s="1">
        <f t="shared" si="604"/>
        <v>0</v>
      </c>
      <c r="Q1697" s="1" t="str">
        <f t="shared" si="601"/>
        <v/>
      </c>
      <c r="R1697" s="1" t="str">
        <f t="shared" si="605"/>
        <v/>
      </c>
      <c r="S1697" s="1">
        <f t="shared" si="606"/>
        <v>630.90240000000244</v>
      </c>
      <c r="T1697" s="1">
        <f t="shared" si="607"/>
        <v>0</v>
      </c>
      <c r="U1697" s="1">
        <f t="shared" si="608"/>
        <v>0</v>
      </c>
      <c r="V1697" s="1">
        <f t="shared" si="609"/>
        <v>0</v>
      </c>
    </row>
    <row r="1698" spans="5:22" x14ac:dyDescent="0.25">
      <c r="E1698" s="4"/>
      <c r="M1698" s="4">
        <f t="shared" si="602"/>
        <v>173.1</v>
      </c>
      <c r="N1698" s="4"/>
      <c r="O1698" s="1">
        <f t="shared" si="603"/>
        <v>173.1</v>
      </c>
      <c r="P1698" s="1">
        <f t="shared" si="604"/>
        <v>0</v>
      </c>
      <c r="Q1698" s="1" t="str">
        <f t="shared" si="601"/>
        <v/>
      </c>
      <c r="R1698" s="1" t="str">
        <f t="shared" si="605"/>
        <v/>
      </c>
      <c r="S1698" s="1">
        <f t="shared" si="606"/>
        <v>630.90240000000244</v>
      </c>
      <c r="T1698" s="1">
        <f t="shared" si="607"/>
        <v>0</v>
      </c>
      <c r="U1698" s="1">
        <f t="shared" si="608"/>
        <v>0</v>
      </c>
      <c r="V1698" s="1">
        <f t="shared" si="609"/>
        <v>0</v>
      </c>
    </row>
    <row r="1699" spans="5:22" x14ac:dyDescent="0.25">
      <c r="E1699" s="4"/>
      <c r="M1699" s="4">
        <f t="shared" si="602"/>
        <v>173.1</v>
      </c>
      <c r="N1699" s="4"/>
      <c r="O1699" s="1">
        <f t="shared" si="603"/>
        <v>173.1</v>
      </c>
      <c r="P1699" s="1">
        <f t="shared" si="604"/>
        <v>0</v>
      </c>
      <c r="Q1699" s="1" t="str">
        <f t="shared" si="601"/>
        <v/>
      </c>
      <c r="R1699" s="1" t="str">
        <f t="shared" si="605"/>
        <v/>
      </c>
      <c r="S1699" s="1">
        <f t="shared" si="606"/>
        <v>630.90240000000244</v>
      </c>
      <c r="T1699" s="1">
        <f t="shared" si="607"/>
        <v>0</v>
      </c>
      <c r="U1699" s="1">
        <f t="shared" si="608"/>
        <v>0</v>
      </c>
      <c r="V1699" s="1">
        <f t="shared" si="609"/>
        <v>0</v>
      </c>
    </row>
    <row r="1700" spans="5:22" x14ac:dyDescent="0.25">
      <c r="E1700" s="4"/>
      <c r="M1700" s="4">
        <f t="shared" si="602"/>
        <v>173.1</v>
      </c>
      <c r="N1700" s="4"/>
      <c r="O1700" s="1">
        <f t="shared" si="603"/>
        <v>173.1</v>
      </c>
      <c r="P1700" s="1">
        <f t="shared" si="604"/>
        <v>0</v>
      </c>
      <c r="Q1700" s="1" t="str">
        <f t="shared" si="601"/>
        <v/>
      </c>
      <c r="R1700" s="1" t="str">
        <f t="shared" si="605"/>
        <v/>
      </c>
      <c r="S1700" s="1">
        <f t="shared" si="606"/>
        <v>630.90240000000244</v>
      </c>
      <c r="T1700" s="1">
        <f t="shared" si="607"/>
        <v>0</v>
      </c>
      <c r="U1700" s="1">
        <f t="shared" si="608"/>
        <v>0</v>
      </c>
      <c r="V1700" s="1">
        <f t="shared" si="609"/>
        <v>0</v>
      </c>
    </row>
    <row r="1701" spans="5:22" x14ac:dyDescent="0.25">
      <c r="E1701" s="4"/>
      <c r="M1701" s="4">
        <f t="shared" si="602"/>
        <v>173.1</v>
      </c>
      <c r="N1701" s="4"/>
      <c r="O1701" s="1">
        <f t="shared" si="603"/>
        <v>173.1</v>
      </c>
      <c r="P1701" s="1">
        <f t="shared" si="604"/>
        <v>0</v>
      </c>
      <c r="Q1701" s="1" t="str">
        <f t="shared" si="601"/>
        <v/>
      </c>
      <c r="R1701" s="1" t="str">
        <f t="shared" si="605"/>
        <v/>
      </c>
      <c r="S1701" s="1">
        <f t="shared" si="606"/>
        <v>630.90240000000244</v>
      </c>
      <c r="T1701" s="1">
        <f t="shared" si="607"/>
        <v>0</v>
      </c>
      <c r="U1701" s="1">
        <f t="shared" si="608"/>
        <v>0</v>
      </c>
      <c r="V1701" s="1">
        <f t="shared" si="609"/>
        <v>0</v>
      </c>
    </row>
    <row r="1702" spans="5:22" x14ac:dyDescent="0.25">
      <c r="E1702" s="4"/>
      <c r="M1702" s="4">
        <f t="shared" si="602"/>
        <v>173.1</v>
      </c>
      <c r="N1702" s="4"/>
      <c r="O1702" s="1">
        <f t="shared" si="603"/>
        <v>173.1</v>
      </c>
      <c r="P1702" s="1">
        <f t="shared" si="604"/>
        <v>0</v>
      </c>
      <c r="Q1702" s="1" t="str">
        <f t="shared" si="601"/>
        <v/>
      </c>
      <c r="R1702" s="1" t="str">
        <f t="shared" si="605"/>
        <v/>
      </c>
      <c r="S1702" s="1">
        <f t="shared" si="606"/>
        <v>630.90240000000244</v>
      </c>
      <c r="T1702" s="1">
        <f t="shared" si="607"/>
        <v>0</v>
      </c>
      <c r="U1702" s="1">
        <f t="shared" si="608"/>
        <v>0</v>
      </c>
      <c r="V1702" s="1">
        <f t="shared" si="609"/>
        <v>0</v>
      </c>
    </row>
    <row r="1703" spans="5:22" x14ac:dyDescent="0.25">
      <c r="E1703" s="4"/>
      <c r="M1703" s="4">
        <f t="shared" si="602"/>
        <v>173.1</v>
      </c>
      <c r="N1703" s="4"/>
      <c r="O1703" s="1">
        <f t="shared" si="603"/>
        <v>173.1</v>
      </c>
      <c r="P1703" s="1">
        <f t="shared" si="604"/>
        <v>0</v>
      </c>
      <c r="Q1703" s="1" t="str">
        <f t="shared" si="601"/>
        <v/>
      </c>
      <c r="R1703" s="1" t="str">
        <f t="shared" si="605"/>
        <v/>
      </c>
      <c r="S1703" s="1">
        <f t="shared" si="606"/>
        <v>630.90240000000244</v>
      </c>
      <c r="T1703" s="1">
        <f t="shared" si="607"/>
        <v>0</v>
      </c>
      <c r="U1703" s="1">
        <f t="shared" si="608"/>
        <v>0</v>
      </c>
      <c r="V1703" s="1">
        <f t="shared" si="609"/>
        <v>0</v>
      </c>
    </row>
    <row r="1704" spans="5:22" x14ac:dyDescent="0.25">
      <c r="E1704" s="4"/>
      <c r="M1704" s="4">
        <f t="shared" si="602"/>
        <v>173.1</v>
      </c>
      <c r="N1704" s="4"/>
      <c r="O1704" s="1">
        <f t="shared" si="603"/>
        <v>173.1</v>
      </c>
      <c r="P1704" s="1">
        <f t="shared" si="604"/>
        <v>0</v>
      </c>
      <c r="Q1704" s="1" t="str">
        <f t="shared" si="601"/>
        <v/>
      </c>
      <c r="R1704" s="1" t="str">
        <f t="shared" si="605"/>
        <v/>
      </c>
      <c r="S1704" s="1">
        <f t="shared" si="606"/>
        <v>630.90240000000244</v>
      </c>
      <c r="T1704" s="1">
        <f t="shared" si="607"/>
        <v>0</v>
      </c>
      <c r="U1704" s="1">
        <f t="shared" si="608"/>
        <v>0</v>
      </c>
      <c r="V1704" s="1">
        <f t="shared" si="609"/>
        <v>0</v>
      </c>
    </row>
    <row r="1705" spans="5:22" x14ac:dyDescent="0.25">
      <c r="E1705" s="4"/>
      <c r="M1705" s="4">
        <f t="shared" si="602"/>
        <v>173.1</v>
      </c>
      <c r="N1705" s="4"/>
      <c r="O1705" s="1">
        <f t="shared" si="603"/>
        <v>173.1</v>
      </c>
      <c r="P1705" s="1">
        <f t="shared" si="604"/>
        <v>0</v>
      </c>
      <c r="Q1705" s="1" t="str">
        <f t="shared" si="601"/>
        <v/>
      </c>
      <c r="R1705" s="1" t="str">
        <f t="shared" si="605"/>
        <v/>
      </c>
      <c r="S1705" s="1">
        <f t="shared" si="606"/>
        <v>630.90240000000244</v>
      </c>
      <c r="T1705" s="1">
        <f t="shared" si="607"/>
        <v>0</v>
      </c>
      <c r="U1705" s="1">
        <f t="shared" si="608"/>
        <v>0</v>
      </c>
      <c r="V1705" s="1">
        <f t="shared" si="609"/>
        <v>0</v>
      </c>
    </row>
    <row r="1706" spans="5:22" x14ac:dyDescent="0.25">
      <c r="E1706" s="4"/>
      <c r="M1706" s="4">
        <f t="shared" si="602"/>
        <v>173.1</v>
      </c>
      <c r="N1706" s="4"/>
      <c r="O1706" s="1">
        <f t="shared" si="603"/>
        <v>173.1</v>
      </c>
      <c r="P1706" s="1">
        <f t="shared" si="604"/>
        <v>0</v>
      </c>
      <c r="Q1706" s="1" t="str">
        <f t="shared" si="601"/>
        <v/>
      </c>
      <c r="R1706" s="1" t="str">
        <f t="shared" si="605"/>
        <v/>
      </c>
      <c r="S1706" s="1">
        <f t="shared" si="606"/>
        <v>630.90240000000244</v>
      </c>
      <c r="T1706" s="1">
        <f t="shared" si="607"/>
        <v>0</v>
      </c>
      <c r="U1706" s="1">
        <f t="shared" si="608"/>
        <v>0</v>
      </c>
      <c r="V1706" s="1">
        <f t="shared" si="609"/>
        <v>0</v>
      </c>
    </row>
    <row r="1707" spans="5:22" x14ac:dyDescent="0.25">
      <c r="E1707" s="4"/>
      <c r="M1707" s="4">
        <f t="shared" si="602"/>
        <v>173.1</v>
      </c>
      <c r="N1707" s="4"/>
      <c r="O1707" s="1">
        <f t="shared" si="603"/>
        <v>173.1</v>
      </c>
      <c r="P1707" s="1">
        <f t="shared" si="604"/>
        <v>0</v>
      </c>
      <c r="Q1707" s="1" t="str">
        <f t="shared" si="601"/>
        <v/>
      </c>
      <c r="R1707" s="1" t="str">
        <f t="shared" si="605"/>
        <v/>
      </c>
      <c r="S1707" s="1">
        <f t="shared" si="606"/>
        <v>630.90240000000244</v>
      </c>
      <c r="T1707" s="1">
        <f t="shared" si="607"/>
        <v>0</v>
      </c>
      <c r="U1707" s="1">
        <f t="shared" si="608"/>
        <v>0</v>
      </c>
      <c r="V1707" s="1">
        <f t="shared" si="609"/>
        <v>0</v>
      </c>
    </row>
    <row r="1708" spans="5:22" x14ac:dyDescent="0.25">
      <c r="E1708" s="4"/>
      <c r="M1708" s="4">
        <f t="shared" si="602"/>
        <v>173.1</v>
      </c>
      <c r="N1708" s="4"/>
      <c r="O1708" s="1">
        <f t="shared" si="603"/>
        <v>173.1</v>
      </c>
      <c r="P1708" s="1">
        <f t="shared" si="604"/>
        <v>0</v>
      </c>
      <c r="Q1708" s="1" t="str">
        <f t="shared" si="601"/>
        <v/>
      </c>
      <c r="R1708" s="1" t="str">
        <f t="shared" si="605"/>
        <v/>
      </c>
      <c r="S1708" s="1">
        <f t="shared" si="606"/>
        <v>630.90240000000244</v>
      </c>
      <c r="T1708" s="1">
        <f t="shared" si="607"/>
        <v>0</v>
      </c>
      <c r="U1708" s="1">
        <f t="shared" si="608"/>
        <v>0</v>
      </c>
      <c r="V1708" s="1">
        <f t="shared" si="609"/>
        <v>0</v>
      </c>
    </row>
    <row r="1709" spans="5:22" x14ac:dyDescent="0.25">
      <c r="E1709" s="4"/>
      <c r="M1709" s="4">
        <f t="shared" si="602"/>
        <v>173.1</v>
      </c>
      <c r="N1709" s="4"/>
      <c r="O1709" s="1">
        <f t="shared" si="603"/>
        <v>173.1</v>
      </c>
      <c r="P1709" s="1">
        <f t="shared" si="604"/>
        <v>0</v>
      </c>
      <c r="Q1709" s="1" t="str">
        <f t="shared" si="601"/>
        <v/>
      </c>
      <c r="R1709" s="1" t="str">
        <f t="shared" si="605"/>
        <v/>
      </c>
      <c r="S1709" s="1">
        <f t="shared" si="606"/>
        <v>630.90240000000244</v>
      </c>
      <c r="T1709" s="1">
        <f t="shared" si="607"/>
        <v>0</v>
      </c>
      <c r="U1709" s="1">
        <f t="shared" si="608"/>
        <v>0</v>
      </c>
      <c r="V1709" s="1">
        <f t="shared" si="609"/>
        <v>0</v>
      </c>
    </row>
    <row r="1710" spans="5:22" x14ac:dyDescent="0.25">
      <c r="E1710" s="4"/>
      <c r="M1710" s="4">
        <f t="shared" si="602"/>
        <v>173.1</v>
      </c>
      <c r="N1710" s="4"/>
      <c r="O1710" s="1">
        <f t="shared" si="603"/>
        <v>173.1</v>
      </c>
      <c r="P1710" s="1">
        <f t="shared" si="604"/>
        <v>0</v>
      </c>
      <c r="Q1710" s="1" t="str">
        <f t="shared" si="601"/>
        <v/>
      </c>
      <c r="R1710" s="1" t="str">
        <f t="shared" si="605"/>
        <v/>
      </c>
      <c r="S1710" s="1">
        <f t="shared" si="606"/>
        <v>630.90240000000244</v>
      </c>
      <c r="T1710" s="1">
        <f t="shared" si="607"/>
        <v>0</v>
      </c>
      <c r="U1710" s="1">
        <f t="shared" si="608"/>
        <v>0</v>
      </c>
      <c r="V1710" s="1">
        <f t="shared" si="609"/>
        <v>0</v>
      </c>
    </row>
    <row r="1711" spans="5:22" x14ac:dyDescent="0.25">
      <c r="E1711" s="4"/>
      <c r="M1711" s="4">
        <f t="shared" si="602"/>
        <v>173.1</v>
      </c>
      <c r="N1711" s="4"/>
      <c r="O1711" s="1">
        <f t="shared" si="603"/>
        <v>173.1</v>
      </c>
      <c r="P1711" s="1">
        <f t="shared" si="604"/>
        <v>0</v>
      </c>
      <c r="Q1711" s="1" t="str">
        <f t="shared" si="601"/>
        <v/>
      </c>
      <c r="R1711" s="1" t="str">
        <f t="shared" si="605"/>
        <v/>
      </c>
      <c r="S1711" s="1">
        <f t="shared" si="606"/>
        <v>630.90240000000244</v>
      </c>
      <c r="T1711" s="1">
        <f t="shared" si="607"/>
        <v>0</v>
      </c>
      <c r="U1711" s="1">
        <f t="shared" si="608"/>
        <v>0</v>
      </c>
      <c r="V1711" s="1">
        <f t="shared" si="609"/>
        <v>0</v>
      </c>
    </row>
    <row r="1712" spans="5:22" x14ac:dyDescent="0.25">
      <c r="E1712" s="4"/>
      <c r="M1712" s="4">
        <f t="shared" si="602"/>
        <v>173.1</v>
      </c>
      <c r="N1712" s="4"/>
      <c r="O1712" s="1">
        <f t="shared" si="603"/>
        <v>173.1</v>
      </c>
      <c r="P1712" s="1">
        <f t="shared" si="604"/>
        <v>0</v>
      </c>
      <c r="Q1712" s="1" t="str">
        <f t="shared" si="601"/>
        <v/>
      </c>
      <c r="R1712" s="1" t="str">
        <f t="shared" si="605"/>
        <v/>
      </c>
      <c r="S1712" s="1">
        <f t="shared" si="606"/>
        <v>630.90240000000244</v>
      </c>
      <c r="T1712" s="1">
        <f t="shared" si="607"/>
        <v>0</v>
      </c>
      <c r="U1712" s="1">
        <f t="shared" si="608"/>
        <v>0</v>
      </c>
      <c r="V1712" s="1">
        <f t="shared" si="609"/>
        <v>0</v>
      </c>
    </row>
    <row r="1713" spans="5:22" x14ac:dyDescent="0.25">
      <c r="E1713" s="4"/>
      <c r="M1713" s="4">
        <f t="shared" si="602"/>
        <v>173.1</v>
      </c>
      <c r="N1713" s="4"/>
      <c r="O1713" s="1">
        <f t="shared" si="603"/>
        <v>173.1</v>
      </c>
      <c r="P1713" s="1">
        <f t="shared" si="604"/>
        <v>0</v>
      </c>
      <c r="Q1713" s="1" t="str">
        <f t="shared" si="601"/>
        <v/>
      </c>
      <c r="R1713" s="1" t="str">
        <f t="shared" si="605"/>
        <v/>
      </c>
      <c r="S1713" s="1">
        <f t="shared" si="606"/>
        <v>630.90240000000244</v>
      </c>
      <c r="T1713" s="1">
        <f t="shared" si="607"/>
        <v>0</v>
      </c>
      <c r="U1713" s="1">
        <f t="shared" si="608"/>
        <v>0</v>
      </c>
      <c r="V1713" s="1">
        <f t="shared" si="609"/>
        <v>0</v>
      </c>
    </row>
    <row r="1714" spans="5:22" x14ac:dyDescent="0.25">
      <c r="E1714" s="4"/>
      <c r="M1714" s="4">
        <f t="shared" si="602"/>
        <v>173.1</v>
      </c>
      <c r="N1714" s="4"/>
      <c r="O1714" s="1">
        <f t="shared" si="603"/>
        <v>173.1</v>
      </c>
      <c r="P1714" s="1">
        <f t="shared" si="604"/>
        <v>0</v>
      </c>
      <c r="Q1714" s="1" t="str">
        <f t="shared" ref="Q1714:Q1777" si="610">IF(H1714&lt;&gt;"",IF(H1714=H1713,"",H1714),IF(H1712="","",MAX(H1713,Q1713)))</f>
        <v/>
      </c>
      <c r="R1714" s="1" t="str">
        <f t="shared" si="605"/>
        <v/>
      </c>
      <c r="S1714" s="1">
        <f t="shared" si="606"/>
        <v>630.90240000000244</v>
      </c>
      <c r="T1714" s="1">
        <f t="shared" si="607"/>
        <v>0</v>
      </c>
      <c r="U1714" s="1">
        <f t="shared" si="608"/>
        <v>0</v>
      </c>
      <c r="V1714" s="1">
        <f t="shared" si="609"/>
        <v>0</v>
      </c>
    </row>
    <row r="1715" spans="5:22" x14ac:dyDescent="0.25">
      <c r="E1715" s="4"/>
      <c r="M1715" s="4">
        <f t="shared" si="602"/>
        <v>173.1</v>
      </c>
      <c r="N1715" s="4"/>
      <c r="O1715" s="1">
        <f t="shared" si="603"/>
        <v>173.1</v>
      </c>
      <c r="P1715" s="1">
        <f t="shared" si="604"/>
        <v>0</v>
      </c>
      <c r="Q1715" s="1" t="str">
        <f t="shared" si="610"/>
        <v/>
      </c>
      <c r="R1715" s="1" t="str">
        <f t="shared" si="605"/>
        <v/>
      </c>
      <c r="S1715" s="1">
        <f t="shared" si="606"/>
        <v>630.90240000000244</v>
      </c>
      <c r="T1715" s="1">
        <f t="shared" si="607"/>
        <v>0</v>
      </c>
      <c r="U1715" s="1">
        <f t="shared" si="608"/>
        <v>0</v>
      </c>
      <c r="V1715" s="1">
        <f t="shared" si="609"/>
        <v>0</v>
      </c>
    </row>
    <row r="1716" spans="5:22" x14ac:dyDescent="0.25">
      <c r="E1716" s="4"/>
      <c r="M1716" s="4">
        <f t="shared" si="602"/>
        <v>173.1</v>
      </c>
      <c r="N1716" s="4"/>
      <c r="O1716" s="1">
        <f t="shared" si="603"/>
        <v>173.1</v>
      </c>
      <c r="P1716" s="1">
        <f t="shared" si="604"/>
        <v>0</v>
      </c>
      <c r="Q1716" s="1" t="str">
        <f t="shared" si="610"/>
        <v/>
      </c>
      <c r="R1716" s="1" t="str">
        <f t="shared" si="605"/>
        <v/>
      </c>
      <c r="S1716" s="1">
        <f t="shared" si="606"/>
        <v>630.90240000000244</v>
      </c>
      <c r="T1716" s="1">
        <f t="shared" si="607"/>
        <v>0</v>
      </c>
      <c r="U1716" s="1">
        <f t="shared" si="608"/>
        <v>0</v>
      </c>
      <c r="V1716" s="1">
        <f t="shared" si="609"/>
        <v>0</v>
      </c>
    </row>
    <row r="1717" spans="5:22" x14ac:dyDescent="0.25">
      <c r="E1717" s="4"/>
      <c r="M1717" s="4">
        <f t="shared" si="602"/>
        <v>173.1</v>
      </c>
      <c r="N1717" s="4"/>
      <c r="O1717" s="1">
        <f t="shared" si="603"/>
        <v>173.1</v>
      </c>
      <c r="P1717" s="1">
        <f t="shared" si="604"/>
        <v>0</v>
      </c>
      <c r="Q1717" s="1" t="str">
        <f t="shared" si="610"/>
        <v/>
      </c>
      <c r="R1717" s="1" t="str">
        <f t="shared" si="605"/>
        <v/>
      </c>
      <c r="S1717" s="1">
        <f t="shared" si="606"/>
        <v>630.90240000000244</v>
      </c>
      <c r="T1717" s="1">
        <f t="shared" si="607"/>
        <v>0</v>
      </c>
      <c r="U1717" s="1">
        <f t="shared" si="608"/>
        <v>0</v>
      </c>
      <c r="V1717" s="1">
        <f t="shared" si="609"/>
        <v>0</v>
      </c>
    </row>
    <row r="1718" spans="5:22" x14ac:dyDescent="0.25">
      <c r="E1718" s="4"/>
      <c r="M1718" s="4">
        <f t="shared" si="602"/>
        <v>173.1</v>
      </c>
      <c r="N1718" s="4"/>
      <c r="O1718" s="1">
        <f t="shared" si="603"/>
        <v>173.1</v>
      </c>
      <c r="P1718" s="1">
        <f t="shared" si="604"/>
        <v>0</v>
      </c>
      <c r="Q1718" s="1" t="str">
        <f t="shared" si="610"/>
        <v/>
      </c>
      <c r="R1718" s="1" t="str">
        <f t="shared" si="605"/>
        <v/>
      </c>
      <c r="S1718" s="1">
        <f t="shared" si="606"/>
        <v>630.90240000000244</v>
      </c>
      <c r="T1718" s="1">
        <f t="shared" si="607"/>
        <v>0</v>
      </c>
      <c r="U1718" s="1">
        <f t="shared" si="608"/>
        <v>0</v>
      </c>
      <c r="V1718" s="1">
        <f t="shared" si="609"/>
        <v>0</v>
      </c>
    </row>
    <row r="1719" spans="5:22" x14ac:dyDescent="0.25">
      <c r="E1719" s="4"/>
      <c r="M1719" s="4">
        <f t="shared" si="602"/>
        <v>173.1</v>
      </c>
      <c r="N1719" s="4"/>
      <c r="O1719" s="1">
        <f t="shared" si="603"/>
        <v>173.1</v>
      </c>
      <c r="P1719" s="1">
        <f t="shared" si="604"/>
        <v>0</v>
      </c>
      <c r="Q1719" s="1" t="str">
        <f t="shared" si="610"/>
        <v/>
      </c>
      <c r="R1719" s="1" t="str">
        <f t="shared" si="605"/>
        <v/>
      </c>
      <c r="S1719" s="1">
        <f t="shared" si="606"/>
        <v>630.90240000000244</v>
      </c>
      <c r="T1719" s="1">
        <f t="shared" si="607"/>
        <v>0</v>
      </c>
      <c r="U1719" s="1">
        <f t="shared" si="608"/>
        <v>0</v>
      </c>
      <c r="V1719" s="1">
        <f t="shared" si="609"/>
        <v>0</v>
      </c>
    </row>
    <row r="1720" spans="5:22" x14ac:dyDescent="0.25">
      <c r="E1720" s="4"/>
      <c r="M1720" s="4">
        <f t="shared" si="602"/>
        <v>173.1</v>
      </c>
      <c r="N1720" s="4"/>
      <c r="O1720" s="1">
        <f t="shared" si="603"/>
        <v>173.1</v>
      </c>
      <c r="P1720" s="1">
        <f t="shared" si="604"/>
        <v>0</v>
      </c>
      <c r="Q1720" s="1" t="str">
        <f t="shared" si="610"/>
        <v/>
      </c>
      <c r="R1720" s="1" t="str">
        <f t="shared" si="605"/>
        <v/>
      </c>
      <c r="S1720" s="1">
        <f t="shared" si="606"/>
        <v>630.90240000000244</v>
      </c>
      <c r="T1720" s="1">
        <f t="shared" si="607"/>
        <v>0</v>
      </c>
      <c r="U1720" s="1">
        <f t="shared" si="608"/>
        <v>0</v>
      </c>
      <c r="V1720" s="1">
        <f t="shared" si="609"/>
        <v>0</v>
      </c>
    </row>
    <row r="1721" spans="5:22" x14ac:dyDescent="0.25">
      <c r="E1721" s="4"/>
      <c r="M1721" s="4">
        <f t="shared" si="602"/>
        <v>173.1</v>
      </c>
      <c r="N1721" s="4"/>
      <c r="O1721" s="1">
        <f t="shared" si="603"/>
        <v>173.1</v>
      </c>
      <c r="P1721" s="1">
        <f t="shared" si="604"/>
        <v>0</v>
      </c>
      <c r="Q1721" s="1" t="str">
        <f t="shared" si="610"/>
        <v/>
      </c>
      <c r="R1721" s="1" t="str">
        <f t="shared" si="605"/>
        <v/>
      </c>
      <c r="S1721" s="1">
        <f t="shared" si="606"/>
        <v>630.90240000000244</v>
      </c>
      <c r="T1721" s="1">
        <f t="shared" si="607"/>
        <v>0</v>
      </c>
      <c r="U1721" s="1">
        <f t="shared" si="608"/>
        <v>0</v>
      </c>
      <c r="V1721" s="1">
        <f t="shared" si="609"/>
        <v>0</v>
      </c>
    </row>
    <row r="1722" spans="5:22" x14ac:dyDescent="0.25">
      <c r="E1722" s="4"/>
      <c r="M1722" s="4">
        <f t="shared" si="602"/>
        <v>173.1</v>
      </c>
      <c r="N1722" s="4"/>
      <c r="O1722" s="1">
        <f t="shared" si="603"/>
        <v>173.1</v>
      </c>
      <c r="P1722" s="1">
        <f t="shared" si="604"/>
        <v>0</v>
      </c>
      <c r="Q1722" s="1" t="str">
        <f t="shared" si="610"/>
        <v/>
      </c>
      <c r="R1722" s="1" t="str">
        <f t="shared" si="605"/>
        <v/>
      </c>
      <c r="S1722" s="1">
        <f t="shared" si="606"/>
        <v>630.90240000000244</v>
      </c>
      <c r="T1722" s="1">
        <f t="shared" si="607"/>
        <v>0</v>
      </c>
      <c r="U1722" s="1">
        <f t="shared" si="608"/>
        <v>0</v>
      </c>
      <c r="V1722" s="1">
        <f t="shared" si="609"/>
        <v>0</v>
      </c>
    </row>
    <row r="1723" spans="5:22" x14ac:dyDescent="0.25">
      <c r="E1723" s="4"/>
      <c r="M1723" s="4">
        <f t="shared" si="602"/>
        <v>173.1</v>
      </c>
      <c r="N1723" s="4"/>
      <c r="O1723" s="1">
        <f t="shared" si="603"/>
        <v>173.1</v>
      </c>
      <c r="P1723" s="1">
        <f t="shared" si="604"/>
        <v>0</v>
      </c>
      <c r="Q1723" s="1" t="str">
        <f t="shared" si="610"/>
        <v/>
      </c>
      <c r="R1723" s="1" t="str">
        <f t="shared" si="605"/>
        <v/>
      </c>
      <c r="S1723" s="1">
        <f t="shared" si="606"/>
        <v>630.90240000000244</v>
      </c>
      <c r="T1723" s="1">
        <f t="shared" si="607"/>
        <v>0</v>
      </c>
      <c r="U1723" s="1">
        <f t="shared" si="608"/>
        <v>0</v>
      </c>
      <c r="V1723" s="1">
        <f t="shared" si="609"/>
        <v>0</v>
      </c>
    </row>
    <row r="1724" spans="5:22" x14ac:dyDescent="0.25">
      <c r="E1724" s="4"/>
      <c r="M1724" s="4">
        <f t="shared" si="602"/>
        <v>173.1</v>
      </c>
      <c r="N1724" s="4"/>
      <c r="O1724" s="1">
        <f t="shared" si="603"/>
        <v>173.1</v>
      </c>
      <c r="P1724" s="1">
        <f t="shared" si="604"/>
        <v>0</v>
      </c>
      <c r="Q1724" s="1" t="str">
        <f t="shared" si="610"/>
        <v/>
      </c>
      <c r="R1724" s="1" t="str">
        <f t="shared" si="605"/>
        <v/>
      </c>
      <c r="S1724" s="1">
        <f t="shared" si="606"/>
        <v>630.90240000000244</v>
      </c>
      <c r="T1724" s="1">
        <f t="shared" si="607"/>
        <v>0</v>
      </c>
      <c r="U1724" s="1">
        <f t="shared" si="608"/>
        <v>0</v>
      </c>
      <c r="V1724" s="1">
        <f t="shared" si="609"/>
        <v>0</v>
      </c>
    </row>
    <row r="1725" spans="5:22" x14ac:dyDescent="0.25">
      <c r="E1725" s="4"/>
      <c r="M1725" s="4">
        <f t="shared" si="602"/>
        <v>173.1</v>
      </c>
      <c r="N1725" s="4"/>
      <c r="O1725" s="1">
        <f t="shared" si="603"/>
        <v>173.1</v>
      </c>
      <c r="P1725" s="1">
        <f t="shared" si="604"/>
        <v>0</v>
      </c>
      <c r="Q1725" s="1" t="str">
        <f t="shared" si="610"/>
        <v/>
      </c>
      <c r="R1725" s="1" t="str">
        <f t="shared" si="605"/>
        <v/>
      </c>
      <c r="S1725" s="1">
        <f t="shared" si="606"/>
        <v>630.90240000000244</v>
      </c>
      <c r="T1725" s="1">
        <f t="shared" si="607"/>
        <v>0</v>
      </c>
      <c r="U1725" s="1">
        <f t="shared" si="608"/>
        <v>0</v>
      </c>
      <c r="V1725" s="1">
        <f t="shared" si="609"/>
        <v>0</v>
      </c>
    </row>
    <row r="1726" spans="5:22" x14ac:dyDescent="0.25">
      <c r="E1726" s="4"/>
      <c r="M1726" s="4">
        <f t="shared" si="602"/>
        <v>173.1</v>
      </c>
      <c r="N1726" s="4"/>
      <c r="O1726" s="1">
        <f t="shared" si="603"/>
        <v>173.1</v>
      </c>
      <c r="P1726" s="1">
        <f t="shared" si="604"/>
        <v>0</v>
      </c>
      <c r="Q1726" s="1" t="str">
        <f t="shared" si="610"/>
        <v/>
      </c>
      <c r="R1726" s="1" t="str">
        <f t="shared" si="605"/>
        <v/>
      </c>
      <c r="S1726" s="1">
        <f t="shared" si="606"/>
        <v>630.90240000000244</v>
      </c>
      <c r="T1726" s="1">
        <f t="shared" si="607"/>
        <v>0</v>
      </c>
      <c r="U1726" s="1">
        <f t="shared" si="608"/>
        <v>0</v>
      </c>
      <c r="V1726" s="1">
        <f t="shared" si="609"/>
        <v>0</v>
      </c>
    </row>
    <row r="1727" spans="5:22" x14ac:dyDescent="0.25">
      <c r="E1727" s="4"/>
      <c r="M1727" s="4">
        <f t="shared" si="602"/>
        <v>173.1</v>
      </c>
      <c r="N1727" s="4"/>
      <c r="O1727" s="1">
        <f t="shared" si="603"/>
        <v>173.1</v>
      </c>
      <c r="P1727" s="1">
        <f t="shared" si="604"/>
        <v>0</v>
      </c>
      <c r="Q1727" s="1" t="str">
        <f t="shared" si="610"/>
        <v/>
      </c>
      <c r="R1727" s="1" t="str">
        <f t="shared" si="605"/>
        <v/>
      </c>
      <c r="S1727" s="1">
        <f t="shared" si="606"/>
        <v>630.90240000000244</v>
      </c>
      <c r="T1727" s="1">
        <f t="shared" si="607"/>
        <v>0</v>
      </c>
      <c r="U1727" s="1">
        <f t="shared" si="608"/>
        <v>0</v>
      </c>
      <c r="V1727" s="1">
        <f t="shared" si="609"/>
        <v>0</v>
      </c>
    </row>
    <row r="1728" spans="5:22" x14ac:dyDescent="0.25">
      <c r="E1728" s="4"/>
      <c r="M1728" s="4">
        <f t="shared" si="602"/>
        <v>173.1</v>
      </c>
      <c r="N1728" s="4"/>
      <c r="O1728" s="1">
        <f t="shared" si="603"/>
        <v>173.1</v>
      </c>
      <c r="P1728" s="1">
        <f t="shared" si="604"/>
        <v>0</v>
      </c>
      <c r="Q1728" s="1" t="str">
        <f t="shared" si="610"/>
        <v/>
      </c>
      <c r="R1728" s="1" t="str">
        <f t="shared" si="605"/>
        <v/>
      </c>
      <c r="S1728" s="1">
        <f t="shared" si="606"/>
        <v>630.90240000000244</v>
      </c>
      <c r="T1728" s="1">
        <f t="shared" si="607"/>
        <v>0</v>
      </c>
      <c r="U1728" s="1">
        <f t="shared" si="608"/>
        <v>0</v>
      </c>
      <c r="V1728" s="1">
        <f t="shared" si="609"/>
        <v>0</v>
      </c>
    </row>
    <row r="1729" spans="5:22" x14ac:dyDescent="0.25">
      <c r="E1729" s="4"/>
      <c r="M1729" s="4">
        <f t="shared" si="602"/>
        <v>173.1</v>
      </c>
      <c r="N1729" s="4"/>
      <c r="O1729" s="1">
        <f t="shared" si="603"/>
        <v>173.1</v>
      </c>
      <c r="P1729" s="1">
        <f t="shared" si="604"/>
        <v>0</v>
      </c>
      <c r="Q1729" s="1" t="str">
        <f t="shared" si="610"/>
        <v/>
      </c>
      <c r="R1729" s="1" t="str">
        <f t="shared" si="605"/>
        <v/>
      </c>
      <c r="S1729" s="1">
        <f t="shared" si="606"/>
        <v>630.90240000000244</v>
      </c>
      <c r="T1729" s="1">
        <f t="shared" si="607"/>
        <v>0</v>
      </c>
      <c r="U1729" s="1">
        <f t="shared" si="608"/>
        <v>0</v>
      </c>
      <c r="V1729" s="1">
        <f t="shared" si="609"/>
        <v>0</v>
      </c>
    </row>
    <row r="1730" spans="5:22" x14ac:dyDescent="0.25">
      <c r="E1730" s="4"/>
      <c r="M1730" s="4">
        <f t="shared" si="602"/>
        <v>173.1</v>
      </c>
      <c r="N1730" s="4"/>
      <c r="O1730" s="1">
        <f t="shared" si="603"/>
        <v>173.1</v>
      </c>
      <c r="P1730" s="1">
        <f t="shared" si="604"/>
        <v>0</v>
      </c>
      <c r="Q1730" s="1" t="str">
        <f t="shared" si="610"/>
        <v/>
      </c>
      <c r="R1730" s="1" t="str">
        <f t="shared" si="605"/>
        <v/>
      </c>
      <c r="S1730" s="1">
        <f t="shared" si="606"/>
        <v>630.90240000000244</v>
      </c>
      <c r="T1730" s="1">
        <f t="shared" si="607"/>
        <v>0</v>
      </c>
      <c r="U1730" s="1">
        <f t="shared" si="608"/>
        <v>0</v>
      </c>
      <c r="V1730" s="1">
        <f t="shared" si="609"/>
        <v>0</v>
      </c>
    </row>
    <row r="1731" spans="5:22" x14ac:dyDescent="0.25">
      <c r="E1731" s="4"/>
      <c r="M1731" s="4">
        <f t="shared" si="602"/>
        <v>173.1</v>
      </c>
      <c r="N1731" s="4"/>
      <c r="O1731" s="1">
        <f t="shared" si="603"/>
        <v>173.1</v>
      </c>
      <c r="P1731" s="1">
        <f t="shared" si="604"/>
        <v>0</v>
      </c>
      <c r="Q1731" s="1" t="str">
        <f t="shared" si="610"/>
        <v/>
      </c>
      <c r="R1731" s="1" t="str">
        <f t="shared" si="605"/>
        <v/>
      </c>
      <c r="S1731" s="1">
        <f t="shared" si="606"/>
        <v>630.90240000000244</v>
      </c>
      <c r="T1731" s="1">
        <f t="shared" si="607"/>
        <v>0</v>
      </c>
      <c r="U1731" s="1">
        <f t="shared" si="608"/>
        <v>0</v>
      </c>
      <c r="V1731" s="1">
        <f t="shared" si="609"/>
        <v>0</v>
      </c>
    </row>
    <row r="1732" spans="5:22" x14ac:dyDescent="0.25">
      <c r="E1732" s="4"/>
      <c r="M1732" s="4">
        <f t="shared" si="602"/>
        <v>173.1</v>
      </c>
      <c r="N1732" s="4"/>
      <c r="O1732" s="1">
        <f t="shared" si="603"/>
        <v>173.1</v>
      </c>
      <c r="P1732" s="1">
        <f t="shared" si="604"/>
        <v>0</v>
      </c>
      <c r="Q1732" s="1" t="str">
        <f t="shared" si="610"/>
        <v/>
      </c>
      <c r="R1732" s="1" t="str">
        <f t="shared" si="605"/>
        <v/>
      </c>
      <c r="S1732" s="1">
        <f t="shared" si="606"/>
        <v>630.90240000000244</v>
      </c>
      <c r="T1732" s="1">
        <f t="shared" si="607"/>
        <v>0</v>
      </c>
      <c r="U1732" s="1">
        <f t="shared" si="608"/>
        <v>0</v>
      </c>
      <c r="V1732" s="1">
        <f t="shared" si="609"/>
        <v>0</v>
      </c>
    </row>
    <row r="1733" spans="5:22" x14ac:dyDescent="0.25">
      <c r="E1733" s="4"/>
      <c r="M1733" s="4">
        <f t="shared" si="602"/>
        <v>173.1</v>
      </c>
      <c r="N1733" s="4"/>
      <c r="O1733" s="1">
        <f t="shared" si="603"/>
        <v>173.1</v>
      </c>
      <c r="P1733" s="1">
        <f t="shared" si="604"/>
        <v>0</v>
      </c>
      <c r="Q1733" s="1" t="str">
        <f t="shared" si="610"/>
        <v/>
      </c>
      <c r="R1733" s="1" t="str">
        <f t="shared" si="605"/>
        <v/>
      </c>
      <c r="S1733" s="1">
        <f t="shared" si="606"/>
        <v>630.90240000000244</v>
      </c>
      <c r="T1733" s="1">
        <f t="shared" si="607"/>
        <v>0</v>
      </c>
      <c r="U1733" s="1">
        <f t="shared" si="608"/>
        <v>0</v>
      </c>
      <c r="V1733" s="1">
        <f t="shared" si="609"/>
        <v>0</v>
      </c>
    </row>
    <row r="1734" spans="5:22" x14ac:dyDescent="0.25">
      <c r="E1734" s="4"/>
      <c r="M1734" s="4">
        <f t="shared" si="602"/>
        <v>173.1</v>
      </c>
      <c r="N1734" s="4"/>
      <c r="O1734" s="1">
        <f t="shared" si="603"/>
        <v>173.1</v>
      </c>
      <c r="P1734" s="1">
        <f t="shared" si="604"/>
        <v>0</v>
      </c>
      <c r="Q1734" s="1" t="str">
        <f t="shared" si="610"/>
        <v/>
      </c>
      <c r="R1734" s="1" t="str">
        <f t="shared" si="605"/>
        <v/>
      </c>
      <c r="S1734" s="1">
        <f t="shared" si="606"/>
        <v>630.90240000000244</v>
      </c>
      <c r="T1734" s="1">
        <f t="shared" si="607"/>
        <v>0</v>
      </c>
      <c r="U1734" s="1">
        <f t="shared" si="608"/>
        <v>0</v>
      </c>
      <c r="V1734" s="1">
        <f t="shared" si="609"/>
        <v>0</v>
      </c>
    </row>
    <row r="1735" spans="5:22" x14ac:dyDescent="0.25">
      <c r="E1735" s="4"/>
      <c r="M1735" s="4">
        <f t="shared" si="602"/>
        <v>173.1</v>
      </c>
      <c r="N1735" s="4"/>
      <c r="O1735" s="1">
        <f t="shared" si="603"/>
        <v>173.1</v>
      </c>
      <c r="P1735" s="1">
        <f t="shared" si="604"/>
        <v>0</v>
      </c>
      <c r="Q1735" s="1" t="str">
        <f t="shared" si="610"/>
        <v/>
      </c>
      <c r="R1735" s="1" t="str">
        <f t="shared" si="605"/>
        <v/>
      </c>
      <c r="S1735" s="1">
        <f t="shared" si="606"/>
        <v>630.90240000000244</v>
      </c>
      <c r="T1735" s="1">
        <f t="shared" si="607"/>
        <v>0</v>
      </c>
      <c r="U1735" s="1">
        <f t="shared" si="608"/>
        <v>0</v>
      </c>
      <c r="V1735" s="1">
        <f t="shared" si="609"/>
        <v>0</v>
      </c>
    </row>
    <row r="1736" spans="5:22" x14ac:dyDescent="0.25">
      <c r="E1736" s="4"/>
      <c r="M1736" s="4">
        <f t="shared" ref="M1736:M1799" si="611">E1736+M1735</f>
        <v>173.1</v>
      </c>
      <c r="N1736" s="4"/>
      <c r="O1736" s="1">
        <f t="shared" ref="O1736:O1799" si="612">E1735+O1735</f>
        <v>173.1</v>
      </c>
      <c r="P1736" s="1">
        <f t="shared" ref="P1736:P1799" si="613">F1736*52.8*E1736</f>
        <v>0</v>
      </c>
      <c r="Q1736" s="1" t="str">
        <f t="shared" si="610"/>
        <v/>
      </c>
      <c r="R1736" s="1" t="str">
        <f t="shared" ref="R1736:R1799" si="614">IF(I1736="",Q1736,IF(AND(H1736=H1735,I1736=I1735),"",I1736))</f>
        <v/>
      </c>
      <c r="S1736" s="1">
        <f t="shared" ref="S1736:S1799" si="615">S1735+U1735*T1735/100</f>
        <v>630.90240000000244</v>
      </c>
      <c r="T1736" s="1">
        <f t="shared" ref="T1736:T1799" si="616">IF(G1736="UNK",0,G1736)</f>
        <v>0</v>
      </c>
      <c r="U1736" s="1">
        <f t="shared" ref="U1736:U1799" si="617">E1736*5280</f>
        <v>0</v>
      </c>
      <c r="V1736" s="1">
        <f t="shared" ref="V1736:V1799" si="618">ABS(T1736*U1736)</f>
        <v>0</v>
      </c>
    </row>
    <row r="1737" spans="5:22" x14ac:dyDescent="0.25">
      <c r="E1737" s="4"/>
      <c r="M1737" s="4">
        <f t="shared" si="611"/>
        <v>173.1</v>
      </c>
      <c r="N1737" s="4"/>
      <c r="O1737" s="1">
        <f t="shared" si="612"/>
        <v>173.1</v>
      </c>
      <c r="P1737" s="1">
        <f t="shared" si="613"/>
        <v>0</v>
      </c>
      <c r="Q1737" s="1" t="str">
        <f t="shared" si="610"/>
        <v/>
      </c>
      <c r="R1737" s="1" t="str">
        <f t="shared" si="614"/>
        <v/>
      </c>
      <c r="S1737" s="1">
        <f t="shared" si="615"/>
        <v>630.90240000000244</v>
      </c>
      <c r="T1737" s="1">
        <f t="shared" si="616"/>
        <v>0</v>
      </c>
      <c r="U1737" s="1">
        <f t="shared" si="617"/>
        <v>0</v>
      </c>
      <c r="V1737" s="1">
        <f t="shared" si="618"/>
        <v>0</v>
      </c>
    </row>
    <row r="1738" spans="5:22" x14ac:dyDescent="0.25">
      <c r="E1738" s="4"/>
      <c r="M1738" s="4">
        <f t="shared" si="611"/>
        <v>173.1</v>
      </c>
      <c r="N1738" s="4"/>
      <c r="O1738" s="1">
        <f t="shared" si="612"/>
        <v>173.1</v>
      </c>
      <c r="P1738" s="1">
        <f t="shared" si="613"/>
        <v>0</v>
      </c>
      <c r="Q1738" s="1" t="str">
        <f t="shared" si="610"/>
        <v/>
      </c>
      <c r="R1738" s="1" t="str">
        <f t="shared" si="614"/>
        <v/>
      </c>
      <c r="S1738" s="1">
        <f t="shared" si="615"/>
        <v>630.90240000000244</v>
      </c>
      <c r="T1738" s="1">
        <f t="shared" si="616"/>
        <v>0</v>
      </c>
      <c r="U1738" s="1">
        <f t="shared" si="617"/>
        <v>0</v>
      </c>
      <c r="V1738" s="1">
        <f t="shared" si="618"/>
        <v>0</v>
      </c>
    </row>
    <row r="1739" spans="5:22" x14ac:dyDescent="0.25">
      <c r="E1739" s="4"/>
      <c r="M1739" s="4">
        <f t="shared" si="611"/>
        <v>173.1</v>
      </c>
      <c r="N1739" s="4"/>
      <c r="O1739" s="1">
        <f t="shared" si="612"/>
        <v>173.1</v>
      </c>
      <c r="P1739" s="1">
        <f t="shared" si="613"/>
        <v>0</v>
      </c>
      <c r="Q1739" s="1" t="str">
        <f t="shared" si="610"/>
        <v/>
      </c>
      <c r="R1739" s="1" t="str">
        <f t="shared" si="614"/>
        <v/>
      </c>
      <c r="S1739" s="1">
        <f t="shared" si="615"/>
        <v>630.90240000000244</v>
      </c>
      <c r="T1739" s="1">
        <f t="shared" si="616"/>
        <v>0</v>
      </c>
      <c r="U1739" s="1">
        <f t="shared" si="617"/>
        <v>0</v>
      </c>
      <c r="V1739" s="1">
        <f t="shared" si="618"/>
        <v>0</v>
      </c>
    </row>
    <row r="1740" spans="5:22" x14ac:dyDescent="0.25">
      <c r="E1740" s="4"/>
      <c r="M1740" s="4">
        <f t="shared" si="611"/>
        <v>173.1</v>
      </c>
      <c r="N1740" s="4"/>
      <c r="O1740" s="1">
        <f t="shared" si="612"/>
        <v>173.1</v>
      </c>
      <c r="P1740" s="1">
        <f t="shared" si="613"/>
        <v>0</v>
      </c>
      <c r="Q1740" s="1" t="str">
        <f t="shared" si="610"/>
        <v/>
      </c>
      <c r="R1740" s="1" t="str">
        <f t="shared" si="614"/>
        <v/>
      </c>
      <c r="S1740" s="1">
        <f t="shared" si="615"/>
        <v>630.90240000000244</v>
      </c>
      <c r="T1740" s="1">
        <f t="shared" si="616"/>
        <v>0</v>
      </c>
      <c r="U1740" s="1">
        <f t="shared" si="617"/>
        <v>0</v>
      </c>
      <c r="V1740" s="1">
        <f t="shared" si="618"/>
        <v>0</v>
      </c>
    </row>
    <row r="1741" spans="5:22" x14ac:dyDescent="0.25">
      <c r="E1741" s="4"/>
      <c r="M1741" s="4">
        <f t="shared" si="611"/>
        <v>173.1</v>
      </c>
      <c r="N1741" s="4"/>
      <c r="O1741" s="1">
        <f t="shared" si="612"/>
        <v>173.1</v>
      </c>
      <c r="P1741" s="1">
        <f t="shared" si="613"/>
        <v>0</v>
      </c>
      <c r="Q1741" s="1" t="str">
        <f t="shared" si="610"/>
        <v/>
      </c>
      <c r="R1741" s="1" t="str">
        <f t="shared" si="614"/>
        <v/>
      </c>
      <c r="S1741" s="1">
        <f t="shared" si="615"/>
        <v>630.90240000000244</v>
      </c>
      <c r="T1741" s="1">
        <f t="shared" si="616"/>
        <v>0</v>
      </c>
      <c r="U1741" s="1">
        <f t="shared" si="617"/>
        <v>0</v>
      </c>
      <c r="V1741" s="1">
        <f t="shared" si="618"/>
        <v>0</v>
      </c>
    </row>
    <row r="1742" spans="5:22" x14ac:dyDescent="0.25">
      <c r="E1742" s="4"/>
      <c r="M1742" s="4">
        <f t="shared" si="611"/>
        <v>173.1</v>
      </c>
      <c r="N1742" s="4"/>
      <c r="O1742" s="1">
        <f t="shared" si="612"/>
        <v>173.1</v>
      </c>
      <c r="P1742" s="1">
        <f t="shared" si="613"/>
        <v>0</v>
      </c>
      <c r="Q1742" s="1" t="str">
        <f t="shared" si="610"/>
        <v/>
      </c>
      <c r="R1742" s="1" t="str">
        <f t="shared" si="614"/>
        <v/>
      </c>
      <c r="S1742" s="1">
        <f t="shared" si="615"/>
        <v>630.90240000000244</v>
      </c>
      <c r="T1742" s="1">
        <f t="shared" si="616"/>
        <v>0</v>
      </c>
      <c r="U1742" s="1">
        <f t="shared" si="617"/>
        <v>0</v>
      </c>
      <c r="V1742" s="1">
        <f t="shared" si="618"/>
        <v>0</v>
      </c>
    </row>
    <row r="1743" spans="5:22" x14ac:dyDescent="0.25">
      <c r="E1743" s="4"/>
      <c r="M1743" s="4">
        <f t="shared" si="611"/>
        <v>173.1</v>
      </c>
      <c r="N1743" s="4"/>
      <c r="O1743" s="1">
        <f t="shared" si="612"/>
        <v>173.1</v>
      </c>
      <c r="P1743" s="1">
        <f t="shared" si="613"/>
        <v>0</v>
      </c>
      <c r="Q1743" s="1" t="str">
        <f t="shared" si="610"/>
        <v/>
      </c>
      <c r="R1743" s="1" t="str">
        <f t="shared" si="614"/>
        <v/>
      </c>
      <c r="S1743" s="1">
        <f t="shared" si="615"/>
        <v>630.90240000000244</v>
      </c>
      <c r="T1743" s="1">
        <f t="shared" si="616"/>
        <v>0</v>
      </c>
      <c r="U1743" s="1">
        <f t="shared" si="617"/>
        <v>0</v>
      </c>
      <c r="V1743" s="1">
        <f t="shared" si="618"/>
        <v>0</v>
      </c>
    </row>
    <row r="1744" spans="5:22" x14ac:dyDescent="0.25">
      <c r="E1744" s="4"/>
      <c r="M1744" s="4">
        <f t="shared" si="611"/>
        <v>173.1</v>
      </c>
      <c r="N1744" s="4"/>
      <c r="O1744" s="1">
        <f t="shared" si="612"/>
        <v>173.1</v>
      </c>
      <c r="P1744" s="1">
        <f t="shared" si="613"/>
        <v>0</v>
      </c>
      <c r="Q1744" s="1" t="str">
        <f t="shared" si="610"/>
        <v/>
      </c>
      <c r="R1744" s="1" t="str">
        <f t="shared" si="614"/>
        <v/>
      </c>
      <c r="S1744" s="1">
        <f t="shared" si="615"/>
        <v>630.90240000000244</v>
      </c>
      <c r="T1744" s="1">
        <f t="shared" si="616"/>
        <v>0</v>
      </c>
      <c r="U1744" s="1">
        <f t="shared" si="617"/>
        <v>0</v>
      </c>
      <c r="V1744" s="1">
        <f t="shared" si="618"/>
        <v>0</v>
      </c>
    </row>
    <row r="1745" spans="5:22" x14ac:dyDescent="0.25">
      <c r="E1745" s="4"/>
      <c r="M1745" s="4">
        <f t="shared" si="611"/>
        <v>173.1</v>
      </c>
      <c r="N1745" s="4"/>
      <c r="O1745" s="1">
        <f t="shared" si="612"/>
        <v>173.1</v>
      </c>
      <c r="P1745" s="1">
        <f t="shared" si="613"/>
        <v>0</v>
      </c>
      <c r="Q1745" s="1" t="str">
        <f t="shared" si="610"/>
        <v/>
      </c>
      <c r="R1745" s="1" t="str">
        <f t="shared" si="614"/>
        <v/>
      </c>
      <c r="S1745" s="1">
        <f t="shared" si="615"/>
        <v>630.90240000000244</v>
      </c>
      <c r="T1745" s="1">
        <f t="shared" si="616"/>
        <v>0</v>
      </c>
      <c r="U1745" s="1">
        <f t="shared" si="617"/>
        <v>0</v>
      </c>
      <c r="V1745" s="1">
        <f t="shared" si="618"/>
        <v>0</v>
      </c>
    </row>
    <row r="1746" spans="5:22" x14ac:dyDescent="0.25">
      <c r="E1746" s="4"/>
      <c r="M1746" s="4">
        <f t="shared" si="611"/>
        <v>173.1</v>
      </c>
      <c r="N1746" s="4"/>
      <c r="O1746" s="1">
        <f t="shared" si="612"/>
        <v>173.1</v>
      </c>
      <c r="P1746" s="1">
        <f t="shared" si="613"/>
        <v>0</v>
      </c>
      <c r="Q1746" s="1" t="str">
        <f t="shared" si="610"/>
        <v/>
      </c>
      <c r="R1746" s="1" t="str">
        <f t="shared" si="614"/>
        <v/>
      </c>
      <c r="S1746" s="1">
        <f t="shared" si="615"/>
        <v>630.90240000000244</v>
      </c>
      <c r="T1746" s="1">
        <f t="shared" si="616"/>
        <v>0</v>
      </c>
      <c r="U1746" s="1">
        <f t="shared" si="617"/>
        <v>0</v>
      </c>
      <c r="V1746" s="1">
        <f t="shared" si="618"/>
        <v>0</v>
      </c>
    </row>
    <row r="1747" spans="5:22" x14ac:dyDescent="0.25">
      <c r="E1747" s="4"/>
      <c r="M1747" s="4">
        <f t="shared" si="611"/>
        <v>173.1</v>
      </c>
      <c r="N1747" s="4"/>
      <c r="O1747" s="1">
        <f t="shared" si="612"/>
        <v>173.1</v>
      </c>
      <c r="P1747" s="1">
        <f t="shared" si="613"/>
        <v>0</v>
      </c>
      <c r="Q1747" s="1" t="str">
        <f t="shared" si="610"/>
        <v/>
      </c>
      <c r="R1747" s="1" t="str">
        <f t="shared" si="614"/>
        <v/>
      </c>
      <c r="S1747" s="1">
        <f t="shared" si="615"/>
        <v>630.90240000000244</v>
      </c>
      <c r="T1747" s="1">
        <f t="shared" si="616"/>
        <v>0</v>
      </c>
      <c r="U1747" s="1">
        <f t="shared" si="617"/>
        <v>0</v>
      </c>
      <c r="V1747" s="1">
        <f t="shared" si="618"/>
        <v>0</v>
      </c>
    </row>
    <row r="1748" spans="5:22" x14ac:dyDescent="0.25">
      <c r="E1748" s="4"/>
      <c r="M1748" s="4">
        <f t="shared" si="611"/>
        <v>173.1</v>
      </c>
      <c r="N1748" s="4"/>
      <c r="O1748" s="1">
        <f t="shared" si="612"/>
        <v>173.1</v>
      </c>
      <c r="P1748" s="1">
        <f t="shared" si="613"/>
        <v>0</v>
      </c>
      <c r="Q1748" s="1" t="str">
        <f t="shared" si="610"/>
        <v/>
      </c>
      <c r="R1748" s="1" t="str">
        <f t="shared" si="614"/>
        <v/>
      </c>
      <c r="S1748" s="1">
        <f t="shared" si="615"/>
        <v>630.90240000000244</v>
      </c>
      <c r="T1748" s="1">
        <f t="shared" si="616"/>
        <v>0</v>
      </c>
      <c r="U1748" s="1">
        <f t="shared" si="617"/>
        <v>0</v>
      </c>
      <c r="V1748" s="1">
        <f t="shared" si="618"/>
        <v>0</v>
      </c>
    </row>
    <row r="1749" spans="5:22" x14ac:dyDescent="0.25">
      <c r="E1749" s="4"/>
      <c r="M1749" s="4">
        <f t="shared" si="611"/>
        <v>173.1</v>
      </c>
      <c r="N1749" s="4"/>
      <c r="O1749" s="1">
        <f t="shared" si="612"/>
        <v>173.1</v>
      </c>
      <c r="P1749" s="1">
        <f t="shared" si="613"/>
        <v>0</v>
      </c>
      <c r="Q1749" s="1" t="str">
        <f t="shared" si="610"/>
        <v/>
      </c>
      <c r="R1749" s="1" t="str">
        <f t="shared" si="614"/>
        <v/>
      </c>
      <c r="S1749" s="1">
        <f t="shared" si="615"/>
        <v>630.90240000000244</v>
      </c>
      <c r="T1749" s="1">
        <f t="shared" si="616"/>
        <v>0</v>
      </c>
      <c r="U1749" s="1">
        <f t="shared" si="617"/>
        <v>0</v>
      </c>
      <c r="V1749" s="1">
        <f t="shared" si="618"/>
        <v>0</v>
      </c>
    </row>
    <row r="1750" spans="5:22" x14ac:dyDescent="0.25">
      <c r="E1750" s="4"/>
      <c r="M1750" s="4">
        <f t="shared" si="611"/>
        <v>173.1</v>
      </c>
      <c r="N1750" s="4"/>
      <c r="O1750" s="1">
        <f t="shared" si="612"/>
        <v>173.1</v>
      </c>
      <c r="P1750" s="1">
        <f t="shared" si="613"/>
        <v>0</v>
      </c>
      <c r="Q1750" s="1" t="str">
        <f t="shared" si="610"/>
        <v/>
      </c>
      <c r="R1750" s="1" t="str">
        <f t="shared" si="614"/>
        <v/>
      </c>
      <c r="S1750" s="1">
        <f t="shared" si="615"/>
        <v>630.90240000000244</v>
      </c>
      <c r="T1750" s="1">
        <f t="shared" si="616"/>
        <v>0</v>
      </c>
      <c r="U1750" s="1">
        <f t="shared" si="617"/>
        <v>0</v>
      </c>
      <c r="V1750" s="1">
        <f t="shared" si="618"/>
        <v>0</v>
      </c>
    </row>
    <row r="1751" spans="5:22" x14ac:dyDescent="0.25">
      <c r="E1751" s="4"/>
      <c r="M1751" s="4">
        <f t="shared" si="611"/>
        <v>173.1</v>
      </c>
      <c r="N1751" s="4"/>
      <c r="O1751" s="1">
        <f t="shared" si="612"/>
        <v>173.1</v>
      </c>
      <c r="P1751" s="1">
        <f t="shared" si="613"/>
        <v>0</v>
      </c>
      <c r="Q1751" s="1" t="str">
        <f t="shared" si="610"/>
        <v/>
      </c>
      <c r="R1751" s="1" t="str">
        <f t="shared" si="614"/>
        <v/>
      </c>
      <c r="S1751" s="1">
        <f t="shared" si="615"/>
        <v>630.90240000000244</v>
      </c>
      <c r="T1751" s="1">
        <f t="shared" si="616"/>
        <v>0</v>
      </c>
      <c r="U1751" s="1">
        <f t="shared" si="617"/>
        <v>0</v>
      </c>
      <c r="V1751" s="1">
        <f t="shared" si="618"/>
        <v>0</v>
      </c>
    </row>
    <row r="1752" spans="5:22" x14ac:dyDescent="0.25">
      <c r="E1752" s="4"/>
      <c r="M1752" s="4">
        <f t="shared" si="611"/>
        <v>173.1</v>
      </c>
      <c r="N1752" s="4"/>
      <c r="O1752" s="1">
        <f t="shared" si="612"/>
        <v>173.1</v>
      </c>
      <c r="P1752" s="1">
        <f t="shared" si="613"/>
        <v>0</v>
      </c>
      <c r="Q1752" s="1" t="str">
        <f t="shared" si="610"/>
        <v/>
      </c>
      <c r="R1752" s="1" t="str">
        <f t="shared" si="614"/>
        <v/>
      </c>
      <c r="S1752" s="1">
        <f t="shared" si="615"/>
        <v>630.90240000000244</v>
      </c>
      <c r="T1752" s="1">
        <f t="shared" si="616"/>
        <v>0</v>
      </c>
      <c r="U1752" s="1">
        <f t="shared" si="617"/>
        <v>0</v>
      </c>
      <c r="V1752" s="1">
        <f t="shared" si="618"/>
        <v>0</v>
      </c>
    </row>
    <row r="1753" spans="5:22" x14ac:dyDescent="0.25">
      <c r="E1753" s="4"/>
      <c r="M1753" s="4">
        <f t="shared" si="611"/>
        <v>173.1</v>
      </c>
      <c r="N1753" s="4"/>
      <c r="O1753" s="1">
        <f t="shared" si="612"/>
        <v>173.1</v>
      </c>
      <c r="P1753" s="1">
        <f t="shared" si="613"/>
        <v>0</v>
      </c>
      <c r="Q1753" s="1" t="str">
        <f t="shared" si="610"/>
        <v/>
      </c>
      <c r="R1753" s="1" t="str">
        <f t="shared" si="614"/>
        <v/>
      </c>
      <c r="S1753" s="1">
        <f t="shared" si="615"/>
        <v>630.90240000000244</v>
      </c>
      <c r="T1753" s="1">
        <f t="shared" si="616"/>
        <v>0</v>
      </c>
      <c r="U1753" s="1">
        <f t="shared" si="617"/>
        <v>0</v>
      </c>
      <c r="V1753" s="1">
        <f t="shared" si="618"/>
        <v>0</v>
      </c>
    </row>
    <row r="1754" spans="5:22" x14ac:dyDescent="0.25">
      <c r="E1754" s="4"/>
      <c r="M1754" s="4">
        <f t="shared" si="611"/>
        <v>173.1</v>
      </c>
      <c r="N1754" s="4"/>
      <c r="O1754" s="1">
        <f t="shared" si="612"/>
        <v>173.1</v>
      </c>
      <c r="P1754" s="1">
        <f t="shared" si="613"/>
        <v>0</v>
      </c>
      <c r="Q1754" s="1" t="str">
        <f t="shared" si="610"/>
        <v/>
      </c>
      <c r="R1754" s="1" t="str">
        <f t="shared" si="614"/>
        <v/>
      </c>
      <c r="S1754" s="1">
        <f t="shared" si="615"/>
        <v>630.90240000000244</v>
      </c>
      <c r="T1754" s="1">
        <f t="shared" si="616"/>
        <v>0</v>
      </c>
      <c r="U1754" s="1">
        <f t="shared" si="617"/>
        <v>0</v>
      </c>
      <c r="V1754" s="1">
        <f t="shared" si="618"/>
        <v>0</v>
      </c>
    </row>
    <row r="1755" spans="5:22" x14ac:dyDescent="0.25">
      <c r="E1755" s="4"/>
      <c r="M1755" s="4">
        <f t="shared" si="611"/>
        <v>173.1</v>
      </c>
      <c r="N1755" s="4"/>
      <c r="O1755" s="1">
        <f t="shared" si="612"/>
        <v>173.1</v>
      </c>
      <c r="P1755" s="1">
        <f t="shared" si="613"/>
        <v>0</v>
      </c>
      <c r="Q1755" s="1" t="str">
        <f t="shared" si="610"/>
        <v/>
      </c>
      <c r="R1755" s="1" t="str">
        <f t="shared" si="614"/>
        <v/>
      </c>
      <c r="S1755" s="1">
        <f t="shared" si="615"/>
        <v>630.90240000000244</v>
      </c>
      <c r="T1755" s="1">
        <f t="shared" si="616"/>
        <v>0</v>
      </c>
      <c r="U1755" s="1">
        <f t="shared" si="617"/>
        <v>0</v>
      </c>
      <c r="V1755" s="1">
        <f t="shared" si="618"/>
        <v>0</v>
      </c>
    </row>
    <row r="1756" spans="5:22" x14ac:dyDescent="0.25">
      <c r="E1756" s="4"/>
      <c r="M1756" s="4">
        <f t="shared" si="611"/>
        <v>173.1</v>
      </c>
      <c r="N1756" s="4"/>
      <c r="O1756" s="1">
        <f t="shared" si="612"/>
        <v>173.1</v>
      </c>
      <c r="P1756" s="1">
        <f t="shared" si="613"/>
        <v>0</v>
      </c>
      <c r="Q1756" s="1" t="str">
        <f t="shared" si="610"/>
        <v/>
      </c>
      <c r="R1756" s="1" t="str">
        <f t="shared" si="614"/>
        <v/>
      </c>
      <c r="S1756" s="1">
        <f t="shared" si="615"/>
        <v>630.90240000000244</v>
      </c>
      <c r="T1756" s="1">
        <f t="shared" si="616"/>
        <v>0</v>
      </c>
      <c r="U1756" s="1">
        <f t="shared" si="617"/>
        <v>0</v>
      </c>
      <c r="V1756" s="1">
        <f t="shared" si="618"/>
        <v>0</v>
      </c>
    </row>
    <row r="1757" spans="5:22" x14ac:dyDescent="0.25">
      <c r="E1757" s="4"/>
      <c r="M1757" s="4">
        <f t="shared" si="611"/>
        <v>173.1</v>
      </c>
      <c r="N1757" s="4"/>
      <c r="O1757" s="1">
        <f t="shared" si="612"/>
        <v>173.1</v>
      </c>
      <c r="P1757" s="1">
        <f t="shared" si="613"/>
        <v>0</v>
      </c>
      <c r="Q1757" s="1" t="str">
        <f t="shared" si="610"/>
        <v/>
      </c>
      <c r="R1757" s="1" t="str">
        <f t="shared" si="614"/>
        <v/>
      </c>
      <c r="S1757" s="1">
        <f t="shared" si="615"/>
        <v>630.90240000000244</v>
      </c>
      <c r="T1757" s="1">
        <f t="shared" si="616"/>
        <v>0</v>
      </c>
      <c r="U1757" s="1">
        <f t="shared" si="617"/>
        <v>0</v>
      </c>
      <c r="V1757" s="1">
        <f t="shared" si="618"/>
        <v>0</v>
      </c>
    </row>
    <row r="1758" spans="5:22" x14ac:dyDescent="0.25">
      <c r="E1758" s="4"/>
      <c r="M1758" s="4">
        <f t="shared" si="611"/>
        <v>173.1</v>
      </c>
      <c r="N1758" s="4"/>
      <c r="O1758" s="1">
        <f t="shared" si="612"/>
        <v>173.1</v>
      </c>
      <c r="P1758" s="1">
        <f t="shared" si="613"/>
        <v>0</v>
      </c>
      <c r="Q1758" s="1" t="str">
        <f t="shared" si="610"/>
        <v/>
      </c>
      <c r="R1758" s="1" t="str">
        <f t="shared" si="614"/>
        <v/>
      </c>
      <c r="S1758" s="1">
        <f t="shared" si="615"/>
        <v>630.90240000000244</v>
      </c>
      <c r="T1758" s="1">
        <f t="shared" si="616"/>
        <v>0</v>
      </c>
      <c r="U1758" s="1">
        <f t="shared" si="617"/>
        <v>0</v>
      </c>
      <c r="V1758" s="1">
        <f t="shared" si="618"/>
        <v>0</v>
      </c>
    </row>
    <row r="1759" spans="5:22" x14ac:dyDescent="0.25">
      <c r="E1759" s="4"/>
      <c r="M1759" s="4">
        <f t="shared" si="611"/>
        <v>173.1</v>
      </c>
      <c r="N1759" s="4"/>
      <c r="O1759" s="1">
        <f t="shared" si="612"/>
        <v>173.1</v>
      </c>
      <c r="P1759" s="1">
        <f t="shared" si="613"/>
        <v>0</v>
      </c>
      <c r="Q1759" s="1" t="str">
        <f t="shared" si="610"/>
        <v/>
      </c>
      <c r="R1759" s="1" t="str">
        <f t="shared" si="614"/>
        <v/>
      </c>
      <c r="S1759" s="1">
        <f t="shared" si="615"/>
        <v>630.90240000000244</v>
      </c>
      <c r="T1759" s="1">
        <f t="shared" si="616"/>
        <v>0</v>
      </c>
      <c r="U1759" s="1">
        <f t="shared" si="617"/>
        <v>0</v>
      </c>
      <c r="V1759" s="1">
        <f t="shared" si="618"/>
        <v>0</v>
      </c>
    </row>
    <row r="1760" spans="5:22" x14ac:dyDescent="0.25">
      <c r="E1760" s="4"/>
      <c r="M1760" s="4">
        <f t="shared" si="611"/>
        <v>173.1</v>
      </c>
      <c r="N1760" s="4"/>
      <c r="O1760" s="1">
        <f t="shared" si="612"/>
        <v>173.1</v>
      </c>
      <c r="P1760" s="1">
        <f t="shared" si="613"/>
        <v>0</v>
      </c>
      <c r="Q1760" s="1" t="str">
        <f t="shared" si="610"/>
        <v/>
      </c>
      <c r="R1760" s="1" t="str">
        <f t="shared" si="614"/>
        <v/>
      </c>
      <c r="S1760" s="1">
        <f t="shared" si="615"/>
        <v>630.90240000000244</v>
      </c>
      <c r="T1760" s="1">
        <f t="shared" si="616"/>
        <v>0</v>
      </c>
      <c r="U1760" s="1">
        <f t="shared" si="617"/>
        <v>0</v>
      </c>
      <c r="V1760" s="1">
        <f t="shared" si="618"/>
        <v>0</v>
      </c>
    </row>
    <row r="1761" spans="5:22" x14ac:dyDescent="0.25">
      <c r="E1761" s="4"/>
      <c r="M1761" s="4">
        <f t="shared" si="611"/>
        <v>173.1</v>
      </c>
      <c r="N1761" s="4"/>
      <c r="O1761" s="1">
        <f t="shared" si="612"/>
        <v>173.1</v>
      </c>
      <c r="P1761" s="1">
        <f t="shared" si="613"/>
        <v>0</v>
      </c>
      <c r="Q1761" s="1" t="str">
        <f t="shared" si="610"/>
        <v/>
      </c>
      <c r="R1761" s="1" t="str">
        <f t="shared" si="614"/>
        <v/>
      </c>
      <c r="S1761" s="1">
        <f t="shared" si="615"/>
        <v>630.90240000000244</v>
      </c>
      <c r="T1761" s="1">
        <f t="shared" si="616"/>
        <v>0</v>
      </c>
      <c r="U1761" s="1">
        <f t="shared" si="617"/>
        <v>0</v>
      </c>
      <c r="V1761" s="1">
        <f t="shared" si="618"/>
        <v>0</v>
      </c>
    </row>
    <row r="1762" spans="5:22" x14ac:dyDescent="0.25">
      <c r="E1762" s="4"/>
      <c r="M1762" s="4">
        <f t="shared" si="611"/>
        <v>173.1</v>
      </c>
      <c r="N1762" s="4"/>
      <c r="O1762" s="1">
        <f t="shared" si="612"/>
        <v>173.1</v>
      </c>
      <c r="P1762" s="1">
        <f t="shared" si="613"/>
        <v>0</v>
      </c>
      <c r="Q1762" s="1" t="str">
        <f t="shared" si="610"/>
        <v/>
      </c>
      <c r="R1762" s="1" t="str">
        <f t="shared" si="614"/>
        <v/>
      </c>
      <c r="S1762" s="1">
        <f t="shared" si="615"/>
        <v>630.90240000000244</v>
      </c>
      <c r="T1762" s="1">
        <f t="shared" si="616"/>
        <v>0</v>
      </c>
      <c r="U1762" s="1">
        <f t="shared" si="617"/>
        <v>0</v>
      </c>
      <c r="V1762" s="1">
        <f t="shared" si="618"/>
        <v>0</v>
      </c>
    </row>
    <row r="1763" spans="5:22" x14ac:dyDescent="0.25">
      <c r="E1763" s="4"/>
      <c r="M1763" s="4">
        <f t="shared" si="611"/>
        <v>173.1</v>
      </c>
      <c r="N1763" s="4"/>
      <c r="O1763" s="1">
        <f t="shared" si="612"/>
        <v>173.1</v>
      </c>
      <c r="P1763" s="1">
        <f t="shared" si="613"/>
        <v>0</v>
      </c>
      <c r="Q1763" s="1" t="str">
        <f t="shared" si="610"/>
        <v/>
      </c>
      <c r="R1763" s="1" t="str">
        <f t="shared" si="614"/>
        <v/>
      </c>
      <c r="S1763" s="1">
        <f t="shared" si="615"/>
        <v>630.90240000000244</v>
      </c>
      <c r="T1763" s="1">
        <f t="shared" si="616"/>
        <v>0</v>
      </c>
      <c r="U1763" s="1">
        <f t="shared" si="617"/>
        <v>0</v>
      </c>
      <c r="V1763" s="1">
        <f t="shared" si="618"/>
        <v>0</v>
      </c>
    </row>
    <row r="1764" spans="5:22" x14ac:dyDescent="0.25">
      <c r="E1764" s="4"/>
      <c r="M1764" s="4">
        <f t="shared" si="611"/>
        <v>173.1</v>
      </c>
      <c r="N1764" s="4"/>
      <c r="O1764" s="1">
        <f t="shared" si="612"/>
        <v>173.1</v>
      </c>
      <c r="P1764" s="1">
        <f t="shared" si="613"/>
        <v>0</v>
      </c>
      <c r="Q1764" s="1" t="str">
        <f t="shared" si="610"/>
        <v/>
      </c>
      <c r="R1764" s="1" t="str">
        <f t="shared" si="614"/>
        <v/>
      </c>
      <c r="S1764" s="1">
        <f t="shared" si="615"/>
        <v>630.90240000000244</v>
      </c>
      <c r="T1764" s="1">
        <f t="shared" si="616"/>
        <v>0</v>
      </c>
      <c r="U1764" s="1">
        <f t="shared" si="617"/>
        <v>0</v>
      </c>
      <c r="V1764" s="1">
        <f t="shared" si="618"/>
        <v>0</v>
      </c>
    </row>
    <row r="1765" spans="5:22" x14ac:dyDescent="0.25">
      <c r="E1765" s="4"/>
      <c r="M1765" s="4">
        <f t="shared" si="611"/>
        <v>173.1</v>
      </c>
      <c r="N1765" s="4"/>
      <c r="O1765" s="1">
        <f t="shared" si="612"/>
        <v>173.1</v>
      </c>
      <c r="P1765" s="1">
        <f t="shared" si="613"/>
        <v>0</v>
      </c>
      <c r="Q1765" s="1" t="str">
        <f t="shared" si="610"/>
        <v/>
      </c>
      <c r="R1765" s="1" t="str">
        <f t="shared" si="614"/>
        <v/>
      </c>
      <c r="S1765" s="1">
        <f t="shared" si="615"/>
        <v>630.90240000000244</v>
      </c>
      <c r="T1765" s="1">
        <f t="shared" si="616"/>
        <v>0</v>
      </c>
      <c r="U1765" s="1">
        <f t="shared" si="617"/>
        <v>0</v>
      </c>
      <c r="V1765" s="1">
        <f t="shared" si="618"/>
        <v>0</v>
      </c>
    </row>
    <row r="1766" spans="5:22" x14ac:dyDescent="0.25">
      <c r="E1766" s="4"/>
      <c r="M1766" s="4">
        <f t="shared" si="611"/>
        <v>173.1</v>
      </c>
      <c r="N1766" s="4"/>
      <c r="O1766" s="1">
        <f t="shared" si="612"/>
        <v>173.1</v>
      </c>
      <c r="P1766" s="1">
        <f t="shared" si="613"/>
        <v>0</v>
      </c>
      <c r="Q1766" s="1" t="str">
        <f t="shared" si="610"/>
        <v/>
      </c>
      <c r="R1766" s="1" t="str">
        <f t="shared" si="614"/>
        <v/>
      </c>
      <c r="S1766" s="1">
        <f t="shared" si="615"/>
        <v>630.90240000000244</v>
      </c>
      <c r="T1766" s="1">
        <f t="shared" si="616"/>
        <v>0</v>
      </c>
      <c r="U1766" s="1">
        <f t="shared" si="617"/>
        <v>0</v>
      </c>
      <c r="V1766" s="1">
        <f t="shared" si="618"/>
        <v>0</v>
      </c>
    </row>
    <row r="1767" spans="5:22" x14ac:dyDescent="0.25">
      <c r="E1767" s="4"/>
      <c r="M1767" s="4">
        <f t="shared" si="611"/>
        <v>173.1</v>
      </c>
      <c r="N1767" s="4"/>
      <c r="O1767" s="1">
        <f t="shared" si="612"/>
        <v>173.1</v>
      </c>
      <c r="P1767" s="1">
        <f t="shared" si="613"/>
        <v>0</v>
      </c>
      <c r="Q1767" s="1" t="str">
        <f t="shared" si="610"/>
        <v/>
      </c>
      <c r="R1767" s="1" t="str">
        <f t="shared" si="614"/>
        <v/>
      </c>
      <c r="S1767" s="1">
        <f t="shared" si="615"/>
        <v>630.90240000000244</v>
      </c>
      <c r="T1767" s="1">
        <f t="shared" si="616"/>
        <v>0</v>
      </c>
      <c r="U1767" s="1">
        <f t="shared" si="617"/>
        <v>0</v>
      </c>
      <c r="V1767" s="1">
        <f t="shared" si="618"/>
        <v>0</v>
      </c>
    </row>
    <row r="1768" spans="5:22" x14ac:dyDescent="0.25">
      <c r="E1768" s="4"/>
      <c r="M1768" s="4">
        <f t="shared" si="611"/>
        <v>173.1</v>
      </c>
      <c r="N1768" s="4"/>
      <c r="O1768" s="1">
        <f t="shared" si="612"/>
        <v>173.1</v>
      </c>
      <c r="P1768" s="1">
        <f t="shared" si="613"/>
        <v>0</v>
      </c>
      <c r="Q1768" s="1" t="str">
        <f t="shared" si="610"/>
        <v/>
      </c>
      <c r="R1768" s="1" t="str">
        <f t="shared" si="614"/>
        <v/>
      </c>
      <c r="S1768" s="1">
        <f t="shared" si="615"/>
        <v>630.90240000000244</v>
      </c>
      <c r="T1768" s="1">
        <f t="shared" si="616"/>
        <v>0</v>
      </c>
      <c r="U1768" s="1">
        <f t="shared" si="617"/>
        <v>0</v>
      </c>
      <c r="V1768" s="1">
        <f t="shared" si="618"/>
        <v>0</v>
      </c>
    </row>
    <row r="1769" spans="5:22" x14ac:dyDescent="0.25">
      <c r="E1769" s="4"/>
      <c r="M1769" s="4">
        <f t="shared" si="611"/>
        <v>173.1</v>
      </c>
      <c r="N1769" s="4"/>
      <c r="O1769" s="1">
        <f t="shared" si="612"/>
        <v>173.1</v>
      </c>
      <c r="P1769" s="1">
        <f t="shared" si="613"/>
        <v>0</v>
      </c>
      <c r="Q1769" s="1" t="str">
        <f t="shared" si="610"/>
        <v/>
      </c>
      <c r="R1769" s="1" t="str">
        <f t="shared" si="614"/>
        <v/>
      </c>
      <c r="S1769" s="1">
        <f t="shared" si="615"/>
        <v>630.90240000000244</v>
      </c>
      <c r="T1769" s="1">
        <f t="shared" si="616"/>
        <v>0</v>
      </c>
      <c r="U1769" s="1">
        <f t="shared" si="617"/>
        <v>0</v>
      </c>
      <c r="V1769" s="1">
        <f t="shared" si="618"/>
        <v>0</v>
      </c>
    </row>
    <row r="1770" spans="5:22" x14ac:dyDescent="0.25">
      <c r="E1770" s="4"/>
      <c r="M1770" s="4">
        <f t="shared" si="611"/>
        <v>173.1</v>
      </c>
      <c r="N1770" s="4"/>
      <c r="O1770" s="1">
        <f t="shared" si="612"/>
        <v>173.1</v>
      </c>
      <c r="P1770" s="1">
        <f t="shared" si="613"/>
        <v>0</v>
      </c>
      <c r="Q1770" s="1" t="str">
        <f t="shared" si="610"/>
        <v/>
      </c>
      <c r="R1770" s="1" t="str">
        <f t="shared" si="614"/>
        <v/>
      </c>
      <c r="S1770" s="1">
        <f t="shared" si="615"/>
        <v>630.90240000000244</v>
      </c>
      <c r="T1770" s="1">
        <f t="shared" si="616"/>
        <v>0</v>
      </c>
      <c r="U1770" s="1">
        <f t="shared" si="617"/>
        <v>0</v>
      </c>
      <c r="V1770" s="1">
        <f t="shared" si="618"/>
        <v>0</v>
      </c>
    </row>
    <row r="1771" spans="5:22" x14ac:dyDescent="0.25">
      <c r="E1771" s="4"/>
      <c r="M1771" s="4">
        <f t="shared" si="611"/>
        <v>173.1</v>
      </c>
      <c r="N1771" s="4"/>
      <c r="O1771" s="1">
        <f t="shared" si="612"/>
        <v>173.1</v>
      </c>
      <c r="P1771" s="1">
        <f t="shared" si="613"/>
        <v>0</v>
      </c>
      <c r="Q1771" s="1" t="str">
        <f t="shared" si="610"/>
        <v/>
      </c>
      <c r="R1771" s="1" t="str">
        <f t="shared" si="614"/>
        <v/>
      </c>
      <c r="S1771" s="1">
        <f t="shared" si="615"/>
        <v>630.90240000000244</v>
      </c>
      <c r="T1771" s="1">
        <f t="shared" si="616"/>
        <v>0</v>
      </c>
      <c r="U1771" s="1">
        <f t="shared" si="617"/>
        <v>0</v>
      </c>
      <c r="V1771" s="1">
        <f t="shared" si="618"/>
        <v>0</v>
      </c>
    </row>
    <row r="1772" spans="5:22" x14ac:dyDescent="0.25">
      <c r="E1772" s="4"/>
      <c r="M1772" s="4">
        <f t="shared" si="611"/>
        <v>173.1</v>
      </c>
      <c r="N1772" s="4"/>
      <c r="O1772" s="1">
        <f t="shared" si="612"/>
        <v>173.1</v>
      </c>
      <c r="P1772" s="1">
        <f t="shared" si="613"/>
        <v>0</v>
      </c>
      <c r="Q1772" s="1" t="str">
        <f t="shared" si="610"/>
        <v/>
      </c>
      <c r="R1772" s="1" t="str">
        <f t="shared" si="614"/>
        <v/>
      </c>
      <c r="S1772" s="1">
        <f t="shared" si="615"/>
        <v>630.90240000000244</v>
      </c>
      <c r="T1772" s="1">
        <f t="shared" si="616"/>
        <v>0</v>
      </c>
      <c r="U1772" s="1">
        <f t="shared" si="617"/>
        <v>0</v>
      </c>
      <c r="V1772" s="1">
        <f t="shared" si="618"/>
        <v>0</v>
      </c>
    </row>
    <row r="1773" spans="5:22" x14ac:dyDescent="0.25">
      <c r="E1773" s="4"/>
      <c r="M1773" s="4">
        <f t="shared" si="611"/>
        <v>173.1</v>
      </c>
      <c r="N1773" s="4"/>
      <c r="O1773" s="1">
        <f t="shared" si="612"/>
        <v>173.1</v>
      </c>
      <c r="P1773" s="1">
        <f t="shared" si="613"/>
        <v>0</v>
      </c>
      <c r="Q1773" s="1" t="str">
        <f t="shared" si="610"/>
        <v/>
      </c>
      <c r="R1773" s="1" t="str">
        <f t="shared" si="614"/>
        <v/>
      </c>
      <c r="S1773" s="1">
        <f t="shared" si="615"/>
        <v>630.90240000000244</v>
      </c>
      <c r="T1773" s="1">
        <f t="shared" si="616"/>
        <v>0</v>
      </c>
      <c r="U1773" s="1">
        <f t="shared" si="617"/>
        <v>0</v>
      </c>
      <c r="V1773" s="1">
        <f t="shared" si="618"/>
        <v>0</v>
      </c>
    </row>
    <row r="1774" spans="5:22" x14ac:dyDescent="0.25">
      <c r="E1774" s="4"/>
      <c r="M1774" s="4">
        <f t="shared" si="611"/>
        <v>173.1</v>
      </c>
      <c r="N1774" s="4"/>
      <c r="O1774" s="1">
        <f t="shared" si="612"/>
        <v>173.1</v>
      </c>
      <c r="P1774" s="1">
        <f t="shared" si="613"/>
        <v>0</v>
      </c>
      <c r="Q1774" s="1" t="str">
        <f t="shared" si="610"/>
        <v/>
      </c>
      <c r="R1774" s="1" t="str">
        <f t="shared" si="614"/>
        <v/>
      </c>
      <c r="S1774" s="1">
        <f t="shared" si="615"/>
        <v>630.90240000000244</v>
      </c>
      <c r="T1774" s="1">
        <f t="shared" si="616"/>
        <v>0</v>
      </c>
      <c r="U1774" s="1">
        <f t="shared" si="617"/>
        <v>0</v>
      </c>
      <c r="V1774" s="1">
        <f t="shared" si="618"/>
        <v>0</v>
      </c>
    </row>
    <row r="1775" spans="5:22" x14ac:dyDescent="0.25">
      <c r="E1775" s="4"/>
      <c r="M1775" s="4">
        <f t="shared" si="611"/>
        <v>173.1</v>
      </c>
      <c r="N1775" s="4"/>
      <c r="O1775" s="1">
        <f t="shared" si="612"/>
        <v>173.1</v>
      </c>
      <c r="P1775" s="1">
        <f t="shared" si="613"/>
        <v>0</v>
      </c>
      <c r="Q1775" s="1" t="str">
        <f t="shared" si="610"/>
        <v/>
      </c>
      <c r="R1775" s="1" t="str">
        <f t="shared" si="614"/>
        <v/>
      </c>
      <c r="S1775" s="1">
        <f t="shared" si="615"/>
        <v>630.90240000000244</v>
      </c>
      <c r="T1775" s="1">
        <f t="shared" si="616"/>
        <v>0</v>
      </c>
      <c r="U1775" s="1">
        <f t="shared" si="617"/>
        <v>0</v>
      </c>
      <c r="V1775" s="1">
        <f t="shared" si="618"/>
        <v>0</v>
      </c>
    </row>
    <row r="1776" spans="5:22" x14ac:dyDescent="0.25">
      <c r="E1776" s="4"/>
      <c r="M1776" s="4">
        <f t="shared" si="611"/>
        <v>173.1</v>
      </c>
      <c r="N1776" s="4"/>
      <c r="O1776" s="1">
        <f t="shared" si="612"/>
        <v>173.1</v>
      </c>
      <c r="P1776" s="1">
        <f t="shared" si="613"/>
        <v>0</v>
      </c>
      <c r="Q1776" s="1" t="str">
        <f t="shared" si="610"/>
        <v/>
      </c>
      <c r="R1776" s="1" t="str">
        <f t="shared" si="614"/>
        <v/>
      </c>
      <c r="S1776" s="1">
        <f t="shared" si="615"/>
        <v>630.90240000000244</v>
      </c>
      <c r="T1776" s="1">
        <f t="shared" si="616"/>
        <v>0</v>
      </c>
      <c r="U1776" s="1">
        <f t="shared" si="617"/>
        <v>0</v>
      </c>
      <c r="V1776" s="1">
        <f t="shared" si="618"/>
        <v>0</v>
      </c>
    </row>
    <row r="1777" spans="5:22" x14ac:dyDescent="0.25">
      <c r="E1777" s="4"/>
      <c r="M1777" s="4">
        <f t="shared" si="611"/>
        <v>173.1</v>
      </c>
      <c r="N1777" s="4"/>
      <c r="O1777" s="1">
        <f t="shared" si="612"/>
        <v>173.1</v>
      </c>
      <c r="P1777" s="1">
        <f t="shared" si="613"/>
        <v>0</v>
      </c>
      <c r="Q1777" s="1" t="str">
        <f t="shared" si="610"/>
        <v/>
      </c>
      <c r="R1777" s="1" t="str">
        <f t="shared" si="614"/>
        <v/>
      </c>
      <c r="S1777" s="1">
        <f t="shared" si="615"/>
        <v>630.90240000000244</v>
      </c>
      <c r="T1777" s="1">
        <f t="shared" si="616"/>
        <v>0</v>
      </c>
      <c r="U1777" s="1">
        <f t="shared" si="617"/>
        <v>0</v>
      </c>
      <c r="V1777" s="1">
        <f t="shared" si="618"/>
        <v>0</v>
      </c>
    </row>
    <row r="1778" spans="5:22" x14ac:dyDescent="0.25">
      <c r="E1778" s="4"/>
      <c r="M1778" s="4">
        <f t="shared" si="611"/>
        <v>173.1</v>
      </c>
      <c r="N1778" s="4"/>
      <c r="O1778" s="1">
        <f t="shared" si="612"/>
        <v>173.1</v>
      </c>
      <c r="P1778" s="1">
        <f t="shared" si="613"/>
        <v>0</v>
      </c>
      <c r="Q1778" s="1" t="str">
        <f t="shared" ref="Q1778:Q1841" si="619">IF(H1778&lt;&gt;"",IF(H1778=H1777,"",H1778),IF(H1776="","",MAX(H1777,Q1777)))</f>
        <v/>
      </c>
      <c r="R1778" s="1" t="str">
        <f t="shared" si="614"/>
        <v/>
      </c>
      <c r="S1778" s="1">
        <f t="shared" si="615"/>
        <v>630.90240000000244</v>
      </c>
      <c r="T1778" s="1">
        <f t="shared" si="616"/>
        <v>0</v>
      </c>
      <c r="U1778" s="1">
        <f t="shared" si="617"/>
        <v>0</v>
      </c>
      <c r="V1778" s="1">
        <f t="shared" si="618"/>
        <v>0</v>
      </c>
    </row>
    <row r="1779" spans="5:22" x14ac:dyDescent="0.25">
      <c r="E1779" s="4"/>
      <c r="M1779" s="4">
        <f t="shared" si="611"/>
        <v>173.1</v>
      </c>
      <c r="N1779" s="4"/>
      <c r="O1779" s="1">
        <f t="shared" si="612"/>
        <v>173.1</v>
      </c>
      <c r="P1779" s="1">
        <f t="shared" si="613"/>
        <v>0</v>
      </c>
      <c r="Q1779" s="1" t="str">
        <f t="shared" si="619"/>
        <v/>
      </c>
      <c r="R1779" s="1" t="str">
        <f t="shared" si="614"/>
        <v/>
      </c>
      <c r="S1779" s="1">
        <f t="shared" si="615"/>
        <v>630.90240000000244</v>
      </c>
      <c r="T1779" s="1">
        <f t="shared" si="616"/>
        <v>0</v>
      </c>
      <c r="U1779" s="1">
        <f t="shared" si="617"/>
        <v>0</v>
      </c>
      <c r="V1779" s="1">
        <f t="shared" si="618"/>
        <v>0</v>
      </c>
    </row>
    <row r="1780" spans="5:22" x14ac:dyDescent="0.25">
      <c r="E1780" s="4"/>
      <c r="M1780" s="4">
        <f t="shared" si="611"/>
        <v>173.1</v>
      </c>
      <c r="N1780" s="4"/>
      <c r="O1780" s="1">
        <f t="shared" si="612"/>
        <v>173.1</v>
      </c>
      <c r="P1780" s="1">
        <f t="shared" si="613"/>
        <v>0</v>
      </c>
      <c r="Q1780" s="1" t="str">
        <f t="shared" si="619"/>
        <v/>
      </c>
      <c r="R1780" s="1" t="str">
        <f t="shared" si="614"/>
        <v/>
      </c>
      <c r="S1780" s="1">
        <f t="shared" si="615"/>
        <v>630.90240000000244</v>
      </c>
      <c r="T1780" s="1">
        <f t="shared" si="616"/>
        <v>0</v>
      </c>
      <c r="U1780" s="1">
        <f t="shared" si="617"/>
        <v>0</v>
      </c>
      <c r="V1780" s="1">
        <f t="shared" si="618"/>
        <v>0</v>
      </c>
    </row>
    <row r="1781" spans="5:22" x14ac:dyDescent="0.25">
      <c r="E1781" s="4"/>
      <c r="M1781" s="4">
        <f t="shared" si="611"/>
        <v>173.1</v>
      </c>
      <c r="N1781" s="4"/>
      <c r="O1781" s="1">
        <f t="shared" si="612"/>
        <v>173.1</v>
      </c>
      <c r="P1781" s="1">
        <f t="shared" si="613"/>
        <v>0</v>
      </c>
      <c r="Q1781" s="1" t="str">
        <f t="shared" si="619"/>
        <v/>
      </c>
      <c r="R1781" s="1" t="str">
        <f t="shared" si="614"/>
        <v/>
      </c>
      <c r="S1781" s="1">
        <f t="shared" si="615"/>
        <v>630.90240000000244</v>
      </c>
      <c r="T1781" s="1">
        <f t="shared" si="616"/>
        <v>0</v>
      </c>
      <c r="U1781" s="1">
        <f t="shared" si="617"/>
        <v>0</v>
      </c>
      <c r="V1781" s="1">
        <f t="shared" si="618"/>
        <v>0</v>
      </c>
    </row>
    <row r="1782" spans="5:22" x14ac:dyDescent="0.25">
      <c r="E1782" s="4"/>
      <c r="M1782" s="4">
        <f t="shared" si="611"/>
        <v>173.1</v>
      </c>
      <c r="N1782" s="4"/>
      <c r="O1782" s="1">
        <f t="shared" si="612"/>
        <v>173.1</v>
      </c>
      <c r="P1782" s="1">
        <f t="shared" si="613"/>
        <v>0</v>
      </c>
      <c r="Q1782" s="1" t="str">
        <f t="shared" si="619"/>
        <v/>
      </c>
      <c r="R1782" s="1" t="str">
        <f t="shared" si="614"/>
        <v/>
      </c>
      <c r="S1782" s="1">
        <f t="shared" si="615"/>
        <v>630.90240000000244</v>
      </c>
      <c r="T1782" s="1">
        <f t="shared" si="616"/>
        <v>0</v>
      </c>
      <c r="U1782" s="1">
        <f t="shared" si="617"/>
        <v>0</v>
      </c>
      <c r="V1782" s="1">
        <f t="shared" si="618"/>
        <v>0</v>
      </c>
    </row>
    <row r="1783" spans="5:22" x14ac:dyDescent="0.25">
      <c r="E1783" s="4"/>
      <c r="M1783" s="4">
        <f t="shared" si="611"/>
        <v>173.1</v>
      </c>
      <c r="N1783" s="4"/>
      <c r="O1783" s="1">
        <f t="shared" si="612"/>
        <v>173.1</v>
      </c>
      <c r="P1783" s="1">
        <f t="shared" si="613"/>
        <v>0</v>
      </c>
      <c r="Q1783" s="1" t="str">
        <f t="shared" si="619"/>
        <v/>
      </c>
      <c r="R1783" s="1" t="str">
        <f t="shared" si="614"/>
        <v/>
      </c>
      <c r="S1783" s="1">
        <f t="shared" si="615"/>
        <v>630.90240000000244</v>
      </c>
      <c r="T1783" s="1">
        <f t="shared" si="616"/>
        <v>0</v>
      </c>
      <c r="U1783" s="1">
        <f t="shared" si="617"/>
        <v>0</v>
      </c>
      <c r="V1783" s="1">
        <f t="shared" si="618"/>
        <v>0</v>
      </c>
    </row>
    <row r="1784" spans="5:22" x14ac:dyDescent="0.25">
      <c r="E1784" s="4"/>
      <c r="M1784" s="4">
        <f t="shared" si="611"/>
        <v>173.1</v>
      </c>
      <c r="N1784" s="4"/>
      <c r="O1784" s="1">
        <f t="shared" si="612"/>
        <v>173.1</v>
      </c>
      <c r="P1784" s="1">
        <f t="shared" si="613"/>
        <v>0</v>
      </c>
      <c r="Q1784" s="1" t="str">
        <f t="shared" si="619"/>
        <v/>
      </c>
      <c r="R1784" s="1" t="str">
        <f t="shared" si="614"/>
        <v/>
      </c>
      <c r="S1784" s="1">
        <f t="shared" si="615"/>
        <v>630.90240000000244</v>
      </c>
      <c r="T1784" s="1">
        <f t="shared" si="616"/>
        <v>0</v>
      </c>
      <c r="U1784" s="1">
        <f t="shared" si="617"/>
        <v>0</v>
      </c>
      <c r="V1784" s="1">
        <f t="shared" si="618"/>
        <v>0</v>
      </c>
    </row>
    <row r="1785" spans="5:22" x14ac:dyDescent="0.25">
      <c r="E1785" s="4"/>
      <c r="M1785" s="4">
        <f t="shared" si="611"/>
        <v>173.1</v>
      </c>
      <c r="N1785" s="4"/>
      <c r="O1785" s="1">
        <f t="shared" si="612"/>
        <v>173.1</v>
      </c>
      <c r="P1785" s="1">
        <f t="shared" si="613"/>
        <v>0</v>
      </c>
      <c r="Q1785" s="1" t="str">
        <f t="shared" si="619"/>
        <v/>
      </c>
      <c r="R1785" s="1" t="str">
        <f t="shared" si="614"/>
        <v/>
      </c>
      <c r="S1785" s="1">
        <f t="shared" si="615"/>
        <v>630.90240000000244</v>
      </c>
      <c r="T1785" s="1">
        <f t="shared" si="616"/>
        <v>0</v>
      </c>
      <c r="U1785" s="1">
        <f t="shared" si="617"/>
        <v>0</v>
      </c>
      <c r="V1785" s="1">
        <f t="shared" si="618"/>
        <v>0</v>
      </c>
    </row>
    <row r="1786" spans="5:22" x14ac:dyDescent="0.25">
      <c r="E1786" s="4"/>
      <c r="M1786" s="4">
        <f t="shared" si="611"/>
        <v>173.1</v>
      </c>
      <c r="N1786" s="4"/>
      <c r="O1786" s="1">
        <f t="shared" si="612"/>
        <v>173.1</v>
      </c>
      <c r="P1786" s="1">
        <f t="shared" si="613"/>
        <v>0</v>
      </c>
      <c r="Q1786" s="1" t="str">
        <f t="shared" si="619"/>
        <v/>
      </c>
      <c r="R1786" s="1" t="str">
        <f t="shared" si="614"/>
        <v/>
      </c>
      <c r="S1786" s="1">
        <f t="shared" si="615"/>
        <v>630.90240000000244</v>
      </c>
      <c r="T1786" s="1">
        <f t="shared" si="616"/>
        <v>0</v>
      </c>
      <c r="U1786" s="1">
        <f t="shared" si="617"/>
        <v>0</v>
      </c>
      <c r="V1786" s="1">
        <f t="shared" si="618"/>
        <v>0</v>
      </c>
    </row>
    <row r="1787" spans="5:22" x14ac:dyDescent="0.25">
      <c r="E1787" s="4"/>
      <c r="M1787" s="4">
        <f t="shared" si="611"/>
        <v>173.1</v>
      </c>
      <c r="N1787" s="4"/>
      <c r="O1787" s="1">
        <f t="shared" si="612"/>
        <v>173.1</v>
      </c>
      <c r="P1787" s="1">
        <f t="shared" si="613"/>
        <v>0</v>
      </c>
      <c r="Q1787" s="1" t="str">
        <f t="shared" si="619"/>
        <v/>
      </c>
      <c r="R1787" s="1" t="str">
        <f t="shared" si="614"/>
        <v/>
      </c>
      <c r="S1787" s="1">
        <f t="shared" si="615"/>
        <v>630.90240000000244</v>
      </c>
      <c r="T1787" s="1">
        <f t="shared" si="616"/>
        <v>0</v>
      </c>
      <c r="U1787" s="1">
        <f t="shared" si="617"/>
        <v>0</v>
      </c>
      <c r="V1787" s="1">
        <f t="shared" si="618"/>
        <v>0</v>
      </c>
    </row>
    <row r="1788" spans="5:22" x14ac:dyDescent="0.25">
      <c r="E1788" s="4"/>
      <c r="M1788" s="4">
        <f t="shared" si="611"/>
        <v>173.1</v>
      </c>
      <c r="N1788" s="4"/>
      <c r="O1788" s="1">
        <f t="shared" si="612"/>
        <v>173.1</v>
      </c>
      <c r="P1788" s="1">
        <f t="shared" si="613"/>
        <v>0</v>
      </c>
      <c r="Q1788" s="1" t="str">
        <f t="shared" si="619"/>
        <v/>
      </c>
      <c r="R1788" s="1" t="str">
        <f t="shared" si="614"/>
        <v/>
      </c>
      <c r="S1788" s="1">
        <f t="shared" si="615"/>
        <v>630.90240000000244</v>
      </c>
      <c r="T1788" s="1">
        <f t="shared" si="616"/>
        <v>0</v>
      </c>
      <c r="U1788" s="1">
        <f t="shared" si="617"/>
        <v>0</v>
      </c>
      <c r="V1788" s="1">
        <f t="shared" si="618"/>
        <v>0</v>
      </c>
    </row>
    <row r="1789" spans="5:22" x14ac:dyDescent="0.25">
      <c r="E1789" s="4"/>
      <c r="M1789" s="4">
        <f t="shared" si="611"/>
        <v>173.1</v>
      </c>
      <c r="N1789" s="4"/>
      <c r="O1789" s="1">
        <f t="shared" si="612"/>
        <v>173.1</v>
      </c>
      <c r="P1789" s="1">
        <f t="shared" si="613"/>
        <v>0</v>
      </c>
      <c r="Q1789" s="1" t="str">
        <f t="shared" si="619"/>
        <v/>
      </c>
      <c r="R1789" s="1" t="str">
        <f t="shared" si="614"/>
        <v/>
      </c>
      <c r="S1789" s="1">
        <f t="shared" si="615"/>
        <v>630.90240000000244</v>
      </c>
      <c r="T1789" s="1">
        <f t="shared" si="616"/>
        <v>0</v>
      </c>
      <c r="U1789" s="1">
        <f t="shared" si="617"/>
        <v>0</v>
      </c>
      <c r="V1789" s="1">
        <f t="shared" si="618"/>
        <v>0</v>
      </c>
    </row>
    <row r="1790" spans="5:22" x14ac:dyDescent="0.25">
      <c r="E1790" s="4"/>
      <c r="M1790" s="4">
        <f t="shared" si="611"/>
        <v>173.1</v>
      </c>
      <c r="N1790" s="4"/>
      <c r="O1790" s="1">
        <f t="shared" si="612"/>
        <v>173.1</v>
      </c>
      <c r="P1790" s="1">
        <f t="shared" si="613"/>
        <v>0</v>
      </c>
      <c r="Q1790" s="1" t="str">
        <f t="shared" si="619"/>
        <v/>
      </c>
      <c r="R1790" s="1" t="str">
        <f t="shared" si="614"/>
        <v/>
      </c>
      <c r="S1790" s="1">
        <f t="shared" si="615"/>
        <v>630.90240000000244</v>
      </c>
      <c r="T1790" s="1">
        <f t="shared" si="616"/>
        <v>0</v>
      </c>
      <c r="U1790" s="1">
        <f t="shared" si="617"/>
        <v>0</v>
      </c>
      <c r="V1790" s="1">
        <f t="shared" si="618"/>
        <v>0</v>
      </c>
    </row>
    <row r="1791" spans="5:22" x14ac:dyDescent="0.25">
      <c r="E1791" s="4"/>
      <c r="M1791" s="4">
        <f t="shared" si="611"/>
        <v>173.1</v>
      </c>
      <c r="N1791" s="4"/>
      <c r="O1791" s="1">
        <f t="shared" si="612"/>
        <v>173.1</v>
      </c>
      <c r="P1791" s="1">
        <f t="shared" si="613"/>
        <v>0</v>
      </c>
      <c r="Q1791" s="1" t="str">
        <f t="shared" si="619"/>
        <v/>
      </c>
      <c r="R1791" s="1" t="str">
        <f t="shared" si="614"/>
        <v/>
      </c>
      <c r="S1791" s="1">
        <f t="shared" si="615"/>
        <v>630.90240000000244</v>
      </c>
      <c r="T1791" s="1">
        <f t="shared" si="616"/>
        <v>0</v>
      </c>
      <c r="U1791" s="1">
        <f t="shared" si="617"/>
        <v>0</v>
      </c>
      <c r="V1791" s="1">
        <f t="shared" si="618"/>
        <v>0</v>
      </c>
    </row>
    <row r="1792" spans="5:22" x14ac:dyDescent="0.25">
      <c r="E1792" s="4"/>
      <c r="M1792" s="4">
        <f t="shared" si="611"/>
        <v>173.1</v>
      </c>
      <c r="N1792" s="4"/>
      <c r="O1792" s="1">
        <f t="shared" si="612"/>
        <v>173.1</v>
      </c>
      <c r="P1792" s="1">
        <f t="shared" si="613"/>
        <v>0</v>
      </c>
      <c r="Q1792" s="1" t="str">
        <f t="shared" si="619"/>
        <v/>
      </c>
      <c r="R1792" s="1" t="str">
        <f t="shared" si="614"/>
        <v/>
      </c>
      <c r="S1792" s="1">
        <f t="shared" si="615"/>
        <v>630.90240000000244</v>
      </c>
      <c r="T1792" s="1">
        <f t="shared" si="616"/>
        <v>0</v>
      </c>
      <c r="U1792" s="1">
        <f t="shared" si="617"/>
        <v>0</v>
      </c>
      <c r="V1792" s="1">
        <f t="shared" si="618"/>
        <v>0</v>
      </c>
    </row>
    <row r="1793" spans="5:22" x14ac:dyDescent="0.25">
      <c r="E1793" s="4"/>
      <c r="M1793" s="4">
        <f t="shared" si="611"/>
        <v>173.1</v>
      </c>
      <c r="N1793" s="4"/>
      <c r="O1793" s="1">
        <f t="shared" si="612"/>
        <v>173.1</v>
      </c>
      <c r="P1793" s="1">
        <f t="shared" si="613"/>
        <v>0</v>
      </c>
      <c r="Q1793" s="1" t="str">
        <f t="shared" si="619"/>
        <v/>
      </c>
      <c r="R1793" s="1" t="str">
        <f t="shared" si="614"/>
        <v/>
      </c>
      <c r="S1793" s="1">
        <f t="shared" si="615"/>
        <v>630.90240000000244</v>
      </c>
      <c r="T1793" s="1">
        <f t="shared" si="616"/>
        <v>0</v>
      </c>
      <c r="U1793" s="1">
        <f t="shared" si="617"/>
        <v>0</v>
      </c>
      <c r="V1793" s="1">
        <f t="shared" si="618"/>
        <v>0</v>
      </c>
    </row>
    <row r="1794" spans="5:22" x14ac:dyDescent="0.25">
      <c r="E1794" s="4"/>
      <c r="M1794" s="4">
        <f t="shared" si="611"/>
        <v>173.1</v>
      </c>
      <c r="N1794" s="4"/>
      <c r="O1794" s="1">
        <f t="shared" si="612"/>
        <v>173.1</v>
      </c>
      <c r="P1794" s="1">
        <f t="shared" si="613"/>
        <v>0</v>
      </c>
      <c r="Q1794" s="1" t="str">
        <f t="shared" si="619"/>
        <v/>
      </c>
      <c r="R1794" s="1" t="str">
        <f t="shared" si="614"/>
        <v/>
      </c>
      <c r="S1794" s="1">
        <f t="shared" si="615"/>
        <v>630.90240000000244</v>
      </c>
      <c r="T1794" s="1">
        <f t="shared" si="616"/>
        <v>0</v>
      </c>
      <c r="U1794" s="1">
        <f t="shared" si="617"/>
        <v>0</v>
      </c>
      <c r="V1794" s="1">
        <f t="shared" si="618"/>
        <v>0</v>
      </c>
    </row>
    <row r="1795" spans="5:22" x14ac:dyDescent="0.25">
      <c r="E1795" s="4"/>
      <c r="M1795" s="4">
        <f t="shared" si="611"/>
        <v>173.1</v>
      </c>
      <c r="N1795" s="4"/>
      <c r="O1795" s="1">
        <f t="shared" si="612"/>
        <v>173.1</v>
      </c>
      <c r="P1795" s="1">
        <f t="shared" si="613"/>
        <v>0</v>
      </c>
      <c r="Q1795" s="1" t="str">
        <f t="shared" si="619"/>
        <v/>
      </c>
      <c r="R1795" s="1" t="str">
        <f t="shared" si="614"/>
        <v/>
      </c>
      <c r="S1795" s="1">
        <f t="shared" si="615"/>
        <v>630.90240000000244</v>
      </c>
      <c r="T1795" s="1">
        <f t="shared" si="616"/>
        <v>0</v>
      </c>
      <c r="U1795" s="1">
        <f t="shared" si="617"/>
        <v>0</v>
      </c>
      <c r="V1795" s="1">
        <f t="shared" si="618"/>
        <v>0</v>
      </c>
    </row>
    <row r="1796" spans="5:22" x14ac:dyDescent="0.25">
      <c r="E1796" s="4"/>
      <c r="M1796" s="4">
        <f t="shared" si="611"/>
        <v>173.1</v>
      </c>
      <c r="N1796" s="4"/>
      <c r="O1796" s="1">
        <f t="shared" si="612"/>
        <v>173.1</v>
      </c>
      <c r="P1796" s="1">
        <f t="shared" si="613"/>
        <v>0</v>
      </c>
      <c r="Q1796" s="1" t="str">
        <f t="shared" si="619"/>
        <v/>
      </c>
      <c r="R1796" s="1" t="str">
        <f t="shared" si="614"/>
        <v/>
      </c>
      <c r="S1796" s="1">
        <f t="shared" si="615"/>
        <v>630.90240000000244</v>
      </c>
      <c r="T1796" s="1">
        <f t="shared" si="616"/>
        <v>0</v>
      </c>
      <c r="U1796" s="1">
        <f t="shared" si="617"/>
        <v>0</v>
      </c>
      <c r="V1796" s="1">
        <f t="shared" si="618"/>
        <v>0</v>
      </c>
    </row>
    <row r="1797" spans="5:22" x14ac:dyDescent="0.25">
      <c r="E1797" s="4"/>
      <c r="M1797" s="4">
        <f t="shared" si="611"/>
        <v>173.1</v>
      </c>
      <c r="N1797" s="4"/>
      <c r="O1797" s="1">
        <f t="shared" si="612"/>
        <v>173.1</v>
      </c>
      <c r="P1797" s="1">
        <f t="shared" si="613"/>
        <v>0</v>
      </c>
      <c r="Q1797" s="1" t="str">
        <f t="shared" si="619"/>
        <v/>
      </c>
      <c r="R1797" s="1" t="str">
        <f t="shared" si="614"/>
        <v/>
      </c>
      <c r="S1797" s="1">
        <f t="shared" si="615"/>
        <v>630.90240000000244</v>
      </c>
      <c r="T1797" s="1">
        <f t="shared" si="616"/>
        <v>0</v>
      </c>
      <c r="U1797" s="1">
        <f t="shared" si="617"/>
        <v>0</v>
      </c>
      <c r="V1797" s="1">
        <f t="shared" si="618"/>
        <v>0</v>
      </c>
    </row>
    <row r="1798" spans="5:22" x14ac:dyDescent="0.25">
      <c r="E1798" s="4"/>
      <c r="M1798" s="4">
        <f t="shared" si="611"/>
        <v>173.1</v>
      </c>
      <c r="N1798" s="4"/>
      <c r="O1798" s="1">
        <f t="shared" si="612"/>
        <v>173.1</v>
      </c>
      <c r="P1798" s="1">
        <f t="shared" si="613"/>
        <v>0</v>
      </c>
      <c r="Q1798" s="1" t="str">
        <f t="shared" si="619"/>
        <v/>
      </c>
      <c r="R1798" s="1" t="str">
        <f t="shared" si="614"/>
        <v/>
      </c>
      <c r="S1798" s="1">
        <f t="shared" si="615"/>
        <v>630.90240000000244</v>
      </c>
      <c r="T1798" s="1">
        <f t="shared" si="616"/>
        <v>0</v>
      </c>
      <c r="U1798" s="1">
        <f t="shared" si="617"/>
        <v>0</v>
      </c>
      <c r="V1798" s="1">
        <f t="shared" si="618"/>
        <v>0</v>
      </c>
    </row>
    <row r="1799" spans="5:22" x14ac:dyDescent="0.25">
      <c r="E1799" s="4"/>
      <c r="M1799" s="4">
        <f t="shared" si="611"/>
        <v>173.1</v>
      </c>
      <c r="N1799" s="4"/>
      <c r="O1799" s="1">
        <f t="shared" si="612"/>
        <v>173.1</v>
      </c>
      <c r="P1799" s="1">
        <f t="shared" si="613"/>
        <v>0</v>
      </c>
      <c r="Q1799" s="1" t="str">
        <f t="shared" si="619"/>
        <v/>
      </c>
      <c r="R1799" s="1" t="str">
        <f t="shared" si="614"/>
        <v/>
      </c>
      <c r="S1799" s="1">
        <f t="shared" si="615"/>
        <v>630.90240000000244</v>
      </c>
      <c r="T1799" s="1">
        <f t="shared" si="616"/>
        <v>0</v>
      </c>
      <c r="U1799" s="1">
        <f t="shared" si="617"/>
        <v>0</v>
      </c>
      <c r="V1799" s="1">
        <f t="shared" si="618"/>
        <v>0</v>
      </c>
    </row>
    <row r="1800" spans="5:22" x14ac:dyDescent="0.25">
      <c r="E1800" s="4"/>
      <c r="M1800" s="4">
        <f t="shared" ref="M1800:M1863" si="620">E1800+M1799</f>
        <v>173.1</v>
      </c>
      <c r="N1800" s="4"/>
      <c r="O1800" s="1">
        <f t="shared" ref="O1800:O1863" si="621">E1799+O1799</f>
        <v>173.1</v>
      </c>
      <c r="P1800" s="1">
        <f t="shared" ref="P1800:P1863" si="622">F1800*52.8*E1800</f>
        <v>0</v>
      </c>
      <c r="Q1800" s="1" t="str">
        <f t="shared" si="619"/>
        <v/>
      </c>
      <c r="R1800" s="1" t="str">
        <f t="shared" ref="R1800:R1863" si="623">IF(I1800="",Q1800,IF(AND(H1800=H1799,I1800=I1799),"",I1800))</f>
        <v/>
      </c>
      <c r="S1800" s="1">
        <f t="shared" ref="S1800:S1863" si="624">S1799+U1799*T1799/100</f>
        <v>630.90240000000244</v>
      </c>
      <c r="T1800" s="1">
        <f t="shared" ref="T1800:T1863" si="625">IF(G1800="UNK",0,G1800)</f>
        <v>0</v>
      </c>
      <c r="U1800" s="1">
        <f t="shared" ref="U1800:U1863" si="626">E1800*5280</f>
        <v>0</v>
      </c>
      <c r="V1800" s="1">
        <f t="shared" ref="V1800:V1863" si="627">ABS(T1800*U1800)</f>
        <v>0</v>
      </c>
    </row>
    <row r="1801" spans="5:22" x14ac:dyDescent="0.25">
      <c r="E1801" s="4"/>
      <c r="M1801" s="4">
        <f t="shared" si="620"/>
        <v>173.1</v>
      </c>
      <c r="N1801" s="4"/>
      <c r="O1801" s="1">
        <f t="shared" si="621"/>
        <v>173.1</v>
      </c>
      <c r="P1801" s="1">
        <f t="shared" si="622"/>
        <v>0</v>
      </c>
      <c r="Q1801" s="1" t="str">
        <f t="shared" si="619"/>
        <v/>
      </c>
      <c r="R1801" s="1" t="str">
        <f t="shared" si="623"/>
        <v/>
      </c>
      <c r="S1801" s="1">
        <f t="shared" si="624"/>
        <v>630.90240000000244</v>
      </c>
      <c r="T1801" s="1">
        <f t="shared" si="625"/>
        <v>0</v>
      </c>
      <c r="U1801" s="1">
        <f t="shared" si="626"/>
        <v>0</v>
      </c>
      <c r="V1801" s="1">
        <f t="shared" si="627"/>
        <v>0</v>
      </c>
    </row>
    <row r="1802" spans="5:22" x14ac:dyDescent="0.25">
      <c r="E1802" s="4"/>
      <c r="M1802" s="4">
        <f t="shared" si="620"/>
        <v>173.1</v>
      </c>
      <c r="N1802" s="4"/>
      <c r="O1802" s="1">
        <f t="shared" si="621"/>
        <v>173.1</v>
      </c>
      <c r="P1802" s="1">
        <f t="shared" si="622"/>
        <v>0</v>
      </c>
      <c r="Q1802" s="1" t="str">
        <f t="shared" si="619"/>
        <v/>
      </c>
      <c r="R1802" s="1" t="str">
        <f t="shared" si="623"/>
        <v/>
      </c>
      <c r="S1802" s="1">
        <f t="shared" si="624"/>
        <v>630.90240000000244</v>
      </c>
      <c r="T1802" s="1">
        <f t="shared" si="625"/>
        <v>0</v>
      </c>
      <c r="U1802" s="1">
        <f t="shared" si="626"/>
        <v>0</v>
      </c>
      <c r="V1802" s="1">
        <f t="shared" si="627"/>
        <v>0</v>
      </c>
    </row>
    <row r="1803" spans="5:22" x14ac:dyDescent="0.25">
      <c r="E1803" s="4"/>
      <c r="M1803" s="4">
        <f t="shared" si="620"/>
        <v>173.1</v>
      </c>
      <c r="N1803" s="4"/>
      <c r="O1803" s="1">
        <f t="shared" si="621"/>
        <v>173.1</v>
      </c>
      <c r="P1803" s="1">
        <f t="shared" si="622"/>
        <v>0</v>
      </c>
      <c r="Q1803" s="1" t="str">
        <f t="shared" si="619"/>
        <v/>
      </c>
      <c r="R1803" s="1" t="str">
        <f t="shared" si="623"/>
        <v/>
      </c>
      <c r="S1803" s="1">
        <f t="shared" si="624"/>
        <v>630.90240000000244</v>
      </c>
      <c r="T1803" s="1">
        <f t="shared" si="625"/>
        <v>0</v>
      </c>
      <c r="U1803" s="1">
        <f t="shared" si="626"/>
        <v>0</v>
      </c>
      <c r="V1803" s="1">
        <f t="shared" si="627"/>
        <v>0</v>
      </c>
    </row>
    <row r="1804" spans="5:22" x14ac:dyDescent="0.25">
      <c r="E1804" s="4"/>
      <c r="M1804" s="4">
        <f t="shared" si="620"/>
        <v>173.1</v>
      </c>
      <c r="N1804" s="4"/>
      <c r="O1804" s="1">
        <f t="shared" si="621"/>
        <v>173.1</v>
      </c>
      <c r="P1804" s="1">
        <f t="shared" si="622"/>
        <v>0</v>
      </c>
      <c r="Q1804" s="1" t="str">
        <f t="shared" si="619"/>
        <v/>
      </c>
      <c r="R1804" s="1" t="str">
        <f t="shared" si="623"/>
        <v/>
      </c>
      <c r="S1804" s="1">
        <f t="shared" si="624"/>
        <v>630.90240000000244</v>
      </c>
      <c r="T1804" s="1">
        <f t="shared" si="625"/>
        <v>0</v>
      </c>
      <c r="U1804" s="1">
        <f t="shared" si="626"/>
        <v>0</v>
      </c>
      <c r="V1804" s="1">
        <f t="shared" si="627"/>
        <v>0</v>
      </c>
    </row>
    <row r="1805" spans="5:22" x14ac:dyDescent="0.25">
      <c r="E1805" s="4"/>
      <c r="M1805" s="4">
        <f t="shared" si="620"/>
        <v>173.1</v>
      </c>
      <c r="N1805" s="4"/>
      <c r="O1805" s="1">
        <f t="shared" si="621"/>
        <v>173.1</v>
      </c>
      <c r="P1805" s="1">
        <f t="shared" si="622"/>
        <v>0</v>
      </c>
      <c r="Q1805" s="1" t="str">
        <f t="shared" si="619"/>
        <v/>
      </c>
      <c r="R1805" s="1" t="str">
        <f t="shared" si="623"/>
        <v/>
      </c>
      <c r="S1805" s="1">
        <f t="shared" si="624"/>
        <v>630.90240000000244</v>
      </c>
      <c r="T1805" s="1">
        <f t="shared" si="625"/>
        <v>0</v>
      </c>
      <c r="U1805" s="1">
        <f t="shared" si="626"/>
        <v>0</v>
      </c>
      <c r="V1805" s="1">
        <f t="shared" si="627"/>
        <v>0</v>
      </c>
    </row>
    <row r="1806" spans="5:22" x14ac:dyDescent="0.25">
      <c r="E1806" s="4"/>
      <c r="M1806" s="4">
        <f t="shared" si="620"/>
        <v>173.1</v>
      </c>
      <c r="N1806" s="4"/>
      <c r="O1806" s="1">
        <f t="shared" si="621"/>
        <v>173.1</v>
      </c>
      <c r="P1806" s="1">
        <f t="shared" si="622"/>
        <v>0</v>
      </c>
      <c r="Q1806" s="1" t="str">
        <f t="shared" si="619"/>
        <v/>
      </c>
      <c r="R1806" s="1" t="str">
        <f t="shared" si="623"/>
        <v/>
      </c>
      <c r="S1806" s="1">
        <f t="shared" si="624"/>
        <v>630.90240000000244</v>
      </c>
      <c r="T1806" s="1">
        <f t="shared" si="625"/>
        <v>0</v>
      </c>
      <c r="U1806" s="1">
        <f t="shared" si="626"/>
        <v>0</v>
      </c>
      <c r="V1806" s="1">
        <f t="shared" si="627"/>
        <v>0</v>
      </c>
    </row>
    <row r="1807" spans="5:22" x14ac:dyDescent="0.25">
      <c r="E1807" s="4"/>
      <c r="M1807" s="4">
        <f t="shared" si="620"/>
        <v>173.1</v>
      </c>
      <c r="N1807" s="4"/>
      <c r="O1807" s="1">
        <f t="shared" si="621"/>
        <v>173.1</v>
      </c>
      <c r="P1807" s="1">
        <f t="shared" si="622"/>
        <v>0</v>
      </c>
      <c r="Q1807" s="1" t="str">
        <f t="shared" si="619"/>
        <v/>
      </c>
      <c r="R1807" s="1" t="str">
        <f t="shared" si="623"/>
        <v/>
      </c>
      <c r="S1807" s="1">
        <f t="shared" si="624"/>
        <v>630.90240000000244</v>
      </c>
      <c r="T1807" s="1">
        <f t="shared" si="625"/>
        <v>0</v>
      </c>
      <c r="U1807" s="1">
        <f t="shared" si="626"/>
        <v>0</v>
      </c>
      <c r="V1807" s="1">
        <f t="shared" si="627"/>
        <v>0</v>
      </c>
    </row>
    <row r="1808" spans="5:22" x14ac:dyDescent="0.25">
      <c r="E1808" s="4"/>
      <c r="M1808" s="4">
        <f t="shared" si="620"/>
        <v>173.1</v>
      </c>
      <c r="N1808" s="4"/>
      <c r="O1808" s="1">
        <f t="shared" si="621"/>
        <v>173.1</v>
      </c>
      <c r="P1808" s="1">
        <f t="shared" si="622"/>
        <v>0</v>
      </c>
      <c r="Q1808" s="1" t="str">
        <f t="shared" si="619"/>
        <v/>
      </c>
      <c r="R1808" s="1" t="str">
        <f t="shared" si="623"/>
        <v/>
      </c>
      <c r="S1808" s="1">
        <f t="shared" si="624"/>
        <v>630.90240000000244</v>
      </c>
      <c r="T1808" s="1">
        <f t="shared" si="625"/>
        <v>0</v>
      </c>
      <c r="U1808" s="1">
        <f t="shared" si="626"/>
        <v>0</v>
      </c>
      <c r="V1808" s="1">
        <f t="shared" si="627"/>
        <v>0</v>
      </c>
    </row>
    <row r="1809" spans="5:22" x14ac:dyDescent="0.25">
      <c r="E1809" s="4"/>
      <c r="M1809" s="4">
        <f t="shared" si="620"/>
        <v>173.1</v>
      </c>
      <c r="N1809" s="4"/>
      <c r="O1809" s="1">
        <f t="shared" si="621"/>
        <v>173.1</v>
      </c>
      <c r="P1809" s="1">
        <f t="shared" si="622"/>
        <v>0</v>
      </c>
      <c r="Q1809" s="1" t="str">
        <f t="shared" si="619"/>
        <v/>
      </c>
      <c r="R1809" s="1" t="str">
        <f t="shared" si="623"/>
        <v/>
      </c>
      <c r="S1809" s="1">
        <f t="shared" si="624"/>
        <v>630.90240000000244</v>
      </c>
      <c r="T1809" s="1">
        <f t="shared" si="625"/>
        <v>0</v>
      </c>
      <c r="U1809" s="1">
        <f t="shared" si="626"/>
        <v>0</v>
      </c>
      <c r="V1809" s="1">
        <f t="shared" si="627"/>
        <v>0</v>
      </c>
    </row>
    <row r="1810" spans="5:22" x14ac:dyDescent="0.25">
      <c r="E1810" s="4"/>
      <c r="M1810" s="4">
        <f t="shared" si="620"/>
        <v>173.1</v>
      </c>
      <c r="N1810" s="4"/>
      <c r="O1810" s="1">
        <f t="shared" si="621"/>
        <v>173.1</v>
      </c>
      <c r="P1810" s="1">
        <f t="shared" si="622"/>
        <v>0</v>
      </c>
      <c r="Q1810" s="1" t="str">
        <f t="shared" si="619"/>
        <v/>
      </c>
      <c r="R1810" s="1" t="str">
        <f t="shared" si="623"/>
        <v/>
      </c>
      <c r="S1810" s="1">
        <f t="shared" si="624"/>
        <v>630.90240000000244</v>
      </c>
      <c r="T1810" s="1">
        <f t="shared" si="625"/>
        <v>0</v>
      </c>
      <c r="U1810" s="1">
        <f t="shared" si="626"/>
        <v>0</v>
      </c>
      <c r="V1810" s="1">
        <f t="shared" si="627"/>
        <v>0</v>
      </c>
    </row>
    <row r="1811" spans="5:22" x14ac:dyDescent="0.25">
      <c r="E1811" s="4"/>
      <c r="M1811" s="4">
        <f t="shared" si="620"/>
        <v>173.1</v>
      </c>
      <c r="N1811" s="4"/>
      <c r="O1811" s="1">
        <f t="shared" si="621"/>
        <v>173.1</v>
      </c>
      <c r="P1811" s="1">
        <f t="shared" si="622"/>
        <v>0</v>
      </c>
      <c r="Q1811" s="1" t="str">
        <f t="shared" si="619"/>
        <v/>
      </c>
      <c r="R1811" s="1" t="str">
        <f t="shared" si="623"/>
        <v/>
      </c>
      <c r="S1811" s="1">
        <f t="shared" si="624"/>
        <v>630.90240000000244</v>
      </c>
      <c r="T1811" s="1">
        <f t="shared" si="625"/>
        <v>0</v>
      </c>
      <c r="U1811" s="1">
        <f t="shared" si="626"/>
        <v>0</v>
      </c>
      <c r="V1811" s="1">
        <f t="shared" si="627"/>
        <v>0</v>
      </c>
    </row>
    <row r="1812" spans="5:22" x14ac:dyDescent="0.25">
      <c r="E1812" s="4"/>
      <c r="M1812" s="4">
        <f t="shared" si="620"/>
        <v>173.1</v>
      </c>
      <c r="N1812" s="4"/>
      <c r="O1812" s="1">
        <f t="shared" si="621"/>
        <v>173.1</v>
      </c>
      <c r="P1812" s="1">
        <f t="shared" si="622"/>
        <v>0</v>
      </c>
      <c r="Q1812" s="1" t="str">
        <f t="shared" si="619"/>
        <v/>
      </c>
      <c r="R1812" s="1" t="str">
        <f t="shared" si="623"/>
        <v/>
      </c>
      <c r="S1812" s="1">
        <f t="shared" si="624"/>
        <v>630.90240000000244</v>
      </c>
      <c r="T1812" s="1">
        <f t="shared" si="625"/>
        <v>0</v>
      </c>
      <c r="U1812" s="1">
        <f t="shared" si="626"/>
        <v>0</v>
      </c>
      <c r="V1812" s="1">
        <f t="shared" si="627"/>
        <v>0</v>
      </c>
    </row>
    <row r="1813" spans="5:22" x14ac:dyDescent="0.25">
      <c r="E1813" s="4"/>
      <c r="M1813" s="4">
        <f t="shared" si="620"/>
        <v>173.1</v>
      </c>
      <c r="N1813" s="4"/>
      <c r="O1813" s="1">
        <f t="shared" si="621"/>
        <v>173.1</v>
      </c>
      <c r="P1813" s="1">
        <f t="shared" si="622"/>
        <v>0</v>
      </c>
      <c r="Q1813" s="1" t="str">
        <f t="shared" si="619"/>
        <v/>
      </c>
      <c r="R1813" s="1" t="str">
        <f t="shared" si="623"/>
        <v/>
      </c>
      <c r="S1813" s="1">
        <f t="shared" si="624"/>
        <v>630.90240000000244</v>
      </c>
      <c r="T1813" s="1">
        <f t="shared" si="625"/>
        <v>0</v>
      </c>
      <c r="U1813" s="1">
        <f t="shared" si="626"/>
        <v>0</v>
      </c>
      <c r="V1813" s="1">
        <f t="shared" si="627"/>
        <v>0</v>
      </c>
    </row>
    <row r="1814" spans="5:22" x14ac:dyDescent="0.25">
      <c r="E1814" s="4"/>
      <c r="M1814" s="4">
        <f t="shared" si="620"/>
        <v>173.1</v>
      </c>
      <c r="N1814" s="4"/>
      <c r="O1814" s="1">
        <f t="shared" si="621"/>
        <v>173.1</v>
      </c>
      <c r="P1814" s="1">
        <f t="shared" si="622"/>
        <v>0</v>
      </c>
      <c r="Q1814" s="1" t="str">
        <f t="shared" si="619"/>
        <v/>
      </c>
      <c r="R1814" s="1" t="str">
        <f t="shared" si="623"/>
        <v/>
      </c>
      <c r="S1814" s="1">
        <f t="shared" si="624"/>
        <v>630.90240000000244</v>
      </c>
      <c r="T1814" s="1">
        <f t="shared" si="625"/>
        <v>0</v>
      </c>
      <c r="U1814" s="1">
        <f t="shared" si="626"/>
        <v>0</v>
      </c>
      <c r="V1814" s="1">
        <f t="shared" si="627"/>
        <v>0</v>
      </c>
    </row>
    <row r="1815" spans="5:22" x14ac:dyDescent="0.25">
      <c r="E1815" s="4"/>
      <c r="M1815" s="4">
        <f t="shared" si="620"/>
        <v>173.1</v>
      </c>
      <c r="N1815" s="4"/>
      <c r="O1815" s="1">
        <f t="shared" si="621"/>
        <v>173.1</v>
      </c>
      <c r="P1815" s="1">
        <f t="shared" si="622"/>
        <v>0</v>
      </c>
      <c r="Q1815" s="1" t="str">
        <f t="shared" si="619"/>
        <v/>
      </c>
      <c r="R1815" s="1" t="str">
        <f t="shared" si="623"/>
        <v/>
      </c>
      <c r="S1815" s="1">
        <f t="shared" si="624"/>
        <v>630.90240000000244</v>
      </c>
      <c r="T1815" s="1">
        <f t="shared" si="625"/>
        <v>0</v>
      </c>
      <c r="U1815" s="1">
        <f t="shared" si="626"/>
        <v>0</v>
      </c>
      <c r="V1815" s="1">
        <f t="shared" si="627"/>
        <v>0</v>
      </c>
    </row>
    <row r="1816" spans="5:22" x14ac:dyDescent="0.25">
      <c r="E1816" s="4"/>
      <c r="M1816" s="4">
        <f t="shared" si="620"/>
        <v>173.1</v>
      </c>
      <c r="N1816" s="4"/>
      <c r="O1816" s="1">
        <f t="shared" si="621"/>
        <v>173.1</v>
      </c>
      <c r="P1816" s="1">
        <f t="shared" si="622"/>
        <v>0</v>
      </c>
      <c r="Q1816" s="1" t="str">
        <f t="shared" si="619"/>
        <v/>
      </c>
      <c r="R1816" s="1" t="str">
        <f t="shared" si="623"/>
        <v/>
      </c>
      <c r="S1816" s="1">
        <f t="shared" si="624"/>
        <v>630.90240000000244</v>
      </c>
      <c r="T1816" s="1">
        <f t="shared" si="625"/>
        <v>0</v>
      </c>
      <c r="U1816" s="1">
        <f t="shared" si="626"/>
        <v>0</v>
      </c>
      <c r="V1816" s="1">
        <f t="shared" si="627"/>
        <v>0</v>
      </c>
    </row>
    <row r="1817" spans="5:22" x14ac:dyDescent="0.25">
      <c r="E1817" s="4"/>
      <c r="M1817" s="4">
        <f t="shared" si="620"/>
        <v>173.1</v>
      </c>
      <c r="N1817" s="4"/>
      <c r="O1817" s="1">
        <f t="shared" si="621"/>
        <v>173.1</v>
      </c>
      <c r="P1817" s="1">
        <f t="shared" si="622"/>
        <v>0</v>
      </c>
      <c r="Q1817" s="1" t="str">
        <f t="shared" si="619"/>
        <v/>
      </c>
      <c r="R1817" s="1" t="str">
        <f t="shared" si="623"/>
        <v/>
      </c>
      <c r="S1817" s="1">
        <f t="shared" si="624"/>
        <v>630.90240000000244</v>
      </c>
      <c r="T1817" s="1">
        <f t="shared" si="625"/>
        <v>0</v>
      </c>
      <c r="U1817" s="1">
        <f t="shared" si="626"/>
        <v>0</v>
      </c>
      <c r="V1817" s="1">
        <f t="shared" si="627"/>
        <v>0</v>
      </c>
    </row>
    <row r="1818" spans="5:22" x14ac:dyDescent="0.25">
      <c r="E1818" s="4"/>
      <c r="M1818" s="4">
        <f t="shared" si="620"/>
        <v>173.1</v>
      </c>
      <c r="N1818" s="4"/>
      <c r="O1818" s="1">
        <f t="shared" si="621"/>
        <v>173.1</v>
      </c>
      <c r="P1818" s="1">
        <f t="shared" si="622"/>
        <v>0</v>
      </c>
      <c r="Q1818" s="1" t="str">
        <f t="shared" si="619"/>
        <v/>
      </c>
      <c r="R1818" s="1" t="str">
        <f t="shared" si="623"/>
        <v/>
      </c>
      <c r="S1818" s="1">
        <f t="shared" si="624"/>
        <v>630.90240000000244</v>
      </c>
      <c r="T1818" s="1">
        <f t="shared" si="625"/>
        <v>0</v>
      </c>
      <c r="U1818" s="1">
        <f t="shared" si="626"/>
        <v>0</v>
      </c>
      <c r="V1818" s="1">
        <f t="shared" si="627"/>
        <v>0</v>
      </c>
    </row>
    <row r="1819" spans="5:22" x14ac:dyDescent="0.25">
      <c r="E1819" s="4"/>
      <c r="M1819" s="4">
        <f t="shared" si="620"/>
        <v>173.1</v>
      </c>
      <c r="N1819" s="4"/>
      <c r="O1819" s="1">
        <f t="shared" si="621"/>
        <v>173.1</v>
      </c>
      <c r="P1819" s="1">
        <f t="shared" si="622"/>
        <v>0</v>
      </c>
      <c r="Q1819" s="1" t="str">
        <f t="shared" si="619"/>
        <v/>
      </c>
      <c r="R1819" s="1" t="str">
        <f t="shared" si="623"/>
        <v/>
      </c>
      <c r="S1819" s="1">
        <f t="shared" si="624"/>
        <v>630.90240000000244</v>
      </c>
      <c r="T1819" s="1">
        <f t="shared" si="625"/>
        <v>0</v>
      </c>
      <c r="U1819" s="1">
        <f t="shared" si="626"/>
        <v>0</v>
      </c>
      <c r="V1819" s="1">
        <f t="shared" si="627"/>
        <v>0</v>
      </c>
    </row>
    <row r="1820" spans="5:22" x14ac:dyDescent="0.25">
      <c r="E1820" s="4"/>
      <c r="M1820" s="4">
        <f t="shared" si="620"/>
        <v>173.1</v>
      </c>
      <c r="N1820" s="4"/>
      <c r="O1820" s="1">
        <f t="shared" si="621"/>
        <v>173.1</v>
      </c>
      <c r="P1820" s="1">
        <f t="shared" si="622"/>
        <v>0</v>
      </c>
      <c r="Q1820" s="1" t="str">
        <f t="shared" si="619"/>
        <v/>
      </c>
      <c r="R1820" s="1" t="str">
        <f t="shared" si="623"/>
        <v/>
      </c>
      <c r="S1820" s="1">
        <f t="shared" si="624"/>
        <v>630.90240000000244</v>
      </c>
      <c r="T1820" s="1">
        <f t="shared" si="625"/>
        <v>0</v>
      </c>
      <c r="U1820" s="1">
        <f t="shared" si="626"/>
        <v>0</v>
      </c>
      <c r="V1820" s="1">
        <f t="shared" si="627"/>
        <v>0</v>
      </c>
    </row>
    <row r="1821" spans="5:22" x14ac:dyDescent="0.25">
      <c r="E1821" s="4"/>
      <c r="M1821" s="4">
        <f t="shared" si="620"/>
        <v>173.1</v>
      </c>
      <c r="N1821" s="4"/>
      <c r="O1821" s="1">
        <f t="shared" si="621"/>
        <v>173.1</v>
      </c>
      <c r="P1821" s="1">
        <f t="shared" si="622"/>
        <v>0</v>
      </c>
      <c r="Q1821" s="1" t="str">
        <f t="shared" si="619"/>
        <v/>
      </c>
      <c r="R1821" s="1" t="str">
        <f t="shared" si="623"/>
        <v/>
      </c>
      <c r="S1821" s="1">
        <f t="shared" si="624"/>
        <v>630.90240000000244</v>
      </c>
      <c r="T1821" s="1">
        <f t="shared" si="625"/>
        <v>0</v>
      </c>
      <c r="U1821" s="1">
        <f t="shared" si="626"/>
        <v>0</v>
      </c>
      <c r="V1821" s="1">
        <f t="shared" si="627"/>
        <v>0</v>
      </c>
    </row>
    <row r="1822" spans="5:22" x14ac:dyDescent="0.25">
      <c r="E1822" s="4"/>
      <c r="M1822" s="4">
        <f t="shared" si="620"/>
        <v>173.1</v>
      </c>
      <c r="N1822" s="4"/>
      <c r="O1822" s="1">
        <f t="shared" si="621"/>
        <v>173.1</v>
      </c>
      <c r="P1822" s="1">
        <f t="shared" si="622"/>
        <v>0</v>
      </c>
      <c r="Q1822" s="1" t="str">
        <f t="shared" si="619"/>
        <v/>
      </c>
      <c r="R1822" s="1" t="str">
        <f t="shared" si="623"/>
        <v/>
      </c>
      <c r="S1822" s="1">
        <f t="shared" si="624"/>
        <v>630.90240000000244</v>
      </c>
      <c r="T1822" s="1">
        <f t="shared" si="625"/>
        <v>0</v>
      </c>
      <c r="U1822" s="1">
        <f t="shared" si="626"/>
        <v>0</v>
      </c>
      <c r="V1822" s="1">
        <f t="shared" si="627"/>
        <v>0</v>
      </c>
    </row>
    <row r="1823" spans="5:22" x14ac:dyDescent="0.25">
      <c r="E1823" s="4"/>
      <c r="M1823" s="4">
        <f t="shared" si="620"/>
        <v>173.1</v>
      </c>
      <c r="N1823" s="4"/>
      <c r="O1823" s="1">
        <f t="shared" si="621"/>
        <v>173.1</v>
      </c>
      <c r="P1823" s="1">
        <f t="shared" si="622"/>
        <v>0</v>
      </c>
      <c r="Q1823" s="1" t="str">
        <f t="shared" si="619"/>
        <v/>
      </c>
      <c r="R1823" s="1" t="str">
        <f t="shared" si="623"/>
        <v/>
      </c>
      <c r="S1823" s="1">
        <f t="shared" si="624"/>
        <v>630.90240000000244</v>
      </c>
      <c r="T1823" s="1">
        <f t="shared" si="625"/>
        <v>0</v>
      </c>
      <c r="U1823" s="1">
        <f t="shared" si="626"/>
        <v>0</v>
      </c>
      <c r="V1823" s="1">
        <f t="shared" si="627"/>
        <v>0</v>
      </c>
    </row>
    <row r="1824" spans="5:22" x14ac:dyDescent="0.25">
      <c r="E1824" s="4"/>
      <c r="M1824" s="4">
        <f t="shared" si="620"/>
        <v>173.1</v>
      </c>
      <c r="N1824" s="4"/>
      <c r="O1824" s="1">
        <f t="shared" si="621"/>
        <v>173.1</v>
      </c>
      <c r="P1824" s="1">
        <f t="shared" si="622"/>
        <v>0</v>
      </c>
      <c r="Q1824" s="1" t="str">
        <f t="shared" si="619"/>
        <v/>
      </c>
      <c r="R1824" s="1" t="str">
        <f t="shared" si="623"/>
        <v/>
      </c>
      <c r="S1824" s="1">
        <f t="shared" si="624"/>
        <v>630.90240000000244</v>
      </c>
      <c r="T1824" s="1">
        <f t="shared" si="625"/>
        <v>0</v>
      </c>
      <c r="U1824" s="1">
        <f t="shared" si="626"/>
        <v>0</v>
      </c>
      <c r="V1824" s="1">
        <f t="shared" si="627"/>
        <v>0</v>
      </c>
    </row>
    <row r="1825" spans="5:22" x14ac:dyDescent="0.25">
      <c r="E1825" s="4"/>
      <c r="M1825" s="4">
        <f t="shared" si="620"/>
        <v>173.1</v>
      </c>
      <c r="N1825" s="4"/>
      <c r="O1825" s="1">
        <f t="shared" si="621"/>
        <v>173.1</v>
      </c>
      <c r="P1825" s="1">
        <f t="shared" si="622"/>
        <v>0</v>
      </c>
      <c r="Q1825" s="1" t="str">
        <f t="shared" si="619"/>
        <v/>
      </c>
      <c r="R1825" s="1" t="str">
        <f t="shared" si="623"/>
        <v/>
      </c>
      <c r="S1825" s="1">
        <f t="shared" si="624"/>
        <v>630.90240000000244</v>
      </c>
      <c r="T1825" s="1">
        <f t="shared" si="625"/>
        <v>0</v>
      </c>
      <c r="U1825" s="1">
        <f t="shared" si="626"/>
        <v>0</v>
      </c>
      <c r="V1825" s="1">
        <f t="shared" si="627"/>
        <v>0</v>
      </c>
    </row>
    <row r="1826" spans="5:22" x14ac:dyDescent="0.25">
      <c r="E1826" s="4"/>
      <c r="M1826" s="4">
        <f t="shared" si="620"/>
        <v>173.1</v>
      </c>
      <c r="N1826" s="4"/>
      <c r="O1826" s="1">
        <f t="shared" si="621"/>
        <v>173.1</v>
      </c>
      <c r="P1826" s="1">
        <f t="shared" si="622"/>
        <v>0</v>
      </c>
      <c r="Q1826" s="1" t="str">
        <f t="shared" si="619"/>
        <v/>
      </c>
      <c r="R1826" s="1" t="str">
        <f t="shared" si="623"/>
        <v/>
      </c>
      <c r="S1826" s="1">
        <f t="shared" si="624"/>
        <v>630.90240000000244</v>
      </c>
      <c r="T1826" s="1">
        <f t="shared" si="625"/>
        <v>0</v>
      </c>
      <c r="U1826" s="1">
        <f t="shared" si="626"/>
        <v>0</v>
      </c>
      <c r="V1826" s="1">
        <f t="shared" si="627"/>
        <v>0</v>
      </c>
    </row>
    <row r="1827" spans="5:22" x14ac:dyDescent="0.25">
      <c r="E1827" s="4"/>
      <c r="M1827" s="4">
        <f t="shared" si="620"/>
        <v>173.1</v>
      </c>
      <c r="N1827" s="4"/>
      <c r="O1827" s="1">
        <f t="shared" si="621"/>
        <v>173.1</v>
      </c>
      <c r="P1827" s="1">
        <f t="shared" si="622"/>
        <v>0</v>
      </c>
      <c r="Q1827" s="1" t="str">
        <f t="shared" si="619"/>
        <v/>
      </c>
      <c r="R1827" s="1" t="str">
        <f t="shared" si="623"/>
        <v/>
      </c>
      <c r="S1827" s="1">
        <f t="shared" si="624"/>
        <v>630.90240000000244</v>
      </c>
      <c r="T1827" s="1">
        <f t="shared" si="625"/>
        <v>0</v>
      </c>
      <c r="U1827" s="1">
        <f t="shared" si="626"/>
        <v>0</v>
      </c>
      <c r="V1827" s="1">
        <f t="shared" si="627"/>
        <v>0</v>
      </c>
    </row>
    <row r="1828" spans="5:22" x14ac:dyDescent="0.25">
      <c r="E1828" s="4"/>
      <c r="M1828" s="4">
        <f t="shared" si="620"/>
        <v>173.1</v>
      </c>
      <c r="N1828" s="4"/>
      <c r="O1828" s="1">
        <f t="shared" si="621"/>
        <v>173.1</v>
      </c>
      <c r="P1828" s="1">
        <f t="shared" si="622"/>
        <v>0</v>
      </c>
      <c r="Q1828" s="1" t="str">
        <f t="shared" si="619"/>
        <v/>
      </c>
      <c r="R1828" s="1" t="str">
        <f t="shared" si="623"/>
        <v/>
      </c>
      <c r="S1828" s="1">
        <f t="shared" si="624"/>
        <v>630.90240000000244</v>
      </c>
      <c r="T1828" s="1">
        <f t="shared" si="625"/>
        <v>0</v>
      </c>
      <c r="U1828" s="1">
        <f t="shared" si="626"/>
        <v>0</v>
      </c>
      <c r="V1828" s="1">
        <f t="shared" si="627"/>
        <v>0</v>
      </c>
    </row>
    <row r="1829" spans="5:22" x14ac:dyDescent="0.25">
      <c r="E1829" s="4"/>
      <c r="M1829" s="4">
        <f t="shared" si="620"/>
        <v>173.1</v>
      </c>
      <c r="N1829" s="4"/>
      <c r="O1829" s="1">
        <f t="shared" si="621"/>
        <v>173.1</v>
      </c>
      <c r="P1829" s="1">
        <f t="shared" si="622"/>
        <v>0</v>
      </c>
      <c r="Q1829" s="1" t="str">
        <f t="shared" si="619"/>
        <v/>
      </c>
      <c r="R1829" s="1" t="str">
        <f t="shared" si="623"/>
        <v/>
      </c>
      <c r="S1829" s="1">
        <f t="shared" si="624"/>
        <v>630.90240000000244</v>
      </c>
      <c r="T1829" s="1">
        <f t="shared" si="625"/>
        <v>0</v>
      </c>
      <c r="U1829" s="1">
        <f t="shared" si="626"/>
        <v>0</v>
      </c>
      <c r="V1829" s="1">
        <f t="shared" si="627"/>
        <v>0</v>
      </c>
    </row>
    <row r="1830" spans="5:22" x14ac:dyDescent="0.25">
      <c r="E1830" s="4"/>
      <c r="M1830" s="4">
        <f t="shared" si="620"/>
        <v>173.1</v>
      </c>
      <c r="N1830" s="4"/>
      <c r="O1830" s="1">
        <f t="shared" si="621"/>
        <v>173.1</v>
      </c>
      <c r="P1830" s="1">
        <f t="shared" si="622"/>
        <v>0</v>
      </c>
      <c r="Q1830" s="1" t="str">
        <f t="shared" si="619"/>
        <v/>
      </c>
      <c r="R1830" s="1" t="str">
        <f t="shared" si="623"/>
        <v/>
      </c>
      <c r="S1830" s="1">
        <f t="shared" si="624"/>
        <v>630.90240000000244</v>
      </c>
      <c r="T1830" s="1">
        <f t="shared" si="625"/>
        <v>0</v>
      </c>
      <c r="U1830" s="1">
        <f t="shared" si="626"/>
        <v>0</v>
      </c>
      <c r="V1830" s="1">
        <f t="shared" si="627"/>
        <v>0</v>
      </c>
    </row>
    <row r="1831" spans="5:22" x14ac:dyDescent="0.25">
      <c r="E1831" s="4"/>
      <c r="M1831" s="4">
        <f t="shared" si="620"/>
        <v>173.1</v>
      </c>
      <c r="N1831" s="4"/>
      <c r="O1831" s="1">
        <f t="shared" si="621"/>
        <v>173.1</v>
      </c>
      <c r="P1831" s="1">
        <f t="shared" si="622"/>
        <v>0</v>
      </c>
      <c r="Q1831" s="1" t="str">
        <f t="shared" si="619"/>
        <v/>
      </c>
      <c r="R1831" s="1" t="str">
        <f t="shared" si="623"/>
        <v/>
      </c>
      <c r="S1831" s="1">
        <f t="shared" si="624"/>
        <v>630.90240000000244</v>
      </c>
      <c r="T1831" s="1">
        <f t="shared" si="625"/>
        <v>0</v>
      </c>
      <c r="U1831" s="1">
        <f t="shared" si="626"/>
        <v>0</v>
      </c>
      <c r="V1831" s="1">
        <f t="shared" si="627"/>
        <v>0</v>
      </c>
    </row>
    <row r="1832" spans="5:22" x14ac:dyDescent="0.25">
      <c r="E1832" s="4"/>
      <c r="M1832" s="4">
        <f t="shared" si="620"/>
        <v>173.1</v>
      </c>
      <c r="N1832" s="4"/>
      <c r="O1832" s="1">
        <f t="shared" si="621"/>
        <v>173.1</v>
      </c>
      <c r="P1832" s="1">
        <f t="shared" si="622"/>
        <v>0</v>
      </c>
      <c r="Q1832" s="1" t="str">
        <f t="shared" si="619"/>
        <v/>
      </c>
      <c r="R1832" s="1" t="str">
        <f t="shared" si="623"/>
        <v/>
      </c>
      <c r="S1832" s="1">
        <f t="shared" si="624"/>
        <v>630.90240000000244</v>
      </c>
      <c r="T1832" s="1">
        <f t="shared" si="625"/>
        <v>0</v>
      </c>
      <c r="U1832" s="1">
        <f t="shared" si="626"/>
        <v>0</v>
      </c>
      <c r="V1832" s="1">
        <f t="shared" si="627"/>
        <v>0</v>
      </c>
    </row>
    <row r="1833" spans="5:22" x14ac:dyDescent="0.25">
      <c r="E1833" s="4"/>
      <c r="M1833" s="4">
        <f t="shared" si="620"/>
        <v>173.1</v>
      </c>
      <c r="N1833" s="4"/>
      <c r="O1833" s="1">
        <f t="shared" si="621"/>
        <v>173.1</v>
      </c>
      <c r="P1833" s="1">
        <f t="shared" si="622"/>
        <v>0</v>
      </c>
      <c r="Q1833" s="1" t="str">
        <f t="shared" si="619"/>
        <v/>
      </c>
      <c r="R1833" s="1" t="str">
        <f t="shared" si="623"/>
        <v/>
      </c>
      <c r="S1833" s="1">
        <f t="shared" si="624"/>
        <v>630.90240000000244</v>
      </c>
      <c r="T1833" s="1">
        <f t="shared" si="625"/>
        <v>0</v>
      </c>
      <c r="U1833" s="1">
        <f t="shared" si="626"/>
        <v>0</v>
      </c>
      <c r="V1833" s="1">
        <f t="shared" si="627"/>
        <v>0</v>
      </c>
    </row>
    <row r="1834" spans="5:22" x14ac:dyDescent="0.25">
      <c r="E1834" s="4"/>
      <c r="M1834" s="4">
        <f t="shared" si="620"/>
        <v>173.1</v>
      </c>
      <c r="N1834" s="4"/>
      <c r="O1834" s="1">
        <f t="shared" si="621"/>
        <v>173.1</v>
      </c>
      <c r="P1834" s="1">
        <f t="shared" si="622"/>
        <v>0</v>
      </c>
      <c r="Q1834" s="1" t="str">
        <f t="shared" si="619"/>
        <v/>
      </c>
      <c r="R1834" s="1" t="str">
        <f t="shared" si="623"/>
        <v/>
      </c>
      <c r="S1834" s="1">
        <f t="shared" si="624"/>
        <v>630.90240000000244</v>
      </c>
      <c r="T1834" s="1">
        <f t="shared" si="625"/>
        <v>0</v>
      </c>
      <c r="U1834" s="1">
        <f t="shared" si="626"/>
        <v>0</v>
      </c>
      <c r="V1834" s="1">
        <f t="shared" si="627"/>
        <v>0</v>
      </c>
    </row>
    <row r="1835" spans="5:22" x14ac:dyDescent="0.25">
      <c r="E1835" s="4"/>
      <c r="M1835" s="4">
        <f t="shared" si="620"/>
        <v>173.1</v>
      </c>
      <c r="N1835" s="4"/>
      <c r="O1835" s="1">
        <f t="shared" si="621"/>
        <v>173.1</v>
      </c>
      <c r="P1835" s="1">
        <f t="shared" si="622"/>
        <v>0</v>
      </c>
      <c r="Q1835" s="1" t="str">
        <f t="shared" si="619"/>
        <v/>
      </c>
      <c r="R1835" s="1" t="str">
        <f t="shared" si="623"/>
        <v/>
      </c>
      <c r="S1835" s="1">
        <f t="shared" si="624"/>
        <v>630.90240000000244</v>
      </c>
      <c r="T1835" s="1">
        <f t="shared" si="625"/>
        <v>0</v>
      </c>
      <c r="U1835" s="1">
        <f t="shared" si="626"/>
        <v>0</v>
      </c>
      <c r="V1835" s="1">
        <f t="shared" si="627"/>
        <v>0</v>
      </c>
    </row>
    <row r="1836" spans="5:22" x14ac:dyDescent="0.25">
      <c r="E1836" s="4"/>
      <c r="M1836" s="4">
        <f t="shared" si="620"/>
        <v>173.1</v>
      </c>
      <c r="N1836" s="4"/>
      <c r="O1836" s="1">
        <f t="shared" si="621"/>
        <v>173.1</v>
      </c>
      <c r="P1836" s="1">
        <f t="shared" si="622"/>
        <v>0</v>
      </c>
      <c r="Q1836" s="1" t="str">
        <f t="shared" si="619"/>
        <v/>
      </c>
      <c r="R1836" s="1" t="str">
        <f t="shared" si="623"/>
        <v/>
      </c>
      <c r="S1836" s="1">
        <f t="shared" si="624"/>
        <v>630.90240000000244</v>
      </c>
      <c r="T1836" s="1">
        <f t="shared" si="625"/>
        <v>0</v>
      </c>
      <c r="U1836" s="1">
        <f t="shared" si="626"/>
        <v>0</v>
      </c>
      <c r="V1836" s="1">
        <f t="shared" si="627"/>
        <v>0</v>
      </c>
    </row>
    <row r="1837" spans="5:22" x14ac:dyDescent="0.25">
      <c r="E1837" s="4"/>
      <c r="M1837" s="4">
        <f t="shared" si="620"/>
        <v>173.1</v>
      </c>
      <c r="N1837" s="4"/>
      <c r="O1837" s="1">
        <f t="shared" si="621"/>
        <v>173.1</v>
      </c>
      <c r="P1837" s="1">
        <f t="shared" si="622"/>
        <v>0</v>
      </c>
      <c r="Q1837" s="1" t="str">
        <f t="shared" si="619"/>
        <v/>
      </c>
      <c r="R1837" s="1" t="str">
        <f t="shared" si="623"/>
        <v/>
      </c>
      <c r="S1837" s="1">
        <f t="shared" si="624"/>
        <v>630.90240000000244</v>
      </c>
      <c r="T1837" s="1">
        <f t="shared" si="625"/>
        <v>0</v>
      </c>
      <c r="U1837" s="1">
        <f t="shared" si="626"/>
        <v>0</v>
      </c>
      <c r="V1837" s="1">
        <f t="shared" si="627"/>
        <v>0</v>
      </c>
    </row>
    <row r="1838" spans="5:22" x14ac:dyDescent="0.25">
      <c r="E1838" s="4"/>
      <c r="M1838" s="4">
        <f t="shared" si="620"/>
        <v>173.1</v>
      </c>
      <c r="N1838" s="4"/>
      <c r="O1838" s="1">
        <f t="shared" si="621"/>
        <v>173.1</v>
      </c>
      <c r="P1838" s="1">
        <f t="shared" si="622"/>
        <v>0</v>
      </c>
      <c r="Q1838" s="1" t="str">
        <f t="shared" si="619"/>
        <v/>
      </c>
      <c r="R1838" s="1" t="str">
        <f t="shared" si="623"/>
        <v/>
      </c>
      <c r="S1838" s="1">
        <f t="shared" si="624"/>
        <v>630.90240000000244</v>
      </c>
      <c r="T1838" s="1">
        <f t="shared" si="625"/>
        <v>0</v>
      </c>
      <c r="U1838" s="1">
        <f t="shared" si="626"/>
        <v>0</v>
      </c>
      <c r="V1838" s="1">
        <f t="shared" si="627"/>
        <v>0</v>
      </c>
    </row>
    <row r="1839" spans="5:22" x14ac:dyDescent="0.25">
      <c r="E1839" s="4"/>
      <c r="M1839" s="4">
        <f t="shared" si="620"/>
        <v>173.1</v>
      </c>
      <c r="N1839" s="4"/>
      <c r="O1839" s="1">
        <f t="shared" si="621"/>
        <v>173.1</v>
      </c>
      <c r="P1839" s="1">
        <f t="shared" si="622"/>
        <v>0</v>
      </c>
      <c r="Q1839" s="1" t="str">
        <f t="shared" si="619"/>
        <v/>
      </c>
      <c r="R1839" s="1" t="str">
        <f t="shared" si="623"/>
        <v/>
      </c>
      <c r="S1839" s="1">
        <f t="shared" si="624"/>
        <v>630.90240000000244</v>
      </c>
      <c r="T1839" s="1">
        <f t="shared" si="625"/>
        <v>0</v>
      </c>
      <c r="U1839" s="1">
        <f t="shared" si="626"/>
        <v>0</v>
      </c>
      <c r="V1839" s="1">
        <f t="shared" si="627"/>
        <v>0</v>
      </c>
    </row>
    <row r="1840" spans="5:22" x14ac:dyDescent="0.25">
      <c r="E1840" s="4"/>
      <c r="M1840" s="4">
        <f t="shared" si="620"/>
        <v>173.1</v>
      </c>
      <c r="N1840" s="4"/>
      <c r="O1840" s="1">
        <f t="shared" si="621"/>
        <v>173.1</v>
      </c>
      <c r="P1840" s="1">
        <f t="shared" si="622"/>
        <v>0</v>
      </c>
      <c r="Q1840" s="1" t="str">
        <f t="shared" si="619"/>
        <v/>
      </c>
      <c r="R1840" s="1" t="str">
        <f t="shared" si="623"/>
        <v/>
      </c>
      <c r="S1840" s="1">
        <f t="shared" si="624"/>
        <v>630.90240000000244</v>
      </c>
      <c r="T1840" s="1">
        <f t="shared" si="625"/>
        <v>0</v>
      </c>
      <c r="U1840" s="1">
        <f t="shared" si="626"/>
        <v>0</v>
      </c>
      <c r="V1840" s="1">
        <f t="shared" si="627"/>
        <v>0</v>
      </c>
    </row>
    <row r="1841" spans="5:22" x14ac:dyDescent="0.25">
      <c r="E1841" s="4"/>
      <c r="M1841" s="4">
        <f t="shared" si="620"/>
        <v>173.1</v>
      </c>
      <c r="N1841" s="4"/>
      <c r="O1841" s="1">
        <f t="shared" si="621"/>
        <v>173.1</v>
      </c>
      <c r="P1841" s="1">
        <f t="shared" si="622"/>
        <v>0</v>
      </c>
      <c r="Q1841" s="1" t="str">
        <f t="shared" si="619"/>
        <v/>
      </c>
      <c r="R1841" s="1" t="str">
        <f t="shared" si="623"/>
        <v/>
      </c>
      <c r="S1841" s="1">
        <f t="shared" si="624"/>
        <v>630.90240000000244</v>
      </c>
      <c r="T1841" s="1">
        <f t="shared" si="625"/>
        <v>0</v>
      </c>
      <c r="U1841" s="1">
        <f t="shared" si="626"/>
        <v>0</v>
      </c>
      <c r="V1841" s="1">
        <f t="shared" si="627"/>
        <v>0</v>
      </c>
    </row>
    <row r="1842" spans="5:22" x14ac:dyDescent="0.25">
      <c r="E1842" s="4"/>
      <c r="M1842" s="4">
        <f t="shared" si="620"/>
        <v>173.1</v>
      </c>
      <c r="N1842" s="4"/>
      <c r="O1842" s="1">
        <f t="shared" si="621"/>
        <v>173.1</v>
      </c>
      <c r="P1842" s="1">
        <f t="shared" si="622"/>
        <v>0</v>
      </c>
      <c r="Q1842" s="1" t="str">
        <f t="shared" ref="Q1842:Q1905" si="628">IF(H1842&lt;&gt;"",IF(H1842=H1841,"",H1842),IF(H1840="","",MAX(H1841,Q1841)))</f>
        <v/>
      </c>
      <c r="R1842" s="1" t="str">
        <f t="shared" si="623"/>
        <v/>
      </c>
      <c r="S1842" s="1">
        <f t="shared" si="624"/>
        <v>630.90240000000244</v>
      </c>
      <c r="T1842" s="1">
        <f t="shared" si="625"/>
        <v>0</v>
      </c>
      <c r="U1842" s="1">
        <f t="shared" si="626"/>
        <v>0</v>
      </c>
      <c r="V1842" s="1">
        <f t="shared" si="627"/>
        <v>0</v>
      </c>
    </row>
    <row r="1843" spans="5:22" x14ac:dyDescent="0.25">
      <c r="E1843" s="4"/>
      <c r="M1843" s="4">
        <f t="shared" si="620"/>
        <v>173.1</v>
      </c>
      <c r="N1843" s="4"/>
      <c r="O1843" s="1">
        <f t="shared" si="621"/>
        <v>173.1</v>
      </c>
      <c r="P1843" s="1">
        <f t="shared" si="622"/>
        <v>0</v>
      </c>
      <c r="Q1843" s="1" t="str">
        <f t="shared" si="628"/>
        <v/>
      </c>
      <c r="R1843" s="1" t="str">
        <f t="shared" si="623"/>
        <v/>
      </c>
      <c r="S1843" s="1">
        <f t="shared" si="624"/>
        <v>630.90240000000244</v>
      </c>
      <c r="T1843" s="1">
        <f t="shared" si="625"/>
        <v>0</v>
      </c>
      <c r="U1843" s="1">
        <f t="shared" si="626"/>
        <v>0</v>
      </c>
      <c r="V1843" s="1">
        <f t="shared" si="627"/>
        <v>0</v>
      </c>
    </row>
    <row r="1844" spans="5:22" x14ac:dyDescent="0.25">
      <c r="E1844" s="4"/>
      <c r="M1844" s="4">
        <f t="shared" si="620"/>
        <v>173.1</v>
      </c>
      <c r="N1844" s="4"/>
      <c r="O1844" s="1">
        <f t="shared" si="621"/>
        <v>173.1</v>
      </c>
      <c r="P1844" s="1">
        <f t="shared" si="622"/>
        <v>0</v>
      </c>
      <c r="Q1844" s="1" t="str">
        <f t="shared" si="628"/>
        <v/>
      </c>
      <c r="R1844" s="1" t="str">
        <f t="shared" si="623"/>
        <v/>
      </c>
      <c r="S1844" s="1">
        <f t="shared" si="624"/>
        <v>630.90240000000244</v>
      </c>
      <c r="T1844" s="1">
        <f t="shared" si="625"/>
        <v>0</v>
      </c>
      <c r="U1844" s="1">
        <f t="shared" si="626"/>
        <v>0</v>
      </c>
      <c r="V1844" s="1">
        <f t="shared" si="627"/>
        <v>0</v>
      </c>
    </row>
    <row r="1845" spans="5:22" x14ac:dyDescent="0.25">
      <c r="E1845" s="4"/>
      <c r="M1845" s="4">
        <f t="shared" si="620"/>
        <v>173.1</v>
      </c>
      <c r="N1845" s="4"/>
      <c r="O1845" s="1">
        <f t="shared" si="621"/>
        <v>173.1</v>
      </c>
      <c r="P1845" s="1">
        <f t="shared" si="622"/>
        <v>0</v>
      </c>
      <c r="Q1845" s="1" t="str">
        <f t="shared" si="628"/>
        <v/>
      </c>
      <c r="R1845" s="1" t="str">
        <f t="shared" si="623"/>
        <v/>
      </c>
      <c r="S1845" s="1">
        <f t="shared" si="624"/>
        <v>630.90240000000244</v>
      </c>
      <c r="T1845" s="1">
        <f t="shared" si="625"/>
        <v>0</v>
      </c>
      <c r="U1845" s="1">
        <f t="shared" si="626"/>
        <v>0</v>
      </c>
      <c r="V1845" s="1">
        <f t="shared" si="627"/>
        <v>0</v>
      </c>
    </row>
    <row r="1846" spans="5:22" x14ac:dyDescent="0.25">
      <c r="E1846" s="4"/>
      <c r="M1846" s="4">
        <f t="shared" si="620"/>
        <v>173.1</v>
      </c>
      <c r="N1846" s="4"/>
      <c r="O1846" s="1">
        <f t="shared" si="621"/>
        <v>173.1</v>
      </c>
      <c r="P1846" s="1">
        <f t="shared" si="622"/>
        <v>0</v>
      </c>
      <c r="Q1846" s="1" t="str">
        <f t="shared" si="628"/>
        <v/>
      </c>
      <c r="R1846" s="1" t="str">
        <f t="shared" si="623"/>
        <v/>
      </c>
      <c r="S1846" s="1">
        <f t="shared" si="624"/>
        <v>630.90240000000244</v>
      </c>
      <c r="T1846" s="1">
        <f t="shared" si="625"/>
        <v>0</v>
      </c>
      <c r="U1846" s="1">
        <f t="shared" si="626"/>
        <v>0</v>
      </c>
      <c r="V1846" s="1">
        <f t="shared" si="627"/>
        <v>0</v>
      </c>
    </row>
    <row r="1847" spans="5:22" x14ac:dyDescent="0.25">
      <c r="E1847" s="4"/>
      <c r="M1847" s="4">
        <f t="shared" si="620"/>
        <v>173.1</v>
      </c>
      <c r="N1847" s="4"/>
      <c r="O1847" s="1">
        <f t="shared" si="621"/>
        <v>173.1</v>
      </c>
      <c r="P1847" s="1">
        <f t="shared" si="622"/>
        <v>0</v>
      </c>
      <c r="Q1847" s="1" t="str">
        <f t="shared" si="628"/>
        <v/>
      </c>
      <c r="R1847" s="1" t="str">
        <f t="shared" si="623"/>
        <v/>
      </c>
      <c r="S1847" s="1">
        <f t="shared" si="624"/>
        <v>630.90240000000244</v>
      </c>
      <c r="T1847" s="1">
        <f t="shared" si="625"/>
        <v>0</v>
      </c>
      <c r="U1847" s="1">
        <f t="shared" si="626"/>
        <v>0</v>
      </c>
      <c r="V1847" s="1">
        <f t="shared" si="627"/>
        <v>0</v>
      </c>
    </row>
    <row r="1848" spans="5:22" x14ac:dyDescent="0.25">
      <c r="E1848" s="4"/>
      <c r="M1848" s="4">
        <f t="shared" si="620"/>
        <v>173.1</v>
      </c>
      <c r="N1848" s="4"/>
      <c r="O1848" s="1">
        <f t="shared" si="621"/>
        <v>173.1</v>
      </c>
      <c r="P1848" s="1">
        <f t="shared" si="622"/>
        <v>0</v>
      </c>
      <c r="Q1848" s="1" t="str">
        <f t="shared" si="628"/>
        <v/>
      </c>
      <c r="R1848" s="1" t="str">
        <f t="shared" si="623"/>
        <v/>
      </c>
      <c r="S1848" s="1">
        <f t="shared" si="624"/>
        <v>630.90240000000244</v>
      </c>
      <c r="T1848" s="1">
        <f t="shared" si="625"/>
        <v>0</v>
      </c>
      <c r="U1848" s="1">
        <f t="shared" si="626"/>
        <v>0</v>
      </c>
      <c r="V1848" s="1">
        <f t="shared" si="627"/>
        <v>0</v>
      </c>
    </row>
    <row r="1849" spans="5:22" x14ac:dyDescent="0.25">
      <c r="E1849" s="4"/>
      <c r="M1849" s="4">
        <f t="shared" si="620"/>
        <v>173.1</v>
      </c>
      <c r="N1849" s="4"/>
      <c r="O1849" s="1">
        <f t="shared" si="621"/>
        <v>173.1</v>
      </c>
      <c r="P1849" s="1">
        <f t="shared" si="622"/>
        <v>0</v>
      </c>
      <c r="Q1849" s="1" t="str">
        <f t="shared" si="628"/>
        <v/>
      </c>
      <c r="R1849" s="1" t="str">
        <f t="shared" si="623"/>
        <v/>
      </c>
      <c r="S1849" s="1">
        <f t="shared" si="624"/>
        <v>630.90240000000244</v>
      </c>
      <c r="T1849" s="1">
        <f t="shared" si="625"/>
        <v>0</v>
      </c>
      <c r="U1849" s="1">
        <f t="shared" si="626"/>
        <v>0</v>
      </c>
      <c r="V1849" s="1">
        <f t="shared" si="627"/>
        <v>0</v>
      </c>
    </row>
    <row r="1850" spans="5:22" x14ac:dyDescent="0.25">
      <c r="E1850" s="4"/>
      <c r="M1850" s="4">
        <f t="shared" si="620"/>
        <v>173.1</v>
      </c>
      <c r="N1850" s="4"/>
      <c r="O1850" s="1">
        <f t="shared" si="621"/>
        <v>173.1</v>
      </c>
      <c r="P1850" s="1">
        <f t="shared" si="622"/>
        <v>0</v>
      </c>
      <c r="Q1850" s="1" t="str">
        <f t="shared" si="628"/>
        <v/>
      </c>
      <c r="R1850" s="1" t="str">
        <f t="shared" si="623"/>
        <v/>
      </c>
      <c r="S1850" s="1">
        <f t="shared" si="624"/>
        <v>630.90240000000244</v>
      </c>
      <c r="T1850" s="1">
        <f t="shared" si="625"/>
        <v>0</v>
      </c>
      <c r="U1850" s="1">
        <f t="shared" si="626"/>
        <v>0</v>
      </c>
      <c r="V1850" s="1">
        <f t="shared" si="627"/>
        <v>0</v>
      </c>
    </row>
    <row r="1851" spans="5:22" x14ac:dyDescent="0.25">
      <c r="E1851" s="4"/>
      <c r="M1851" s="4">
        <f t="shared" si="620"/>
        <v>173.1</v>
      </c>
      <c r="N1851" s="4"/>
      <c r="O1851" s="1">
        <f t="shared" si="621"/>
        <v>173.1</v>
      </c>
      <c r="P1851" s="1">
        <f t="shared" si="622"/>
        <v>0</v>
      </c>
      <c r="Q1851" s="1" t="str">
        <f t="shared" si="628"/>
        <v/>
      </c>
      <c r="R1851" s="1" t="str">
        <f t="shared" si="623"/>
        <v/>
      </c>
      <c r="S1851" s="1">
        <f t="shared" si="624"/>
        <v>630.90240000000244</v>
      </c>
      <c r="T1851" s="1">
        <f t="shared" si="625"/>
        <v>0</v>
      </c>
      <c r="U1851" s="1">
        <f t="shared" si="626"/>
        <v>0</v>
      </c>
      <c r="V1851" s="1">
        <f t="shared" si="627"/>
        <v>0</v>
      </c>
    </row>
    <row r="1852" spans="5:22" x14ac:dyDescent="0.25">
      <c r="E1852" s="4"/>
      <c r="M1852" s="4">
        <f t="shared" si="620"/>
        <v>173.1</v>
      </c>
      <c r="N1852" s="4"/>
      <c r="O1852" s="1">
        <f t="shared" si="621"/>
        <v>173.1</v>
      </c>
      <c r="P1852" s="1">
        <f t="shared" si="622"/>
        <v>0</v>
      </c>
      <c r="Q1852" s="1" t="str">
        <f t="shared" si="628"/>
        <v/>
      </c>
      <c r="R1852" s="1" t="str">
        <f t="shared" si="623"/>
        <v/>
      </c>
      <c r="S1852" s="1">
        <f t="shared" si="624"/>
        <v>630.90240000000244</v>
      </c>
      <c r="T1852" s="1">
        <f t="shared" si="625"/>
        <v>0</v>
      </c>
      <c r="U1852" s="1">
        <f t="shared" si="626"/>
        <v>0</v>
      </c>
      <c r="V1852" s="1">
        <f t="shared" si="627"/>
        <v>0</v>
      </c>
    </row>
    <row r="1853" spans="5:22" x14ac:dyDescent="0.25">
      <c r="E1853" s="4"/>
      <c r="M1853" s="4">
        <f t="shared" si="620"/>
        <v>173.1</v>
      </c>
      <c r="N1853" s="4"/>
      <c r="O1853" s="1">
        <f t="shared" si="621"/>
        <v>173.1</v>
      </c>
      <c r="P1853" s="1">
        <f t="shared" si="622"/>
        <v>0</v>
      </c>
      <c r="Q1853" s="1" t="str">
        <f t="shared" si="628"/>
        <v/>
      </c>
      <c r="R1853" s="1" t="str">
        <f t="shared" si="623"/>
        <v/>
      </c>
      <c r="S1853" s="1">
        <f t="shared" si="624"/>
        <v>630.90240000000244</v>
      </c>
      <c r="T1853" s="1">
        <f t="shared" si="625"/>
        <v>0</v>
      </c>
      <c r="U1853" s="1">
        <f t="shared" si="626"/>
        <v>0</v>
      </c>
      <c r="V1853" s="1">
        <f t="shared" si="627"/>
        <v>0</v>
      </c>
    </row>
    <row r="1854" spans="5:22" x14ac:dyDescent="0.25">
      <c r="E1854" s="4"/>
      <c r="M1854" s="4">
        <f t="shared" si="620"/>
        <v>173.1</v>
      </c>
      <c r="N1854" s="4"/>
      <c r="O1854" s="1">
        <f t="shared" si="621"/>
        <v>173.1</v>
      </c>
      <c r="P1854" s="1">
        <f t="shared" si="622"/>
        <v>0</v>
      </c>
      <c r="Q1854" s="1" t="str">
        <f t="shared" si="628"/>
        <v/>
      </c>
      <c r="R1854" s="1" t="str">
        <f t="shared" si="623"/>
        <v/>
      </c>
      <c r="S1854" s="1">
        <f t="shared" si="624"/>
        <v>630.90240000000244</v>
      </c>
      <c r="T1854" s="1">
        <f t="shared" si="625"/>
        <v>0</v>
      </c>
      <c r="U1854" s="1">
        <f t="shared" si="626"/>
        <v>0</v>
      </c>
      <c r="V1854" s="1">
        <f t="shared" si="627"/>
        <v>0</v>
      </c>
    </row>
    <row r="1855" spans="5:22" x14ac:dyDescent="0.25">
      <c r="E1855" s="4"/>
      <c r="M1855" s="4">
        <f t="shared" si="620"/>
        <v>173.1</v>
      </c>
      <c r="N1855" s="4"/>
      <c r="O1855" s="1">
        <f t="shared" si="621"/>
        <v>173.1</v>
      </c>
      <c r="P1855" s="1">
        <f t="shared" si="622"/>
        <v>0</v>
      </c>
      <c r="Q1855" s="1" t="str">
        <f t="shared" si="628"/>
        <v/>
      </c>
      <c r="R1855" s="1" t="str">
        <f t="shared" si="623"/>
        <v/>
      </c>
      <c r="S1855" s="1">
        <f t="shared" si="624"/>
        <v>630.90240000000244</v>
      </c>
      <c r="T1855" s="1">
        <f t="shared" si="625"/>
        <v>0</v>
      </c>
      <c r="U1855" s="1">
        <f t="shared" si="626"/>
        <v>0</v>
      </c>
      <c r="V1855" s="1">
        <f t="shared" si="627"/>
        <v>0</v>
      </c>
    </row>
    <row r="1856" spans="5:22" x14ac:dyDescent="0.25">
      <c r="E1856" s="4"/>
      <c r="M1856" s="4">
        <f t="shared" si="620"/>
        <v>173.1</v>
      </c>
      <c r="N1856" s="4"/>
      <c r="O1856" s="1">
        <f t="shared" si="621"/>
        <v>173.1</v>
      </c>
      <c r="P1856" s="1">
        <f t="shared" si="622"/>
        <v>0</v>
      </c>
      <c r="Q1856" s="1" t="str">
        <f t="shared" si="628"/>
        <v/>
      </c>
      <c r="R1856" s="1" t="str">
        <f t="shared" si="623"/>
        <v/>
      </c>
      <c r="S1856" s="1">
        <f t="shared" si="624"/>
        <v>630.90240000000244</v>
      </c>
      <c r="T1856" s="1">
        <f t="shared" si="625"/>
        <v>0</v>
      </c>
      <c r="U1856" s="1">
        <f t="shared" si="626"/>
        <v>0</v>
      </c>
      <c r="V1856" s="1">
        <f t="shared" si="627"/>
        <v>0</v>
      </c>
    </row>
    <row r="1857" spans="5:22" x14ac:dyDescent="0.25">
      <c r="E1857" s="4"/>
      <c r="M1857" s="4">
        <f t="shared" si="620"/>
        <v>173.1</v>
      </c>
      <c r="N1857" s="4"/>
      <c r="O1857" s="1">
        <f t="shared" si="621"/>
        <v>173.1</v>
      </c>
      <c r="P1857" s="1">
        <f t="shared" si="622"/>
        <v>0</v>
      </c>
      <c r="Q1857" s="1" t="str">
        <f t="shared" si="628"/>
        <v/>
      </c>
      <c r="R1857" s="1" t="str">
        <f t="shared" si="623"/>
        <v/>
      </c>
      <c r="S1857" s="1">
        <f t="shared" si="624"/>
        <v>630.90240000000244</v>
      </c>
      <c r="T1857" s="1">
        <f t="shared" si="625"/>
        <v>0</v>
      </c>
      <c r="U1857" s="1">
        <f t="shared" si="626"/>
        <v>0</v>
      </c>
      <c r="V1857" s="1">
        <f t="shared" si="627"/>
        <v>0</v>
      </c>
    </row>
    <row r="1858" spans="5:22" x14ac:dyDescent="0.25">
      <c r="E1858" s="4"/>
      <c r="M1858" s="4">
        <f t="shared" si="620"/>
        <v>173.1</v>
      </c>
      <c r="N1858" s="4"/>
      <c r="O1858" s="1">
        <f t="shared" si="621"/>
        <v>173.1</v>
      </c>
      <c r="P1858" s="1">
        <f t="shared" si="622"/>
        <v>0</v>
      </c>
      <c r="Q1858" s="1" t="str">
        <f t="shared" si="628"/>
        <v/>
      </c>
      <c r="R1858" s="1" t="str">
        <f t="shared" si="623"/>
        <v/>
      </c>
      <c r="S1858" s="1">
        <f t="shared" si="624"/>
        <v>630.90240000000244</v>
      </c>
      <c r="T1858" s="1">
        <f t="shared" si="625"/>
        <v>0</v>
      </c>
      <c r="U1858" s="1">
        <f t="shared" si="626"/>
        <v>0</v>
      </c>
      <c r="V1858" s="1">
        <f t="shared" si="627"/>
        <v>0</v>
      </c>
    </row>
    <row r="1859" spans="5:22" x14ac:dyDescent="0.25">
      <c r="E1859" s="4"/>
      <c r="M1859" s="4">
        <f t="shared" si="620"/>
        <v>173.1</v>
      </c>
      <c r="N1859" s="4"/>
      <c r="O1859" s="1">
        <f t="shared" si="621"/>
        <v>173.1</v>
      </c>
      <c r="P1859" s="1">
        <f t="shared" si="622"/>
        <v>0</v>
      </c>
      <c r="Q1859" s="1" t="str">
        <f t="shared" si="628"/>
        <v/>
      </c>
      <c r="R1859" s="1" t="str">
        <f t="shared" si="623"/>
        <v/>
      </c>
      <c r="S1859" s="1">
        <f t="shared" si="624"/>
        <v>630.90240000000244</v>
      </c>
      <c r="T1859" s="1">
        <f t="shared" si="625"/>
        <v>0</v>
      </c>
      <c r="U1859" s="1">
        <f t="shared" si="626"/>
        <v>0</v>
      </c>
      <c r="V1859" s="1">
        <f t="shared" si="627"/>
        <v>0</v>
      </c>
    </row>
    <row r="1860" spans="5:22" x14ac:dyDescent="0.25">
      <c r="E1860" s="4"/>
      <c r="M1860" s="4">
        <f t="shared" si="620"/>
        <v>173.1</v>
      </c>
      <c r="N1860" s="4"/>
      <c r="O1860" s="1">
        <f t="shared" si="621"/>
        <v>173.1</v>
      </c>
      <c r="P1860" s="1">
        <f t="shared" si="622"/>
        <v>0</v>
      </c>
      <c r="Q1860" s="1" t="str">
        <f t="shared" si="628"/>
        <v/>
      </c>
      <c r="R1860" s="1" t="str">
        <f t="shared" si="623"/>
        <v/>
      </c>
      <c r="S1860" s="1">
        <f t="shared" si="624"/>
        <v>630.90240000000244</v>
      </c>
      <c r="T1860" s="1">
        <f t="shared" si="625"/>
        <v>0</v>
      </c>
      <c r="U1860" s="1">
        <f t="shared" si="626"/>
        <v>0</v>
      </c>
      <c r="V1860" s="1">
        <f t="shared" si="627"/>
        <v>0</v>
      </c>
    </row>
    <row r="1861" spans="5:22" x14ac:dyDescent="0.25">
      <c r="E1861" s="4"/>
      <c r="M1861" s="4">
        <f t="shared" si="620"/>
        <v>173.1</v>
      </c>
      <c r="N1861" s="4"/>
      <c r="O1861" s="1">
        <f t="shared" si="621"/>
        <v>173.1</v>
      </c>
      <c r="P1861" s="1">
        <f t="shared" si="622"/>
        <v>0</v>
      </c>
      <c r="Q1861" s="1" t="str">
        <f t="shared" si="628"/>
        <v/>
      </c>
      <c r="R1861" s="1" t="str">
        <f t="shared" si="623"/>
        <v/>
      </c>
      <c r="S1861" s="1">
        <f t="shared" si="624"/>
        <v>630.90240000000244</v>
      </c>
      <c r="T1861" s="1">
        <f t="shared" si="625"/>
        <v>0</v>
      </c>
      <c r="U1861" s="1">
        <f t="shared" si="626"/>
        <v>0</v>
      </c>
      <c r="V1861" s="1">
        <f t="shared" si="627"/>
        <v>0</v>
      </c>
    </row>
    <row r="1862" spans="5:22" x14ac:dyDescent="0.25">
      <c r="E1862" s="4"/>
      <c r="M1862" s="4">
        <f t="shared" si="620"/>
        <v>173.1</v>
      </c>
      <c r="N1862" s="4"/>
      <c r="O1862" s="1">
        <f t="shared" si="621"/>
        <v>173.1</v>
      </c>
      <c r="P1862" s="1">
        <f t="shared" si="622"/>
        <v>0</v>
      </c>
      <c r="Q1862" s="1" t="str">
        <f t="shared" si="628"/>
        <v/>
      </c>
      <c r="R1862" s="1" t="str">
        <f t="shared" si="623"/>
        <v/>
      </c>
      <c r="S1862" s="1">
        <f t="shared" si="624"/>
        <v>630.90240000000244</v>
      </c>
      <c r="T1862" s="1">
        <f t="shared" si="625"/>
        <v>0</v>
      </c>
      <c r="U1862" s="1">
        <f t="shared" si="626"/>
        <v>0</v>
      </c>
      <c r="V1862" s="1">
        <f t="shared" si="627"/>
        <v>0</v>
      </c>
    </row>
    <row r="1863" spans="5:22" x14ac:dyDescent="0.25">
      <c r="E1863" s="4"/>
      <c r="M1863" s="4">
        <f t="shared" si="620"/>
        <v>173.1</v>
      </c>
      <c r="N1863" s="4"/>
      <c r="O1863" s="1">
        <f t="shared" si="621"/>
        <v>173.1</v>
      </c>
      <c r="P1863" s="1">
        <f t="shared" si="622"/>
        <v>0</v>
      </c>
      <c r="Q1863" s="1" t="str">
        <f t="shared" si="628"/>
        <v/>
      </c>
      <c r="R1863" s="1" t="str">
        <f t="shared" si="623"/>
        <v/>
      </c>
      <c r="S1863" s="1">
        <f t="shared" si="624"/>
        <v>630.90240000000244</v>
      </c>
      <c r="T1863" s="1">
        <f t="shared" si="625"/>
        <v>0</v>
      </c>
      <c r="U1863" s="1">
        <f t="shared" si="626"/>
        <v>0</v>
      </c>
      <c r="V1863" s="1">
        <f t="shared" si="627"/>
        <v>0</v>
      </c>
    </row>
    <row r="1864" spans="5:22" x14ac:dyDescent="0.25">
      <c r="E1864" s="4"/>
      <c r="M1864" s="4">
        <f t="shared" ref="M1864:M1927" si="629">E1864+M1863</f>
        <v>173.1</v>
      </c>
      <c r="N1864" s="4"/>
      <c r="O1864" s="1">
        <f t="shared" ref="O1864:O1927" si="630">E1863+O1863</f>
        <v>173.1</v>
      </c>
      <c r="P1864" s="1">
        <f t="shared" ref="P1864:P1927" si="631">F1864*52.8*E1864</f>
        <v>0</v>
      </c>
      <c r="Q1864" s="1" t="str">
        <f t="shared" si="628"/>
        <v/>
      </c>
      <c r="R1864" s="1" t="str">
        <f t="shared" ref="R1864:R1927" si="632">IF(I1864="",Q1864,IF(AND(H1864=H1863,I1864=I1863),"",I1864))</f>
        <v/>
      </c>
      <c r="S1864" s="1">
        <f t="shared" ref="S1864:S1927" si="633">S1863+U1863*T1863/100</f>
        <v>630.90240000000244</v>
      </c>
      <c r="T1864" s="1">
        <f t="shared" ref="T1864:T1927" si="634">IF(G1864="UNK",0,G1864)</f>
        <v>0</v>
      </c>
      <c r="U1864" s="1">
        <f t="shared" ref="U1864:U1927" si="635">E1864*5280</f>
        <v>0</v>
      </c>
      <c r="V1864" s="1">
        <f t="shared" ref="V1864:V1927" si="636">ABS(T1864*U1864)</f>
        <v>0</v>
      </c>
    </row>
    <row r="1865" spans="5:22" x14ac:dyDescent="0.25">
      <c r="E1865" s="4"/>
      <c r="M1865" s="4">
        <f t="shared" si="629"/>
        <v>173.1</v>
      </c>
      <c r="N1865" s="4"/>
      <c r="O1865" s="1">
        <f t="shared" si="630"/>
        <v>173.1</v>
      </c>
      <c r="P1865" s="1">
        <f t="shared" si="631"/>
        <v>0</v>
      </c>
      <c r="Q1865" s="1" t="str">
        <f t="shared" si="628"/>
        <v/>
      </c>
      <c r="R1865" s="1" t="str">
        <f t="shared" si="632"/>
        <v/>
      </c>
      <c r="S1865" s="1">
        <f t="shared" si="633"/>
        <v>630.90240000000244</v>
      </c>
      <c r="T1865" s="1">
        <f t="shared" si="634"/>
        <v>0</v>
      </c>
      <c r="U1865" s="1">
        <f t="shared" si="635"/>
        <v>0</v>
      </c>
      <c r="V1865" s="1">
        <f t="shared" si="636"/>
        <v>0</v>
      </c>
    </row>
    <row r="1866" spans="5:22" x14ac:dyDescent="0.25">
      <c r="E1866" s="4"/>
      <c r="M1866" s="4">
        <f t="shared" si="629"/>
        <v>173.1</v>
      </c>
      <c r="N1866" s="4"/>
      <c r="O1866" s="1">
        <f t="shared" si="630"/>
        <v>173.1</v>
      </c>
      <c r="P1866" s="1">
        <f t="shared" si="631"/>
        <v>0</v>
      </c>
      <c r="Q1866" s="1" t="str">
        <f t="shared" si="628"/>
        <v/>
      </c>
      <c r="R1866" s="1" t="str">
        <f t="shared" si="632"/>
        <v/>
      </c>
      <c r="S1866" s="1">
        <f t="shared" si="633"/>
        <v>630.90240000000244</v>
      </c>
      <c r="T1866" s="1">
        <f t="shared" si="634"/>
        <v>0</v>
      </c>
      <c r="U1866" s="1">
        <f t="shared" si="635"/>
        <v>0</v>
      </c>
      <c r="V1866" s="1">
        <f t="shared" si="636"/>
        <v>0</v>
      </c>
    </row>
    <row r="1867" spans="5:22" x14ac:dyDescent="0.25">
      <c r="E1867" s="4"/>
      <c r="M1867" s="4">
        <f t="shared" si="629"/>
        <v>173.1</v>
      </c>
      <c r="N1867" s="4"/>
      <c r="O1867" s="1">
        <f t="shared" si="630"/>
        <v>173.1</v>
      </c>
      <c r="P1867" s="1">
        <f t="shared" si="631"/>
        <v>0</v>
      </c>
      <c r="Q1867" s="1" t="str">
        <f t="shared" si="628"/>
        <v/>
      </c>
      <c r="R1867" s="1" t="str">
        <f t="shared" si="632"/>
        <v/>
      </c>
      <c r="S1867" s="1">
        <f t="shared" si="633"/>
        <v>630.90240000000244</v>
      </c>
      <c r="T1867" s="1">
        <f t="shared" si="634"/>
        <v>0</v>
      </c>
      <c r="U1867" s="1">
        <f t="shared" si="635"/>
        <v>0</v>
      </c>
      <c r="V1867" s="1">
        <f t="shared" si="636"/>
        <v>0</v>
      </c>
    </row>
    <row r="1868" spans="5:22" x14ac:dyDescent="0.25">
      <c r="E1868" s="4"/>
      <c r="M1868" s="4">
        <f t="shared" si="629"/>
        <v>173.1</v>
      </c>
      <c r="N1868" s="4"/>
      <c r="O1868" s="1">
        <f t="shared" si="630"/>
        <v>173.1</v>
      </c>
      <c r="P1868" s="1">
        <f t="shared" si="631"/>
        <v>0</v>
      </c>
      <c r="Q1868" s="1" t="str">
        <f t="shared" si="628"/>
        <v/>
      </c>
      <c r="R1868" s="1" t="str">
        <f t="shared" si="632"/>
        <v/>
      </c>
      <c r="S1868" s="1">
        <f t="shared" si="633"/>
        <v>630.90240000000244</v>
      </c>
      <c r="T1868" s="1">
        <f t="shared" si="634"/>
        <v>0</v>
      </c>
      <c r="U1868" s="1">
        <f t="shared" si="635"/>
        <v>0</v>
      </c>
      <c r="V1868" s="1">
        <f t="shared" si="636"/>
        <v>0</v>
      </c>
    </row>
    <row r="1869" spans="5:22" x14ac:dyDescent="0.25">
      <c r="E1869" s="4"/>
      <c r="M1869" s="4">
        <f t="shared" si="629"/>
        <v>173.1</v>
      </c>
      <c r="N1869" s="4"/>
      <c r="O1869" s="1">
        <f t="shared" si="630"/>
        <v>173.1</v>
      </c>
      <c r="P1869" s="1">
        <f t="shared" si="631"/>
        <v>0</v>
      </c>
      <c r="Q1869" s="1" t="str">
        <f t="shared" si="628"/>
        <v/>
      </c>
      <c r="R1869" s="1" t="str">
        <f t="shared" si="632"/>
        <v/>
      </c>
      <c r="S1869" s="1">
        <f t="shared" si="633"/>
        <v>630.90240000000244</v>
      </c>
      <c r="T1869" s="1">
        <f t="shared" si="634"/>
        <v>0</v>
      </c>
      <c r="U1869" s="1">
        <f t="shared" si="635"/>
        <v>0</v>
      </c>
      <c r="V1869" s="1">
        <f t="shared" si="636"/>
        <v>0</v>
      </c>
    </row>
    <row r="1870" spans="5:22" x14ac:dyDescent="0.25">
      <c r="E1870" s="4"/>
      <c r="M1870" s="4">
        <f t="shared" si="629"/>
        <v>173.1</v>
      </c>
      <c r="N1870" s="4"/>
      <c r="O1870" s="1">
        <f t="shared" si="630"/>
        <v>173.1</v>
      </c>
      <c r="P1870" s="1">
        <f t="shared" si="631"/>
        <v>0</v>
      </c>
      <c r="Q1870" s="1" t="str">
        <f t="shared" si="628"/>
        <v/>
      </c>
      <c r="R1870" s="1" t="str">
        <f t="shared" si="632"/>
        <v/>
      </c>
      <c r="S1870" s="1">
        <f t="shared" si="633"/>
        <v>630.90240000000244</v>
      </c>
      <c r="T1870" s="1">
        <f t="shared" si="634"/>
        <v>0</v>
      </c>
      <c r="U1870" s="1">
        <f t="shared" si="635"/>
        <v>0</v>
      </c>
      <c r="V1870" s="1">
        <f t="shared" si="636"/>
        <v>0</v>
      </c>
    </row>
    <row r="1871" spans="5:22" x14ac:dyDescent="0.25">
      <c r="E1871" s="4"/>
      <c r="M1871" s="4">
        <f t="shared" si="629"/>
        <v>173.1</v>
      </c>
      <c r="N1871" s="4"/>
      <c r="O1871" s="1">
        <f t="shared" si="630"/>
        <v>173.1</v>
      </c>
      <c r="P1871" s="1">
        <f t="shared" si="631"/>
        <v>0</v>
      </c>
      <c r="Q1871" s="1" t="str">
        <f t="shared" si="628"/>
        <v/>
      </c>
      <c r="R1871" s="1" t="str">
        <f t="shared" si="632"/>
        <v/>
      </c>
      <c r="S1871" s="1">
        <f t="shared" si="633"/>
        <v>630.90240000000244</v>
      </c>
      <c r="T1871" s="1">
        <f t="shared" si="634"/>
        <v>0</v>
      </c>
      <c r="U1871" s="1">
        <f t="shared" si="635"/>
        <v>0</v>
      </c>
      <c r="V1871" s="1">
        <f t="shared" si="636"/>
        <v>0</v>
      </c>
    </row>
    <row r="1872" spans="5:22" x14ac:dyDescent="0.25">
      <c r="E1872" s="4"/>
      <c r="M1872" s="4">
        <f t="shared" si="629"/>
        <v>173.1</v>
      </c>
      <c r="N1872" s="4"/>
      <c r="O1872" s="1">
        <f t="shared" si="630"/>
        <v>173.1</v>
      </c>
      <c r="P1872" s="1">
        <f t="shared" si="631"/>
        <v>0</v>
      </c>
      <c r="Q1872" s="1" t="str">
        <f t="shared" si="628"/>
        <v/>
      </c>
      <c r="R1872" s="1" t="str">
        <f t="shared" si="632"/>
        <v/>
      </c>
      <c r="S1872" s="1">
        <f t="shared" si="633"/>
        <v>630.90240000000244</v>
      </c>
      <c r="T1872" s="1">
        <f t="shared" si="634"/>
        <v>0</v>
      </c>
      <c r="U1872" s="1">
        <f t="shared" si="635"/>
        <v>0</v>
      </c>
      <c r="V1872" s="1">
        <f t="shared" si="636"/>
        <v>0</v>
      </c>
    </row>
    <row r="1873" spans="5:22" x14ac:dyDescent="0.25">
      <c r="E1873" s="4"/>
      <c r="M1873" s="4">
        <f t="shared" si="629"/>
        <v>173.1</v>
      </c>
      <c r="N1873" s="4"/>
      <c r="O1873" s="1">
        <f t="shared" si="630"/>
        <v>173.1</v>
      </c>
      <c r="P1873" s="1">
        <f t="shared" si="631"/>
        <v>0</v>
      </c>
      <c r="Q1873" s="1" t="str">
        <f t="shared" si="628"/>
        <v/>
      </c>
      <c r="R1873" s="1" t="str">
        <f t="shared" si="632"/>
        <v/>
      </c>
      <c r="S1873" s="1">
        <f t="shared" si="633"/>
        <v>630.90240000000244</v>
      </c>
      <c r="T1873" s="1">
        <f t="shared" si="634"/>
        <v>0</v>
      </c>
      <c r="U1873" s="1">
        <f t="shared" si="635"/>
        <v>0</v>
      </c>
      <c r="V1873" s="1">
        <f t="shared" si="636"/>
        <v>0</v>
      </c>
    </row>
    <row r="1874" spans="5:22" x14ac:dyDescent="0.25">
      <c r="E1874" s="4"/>
      <c r="M1874" s="4">
        <f t="shared" si="629"/>
        <v>173.1</v>
      </c>
      <c r="N1874" s="4"/>
      <c r="O1874" s="1">
        <f t="shared" si="630"/>
        <v>173.1</v>
      </c>
      <c r="P1874" s="1">
        <f t="shared" si="631"/>
        <v>0</v>
      </c>
      <c r="Q1874" s="1" t="str">
        <f t="shared" si="628"/>
        <v/>
      </c>
      <c r="R1874" s="1" t="str">
        <f t="shared" si="632"/>
        <v/>
      </c>
      <c r="S1874" s="1">
        <f t="shared" si="633"/>
        <v>630.90240000000244</v>
      </c>
      <c r="T1874" s="1">
        <f t="shared" si="634"/>
        <v>0</v>
      </c>
      <c r="U1874" s="1">
        <f t="shared" si="635"/>
        <v>0</v>
      </c>
      <c r="V1874" s="1">
        <f t="shared" si="636"/>
        <v>0</v>
      </c>
    </row>
    <row r="1875" spans="5:22" x14ac:dyDescent="0.25">
      <c r="E1875" s="4"/>
      <c r="M1875" s="4">
        <f t="shared" si="629"/>
        <v>173.1</v>
      </c>
      <c r="N1875" s="4"/>
      <c r="O1875" s="1">
        <f t="shared" si="630"/>
        <v>173.1</v>
      </c>
      <c r="P1875" s="1">
        <f t="shared" si="631"/>
        <v>0</v>
      </c>
      <c r="Q1875" s="1" t="str">
        <f t="shared" si="628"/>
        <v/>
      </c>
      <c r="R1875" s="1" t="str">
        <f t="shared" si="632"/>
        <v/>
      </c>
      <c r="S1875" s="1">
        <f t="shared" si="633"/>
        <v>630.90240000000244</v>
      </c>
      <c r="T1875" s="1">
        <f t="shared" si="634"/>
        <v>0</v>
      </c>
      <c r="U1875" s="1">
        <f t="shared" si="635"/>
        <v>0</v>
      </c>
      <c r="V1875" s="1">
        <f t="shared" si="636"/>
        <v>0</v>
      </c>
    </row>
    <row r="1876" spans="5:22" x14ac:dyDescent="0.25">
      <c r="E1876" s="4"/>
      <c r="M1876" s="4">
        <f t="shared" si="629"/>
        <v>173.1</v>
      </c>
      <c r="N1876" s="4"/>
      <c r="O1876" s="1">
        <f t="shared" si="630"/>
        <v>173.1</v>
      </c>
      <c r="P1876" s="1">
        <f t="shared" si="631"/>
        <v>0</v>
      </c>
      <c r="Q1876" s="1" t="str">
        <f t="shared" si="628"/>
        <v/>
      </c>
      <c r="R1876" s="1" t="str">
        <f t="shared" si="632"/>
        <v/>
      </c>
      <c r="S1876" s="1">
        <f t="shared" si="633"/>
        <v>630.90240000000244</v>
      </c>
      <c r="T1876" s="1">
        <f t="shared" si="634"/>
        <v>0</v>
      </c>
      <c r="U1876" s="1">
        <f t="shared" si="635"/>
        <v>0</v>
      </c>
      <c r="V1876" s="1">
        <f t="shared" si="636"/>
        <v>0</v>
      </c>
    </row>
    <row r="1877" spans="5:22" x14ac:dyDescent="0.25">
      <c r="E1877" s="4"/>
      <c r="M1877" s="4">
        <f t="shared" si="629"/>
        <v>173.1</v>
      </c>
      <c r="N1877" s="4"/>
      <c r="O1877" s="1">
        <f t="shared" si="630"/>
        <v>173.1</v>
      </c>
      <c r="P1877" s="1">
        <f t="shared" si="631"/>
        <v>0</v>
      </c>
      <c r="Q1877" s="1" t="str">
        <f t="shared" si="628"/>
        <v/>
      </c>
      <c r="R1877" s="1" t="str">
        <f t="shared" si="632"/>
        <v/>
      </c>
      <c r="S1877" s="1">
        <f t="shared" si="633"/>
        <v>630.90240000000244</v>
      </c>
      <c r="T1877" s="1">
        <f t="shared" si="634"/>
        <v>0</v>
      </c>
      <c r="U1877" s="1">
        <f t="shared" si="635"/>
        <v>0</v>
      </c>
      <c r="V1877" s="1">
        <f t="shared" si="636"/>
        <v>0</v>
      </c>
    </row>
    <row r="1878" spans="5:22" x14ac:dyDescent="0.25">
      <c r="E1878" s="4"/>
      <c r="M1878" s="4">
        <f t="shared" si="629"/>
        <v>173.1</v>
      </c>
      <c r="N1878" s="4"/>
      <c r="O1878" s="1">
        <f t="shared" si="630"/>
        <v>173.1</v>
      </c>
      <c r="P1878" s="1">
        <f t="shared" si="631"/>
        <v>0</v>
      </c>
      <c r="Q1878" s="1" t="str">
        <f t="shared" si="628"/>
        <v/>
      </c>
      <c r="R1878" s="1" t="str">
        <f t="shared" si="632"/>
        <v/>
      </c>
      <c r="S1878" s="1">
        <f t="shared" si="633"/>
        <v>630.90240000000244</v>
      </c>
      <c r="T1878" s="1">
        <f t="shared" si="634"/>
        <v>0</v>
      </c>
      <c r="U1878" s="1">
        <f t="shared" si="635"/>
        <v>0</v>
      </c>
      <c r="V1878" s="1">
        <f t="shared" si="636"/>
        <v>0</v>
      </c>
    </row>
    <row r="1879" spans="5:22" x14ac:dyDescent="0.25">
      <c r="E1879" s="4"/>
      <c r="M1879" s="4">
        <f t="shared" si="629"/>
        <v>173.1</v>
      </c>
      <c r="N1879" s="4"/>
      <c r="O1879" s="1">
        <f t="shared" si="630"/>
        <v>173.1</v>
      </c>
      <c r="P1879" s="1">
        <f t="shared" si="631"/>
        <v>0</v>
      </c>
      <c r="Q1879" s="1" t="str">
        <f t="shared" si="628"/>
        <v/>
      </c>
      <c r="R1879" s="1" t="str">
        <f t="shared" si="632"/>
        <v/>
      </c>
      <c r="S1879" s="1">
        <f t="shared" si="633"/>
        <v>630.90240000000244</v>
      </c>
      <c r="T1879" s="1">
        <f t="shared" si="634"/>
        <v>0</v>
      </c>
      <c r="U1879" s="1">
        <f t="shared" si="635"/>
        <v>0</v>
      </c>
      <c r="V1879" s="1">
        <f t="shared" si="636"/>
        <v>0</v>
      </c>
    </row>
    <row r="1880" spans="5:22" x14ac:dyDescent="0.25">
      <c r="E1880" s="4"/>
      <c r="M1880" s="4">
        <f t="shared" si="629"/>
        <v>173.1</v>
      </c>
      <c r="N1880" s="4"/>
      <c r="O1880" s="1">
        <f t="shared" si="630"/>
        <v>173.1</v>
      </c>
      <c r="P1880" s="1">
        <f t="shared" si="631"/>
        <v>0</v>
      </c>
      <c r="Q1880" s="1" t="str">
        <f t="shared" si="628"/>
        <v/>
      </c>
      <c r="R1880" s="1" t="str">
        <f t="shared" si="632"/>
        <v/>
      </c>
      <c r="S1880" s="1">
        <f t="shared" si="633"/>
        <v>630.90240000000244</v>
      </c>
      <c r="T1880" s="1">
        <f t="shared" si="634"/>
        <v>0</v>
      </c>
      <c r="U1880" s="1">
        <f t="shared" si="635"/>
        <v>0</v>
      </c>
      <c r="V1880" s="1">
        <f t="shared" si="636"/>
        <v>0</v>
      </c>
    </row>
    <row r="1881" spans="5:22" x14ac:dyDescent="0.25">
      <c r="E1881" s="4"/>
      <c r="M1881" s="4">
        <f t="shared" si="629"/>
        <v>173.1</v>
      </c>
      <c r="N1881" s="4"/>
      <c r="O1881" s="1">
        <f t="shared" si="630"/>
        <v>173.1</v>
      </c>
      <c r="P1881" s="1">
        <f t="shared" si="631"/>
        <v>0</v>
      </c>
      <c r="Q1881" s="1" t="str">
        <f t="shared" si="628"/>
        <v/>
      </c>
      <c r="R1881" s="1" t="str">
        <f t="shared" si="632"/>
        <v/>
      </c>
      <c r="S1881" s="1">
        <f t="shared" si="633"/>
        <v>630.90240000000244</v>
      </c>
      <c r="T1881" s="1">
        <f t="shared" si="634"/>
        <v>0</v>
      </c>
      <c r="U1881" s="1">
        <f t="shared" si="635"/>
        <v>0</v>
      </c>
      <c r="V1881" s="1">
        <f t="shared" si="636"/>
        <v>0</v>
      </c>
    </row>
    <row r="1882" spans="5:22" x14ac:dyDescent="0.25">
      <c r="E1882" s="4"/>
      <c r="M1882" s="4">
        <f t="shared" si="629"/>
        <v>173.1</v>
      </c>
      <c r="N1882" s="4"/>
      <c r="O1882" s="1">
        <f t="shared" si="630"/>
        <v>173.1</v>
      </c>
      <c r="P1882" s="1">
        <f t="shared" si="631"/>
        <v>0</v>
      </c>
      <c r="Q1882" s="1" t="str">
        <f t="shared" si="628"/>
        <v/>
      </c>
      <c r="R1882" s="1" t="str">
        <f t="shared" si="632"/>
        <v/>
      </c>
      <c r="S1882" s="1">
        <f t="shared" si="633"/>
        <v>630.90240000000244</v>
      </c>
      <c r="T1882" s="1">
        <f t="shared" si="634"/>
        <v>0</v>
      </c>
      <c r="U1882" s="1">
        <f t="shared" si="635"/>
        <v>0</v>
      </c>
      <c r="V1882" s="1">
        <f t="shared" si="636"/>
        <v>0</v>
      </c>
    </row>
    <row r="1883" spans="5:22" x14ac:dyDescent="0.25">
      <c r="E1883" s="4"/>
      <c r="M1883" s="4">
        <f t="shared" si="629"/>
        <v>173.1</v>
      </c>
      <c r="N1883" s="4"/>
      <c r="O1883" s="1">
        <f t="shared" si="630"/>
        <v>173.1</v>
      </c>
      <c r="P1883" s="1">
        <f t="shared" si="631"/>
        <v>0</v>
      </c>
      <c r="Q1883" s="1" t="str">
        <f t="shared" si="628"/>
        <v/>
      </c>
      <c r="R1883" s="1" t="str">
        <f t="shared" si="632"/>
        <v/>
      </c>
      <c r="S1883" s="1">
        <f t="shared" si="633"/>
        <v>630.90240000000244</v>
      </c>
      <c r="T1883" s="1">
        <f t="shared" si="634"/>
        <v>0</v>
      </c>
      <c r="U1883" s="1">
        <f t="shared" si="635"/>
        <v>0</v>
      </c>
      <c r="V1883" s="1">
        <f t="shared" si="636"/>
        <v>0</v>
      </c>
    </row>
    <row r="1884" spans="5:22" x14ac:dyDescent="0.25">
      <c r="E1884" s="4"/>
      <c r="M1884" s="4">
        <f t="shared" si="629"/>
        <v>173.1</v>
      </c>
      <c r="N1884" s="4"/>
      <c r="O1884" s="1">
        <f t="shared" si="630"/>
        <v>173.1</v>
      </c>
      <c r="P1884" s="1">
        <f t="shared" si="631"/>
        <v>0</v>
      </c>
      <c r="Q1884" s="1" t="str">
        <f t="shared" si="628"/>
        <v/>
      </c>
      <c r="R1884" s="1" t="str">
        <f t="shared" si="632"/>
        <v/>
      </c>
      <c r="S1884" s="1">
        <f t="shared" si="633"/>
        <v>630.90240000000244</v>
      </c>
      <c r="T1884" s="1">
        <f t="shared" si="634"/>
        <v>0</v>
      </c>
      <c r="U1884" s="1">
        <f t="shared" si="635"/>
        <v>0</v>
      </c>
      <c r="V1884" s="1">
        <f t="shared" si="636"/>
        <v>0</v>
      </c>
    </row>
    <row r="1885" spans="5:22" x14ac:dyDescent="0.25">
      <c r="E1885" s="4"/>
      <c r="M1885" s="4">
        <f t="shared" si="629"/>
        <v>173.1</v>
      </c>
      <c r="N1885" s="4"/>
      <c r="O1885" s="1">
        <f t="shared" si="630"/>
        <v>173.1</v>
      </c>
      <c r="P1885" s="1">
        <f t="shared" si="631"/>
        <v>0</v>
      </c>
      <c r="Q1885" s="1" t="str">
        <f t="shared" si="628"/>
        <v/>
      </c>
      <c r="R1885" s="1" t="str">
        <f t="shared" si="632"/>
        <v/>
      </c>
      <c r="S1885" s="1">
        <f t="shared" si="633"/>
        <v>630.90240000000244</v>
      </c>
      <c r="T1885" s="1">
        <f t="shared" si="634"/>
        <v>0</v>
      </c>
      <c r="U1885" s="1">
        <f t="shared" si="635"/>
        <v>0</v>
      </c>
      <c r="V1885" s="1">
        <f t="shared" si="636"/>
        <v>0</v>
      </c>
    </row>
    <row r="1886" spans="5:22" x14ac:dyDescent="0.25">
      <c r="E1886" s="4"/>
      <c r="M1886" s="4">
        <f t="shared" si="629"/>
        <v>173.1</v>
      </c>
      <c r="N1886" s="4"/>
      <c r="O1886" s="1">
        <f t="shared" si="630"/>
        <v>173.1</v>
      </c>
      <c r="P1886" s="1">
        <f t="shared" si="631"/>
        <v>0</v>
      </c>
      <c r="Q1886" s="1" t="str">
        <f t="shared" si="628"/>
        <v/>
      </c>
      <c r="R1886" s="1" t="str">
        <f t="shared" si="632"/>
        <v/>
      </c>
      <c r="S1886" s="1">
        <f t="shared" si="633"/>
        <v>630.90240000000244</v>
      </c>
      <c r="T1886" s="1">
        <f t="shared" si="634"/>
        <v>0</v>
      </c>
      <c r="U1886" s="1">
        <f t="shared" si="635"/>
        <v>0</v>
      </c>
      <c r="V1886" s="1">
        <f t="shared" si="636"/>
        <v>0</v>
      </c>
    </row>
    <row r="1887" spans="5:22" x14ac:dyDescent="0.25">
      <c r="E1887" s="4"/>
      <c r="M1887" s="4">
        <f t="shared" si="629"/>
        <v>173.1</v>
      </c>
      <c r="N1887" s="4"/>
      <c r="O1887" s="1">
        <f t="shared" si="630"/>
        <v>173.1</v>
      </c>
      <c r="P1887" s="1">
        <f t="shared" si="631"/>
        <v>0</v>
      </c>
      <c r="Q1887" s="1" t="str">
        <f t="shared" si="628"/>
        <v/>
      </c>
      <c r="R1887" s="1" t="str">
        <f t="shared" si="632"/>
        <v/>
      </c>
      <c r="S1887" s="1">
        <f t="shared" si="633"/>
        <v>630.90240000000244</v>
      </c>
      <c r="T1887" s="1">
        <f t="shared" si="634"/>
        <v>0</v>
      </c>
      <c r="U1887" s="1">
        <f t="shared" si="635"/>
        <v>0</v>
      </c>
      <c r="V1887" s="1">
        <f t="shared" si="636"/>
        <v>0</v>
      </c>
    </row>
    <row r="1888" spans="5:22" x14ac:dyDescent="0.25">
      <c r="E1888" s="4"/>
      <c r="M1888" s="4">
        <f t="shared" si="629"/>
        <v>173.1</v>
      </c>
      <c r="N1888" s="4"/>
      <c r="O1888" s="1">
        <f t="shared" si="630"/>
        <v>173.1</v>
      </c>
      <c r="P1888" s="1">
        <f t="shared" si="631"/>
        <v>0</v>
      </c>
      <c r="Q1888" s="1" t="str">
        <f t="shared" si="628"/>
        <v/>
      </c>
      <c r="R1888" s="1" t="str">
        <f t="shared" si="632"/>
        <v/>
      </c>
      <c r="S1888" s="1">
        <f t="shared" si="633"/>
        <v>630.90240000000244</v>
      </c>
      <c r="T1888" s="1">
        <f t="shared" si="634"/>
        <v>0</v>
      </c>
      <c r="U1888" s="1">
        <f t="shared" si="635"/>
        <v>0</v>
      </c>
      <c r="V1888" s="1">
        <f t="shared" si="636"/>
        <v>0</v>
      </c>
    </row>
    <row r="1889" spans="5:22" x14ac:dyDescent="0.25">
      <c r="E1889" s="4"/>
      <c r="M1889" s="4">
        <f t="shared" si="629"/>
        <v>173.1</v>
      </c>
      <c r="N1889" s="4"/>
      <c r="O1889" s="1">
        <f t="shared" si="630"/>
        <v>173.1</v>
      </c>
      <c r="P1889" s="1">
        <f t="shared" si="631"/>
        <v>0</v>
      </c>
      <c r="Q1889" s="1" t="str">
        <f t="shared" si="628"/>
        <v/>
      </c>
      <c r="R1889" s="1" t="str">
        <f t="shared" si="632"/>
        <v/>
      </c>
      <c r="S1889" s="1">
        <f t="shared" si="633"/>
        <v>630.90240000000244</v>
      </c>
      <c r="T1889" s="1">
        <f t="shared" si="634"/>
        <v>0</v>
      </c>
      <c r="U1889" s="1">
        <f t="shared" si="635"/>
        <v>0</v>
      </c>
      <c r="V1889" s="1">
        <f t="shared" si="636"/>
        <v>0</v>
      </c>
    </row>
    <row r="1890" spans="5:22" x14ac:dyDescent="0.25">
      <c r="E1890" s="4"/>
      <c r="M1890" s="4">
        <f t="shared" si="629"/>
        <v>173.1</v>
      </c>
      <c r="N1890" s="4"/>
      <c r="O1890" s="1">
        <f t="shared" si="630"/>
        <v>173.1</v>
      </c>
      <c r="P1890" s="1">
        <f t="shared" si="631"/>
        <v>0</v>
      </c>
      <c r="Q1890" s="1" t="str">
        <f t="shared" si="628"/>
        <v/>
      </c>
      <c r="R1890" s="1" t="str">
        <f t="shared" si="632"/>
        <v/>
      </c>
      <c r="S1890" s="1">
        <f t="shared" si="633"/>
        <v>630.90240000000244</v>
      </c>
      <c r="T1890" s="1">
        <f t="shared" si="634"/>
        <v>0</v>
      </c>
      <c r="U1890" s="1">
        <f t="shared" si="635"/>
        <v>0</v>
      </c>
      <c r="V1890" s="1">
        <f t="shared" si="636"/>
        <v>0</v>
      </c>
    </row>
    <row r="1891" spans="5:22" x14ac:dyDescent="0.25">
      <c r="E1891" s="4"/>
      <c r="M1891" s="4">
        <f t="shared" si="629"/>
        <v>173.1</v>
      </c>
      <c r="N1891" s="4"/>
      <c r="O1891" s="1">
        <f t="shared" si="630"/>
        <v>173.1</v>
      </c>
      <c r="P1891" s="1">
        <f t="shared" si="631"/>
        <v>0</v>
      </c>
      <c r="Q1891" s="1" t="str">
        <f t="shared" si="628"/>
        <v/>
      </c>
      <c r="R1891" s="1" t="str">
        <f t="shared" si="632"/>
        <v/>
      </c>
      <c r="S1891" s="1">
        <f t="shared" si="633"/>
        <v>630.90240000000244</v>
      </c>
      <c r="T1891" s="1">
        <f t="shared" si="634"/>
        <v>0</v>
      </c>
      <c r="U1891" s="1">
        <f t="shared" si="635"/>
        <v>0</v>
      </c>
      <c r="V1891" s="1">
        <f t="shared" si="636"/>
        <v>0</v>
      </c>
    </row>
    <row r="1892" spans="5:22" x14ac:dyDescent="0.25">
      <c r="E1892" s="4"/>
      <c r="M1892" s="4">
        <f t="shared" si="629"/>
        <v>173.1</v>
      </c>
      <c r="N1892" s="4"/>
      <c r="O1892" s="1">
        <f t="shared" si="630"/>
        <v>173.1</v>
      </c>
      <c r="P1892" s="1">
        <f t="shared" si="631"/>
        <v>0</v>
      </c>
      <c r="Q1892" s="1" t="str">
        <f t="shared" si="628"/>
        <v/>
      </c>
      <c r="R1892" s="1" t="str">
        <f t="shared" si="632"/>
        <v/>
      </c>
      <c r="S1892" s="1">
        <f t="shared" si="633"/>
        <v>630.90240000000244</v>
      </c>
      <c r="T1892" s="1">
        <f t="shared" si="634"/>
        <v>0</v>
      </c>
      <c r="U1892" s="1">
        <f t="shared" si="635"/>
        <v>0</v>
      </c>
      <c r="V1892" s="1">
        <f t="shared" si="636"/>
        <v>0</v>
      </c>
    </row>
    <row r="1893" spans="5:22" x14ac:dyDescent="0.25">
      <c r="E1893" s="4"/>
      <c r="M1893" s="4">
        <f t="shared" si="629"/>
        <v>173.1</v>
      </c>
      <c r="N1893" s="4"/>
      <c r="O1893" s="1">
        <f t="shared" si="630"/>
        <v>173.1</v>
      </c>
      <c r="P1893" s="1">
        <f t="shared" si="631"/>
        <v>0</v>
      </c>
      <c r="Q1893" s="1" t="str">
        <f t="shared" si="628"/>
        <v/>
      </c>
      <c r="R1893" s="1" t="str">
        <f t="shared" si="632"/>
        <v/>
      </c>
      <c r="S1893" s="1">
        <f t="shared" si="633"/>
        <v>630.90240000000244</v>
      </c>
      <c r="T1893" s="1">
        <f t="shared" si="634"/>
        <v>0</v>
      </c>
      <c r="U1893" s="1">
        <f t="shared" si="635"/>
        <v>0</v>
      </c>
      <c r="V1893" s="1">
        <f t="shared" si="636"/>
        <v>0</v>
      </c>
    </row>
    <row r="1894" spans="5:22" x14ac:dyDescent="0.25">
      <c r="E1894" s="4"/>
      <c r="M1894" s="4">
        <f t="shared" si="629"/>
        <v>173.1</v>
      </c>
      <c r="N1894" s="4"/>
      <c r="O1894" s="1">
        <f t="shared" si="630"/>
        <v>173.1</v>
      </c>
      <c r="P1894" s="1">
        <f t="shared" si="631"/>
        <v>0</v>
      </c>
      <c r="Q1894" s="1" t="str">
        <f t="shared" si="628"/>
        <v/>
      </c>
      <c r="R1894" s="1" t="str">
        <f t="shared" si="632"/>
        <v/>
      </c>
      <c r="S1894" s="1">
        <f t="shared" si="633"/>
        <v>630.90240000000244</v>
      </c>
      <c r="T1894" s="1">
        <f t="shared" si="634"/>
        <v>0</v>
      </c>
      <c r="U1894" s="1">
        <f t="shared" si="635"/>
        <v>0</v>
      </c>
      <c r="V1894" s="1">
        <f t="shared" si="636"/>
        <v>0</v>
      </c>
    </row>
    <row r="1895" spans="5:22" x14ac:dyDescent="0.25">
      <c r="E1895" s="4"/>
      <c r="M1895" s="4">
        <f t="shared" si="629"/>
        <v>173.1</v>
      </c>
      <c r="N1895" s="4"/>
      <c r="O1895" s="1">
        <f t="shared" si="630"/>
        <v>173.1</v>
      </c>
      <c r="P1895" s="1">
        <f t="shared" si="631"/>
        <v>0</v>
      </c>
      <c r="Q1895" s="1" t="str">
        <f t="shared" si="628"/>
        <v/>
      </c>
      <c r="R1895" s="1" t="str">
        <f t="shared" si="632"/>
        <v/>
      </c>
      <c r="S1895" s="1">
        <f t="shared" si="633"/>
        <v>630.90240000000244</v>
      </c>
      <c r="T1895" s="1">
        <f t="shared" si="634"/>
        <v>0</v>
      </c>
      <c r="U1895" s="1">
        <f t="shared" si="635"/>
        <v>0</v>
      </c>
      <c r="V1895" s="1">
        <f t="shared" si="636"/>
        <v>0</v>
      </c>
    </row>
    <row r="1896" spans="5:22" x14ac:dyDescent="0.25">
      <c r="E1896" s="4"/>
      <c r="M1896" s="4">
        <f t="shared" si="629"/>
        <v>173.1</v>
      </c>
      <c r="N1896" s="4"/>
      <c r="O1896" s="1">
        <f t="shared" si="630"/>
        <v>173.1</v>
      </c>
      <c r="P1896" s="1">
        <f t="shared" si="631"/>
        <v>0</v>
      </c>
      <c r="Q1896" s="1" t="str">
        <f t="shared" si="628"/>
        <v/>
      </c>
      <c r="R1896" s="1" t="str">
        <f t="shared" si="632"/>
        <v/>
      </c>
      <c r="S1896" s="1">
        <f t="shared" si="633"/>
        <v>630.90240000000244</v>
      </c>
      <c r="T1896" s="1">
        <f t="shared" si="634"/>
        <v>0</v>
      </c>
      <c r="U1896" s="1">
        <f t="shared" si="635"/>
        <v>0</v>
      </c>
      <c r="V1896" s="1">
        <f t="shared" si="636"/>
        <v>0</v>
      </c>
    </row>
    <row r="1897" spans="5:22" x14ac:dyDescent="0.25">
      <c r="E1897" s="4"/>
      <c r="M1897" s="4">
        <f t="shared" si="629"/>
        <v>173.1</v>
      </c>
      <c r="N1897" s="4"/>
      <c r="O1897" s="1">
        <f t="shared" si="630"/>
        <v>173.1</v>
      </c>
      <c r="P1897" s="1">
        <f t="shared" si="631"/>
        <v>0</v>
      </c>
      <c r="Q1897" s="1" t="str">
        <f t="shared" si="628"/>
        <v/>
      </c>
      <c r="R1897" s="1" t="str">
        <f t="shared" si="632"/>
        <v/>
      </c>
      <c r="S1897" s="1">
        <f t="shared" si="633"/>
        <v>630.90240000000244</v>
      </c>
      <c r="T1897" s="1">
        <f t="shared" si="634"/>
        <v>0</v>
      </c>
      <c r="U1897" s="1">
        <f t="shared" si="635"/>
        <v>0</v>
      </c>
      <c r="V1897" s="1">
        <f t="shared" si="636"/>
        <v>0</v>
      </c>
    </row>
    <row r="1898" spans="5:22" x14ac:dyDescent="0.25">
      <c r="E1898" s="4"/>
      <c r="M1898" s="4">
        <f t="shared" si="629"/>
        <v>173.1</v>
      </c>
      <c r="N1898" s="4"/>
      <c r="O1898" s="1">
        <f t="shared" si="630"/>
        <v>173.1</v>
      </c>
      <c r="P1898" s="1">
        <f t="shared" si="631"/>
        <v>0</v>
      </c>
      <c r="Q1898" s="1" t="str">
        <f t="shared" si="628"/>
        <v/>
      </c>
      <c r="R1898" s="1" t="str">
        <f t="shared" si="632"/>
        <v/>
      </c>
      <c r="S1898" s="1">
        <f t="shared" si="633"/>
        <v>630.90240000000244</v>
      </c>
      <c r="T1898" s="1">
        <f t="shared" si="634"/>
        <v>0</v>
      </c>
      <c r="U1898" s="1">
        <f t="shared" si="635"/>
        <v>0</v>
      </c>
      <c r="V1898" s="1">
        <f t="shared" si="636"/>
        <v>0</v>
      </c>
    </row>
    <row r="1899" spans="5:22" x14ac:dyDescent="0.25">
      <c r="E1899" s="4"/>
      <c r="M1899" s="4">
        <f t="shared" si="629"/>
        <v>173.1</v>
      </c>
      <c r="N1899" s="4"/>
      <c r="O1899" s="1">
        <f t="shared" si="630"/>
        <v>173.1</v>
      </c>
      <c r="P1899" s="1">
        <f t="shared" si="631"/>
        <v>0</v>
      </c>
      <c r="Q1899" s="1" t="str">
        <f t="shared" si="628"/>
        <v/>
      </c>
      <c r="R1899" s="1" t="str">
        <f t="shared" si="632"/>
        <v/>
      </c>
      <c r="S1899" s="1">
        <f t="shared" si="633"/>
        <v>630.90240000000244</v>
      </c>
      <c r="T1899" s="1">
        <f t="shared" si="634"/>
        <v>0</v>
      </c>
      <c r="U1899" s="1">
        <f t="shared" si="635"/>
        <v>0</v>
      </c>
      <c r="V1899" s="1">
        <f t="shared" si="636"/>
        <v>0</v>
      </c>
    </row>
    <row r="1900" spans="5:22" x14ac:dyDescent="0.25">
      <c r="E1900" s="4"/>
      <c r="M1900" s="4">
        <f t="shared" si="629"/>
        <v>173.1</v>
      </c>
      <c r="N1900" s="4"/>
      <c r="O1900" s="1">
        <f t="shared" si="630"/>
        <v>173.1</v>
      </c>
      <c r="P1900" s="1">
        <f t="shared" si="631"/>
        <v>0</v>
      </c>
      <c r="Q1900" s="1" t="str">
        <f t="shared" si="628"/>
        <v/>
      </c>
      <c r="R1900" s="1" t="str">
        <f t="shared" si="632"/>
        <v/>
      </c>
      <c r="S1900" s="1">
        <f t="shared" si="633"/>
        <v>630.90240000000244</v>
      </c>
      <c r="T1900" s="1">
        <f t="shared" si="634"/>
        <v>0</v>
      </c>
      <c r="U1900" s="1">
        <f t="shared" si="635"/>
        <v>0</v>
      </c>
      <c r="V1900" s="1">
        <f t="shared" si="636"/>
        <v>0</v>
      </c>
    </row>
    <row r="1901" spans="5:22" x14ac:dyDescent="0.25">
      <c r="E1901" s="4"/>
      <c r="M1901" s="4">
        <f t="shared" si="629"/>
        <v>173.1</v>
      </c>
      <c r="N1901" s="4"/>
      <c r="O1901" s="1">
        <f t="shared" si="630"/>
        <v>173.1</v>
      </c>
      <c r="P1901" s="1">
        <f t="shared" si="631"/>
        <v>0</v>
      </c>
      <c r="Q1901" s="1" t="str">
        <f t="shared" si="628"/>
        <v/>
      </c>
      <c r="R1901" s="1" t="str">
        <f t="shared" si="632"/>
        <v/>
      </c>
      <c r="S1901" s="1">
        <f t="shared" si="633"/>
        <v>630.90240000000244</v>
      </c>
      <c r="T1901" s="1">
        <f t="shared" si="634"/>
        <v>0</v>
      </c>
      <c r="U1901" s="1">
        <f t="shared" si="635"/>
        <v>0</v>
      </c>
      <c r="V1901" s="1">
        <f t="shared" si="636"/>
        <v>0</v>
      </c>
    </row>
    <row r="1902" spans="5:22" x14ac:dyDescent="0.25">
      <c r="E1902" s="4"/>
      <c r="M1902" s="4">
        <f t="shared" si="629"/>
        <v>173.1</v>
      </c>
      <c r="N1902" s="4"/>
      <c r="O1902" s="1">
        <f t="shared" si="630"/>
        <v>173.1</v>
      </c>
      <c r="P1902" s="1">
        <f t="shared" si="631"/>
        <v>0</v>
      </c>
      <c r="Q1902" s="1" t="str">
        <f t="shared" si="628"/>
        <v/>
      </c>
      <c r="R1902" s="1" t="str">
        <f t="shared" si="632"/>
        <v/>
      </c>
      <c r="S1902" s="1">
        <f t="shared" si="633"/>
        <v>630.90240000000244</v>
      </c>
      <c r="T1902" s="1">
        <f t="shared" si="634"/>
        <v>0</v>
      </c>
      <c r="U1902" s="1">
        <f t="shared" si="635"/>
        <v>0</v>
      </c>
      <c r="V1902" s="1">
        <f t="shared" si="636"/>
        <v>0</v>
      </c>
    </row>
    <row r="1903" spans="5:22" x14ac:dyDescent="0.25">
      <c r="E1903" s="4"/>
      <c r="M1903" s="4">
        <f t="shared" si="629"/>
        <v>173.1</v>
      </c>
      <c r="N1903" s="4"/>
      <c r="O1903" s="1">
        <f t="shared" si="630"/>
        <v>173.1</v>
      </c>
      <c r="P1903" s="1">
        <f t="shared" si="631"/>
        <v>0</v>
      </c>
      <c r="Q1903" s="1" t="str">
        <f t="shared" si="628"/>
        <v/>
      </c>
      <c r="R1903" s="1" t="str">
        <f t="shared" si="632"/>
        <v/>
      </c>
      <c r="S1903" s="1">
        <f t="shared" si="633"/>
        <v>630.90240000000244</v>
      </c>
      <c r="T1903" s="1">
        <f t="shared" si="634"/>
        <v>0</v>
      </c>
      <c r="U1903" s="1">
        <f t="shared" si="635"/>
        <v>0</v>
      </c>
      <c r="V1903" s="1">
        <f t="shared" si="636"/>
        <v>0</v>
      </c>
    </row>
    <row r="1904" spans="5:22" x14ac:dyDescent="0.25">
      <c r="E1904" s="4"/>
      <c r="M1904" s="4">
        <f t="shared" si="629"/>
        <v>173.1</v>
      </c>
      <c r="N1904" s="4"/>
      <c r="O1904" s="1">
        <f t="shared" si="630"/>
        <v>173.1</v>
      </c>
      <c r="P1904" s="1">
        <f t="shared" si="631"/>
        <v>0</v>
      </c>
      <c r="Q1904" s="1" t="str">
        <f t="shared" si="628"/>
        <v/>
      </c>
      <c r="R1904" s="1" t="str">
        <f t="shared" si="632"/>
        <v/>
      </c>
      <c r="S1904" s="1">
        <f t="shared" si="633"/>
        <v>630.90240000000244</v>
      </c>
      <c r="T1904" s="1">
        <f t="shared" si="634"/>
        <v>0</v>
      </c>
      <c r="U1904" s="1">
        <f t="shared" si="635"/>
        <v>0</v>
      </c>
      <c r="V1904" s="1">
        <f t="shared" si="636"/>
        <v>0</v>
      </c>
    </row>
    <row r="1905" spans="5:22" x14ac:dyDescent="0.25">
      <c r="E1905" s="4"/>
      <c r="M1905" s="4">
        <f t="shared" si="629"/>
        <v>173.1</v>
      </c>
      <c r="N1905" s="4"/>
      <c r="O1905" s="1">
        <f t="shared" si="630"/>
        <v>173.1</v>
      </c>
      <c r="P1905" s="1">
        <f t="shared" si="631"/>
        <v>0</v>
      </c>
      <c r="Q1905" s="1" t="str">
        <f t="shared" si="628"/>
        <v/>
      </c>
      <c r="R1905" s="1" t="str">
        <f t="shared" si="632"/>
        <v/>
      </c>
      <c r="S1905" s="1">
        <f t="shared" si="633"/>
        <v>630.90240000000244</v>
      </c>
      <c r="T1905" s="1">
        <f t="shared" si="634"/>
        <v>0</v>
      </c>
      <c r="U1905" s="1">
        <f t="shared" si="635"/>
        <v>0</v>
      </c>
      <c r="V1905" s="1">
        <f t="shared" si="636"/>
        <v>0</v>
      </c>
    </row>
    <row r="1906" spans="5:22" x14ac:dyDescent="0.25">
      <c r="E1906" s="4"/>
      <c r="M1906" s="4">
        <f t="shared" si="629"/>
        <v>173.1</v>
      </c>
      <c r="N1906" s="4"/>
      <c r="O1906" s="1">
        <f t="shared" si="630"/>
        <v>173.1</v>
      </c>
      <c r="P1906" s="1">
        <f t="shared" si="631"/>
        <v>0</v>
      </c>
      <c r="Q1906" s="1" t="str">
        <f t="shared" ref="Q1906:Q1969" si="637">IF(H1906&lt;&gt;"",IF(H1906=H1905,"",H1906),IF(H1904="","",MAX(H1905,Q1905)))</f>
        <v/>
      </c>
      <c r="R1906" s="1" t="str">
        <f t="shared" si="632"/>
        <v/>
      </c>
      <c r="S1906" s="1">
        <f t="shared" si="633"/>
        <v>630.90240000000244</v>
      </c>
      <c r="T1906" s="1">
        <f t="shared" si="634"/>
        <v>0</v>
      </c>
      <c r="U1906" s="1">
        <f t="shared" si="635"/>
        <v>0</v>
      </c>
      <c r="V1906" s="1">
        <f t="shared" si="636"/>
        <v>0</v>
      </c>
    </row>
    <row r="1907" spans="5:22" x14ac:dyDescent="0.25">
      <c r="E1907" s="4"/>
      <c r="M1907" s="4">
        <f t="shared" si="629"/>
        <v>173.1</v>
      </c>
      <c r="N1907" s="4"/>
      <c r="O1907" s="1">
        <f t="shared" si="630"/>
        <v>173.1</v>
      </c>
      <c r="P1907" s="1">
        <f t="shared" si="631"/>
        <v>0</v>
      </c>
      <c r="Q1907" s="1" t="str">
        <f t="shared" si="637"/>
        <v/>
      </c>
      <c r="R1907" s="1" t="str">
        <f t="shared" si="632"/>
        <v/>
      </c>
      <c r="S1907" s="1">
        <f t="shared" si="633"/>
        <v>630.90240000000244</v>
      </c>
      <c r="T1907" s="1">
        <f t="shared" si="634"/>
        <v>0</v>
      </c>
      <c r="U1907" s="1">
        <f t="shared" si="635"/>
        <v>0</v>
      </c>
      <c r="V1907" s="1">
        <f t="shared" si="636"/>
        <v>0</v>
      </c>
    </row>
    <row r="1908" spans="5:22" x14ac:dyDescent="0.25">
      <c r="E1908" s="4"/>
      <c r="M1908" s="4">
        <f t="shared" si="629"/>
        <v>173.1</v>
      </c>
      <c r="N1908" s="4"/>
      <c r="O1908" s="1">
        <f t="shared" si="630"/>
        <v>173.1</v>
      </c>
      <c r="P1908" s="1">
        <f t="shared" si="631"/>
        <v>0</v>
      </c>
      <c r="Q1908" s="1" t="str">
        <f t="shared" si="637"/>
        <v/>
      </c>
      <c r="R1908" s="1" t="str">
        <f t="shared" si="632"/>
        <v/>
      </c>
      <c r="S1908" s="1">
        <f t="shared" si="633"/>
        <v>630.90240000000244</v>
      </c>
      <c r="T1908" s="1">
        <f t="shared" si="634"/>
        <v>0</v>
      </c>
      <c r="U1908" s="1">
        <f t="shared" si="635"/>
        <v>0</v>
      </c>
      <c r="V1908" s="1">
        <f t="shared" si="636"/>
        <v>0</v>
      </c>
    </row>
    <row r="1909" spans="5:22" x14ac:dyDescent="0.25">
      <c r="E1909" s="4"/>
      <c r="M1909" s="4">
        <f t="shared" si="629"/>
        <v>173.1</v>
      </c>
      <c r="N1909" s="4"/>
      <c r="O1909" s="1">
        <f t="shared" si="630"/>
        <v>173.1</v>
      </c>
      <c r="P1909" s="1">
        <f t="shared" si="631"/>
        <v>0</v>
      </c>
      <c r="Q1909" s="1" t="str">
        <f t="shared" si="637"/>
        <v/>
      </c>
      <c r="R1909" s="1" t="str">
        <f t="shared" si="632"/>
        <v/>
      </c>
      <c r="S1909" s="1">
        <f t="shared" si="633"/>
        <v>630.90240000000244</v>
      </c>
      <c r="T1909" s="1">
        <f t="shared" si="634"/>
        <v>0</v>
      </c>
      <c r="U1909" s="1">
        <f t="shared" si="635"/>
        <v>0</v>
      </c>
      <c r="V1909" s="1">
        <f t="shared" si="636"/>
        <v>0</v>
      </c>
    </row>
    <row r="1910" spans="5:22" x14ac:dyDescent="0.25">
      <c r="E1910" s="4"/>
      <c r="M1910" s="4">
        <f t="shared" si="629"/>
        <v>173.1</v>
      </c>
      <c r="N1910" s="4"/>
      <c r="O1910" s="1">
        <f t="shared" si="630"/>
        <v>173.1</v>
      </c>
      <c r="P1910" s="1">
        <f t="shared" si="631"/>
        <v>0</v>
      </c>
      <c r="Q1910" s="1" t="str">
        <f t="shared" si="637"/>
        <v/>
      </c>
      <c r="R1910" s="1" t="str">
        <f t="shared" si="632"/>
        <v/>
      </c>
      <c r="S1910" s="1">
        <f t="shared" si="633"/>
        <v>630.90240000000244</v>
      </c>
      <c r="T1910" s="1">
        <f t="shared" si="634"/>
        <v>0</v>
      </c>
      <c r="U1910" s="1">
        <f t="shared" si="635"/>
        <v>0</v>
      </c>
      <c r="V1910" s="1">
        <f t="shared" si="636"/>
        <v>0</v>
      </c>
    </row>
    <row r="1911" spans="5:22" x14ac:dyDescent="0.25">
      <c r="E1911" s="4"/>
      <c r="M1911" s="4">
        <f t="shared" si="629"/>
        <v>173.1</v>
      </c>
      <c r="N1911" s="4"/>
      <c r="O1911" s="1">
        <f t="shared" si="630"/>
        <v>173.1</v>
      </c>
      <c r="P1911" s="1">
        <f t="shared" si="631"/>
        <v>0</v>
      </c>
      <c r="Q1911" s="1" t="str">
        <f t="shared" si="637"/>
        <v/>
      </c>
      <c r="R1911" s="1" t="str">
        <f t="shared" si="632"/>
        <v/>
      </c>
      <c r="S1911" s="1">
        <f t="shared" si="633"/>
        <v>630.90240000000244</v>
      </c>
      <c r="T1911" s="1">
        <f t="shared" si="634"/>
        <v>0</v>
      </c>
      <c r="U1911" s="1">
        <f t="shared" si="635"/>
        <v>0</v>
      </c>
      <c r="V1911" s="1">
        <f t="shared" si="636"/>
        <v>0</v>
      </c>
    </row>
    <row r="1912" spans="5:22" x14ac:dyDescent="0.25">
      <c r="E1912" s="4"/>
      <c r="M1912" s="4">
        <f t="shared" si="629"/>
        <v>173.1</v>
      </c>
      <c r="N1912" s="4"/>
      <c r="O1912" s="1">
        <f t="shared" si="630"/>
        <v>173.1</v>
      </c>
      <c r="P1912" s="1">
        <f t="shared" si="631"/>
        <v>0</v>
      </c>
      <c r="Q1912" s="1" t="str">
        <f t="shared" si="637"/>
        <v/>
      </c>
      <c r="R1912" s="1" t="str">
        <f t="shared" si="632"/>
        <v/>
      </c>
      <c r="S1912" s="1">
        <f t="shared" si="633"/>
        <v>630.90240000000244</v>
      </c>
      <c r="T1912" s="1">
        <f t="shared" si="634"/>
        <v>0</v>
      </c>
      <c r="U1912" s="1">
        <f t="shared" si="635"/>
        <v>0</v>
      </c>
      <c r="V1912" s="1">
        <f t="shared" si="636"/>
        <v>0</v>
      </c>
    </row>
    <row r="1913" spans="5:22" x14ac:dyDescent="0.25">
      <c r="E1913" s="4"/>
      <c r="M1913" s="4">
        <f t="shared" si="629"/>
        <v>173.1</v>
      </c>
      <c r="N1913" s="4"/>
      <c r="O1913" s="1">
        <f t="shared" si="630"/>
        <v>173.1</v>
      </c>
      <c r="P1913" s="1">
        <f t="shared" si="631"/>
        <v>0</v>
      </c>
      <c r="Q1913" s="1" t="str">
        <f t="shared" si="637"/>
        <v/>
      </c>
      <c r="R1913" s="1" t="str">
        <f t="shared" si="632"/>
        <v/>
      </c>
      <c r="S1913" s="1">
        <f t="shared" si="633"/>
        <v>630.90240000000244</v>
      </c>
      <c r="T1913" s="1">
        <f t="shared" si="634"/>
        <v>0</v>
      </c>
      <c r="U1913" s="1">
        <f t="shared" si="635"/>
        <v>0</v>
      </c>
      <c r="V1913" s="1">
        <f t="shared" si="636"/>
        <v>0</v>
      </c>
    </row>
    <row r="1914" spans="5:22" x14ac:dyDescent="0.25">
      <c r="E1914" s="4"/>
      <c r="M1914" s="4">
        <f t="shared" si="629"/>
        <v>173.1</v>
      </c>
      <c r="N1914" s="4"/>
      <c r="O1914" s="1">
        <f t="shared" si="630"/>
        <v>173.1</v>
      </c>
      <c r="P1914" s="1">
        <f t="shared" si="631"/>
        <v>0</v>
      </c>
      <c r="Q1914" s="1" t="str">
        <f t="shared" si="637"/>
        <v/>
      </c>
      <c r="R1914" s="1" t="str">
        <f t="shared" si="632"/>
        <v/>
      </c>
      <c r="S1914" s="1">
        <f t="shared" si="633"/>
        <v>630.90240000000244</v>
      </c>
      <c r="T1914" s="1">
        <f t="shared" si="634"/>
        <v>0</v>
      </c>
      <c r="U1914" s="1">
        <f t="shared" si="635"/>
        <v>0</v>
      </c>
      <c r="V1914" s="1">
        <f t="shared" si="636"/>
        <v>0</v>
      </c>
    </row>
    <row r="1915" spans="5:22" x14ac:dyDescent="0.25">
      <c r="E1915" s="4"/>
      <c r="M1915" s="4">
        <f t="shared" si="629"/>
        <v>173.1</v>
      </c>
      <c r="N1915" s="4"/>
      <c r="O1915" s="1">
        <f t="shared" si="630"/>
        <v>173.1</v>
      </c>
      <c r="P1915" s="1">
        <f t="shared" si="631"/>
        <v>0</v>
      </c>
      <c r="Q1915" s="1" t="str">
        <f t="shared" si="637"/>
        <v/>
      </c>
      <c r="R1915" s="1" t="str">
        <f t="shared" si="632"/>
        <v/>
      </c>
      <c r="S1915" s="1">
        <f t="shared" si="633"/>
        <v>630.90240000000244</v>
      </c>
      <c r="T1915" s="1">
        <f t="shared" si="634"/>
        <v>0</v>
      </c>
      <c r="U1915" s="1">
        <f t="shared" si="635"/>
        <v>0</v>
      </c>
      <c r="V1915" s="1">
        <f t="shared" si="636"/>
        <v>0</v>
      </c>
    </row>
    <row r="1916" spans="5:22" x14ac:dyDescent="0.25">
      <c r="E1916" s="4"/>
      <c r="M1916" s="4">
        <f t="shared" si="629"/>
        <v>173.1</v>
      </c>
      <c r="N1916" s="4"/>
      <c r="O1916" s="1">
        <f t="shared" si="630"/>
        <v>173.1</v>
      </c>
      <c r="P1916" s="1">
        <f t="shared" si="631"/>
        <v>0</v>
      </c>
      <c r="Q1916" s="1" t="str">
        <f t="shared" si="637"/>
        <v/>
      </c>
      <c r="R1916" s="1" t="str">
        <f t="shared" si="632"/>
        <v/>
      </c>
      <c r="S1916" s="1">
        <f t="shared" si="633"/>
        <v>630.90240000000244</v>
      </c>
      <c r="T1916" s="1">
        <f t="shared" si="634"/>
        <v>0</v>
      </c>
      <c r="U1916" s="1">
        <f t="shared" si="635"/>
        <v>0</v>
      </c>
      <c r="V1916" s="1">
        <f t="shared" si="636"/>
        <v>0</v>
      </c>
    </row>
    <row r="1917" spans="5:22" x14ac:dyDescent="0.25">
      <c r="E1917" s="4"/>
      <c r="M1917" s="4">
        <f t="shared" si="629"/>
        <v>173.1</v>
      </c>
      <c r="N1917" s="4"/>
      <c r="O1917" s="1">
        <f t="shared" si="630"/>
        <v>173.1</v>
      </c>
      <c r="P1917" s="1">
        <f t="shared" si="631"/>
        <v>0</v>
      </c>
      <c r="Q1917" s="1" t="str">
        <f t="shared" si="637"/>
        <v/>
      </c>
      <c r="R1917" s="1" t="str">
        <f t="shared" si="632"/>
        <v/>
      </c>
      <c r="S1917" s="1">
        <f t="shared" si="633"/>
        <v>630.90240000000244</v>
      </c>
      <c r="T1917" s="1">
        <f t="shared" si="634"/>
        <v>0</v>
      </c>
      <c r="U1917" s="1">
        <f t="shared" si="635"/>
        <v>0</v>
      </c>
      <c r="V1917" s="1">
        <f t="shared" si="636"/>
        <v>0</v>
      </c>
    </row>
    <row r="1918" spans="5:22" x14ac:dyDescent="0.25">
      <c r="E1918" s="4"/>
      <c r="M1918" s="4">
        <f t="shared" si="629"/>
        <v>173.1</v>
      </c>
      <c r="N1918" s="4"/>
      <c r="O1918" s="1">
        <f t="shared" si="630"/>
        <v>173.1</v>
      </c>
      <c r="P1918" s="1">
        <f t="shared" si="631"/>
        <v>0</v>
      </c>
      <c r="Q1918" s="1" t="str">
        <f t="shared" si="637"/>
        <v/>
      </c>
      <c r="R1918" s="1" t="str">
        <f t="shared" si="632"/>
        <v/>
      </c>
      <c r="S1918" s="1">
        <f t="shared" si="633"/>
        <v>630.90240000000244</v>
      </c>
      <c r="T1918" s="1">
        <f t="shared" si="634"/>
        <v>0</v>
      </c>
      <c r="U1918" s="1">
        <f t="shared" si="635"/>
        <v>0</v>
      </c>
      <c r="V1918" s="1">
        <f t="shared" si="636"/>
        <v>0</v>
      </c>
    </row>
    <row r="1919" spans="5:22" x14ac:dyDescent="0.25">
      <c r="E1919" s="4"/>
      <c r="M1919" s="4">
        <f t="shared" si="629"/>
        <v>173.1</v>
      </c>
      <c r="N1919" s="4"/>
      <c r="O1919" s="1">
        <f t="shared" si="630"/>
        <v>173.1</v>
      </c>
      <c r="P1919" s="1">
        <f t="shared" si="631"/>
        <v>0</v>
      </c>
      <c r="Q1919" s="1" t="str">
        <f t="shared" si="637"/>
        <v/>
      </c>
      <c r="R1919" s="1" t="str">
        <f t="shared" si="632"/>
        <v/>
      </c>
      <c r="S1919" s="1">
        <f t="shared" si="633"/>
        <v>630.90240000000244</v>
      </c>
      <c r="T1919" s="1">
        <f t="shared" si="634"/>
        <v>0</v>
      </c>
      <c r="U1919" s="1">
        <f t="shared" si="635"/>
        <v>0</v>
      </c>
      <c r="V1919" s="1">
        <f t="shared" si="636"/>
        <v>0</v>
      </c>
    </row>
    <row r="1920" spans="5:22" x14ac:dyDescent="0.25">
      <c r="E1920" s="4"/>
      <c r="M1920" s="4">
        <f t="shared" si="629"/>
        <v>173.1</v>
      </c>
      <c r="N1920" s="4"/>
      <c r="O1920" s="1">
        <f t="shared" si="630"/>
        <v>173.1</v>
      </c>
      <c r="P1920" s="1">
        <f t="shared" si="631"/>
        <v>0</v>
      </c>
      <c r="Q1920" s="1" t="str">
        <f t="shared" si="637"/>
        <v/>
      </c>
      <c r="R1920" s="1" t="str">
        <f t="shared" si="632"/>
        <v/>
      </c>
      <c r="S1920" s="1">
        <f t="shared" si="633"/>
        <v>630.90240000000244</v>
      </c>
      <c r="T1920" s="1">
        <f t="shared" si="634"/>
        <v>0</v>
      </c>
      <c r="U1920" s="1">
        <f t="shared" si="635"/>
        <v>0</v>
      </c>
      <c r="V1920" s="1">
        <f t="shared" si="636"/>
        <v>0</v>
      </c>
    </row>
    <row r="1921" spans="5:22" x14ac:dyDescent="0.25">
      <c r="E1921" s="4"/>
      <c r="M1921" s="4">
        <f t="shared" si="629"/>
        <v>173.1</v>
      </c>
      <c r="N1921" s="4"/>
      <c r="O1921" s="1">
        <f t="shared" si="630"/>
        <v>173.1</v>
      </c>
      <c r="P1921" s="1">
        <f t="shared" si="631"/>
        <v>0</v>
      </c>
      <c r="Q1921" s="1" t="str">
        <f t="shared" si="637"/>
        <v/>
      </c>
      <c r="R1921" s="1" t="str">
        <f t="shared" si="632"/>
        <v/>
      </c>
      <c r="S1921" s="1">
        <f t="shared" si="633"/>
        <v>630.90240000000244</v>
      </c>
      <c r="T1921" s="1">
        <f t="shared" si="634"/>
        <v>0</v>
      </c>
      <c r="U1921" s="1">
        <f t="shared" si="635"/>
        <v>0</v>
      </c>
      <c r="V1921" s="1">
        <f t="shared" si="636"/>
        <v>0</v>
      </c>
    </row>
    <row r="1922" spans="5:22" x14ac:dyDescent="0.25">
      <c r="E1922" s="4"/>
      <c r="M1922" s="4">
        <f t="shared" si="629"/>
        <v>173.1</v>
      </c>
      <c r="N1922" s="4"/>
      <c r="O1922" s="1">
        <f t="shared" si="630"/>
        <v>173.1</v>
      </c>
      <c r="P1922" s="1">
        <f t="shared" si="631"/>
        <v>0</v>
      </c>
      <c r="Q1922" s="1" t="str">
        <f t="shared" si="637"/>
        <v/>
      </c>
      <c r="R1922" s="1" t="str">
        <f t="shared" si="632"/>
        <v/>
      </c>
      <c r="S1922" s="1">
        <f t="shared" si="633"/>
        <v>630.90240000000244</v>
      </c>
      <c r="T1922" s="1">
        <f t="shared" si="634"/>
        <v>0</v>
      </c>
      <c r="U1922" s="1">
        <f t="shared" si="635"/>
        <v>0</v>
      </c>
      <c r="V1922" s="1">
        <f t="shared" si="636"/>
        <v>0</v>
      </c>
    </row>
    <row r="1923" spans="5:22" x14ac:dyDescent="0.25">
      <c r="E1923" s="4"/>
      <c r="M1923" s="4">
        <f t="shared" si="629"/>
        <v>173.1</v>
      </c>
      <c r="N1923" s="4"/>
      <c r="O1923" s="1">
        <f t="shared" si="630"/>
        <v>173.1</v>
      </c>
      <c r="P1923" s="1">
        <f t="shared" si="631"/>
        <v>0</v>
      </c>
      <c r="Q1923" s="1" t="str">
        <f t="shared" si="637"/>
        <v/>
      </c>
      <c r="R1923" s="1" t="str">
        <f t="shared" si="632"/>
        <v/>
      </c>
      <c r="S1923" s="1">
        <f t="shared" si="633"/>
        <v>630.90240000000244</v>
      </c>
      <c r="T1923" s="1">
        <f t="shared" si="634"/>
        <v>0</v>
      </c>
      <c r="U1923" s="1">
        <f t="shared" si="635"/>
        <v>0</v>
      </c>
      <c r="V1923" s="1">
        <f t="shared" si="636"/>
        <v>0</v>
      </c>
    </row>
    <row r="1924" spans="5:22" x14ac:dyDescent="0.25">
      <c r="E1924" s="4"/>
      <c r="M1924" s="4">
        <f t="shared" si="629"/>
        <v>173.1</v>
      </c>
      <c r="N1924" s="4"/>
      <c r="O1924" s="1">
        <f t="shared" si="630"/>
        <v>173.1</v>
      </c>
      <c r="P1924" s="1">
        <f t="shared" si="631"/>
        <v>0</v>
      </c>
      <c r="Q1924" s="1" t="str">
        <f t="shared" si="637"/>
        <v/>
      </c>
      <c r="R1924" s="1" t="str">
        <f t="shared" si="632"/>
        <v/>
      </c>
      <c r="S1924" s="1">
        <f t="shared" si="633"/>
        <v>630.90240000000244</v>
      </c>
      <c r="T1924" s="1">
        <f t="shared" si="634"/>
        <v>0</v>
      </c>
      <c r="U1924" s="1">
        <f t="shared" si="635"/>
        <v>0</v>
      </c>
      <c r="V1924" s="1">
        <f t="shared" si="636"/>
        <v>0</v>
      </c>
    </row>
    <row r="1925" spans="5:22" x14ac:dyDescent="0.25">
      <c r="E1925" s="4"/>
      <c r="M1925" s="4">
        <f t="shared" si="629"/>
        <v>173.1</v>
      </c>
      <c r="N1925" s="4"/>
      <c r="O1925" s="1">
        <f t="shared" si="630"/>
        <v>173.1</v>
      </c>
      <c r="P1925" s="1">
        <f t="shared" si="631"/>
        <v>0</v>
      </c>
      <c r="Q1925" s="1" t="str">
        <f t="shared" si="637"/>
        <v/>
      </c>
      <c r="R1925" s="1" t="str">
        <f t="shared" si="632"/>
        <v/>
      </c>
      <c r="S1925" s="1">
        <f t="shared" si="633"/>
        <v>630.90240000000244</v>
      </c>
      <c r="T1925" s="1">
        <f t="shared" si="634"/>
        <v>0</v>
      </c>
      <c r="U1925" s="1">
        <f t="shared" si="635"/>
        <v>0</v>
      </c>
      <c r="V1925" s="1">
        <f t="shared" si="636"/>
        <v>0</v>
      </c>
    </row>
    <row r="1926" spans="5:22" x14ac:dyDescent="0.25">
      <c r="E1926" s="4"/>
      <c r="M1926" s="4">
        <f t="shared" si="629"/>
        <v>173.1</v>
      </c>
      <c r="N1926" s="4"/>
      <c r="O1926" s="1">
        <f t="shared" si="630"/>
        <v>173.1</v>
      </c>
      <c r="P1926" s="1">
        <f t="shared" si="631"/>
        <v>0</v>
      </c>
      <c r="Q1926" s="1" t="str">
        <f t="shared" si="637"/>
        <v/>
      </c>
      <c r="R1926" s="1" t="str">
        <f t="shared" si="632"/>
        <v/>
      </c>
      <c r="S1926" s="1">
        <f t="shared" si="633"/>
        <v>630.90240000000244</v>
      </c>
      <c r="T1926" s="1">
        <f t="shared" si="634"/>
        <v>0</v>
      </c>
      <c r="U1926" s="1">
        <f t="shared" si="635"/>
        <v>0</v>
      </c>
      <c r="V1926" s="1">
        <f t="shared" si="636"/>
        <v>0</v>
      </c>
    </row>
    <row r="1927" spans="5:22" x14ac:dyDescent="0.25">
      <c r="E1927" s="4"/>
      <c r="M1927" s="4">
        <f t="shared" si="629"/>
        <v>173.1</v>
      </c>
      <c r="N1927" s="4"/>
      <c r="O1927" s="1">
        <f t="shared" si="630"/>
        <v>173.1</v>
      </c>
      <c r="P1927" s="1">
        <f t="shared" si="631"/>
        <v>0</v>
      </c>
      <c r="Q1927" s="1" t="str">
        <f t="shared" si="637"/>
        <v/>
      </c>
      <c r="R1927" s="1" t="str">
        <f t="shared" si="632"/>
        <v/>
      </c>
      <c r="S1927" s="1">
        <f t="shared" si="633"/>
        <v>630.90240000000244</v>
      </c>
      <c r="T1927" s="1">
        <f t="shared" si="634"/>
        <v>0</v>
      </c>
      <c r="U1927" s="1">
        <f t="shared" si="635"/>
        <v>0</v>
      </c>
      <c r="V1927" s="1">
        <f t="shared" si="636"/>
        <v>0</v>
      </c>
    </row>
    <row r="1928" spans="5:22" x14ac:dyDescent="0.25">
      <c r="E1928" s="4"/>
      <c r="M1928" s="4">
        <f t="shared" ref="M1928:M1991" si="638">E1928+M1927</f>
        <v>173.1</v>
      </c>
      <c r="N1928" s="4"/>
      <c r="O1928" s="1">
        <f t="shared" ref="O1928:O1991" si="639">E1927+O1927</f>
        <v>173.1</v>
      </c>
      <c r="P1928" s="1">
        <f t="shared" ref="P1928:P1991" si="640">F1928*52.8*E1928</f>
        <v>0</v>
      </c>
      <c r="Q1928" s="1" t="str">
        <f t="shared" si="637"/>
        <v/>
      </c>
      <c r="R1928" s="1" t="str">
        <f t="shared" ref="R1928:R1991" si="641">IF(I1928="",Q1928,IF(AND(H1928=H1927,I1928=I1927),"",I1928))</f>
        <v/>
      </c>
      <c r="S1928" s="1">
        <f t="shared" ref="S1928:S1991" si="642">S1927+U1927*T1927/100</f>
        <v>630.90240000000244</v>
      </c>
      <c r="T1928" s="1">
        <f t="shared" ref="T1928:T1991" si="643">IF(G1928="UNK",0,G1928)</f>
        <v>0</v>
      </c>
      <c r="U1928" s="1">
        <f t="shared" ref="U1928:U1991" si="644">E1928*5280</f>
        <v>0</v>
      </c>
      <c r="V1928" s="1">
        <f t="shared" ref="V1928:V1991" si="645">ABS(T1928*U1928)</f>
        <v>0</v>
      </c>
    </row>
    <row r="1929" spans="5:22" x14ac:dyDescent="0.25">
      <c r="E1929" s="4"/>
      <c r="M1929" s="4">
        <f t="shared" si="638"/>
        <v>173.1</v>
      </c>
      <c r="N1929" s="4"/>
      <c r="O1929" s="1">
        <f t="shared" si="639"/>
        <v>173.1</v>
      </c>
      <c r="P1929" s="1">
        <f t="shared" si="640"/>
        <v>0</v>
      </c>
      <c r="Q1929" s="1" t="str">
        <f t="shared" si="637"/>
        <v/>
      </c>
      <c r="R1929" s="1" t="str">
        <f t="shared" si="641"/>
        <v/>
      </c>
      <c r="S1929" s="1">
        <f t="shared" si="642"/>
        <v>630.90240000000244</v>
      </c>
      <c r="T1929" s="1">
        <f t="shared" si="643"/>
        <v>0</v>
      </c>
      <c r="U1929" s="1">
        <f t="shared" si="644"/>
        <v>0</v>
      </c>
      <c r="V1929" s="1">
        <f t="shared" si="645"/>
        <v>0</v>
      </c>
    </row>
    <row r="1930" spans="5:22" x14ac:dyDescent="0.25">
      <c r="E1930" s="4"/>
      <c r="M1930" s="4">
        <f t="shared" si="638"/>
        <v>173.1</v>
      </c>
      <c r="N1930" s="4"/>
      <c r="O1930" s="1">
        <f t="shared" si="639"/>
        <v>173.1</v>
      </c>
      <c r="P1930" s="1">
        <f t="shared" si="640"/>
        <v>0</v>
      </c>
      <c r="Q1930" s="1" t="str">
        <f t="shared" si="637"/>
        <v/>
      </c>
      <c r="R1930" s="1" t="str">
        <f t="shared" si="641"/>
        <v/>
      </c>
      <c r="S1930" s="1">
        <f t="shared" si="642"/>
        <v>630.90240000000244</v>
      </c>
      <c r="T1930" s="1">
        <f t="shared" si="643"/>
        <v>0</v>
      </c>
      <c r="U1930" s="1">
        <f t="shared" si="644"/>
        <v>0</v>
      </c>
      <c r="V1930" s="1">
        <f t="shared" si="645"/>
        <v>0</v>
      </c>
    </row>
    <row r="1931" spans="5:22" x14ac:dyDescent="0.25">
      <c r="E1931" s="4"/>
      <c r="M1931" s="4">
        <f t="shared" si="638"/>
        <v>173.1</v>
      </c>
      <c r="N1931" s="4"/>
      <c r="O1931" s="1">
        <f t="shared" si="639"/>
        <v>173.1</v>
      </c>
      <c r="P1931" s="1">
        <f t="shared" si="640"/>
        <v>0</v>
      </c>
      <c r="Q1931" s="1" t="str">
        <f t="shared" si="637"/>
        <v/>
      </c>
      <c r="R1931" s="1" t="str">
        <f t="shared" si="641"/>
        <v/>
      </c>
      <c r="S1931" s="1">
        <f t="shared" si="642"/>
        <v>630.90240000000244</v>
      </c>
      <c r="T1931" s="1">
        <f t="shared" si="643"/>
        <v>0</v>
      </c>
      <c r="U1931" s="1">
        <f t="shared" si="644"/>
        <v>0</v>
      </c>
      <c r="V1931" s="1">
        <f t="shared" si="645"/>
        <v>0</v>
      </c>
    </row>
    <row r="1932" spans="5:22" x14ac:dyDescent="0.25">
      <c r="E1932" s="4"/>
      <c r="M1932" s="4">
        <f t="shared" si="638"/>
        <v>173.1</v>
      </c>
      <c r="N1932" s="4"/>
      <c r="O1932" s="1">
        <f t="shared" si="639"/>
        <v>173.1</v>
      </c>
      <c r="P1932" s="1">
        <f t="shared" si="640"/>
        <v>0</v>
      </c>
      <c r="Q1932" s="1" t="str">
        <f t="shared" si="637"/>
        <v/>
      </c>
      <c r="R1932" s="1" t="str">
        <f t="shared" si="641"/>
        <v/>
      </c>
      <c r="S1932" s="1">
        <f t="shared" si="642"/>
        <v>630.90240000000244</v>
      </c>
      <c r="T1932" s="1">
        <f t="shared" si="643"/>
        <v>0</v>
      </c>
      <c r="U1932" s="1">
        <f t="shared" si="644"/>
        <v>0</v>
      </c>
      <c r="V1932" s="1">
        <f t="shared" si="645"/>
        <v>0</v>
      </c>
    </row>
    <row r="1933" spans="5:22" x14ac:dyDescent="0.25">
      <c r="E1933" s="4"/>
      <c r="M1933" s="4">
        <f t="shared" si="638"/>
        <v>173.1</v>
      </c>
      <c r="N1933" s="4"/>
      <c r="O1933" s="1">
        <f t="shared" si="639"/>
        <v>173.1</v>
      </c>
      <c r="P1933" s="1">
        <f t="shared" si="640"/>
        <v>0</v>
      </c>
      <c r="Q1933" s="1" t="str">
        <f t="shared" si="637"/>
        <v/>
      </c>
      <c r="R1933" s="1" t="str">
        <f t="shared" si="641"/>
        <v/>
      </c>
      <c r="S1933" s="1">
        <f t="shared" si="642"/>
        <v>630.90240000000244</v>
      </c>
      <c r="T1933" s="1">
        <f t="shared" si="643"/>
        <v>0</v>
      </c>
      <c r="U1933" s="1">
        <f t="shared" si="644"/>
        <v>0</v>
      </c>
      <c r="V1933" s="1">
        <f t="shared" si="645"/>
        <v>0</v>
      </c>
    </row>
    <row r="1934" spans="5:22" x14ac:dyDescent="0.25">
      <c r="E1934" s="4"/>
      <c r="M1934" s="4">
        <f t="shared" si="638"/>
        <v>173.1</v>
      </c>
      <c r="N1934" s="4"/>
      <c r="O1934" s="1">
        <f t="shared" si="639"/>
        <v>173.1</v>
      </c>
      <c r="P1934" s="1">
        <f t="shared" si="640"/>
        <v>0</v>
      </c>
      <c r="Q1934" s="1" t="str">
        <f t="shared" si="637"/>
        <v/>
      </c>
      <c r="R1934" s="1" t="str">
        <f t="shared" si="641"/>
        <v/>
      </c>
      <c r="S1934" s="1">
        <f t="shared" si="642"/>
        <v>630.90240000000244</v>
      </c>
      <c r="T1934" s="1">
        <f t="shared" si="643"/>
        <v>0</v>
      </c>
      <c r="U1934" s="1">
        <f t="shared" si="644"/>
        <v>0</v>
      </c>
      <c r="V1934" s="1">
        <f t="shared" si="645"/>
        <v>0</v>
      </c>
    </row>
    <row r="1935" spans="5:22" x14ac:dyDescent="0.25">
      <c r="E1935" s="4"/>
      <c r="M1935" s="4">
        <f t="shared" si="638"/>
        <v>173.1</v>
      </c>
      <c r="N1935" s="4"/>
      <c r="O1935" s="1">
        <f t="shared" si="639"/>
        <v>173.1</v>
      </c>
      <c r="P1935" s="1">
        <f t="shared" si="640"/>
        <v>0</v>
      </c>
      <c r="Q1935" s="1" t="str">
        <f t="shared" si="637"/>
        <v/>
      </c>
      <c r="R1935" s="1" t="str">
        <f t="shared" si="641"/>
        <v/>
      </c>
      <c r="S1935" s="1">
        <f t="shared" si="642"/>
        <v>630.90240000000244</v>
      </c>
      <c r="T1935" s="1">
        <f t="shared" si="643"/>
        <v>0</v>
      </c>
      <c r="U1935" s="1">
        <f t="shared" si="644"/>
        <v>0</v>
      </c>
      <c r="V1935" s="1">
        <f t="shared" si="645"/>
        <v>0</v>
      </c>
    </row>
    <row r="1936" spans="5:22" x14ac:dyDescent="0.25">
      <c r="E1936" s="4"/>
      <c r="M1936" s="4">
        <f t="shared" si="638"/>
        <v>173.1</v>
      </c>
      <c r="N1936" s="4"/>
      <c r="O1936" s="1">
        <f t="shared" si="639"/>
        <v>173.1</v>
      </c>
      <c r="P1936" s="1">
        <f t="shared" si="640"/>
        <v>0</v>
      </c>
      <c r="Q1936" s="1" t="str">
        <f t="shared" si="637"/>
        <v/>
      </c>
      <c r="R1936" s="1" t="str">
        <f t="shared" si="641"/>
        <v/>
      </c>
      <c r="S1936" s="1">
        <f t="shared" si="642"/>
        <v>630.90240000000244</v>
      </c>
      <c r="T1936" s="1">
        <f t="shared" si="643"/>
        <v>0</v>
      </c>
      <c r="U1936" s="1">
        <f t="shared" si="644"/>
        <v>0</v>
      </c>
      <c r="V1936" s="1">
        <f t="shared" si="645"/>
        <v>0</v>
      </c>
    </row>
    <row r="1937" spans="5:22" x14ac:dyDescent="0.25">
      <c r="E1937" s="4"/>
      <c r="M1937" s="4">
        <f t="shared" si="638"/>
        <v>173.1</v>
      </c>
      <c r="N1937" s="4"/>
      <c r="O1937" s="1">
        <f t="shared" si="639"/>
        <v>173.1</v>
      </c>
      <c r="P1937" s="1">
        <f t="shared" si="640"/>
        <v>0</v>
      </c>
      <c r="Q1937" s="1" t="str">
        <f t="shared" si="637"/>
        <v/>
      </c>
      <c r="R1937" s="1" t="str">
        <f t="shared" si="641"/>
        <v/>
      </c>
      <c r="S1937" s="1">
        <f t="shared" si="642"/>
        <v>630.90240000000244</v>
      </c>
      <c r="T1937" s="1">
        <f t="shared" si="643"/>
        <v>0</v>
      </c>
      <c r="U1937" s="1">
        <f t="shared" si="644"/>
        <v>0</v>
      </c>
      <c r="V1937" s="1">
        <f t="shared" si="645"/>
        <v>0</v>
      </c>
    </row>
    <row r="1938" spans="5:22" x14ac:dyDescent="0.25">
      <c r="E1938" s="4"/>
      <c r="M1938" s="4">
        <f t="shared" si="638"/>
        <v>173.1</v>
      </c>
      <c r="N1938" s="4"/>
      <c r="O1938" s="1">
        <f t="shared" si="639"/>
        <v>173.1</v>
      </c>
      <c r="P1938" s="1">
        <f t="shared" si="640"/>
        <v>0</v>
      </c>
      <c r="Q1938" s="1" t="str">
        <f t="shared" si="637"/>
        <v/>
      </c>
      <c r="R1938" s="1" t="str">
        <f t="shared" si="641"/>
        <v/>
      </c>
      <c r="S1938" s="1">
        <f t="shared" si="642"/>
        <v>630.90240000000244</v>
      </c>
      <c r="T1938" s="1">
        <f t="shared" si="643"/>
        <v>0</v>
      </c>
      <c r="U1938" s="1">
        <f t="shared" si="644"/>
        <v>0</v>
      </c>
      <c r="V1938" s="1">
        <f t="shared" si="645"/>
        <v>0</v>
      </c>
    </row>
    <row r="1939" spans="5:22" x14ac:dyDescent="0.25">
      <c r="E1939" s="4"/>
      <c r="M1939" s="4">
        <f t="shared" si="638"/>
        <v>173.1</v>
      </c>
      <c r="N1939" s="4"/>
      <c r="O1939" s="1">
        <f t="shared" si="639"/>
        <v>173.1</v>
      </c>
      <c r="P1939" s="1">
        <f t="shared" si="640"/>
        <v>0</v>
      </c>
      <c r="Q1939" s="1" t="str">
        <f t="shared" si="637"/>
        <v/>
      </c>
      <c r="R1939" s="1" t="str">
        <f t="shared" si="641"/>
        <v/>
      </c>
      <c r="S1939" s="1">
        <f t="shared" si="642"/>
        <v>630.90240000000244</v>
      </c>
      <c r="T1939" s="1">
        <f t="shared" si="643"/>
        <v>0</v>
      </c>
      <c r="U1939" s="1">
        <f t="shared" si="644"/>
        <v>0</v>
      </c>
      <c r="V1939" s="1">
        <f t="shared" si="645"/>
        <v>0</v>
      </c>
    </row>
    <row r="1940" spans="5:22" x14ac:dyDescent="0.25">
      <c r="E1940" s="4"/>
      <c r="M1940" s="4">
        <f t="shared" si="638"/>
        <v>173.1</v>
      </c>
      <c r="N1940" s="4"/>
      <c r="O1940" s="1">
        <f t="shared" si="639"/>
        <v>173.1</v>
      </c>
      <c r="P1940" s="1">
        <f t="shared" si="640"/>
        <v>0</v>
      </c>
      <c r="Q1940" s="1" t="str">
        <f t="shared" si="637"/>
        <v/>
      </c>
      <c r="R1940" s="1" t="str">
        <f t="shared" si="641"/>
        <v/>
      </c>
      <c r="S1940" s="1">
        <f t="shared" si="642"/>
        <v>630.90240000000244</v>
      </c>
      <c r="T1940" s="1">
        <f t="shared" si="643"/>
        <v>0</v>
      </c>
      <c r="U1940" s="1">
        <f t="shared" si="644"/>
        <v>0</v>
      </c>
      <c r="V1940" s="1">
        <f t="shared" si="645"/>
        <v>0</v>
      </c>
    </row>
    <row r="1941" spans="5:22" x14ac:dyDescent="0.25">
      <c r="E1941" s="4"/>
      <c r="M1941" s="4">
        <f t="shared" si="638"/>
        <v>173.1</v>
      </c>
      <c r="N1941" s="4"/>
      <c r="O1941" s="1">
        <f t="shared" si="639"/>
        <v>173.1</v>
      </c>
      <c r="P1941" s="1">
        <f t="shared" si="640"/>
        <v>0</v>
      </c>
      <c r="Q1941" s="1" t="str">
        <f t="shared" si="637"/>
        <v/>
      </c>
      <c r="R1941" s="1" t="str">
        <f t="shared" si="641"/>
        <v/>
      </c>
      <c r="S1941" s="1">
        <f t="shared" si="642"/>
        <v>630.90240000000244</v>
      </c>
      <c r="T1941" s="1">
        <f t="shared" si="643"/>
        <v>0</v>
      </c>
      <c r="U1941" s="1">
        <f t="shared" si="644"/>
        <v>0</v>
      </c>
      <c r="V1941" s="1">
        <f t="shared" si="645"/>
        <v>0</v>
      </c>
    </row>
    <row r="1942" spans="5:22" x14ac:dyDescent="0.25">
      <c r="E1942" s="4"/>
      <c r="M1942" s="4">
        <f t="shared" si="638"/>
        <v>173.1</v>
      </c>
      <c r="N1942" s="4"/>
      <c r="O1942" s="1">
        <f t="shared" si="639"/>
        <v>173.1</v>
      </c>
      <c r="P1942" s="1">
        <f t="shared" si="640"/>
        <v>0</v>
      </c>
      <c r="Q1942" s="1" t="str">
        <f t="shared" si="637"/>
        <v/>
      </c>
      <c r="R1942" s="1" t="str">
        <f t="shared" si="641"/>
        <v/>
      </c>
      <c r="S1942" s="1">
        <f t="shared" si="642"/>
        <v>630.90240000000244</v>
      </c>
      <c r="T1942" s="1">
        <f t="shared" si="643"/>
        <v>0</v>
      </c>
      <c r="U1942" s="1">
        <f t="shared" si="644"/>
        <v>0</v>
      </c>
      <c r="V1942" s="1">
        <f t="shared" si="645"/>
        <v>0</v>
      </c>
    </row>
    <row r="1943" spans="5:22" x14ac:dyDescent="0.25">
      <c r="E1943" s="4"/>
      <c r="M1943" s="4">
        <f t="shared" si="638"/>
        <v>173.1</v>
      </c>
      <c r="N1943" s="4"/>
      <c r="O1943" s="1">
        <f t="shared" si="639"/>
        <v>173.1</v>
      </c>
      <c r="P1943" s="1">
        <f t="shared" si="640"/>
        <v>0</v>
      </c>
      <c r="Q1943" s="1" t="str">
        <f t="shared" si="637"/>
        <v/>
      </c>
      <c r="R1943" s="1" t="str">
        <f t="shared" si="641"/>
        <v/>
      </c>
      <c r="S1943" s="1">
        <f t="shared" si="642"/>
        <v>630.90240000000244</v>
      </c>
      <c r="T1943" s="1">
        <f t="shared" si="643"/>
        <v>0</v>
      </c>
      <c r="U1943" s="1">
        <f t="shared" si="644"/>
        <v>0</v>
      </c>
      <c r="V1943" s="1">
        <f t="shared" si="645"/>
        <v>0</v>
      </c>
    </row>
    <row r="1944" spans="5:22" x14ac:dyDescent="0.25">
      <c r="E1944" s="4"/>
      <c r="M1944" s="4">
        <f t="shared" si="638"/>
        <v>173.1</v>
      </c>
      <c r="N1944" s="4"/>
      <c r="O1944" s="1">
        <f t="shared" si="639"/>
        <v>173.1</v>
      </c>
      <c r="P1944" s="1">
        <f t="shared" si="640"/>
        <v>0</v>
      </c>
      <c r="Q1944" s="1" t="str">
        <f t="shared" si="637"/>
        <v/>
      </c>
      <c r="R1944" s="1" t="str">
        <f t="shared" si="641"/>
        <v/>
      </c>
      <c r="S1944" s="1">
        <f t="shared" si="642"/>
        <v>630.90240000000244</v>
      </c>
      <c r="T1944" s="1">
        <f t="shared" si="643"/>
        <v>0</v>
      </c>
      <c r="U1944" s="1">
        <f t="shared" si="644"/>
        <v>0</v>
      </c>
      <c r="V1944" s="1">
        <f t="shared" si="645"/>
        <v>0</v>
      </c>
    </row>
    <row r="1945" spans="5:22" x14ac:dyDescent="0.25">
      <c r="E1945" s="4"/>
      <c r="M1945" s="4">
        <f t="shared" si="638"/>
        <v>173.1</v>
      </c>
      <c r="N1945" s="4"/>
      <c r="O1945" s="1">
        <f t="shared" si="639"/>
        <v>173.1</v>
      </c>
      <c r="P1945" s="1">
        <f t="shared" si="640"/>
        <v>0</v>
      </c>
      <c r="Q1945" s="1" t="str">
        <f t="shared" si="637"/>
        <v/>
      </c>
      <c r="R1945" s="1" t="str">
        <f t="shared" si="641"/>
        <v/>
      </c>
      <c r="S1945" s="1">
        <f t="shared" si="642"/>
        <v>630.90240000000244</v>
      </c>
      <c r="T1945" s="1">
        <f t="shared" si="643"/>
        <v>0</v>
      </c>
      <c r="U1945" s="1">
        <f t="shared" si="644"/>
        <v>0</v>
      </c>
      <c r="V1945" s="1">
        <f t="shared" si="645"/>
        <v>0</v>
      </c>
    </row>
    <row r="1946" spans="5:22" x14ac:dyDescent="0.25">
      <c r="E1946" s="4"/>
      <c r="M1946" s="4">
        <f t="shared" si="638"/>
        <v>173.1</v>
      </c>
      <c r="N1946" s="4"/>
      <c r="O1946" s="1">
        <f t="shared" si="639"/>
        <v>173.1</v>
      </c>
      <c r="P1946" s="1">
        <f t="shared" si="640"/>
        <v>0</v>
      </c>
      <c r="Q1946" s="1" t="str">
        <f t="shared" si="637"/>
        <v/>
      </c>
      <c r="R1946" s="1" t="str">
        <f t="shared" si="641"/>
        <v/>
      </c>
      <c r="S1946" s="1">
        <f t="shared" si="642"/>
        <v>630.90240000000244</v>
      </c>
      <c r="T1946" s="1">
        <f t="shared" si="643"/>
        <v>0</v>
      </c>
      <c r="U1946" s="1">
        <f t="shared" si="644"/>
        <v>0</v>
      </c>
      <c r="V1946" s="1">
        <f t="shared" si="645"/>
        <v>0</v>
      </c>
    </row>
    <row r="1947" spans="5:22" x14ac:dyDescent="0.25">
      <c r="E1947" s="4"/>
      <c r="M1947" s="4">
        <f t="shared" si="638"/>
        <v>173.1</v>
      </c>
      <c r="N1947" s="4"/>
      <c r="O1947" s="1">
        <f t="shared" si="639"/>
        <v>173.1</v>
      </c>
      <c r="P1947" s="1">
        <f t="shared" si="640"/>
        <v>0</v>
      </c>
      <c r="Q1947" s="1" t="str">
        <f t="shared" si="637"/>
        <v/>
      </c>
      <c r="R1947" s="1" t="str">
        <f t="shared" si="641"/>
        <v/>
      </c>
      <c r="S1947" s="1">
        <f t="shared" si="642"/>
        <v>630.90240000000244</v>
      </c>
      <c r="T1947" s="1">
        <f t="shared" si="643"/>
        <v>0</v>
      </c>
      <c r="U1947" s="1">
        <f t="shared" si="644"/>
        <v>0</v>
      </c>
      <c r="V1947" s="1">
        <f t="shared" si="645"/>
        <v>0</v>
      </c>
    </row>
    <row r="1948" spans="5:22" x14ac:dyDescent="0.25">
      <c r="E1948" s="4"/>
      <c r="M1948" s="4">
        <f t="shared" si="638"/>
        <v>173.1</v>
      </c>
      <c r="N1948" s="4"/>
      <c r="O1948" s="1">
        <f t="shared" si="639"/>
        <v>173.1</v>
      </c>
      <c r="P1948" s="1">
        <f t="shared" si="640"/>
        <v>0</v>
      </c>
      <c r="Q1948" s="1" t="str">
        <f t="shared" si="637"/>
        <v/>
      </c>
      <c r="R1948" s="1" t="str">
        <f t="shared" si="641"/>
        <v/>
      </c>
      <c r="S1948" s="1">
        <f t="shared" si="642"/>
        <v>630.90240000000244</v>
      </c>
      <c r="T1948" s="1">
        <f t="shared" si="643"/>
        <v>0</v>
      </c>
      <c r="U1948" s="1">
        <f t="shared" si="644"/>
        <v>0</v>
      </c>
      <c r="V1948" s="1">
        <f t="shared" si="645"/>
        <v>0</v>
      </c>
    </row>
    <row r="1949" spans="5:22" x14ac:dyDescent="0.25">
      <c r="E1949" s="4"/>
      <c r="M1949" s="4">
        <f t="shared" si="638"/>
        <v>173.1</v>
      </c>
      <c r="N1949" s="4"/>
      <c r="O1949" s="1">
        <f t="shared" si="639"/>
        <v>173.1</v>
      </c>
      <c r="P1949" s="1">
        <f t="shared" si="640"/>
        <v>0</v>
      </c>
      <c r="Q1949" s="1" t="str">
        <f t="shared" si="637"/>
        <v/>
      </c>
      <c r="R1949" s="1" t="str">
        <f t="shared" si="641"/>
        <v/>
      </c>
      <c r="S1949" s="1">
        <f t="shared" si="642"/>
        <v>630.90240000000244</v>
      </c>
      <c r="T1949" s="1">
        <f t="shared" si="643"/>
        <v>0</v>
      </c>
      <c r="U1949" s="1">
        <f t="shared" si="644"/>
        <v>0</v>
      </c>
      <c r="V1949" s="1">
        <f t="shared" si="645"/>
        <v>0</v>
      </c>
    </row>
    <row r="1950" spans="5:22" x14ac:dyDescent="0.25">
      <c r="E1950" s="4"/>
      <c r="M1950" s="4">
        <f t="shared" si="638"/>
        <v>173.1</v>
      </c>
      <c r="N1950" s="4"/>
      <c r="O1950" s="1">
        <f t="shared" si="639"/>
        <v>173.1</v>
      </c>
      <c r="P1950" s="1">
        <f t="shared" si="640"/>
        <v>0</v>
      </c>
      <c r="Q1950" s="1" t="str">
        <f t="shared" si="637"/>
        <v/>
      </c>
      <c r="R1950" s="1" t="str">
        <f t="shared" si="641"/>
        <v/>
      </c>
      <c r="S1950" s="1">
        <f t="shared" si="642"/>
        <v>630.90240000000244</v>
      </c>
      <c r="T1950" s="1">
        <f t="shared" si="643"/>
        <v>0</v>
      </c>
      <c r="U1950" s="1">
        <f t="shared" si="644"/>
        <v>0</v>
      </c>
      <c r="V1950" s="1">
        <f t="shared" si="645"/>
        <v>0</v>
      </c>
    </row>
    <row r="1951" spans="5:22" x14ac:dyDescent="0.25">
      <c r="E1951" s="4"/>
      <c r="M1951" s="4">
        <f t="shared" si="638"/>
        <v>173.1</v>
      </c>
      <c r="N1951" s="4"/>
      <c r="O1951" s="1">
        <f t="shared" si="639"/>
        <v>173.1</v>
      </c>
      <c r="P1951" s="1">
        <f t="shared" si="640"/>
        <v>0</v>
      </c>
      <c r="Q1951" s="1" t="str">
        <f t="shared" si="637"/>
        <v/>
      </c>
      <c r="R1951" s="1" t="str">
        <f t="shared" si="641"/>
        <v/>
      </c>
      <c r="S1951" s="1">
        <f t="shared" si="642"/>
        <v>630.90240000000244</v>
      </c>
      <c r="T1951" s="1">
        <f t="shared" si="643"/>
        <v>0</v>
      </c>
      <c r="U1951" s="1">
        <f t="shared" si="644"/>
        <v>0</v>
      </c>
      <c r="V1951" s="1">
        <f t="shared" si="645"/>
        <v>0</v>
      </c>
    </row>
    <row r="1952" spans="5:22" x14ac:dyDescent="0.25">
      <c r="E1952" s="4"/>
      <c r="M1952" s="4">
        <f t="shared" si="638"/>
        <v>173.1</v>
      </c>
      <c r="N1952" s="4"/>
      <c r="O1952" s="1">
        <f t="shared" si="639"/>
        <v>173.1</v>
      </c>
      <c r="P1952" s="1">
        <f t="shared" si="640"/>
        <v>0</v>
      </c>
      <c r="Q1952" s="1" t="str">
        <f t="shared" si="637"/>
        <v/>
      </c>
      <c r="R1952" s="1" t="str">
        <f t="shared" si="641"/>
        <v/>
      </c>
      <c r="S1952" s="1">
        <f t="shared" si="642"/>
        <v>630.90240000000244</v>
      </c>
      <c r="T1952" s="1">
        <f t="shared" si="643"/>
        <v>0</v>
      </c>
      <c r="U1952" s="1">
        <f t="shared" si="644"/>
        <v>0</v>
      </c>
      <c r="V1952" s="1">
        <f t="shared" si="645"/>
        <v>0</v>
      </c>
    </row>
    <row r="1953" spans="5:22" x14ac:dyDescent="0.25">
      <c r="E1953" s="4"/>
      <c r="M1953" s="4">
        <f t="shared" si="638"/>
        <v>173.1</v>
      </c>
      <c r="N1953" s="4"/>
      <c r="O1953" s="1">
        <f t="shared" si="639"/>
        <v>173.1</v>
      </c>
      <c r="P1953" s="1">
        <f t="shared" si="640"/>
        <v>0</v>
      </c>
      <c r="Q1953" s="1" t="str">
        <f t="shared" si="637"/>
        <v/>
      </c>
      <c r="R1953" s="1" t="str">
        <f t="shared" si="641"/>
        <v/>
      </c>
      <c r="S1953" s="1">
        <f t="shared" si="642"/>
        <v>630.90240000000244</v>
      </c>
      <c r="T1953" s="1">
        <f t="shared" si="643"/>
        <v>0</v>
      </c>
      <c r="U1953" s="1">
        <f t="shared" si="644"/>
        <v>0</v>
      </c>
      <c r="V1953" s="1">
        <f t="shared" si="645"/>
        <v>0</v>
      </c>
    </row>
    <row r="1954" spans="5:22" x14ac:dyDescent="0.25">
      <c r="E1954" s="4"/>
      <c r="M1954" s="4">
        <f t="shared" si="638"/>
        <v>173.1</v>
      </c>
      <c r="N1954" s="4"/>
      <c r="O1954" s="1">
        <f t="shared" si="639"/>
        <v>173.1</v>
      </c>
      <c r="P1954" s="1">
        <f t="shared" si="640"/>
        <v>0</v>
      </c>
      <c r="Q1954" s="1" t="str">
        <f t="shared" si="637"/>
        <v/>
      </c>
      <c r="R1954" s="1" t="str">
        <f t="shared" si="641"/>
        <v/>
      </c>
      <c r="S1954" s="1">
        <f t="shared" si="642"/>
        <v>630.90240000000244</v>
      </c>
      <c r="T1954" s="1">
        <f t="shared" si="643"/>
        <v>0</v>
      </c>
      <c r="U1954" s="1">
        <f t="shared" si="644"/>
        <v>0</v>
      </c>
      <c r="V1954" s="1">
        <f t="shared" si="645"/>
        <v>0</v>
      </c>
    </row>
    <row r="1955" spans="5:22" x14ac:dyDescent="0.25">
      <c r="E1955" s="4"/>
      <c r="M1955" s="4">
        <f t="shared" si="638"/>
        <v>173.1</v>
      </c>
      <c r="N1955" s="4"/>
      <c r="O1955" s="1">
        <f t="shared" si="639"/>
        <v>173.1</v>
      </c>
      <c r="P1955" s="1">
        <f t="shared" si="640"/>
        <v>0</v>
      </c>
      <c r="Q1955" s="1" t="str">
        <f t="shared" si="637"/>
        <v/>
      </c>
      <c r="R1955" s="1" t="str">
        <f t="shared" si="641"/>
        <v/>
      </c>
      <c r="S1955" s="1">
        <f t="shared" si="642"/>
        <v>630.90240000000244</v>
      </c>
      <c r="T1955" s="1">
        <f t="shared" si="643"/>
        <v>0</v>
      </c>
      <c r="U1955" s="1">
        <f t="shared" si="644"/>
        <v>0</v>
      </c>
      <c r="V1955" s="1">
        <f t="shared" si="645"/>
        <v>0</v>
      </c>
    </row>
    <row r="1956" spans="5:22" x14ac:dyDescent="0.25">
      <c r="E1956" s="4"/>
      <c r="M1956" s="4">
        <f t="shared" si="638"/>
        <v>173.1</v>
      </c>
      <c r="N1956" s="4"/>
      <c r="O1956" s="1">
        <f t="shared" si="639"/>
        <v>173.1</v>
      </c>
      <c r="P1956" s="1">
        <f t="shared" si="640"/>
        <v>0</v>
      </c>
      <c r="Q1956" s="1" t="str">
        <f t="shared" si="637"/>
        <v/>
      </c>
      <c r="R1956" s="1" t="str">
        <f t="shared" si="641"/>
        <v/>
      </c>
      <c r="S1956" s="1">
        <f t="shared" si="642"/>
        <v>630.90240000000244</v>
      </c>
      <c r="T1956" s="1">
        <f t="shared" si="643"/>
        <v>0</v>
      </c>
      <c r="U1956" s="1">
        <f t="shared" si="644"/>
        <v>0</v>
      </c>
      <c r="V1956" s="1">
        <f t="shared" si="645"/>
        <v>0</v>
      </c>
    </row>
    <row r="1957" spans="5:22" x14ac:dyDescent="0.25">
      <c r="E1957" s="4"/>
      <c r="M1957" s="4">
        <f t="shared" si="638"/>
        <v>173.1</v>
      </c>
      <c r="N1957" s="4"/>
      <c r="O1957" s="1">
        <f t="shared" si="639"/>
        <v>173.1</v>
      </c>
      <c r="P1957" s="1">
        <f t="shared" si="640"/>
        <v>0</v>
      </c>
      <c r="Q1957" s="1" t="str">
        <f t="shared" si="637"/>
        <v/>
      </c>
      <c r="R1957" s="1" t="str">
        <f t="shared" si="641"/>
        <v/>
      </c>
      <c r="S1957" s="1">
        <f t="shared" si="642"/>
        <v>630.90240000000244</v>
      </c>
      <c r="T1957" s="1">
        <f t="shared" si="643"/>
        <v>0</v>
      </c>
      <c r="U1957" s="1">
        <f t="shared" si="644"/>
        <v>0</v>
      </c>
      <c r="V1957" s="1">
        <f t="shared" si="645"/>
        <v>0</v>
      </c>
    </row>
    <row r="1958" spans="5:22" x14ac:dyDescent="0.25">
      <c r="E1958" s="4"/>
      <c r="M1958" s="4">
        <f t="shared" si="638"/>
        <v>173.1</v>
      </c>
      <c r="N1958" s="4"/>
      <c r="O1958" s="1">
        <f t="shared" si="639"/>
        <v>173.1</v>
      </c>
      <c r="P1958" s="1">
        <f t="shared" si="640"/>
        <v>0</v>
      </c>
      <c r="Q1958" s="1" t="str">
        <f t="shared" si="637"/>
        <v/>
      </c>
      <c r="R1958" s="1" t="str">
        <f t="shared" si="641"/>
        <v/>
      </c>
      <c r="S1958" s="1">
        <f t="shared" si="642"/>
        <v>630.90240000000244</v>
      </c>
      <c r="T1958" s="1">
        <f t="shared" si="643"/>
        <v>0</v>
      </c>
      <c r="U1958" s="1">
        <f t="shared" si="644"/>
        <v>0</v>
      </c>
      <c r="V1958" s="1">
        <f t="shared" si="645"/>
        <v>0</v>
      </c>
    </row>
    <row r="1959" spans="5:22" x14ac:dyDescent="0.25">
      <c r="E1959" s="4"/>
      <c r="M1959" s="4">
        <f t="shared" si="638"/>
        <v>173.1</v>
      </c>
      <c r="N1959" s="4"/>
      <c r="O1959" s="1">
        <f t="shared" si="639"/>
        <v>173.1</v>
      </c>
      <c r="P1959" s="1">
        <f t="shared" si="640"/>
        <v>0</v>
      </c>
      <c r="Q1959" s="1" t="str">
        <f t="shared" si="637"/>
        <v/>
      </c>
      <c r="R1959" s="1" t="str">
        <f t="shared" si="641"/>
        <v/>
      </c>
      <c r="S1959" s="1">
        <f t="shared" si="642"/>
        <v>630.90240000000244</v>
      </c>
      <c r="T1959" s="1">
        <f t="shared" si="643"/>
        <v>0</v>
      </c>
      <c r="U1959" s="1">
        <f t="shared" si="644"/>
        <v>0</v>
      </c>
      <c r="V1959" s="1">
        <f t="shared" si="645"/>
        <v>0</v>
      </c>
    </row>
    <row r="1960" spans="5:22" x14ac:dyDescent="0.25">
      <c r="E1960" s="4"/>
      <c r="M1960" s="4">
        <f t="shared" si="638"/>
        <v>173.1</v>
      </c>
      <c r="N1960" s="4"/>
      <c r="O1960" s="1">
        <f t="shared" si="639"/>
        <v>173.1</v>
      </c>
      <c r="P1960" s="1">
        <f t="shared" si="640"/>
        <v>0</v>
      </c>
      <c r="Q1960" s="1" t="str">
        <f t="shared" si="637"/>
        <v/>
      </c>
      <c r="R1960" s="1" t="str">
        <f t="shared" si="641"/>
        <v/>
      </c>
      <c r="S1960" s="1">
        <f t="shared" si="642"/>
        <v>630.90240000000244</v>
      </c>
      <c r="T1960" s="1">
        <f t="shared" si="643"/>
        <v>0</v>
      </c>
      <c r="U1960" s="1">
        <f t="shared" si="644"/>
        <v>0</v>
      </c>
      <c r="V1960" s="1">
        <f t="shared" si="645"/>
        <v>0</v>
      </c>
    </row>
    <row r="1961" spans="5:22" x14ac:dyDescent="0.25">
      <c r="E1961" s="4"/>
      <c r="M1961" s="4">
        <f t="shared" si="638"/>
        <v>173.1</v>
      </c>
      <c r="N1961" s="4"/>
      <c r="O1961" s="1">
        <f t="shared" si="639"/>
        <v>173.1</v>
      </c>
      <c r="P1961" s="1">
        <f t="shared" si="640"/>
        <v>0</v>
      </c>
      <c r="Q1961" s="1" t="str">
        <f t="shared" si="637"/>
        <v/>
      </c>
      <c r="R1961" s="1" t="str">
        <f t="shared" si="641"/>
        <v/>
      </c>
      <c r="S1961" s="1">
        <f t="shared" si="642"/>
        <v>630.90240000000244</v>
      </c>
      <c r="T1961" s="1">
        <f t="shared" si="643"/>
        <v>0</v>
      </c>
      <c r="U1961" s="1">
        <f t="shared" si="644"/>
        <v>0</v>
      </c>
      <c r="V1961" s="1">
        <f t="shared" si="645"/>
        <v>0</v>
      </c>
    </row>
    <row r="1962" spans="5:22" x14ac:dyDescent="0.25">
      <c r="E1962" s="4"/>
      <c r="M1962" s="4">
        <f t="shared" si="638"/>
        <v>173.1</v>
      </c>
      <c r="N1962" s="4"/>
      <c r="O1962" s="1">
        <f t="shared" si="639"/>
        <v>173.1</v>
      </c>
      <c r="P1962" s="1">
        <f t="shared" si="640"/>
        <v>0</v>
      </c>
      <c r="Q1962" s="1" t="str">
        <f t="shared" si="637"/>
        <v/>
      </c>
      <c r="R1962" s="1" t="str">
        <f t="shared" si="641"/>
        <v/>
      </c>
      <c r="S1962" s="1">
        <f t="shared" si="642"/>
        <v>630.90240000000244</v>
      </c>
      <c r="T1962" s="1">
        <f t="shared" si="643"/>
        <v>0</v>
      </c>
      <c r="U1962" s="1">
        <f t="shared" si="644"/>
        <v>0</v>
      </c>
      <c r="V1962" s="1">
        <f t="shared" si="645"/>
        <v>0</v>
      </c>
    </row>
    <row r="1963" spans="5:22" x14ac:dyDescent="0.25">
      <c r="E1963" s="4"/>
      <c r="M1963" s="4">
        <f t="shared" si="638"/>
        <v>173.1</v>
      </c>
      <c r="N1963" s="4"/>
      <c r="O1963" s="1">
        <f t="shared" si="639"/>
        <v>173.1</v>
      </c>
      <c r="P1963" s="1">
        <f t="shared" si="640"/>
        <v>0</v>
      </c>
      <c r="Q1963" s="1" t="str">
        <f t="shared" si="637"/>
        <v/>
      </c>
      <c r="R1963" s="1" t="str">
        <f t="shared" si="641"/>
        <v/>
      </c>
      <c r="S1963" s="1">
        <f t="shared" si="642"/>
        <v>630.90240000000244</v>
      </c>
      <c r="T1963" s="1">
        <f t="shared" si="643"/>
        <v>0</v>
      </c>
      <c r="U1963" s="1">
        <f t="shared" si="644"/>
        <v>0</v>
      </c>
      <c r="V1963" s="1">
        <f t="shared" si="645"/>
        <v>0</v>
      </c>
    </row>
    <row r="1964" spans="5:22" x14ac:dyDescent="0.25">
      <c r="E1964" s="4"/>
      <c r="M1964" s="4">
        <f t="shared" si="638"/>
        <v>173.1</v>
      </c>
      <c r="N1964" s="4"/>
      <c r="O1964" s="1">
        <f t="shared" si="639"/>
        <v>173.1</v>
      </c>
      <c r="P1964" s="1">
        <f t="shared" si="640"/>
        <v>0</v>
      </c>
      <c r="Q1964" s="1" t="str">
        <f t="shared" si="637"/>
        <v/>
      </c>
      <c r="R1964" s="1" t="str">
        <f t="shared" si="641"/>
        <v/>
      </c>
      <c r="S1964" s="1">
        <f t="shared" si="642"/>
        <v>630.90240000000244</v>
      </c>
      <c r="T1964" s="1">
        <f t="shared" si="643"/>
        <v>0</v>
      </c>
      <c r="U1964" s="1">
        <f t="shared" si="644"/>
        <v>0</v>
      </c>
      <c r="V1964" s="1">
        <f t="shared" si="645"/>
        <v>0</v>
      </c>
    </row>
    <row r="1965" spans="5:22" x14ac:dyDescent="0.25">
      <c r="E1965" s="4"/>
      <c r="M1965" s="4">
        <f t="shared" si="638"/>
        <v>173.1</v>
      </c>
      <c r="N1965" s="4"/>
      <c r="O1965" s="1">
        <f t="shared" si="639"/>
        <v>173.1</v>
      </c>
      <c r="P1965" s="1">
        <f t="shared" si="640"/>
        <v>0</v>
      </c>
      <c r="Q1965" s="1" t="str">
        <f t="shared" si="637"/>
        <v/>
      </c>
      <c r="R1965" s="1" t="str">
        <f t="shared" si="641"/>
        <v/>
      </c>
      <c r="S1965" s="1">
        <f t="shared" si="642"/>
        <v>630.90240000000244</v>
      </c>
      <c r="T1965" s="1">
        <f t="shared" si="643"/>
        <v>0</v>
      </c>
      <c r="U1965" s="1">
        <f t="shared" si="644"/>
        <v>0</v>
      </c>
      <c r="V1965" s="1">
        <f t="shared" si="645"/>
        <v>0</v>
      </c>
    </row>
    <row r="1966" spans="5:22" x14ac:dyDescent="0.25">
      <c r="E1966" s="4"/>
      <c r="M1966" s="4">
        <f t="shared" si="638"/>
        <v>173.1</v>
      </c>
      <c r="N1966" s="4"/>
      <c r="O1966" s="1">
        <f t="shared" si="639"/>
        <v>173.1</v>
      </c>
      <c r="P1966" s="1">
        <f t="shared" si="640"/>
        <v>0</v>
      </c>
      <c r="Q1966" s="1" t="str">
        <f t="shared" si="637"/>
        <v/>
      </c>
      <c r="R1966" s="1" t="str">
        <f t="shared" si="641"/>
        <v/>
      </c>
      <c r="S1966" s="1">
        <f t="shared" si="642"/>
        <v>630.90240000000244</v>
      </c>
      <c r="T1966" s="1">
        <f t="shared" si="643"/>
        <v>0</v>
      </c>
      <c r="U1966" s="1">
        <f t="shared" si="644"/>
        <v>0</v>
      </c>
      <c r="V1966" s="1">
        <f t="shared" si="645"/>
        <v>0</v>
      </c>
    </row>
    <row r="1967" spans="5:22" x14ac:dyDescent="0.25">
      <c r="E1967" s="4"/>
      <c r="M1967" s="4">
        <f t="shared" si="638"/>
        <v>173.1</v>
      </c>
      <c r="N1967" s="4"/>
      <c r="O1967" s="1">
        <f t="shared" si="639"/>
        <v>173.1</v>
      </c>
      <c r="P1967" s="1">
        <f t="shared" si="640"/>
        <v>0</v>
      </c>
      <c r="Q1967" s="1" t="str">
        <f t="shared" si="637"/>
        <v/>
      </c>
      <c r="R1967" s="1" t="str">
        <f t="shared" si="641"/>
        <v/>
      </c>
      <c r="S1967" s="1">
        <f t="shared" si="642"/>
        <v>630.90240000000244</v>
      </c>
      <c r="T1967" s="1">
        <f t="shared" si="643"/>
        <v>0</v>
      </c>
      <c r="U1967" s="1">
        <f t="shared" si="644"/>
        <v>0</v>
      </c>
      <c r="V1967" s="1">
        <f t="shared" si="645"/>
        <v>0</v>
      </c>
    </row>
    <row r="1968" spans="5:22" x14ac:dyDescent="0.25">
      <c r="E1968" s="4"/>
      <c r="M1968" s="4">
        <f t="shared" si="638"/>
        <v>173.1</v>
      </c>
      <c r="N1968" s="4"/>
      <c r="O1968" s="1">
        <f t="shared" si="639"/>
        <v>173.1</v>
      </c>
      <c r="P1968" s="1">
        <f t="shared" si="640"/>
        <v>0</v>
      </c>
      <c r="Q1968" s="1" t="str">
        <f t="shared" si="637"/>
        <v/>
      </c>
      <c r="R1968" s="1" t="str">
        <f t="shared" si="641"/>
        <v/>
      </c>
      <c r="S1968" s="1">
        <f t="shared" si="642"/>
        <v>630.90240000000244</v>
      </c>
      <c r="T1968" s="1">
        <f t="shared" si="643"/>
        <v>0</v>
      </c>
      <c r="U1968" s="1">
        <f t="shared" si="644"/>
        <v>0</v>
      </c>
      <c r="V1968" s="1">
        <f t="shared" si="645"/>
        <v>0</v>
      </c>
    </row>
    <row r="1969" spans="5:22" x14ac:dyDescent="0.25">
      <c r="E1969" s="4"/>
      <c r="M1969" s="4">
        <f t="shared" si="638"/>
        <v>173.1</v>
      </c>
      <c r="N1969" s="4"/>
      <c r="O1969" s="1">
        <f t="shared" si="639"/>
        <v>173.1</v>
      </c>
      <c r="P1969" s="1">
        <f t="shared" si="640"/>
        <v>0</v>
      </c>
      <c r="Q1969" s="1" t="str">
        <f t="shared" si="637"/>
        <v/>
      </c>
      <c r="R1969" s="1" t="str">
        <f t="shared" si="641"/>
        <v/>
      </c>
      <c r="S1969" s="1">
        <f t="shared" si="642"/>
        <v>630.90240000000244</v>
      </c>
      <c r="T1969" s="1">
        <f t="shared" si="643"/>
        <v>0</v>
      </c>
      <c r="U1969" s="1">
        <f t="shared" si="644"/>
        <v>0</v>
      </c>
      <c r="V1969" s="1">
        <f t="shared" si="645"/>
        <v>0</v>
      </c>
    </row>
    <row r="1970" spans="5:22" x14ac:dyDescent="0.25">
      <c r="E1970" s="4"/>
      <c r="M1970" s="4">
        <f t="shared" si="638"/>
        <v>173.1</v>
      </c>
      <c r="N1970" s="4"/>
      <c r="O1970" s="1">
        <f t="shared" si="639"/>
        <v>173.1</v>
      </c>
      <c r="P1970" s="1">
        <f t="shared" si="640"/>
        <v>0</v>
      </c>
      <c r="Q1970" s="1" t="str">
        <f t="shared" ref="Q1970:Q2033" si="646">IF(H1970&lt;&gt;"",IF(H1970=H1969,"",H1970),IF(H1968="","",MAX(H1969,Q1969)))</f>
        <v/>
      </c>
      <c r="R1970" s="1" t="str">
        <f t="shared" si="641"/>
        <v/>
      </c>
      <c r="S1970" s="1">
        <f t="shared" si="642"/>
        <v>630.90240000000244</v>
      </c>
      <c r="T1970" s="1">
        <f t="shared" si="643"/>
        <v>0</v>
      </c>
      <c r="U1970" s="1">
        <f t="shared" si="644"/>
        <v>0</v>
      </c>
      <c r="V1970" s="1">
        <f t="shared" si="645"/>
        <v>0</v>
      </c>
    </row>
    <row r="1971" spans="5:22" x14ac:dyDescent="0.25">
      <c r="E1971" s="4"/>
      <c r="M1971" s="4">
        <f t="shared" si="638"/>
        <v>173.1</v>
      </c>
      <c r="N1971" s="4"/>
      <c r="O1971" s="1">
        <f t="shared" si="639"/>
        <v>173.1</v>
      </c>
      <c r="P1971" s="1">
        <f t="shared" si="640"/>
        <v>0</v>
      </c>
      <c r="Q1971" s="1" t="str">
        <f t="shared" si="646"/>
        <v/>
      </c>
      <c r="R1971" s="1" t="str">
        <f t="shared" si="641"/>
        <v/>
      </c>
      <c r="S1971" s="1">
        <f t="shared" si="642"/>
        <v>630.90240000000244</v>
      </c>
      <c r="T1971" s="1">
        <f t="shared" si="643"/>
        <v>0</v>
      </c>
      <c r="U1971" s="1">
        <f t="shared" si="644"/>
        <v>0</v>
      </c>
      <c r="V1971" s="1">
        <f t="shared" si="645"/>
        <v>0</v>
      </c>
    </row>
    <row r="1972" spans="5:22" x14ac:dyDescent="0.25">
      <c r="E1972" s="4"/>
      <c r="M1972" s="4">
        <f t="shared" si="638"/>
        <v>173.1</v>
      </c>
      <c r="N1972" s="4"/>
      <c r="O1972" s="1">
        <f t="shared" si="639"/>
        <v>173.1</v>
      </c>
      <c r="P1972" s="1">
        <f t="shared" si="640"/>
        <v>0</v>
      </c>
      <c r="Q1972" s="1" t="str">
        <f t="shared" si="646"/>
        <v/>
      </c>
      <c r="R1972" s="1" t="str">
        <f t="shared" si="641"/>
        <v/>
      </c>
      <c r="S1972" s="1">
        <f t="shared" si="642"/>
        <v>630.90240000000244</v>
      </c>
      <c r="T1972" s="1">
        <f t="shared" si="643"/>
        <v>0</v>
      </c>
      <c r="U1972" s="1">
        <f t="shared" si="644"/>
        <v>0</v>
      </c>
      <c r="V1972" s="1">
        <f t="shared" si="645"/>
        <v>0</v>
      </c>
    </row>
    <row r="1973" spans="5:22" x14ac:dyDescent="0.25">
      <c r="E1973" s="4"/>
      <c r="M1973" s="4">
        <f t="shared" si="638"/>
        <v>173.1</v>
      </c>
      <c r="N1973" s="4"/>
      <c r="O1973" s="1">
        <f t="shared" si="639"/>
        <v>173.1</v>
      </c>
      <c r="P1973" s="1">
        <f t="shared" si="640"/>
        <v>0</v>
      </c>
      <c r="Q1973" s="1" t="str">
        <f t="shared" si="646"/>
        <v/>
      </c>
      <c r="R1973" s="1" t="str">
        <f t="shared" si="641"/>
        <v/>
      </c>
      <c r="S1973" s="1">
        <f t="shared" si="642"/>
        <v>630.90240000000244</v>
      </c>
      <c r="T1973" s="1">
        <f t="shared" si="643"/>
        <v>0</v>
      </c>
      <c r="U1973" s="1">
        <f t="shared" si="644"/>
        <v>0</v>
      </c>
      <c r="V1973" s="1">
        <f t="shared" si="645"/>
        <v>0</v>
      </c>
    </row>
    <row r="1974" spans="5:22" x14ac:dyDescent="0.25">
      <c r="E1974" s="4"/>
      <c r="M1974" s="4">
        <f t="shared" si="638"/>
        <v>173.1</v>
      </c>
      <c r="N1974" s="4"/>
      <c r="O1974" s="1">
        <f t="shared" si="639"/>
        <v>173.1</v>
      </c>
      <c r="P1974" s="1">
        <f t="shared" si="640"/>
        <v>0</v>
      </c>
      <c r="Q1974" s="1" t="str">
        <f t="shared" si="646"/>
        <v/>
      </c>
      <c r="R1974" s="1" t="str">
        <f t="shared" si="641"/>
        <v/>
      </c>
      <c r="S1974" s="1">
        <f t="shared" si="642"/>
        <v>630.90240000000244</v>
      </c>
      <c r="T1974" s="1">
        <f t="shared" si="643"/>
        <v>0</v>
      </c>
      <c r="U1974" s="1">
        <f t="shared" si="644"/>
        <v>0</v>
      </c>
      <c r="V1974" s="1">
        <f t="shared" si="645"/>
        <v>0</v>
      </c>
    </row>
    <row r="1975" spans="5:22" x14ac:dyDescent="0.25">
      <c r="E1975" s="4"/>
      <c r="M1975" s="4">
        <f t="shared" si="638"/>
        <v>173.1</v>
      </c>
      <c r="N1975" s="4"/>
      <c r="O1975" s="1">
        <f t="shared" si="639"/>
        <v>173.1</v>
      </c>
      <c r="P1975" s="1">
        <f t="shared" si="640"/>
        <v>0</v>
      </c>
      <c r="Q1975" s="1" t="str">
        <f t="shared" si="646"/>
        <v/>
      </c>
      <c r="R1975" s="1" t="str">
        <f t="shared" si="641"/>
        <v/>
      </c>
      <c r="S1975" s="1">
        <f t="shared" si="642"/>
        <v>630.90240000000244</v>
      </c>
      <c r="T1975" s="1">
        <f t="shared" si="643"/>
        <v>0</v>
      </c>
      <c r="U1975" s="1">
        <f t="shared" si="644"/>
        <v>0</v>
      </c>
      <c r="V1975" s="1">
        <f t="shared" si="645"/>
        <v>0</v>
      </c>
    </row>
    <row r="1976" spans="5:22" x14ac:dyDescent="0.25">
      <c r="E1976" s="4"/>
      <c r="M1976" s="4">
        <f t="shared" si="638"/>
        <v>173.1</v>
      </c>
      <c r="N1976" s="4"/>
      <c r="O1976" s="1">
        <f t="shared" si="639"/>
        <v>173.1</v>
      </c>
      <c r="P1976" s="1">
        <f t="shared" si="640"/>
        <v>0</v>
      </c>
      <c r="Q1976" s="1" t="str">
        <f t="shared" si="646"/>
        <v/>
      </c>
      <c r="R1976" s="1" t="str">
        <f t="shared" si="641"/>
        <v/>
      </c>
      <c r="S1976" s="1">
        <f t="shared" si="642"/>
        <v>630.90240000000244</v>
      </c>
      <c r="T1976" s="1">
        <f t="shared" si="643"/>
        <v>0</v>
      </c>
      <c r="U1976" s="1">
        <f t="shared" si="644"/>
        <v>0</v>
      </c>
      <c r="V1976" s="1">
        <f t="shared" si="645"/>
        <v>0</v>
      </c>
    </row>
    <row r="1977" spans="5:22" x14ac:dyDescent="0.25">
      <c r="E1977" s="4"/>
      <c r="M1977" s="4">
        <f t="shared" si="638"/>
        <v>173.1</v>
      </c>
      <c r="N1977" s="4"/>
      <c r="O1977" s="1">
        <f t="shared" si="639"/>
        <v>173.1</v>
      </c>
      <c r="P1977" s="1">
        <f t="shared" si="640"/>
        <v>0</v>
      </c>
      <c r="Q1977" s="1" t="str">
        <f t="shared" si="646"/>
        <v/>
      </c>
      <c r="R1977" s="1" t="str">
        <f t="shared" si="641"/>
        <v/>
      </c>
      <c r="S1977" s="1">
        <f t="shared" si="642"/>
        <v>630.90240000000244</v>
      </c>
      <c r="T1977" s="1">
        <f t="shared" si="643"/>
        <v>0</v>
      </c>
      <c r="U1977" s="1">
        <f t="shared" si="644"/>
        <v>0</v>
      </c>
      <c r="V1977" s="1">
        <f t="shared" si="645"/>
        <v>0</v>
      </c>
    </row>
    <row r="1978" spans="5:22" x14ac:dyDescent="0.25">
      <c r="E1978" s="4"/>
      <c r="M1978" s="4">
        <f t="shared" si="638"/>
        <v>173.1</v>
      </c>
      <c r="N1978" s="4"/>
      <c r="O1978" s="1">
        <f t="shared" si="639"/>
        <v>173.1</v>
      </c>
      <c r="P1978" s="1">
        <f t="shared" si="640"/>
        <v>0</v>
      </c>
      <c r="Q1978" s="1" t="str">
        <f t="shared" si="646"/>
        <v/>
      </c>
      <c r="R1978" s="1" t="str">
        <f t="shared" si="641"/>
        <v/>
      </c>
      <c r="S1978" s="1">
        <f t="shared" si="642"/>
        <v>630.90240000000244</v>
      </c>
      <c r="T1978" s="1">
        <f t="shared" si="643"/>
        <v>0</v>
      </c>
      <c r="U1978" s="1">
        <f t="shared" si="644"/>
        <v>0</v>
      </c>
      <c r="V1978" s="1">
        <f t="shared" si="645"/>
        <v>0</v>
      </c>
    </row>
    <row r="1979" spans="5:22" x14ac:dyDescent="0.25">
      <c r="E1979" s="4"/>
      <c r="M1979" s="4">
        <f t="shared" si="638"/>
        <v>173.1</v>
      </c>
      <c r="N1979" s="4"/>
      <c r="O1979" s="1">
        <f t="shared" si="639"/>
        <v>173.1</v>
      </c>
      <c r="P1979" s="1">
        <f t="shared" si="640"/>
        <v>0</v>
      </c>
      <c r="Q1979" s="1" t="str">
        <f t="shared" si="646"/>
        <v/>
      </c>
      <c r="R1979" s="1" t="str">
        <f t="shared" si="641"/>
        <v/>
      </c>
      <c r="S1979" s="1">
        <f t="shared" si="642"/>
        <v>630.90240000000244</v>
      </c>
      <c r="T1979" s="1">
        <f t="shared" si="643"/>
        <v>0</v>
      </c>
      <c r="U1979" s="1">
        <f t="shared" si="644"/>
        <v>0</v>
      </c>
      <c r="V1979" s="1">
        <f t="shared" si="645"/>
        <v>0</v>
      </c>
    </row>
    <row r="1980" spans="5:22" x14ac:dyDescent="0.25">
      <c r="E1980" s="4"/>
      <c r="M1980" s="4">
        <f t="shared" si="638"/>
        <v>173.1</v>
      </c>
      <c r="N1980" s="4"/>
      <c r="O1980" s="1">
        <f t="shared" si="639"/>
        <v>173.1</v>
      </c>
      <c r="P1980" s="1">
        <f t="shared" si="640"/>
        <v>0</v>
      </c>
      <c r="Q1980" s="1" t="str">
        <f t="shared" si="646"/>
        <v/>
      </c>
      <c r="R1980" s="1" t="str">
        <f t="shared" si="641"/>
        <v/>
      </c>
      <c r="S1980" s="1">
        <f t="shared" si="642"/>
        <v>630.90240000000244</v>
      </c>
      <c r="T1980" s="1">
        <f t="shared" si="643"/>
        <v>0</v>
      </c>
      <c r="U1980" s="1">
        <f t="shared" si="644"/>
        <v>0</v>
      </c>
      <c r="V1980" s="1">
        <f t="shared" si="645"/>
        <v>0</v>
      </c>
    </row>
    <row r="1981" spans="5:22" x14ac:dyDescent="0.25">
      <c r="E1981" s="4"/>
      <c r="M1981" s="4">
        <f t="shared" si="638"/>
        <v>173.1</v>
      </c>
      <c r="N1981" s="4"/>
      <c r="O1981" s="1">
        <f t="shared" si="639"/>
        <v>173.1</v>
      </c>
      <c r="P1981" s="1">
        <f t="shared" si="640"/>
        <v>0</v>
      </c>
      <c r="Q1981" s="1" t="str">
        <f t="shared" si="646"/>
        <v/>
      </c>
      <c r="R1981" s="1" t="str">
        <f t="shared" si="641"/>
        <v/>
      </c>
      <c r="S1981" s="1">
        <f t="shared" si="642"/>
        <v>630.90240000000244</v>
      </c>
      <c r="T1981" s="1">
        <f t="shared" si="643"/>
        <v>0</v>
      </c>
      <c r="U1981" s="1">
        <f t="shared" si="644"/>
        <v>0</v>
      </c>
      <c r="V1981" s="1">
        <f t="shared" si="645"/>
        <v>0</v>
      </c>
    </row>
    <row r="1982" spans="5:22" x14ac:dyDescent="0.25">
      <c r="E1982" s="4"/>
      <c r="M1982" s="4">
        <f t="shared" si="638"/>
        <v>173.1</v>
      </c>
      <c r="N1982" s="4"/>
      <c r="O1982" s="1">
        <f t="shared" si="639"/>
        <v>173.1</v>
      </c>
      <c r="P1982" s="1">
        <f t="shared" si="640"/>
        <v>0</v>
      </c>
      <c r="Q1982" s="1" t="str">
        <f t="shared" si="646"/>
        <v/>
      </c>
      <c r="R1982" s="1" t="str">
        <f t="shared" si="641"/>
        <v/>
      </c>
      <c r="S1982" s="1">
        <f t="shared" si="642"/>
        <v>630.90240000000244</v>
      </c>
      <c r="T1982" s="1">
        <f t="shared" si="643"/>
        <v>0</v>
      </c>
      <c r="U1982" s="1">
        <f t="shared" si="644"/>
        <v>0</v>
      </c>
      <c r="V1982" s="1">
        <f t="shared" si="645"/>
        <v>0</v>
      </c>
    </row>
    <row r="1983" spans="5:22" x14ac:dyDescent="0.25">
      <c r="E1983" s="4"/>
      <c r="M1983" s="4">
        <f t="shared" si="638"/>
        <v>173.1</v>
      </c>
      <c r="N1983" s="4"/>
      <c r="O1983" s="1">
        <f t="shared" si="639"/>
        <v>173.1</v>
      </c>
      <c r="P1983" s="1">
        <f t="shared" si="640"/>
        <v>0</v>
      </c>
      <c r="Q1983" s="1" t="str">
        <f t="shared" si="646"/>
        <v/>
      </c>
      <c r="R1983" s="1" t="str">
        <f t="shared" si="641"/>
        <v/>
      </c>
      <c r="S1983" s="1">
        <f t="shared" si="642"/>
        <v>630.90240000000244</v>
      </c>
      <c r="T1983" s="1">
        <f t="shared" si="643"/>
        <v>0</v>
      </c>
      <c r="U1983" s="1">
        <f t="shared" si="644"/>
        <v>0</v>
      </c>
      <c r="V1983" s="1">
        <f t="shared" si="645"/>
        <v>0</v>
      </c>
    </row>
    <row r="1984" spans="5:22" x14ac:dyDescent="0.25">
      <c r="E1984" s="4"/>
      <c r="M1984" s="4">
        <f t="shared" si="638"/>
        <v>173.1</v>
      </c>
      <c r="N1984" s="4"/>
      <c r="O1984" s="1">
        <f t="shared" si="639"/>
        <v>173.1</v>
      </c>
      <c r="P1984" s="1">
        <f t="shared" si="640"/>
        <v>0</v>
      </c>
      <c r="Q1984" s="1" t="str">
        <f t="shared" si="646"/>
        <v/>
      </c>
      <c r="R1984" s="1" t="str">
        <f t="shared" si="641"/>
        <v/>
      </c>
      <c r="S1984" s="1">
        <f t="shared" si="642"/>
        <v>630.90240000000244</v>
      </c>
      <c r="T1984" s="1">
        <f t="shared" si="643"/>
        <v>0</v>
      </c>
      <c r="U1984" s="1">
        <f t="shared" si="644"/>
        <v>0</v>
      </c>
      <c r="V1984" s="1">
        <f t="shared" si="645"/>
        <v>0</v>
      </c>
    </row>
    <row r="1985" spans="5:22" x14ac:dyDescent="0.25">
      <c r="E1985" s="4"/>
      <c r="M1985" s="4">
        <f t="shared" si="638"/>
        <v>173.1</v>
      </c>
      <c r="N1985" s="4"/>
      <c r="O1985" s="1">
        <f t="shared" si="639"/>
        <v>173.1</v>
      </c>
      <c r="P1985" s="1">
        <f t="shared" si="640"/>
        <v>0</v>
      </c>
      <c r="Q1985" s="1" t="str">
        <f t="shared" si="646"/>
        <v/>
      </c>
      <c r="R1985" s="1" t="str">
        <f t="shared" si="641"/>
        <v/>
      </c>
      <c r="S1985" s="1">
        <f t="shared" si="642"/>
        <v>630.90240000000244</v>
      </c>
      <c r="T1985" s="1">
        <f t="shared" si="643"/>
        <v>0</v>
      </c>
      <c r="U1985" s="1">
        <f t="shared" si="644"/>
        <v>0</v>
      </c>
      <c r="V1985" s="1">
        <f t="shared" si="645"/>
        <v>0</v>
      </c>
    </row>
    <row r="1986" spans="5:22" x14ac:dyDescent="0.25">
      <c r="E1986" s="4"/>
      <c r="M1986" s="4">
        <f t="shared" si="638"/>
        <v>173.1</v>
      </c>
      <c r="N1986" s="4"/>
      <c r="O1986" s="1">
        <f t="shared" si="639"/>
        <v>173.1</v>
      </c>
      <c r="P1986" s="1">
        <f t="shared" si="640"/>
        <v>0</v>
      </c>
      <c r="Q1986" s="1" t="str">
        <f t="shared" si="646"/>
        <v/>
      </c>
      <c r="R1986" s="1" t="str">
        <f t="shared" si="641"/>
        <v/>
      </c>
      <c r="S1986" s="1">
        <f t="shared" si="642"/>
        <v>630.90240000000244</v>
      </c>
      <c r="T1986" s="1">
        <f t="shared" si="643"/>
        <v>0</v>
      </c>
      <c r="U1986" s="1">
        <f t="shared" si="644"/>
        <v>0</v>
      </c>
      <c r="V1986" s="1">
        <f t="shared" si="645"/>
        <v>0</v>
      </c>
    </row>
    <row r="1987" spans="5:22" x14ac:dyDescent="0.25">
      <c r="E1987" s="4"/>
      <c r="M1987" s="4">
        <f t="shared" si="638"/>
        <v>173.1</v>
      </c>
      <c r="N1987" s="4"/>
      <c r="O1987" s="1">
        <f t="shared" si="639"/>
        <v>173.1</v>
      </c>
      <c r="P1987" s="1">
        <f t="shared" si="640"/>
        <v>0</v>
      </c>
      <c r="Q1987" s="1" t="str">
        <f t="shared" si="646"/>
        <v/>
      </c>
      <c r="R1987" s="1" t="str">
        <f t="shared" si="641"/>
        <v/>
      </c>
      <c r="S1987" s="1">
        <f t="shared" si="642"/>
        <v>630.90240000000244</v>
      </c>
      <c r="T1987" s="1">
        <f t="shared" si="643"/>
        <v>0</v>
      </c>
      <c r="U1987" s="1">
        <f t="shared" si="644"/>
        <v>0</v>
      </c>
      <c r="V1987" s="1">
        <f t="shared" si="645"/>
        <v>0</v>
      </c>
    </row>
    <row r="1988" spans="5:22" x14ac:dyDescent="0.25">
      <c r="E1988" s="4"/>
      <c r="M1988" s="4">
        <f t="shared" si="638"/>
        <v>173.1</v>
      </c>
      <c r="N1988" s="4"/>
      <c r="O1988" s="1">
        <f t="shared" si="639"/>
        <v>173.1</v>
      </c>
      <c r="P1988" s="1">
        <f t="shared" si="640"/>
        <v>0</v>
      </c>
      <c r="Q1988" s="1" t="str">
        <f t="shared" si="646"/>
        <v/>
      </c>
      <c r="R1988" s="1" t="str">
        <f t="shared" si="641"/>
        <v/>
      </c>
      <c r="S1988" s="1">
        <f t="shared" si="642"/>
        <v>630.90240000000244</v>
      </c>
      <c r="T1988" s="1">
        <f t="shared" si="643"/>
        <v>0</v>
      </c>
      <c r="U1988" s="1">
        <f t="shared" si="644"/>
        <v>0</v>
      </c>
      <c r="V1988" s="1">
        <f t="shared" si="645"/>
        <v>0</v>
      </c>
    </row>
    <row r="1989" spans="5:22" x14ac:dyDescent="0.25">
      <c r="E1989" s="4"/>
      <c r="M1989" s="4">
        <f t="shared" si="638"/>
        <v>173.1</v>
      </c>
      <c r="N1989" s="4"/>
      <c r="O1989" s="1">
        <f t="shared" si="639"/>
        <v>173.1</v>
      </c>
      <c r="P1989" s="1">
        <f t="shared" si="640"/>
        <v>0</v>
      </c>
      <c r="Q1989" s="1" t="str">
        <f t="shared" si="646"/>
        <v/>
      </c>
      <c r="R1989" s="1" t="str">
        <f t="shared" si="641"/>
        <v/>
      </c>
      <c r="S1989" s="1">
        <f t="shared" si="642"/>
        <v>630.90240000000244</v>
      </c>
      <c r="T1989" s="1">
        <f t="shared" si="643"/>
        <v>0</v>
      </c>
      <c r="U1989" s="1">
        <f t="shared" si="644"/>
        <v>0</v>
      </c>
      <c r="V1989" s="1">
        <f t="shared" si="645"/>
        <v>0</v>
      </c>
    </row>
    <row r="1990" spans="5:22" x14ac:dyDescent="0.25">
      <c r="E1990" s="4"/>
      <c r="M1990" s="4">
        <f t="shared" si="638"/>
        <v>173.1</v>
      </c>
      <c r="N1990" s="4"/>
      <c r="O1990" s="1">
        <f t="shared" si="639"/>
        <v>173.1</v>
      </c>
      <c r="P1990" s="1">
        <f t="shared" si="640"/>
        <v>0</v>
      </c>
      <c r="Q1990" s="1" t="str">
        <f t="shared" si="646"/>
        <v/>
      </c>
      <c r="R1990" s="1" t="str">
        <f t="shared" si="641"/>
        <v/>
      </c>
      <c r="S1990" s="1">
        <f t="shared" si="642"/>
        <v>630.90240000000244</v>
      </c>
      <c r="T1990" s="1">
        <f t="shared" si="643"/>
        <v>0</v>
      </c>
      <c r="U1990" s="1">
        <f t="shared" si="644"/>
        <v>0</v>
      </c>
      <c r="V1990" s="1">
        <f t="shared" si="645"/>
        <v>0</v>
      </c>
    </row>
    <row r="1991" spans="5:22" x14ac:dyDescent="0.25">
      <c r="E1991" s="4"/>
      <c r="M1991" s="4">
        <f t="shared" si="638"/>
        <v>173.1</v>
      </c>
      <c r="N1991" s="4"/>
      <c r="O1991" s="1">
        <f t="shared" si="639"/>
        <v>173.1</v>
      </c>
      <c r="P1991" s="1">
        <f t="shared" si="640"/>
        <v>0</v>
      </c>
      <c r="Q1991" s="1" t="str">
        <f t="shared" si="646"/>
        <v/>
      </c>
      <c r="R1991" s="1" t="str">
        <f t="shared" si="641"/>
        <v/>
      </c>
      <c r="S1991" s="1">
        <f t="shared" si="642"/>
        <v>630.90240000000244</v>
      </c>
      <c r="T1991" s="1">
        <f t="shared" si="643"/>
        <v>0</v>
      </c>
      <c r="U1991" s="1">
        <f t="shared" si="644"/>
        <v>0</v>
      </c>
      <c r="V1991" s="1">
        <f t="shared" si="645"/>
        <v>0</v>
      </c>
    </row>
    <row r="1992" spans="5:22" x14ac:dyDescent="0.25">
      <c r="E1992" s="4"/>
      <c r="M1992" s="4">
        <f t="shared" ref="M1992:M2055" si="647">E1992+M1991</f>
        <v>173.1</v>
      </c>
      <c r="N1992" s="4"/>
      <c r="O1992" s="1">
        <f t="shared" ref="O1992:O2055" si="648">E1991+O1991</f>
        <v>173.1</v>
      </c>
      <c r="P1992" s="1">
        <f t="shared" ref="P1992:P2055" si="649">F1992*52.8*E1992</f>
        <v>0</v>
      </c>
      <c r="Q1992" s="1" t="str">
        <f t="shared" si="646"/>
        <v/>
      </c>
      <c r="R1992" s="1" t="str">
        <f t="shared" ref="R1992:R2055" si="650">IF(I1992="",Q1992,IF(AND(H1992=H1991,I1992=I1991),"",I1992))</f>
        <v/>
      </c>
      <c r="S1992" s="1">
        <f t="shared" ref="S1992:S2055" si="651">S1991+U1991*T1991/100</f>
        <v>630.90240000000244</v>
      </c>
      <c r="T1992" s="1">
        <f t="shared" ref="T1992:T2055" si="652">IF(G1992="UNK",0,G1992)</f>
        <v>0</v>
      </c>
      <c r="U1992" s="1">
        <f t="shared" ref="U1992:U2055" si="653">E1992*5280</f>
        <v>0</v>
      </c>
      <c r="V1992" s="1">
        <f t="shared" ref="V1992:V2055" si="654">ABS(T1992*U1992)</f>
        <v>0</v>
      </c>
    </row>
    <row r="1993" spans="5:22" x14ac:dyDescent="0.25">
      <c r="E1993" s="4"/>
      <c r="M1993" s="4">
        <f t="shared" si="647"/>
        <v>173.1</v>
      </c>
      <c r="N1993" s="4"/>
      <c r="O1993" s="1">
        <f t="shared" si="648"/>
        <v>173.1</v>
      </c>
      <c r="P1993" s="1">
        <f t="shared" si="649"/>
        <v>0</v>
      </c>
      <c r="Q1993" s="1" t="str">
        <f t="shared" si="646"/>
        <v/>
      </c>
      <c r="R1993" s="1" t="str">
        <f t="shared" si="650"/>
        <v/>
      </c>
      <c r="S1993" s="1">
        <f t="shared" si="651"/>
        <v>630.90240000000244</v>
      </c>
      <c r="T1993" s="1">
        <f t="shared" si="652"/>
        <v>0</v>
      </c>
      <c r="U1993" s="1">
        <f t="shared" si="653"/>
        <v>0</v>
      </c>
      <c r="V1993" s="1">
        <f t="shared" si="654"/>
        <v>0</v>
      </c>
    </row>
    <row r="1994" spans="5:22" x14ac:dyDescent="0.25">
      <c r="E1994" s="4"/>
      <c r="M1994" s="4">
        <f t="shared" si="647"/>
        <v>173.1</v>
      </c>
      <c r="N1994" s="4"/>
      <c r="O1994" s="1">
        <f t="shared" si="648"/>
        <v>173.1</v>
      </c>
      <c r="P1994" s="1">
        <f t="shared" si="649"/>
        <v>0</v>
      </c>
      <c r="Q1994" s="1" t="str">
        <f t="shared" si="646"/>
        <v/>
      </c>
      <c r="R1994" s="1" t="str">
        <f t="shared" si="650"/>
        <v/>
      </c>
      <c r="S1994" s="1">
        <f t="shared" si="651"/>
        <v>630.90240000000244</v>
      </c>
      <c r="T1994" s="1">
        <f t="shared" si="652"/>
        <v>0</v>
      </c>
      <c r="U1994" s="1">
        <f t="shared" si="653"/>
        <v>0</v>
      </c>
      <c r="V1994" s="1">
        <f t="shared" si="654"/>
        <v>0</v>
      </c>
    </row>
    <row r="1995" spans="5:22" x14ac:dyDescent="0.25">
      <c r="E1995" s="4"/>
      <c r="M1995" s="4">
        <f t="shared" si="647"/>
        <v>173.1</v>
      </c>
      <c r="N1995" s="4"/>
      <c r="O1995" s="1">
        <f t="shared" si="648"/>
        <v>173.1</v>
      </c>
      <c r="P1995" s="1">
        <f t="shared" si="649"/>
        <v>0</v>
      </c>
      <c r="Q1995" s="1" t="str">
        <f t="shared" si="646"/>
        <v/>
      </c>
      <c r="R1995" s="1" t="str">
        <f t="shared" si="650"/>
        <v/>
      </c>
      <c r="S1995" s="1">
        <f t="shared" si="651"/>
        <v>630.90240000000244</v>
      </c>
      <c r="T1995" s="1">
        <f t="shared" si="652"/>
        <v>0</v>
      </c>
      <c r="U1995" s="1">
        <f t="shared" si="653"/>
        <v>0</v>
      </c>
      <c r="V1995" s="1">
        <f t="shared" si="654"/>
        <v>0</v>
      </c>
    </row>
    <row r="1996" spans="5:22" x14ac:dyDescent="0.25">
      <c r="E1996" s="4"/>
      <c r="M1996" s="4">
        <f t="shared" si="647"/>
        <v>173.1</v>
      </c>
      <c r="N1996" s="4"/>
      <c r="O1996" s="1">
        <f t="shared" si="648"/>
        <v>173.1</v>
      </c>
      <c r="P1996" s="1">
        <f t="shared" si="649"/>
        <v>0</v>
      </c>
      <c r="Q1996" s="1" t="str">
        <f t="shared" si="646"/>
        <v/>
      </c>
      <c r="R1996" s="1" t="str">
        <f t="shared" si="650"/>
        <v/>
      </c>
      <c r="S1996" s="1">
        <f t="shared" si="651"/>
        <v>630.90240000000244</v>
      </c>
      <c r="T1996" s="1">
        <f t="shared" si="652"/>
        <v>0</v>
      </c>
      <c r="U1996" s="1">
        <f t="shared" si="653"/>
        <v>0</v>
      </c>
      <c r="V1996" s="1">
        <f t="shared" si="654"/>
        <v>0</v>
      </c>
    </row>
    <row r="1997" spans="5:22" x14ac:dyDescent="0.25">
      <c r="E1997" s="4"/>
      <c r="M1997" s="4">
        <f t="shared" si="647"/>
        <v>173.1</v>
      </c>
      <c r="N1997" s="4"/>
      <c r="O1997" s="1">
        <f t="shared" si="648"/>
        <v>173.1</v>
      </c>
      <c r="P1997" s="1">
        <f t="shared" si="649"/>
        <v>0</v>
      </c>
      <c r="Q1997" s="1" t="str">
        <f t="shared" si="646"/>
        <v/>
      </c>
      <c r="R1997" s="1" t="str">
        <f t="shared" si="650"/>
        <v/>
      </c>
      <c r="S1997" s="1">
        <f t="shared" si="651"/>
        <v>630.90240000000244</v>
      </c>
      <c r="T1997" s="1">
        <f t="shared" si="652"/>
        <v>0</v>
      </c>
      <c r="U1997" s="1">
        <f t="shared" si="653"/>
        <v>0</v>
      </c>
      <c r="V1997" s="1">
        <f t="shared" si="654"/>
        <v>0</v>
      </c>
    </row>
    <row r="1998" spans="5:22" x14ac:dyDescent="0.25">
      <c r="E1998" s="4"/>
      <c r="M1998" s="4">
        <f t="shared" si="647"/>
        <v>173.1</v>
      </c>
      <c r="N1998" s="4"/>
      <c r="O1998" s="1">
        <f t="shared" si="648"/>
        <v>173.1</v>
      </c>
      <c r="P1998" s="1">
        <f t="shared" si="649"/>
        <v>0</v>
      </c>
      <c r="Q1998" s="1" t="str">
        <f t="shared" si="646"/>
        <v/>
      </c>
      <c r="R1998" s="1" t="str">
        <f t="shared" si="650"/>
        <v/>
      </c>
      <c r="S1998" s="1">
        <f t="shared" si="651"/>
        <v>630.90240000000244</v>
      </c>
      <c r="T1998" s="1">
        <f t="shared" si="652"/>
        <v>0</v>
      </c>
      <c r="U1998" s="1">
        <f t="shared" si="653"/>
        <v>0</v>
      </c>
      <c r="V1998" s="1">
        <f t="shared" si="654"/>
        <v>0</v>
      </c>
    </row>
    <row r="1999" spans="5:22" x14ac:dyDescent="0.25">
      <c r="E1999" s="4"/>
      <c r="M1999" s="4">
        <f t="shared" si="647"/>
        <v>173.1</v>
      </c>
      <c r="N1999" s="4"/>
      <c r="O1999" s="1">
        <f t="shared" si="648"/>
        <v>173.1</v>
      </c>
      <c r="P1999" s="1">
        <f t="shared" si="649"/>
        <v>0</v>
      </c>
      <c r="Q1999" s="1" t="str">
        <f t="shared" si="646"/>
        <v/>
      </c>
      <c r="R1999" s="1" t="str">
        <f t="shared" si="650"/>
        <v/>
      </c>
      <c r="S1999" s="1">
        <f t="shared" si="651"/>
        <v>630.90240000000244</v>
      </c>
      <c r="T1999" s="1">
        <f t="shared" si="652"/>
        <v>0</v>
      </c>
      <c r="U1999" s="1">
        <f t="shared" si="653"/>
        <v>0</v>
      </c>
      <c r="V1999" s="1">
        <f t="shared" si="654"/>
        <v>0</v>
      </c>
    </row>
    <row r="2000" spans="5:22" x14ac:dyDescent="0.25">
      <c r="E2000" s="4"/>
      <c r="M2000" s="4">
        <f t="shared" si="647"/>
        <v>173.1</v>
      </c>
      <c r="N2000" s="4"/>
      <c r="O2000" s="1">
        <f t="shared" si="648"/>
        <v>173.1</v>
      </c>
      <c r="P2000" s="1">
        <f t="shared" si="649"/>
        <v>0</v>
      </c>
      <c r="Q2000" s="1" t="str">
        <f t="shared" si="646"/>
        <v/>
      </c>
      <c r="R2000" s="1" t="str">
        <f t="shared" si="650"/>
        <v/>
      </c>
      <c r="S2000" s="1">
        <f t="shared" si="651"/>
        <v>630.90240000000244</v>
      </c>
      <c r="T2000" s="1">
        <f t="shared" si="652"/>
        <v>0</v>
      </c>
      <c r="U2000" s="1">
        <f t="shared" si="653"/>
        <v>0</v>
      </c>
      <c r="V2000" s="1">
        <f t="shared" si="654"/>
        <v>0</v>
      </c>
    </row>
    <row r="2001" spans="5:22" x14ac:dyDescent="0.25">
      <c r="E2001" s="4"/>
      <c r="M2001" s="4">
        <f t="shared" si="647"/>
        <v>173.1</v>
      </c>
      <c r="N2001" s="4"/>
      <c r="O2001" s="1">
        <f t="shared" si="648"/>
        <v>173.1</v>
      </c>
      <c r="P2001" s="1">
        <f t="shared" si="649"/>
        <v>0</v>
      </c>
      <c r="Q2001" s="1" t="str">
        <f t="shared" si="646"/>
        <v/>
      </c>
      <c r="R2001" s="1" t="str">
        <f t="shared" si="650"/>
        <v/>
      </c>
      <c r="S2001" s="1">
        <f t="shared" si="651"/>
        <v>630.90240000000244</v>
      </c>
      <c r="T2001" s="1">
        <f t="shared" si="652"/>
        <v>0</v>
      </c>
      <c r="U2001" s="1">
        <f t="shared" si="653"/>
        <v>0</v>
      </c>
      <c r="V2001" s="1">
        <f t="shared" si="654"/>
        <v>0</v>
      </c>
    </row>
    <row r="2002" spans="5:22" x14ac:dyDescent="0.25">
      <c r="E2002" s="4"/>
      <c r="M2002" s="4">
        <f t="shared" si="647"/>
        <v>173.1</v>
      </c>
      <c r="N2002" s="4"/>
      <c r="O2002" s="1">
        <f t="shared" si="648"/>
        <v>173.1</v>
      </c>
      <c r="P2002" s="1">
        <f t="shared" si="649"/>
        <v>0</v>
      </c>
      <c r="Q2002" s="1" t="str">
        <f t="shared" si="646"/>
        <v/>
      </c>
      <c r="R2002" s="1" t="str">
        <f t="shared" si="650"/>
        <v/>
      </c>
      <c r="S2002" s="1">
        <f t="shared" si="651"/>
        <v>630.90240000000244</v>
      </c>
      <c r="T2002" s="1">
        <f t="shared" si="652"/>
        <v>0</v>
      </c>
      <c r="U2002" s="1">
        <f t="shared" si="653"/>
        <v>0</v>
      </c>
      <c r="V2002" s="1">
        <f t="shared" si="654"/>
        <v>0</v>
      </c>
    </row>
    <row r="2003" spans="5:22" x14ac:dyDescent="0.25">
      <c r="E2003" s="4"/>
      <c r="M2003" s="4">
        <f t="shared" si="647"/>
        <v>173.1</v>
      </c>
      <c r="N2003" s="4"/>
      <c r="O2003" s="1">
        <f t="shared" si="648"/>
        <v>173.1</v>
      </c>
      <c r="P2003" s="1">
        <f t="shared" si="649"/>
        <v>0</v>
      </c>
      <c r="Q2003" s="1" t="str">
        <f t="shared" si="646"/>
        <v/>
      </c>
      <c r="R2003" s="1" t="str">
        <f t="shared" si="650"/>
        <v/>
      </c>
      <c r="S2003" s="1">
        <f t="shared" si="651"/>
        <v>630.90240000000244</v>
      </c>
      <c r="T2003" s="1">
        <f t="shared" si="652"/>
        <v>0</v>
      </c>
      <c r="U2003" s="1">
        <f t="shared" si="653"/>
        <v>0</v>
      </c>
      <c r="V2003" s="1">
        <f t="shared" si="654"/>
        <v>0</v>
      </c>
    </row>
    <row r="2004" spans="5:22" x14ac:dyDescent="0.25">
      <c r="E2004" s="4"/>
      <c r="M2004" s="4">
        <f t="shared" si="647"/>
        <v>173.1</v>
      </c>
      <c r="N2004" s="4"/>
      <c r="O2004" s="1">
        <f t="shared" si="648"/>
        <v>173.1</v>
      </c>
      <c r="P2004" s="1">
        <f t="shared" si="649"/>
        <v>0</v>
      </c>
      <c r="Q2004" s="1" t="str">
        <f t="shared" si="646"/>
        <v/>
      </c>
      <c r="R2004" s="1" t="str">
        <f t="shared" si="650"/>
        <v/>
      </c>
      <c r="S2004" s="1">
        <f t="shared" si="651"/>
        <v>630.90240000000244</v>
      </c>
      <c r="T2004" s="1">
        <f t="shared" si="652"/>
        <v>0</v>
      </c>
      <c r="U2004" s="1">
        <f t="shared" si="653"/>
        <v>0</v>
      </c>
      <c r="V2004" s="1">
        <f t="shared" si="654"/>
        <v>0</v>
      </c>
    </row>
    <row r="2005" spans="5:22" x14ac:dyDescent="0.25">
      <c r="E2005" s="4"/>
      <c r="M2005" s="4">
        <f t="shared" si="647"/>
        <v>173.1</v>
      </c>
      <c r="N2005" s="4"/>
      <c r="O2005" s="1">
        <f t="shared" si="648"/>
        <v>173.1</v>
      </c>
      <c r="P2005" s="1">
        <f t="shared" si="649"/>
        <v>0</v>
      </c>
      <c r="Q2005" s="1" t="str">
        <f t="shared" si="646"/>
        <v/>
      </c>
      <c r="R2005" s="1" t="str">
        <f t="shared" si="650"/>
        <v/>
      </c>
      <c r="S2005" s="1">
        <f t="shared" si="651"/>
        <v>630.90240000000244</v>
      </c>
      <c r="T2005" s="1">
        <f t="shared" si="652"/>
        <v>0</v>
      </c>
      <c r="U2005" s="1">
        <f t="shared" si="653"/>
        <v>0</v>
      </c>
      <c r="V2005" s="1">
        <f t="shared" si="654"/>
        <v>0</v>
      </c>
    </row>
    <row r="2006" spans="5:22" x14ac:dyDescent="0.25">
      <c r="E2006" s="4"/>
      <c r="M2006" s="4">
        <f t="shared" si="647"/>
        <v>173.1</v>
      </c>
      <c r="N2006" s="4"/>
      <c r="O2006" s="1">
        <f t="shared" si="648"/>
        <v>173.1</v>
      </c>
      <c r="P2006" s="1">
        <f t="shared" si="649"/>
        <v>0</v>
      </c>
      <c r="Q2006" s="1" t="str">
        <f t="shared" si="646"/>
        <v/>
      </c>
      <c r="R2006" s="1" t="str">
        <f t="shared" si="650"/>
        <v/>
      </c>
      <c r="S2006" s="1">
        <f t="shared" si="651"/>
        <v>630.90240000000244</v>
      </c>
      <c r="T2006" s="1">
        <f t="shared" si="652"/>
        <v>0</v>
      </c>
      <c r="U2006" s="1">
        <f t="shared" si="653"/>
        <v>0</v>
      </c>
      <c r="V2006" s="1">
        <f t="shared" si="654"/>
        <v>0</v>
      </c>
    </row>
    <row r="2007" spans="5:22" x14ac:dyDescent="0.25">
      <c r="E2007" s="4"/>
      <c r="M2007" s="4">
        <f t="shared" si="647"/>
        <v>173.1</v>
      </c>
      <c r="N2007" s="4"/>
      <c r="O2007" s="1">
        <f t="shared" si="648"/>
        <v>173.1</v>
      </c>
      <c r="P2007" s="1">
        <f t="shared" si="649"/>
        <v>0</v>
      </c>
      <c r="Q2007" s="1" t="str">
        <f t="shared" si="646"/>
        <v/>
      </c>
      <c r="R2007" s="1" t="str">
        <f t="shared" si="650"/>
        <v/>
      </c>
      <c r="S2007" s="1">
        <f t="shared" si="651"/>
        <v>630.90240000000244</v>
      </c>
      <c r="T2007" s="1">
        <f t="shared" si="652"/>
        <v>0</v>
      </c>
      <c r="U2007" s="1">
        <f t="shared" si="653"/>
        <v>0</v>
      </c>
      <c r="V2007" s="1">
        <f t="shared" si="654"/>
        <v>0</v>
      </c>
    </row>
    <row r="2008" spans="5:22" x14ac:dyDescent="0.25">
      <c r="E2008" s="4"/>
      <c r="M2008" s="4">
        <f t="shared" si="647"/>
        <v>173.1</v>
      </c>
      <c r="N2008" s="4"/>
      <c r="O2008" s="1">
        <f t="shared" si="648"/>
        <v>173.1</v>
      </c>
      <c r="P2008" s="1">
        <f t="shared" si="649"/>
        <v>0</v>
      </c>
      <c r="Q2008" s="1" t="str">
        <f t="shared" si="646"/>
        <v/>
      </c>
      <c r="R2008" s="1" t="str">
        <f t="shared" si="650"/>
        <v/>
      </c>
      <c r="S2008" s="1">
        <f t="shared" si="651"/>
        <v>630.90240000000244</v>
      </c>
      <c r="T2008" s="1">
        <f t="shared" si="652"/>
        <v>0</v>
      </c>
      <c r="U2008" s="1">
        <f t="shared" si="653"/>
        <v>0</v>
      </c>
      <c r="V2008" s="1">
        <f t="shared" si="654"/>
        <v>0</v>
      </c>
    </row>
    <row r="2009" spans="5:22" x14ac:dyDescent="0.25">
      <c r="E2009" s="4"/>
      <c r="M2009" s="4">
        <f t="shared" si="647"/>
        <v>173.1</v>
      </c>
      <c r="N2009" s="4"/>
      <c r="O2009" s="1">
        <f t="shared" si="648"/>
        <v>173.1</v>
      </c>
      <c r="P2009" s="1">
        <f t="shared" si="649"/>
        <v>0</v>
      </c>
      <c r="Q2009" s="1" t="str">
        <f t="shared" si="646"/>
        <v/>
      </c>
      <c r="R2009" s="1" t="str">
        <f t="shared" si="650"/>
        <v/>
      </c>
      <c r="S2009" s="1">
        <f t="shared" si="651"/>
        <v>630.90240000000244</v>
      </c>
      <c r="T2009" s="1">
        <f t="shared" si="652"/>
        <v>0</v>
      </c>
      <c r="U2009" s="1">
        <f t="shared" si="653"/>
        <v>0</v>
      </c>
      <c r="V2009" s="1">
        <f t="shared" si="654"/>
        <v>0</v>
      </c>
    </row>
    <row r="2010" spans="5:22" x14ac:dyDescent="0.25">
      <c r="E2010" s="4"/>
      <c r="M2010" s="4">
        <f t="shared" si="647"/>
        <v>173.1</v>
      </c>
      <c r="N2010" s="4"/>
      <c r="O2010" s="1">
        <f t="shared" si="648"/>
        <v>173.1</v>
      </c>
      <c r="P2010" s="1">
        <f t="shared" si="649"/>
        <v>0</v>
      </c>
      <c r="Q2010" s="1" t="str">
        <f t="shared" si="646"/>
        <v/>
      </c>
      <c r="R2010" s="1" t="str">
        <f t="shared" si="650"/>
        <v/>
      </c>
      <c r="S2010" s="1">
        <f t="shared" si="651"/>
        <v>630.90240000000244</v>
      </c>
      <c r="T2010" s="1">
        <f t="shared" si="652"/>
        <v>0</v>
      </c>
      <c r="U2010" s="1">
        <f t="shared" si="653"/>
        <v>0</v>
      </c>
      <c r="V2010" s="1">
        <f t="shared" si="654"/>
        <v>0</v>
      </c>
    </row>
    <row r="2011" spans="5:22" x14ac:dyDescent="0.25">
      <c r="E2011" s="4"/>
      <c r="M2011" s="4">
        <f t="shared" si="647"/>
        <v>173.1</v>
      </c>
      <c r="N2011" s="4"/>
      <c r="O2011" s="1">
        <f t="shared" si="648"/>
        <v>173.1</v>
      </c>
      <c r="P2011" s="1">
        <f t="shared" si="649"/>
        <v>0</v>
      </c>
      <c r="Q2011" s="1" t="str">
        <f t="shared" si="646"/>
        <v/>
      </c>
      <c r="R2011" s="1" t="str">
        <f t="shared" si="650"/>
        <v/>
      </c>
      <c r="S2011" s="1">
        <f t="shared" si="651"/>
        <v>630.90240000000244</v>
      </c>
      <c r="T2011" s="1">
        <f t="shared" si="652"/>
        <v>0</v>
      </c>
      <c r="U2011" s="1">
        <f t="shared" si="653"/>
        <v>0</v>
      </c>
      <c r="V2011" s="1">
        <f t="shared" si="654"/>
        <v>0</v>
      </c>
    </row>
    <row r="2012" spans="5:22" x14ac:dyDescent="0.25">
      <c r="E2012" s="4"/>
      <c r="M2012" s="4">
        <f t="shared" si="647"/>
        <v>173.1</v>
      </c>
      <c r="N2012" s="4"/>
      <c r="O2012" s="1">
        <f t="shared" si="648"/>
        <v>173.1</v>
      </c>
      <c r="P2012" s="1">
        <f t="shared" si="649"/>
        <v>0</v>
      </c>
      <c r="Q2012" s="1" t="str">
        <f t="shared" si="646"/>
        <v/>
      </c>
      <c r="R2012" s="1" t="str">
        <f t="shared" si="650"/>
        <v/>
      </c>
      <c r="S2012" s="1">
        <f t="shared" si="651"/>
        <v>630.90240000000244</v>
      </c>
      <c r="T2012" s="1">
        <f t="shared" si="652"/>
        <v>0</v>
      </c>
      <c r="U2012" s="1">
        <f t="shared" si="653"/>
        <v>0</v>
      </c>
      <c r="V2012" s="1">
        <f t="shared" si="654"/>
        <v>0</v>
      </c>
    </row>
    <row r="2013" spans="5:22" x14ac:dyDescent="0.25">
      <c r="E2013" s="4"/>
      <c r="M2013" s="4">
        <f t="shared" si="647"/>
        <v>173.1</v>
      </c>
      <c r="N2013" s="4"/>
      <c r="O2013" s="1">
        <f t="shared" si="648"/>
        <v>173.1</v>
      </c>
      <c r="P2013" s="1">
        <f t="shared" si="649"/>
        <v>0</v>
      </c>
      <c r="Q2013" s="1" t="str">
        <f t="shared" si="646"/>
        <v/>
      </c>
      <c r="R2013" s="1" t="str">
        <f t="shared" si="650"/>
        <v/>
      </c>
      <c r="S2013" s="1">
        <f t="shared" si="651"/>
        <v>630.90240000000244</v>
      </c>
      <c r="T2013" s="1">
        <f t="shared" si="652"/>
        <v>0</v>
      </c>
      <c r="U2013" s="1">
        <f t="shared" si="653"/>
        <v>0</v>
      </c>
      <c r="V2013" s="1">
        <f t="shared" si="654"/>
        <v>0</v>
      </c>
    </row>
    <row r="2014" spans="5:22" x14ac:dyDescent="0.25">
      <c r="E2014" s="4"/>
      <c r="M2014" s="4">
        <f t="shared" si="647"/>
        <v>173.1</v>
      </c>
      <c r="N2014" s="4"/>
      <c r="O2014" s="1">
        <f t="shared" si="648"/>
        <v>173.1</v>
      </c>
      <c r="P2014" s="1">
        <f t="shared" si="649"/>
        <v>0</v>
      </c>
      <c r="Q2014" s="1" t="str">
        <f t="shared" si="646"/>
        <v/>
      </c>
      <c r="R2014" s="1" t="str">
        <f t="shared" si="650"/>
        <v/>
      </c>
      <c r="S2014" s="1">
        <f t="shared" si="651"/>
        <v>630.90240000000244</v>
      </c>
      <c r="T2014" s="1">
        <f t="shared" si="652"/>
        <v>0</v>
      </c>
      <c r="U2014" s="1">
        <f t="shared" si="653"/>
        <v>0</v>
      </c>
      <c r="V2014" s="1">
        <f t="shared" si="654"/>
        <v>0</v>
      </c>
    </row>
    <row r="2015" spans="5:22" x14ac:dyDescent="0.25">
      <c r="E2015" s="4"/>
      <c r="M2015" s="4">
        <f t="shared" si="647"/>
        <v>173.1</v>
      </c>
      <c r="N2015" s="4"/>
      <c r="O2015" s="1">
        <f t="shared" si="648"/>
        <v>173.1</v>
      </c>
      <c r="P2015" s="1">
        <f t="shared" si="649"/>
        <v>0</v>
      </c>
      <c r="Q2015" s="1" t="str">
        <f t="shared" si="646"/>
        <v/>
      </c>
      <c r="R2015" s="1" t="str">
        <f t="shared" si="650"/>
        <v/>
      </c>
      <c r="S2015" s="1">
        <f t="shared" si="651"/>
        <v>630.90240000000244</v>
      </c>
      <c r="T2015" s="1">
        <f t="shared" si="652"/>
        <v>0</v>
      </c>
      <c r="U2015" s="1">
        <f t="shared" si="653"/>
        <v>0</v>
      </c>
      <c r="V2015" s="1">
        <f t="shared" si="654"/>
        <v>0</v>
      </c>
    </row>
    <row r="2016" spans="5:22" x14ac:dyDescent="0.25">
      <c r="E2016" s="4"/>
      <c r="M2016" s="4">
        <f t="shared" si="647"/>
        <v>173.1</v>
      </c>
      <c r="N2016" s="4"/>
      <c r="O2016" s="1">
        <f t="shared" si="648"/>
        <v>173.1</v>
      </c>
      <c r="P2016" s="1">
        <f t="shared" si="649"/>
        <v>0</v>
      </c>
      <c r="Q2016" s="1" t="str">
        <f t="shared" si="646"/>
        <v/>
      </c>
      <c r="R2016" s="1" t="str">
        <f t="shared" si="650"/>
        <v/>
      </c>
      <c r="S2016" s="1">
        <f t="shared" si="651"/>
        <v>630.90240000000244</v>
      </c>
      <c r="T2016" s="1">
        <f t="shared" si="652"/>
        <v>0</v>
      </c>
      <c r="U2016" s="1">
        <f t="shared" si="653"/>
        <v>0</v>
      </c>
      <c r="V2016" s="1">
        <f t="shared" si="654"/>
        <v>0</v>
      </c>
    </row>
    <row r="2017" spans="5:22" x14ac:dyDescent="0.25">
      <c r="E2017" s="4"/>
      <c r="M2017" s="4">
        <f t="shared" si="647"/>
        <v>173.1</v>
      </c>
      <c r="N2017" s="4"/>
      <c r="O2017" s="1">
        <f t="shared" si="648"/>
        <v>173.1</v>
      </c>
      <c r="P2017" s="1">
        <f t="shared" si="649"/>
        <v>0</v>
      </c>
      <c r="Q2017" s="1" t="str">
        <f t="shared" si="646"/>
        <v/>
      </c>
      <c r="R2017" s="1" t="str">
        <f t="shared" si="650"/>
        <v/>
      </c>
      <c r="S2017" s="1">
        <f t="shared" si="651"/>
        <v>630.90240000000244</v>
      </c>
      <c r="T2017" s="1">
        <f t="shared" si="652"/>
        <v>0</v>
      </c>
      <c r="U2017" s="1">
        <f t="shared" si="653"/>
        <v>0</v>
      </c>
      <c r="V2017" s="1">
        <f t="shared" si="654"/>
        <v>0</v>
      </c>
    </row>
    <row r="2018" spans="5:22" x14ac:dyDescent="0.25">
      <c r="E2018" s="4"/>
      <c r="M2018" s="4">
        <f t="shared" si="647"/>
        <v>173.1</v>
      </c>
      <c r="N2018" s="4"/>
      <c r="O2018" s="1">
        <f t="shared" si="648"/>
        <v>173.1</v>
      </c>
      <c r="P2018" s="1">
        <f t="shared" si="649"/>
        <v>0</v>
      </c>
      <c r="Q2018" s="1" t="str">
        <f t="shared" si="646"/>
        <v/>
      </c>
      <c r="R2018" s="1" t="str">
        <f t="shared" si="650"/>
        <v/>
      </c>
      <c r="S2018" s="1">
        <f t="shared" si="651"/>
        <v>630.90240000000244</v>
      </c>
      <c r="T2018" s="1">
        <f t="shared" si="652"/>
        <v>0</v>
      </c>
      <c r="U2018" s="1">
        <f t="shared" si="653"/>
        <v>0</v>
      </c>
      <c r="V2018" s="1">
        <f t="shared" si="654"/>
        <v>0</v>
      </c>
    </row>
    <row r="2019" spans="5:22" x14ac:dyDescent="0.25">
      <c r="E2019" s="4"/>
      <c r="M2019" s="4">
        <f t="shared" si="647"/>
        <v>173.1</v>
      </c>
      <c r="N2019" s="4"/>
      <c r="O2019" s="1">
        <f t="shared" si="648"/>
        <v>173.1</v>
      </c>
      <c r="P2019" s="1">
        <f t="shared" si="649"/>
        <v>0</v>
      </c>
      <c r="Q2019" s="1" t="str">
        <f t="shared" si="646"/>
        <v/>
      </c>
      <c r="R2019" s="1" t="str">
        <f t="shared" si="650"/>
        <v/>
      </c>
      <c r="S2019" s="1">
        <f t="shared" si="651"/>
        <v>630.90240000000244</v>
      </c>
      <c r="T2019" s="1">
        <f t="shared" si="652"/>
        <v>0</v>
      </c>
      <c r="U2019" s="1">
        <f t="shared" si="653"/>
        <v>0</v>
      </c>
      <c r="V2019" s="1">
        <f t="shared" si="654"/>
        <v>0</v>
      </c>
    </row>
    <row r="2020" spans="5:22" x14ac:dyDescent="0.25">
      <c r="E2020" s="4"/>
      <c r="M2020" s="4">
        <f t="shared" si="647"/>
        <v>173.1</v>
      </c>
      <c r="N2020" s="4"/>
      <c r="O2020" s="1">
        <f t="shared" si="648"/>
        <v>173.1</v>
      </c>
      <c r="P2020" s="1">
        <f t="shared" si="649"/>
        <v>0</v>
      </c>
      <c r="Q2020" s="1" t="str">
        <f t="shared" si="646"/>
        <v/>
      </c>
      <c r="R2020" s="1" t="str">
        <f t="shared" si="650"/>
        <v/>
      </c>
      <c r="S2020" s="1">
        <f t="shared" si="651"/>
        <v>630.90240000000244</v>
      </c>
      <c r="T2020" s="1">
        <f t="shared" si="652"/>
        <v>0</v>
      </c>
      <c r="U2020" s="1">
        <f t="shared" si="653"/>
        <v>0</v>
      </c>
      <c r="V2020" s="1">
        <f t="shared" si="654"/>
        <v>0</v>
      </c>
    </row>
    <row r="2021" spans="5:22" x14ac:dyDescent="0.25">
      <c r="E2021" s="4"/>
      <c r="M2021" s="4">
        <f t="shared" si="647"/>
        <v>173.1</v>
      </c>
      <c r="N2021" s="4"/>
      <c r="O2021" s="1">
        <f t="shared" si="648"/>
        <v>173.1</v>
      </c>
      <c r="P2021" s="1">
        <f t="shared" si="649"/>
        <v>0</v>
      </c>
      <c r="Q2021" s="1" t="str">
        <f t="shared" si="646"/>
        <v/>
      </c>
      <c r="R2021" s="1" t="str">
        <f t="shared" si="650"/>
        <v/>
      </c>
      <c r="S2021" s="1">
        <f t="shared" si="651"/>
        <v>630.90240000000244</v>
      </c>
      <c r="T2021" s="1">
        <f t="shared" si="652"/>
        <v>0</v>
      </c>
      <c r="U2021" s="1">
        <f t="shared" si="653"/>
        <v>0</v>
      </c>
      <c r="V2021" s="1">
        <f t="shared" si="654"/>
        <v>0</v>
      </c>
    </row>
    <row r="2022" spans="5:22" x14ac:dyDescent="0.25">
      <c r="E2022" s="4"/>
      <c r="M2022" s="4">
        <f t="shared" si="647"/>
        <v>173.1</v>
      </c>
      <c r="N2022" s="4"/>
      <c r="O2022" s="1">
        <f t="shared" si="648"/>
        <v>173.1</v>
      </c>
      <c r="P2022" s="1">
        <f t="shared" si="649"/>
        <v>0</v>
      </c>
      <c r="Q2022" s="1" t="str">
        <f t="shared" si="646"/>
        <v/>
      </c>
      <c r="R2022" s="1" t="str">
        <f t="shared" si="650"/>
        <v/>
      </c>
      <c r="S2022" s="1">
        <f t="shared" si="651"/>
        <v>630.90240000000244</v>
      </c>
      <c r="T2022" s="1">
        <f t="shared" si="652"/>
        <v>0</v>
      </c>
      <c r="U2022" s="1">
        <f t="shared" si="653"/>
        <v>0</v>
      </c>
      <c r="V2022" s="1">
        <f t="shared" si="654"/>
        <v>0</v>
      </c>
    </row>
    <row r="2023" spans="5:22" x14ac:dyDescent="0.25">
      <c r="E2023" s="4"/>
      <c r="M2023" s="4">
        <f t="shared" si="647"/>
        <v>173.1</v>
      </c>
      <c r="N2023" s="4"/>
      <c r="O2023" s="1">
        <f t="shared" si="648"/>
        <v>173.1</v>
      </c>
      <c r="P2023" s="1">
        <f t="shared" si="649"/>
        <v>0</v>
      </c>
      <c r="Q2023" s="1" t="str">
        <f t="shared" si="646"/>
        <v/>
      </c>
      <c r="R2023" s="1" t="str">
        <f t="shared" si="650"/>
        <v/>
      </c>
      <c r="S2023" s="1">
        <f t="shared" si="651"/>
        <v>630.90240000000244</v>
      </c>
      <c r="T2023" s="1">
        <f t="shared" si="652"/>
        <v>0</v>
      </c>
      <c r="U2023" s="1">
        <f t="shared" si="653"/>
        <v>0</v>
      </c>
      <c r="V2023" s="1">
        <f t="shared" si="654"/>
        <v>0</v>
      </c>
    </row>
    <row r="2024" spans="5:22" x14ac:dyDescent="0.25">
      <c r="E2024" s="4"/>
      <c r="M2024" s="4">
        <f t="shared" si="647"/>
        <v>173.1</v>
      </c>
      <c r="N2024" s="4"/>
      <c r="O2024" s="1">
        <f t="shared" si="648"/>
        <v>173.1</v>
      </c>
      <c r="P2024" s="1">
        <f t="shared" si="649"/>
        <v>0</v>
      </c>
      <c r="Q2024" s="1" t="str">
        <f t="shared" si="646"/>
        <v/>
      </c>
      <c r="R2024" s="1" t="str">
        <f t="shared" si="650"/>
        <v/>
      </c>
      <c r="S2024" s="1">
        <f t="shared" si="651"/>
        <v>630.90240000000244</v>
      </c>
      <c r="T2024" s="1">
        <f t="shared" si="652"/>
        <v>0</v>
      </c>
      <c r="U2024" s="1">
        <f t="shared" si="653"/>
        <v>0</v>
      </c>
      <c r="V2024" s="1">
        <f t="shared" si="654"/>
        <v>0</v>
      </c>
    </row>
    <row r="2025" spans="5:22" x14ac:dyDescent="0.25">
      <c r="E2025" s="4"/>
      <c r="M2025" s="4">
        <f t="shared" si="647"/>
        <v>173.1</v>
      </c>
      <c r="N2025" s="4"/>
      <c r="O2025" s="1">
        <f t="shared" si="648"/>
        <v>173.1</v>
      </c>
      <c r="P2025" s="1">
        <f t="shared" si="649"/>
        <v>0</v>
      </c>
      <c r="Q2025" s="1" t="str">
        <f t="shared" si="646"/>
        <v/>
      </c>
      <c r="R2025" s="1" t="str">
        <f t="shared" si="650"/>
        <v/>
      </c>
      <c r="S2025" s="1">
        <f t="shared" si="651"/>
        <v>630.90240000000244</v>
      </c>
      <c r="T2025" s="1">
        <f t="shared" si="652"/>
        <v>0</v>
      </c>
      <c r="U2025" s="1">
        <f t="shared" si="653"/>
        <v>0</v>
      </c>
      <c r="V2025" s="1">
        <f t="shared" si="654"/>
        <v>0</v>
      </c>
    </row>
    <row r="2026" spans="5:22" x14ac:dyDescent="0.25">
      <c r="E2026" s="4"/>
      <c r="M2026" s="4">
        <f t="shared" si="647"/>
        <v>173.1</v>
      </c>
      <c r="N2026" s="4"/>
      <c r="O2026" s="1">
        <f t="shared" si="648"/>
        <v>173.1</v>
      </c>
      <c r="P2026" s="1">
        <f t="shared" si="649"/>
        <v>0</v>
      </c>
      <c r="Q2026" s="1" t="str">
        <f t="shared" si="646"/>
        <v/>
      </c>
      <c r="R2026" s="1" t="str">
        <f t="shared" si="650"/>
        <v/>
      </c>
      <c r="S2026" s="1">
        <f t="shared" si="651"/>
        <v>630.90240000000244</v>
      </c>
      <c r="T2026" s="1">
        <f t="shared" si="652"/>
        <v>0</v>
      </c>
      <c r="U2026" s="1">
        <f t="shared" si="653"/>
        <v>0</v>
      </c>
      <c r="V2026" s="1">
        <f t="shared" si="654"/>
        <v>0</v>
      </c>
    </row>
    <row r="2027" spans="5:22" x14ac:dyDescent="0.25">
      <c r="E2027" s="4"/>
      <c r="M2027" s="4">
        <f t="shared" si="647"/>
        <v>173.1</v>
      </c>
      <c r="N2027" s="4"/>
      <c r="O2027" s="1">
        <f t="shared" si="648"/>
        <v>173.1</v>
      </c>
      <c r="P2027" s="1">
        <f t="shared" si="649"/>
        <v>0</v>
      </c>
      <c r="Q2027" s="1" t="str">
        <f t="shared" si="646"/>
        <v/>
      </c>
      <c r="R2027" s="1" t="str">
        <f t="shared" si="650"/>
        <v/>
      </c>
      <c r="S2027" s="1">
        <f t="shared" si="651"/>
        <v>630.90240000000244</v>
      </c>
      <c r="T2027" s="1">
        <f t="shared" si="652"/>
        <v>0</v>
      </c>
      <c r="U2027" s="1">
        <f t="shared" si="653"/>
        <v>0</v>
      </c>
      <c r="V2027" s="1">
        <f t="shared" si="654"/>
        <v>0</v>
      </c>
    </row>
    <row r="2028" spans="5:22" x14ac:dyDescent="0.25">
      <c r="E2028" s="4"/>
      <c r="M2028" s="4">
        <f t="shared" si="647"/>
        <v>173.1</v>
      </c>
      <c r="N2028" s="4"/>
      <c r="O2028" s="1">
        <f t="shared" si="648"/>
        <v>173.1</v>
      </c>
      <c r="P2028" s="1">
        <f t="shared" si="649"/>
        <v>0</v>
      </c>
      <c r="Q2028" s="1" t="str">
        <f t="shared" si="646"/>
        <v/>
      </c>
      <c r="R2028" s="1" t="str">
        <f t="shared" si="650"/>
        <v/>
      </c>
      <c r="S2028" s="1">
        <f t="shared" si="651"/>
        <v>630.90240000000244</v>
      </c>
      <c r="T2028" s="1">
        <f t="shared" si="652"/>
        <v>0</v>
      </c>
      <c r="U2028" s="1">
        <f t="shared" si="653"/>
        <v>0</v>
      </c>
      <c r="V2028" s="1">
        <f t="shared" si="654"/>
        <v>0</v>
      </c>
    </row>
    <row r="2029" spans="5:22" x14ac:dyDescent="0.25">
      <c r="E2029" s="4"/>
      <c r="M2029" s="4">
        <f t="shared" si="647"/>
        <v>173.1</v>
      </c>
      <c r="N2029" s="4"/>
      <c r="O2029" s="1">
        <f t="shared" si="648"/>
        <v>173.1</v>
      </c>
      <c r="P2029" s="1">
        <f t="shared" si="649"/>
        <v>0</v>
      </c>
      <c r="Q2029" s="1" t="str">
        <f t="shared" si="646"/>
        <v/>
      </c>
      <c r="R2029" s="1" t="str">
        <f t="shared" si="650"/>
        <v/>
      </c>
      <c r="S2029" s="1">
        <f t="shared" si="651"/>
        <v>630.90240000000244</v>
      </c>
      <c r="T2029" s="1">
        <f t="shared" si="652"/>
        <v>0</v>
      </c>
      <c r="U2029" s="1">
        <f t="shared" si="653"/>
        <v>0</v>
      </c>
      <c r="V2029" s="1">
        <f t="shared" si="654"/>
        <v>0</v>
      </c>
    </row>
    <row r="2030" spans="5:22" x14ac:dyDescent="0.25">
      <c r="E2030" s="4"/>
      <c r="M2030" s="4">
        <f t="shared" si="647"/>
        <v>173.1</v>
      </c>
      <c r="N2030" s="4"/>
      <c r="O2030" s="1">
        <f t="shared" si="648"/>
        <v>173.1</v>
      </c>
      <c r="P2030" s="1">
        <f t="shared" si="649"/>
        <v>0</v>
      </c>
      <c r="Q2030" s="1" t="str">
        <f t="shared" si="646"/>
        <v/>
      </c>
      <c r="R2030" s="1" t="str">
        <f t="shared" si="650"/>
        <v/>
      </c>
      <c r="S2030" s="1">
        <f t="shared" si="651"/>
        <v>630.90240000000244</v>
      </c>
      <c r="T2030" s="1">
        <f t="shared" si="652"/>
        <v>0</v>
      </c>
      <c r="U2030" s="1">
        <f t="shared" si="653"/>
        <v>0</v>
      </c>
      <c r="V2030" s="1">
        <f t="shared" si="654"/>
        <v>0</v>
      </c>
    </row>
    <row r="2031" spans="5:22" x14ac:dyDescent="0.25">
      <c r="E2031" s="4"/>
      <c r="M2031" s="4">
        <f t="shared" si="647"/>
        <v>173.1</v>
      </c>
      <c r="N2031" s="4"/>
      <c r="O2031" s="1">
        <f t="shared" si="648"/>
        <v>173.1</v>
      </c>
      <c r="P2031" s="1">
        <f t="shared" si="649"/>
        <v>0</v>
      </c>
      <c r="Q2031" s="1" t="str">
        <f t="shared" si="646"/>
        <v/>
      </c>
      <c r="R2031" s="1" t="str">
        <f t="shared" si="650"/>
        <v/>
      </c>
      <c r="S2031" s="1">
        <f t="shared" si="651"/>
        <v>630.90240000000244</v>
      </c>
      <c r="T2031" s="1">
        <f t="shared" si="652"/>
        <v>0</v>
      </c>
      <c r="U2031" s="1">
        <f t="shared" si="653"/>
        <v>0</v>
      </c>
      <c r="V2031" s="1">
        <f t="shared" si="654"/>
        <v>0</v>
      </c>
    </row>
    <row r="2032" spans="5:22" x14ac:dyDescent="0.25">
      <c r="E2032" s="4"/>
      <c r="M2032" s="4">
        <f t="shared" si="647"/>
        <v>173.1</v>
      </c>
      <c r="N2032" s="4"/>
      <c r="O2032" s="1">
        <f t="shared" si="648"/>
        <v>173.1</v>
      </c>
      <c r="P2032" s="1">
        <f t="shared" si="649"/>
        <v>0</v>
      </c>
      <c r="Q2032" s="1" t="str">
        <f t="shared" si="646"/>
        <v/>
      </c>
      <c r="R2032" s="1" t="str">
        <f t="shared" si="650"/>
        <v/>
      </c>
      <c r="S2032" s="1">
        <f t="shared" si="651"/>
        <v>630.90240000000244</v>
      </c>
      <c r="T2032" s="1">
        <f t="shared" si="652"/>
        <v>0</v>
      </c>
      <c r="U2032" s="1">
        <f t="shared" si="653"/>
        <v>0</v>
      </c>
      <c r="V2032" s="1">
        <f t="shared" si="654"/>
        <v>0</v>
      </c>
    </row>
    <row r="2033" spans="5:22" x14ac:dyDescent="0.25">
      <c r="E2033" s="4"/>
      <c r="M2033" s="4">
        <f t="shared" si="647"/>
        <v>173.1</v>
      </c>
      <c r="N2033" s="4"/>
      <c r="O2033" s="1">
        <f t="shared" si="648"/>
        <v>173.1</v>
      </c>
      <c r="P2033" s="1">
        <f t="shared" si="649"/>
        <v>0</v>
      </c>
      <c r="Q2033" s="1" t="str">
        <f t="shared" si="646"/>
        <v/>
      </c>
      <c r="R2033" s="1" t="str">
        <f t="shared" si="650"/>
        <v/>
      </c>
      <c r="S2033" s="1">
        <f t="shared" si="651"/>
        <v>630.90240000000244</v>
      </c>
      <c r="T2033" s="1">
        <f t="shared" si="652"/>
        <v>0</v>
      </c>
      <c r="U2033" s="1">
        <f t="shared" si="653"/>
        <v>0</v>
      </c>
      <c r="V2033" s="1">
        <f t="shared" si="654"/>
        <v>0</v>
      </c>
    </row>
    <row r="2034" spans="5:22" x14ac:dyDescent="0.25">
      <c r="E2034" s="4"/>
      <c r="M2034" s="4">
        <f t="shared" si="647"/>
        <v>173.1</v>
      </c>
      <c r="N2034" s="4"/>
      <c r="O2034" s="1">
        <f t="shared" si="648"/>
        <v>173.1</v>
      </c>
      <c r="P2034" s="1">
        <f t="shared" si="649"/>
        <v>0</v>
      </c>
      <c r="Q2034" s="1" t="str">
        <f t="shared" ref="Q2034:Q2097" si="655">IF(H2034&lt;&gt;"",IF(H2034=H2033,"",H2034),IF(H2032="","",MAX(H2033,Q2033)))</f>
        <v/>
      </c>
      <c r="R2034" s="1" t="str">
        <f t="shared" si="650"/>
        <v/>
      </c>
      <c r="S2034" s="1">
        <f t="shared" si="651"/>
        <v>630.90240000000244</v>
      </c>
      <c r="T2034" s="1">
        <f t="shared" si="652"/>
        <v>0</v>
      </c>
      <c r="U2034" s="1">
        <f t="shared" si="653"/>
        <v>0</v>
      </c>
      <c r="V2034" s="1">
        <f t="shared" si="654"/>
        <v>0</v>
      </c>
    </row>
    <row r="2035" spans="5:22" x14ac:dyDescent="0.25">
      <c r="E2035" s="4"/>
      <c r="M2035" s="4">
        <f t="shared" si="647"/>
        <v>173.1</v>
      </c>
      <c r="N2035" s="4"/>
      <c r="O2035" s="1">
        <f t="shared" si="648"/>
        <v>173.1</v>
      </c>
      <c r="P2035" s="1">
        <f t="shared" si="649"/>
        <v>0</v>
      </c>
      <c r="Q2035" s="1" t="str">
        <f t="shared" si="655"/>
        <v/>
      </c>
      <c r="R2035" s="1" t="str">
        <f t="shared" si="650"/>
        <v/>
      </c>
      <c r="S2035" s="1">
        <f t="shared" si="651"/>
        <v>630.90240000000244</v>
      </c>
      <c r="T2035" s="1">
        <f t="shared" si="652"/>
        <v>0</v>
      </c>
      <c r="U2035" s="1">
        <f t="shared" si="653"/>
        <v>0</v>
      </c>
      <c r="V2035" s="1">
        <f t="shared" si="654"/>
        <v>0</v>
      </c>
    </row>
    <row r="2036" spans="5:22" x14ac:dyDescent="0.25">
      <c r="E2036" s="4"/>
      <c r="M2036" s="4">
        <f t="shared" si="647"/>
        <v>173.1</v>
      </c>
      <c r="N2036" s="4"/>
      <c r="O2036" s="1">
        <f t="shared" si="648"/>
        <v>173.1</v>
      </c>
      <c r="P2036" s="1">
        <f t="shared" si="649"/>
        <v>0</v>
      </c>
      <c r="Q2036" s="1" t="str">
        <f t="shared" si="655"/>
        <v/>
      </c>
      <c r="R2036" s="1" t="str">
        <f t="shared" si="650"/>
        <v/>
      </c>
      <c r="S2036" s="1">
        <f t="shared" si="651"/>
        <v>630.90240000000244</v>
      </c>
      <c r="T2036" s="1">
        <f t="shared" si="652"/>
        <v>0</v>
      </c>
      <c r="U2036" s="1">
        <f t="shared" si="653"/>
        <v>0</v>
      </c>
      <c r="V2036" s="1">
        <f t="shared" si="654"/>
        <v>0</v>
      </c>
    </row>
    <row r="2037" spans="5:22" x14ac:dyDescent="0.25">
      <c r="E2037" s="4"/>
      <c r="M2037" s="4">
        <f t="shared" si="647"/>
        <v>173.1</v>
      </c>
      <c r="N2037" s="4"/>
      <c r="O2037" s="1">
        <f t="shared" si="648"/>
        <v>173.1</v>
      </c>
      <c r="P2037" s="1">
        <f t="shared" si="649"/>
        <v>0</v>
      </c>
      <c r="Q2037" s="1" t="str">
        <f t="shared" si="655"/>
        <v/>
      </c>
      <c r="R2037" s="1" t="str">
        <f t="shared" si="650"/>
        <v/>
      </c>
      <c r="S2037" s="1">
        <f t="shared" si="651"/>
        <v>630.90240000000244</v>
      </c>
      <c r="T2037" s="1">
        <f t="shared" si="652"/>
        <v>0</v>
      </c>
      <c r="U2037" s="1">
        <f t="shared" si="653"/>
        <v>0</v>
      </c>
      <c r="V2037" s="1">
        <f t="shared" si="654"/>
        <v>0</v>
      </c>
    </row>
    <row r="2038" spans="5:22" x14ac:dyDescent="0.25">
      <c r="E2038" s="4"/>
      <c r="M2038" s="4">
        <f t="shared" si="647"/>
        <v>173.1</v>
      </c>
      <c r="N2038" s="4"/>
      <c r="O2038" s="1">
        <f t="shared" si="648"/>
        <v>173.1</v>
      </c>
      <c r="P2038" s="1">
        <f t="shared" si="649"/>
        <v>0</v>
      </c>
      <c r="Q2038" s="1" t="str">
        <f t="shared" si="655"/>
        <v/>
      </c>
      <c r="R2038" s="1" t="str">
        <f t="shared" si="650"/>
        <v/>
      </c>
      <c r="S2038" s="1">
        <f t="shared" si="651"/>
        <v>630.90240000000244</v>
      </c>
      <c r="T2038" s="1">
        <f t="shared" si="652"/>
        <v>0</v>
      </c>
      <c r="U2038" s="1">
        <f t="shared" si="653"/>
        <v>0</v>
      </c>
      <c r="V2038" s="1">
        <f t="shared" si="654"/>
        <v>0</v>
      </c>
    </row>
    <row r="2039" spans="5:22" x14ac:dyDescent="0.25">
      <c r="E2039" s="4"/>
      <c r="M2039" s="4">
        <f t="shared" si="647"/>
        <v>173.1</v>
      </c>
      <c r="N2039" s="4"/>
      <c r="O2039" s="1">
        <f t="shared" si="648"/>
        <v>173.1</v>
      </c>
      <c r="P2039" s="1">
        <f t="shared" si="649"/>
        <v>0</v>
      </c>
      <c r="Q2039" s="1" t="str">
        <f t="shared" si="655"/>
        <v/>
      </c>
      <c r="R2039" s="1" t="str">
        <f t="shared" si="650"/>
        <v/>
      </c>
      <c r="S2039" s="1">
        <f t="shared" si="651"/>
        <v>630.90240000000244</v>
      </c>
      <c r="T2039" s="1">
        <f t="shared" si="652"/>
        <v>0</v>
      </c>
      <c r="U2039" s="1">
        <f t="shared" si="653"/>
        <v>0</v>
      </c>
      <c r="V2039" s="1">
        <f t="shared" si="654"/>
        <v>0</v>
      </c>
    </row>
    <row r="2040" spans="5:22" x14ac:dyDescent="0.25">
      <c r="E2040" s="4"/>
      <c r="M2040" s="4">
        <f t="shared" si="647"/>
        <v>173.1</v>
      </c>
      <c r="N2040" s="4"/>
      <c r="O2040" s="1">
        <f t="shared" si="648"/>
        <v>173.1</v>
      </c>
      <c r="P2040" s="1">
        <f t="shared" si="649"/>
        <v>0</v>
      </c>
      <c r="Q2040" s="1" t="str">
        <f t="shared" si="655"/>
        <v/>
      </c>
      <c r="R2040" s="1" t="str">
        <f t="shared" si="650"/>
        <v/>
      </c>
      <c r="S2040" s="1">
        <f t="shared" si="651"/>
        <v>630.90240000000244</v>
      </c>
      <c r="T2040" s="1">
        <f t="shared" si="652"/>
        <v>0</v>
      </c>
      <c r="U2040" s="1">
        <f t="shared" si="653"/>
        <v>0</v>
      </c>
      <c r="V2040" s="1">
        <f t="shared" si="654"/>
        <v>0</v>
      </c>
    </row>
    <row r="2041" spans="5:22" x14ac:dyDescent="0.25">
      <c r="E2041" s="4"/>
      <c r="M2041" s="4">
        <f t="shared" si="647"/>
        <v>173.1</v>
      </c>
      <c r="N2041" s="4"/>
      <c r="O2041" s="1">
        <f t="shared" si="648"/>
        <v>173.1</v>
      </c>
      <c r="P2041" s="1">
        <f t="shared" si="649"/>
        <v>0</v>
      </c>
      <c r="Q2041" s="1" t="str">
        <f t="shared" si="655"/>
        <v/>
      </c>
      <c r="R2041" s="1" t="str">
        <f t="shared" si="650"/>
        <v/>
      </c>
      <c r="S2041" s="1">
        <f t="shared" si="651"/>
        <v>630.90240000000244</v>
      </c>
      <c r="T2041" s="1">
        <f t="shared" si="652"/>
        <v>0</v>
      </c>
      <c r="U2041" s="1">
        <f t="shared" si="653"/>
        <v>0</v>
      </c>
      <c r="V2041" s="1">
        <f t="shared" si="654"/>
        <v>0</v>
      </c>
    </row>
    <row r="2042" spans="5:22" x14ac:dyDescent="0.25">
      <c r="E2042" s="4"/>
      <c r="M2042" s="4">
        <f t="shared" si="647"/>
        <v>173.1</v>
      </c>
      <c r="N2042" s="4"/>
      <c r="O2042" s="1">
        <f t="shared" si="648"/>
        <v>173.1</v>
      </c>
      <c r="P2042" s="1">
        <f t="shared" si="649"/>
        <v>0</v>
      </c>
      <c r="Q2042" s="1" t="str">
        <f t="shared" si="655"/>
        <v/>
      </c>
      <c r="R2042" s="1" t="str">
        <f t="shared" si="650"/>
        <v/>
      </c>
      <c r="S2042" s="1">
        <f t="shared" si="651"/>
        <v>630.90240000000244</v>
      </c>
      <c r="T2042" s="1">
        <f t="shared" si="652"/>
        <v>0</v>
      </c>
      <c r="U2042" s="1">
        <f t="shared" si="653"/>
        <v>0</v>
      </c>
      <c r="V2042" s="1">
        <f t="shared" si="654"/>
        <v>0</v>
      </c>
    </row>
    <row r="2043" spans="5:22" x14ac:dyDescent="0.25">
      <c r="E2043" s="4"/>
      <c r="M2043" s="4">
        <f t="shared" si="647"/>
        <v>173.1</v>
      </c>
      <c r="N2043" s="4"/>
      <c r="O2043" s="1">
        <f t="shared" si="648"/>
        <v>173.1</v>
      </c>
      <c r="P2043" s="1">
        <f t="shared" si="649"/>
        <v>0</v>
      </c>
      <c r="Q2043" s="1" t="str">
        <f t="shared" si="655"/>
        <v/>
      </c>
      <c r="R2043" s="1" t="str">
        <f t="shared" si="650"/>
        <v/>
      </c>
      <c r="S2043" s="1">
        <f t="shared" si="651"/>
        <v>630.90240000000244</v>
      </c>
      <c r="T2043" s="1">
        <f t="shared" si="652"/>
        <v>0</v>
      </c>
      <c r="U2043" s="1">
        <f t="shared" si="653"/>
        <v>0</v>
      </c>
      <c r="V2043" s="1">
        <f t="shared" si="654"/>
        <v>0</v>
      </c>
    </row>
    <row r="2044" spans="5:22" x14ac:dyDescent="0.25">
      <c r="E2044" s="4"/>
      <c r="M2044" s="4">
        <f t="shared" si="647"/>
        <v>173.1</v>
      </c>
      <c r="N2044" s="4"/>
      <c r="O2044" s="1">
        <f t="shared" si="648"/>
        <v>173.1</v>
      </c>
      <c r="P2044" s="1">
        <f t="shared" si="649"/>
        <v>0</v>
      </c>
      <c r="Q2044" s="1" t="str">
        <f t="shared" si="655"/>
        <v/>
      </c>
      <c r="R2044" s="1" t="str">
        <f t="shared" si="650"/>
        <v/>
      </c>
      <c r="S2044" s="1">
        <f t="shared" si="651"/>
        <v>630.90240000000244</v>
      </c>
      <c r="T2044" s="1">
        <f t="shared" si="652"/>
        <v>0</v>
      </c>
      <c r="U2044" s="1">
        <f t="shared" si="653"/>
        <v>0</v>
      </c>
      <c r="V2044" s="1">
        <f t="shared" si="654"/>
        <v>0</v>
      </c>
    </row>
    <row r="2045" spans="5:22" x14ac:dyDescent="0.25">
      <c r="E2045" s="4"/>
      <c r="M2045" s="4">
        <f t="shared" si="647"/>
        <v>173.1</v>
      </c>
      <c r="N2045" s="4"/>
      <c r="O2045" s="1">
        <f t="shared" si="648"/>
        <v>173.1</v>
      </c>
      <c r="P2045" s="1">
        <f t="shared" si="649"/>
        <v>0</v>
      </c>
      <c r="Q2045" s="1" t="str">
        <f t="shared" si="655"/>
        <v/>
      </c>
      <c r="R2045" s="1" t="str">
        <f t="shared" si="650"/>
        <v/>
      </c>
      <c r="S2045" s="1">
        <f t="shared" si="651"/>
        <v>630.90240000000244</v>
      </c>
      <c r="T2045" s="1">
        <f t="shared" si="652"/>
        <v>0</v>
      </c>
      <c r="U2045" s="1">
        <f t="shared" si="653"/>
        <v>0</v>
      </c>
      <c r="V2045" s="1">
        <f t="shared" si="654"/>
        <v>0</v>
      </c>
    </row>
    <row r="2046" spans="5:22" x14ac:dyDescent="0.25">
      <c r="E2046" s="4"/>
      <c r="M2046" s="4">
        <f t="shared" si="647"/>
        <v>173.1</v>
      </c>
      <c r="N2046" s="4"/>
      <c r="O2046" s="1">
        <f t="shared" si="648"/>
        <v>173.1</v>
      </c>
      <c r="P2046" s="1">
        <f t="shared" si="649"/>
        <v>0</v>
      </c>
      <c r="Q2046" s="1" t="str">
        <f t="shared" si="655"/>
        <v/>
      </c>
      <c r="R2046" s="1" t="str">
        <f t="shared" si="650"/>
        <v/>
      </c>
      <c r="S2046" s="1">
        <f t="shared" si="651"/>
        <v>630.90240000000244</v>
      </c>
      <c r="T2046" s="1">
        <f t="shared" si="652"/>
        <v>0</v>
      </c>
      <c r="U2046" s="1">
        <f t="shared" si="653"/>
        <v>0</v>
      </c>
      <c r="V2046" s="1">
        <f t="shared" si="654"/>
        <v>0</v>
      </c>
    </row>
    <row r="2047" spans="5:22" x14ac:dyDescent="0.25">
      <c r="E2047" s="4"/>
      <c r="M2047" s="4">
        <f t="shared" si="647"/>
        <v>173.1</v>
      </c>
      <c r="N2047" s="4"/>
      <c r="O2047" s="1">
        <f t="shared" si="648"/>
        <v>173.1</v>
      </c>
      <c r="P2047" s="1">
        <f t="shared" si="649"/>
        <v>0</v>
      </c>
      <c r="Q2047" s="1" t="str">
        <f t="shared" si="655"/>
        <v/>
      </c>
      <c r="R2047" s="1" t="str">
        <f t="shared" si="650"/>
        <v/>
      </c>
      <c r="S2047" s="1">
        <f t="shared" si="651"/>
        <v>630.90240000000244</v>
      </c>
      <c r="T2047" s="1">
        <f t="shared" si="652"/>
        <v>0</v>
      </c>
      <c r="U2047" s="1">
        <f t="shared" si="653"/>
        <v>0</v>
      </c>
      <c r="V2047" s="1">
        <f t="shared" si="654"/>
        <v>0</v>
      </c>
    </row>
    <row r="2048" spans="5:22" x14ac:dyDescent="0.25">
      <c r="E2048" s="4"/>
      <c r="M2048" s="4">
        <f t="shared" si="647"/>
        <v>173.1</v>
      </c>
      <c r="N2048" s="4"/>
      <c r="O2048" s="1">
        <f t="shared" si="648"/>
        <v>173.1</v>
      </c>
      <c r="P2048" s="1">
        <f t="shared" si="649"/>
        <v>0</v>
      </c>
      <c r="Q2048" s="1" t="str">
        <f t="shared" si="655"/>
        <v/>
      </c>
      <c r="R2048" s="1" t="str">
        <f t="shared" si="650"/>
        <v/>
      </c>
      <c r="S2048" s="1">
        <f t="shared" si="651"/>
        <v>630.90240000000244</v>
      </c>
      <c r="T2048" s="1">
        <f t="shared" si="652"/>
        <v>0</v>
      </c>
      <c r="U2048" s="1">
        <f t="shared" si="653"/>
        <v>0</v>
      </c>
      <c r="V2048" s="1">
        <f t="shared" si="654"/>
        <v>0</v>
      </c>
    </row>
    <row r="2049" spans="5:22" x14ac:dyDescent="0.25">
      <c r="E2049" s="4"/>
      <c r="M2049" s="4">
        <f t="shared" si="647"/>
        <v>173.1</v>
      </c>
      <c r="N2049" s="4"/>
      <c r="O2049" s="1">
        <f t="shared" si="648"/>
        <v>173.1</v>
      </c>
      <c r="P2049" s="1">
        <f t="shared" si="649"/>
        <v>0</v>
      </c>
      <c r="Q2049" s="1" t="str">
        <f t="shared" si="655"/>
        <v/>
      </c>
      <c r="R2049" s="1" t="str">
        <f t="shared" si="650"/>
        <v/>
      </c>
      <c r="S2049" s="1">
        <f t="shared" si="651"/>
        <v>630.90240000000244</v>
      </c>
      <c r="T2049" s="1">
        <f t="shared" si="652"/>
        <v>0</v>
      </c>
      <c r="U2049" s="1">
        <f t="shared" si="653"/>
        <v>0</v>
      </c>
      <c r="V2049" s="1">
        <f t="shared" si="654"/>
        <v>0</v>
      </c>
    </row>
    <row r="2050" spans="5:22" x14ac:dyDescent="0.25">
      <c r="E2050" s="4"/>
      <c r="M2050" s="4">
        <f t="shared" si="647"/>
        <v>173.1</v>
      </c>
      <c r="N2050" s="4"/>
      <c r="O2050" s="1">
        <f t="shared" si="648"/>
        <v>173.1</v>
      </c>
      <c r="P2050" s="1">
        <f t="shared" si="649"/>
        <v>0</v>
      </c>
      <c r="Q2050" s="1" t="str">
        <f t="shared" si="655"/>
        <v/>
      </c>
      <c r="R2050" s="1" t="str">
        <f t="shared" si="650"/>
        <v/>
      </c>
      <c r="S2050" s="1">
        <f t="shared" si="651"/>
        <v>630.90240000000244</v>
      </c>
      <c r="T2050" s="1">
        <f t="shared" si="652"/>
        <v>0</v>
      </c>
      <c r="U2050" s="1">
        <f t="shared" si="653"/>
        <v>0</v>
      </c>
      <c r="V2050" s="1">
        <f t="shared" si="654"/>
        <v>0</v>
      </c>
    </row>
    <row r="2051" spans="5:22" x14ac:dyDescent="0.25">
      <c r="E2051" s="4"/>
      <c r="M2051" s="4">
        <f t="shared" si="647"/>
        <v>173.1</v>
      </c>
      <c r="N2051" s="4"/>
      <c r="O2051" s="1">
        <f t="shared" si="648"/>
        <v>173.1</v>
      </c>
      <c r="P2051" s="1">
        <f t="shared" si="649"/>
        <v>0</v>
      </c>
      <c r="Q2051" s="1" t="str">
        <f t="shared" si="655"/>
        <v/>
      </c>
      <c r="R2051" s="1" t="str">
        <f t="shared" si="650"/>
        <v/>
      </c>
      <c r="S2051" s="1">
        <f t="shared" si="651"/>
        <v>630.90240000000244</v>
      </c>
      <c r="T2051" s="1">
        <f t="shared" si="652"/>
        <v>0</v>
      </c>
      <c r="U2051" s="1">
        <f t="shared" si="653"/>
        <v>0</v>
      </c>
      <c r="V2051" s="1">
        <f t="shared" si="654"/>
        <v>0</v>
      </c>
    </row>
    <row r="2052" spans="5:22" x14ac:dyDescent="0.25">
      <c r="E2052" s="4"/>
      <c r="M2052" s="4">
        <f t="shared" si="647"/>
        <v>173.1</v>
      </c>
      <c r="N2052" s="4"/>
      <c r="O2052" s="1">
        <f t="shared" si="648"/>
        <v>173.1</v>
      </c>
      <c r="P2052" s="1">
        <f t="shared" si="649"/>
        <v>0</v>
      </c>
      <c r="Q2052" s="1" t="str">
        <f t="shared" si="655"/>
        <v/>
      </c>
      <c r="R2052" s="1" t="str">
        <f t="shared" si="650"/>
        <v/>
      </c>
      <c r="S2052" s="1">
        <f t="shared" si="651"/>
        <v>630.90240000000244</v>
      </c>
      <c r="T2052" s="1">
        <f t="shared" si="652"/>
        <v>0</v>
      </c>
      <c r="U2052" s="1">
        <f t="shared" si="653"/>
        <v>0</v>
      </c>
      <c r="V2052" s="1">
        <f t="shared" si="654"/>
        <v>0</v>
      </c>
    </row>
    <row r="2053" spans="5:22" x14ac:dyDescent="0.25">
      <c r="E2053" s="4"/>
      <c r="M2053" s="4">
        <f t="shared" si="647"/>
        <v>173.1</v>
      </c>
      <c r="N2053" s="4"/>
      <c r="O2053" s="1">
        <f t="shared" si="648"/>
        <v>173.1</v>
      </c>
      <c r="P2053" s="1">
        <f t="shared" si="649"/>
        <v>0</v>
      </c>
      <c r="Q2053" s="1" t="str">
        <f t="shared" si="655"/>
        <v/>
      </c>
      <c r="R2053" s="1" t="str">
        <f t="shared" si="650"/>
        <v/>
      </c>
      <c r="S2053" s="1">
        <f t="shared" si="651"/>
        <v>630.90240000000244</v>
      </c>
      <c r="T2053" s="1">
        <f t="shared" si="652"/>
        <v>0</v>
      </c>
      <c r="U2053" s="1">
        <f t="shared" si="653"/>
        <v>0</v>
      </c>
      <c r="V2053" s="1">
        <f t="shared" si="654"/>
        <v>0</v>
      </c>
    </row>
    <row r="2054" spans="5:22" x14ac:dyDescent="0.25">
      <c r="E2054" s="4"/>
      <c r="M2054" s="4">
        <f t="shared" si="647"/>
        <v>173.1</v>
      </c>
      <c r="N2054" s="4"/>
      <c r="O2054" s="1">
        <f t="shared" si="648"/>
        <v>173.1</v>
      </c>
      <c r="P2054" s="1">
        <f t="shared" si="649"/>
        <v>0</v>
      </c>
      <c r="Q2054" s="1" t="str">
        <f t="shared" si="655"/>
        <v/>
      </c>
      <c r="R2054" s="1" t="str">
        <f t="shared" si="650"/>
        <v/>
      </c>
      <c r="S2054" s="1">
        <f t="shared" si="651"/>
        <v>630.90240000000244</v>
      </c>
      <c r="T2054" s="1">
        <f t="shared" si="652"/>
        <v>0</v>
      </c>
      <c r="U2054" s="1">
        <f t="shared" si="653"/>
        <v>0</v>
      </c>
      <c r="V2054" s="1">
        <f t="shared" si="654"/>
        <v>0</v>
      </c>
    </row>
    <row r="2055" spans="5:22" x14ac:dyDescent="0.25">
      <c r="E2055" s="4"/>
      <c r="M2055" s="4">
        <f t="shared" si="647"/>
        <v>173.1</v>
      </c>
      <c r="N2055" s="4"/>
      <c r="O2055" s="1">
        <f t="shared" si="648"/>
        <v>173.1</v>
      </c>
      <c r="P2055" s="1">
        <f t="shared" si="649"/>
        <v>0</v>
      </c>
      <c r="Q2055" s="1" t="str">
        <f t="shared" si="655"/>
        <v/>
      </c>
      <c r="R2055" s="1" t="str">
        <f t="shared" si="650"/>
        <v/>
      </c>
      <c r="S2055" s="1">
        <f t="shared" si="651"/>
        <v>630.90240000000244</v>
      </c>
      <c r="T2055" s="1">
        <f t="shared" si="652"/>
        <v>0</v>
      </c>
      <c r="U2055" s="1">
        <f t="shared" si="653"/>
        <v>0</v>
      </c>
      <c r="V2055" s="1">
        <f t="shared" si="654"/>
        <v>0</v>
      </c>
    </row>
    <row r="2056" spans="5:22" x14ac:dyDescent="0.25">
      <c r="E2056" s="4"/>
      <c r="M2056" s="4">
        <f t="shared" ref="M2056:M2119" si="656">E2056+M2055</f>
        <v>173.1</v>
      </c>
      <c r="N2056" s="4"/>
      <c r="O2056" s="1">
        <f t="shared" ref="O2056:O2119" si="657">E2055+O2055</f>
        <v>173.1</v>
      </c>
      <c r="P2056" s="1">
        <f t="shared" ref="P2056:P2119" si="658">F2056*52.8*E2056</f>
        <v>0</v>
      </c>
      <c r="Q2056" s="1" t="str">
        <f t="shared" si="655"/>
        <v/>
      </c>
      <c r="R2056" s="1" t="str">
        <f t="shared" ref="R2056:R2119" si="659">IF(I2056="",Q2056,IF(AND(H2056=H2055,I2056=I2055),"",I2056))</f>
        <v/>
      </c>
      <c r="S2056" s="1">
        <f t="shared" ref="S2056:S2119" si="660">S2055+U2055*T2055/100</f>
        <v>630.90240000000244</v>
      </c>
      <c r="T2056" s="1">
        <f t="shared" ref="T2056:T2119" si="661">IF(G2056="UNK",0,G2056)</f>
        <v>0</v>
      </c>
      <c r="U2056" s="1">
        <f t="shared" ref="U2056:U2119" si="662">E2056*5280</f>
        <v>0</v>
      </c>
      <c r="V2056" s="1">
        <f t="shared" ref="V2056:V2119" si="663">ABS(T2056*U2056)</f>
        <v>0</v>
      </c>
    </row>
    <row r="2057" spans="5:22" x14ac:dyDescent="0.25">
      <c r="E2057" s="4"/>
      <c r="M2057" s="4">
        <f t="shared" si="656"/>
        <v>173.1</v>
      </c>
      <c r="N2057" s="4"/>
      <c r="O2057" s="1">
        <f t="shared" si="657"/>
        <v>173.1</v>
      </c>
      <c r="P2057" s="1">
        <f t="shared" si="658"/>
        <v>0</v>
      </c>
      <c r="Q2057" s="1" t="str">
        <f t="shared" si="655"/>
        <v/>
      </c>
      <c r="R2057" s="1" t="str">
        <f t="shared" si="659"/>
        <v/>
      </c>
      <c r="S2057" s="1">
        <f t="shared" si="660"/>
        <v>630.90240000000244</v>
      </c>
      <c r="T2057" s="1">
        <f t="shared" si="661"/>
        <v>0</v>
      </c>
      <c r="U2057" s="1">
        <f t="shared" si="662"/>
        <v>0</v>
      </c>
      <c r="V2057" s="1">
        <f t="shared" si="663"/>
        <v>0</v>
      </c>
    </row>
    <row r="2058" spans="5:22" x14ac:dyDescent="0.25">
      <c r="E2058" s="4"/>
      <c r="M2058" s="4">
        <f t="shared" si="656"/>
        <v>173.1</v>
      </c>
      <c r="N2058" s="4"/>
      <c r="O2058" s="1">
        <f t="shared" si="657"/>
        <v>173.1</v>
      </c>
      <c r="P2058" s="1">
        <f t="shared" si="658"/>
        <v>0</v>
      </c>
      <c r="Q2058" s="1" t="str">
        <f t="shared" si="655"/>
        <v/>
      </c>
      <c r="R2058" s="1" t="str">
        <f t="shared" si="659"/>
        <v/>
      </c>
      <c r="S2058" s="1">
        <f t="shared" si="660"/>
        <v>630.90240000000244</v>
      </c>
      <c r="T2058" s="1">
        <f t="shared" si="661"/>
        <v>0</v>
      </c>
      <c r="U2058" s="1">
        <f t="shared" si="662"/>
        <v>0</v>
      </c>
      <c r="V2058" s="1">
        <f t="shared" si="663"/>
        <v>0</v>
      </c>
    </row>
    <row r="2059" spans="5:22" x14ac:dyDescent="0.25">
      <c r="E2059" s="4"/>
      <c r="M2059" s="4">
        <f t="shared" si="656"/>
        <v>173.1</v>
      </c>
      <c r="N2059" s="4"/>
      <c r="O2059" s="1">
        <f t="shared" si="657"/>
        <v>173.1</v>
      </c>
      <c r="P2059" s="1">
        <f t="shared" si="658"/>
        <v>0</v>
      </c>
      <c r="Q2059" s="1" t="str">
        <f t="shared" si="655"/>
        <v/>
      </c>
      <c r="R2059" s="1" t="str">
        <f t="shared" si="659"/>
        <v/>
      </c>
      <c r="S2059" s="1">
        <f t="shared" si="660"/>
        <v>630.90240000000244</v>
      </c>
      <c r="T2059" s="1">
        <f t="shared" si="661"/>
        <v>0</v>
      </c>
      <c r="U2059" s="1">
        <f t="shared" si="662"/>
        <v>0</v>
      </c>
      <c r="V2059" s="1">
        <f t="shared" si="663"/>
        <v>0</v>
      </c>
    </row>
    <row r="2060" spans="5:22" x14ac:dyDescent="0.25">
      <c r="E2060" s="4"/>
      <c r="M2060" s="4">
        <f t="shared" si="656"/>
        <v>173.1</v>
      </c>
      <c r="N2060" s="4"/>
      <c r="O2060" s="1">
        <f t="shared" si="657"/>
        <v>173.1</v>
      </c>
      <c r="P2060" s="1">
        <f t="shared" si="658"/>
        <v>0</v>
      </c>
      <c r="Q2060" s="1" t="str">
        <f t="shared" si="655"/>
        <v/>
      </c>
      <c r="R2060" s="1" t="str">
        <f t="shared" si="659"/>
        <v/>
      </c>
      <c r="S2060" s="1">
        <f t="shared" si="660"/>
        <v>630.90240000000244</v>
      </c>
      <c r="T2060" s="1">
        <f t="shared" si="661"/>
        <v>0</v>
      </c>
      <c r="U2060" s="1">
        <f t="shared" si="662"/>
        <v>0</v>
      </c>
      <c r="V2060" s="1">
        <f t="shared" si="663"/>
        <v>0</v>
      </c>
    </row>
    <row r="2061" spans="5:22" x14ac:dyDescent="0.25">
      <c r="E2061" s="4"/>
      <c r="M2061" s="4">
        <f t="shared" si="656"/>
        <v>173.1</v>
      </c>
      <c r="N2061" s="4"/>
      <c r="O2061" s="1">
        <f t="shared" si="657"/>
        <v>173.1</v>
      </c>
      <c r="P2061" s="1">
        <f t="shared" si="658"/>
        <v>0</v>
      </c>
      <c r="Q2061" s="1" t="str">
        <f t="shared" si="655"/>
        <v/>
      </c>
      <c r="R2061" s="1" t="str">
        <f t="shared" si="659"/>
        <v/>
      </c>
      <c r="S2061" s="1">
        <f t="shared" si="660"/>
        <v>630.90240000000244</v>
      </c>
      <c r="T2061" s="1">
        <f t="shared" si="661"/>
        <v>0</v>
      </c>
      <c r="U2061" s="1">
        <f t="shared" si="662"/>
        <v>0</v>
      </c>
      <c r="V2061" s="1">
        <f t="shared" si="663"/>
        <v>0</v>
      </c>
    </row>
    <row r="2062" spans="5:22" x14ac:dyDescent="0.25">
      <c r="E2062" s="4"/>
      <c r="M2062" s="4">
        <f t="shared" si="656"/>
        <v>173.1</v>
      </c>
      <c r="N2062" s="4"/>
      <c r="O2062" s="1">
        <f t="shared" si="657"/>
        <v>173.1</v>
      </c>
      <c r="P2062" s="1">
        <f t="shared" si="658"/>
        <v>0</v>
      </c>
      <c r="Q2062" s="1" t="str">
        <f t="shared" si="655"/>
        <v/>
      </c>
      <c r="R2062" s="1" t="str">
        <f t="shared" si="659"/>
        <v/>
      </c>
      <c r="S2062" s="1">
        <f t="shared" si="660"/>
        <v>630.90240000000244</v>
      </c>
      <c r="T2062" s="1">
        <f t="shared" si="661"/>
        <v>0</v>
      </c>
      <c r="U2062" s="1">
        <f t="shared" si="662"/>
        <v>0</v>
      </c>
      <c r="V2062" s="1">
        <f t="shared" si="663"/>
        <v>0</v>
      </c>
    </row>
    <row r="2063" spans="5:22" x14ac:dyDescent="0.25">
      <c r="E2063" s="4"/>
      <c r="M2063" s="4">
        <f t="shared" si="656"/>
        <v>173.1</v>
      </c>
      <c r="N2063" s="4"/>
      <c r="O2063" s="1">
        <f t="shared" si="657"/>
        <v>173.1</v>
      </c>
      <c r="P2063" s="1">
        <f t="shared" si="658"/>
        <v>0</v>
      </c>
      <c r="Q2063" s="1" t="str">
        <f t="shared" si="655"/>
        <v/>
      </c>
      <c r="R2063" s="1" t="str">
        <f t="shared" si="659"/>
        <v/>
      </c>
      <c r="S2063" s="1">
        <f t="shared" si="660"/>
        <v>630.90240000000244</v>
      </c>
      <c r="T2063" s="1">
        <f t="shared" si="661"/>
        <v>0</v>
      </c>
      <c r="U2063" s="1">
        <f t="shared" si="662"/>
        <v>0</v>
      </c>
      <c r="V2063" s="1">
        <f t="shared" si="663"/>
        <v>0</v>
      </c>
    </row>
    <row r="2064" spans="5:22" x14ac:dyDescent="0.25">
      <c r="E2064" s="4"/>
      <c r="M2064" s="4">
        <f t="shared" si="656"/>
        <v>173.1</v>
      </c>
      <c r="N2064" s="4"/>
      <c r="O2064" s="1">
        <f t="shared" si="657"/>
        <v>173.1</v>
      </c>
      <c r="P2064" s="1">
        <f t="shared" si="658"/>
        <v>0</v>
      </c>
      <c r="Q2064" s="1" t="str">
        <f t="shared" si="655"/>
        <v/>
      </c>
      <c r="R2064" s="1" t="str">
        <f t="shared" si="659"/>
        <v/>
      </c>
      <c r="S2064" s="1">
        <f t="shared" si="660"/>
        <v>630.90240000000244</v>
      </c>
      <c r="T2064" s="1">
        <f t="shared" si="661"/>
        <v>0</v>
      </c>
      <c r="U2064" s="1">
        <f t="shared" si="662"/>
        <v>0</v>
      </c>
      <c r="V2064" s="1">
        <f t="shared" si="663"/>
        <v>0</v>
      </c>
    </row>
    <row r="2065" spans="5:22" x14ac:dyDescent="0.25">
      <c r="E2065" s="4"/>
      <c r="M2065" s="4">
        <f t="shared" si="656"/>
        <v>173.1</v>
      </c>
      <c r="N2065" s="4"/>
      <c r="O2065" s="1">
        <f t="shared" si="657"/>
        <v>173.1</v>
      </c>
      <c r="P2065" s="1">
        <f t="shared" si="658"/>
        <v>0</v>
      </c>
      <c r="Q2065" s="1" t="str">
        <f t="shared" si="655"/>
        <v/>
      </c>
      <c r="R2065" s="1" t="str">
        <f t="shared" si="659"/>
        <v/>
      </c>
      <c r="S2065" s="1">
        <f t="shared" si="660"/>
        <v>630.90240000000244</v>
      </c>
      <c r="T2065" s="1">
        <f t="shared" si="661"/>
        <v>0</v>
      </c>
      <c r="U2065" s="1">
        <f t="shared" si="662"/>
        <v>0</v>
      </c>
      <c r="V2065" s="1">
        <f t="shared" si="663"/>
        <v>0</v>
      </c>
    </row>
    <row r="2066" spans="5:22" x14ac:dyDescent="0.25">
      <c r="E2066" s="4"/>
      <c r="M2066" s="4">
        <f t="shared" si="656"/>
        <v>173.1</v>
      </c>
      <c r="N2066" s="4"/>
      <c r="O2066" s="1">
        <f t="shared" si="657"/>
        <v>173.1</v>
      </c>
      <c r="P2066" s="1">
        <f t="shared" si="658"/>
        <v>0</v>
      </c>
      <c r="Q2066" s="1" t="str">
        <f t="shared" si="655"/>
        <v/>
      </c>
      <c r="R2066" s="1" t="str">
        <f t="shared" si="659"/>
        <v/>
      </c>
      <c r="S2066" s="1">
        <f t="shared" si="660"/>
        <v>630.90240000000244</v>
      </c>
      <c r="T2066" s="1">
        <f t="shared" si="661"/>
        <v>0</v>
      </c>
      <c r="U2066" s="1">
        <f t="shared" si="662"/>
        <v>0</v>
      </c>
      <c r="V2066" s="1">
        <f t="shared" si="663"/>
        <v>0</v>
      </c>
    </row>
    <row r="2067" spans="5:22" x14ac:dyDescent="0.25">
      <c r="E2067" s="4"/>
      <c r="M2067" s="4">
        <f t="shared" si="656"/>
        <v>173.1</v>
      </c>
      <c r="N2067" s="4"/>
      <c r="O2067" s="1">
        <f t="shared" si="657"/>
        <v>173.1</v>
      </c>
      <c r="P2067" s="1">
        <f t="shared" si="658"/>
        <v>0</v>
      </c>
      <c r="Q2067" s="1" t="str">
        <f t="shared" si="655"/>
        <v/>
      </c>
      <c r="R2067" s="1" t="str">
        <f t="shared" si="659"/>
        <v/>
      </c>
      <c r="S2067" s="1">
        <f t="shared" si="660"/>
        <v>630.90240000000244</v>
      </c>
      <c r="T2067" s="1">
        <f t="shared" si="661"/>
        <v>0</v>
      </c>
      <c r="U2067" s="1">
        <f t="shared" si="662"/>
        <v>0</v>
      </c>
      <c r="V2067" s="1">
        <f t="shared" si="663"/>
        <v>0</v>
      </c>
    </row>
    <row r="2068" spans="5:22" x14ac:dyDescent="0.25">
      <c r="E2068" s="4"/>
      <c r="M2068" s="4">
        <f t="shared" si="656"/>
        <v>173.1</v>
      </c>
      <c r="N2068" s="4"/>
      <c r="O2068" s="1">
        <f t="shared" si="657"/>
        <v>173.1</v>
      </c>
      <c r="P2068" s="1">
        <f t="shared" si="658"/>
        <v>0</v>
      </c>
      <c r="Q2068" s="1" t="str">
        <f t="shared" si="655"/>
        <v/>
      </c>
      <c r="R2068" s="1" t="str">
        <f t="shared" si="659"/>
        <v/>
      </c>
      <c r="S2068" s="1">
        <f t="shared" si="660"/>
        <v>630.90240000000244</v>
      </c>
      <c r="T2068" s="1">
        <f t="shared" si="661"/>
        <v>0</v>
      </c>
      <c r="U2068" s="1">
        <f t="shared" si="662"/>
        <v>0</v>
      </c>
      <c r="V2068" s="1">
        <f t="shared" si="663"/>
        <v>0</v>
      </c>
    </row>
    <row r="2069" spans="5:22" x14ac:dyDescent="0.25">
      <c r="E2069" s="4"/>
      <c r="M2069" s="4">
        <f t="shared" si="656"/>
        <v>173.1</v>
      </c>
      <c r="N2069" s="4"/>
      <c r="O2069" s="1">
        <f t="shared" si="657"/>
        <v>173.1</v>
      </c>
      <c r="P2069" s="1">
        <f t="shared" si="658"/>
        <v>0</v>
      </c>
      <c r="Q2069" s="1" t="str">
        <f t="shared" si="655"/>
        <v/>
      </c>
      <c r="R2069" s="1" t="str">
        <f t="shared" si="659"/>
        <v/>
      </c>
      <c r="S2069" s="1">
        <f t="shared" si="660"/>
        <v>630.90240000000244</v>
      </c>
      <c r="T2069" s="1">
        <f t="shared" si="661"/>
        <v>0</v>
      </c>
      <c r="U2069" s="1">
        <f t="shared" si="662"/>
        <v>0</v>
      </c>
      <c r="V2069" s="1">
        <f t="shared" si="663"/>
        <v>0</v>
      </c>
    </row>
    <row r="2070" spans="5:22" x14ac:dyDescent="0.25">
      <c r="E2070" s="4"/>
      <c r="M2070" s="4">
        <f t="shared" si="656"/>
        <v>173.1</v>
      </c>
      <c r="N2070" s="4"/>
      <c r="O2070" s="1">
        <f t="shared" si="657"/>
        <v>173.1</v>
      </c>
      <c r="P2070" s="1">
        <f t="shared" si="658"/>
        <v>0</v>
      </c>
      <c r="Q2070" s="1" t="str">
        <f t="shared" si="655"/>
        <v/>
      </c>
      <c r="R2070" s="1" t="str">
        <f t="shared" si="659"/>
        <v/>
      </c>
      <c r="S2070" s="1">
        <f t="shared" si="660"/>
        <v>630.90240000000244</v>
      </c>
      <c r="T2070" s="1">
        <f t="shared" si="661"/>
        <v>0</v>
      </c>
      <c r="U2070" s="1">
        <f t="shared" si="662"/>
        <v>0</v>
      </c>
      <c r="V2070" s="1">
        <f t="shared" si="663"/>
        <v>0</v>
      </c>
    </row>
    <row r="2071" spans="5:22" x14ac:dyDescent="0.25">
      <c r="E2071" s="4"/>
      <c r="M2071" s="4">
        <f t="shared" si="656"/>
        <v>173.1</v>
      </c>
      <c r="N2071" s="4"/>
      <c r="O2071" s="1">
        <f t="shared" si="657"/>
        <v>173.1</v>
      </c>
      <c r="P2071" s="1">
        <f t="shared" si="658"/>
        <v>0</v>
      </c>
      <c r="Q2071" s="1" t="str">
        <f t="shared" si="655"/>
        <v/>
      </c>
      <c r="R2071" s="1" t="str">
        <f t="shared" si="659"/>
        <v/>
      </c>
      <c r="S2071" s="1">
        <f t="shared" si="660"/>
        <v>630.90240000000244</v>
      </c>
      <c r="T2071" s="1">
        <f t="shared" si="661"/>
        <v>0</v>
      </c>
      <c r="U2071" s="1">
        <f t="shared" si="662"/>
        <v>0</v>
      </c>
      <c r="V2071" s="1">
        <f t="shared" si="663"/>
        <v>0</v>
      </c>
    </row>
    <row r="2072" spans="5:22" x14ac:dyDescent="0.25">
      <c r="E2072" s="4"/>
      <c r="M2072" s="4">
        <f t="shared" si="656"/>
        <v>173.1</v>
      </c>
      <c r="N2072" s="4"/>
      <c r="O2072" s="1">
        <f t="shared" si="657"/>
        <v>173.1</v>
      </c>
      <c r="P2072" s="1">
        <f t="shared" si="658"/>
        <v>0</v>
      </c>
      <c r="Q2072" s="1" t="str">
        <f t="shared" si="655"/>
        <v/>
      </c>
      <c r="R2072" s="1" t="str">
        <f t="shared" si="659"/>
        <v/>
      </c>
      <c r="S2072" s="1">
        <f t="shared" si="660"/>
        <v>630.90240000000244</v>
      </c>
      <c r="T2072" s="1">
        <f t="shared" si="661"/>
        <v>0</v>
      </c>
      <c r="U2072" s="1">
        <f t="shared" si="662"/>
        <v>0</v>
      </c>
      <c r="V2072" s="1">
        <f t="shared" si="663"/>
        <v>0</v>
      </c>
    </row>
    <row r="2073" spans="5:22" x14ac:dyDescent="0.25">
      <c r="E2073" s="4"/>
      <c r="M2073" s="4">
        <f t="shared" si="656"/>
        <v>173.1</v>
      </c>
      <c r="N2073" s="4"/>
      <c r="O2073" s="1">
        <f t="shared" si="657"/>
        <v>173.1</v>
      </c>
      <c r="P2073" s="1">
        <f t="shared" si="658"/>
        <v>0</v>
      </c>
      <c r="Q2073" s="1" t="str">
        <f t="shared" si="655"/>
        <v/>
      </c>
      <c r="R2073" s="1" t="str">
        <f t="shared" si="659"/>
        <v/>
      </c>
      <c r="S2073" s="1">
        <f t="shared" si="660"/>
        <v>630.90240000000244</v>
      </c>
      <c r="T2073" s="1">
        <f t="shared" si="661"/>
        <v>0</v>
      </c>
      <c r="U2073" s="1">
        <f t="shared" si="662"/>
        <v>0</v>
      </c>
      <c r="V2073" s="1">
        <f t="shared" si="663"/>
        <v>0</v>
      </c>
    </row>
    <row r="2074" spans="5:22" x14ac:dyDescent="0.25">
      <c r="E2074" s="4"/>
      <c r="M2074" s="4">
        <f t="shared" si="656"/>
        <v>173.1</v>
      </c>
      <c r="N2074" s="4"/>
      <c r="O2074" s="1">
        <f t="shared" si="657"/>
        <v>173.1</v>
      </c>
      <c r="P2074" s="1">
        <f t="shared" si="658"/>
        <v>0</v>
      </c>
      <c r="Q2074" s="1" t="str">
        <f t="shared" si="655"/>
        <v/>
      </c>
      <c r="R2074" s="1" t="str">
        <f t="shared" si="659"/>
        <v/>
      </c>
      <c r="S2074" s="1">
        <f t="shared" si="660"/>
        <v>630.90240000000244</v>
      </c>
      <c r="T2074" s="1">
        <f t="shared" si="661"/>
        <v>0</v>
      </c>
      <c r="U2074" s="1">
        <f t="shared" si="662"/>
        <v>0</v>
      </c>
      <c r="V2074" s="1">
        <f t="shared" si="663"/>
        <v>0</v>
      </c>
    </row>
    <row r="2075" spans="5:22" x14ac:dyDescent="0.25">
      <c r="E2075" s="4"/>
      <c r="M2075" s="4">
        <f t="shared" si="656"/>
        <v>173.1</v>
      </c>
      <c r="N2075" s="4"/>
      <c r="O2075" s="1">
        <f t="shared" si="657"/>
        <v>173.1</v>
      </c>
      <c r="P2075" s="1">
        <f t="shared" si="658"/>
        <v>0</v>
      </c>
      <c r="Q2075" s="1" t="str">
        <f t="shared" si="655"/>
        <v/>
      </c>
      <c r="R2075" s="1" t="str">
        <f t="shared" si="659"/>
        <v/>
      </c>
      <c r="S2075" s="1">
        <f t="shared" si="660"/>
        <v>630.90240000000244</v>
      </c>
      <c r="T2075" s="1">
        <f t="shared" si="661"/>
        <v>0</v>
      </c>
      <c r="U2075" s="1">
        <f t="shared" si="662"/>
        <v>0</v>
      </c>
      <c r="V2075" s="1">
        <f t="shared" si="663"/>
        <v>0</v>
      </c>
    </row>
    <row r="2076" spans="5:22" x14ac:dyDescent="0.25">
      <c r="E2076" s="4"/>
      <c r="M2076" s="4">
        <f t="shared" si="656"/>
        <v>173.1</v>
      </c>
      <c r="N2076" s="4"/>
      <c r="O2076" s="1">
        <f t="shared" si="657"/>
        <v>173.1</v>
      </c>
      <c r="P2076" s="1">
        <f t="shared" si="658"/>
        <v>0</v>
      </c>
      <c r="Q2076" s="1" t="str">
        <f t="shared" si="655"/>
        <v/>
      </c>
      <c r="R2076" s="1" t="str">
        <f t="shared" si="659"/>
        <v/>
      </c>
      <c r="S2076" s="1">
        <f t="shared" si="660"/>
        <v>630.90240000000244</v>
      </c>
      <c r="T2076" s="1">
        <f t="shared" si="661"/>
        <v>0</v>
      </c>
      <c r="U2076" s="1">
        <f t="shared" si="662"/>
        <v>0</v>
      </c>
      <c r="V2076" s="1">
        <f t="shared" si="663"/>
        <v>0</v>
      </c>
    </row>
    <row r="2077" spans="5:22" x14ac:dyDescent="0.25">
      <c r="E2077" s="4"/>
      <c r="M2077" s="4">
        <f t="shared" si="656"/>
        <v>173.1</v>
      </c>
      <c r="N2077" s="4"/>
      <c r="O2077" s="1">
        <f t="shared" si="657"/>
        <v>173.1</v>
      </c>
      <c r="P2077" s="1">
        <f t="shared" si="658"/>
        <v>0</v>
      </c>
      <c r="Q2077" s="1" t="str">
        <f t="shared" si="655"/>
        <v/>
      </c>
      <c r="R2077" s="1" t="str">
        <f t="shared" si="659"/>
        <v/>
      </c>
      <c r="S2077" s="1">
        <f t="shared" si="660"/>
        <v>630.90240000000244</v>
      </c>
      <c r="T2077" s="1">
        <f t="shared" si="661"/>
        <v>0</v>
      </c>
      <c r="U2077" s="1">
        <f t="shared" si="662"/>
        <v>0</v>
      </c>
      <c r="V2077" s="1">
        <f t="shared" si="663"/>
        <v>0</v>
      </c>
    </row>
    <row r="2078" spans="5:22" x14ac:dyDescent="0.25">
      <c r="E2078" s="4"/>
      <c r="M2078" s="4">
        <f t="shared" si="656"/>
        <v>173.1</v>
      </c>
      <c r="N2078" s="4"/>
      <c r="O2078" s="1">
        <f t="shared" si="657"/>
        <v>173.1</v>
      </c>
      <c r="P2078" s="1">
        <f t="shared" si="658"/>
        <v>0</v>
      </c>
      <c r="Q2078" s="1" t="str">
        <f t="shared" si="655"/>
        <v/>
      </c>
      <c r="R2078" s="1" t="str">
        <f t="shared" si="659"/>
        <v/>
      </c>
      <c r="S2078" s="1">
        <f t="shared" si="660"/>
        <v>630.90240000000244</v>
      </c>
      <c r="T2078" s="1">
        <f t="shared" si="661"/>
        <v>0</v>
      </c>
      <c r="U2078" s="1">
        <f t="shared" si="662"/>
        <v>0</v>
      </c>
      <c r="V2078" s="1">
        <f t="shared" si="663"/>
        <v>0</v>
      </c>
    </row>
    <row r="2079" spans="5:22" x14ac:dyDescent="0.25">
      <c r="E2079" s="4"/>
      <c r="M2079" s="4">
        <f t="shared" si="656"/>
        <v>173.1</v>
      </c>
      <c r="N2079" s="4"/>
      <c r="O2079" s="1">
        <f t="shared" si="657"/>
        <v>173.1</v>
      </c>
      <c r="P2079" s="1">
        <f t="shared" si="658"/>
        <v>0</v>
      </c>
      <c r="Q2079" s="1" t="str">
        <f t="shared" si="655"/>
        <v/>
      </c>
      <c r="R2079" s="1" t="str">
        <f t="shared" si="659"/>
        <v/>
      </c>
      <c r="S2079" s="1">
        <f t="shared" si="660"/>
        <v>630.90240000000244</v>
      </c>
      <c r="T2079" s="1">
        <f t="shared" si="661"/>
        <v>0</v>
      </c>
      <c r="U2079" s="1">
        <f t="shared" si="662"/>
        <v>0</v>
      </c>
      <c r="V2079" s="1">
        <f t="shared" si="663"/>
        <v>0</v>
      </c>
    </row>
    <row r="2080" spans="5:22" x14ac:dyDescent="0.25">
      <c r="E2080" s="4"/>
      <c r="M2080" s="4">
        <f t="shared" si="656"/>
        <v>173.1</v>
      </c>
      <c r="N2080" s="4"/>
      <c r="O2080" s="1">
        <f t="shared" si="657"/>
        <v>173.1</v>
      </c>
      <c r="P2080" s="1">
        <f t="shared" si="658"/>
        <v>0</v>
      </c>
      <c r="Q2080" s="1" t="str">
        <f t="shared" si="655"/>
        <v/>
      </c>
      <c r="R2080" s="1" t="str">
        <f t="shared" si="659"/>
        <v/>
      </c>
      <c r="S2080" s="1">
        <f t="shared" si="660"/>
        <v>630.90240000000244</v>
      </c>
      <c r="T2080" s="1">
        <f t="shared" si="661"/>
        <v>0</v>
      </c>
      <c r="U2080" s="1">
        <f t="shared" si="662"/>
        <v>0</v>
      </c>
      <c r="V2080" s="1">
        <f t="shared" si="663"/>
        <v>0</v>
      </c>
    </row>
    <row r="2081" spans="5:22" x14ac:dyDescent="0.25">
      <c r="E2081" s="4"/>
      <c r="M2081" s="4">
        <f t="shared" si="656"/>
        <v>173.1</v>
      </c>
      <c r="N2081" s="4"/>
      <c r="O2081" s="1">
        <f t="shared" si="657"/>
        <v>173.1</v>
      </c>
      <c r="P2081" s="1">
        <f t="shared" si="658"/>
        <v>0</v>
      </c>
      <c r="Q2081" s="1" t="str">
        <f t="shared" si="655"/>
        <v/>
      </c>
      <c r="R2081" s="1" t="str">
        <f t="shared" si="659"/>
        <v/>
      </c>
      <c r="S2081" s="1">
        <f t="shared" si="660"/>
        <v>630.90240000000244</v>
      </c>
      <c r="T2081" s="1">
        <f t="shared" si="661"/>
        <v>0</v>
      </c>
      <c r="U2081" s="1">
        <f t="shared" si="662"/>
        <v>0</v>
      </c>
      <c r="V2081" s="1">
        <f t="shared" si="663"/>
        <v>0</v>
      </c>
    </row>
    <row r="2082" spans="5:22" x14ac:dyDescent="0.25">
      <c r="E2082" s="4"/>
      <c r="M2082" s="4">
        <f t="shared" si="656"/>
        <v>173.1</v>
      </c>
      <c r="N2082" s="4"/>
      <c r="O2082" s="1">
        <f t="shared" si="657"/>
        <v>173.1</v>
      </c>
      <c r="P2082" s="1">
        <f t="shared" si="658"/>
        <v>0</v>
      </c>
      <c r="Q2082" s="1" t="str">
        <f t="shared" si="655"/>
        <v/>
      </c>
      <c r="R2082" s="1" t="str">
        <f t="shared" si="659"/>
        <v/>
      </c>
      <c r="S2082" s="1">
        <f t="shared" si="660"/>
        <v>630.90240000000244</v>
      </c>
      <c r="T2082" s="1">
        <f t="shared" si="661"/>
        <v>0</v>
      </c>
      <c r="U2082" s="1">
        <f t="shared" si="662"/>
        <v>0</v>
      </c>
      <c r="V2082" s="1">
        <f t="shared" si="663"/>
        <v>0</v>
      </c>
    </row>
    <row r="2083" spans="5:22" x14ac:dyDescent="0.25">
      <c r="E2083" s="4"/>
      <c r="M2083" s="4">
        <f t="shared" si="656"/>
        <v>173.1</v>
      </c>
      <c r="N2083" s="4"/>
      <c r="O2083" s="1">
        <f t="shared" si="657"/>
        <v>173.1</v>
      </c>
      <c r="P2083" s="1">
        <f t="shared" si="658"/>
        <v>0</v>
      </c>
      <c r="Q2083" s="1" t="str">
        <f t="shared" si="655"/>
        <v/>
      </c>
      <c r="R2083" s="1" t="str">
        <f t="shared" si="659"/>
        <v/>
      </c>
      <c r="S2083" s="1">
        <f t="shared" si="660"/>
        <v>630.90240000000244</v>
      </c>
      <c r="T2083" s="1">
        <f t="shared" si="661"/>
        <v>0</v>
      </c>
      <c r="U2083" s="1">
        <f t="shared" si="662"/>
        <v>0</v>
      </c>
      <c r="V2083" s="1">
        <f t="shared" si="663"/>
        <v>0</v>
      </c>
    </row>
    <row r="2084" spans="5:22" x14ac:dyDescent="0.25">
      <c r="E2084" s="4"/>
      <c r="M2084" s="4">
        <f t="shared" si="656"/>
        <v>173.1</v>
      </c>
      <c r="N2084" s="4"/>
      <c r="O2084" s="1">
        <f t="shared" si="657"/>
        <v>173.1</v>
      </c>
      <c r="P2084" s="1">
        <f t="shared" si="658"/>
        <v>0</v>
      </c>
      <c r="Q2084" s="1" t="str">
        <f t="shared" si="655"/>
        <v/>
      </c>
      <c r="R2084" s="1" t="str">
        <f t="shared" si="659"/>
        <v/>
      </c>
      <c r="S2084" s="1">
        <f t="shared" si="660"/>
        <v>630.90240000000244</v>
      </c>
      <c r="T2084" s="1">
        <f t="shared" si="661"/>
        <v>0</v>
      </c>
      <c r="U2084" s="1">
        <f t="shared" si="662"/>
        <v>0</v>
      </c>
      <c r="V2084" s="1">
        <f t="shared" si="663"/>
        <v>0</v>
      </c>
    </row>
    <row r="2085" spans="5:22" x14ac:dyDescent="0.25">
      <c r="E2085" s="4"/>
      <c r="M2085" s="4">
        <f t="shared" si="656"/>
        <v>173.1</v>
      </c>
      <c r="N2085" s="4"/>
      <c r="O2085" s="1">
        <f t="shared" si="657"/>
        <v>173.1</v>
      </c>
      <c r="P2085" s="1">
        <f t="shared" si="658"/>
        <v>0</v>
      </c>
      <c r="Q2085" s="1" t="str">
        <f t="shared" si="655"/>
        <v/>
      </c>
      <c r="R2085" s="1" t="str">
        <f t="shared" si="659"/>
        <v/>
      </c>
      <c r="S2085" s="1">
        <f t="shared" si="660"/>
        <v>630.90240000000244</v>
      </c>
      <c r="T2085" s="1">
        <f t="shared" si="661"/>
        <v>0</v>
      </c>
      <c r="U2085" s="1">
        <f t="shared" si="662"/>
        <v>0</v>
      </c>
      <c r="V2085" s="1">
        <f t="shared" si="663"/>
        <v>0</v>
      </c>
    </row>
    <row r="2086" spans="5:22" x14ac:dyDescent="0.25">
      <c r="E2086" s="4"/>
      <c r="M2086" s="4">
        <f t="shared" si="656"/>
        <v>173.1</v>
      </c>
      <c r="N2086" s="4"/>
      <c r="O2086" s="1">
        <f t="shared" si="657"/>
        <v>173.1</v>
      </c>
      <c r="P2086" s="1">
        <f t="shared" si="658"/>
        <v>0</v>
      </c>
      <c r="Q2086" s="1" t="str">
        <f t="shared" si="655"/>
        <v/>
      </c>
      <c r="R2086" s="1" t="str">
        <f t="shared" si="659"/>
        <v/>
      </c>
      <c r="S2086" s="1">
        <f t="shared" si="660"/>
        <v>630.90240000000244</v>
      </c>
      <c r="T2086" s="1">
        <f t="shared" si="661"/>
        <v>0</v>
      </c>
      <c r="U2086" s="1">
        <f t="shared" si="662"/>
        <v>0</v>
      </c>
      <c r="V2086" s="1">
        <f t="shared" si="663"/>
        <v>0</v>
      </c>
    </row>
    <row r="2087" spans="5:22" x14ac:dyDescent="0.25">
      <c r="E2087" s="4"/>
      <c r="M2087" s="4">
        <f t="shared" si="656"/>
        <v>173.1</v>
      </c>
      <c r="N2087" s="4"/>
      <c r="O2087" s="1">
        <f t="shared" si="657"/>
        <v>173.1</v>
      </c>
      <c r="P2087" s="1">
        <f t="shared" si="658"/>
        <v>0</v>
      </c>
      <c r="Q2087" s="1" t="str">
        <f t="shared" si="655"/>
        <v/>
      </c>
      <c r="R2087" s="1" t="str">
        <f t="shared" si="659"/>
        <v/>
      </c>
      <c r="S2087" s="1">
        <f t="shared" si="660"/>
        <v>630.90240000000244</v>
      </c>
      <c r="T2087" s="1">
        <f t="shared" si="661"/>
        <v>0</v>
      </c>
      <c r="U2087" s="1">
        <f t="shared" si="662"/>
        <v>0</v>
      </c>
      <c r="V2087" s="1">
        <f t="shared" si="663"/>
        <v>0</v>
      </c>
    </row>
    <row r="2088" spans="5:22" x14ac:dyDescent="0.25">
      <c r="E2088" s="4"/>
      <c r="M2088" s="4">
        <f t="shared" si="656"/>
        <v>173.1</v>
      </c>
      <c r="N2088" s="4"/>
      <c r="O2088" s="1">
        <f t="shared" si="657"/>
        <v>173.1</v>
      </c>
      <c r="P2088" s="1">
        <f t="shared" si="658"/>
        <v>0</v>
      </c>
      <c r="Q2088" s="1" t="str">
        <f t="shared" si="655"/>
        <v/>
      </c>
      <c r="R2088" s="1" t="str">
        <f t="shared" si="659"/>
        <v/>
      </c>
      <c r="S2088" s="1">
        <f t="shared" si="660"/>
        <v>630.90240000000244</v>
      </c>
      <c r="T2088" s="1">
        <f t="shared" si="661"/>
        <v>0</v>
      </c>
      <c r="U2088" s="1">
        <f t="shared" si="662"/>
        <v>0</v>
      </c>
      <c r="V2088" s="1">
        <f t="shared" si="663"/>
        <v>0</v>
      </c>
    </row>
    <row r="2089" spans="5:22" x14ac:dyDescent="0.25">
      <c r="E2089" s="4"/>
      <c r="M2089" s="4">
        <f t="shared" si="656"/>
        <v>173.1</v>
      </c>
      <c r="N2089" s="4"/>
      <c r="O2089" s="1">
        <f t="shared" si="657"/>
        <v>173.1</v>
      </c>
      <c r="P2089" s="1">
        <f t="shared" si="658"/>
        <v>0</v>
      </c>
      <c r="Q2089" s="1" t="str">
        <f t="shared" si="655"/>
        <v/>
      </c>
      <c r="R2089" s="1" t="str">
        <f t="shared" si="659"/>
        <v/>
      </c>
      <c r="S2089" s="1">
        <f t="shared" si="660"/>
        <v>630.90240000000244</v>
      </c>
      <c r="T2089" s="1">
        <f t="shared" si="661"/>
        <v>0</v>
      </c>
      <c r="U2089" s="1">
        <f t="shared" si="662"/>
        <v>0</v>
      </c>
      <c r="V2089" s="1">
        <f t="shared" si="663"/>
        <v>0</v>
      </c>
    </row>
    <row r="2090" spans="5:22" x14ac:dyDescent="0.25">
      <c r="E2090" s="4"/>
      <c r="M2090" s="4">
        <f t="shared" si="656"/>
        <v>173.1</v>
      </c>
      <c r="N2090" s="4"/>
      <c r="O2090" s="1">
        <f t="shared" si="657"/>
        <v>173.1</v>
      </c>
      <c r="P2090" s="1">
        <f t="shared" si="658"/>
        <v>0</v>
      </c>
      <c r="Q2090" s="1" t="str">
        <f t="shared" si="655"/>
        <v/>
      </c>
      <c r="R2090" s="1" t="str">
        <f t="shared" si="659"/>
        <v/>
      </c>
      <c r="S2090" s="1">
        <f t="shared" si="660"/>
        <v>630.90240000000244</v>
      </c>
      <c r="T2090" s="1">
        <f t="shared" si="661"/>
        <v>0</v>
      </c>
      <c r="U2090" s="1">
        <f t="shared" si="662"/>
        <v>0</v>
      </c>
      <c r="V2090" s="1">
        <f t="shared" si="663"/>
        <v>0</v>
      </c>
    </row>
    <row r="2091" spans="5:22" x14ac:dyDescent="0.25">
      <c r="E2091" s="4"/>
      <c r="M2091" s="4">
        <f t="shared" si="656"/>
        <v>173.1</v>
      </c>
      <c r="N2091" s="4"/>
      <c r="O2091" s="1">
        <f t="shared" si="657"/>
        <v>173.1</v>
      </c>
      <c r="P2091" s="1">
        <f t="shared" si="658"/>
        <v>0</v>
      </c>
      <c r="Q2091" s="1" t="str">
        <f t="shared" si="655"/>
        <v/>
      </c>
      <c r="R2091" s="1" t="str">
        <f t="shared" si="659"/>
        <v/>
      </c>
      <c r="S2091" s="1">
        <f t="shared" si="660"/>
        <v>630.90240000000244</v>
      </c>
      <c r="T2091" s="1">
        <f t="shared" si="661"/>
        <v>0</v>
      </c>
      <c r="U2091" s="1">
        <f t="shared" si="662"/>
        <v>0</v>
      </c>
      <c r="V2091" s="1">
        <f t="shared" si="663"/>
        <v>0</v>
      </c>
    </row>
    <row r="2092" spans="5:22" x14ac:dyDescent="0.25">
      <c r="E2092" s="4"/>
      <c r="M2092" s="4">
        <f t="shared" si="656"/>
        <v>173.1</v>
      </c>
      <c r="N2092" s="4"/>
      <c r="O2092" s="1">
        <f t="shared" si="657"/>
        <v>173.1</v>
      </c>
      <c r="P2092" s="1">
        <f t="shared" si="658"/>
        <v>0</v>
      </c>
      <c r="Q2092" s="1" t="str">
        <f t="shared" si="655"/>
        <v/>
      </c>
      <c r="R2092" s="1" t="str">
        <f t="shared" si="659"/>
        <v/>
      </c>
      <c r="S2092" s="1">
        <f t="shared" si="660"/>
        <v>630.90240000000244</v>
      </c>
      <c r="T2092" s="1">
        <f t="shared" si="661"/>
        <v>0</v>
      </c>
      <c r="U2092" s="1">
        <f t="shared" si="662"/>
        <v>0</v>
      </c>
      <c r="V2092" s="1">
        <f t="shared" si="663"/>
        <v>0</v>
      </c>
    </row>
    <row r="2093" spans="5:22" x14ac:dyDescent="0.25">
      <c r="E2093" s="4"/>
      <c r="M2093" s="4">
        <f t="shared" si="656"/>
        <v>173.1</v>
      </c>
      <c r="N2093" s="4"/>
      <c r="O2093" s="1">
        <f t="shared" si="657"/>
        <v>173.1</v>
      </c>
      <c r="P2093" s="1">
        <f t="shared" si="658"/>
        <v>0</v>
      </c>
      <c r="Q2093" s="1" t="str">
        <f t="shared" si="655"/>
        <v/>
      </c>
      <c r="R2093" s="1" t="str">
        <f t="shared" si="659"/>
        <v/>
      </c>
      <c r="S2093" s="1">
        <f t="shared" si="660"/>
        <v>630.90240000000244</v>
      </c>
      <c r="T2093" s="1">
        <f t="shared" si="661"/>
        <v>0</v>
      </c>
      <c r="U2093" s="1">
        <f t="shared" si="662"/>
        <v>0</v>
      </c>
      <c r="V2093" s="1">
        <f t="shared" si="663"/>
        <v>0</v>
      </c>
    </row>
    <row r="2094" spans="5:22" x14ac:dyDescent="0.25">
      <c r="E2094" s="4"/>
      <c r="M2094" s="4">
        <f t="shared" si="656"/>
        <v>173.1</v>
      </c>
      <c r="N2094" s="4"/>
      <c r="O2094" s="1">
        <f t="shared" si="657"/>
        <v>173.1</v>
      </c>
      <c r="P2094" s="1">
        <f t="shared" si="658"/>
        <v>0</v>
      </c>
      <c r="Q2094" s="1" t="str">
        <f t="shared" si="655"/>
        <v/>
      </c>
      <c r="R2094" s="1" t="str">
        <f t="shared" si="659"/>
        <v/>
      </c>
      <c r="S2094" s="1">
        <f t="shared" si="660"/>
        <v>630.90240000000244</v>
      </c>
      <c r="T2094" s="1">
        <f t="shared" si="661"/>
        <v>0</v>
      </c>
      <c r="U2094" s="1">
        <f t="shared" si="662"/>
        <v>0</v>
      </c>
      <c r="V2094" s="1">
        <f t="shared" si="663"/>
        <v>0</v>
      </c>
    </row>
    <row r="2095" spans="5:22" x14ac:dyDescent="0.25">
      <c r="E2095" s="4"/>
      <c r="M2095" s="4">
        <f t="shared" si="656"/>
        <v>173.1</v>
      </c>
      <c r="N2095" s="4"/>
      <c r="O2095" s="1">
        <f t="shared" si="657"/>
        <v>173.1</v>
      </c>
      <c r="P2095" s="1">
        <f t="shared" si="658"/>
        <v>0</v>
      </c>
      <c r="Q2095" s="1" t="str">
        <f t="shared" si="655"/>
        <v/>
      </c>
      <c r="R2095" s="1" t="str">
        <f t="shared" si="659"/>
        <v/>
      </c>
      <c r="S2095" s="1">
        <f t="shared" si="660"/>
        <v>630.90240000000244</v>
      </c>
      <c r="T2095" s="1">
        <f t="shared" si="661"/>
        <v>0</v>
      </c>
      <c r="U2095" s="1">
        <f t="shared" si="662"/>
        <v>0</v>
      </c>
      <c r="V2095" s="1">
        <f t="shared" si="663"/>
        <v>0</v>
      </c>
    </row>
    <row r="2096" spans="5:22" x14ac:dyDescent="0.25">
      <c r="E2096" s="4"/>
      <c r="M2096" s="4">
        <f t="shared" si="656"/>
        <v>173.1</v>
      </c>
      <c r="N2096" s="4"/>
      <c r="O2096" s="1">
        <f t="shared" si="657"/>
        <v>173.1</v>
      </c>
      <c r="P2096" s="1">
        <f t="shared" si="658"/>
        <v>0</v>
      </c>
      <c r="Q2096" s="1" t="str">
        <f t="shared" si="655"/>
        <v/>
      </c>
      <c r="R2096" s="1" t="str">
        <f t="shared" si="659"/>
        <v/>
      </c>
      <c r="S2096" s="1">
        <f t="shared" si="660"/>
        <v>630.90240000000244</v>
      </c>
      <c r="T2096" s="1">
        <f t="shared" si="661"/>
        <v>0</v>
      </c>
      <c r="U2096" s="1">
        <f t="shared" si="662"/>
        <v>0</v>
      </c>
      <c r="V2096" s="1">
        <f t="shared" si="663"/>
        <v>0</v>
      </c>
    </row>
    <row r="2097" spans="5:22" x14ac:dyDescent="0.25">
      <c r="E2097" s="4"/>
      <c r="M2097" s="4">
        <f t="shared" si="656"/>
        <v>173.1</v>
      </c>
      <c r="N2097" s="4"/>
      <c r="O2097" s="1">
        <f t="shared" si="657"/>
        <v>173.1</v>
      </c>
      <c r="P2097" s="1">
        <f t="shared" si="658"/>
        <v>0</v>
      </c>
      <c r="Q2097" s="1" t="str">
        <f t="shared" si="655"/>
        <v/>
      </c>
      <c r="R2097" s="1" t="str">
        <f t="shared" si="659"/>
        <v/>
      </c>
      <c r="S2097" s="1">
        <f t="shared" si="660"/>
        <v>630.90240000000244</v>
      </c>
      <c r="T2097" s="1">
        <f t="shared" si="661"/>
        <v>0</v>
      </c>
      <c r="U2097" s="1">
        <f t="shared" si="662"/>
        <v>0</v>
      </c>
      <c r="V2097" s="1">
        <f t="shared" si="663"/>
        <v>0</v>
      </c>
    </row>
    <row r="2098" spans="5:22" x14ac:dyDescent="0.25">
      <c r="E2098" s="4"/>
      <c r="M2098" s="4">
        <f t="shared" si="656"/>
        <v>173.1</v>
      </c>
      <c r="N2098" s="4"/>
      <c r="O2098" s="1">
        <f t="shared" si="657"/>
        <v>173.1</v>
      </c>
      <c r="P2098" s="1">
        <f t="shared" si="658"/>
        <v>0</v>
      </c>
      <c r="Q2098" s="1" t="str">
        <f t="shared" ref="Q2098:Q2161" si="664">IF(H2098&lt;&gt;"",IF(H2098=H2097,"",H2098),IF(H2096="","",MAX(H2097,Q2097)))</f>
        <v/>
      </c>
      <c r="R2098" s="1" t="str">
        <f t="shared" si="659"/>
        <v/>
      </c>
      <c r="S2098" s="1">
        <f t="shared" si="660"/>
        <v>630.90240000000244</v>
      </c>
      <c r="T2098" s="1">
        <f t="shared" si="661"/>
        <v>0</v>
      </c>
      <c r="U2098" s="1">
        <f t="shared" si="662"/>
        <v>0</v>
      </c>
      <c r="V2098" s="1">
        <f t="shared" si="663"/>
        <v>0</v>
      </c>
    </row>
    <row r="2099" spans="5:22" x14ac:dyDescent="0.25">
      <c r="E2099" s="4"/>
      <c r="M2099" s="4">
        <f t="shared" si="656"/>
        <v>173.1</v>
      </c>
      <c r="N2099" s="4"/>
      <c r="O2099" s="1">
        <f t="shared" si="657"/>
        <v>173.1</v>
      </c>
      <c r="P2099" s="1">
        <f t="shared" si="658"/>
        <v>0</v>
      </c>
      <c r="Q2099" s="1" t="str">
        <f t="shared" si="664"/>
        <v/>
      </c>
      <c r="R2099" s="1" t="str">
        <f t="shared" si="659"/>
        <v/>
      </c>
      <c r="S2099" s="1">
        <f t="shared" si="660"/>
        <v>630.90240000000244</v>
      </c>
      <c r="T2099" s="1">
        <f t="shared" si="661"/>
        <v>0</v>
      </c>
      <c r="U2099" s="1">
        <f t="shared" si="662"/>
        <v>0</v>
      </c>
      <c r="V2099" s="1">
        <f t="shared" si="663"/>
        <v>0</v>
      </c>
    </row>
    <row r="2100" spans="5:22" x14ac:dyDescent="0.25">
      <c r="E2100" s="4"/>
      <c r="M2100" s="4">
        <f t="shared" si="656"/>
        <v>173.1</v>
      </c>
      <c r="N2100" s="4"/>
      <c r="O2100" s="1">
        <f t="shared" si="657"/>
        <v>173.1</v>
      </c>
      <c r="P2100" s="1">
        <f t="shared" si="658"/>
        <v>0</v>
      </c>
      <c r="Q2100" s="1" t="str">
        <f t="shared" si="664"/>
        <v/>
      </c>
      <c r="R2100" s="1" t="str">
        <f t="shared" si="659"/>
        <v/>
      </c>
      <c r="S2100" s="1">
        <f t="shared" si="660"/>
        <v>630.90240000000244</v>
      </c>
      <c r="T2100" s="1">
        <f t="shared" si="661"/>
        <v>0</v>
      </c>
      <c r="U2100" s="1">
        <f t="shared" si="662"/>
        <v>0</v>
      </c>
      <c r="V2100" s="1">
        <f t="shared" si="663"/>
        <v>0</v>
      </c>
    </row>
    <row r="2101" spans="5:22" x14ac:dyDescent="0.25">
      <c r="E2101" s="4"/>
      <c r="M2101" s="4">
        <f t="shared" si="656"/>
        <v>173.1</v>
      </c>
      <c r="N2101" s="4"/>
      <c r="O2101" s="1">
        <f t="shared" si="657"/>
        <v>173.1</v>
      </c>
      <c r="P2101" s="1">
        <f t="shared" si="658"/>
        <v>0</v>
      </c>
      <c r="Q2101" s="1" t="str">
        <f t="shared" si="664"/>
        <v/>
      </c>
      <c r="R2101" s="1" t="str">
        <f t="shared" si="659"/>
        <v/>
      </c>
      <c r="S2101" s="1">
        <f t="shared" si="660"/>
        <v>630.90240000000244</v>
      </c>
      <c r="T2101" s="1">
        <f t="shared" si="661"/>
        <v>0</v>
      </c>
      <c r="U2101" s="1">
        <f t="shared" si="662"/>
        <v>0</v>
      </c>
      <c r="V2101" s="1">
        <f t="shared" si="663"/>
        <v>0</v>
      </c>
    </row>
    <row r="2102" spans="5:22" x14ac:dyDescent="0.25">
      <c r="E2102" s="4"/>
      <c r="M2102" s="4">
        <f t="shared" si="656"/>
        <v>173.1</v>
      </c>
      <c r="N2102" s="4"/>
      <c r="O2102" s="1">
        <f t="shared" si="657"/>
        <v>173.1</v>
      </c>
      <c r="P2102" s="1">
        <f t="shared" si="658"/>
        <v>0</v>
      </c>
      <c r="Q2102" s="1" t="str">
        <f t="shared" si="664"/>
        <v/>
      </c>
      <c r="R2102" s="1" t="str">
        <f t="shared" si="659"/>
        <v/>
      </c>
      <c r="S2102" s="1">
        <f t="shared" si="660"/>
        <v>630.90240000000244</v>
      </c>
      <c r="T2102" s="1">
        <f t="shared" si="661"/>
        <v>0</v>
      </c>
      <c r="U2102" s="1">
        <f t="shared" si="662"/>
        <v>0</v>
      </c>
      <c r="V2102" s="1">
        <f t="shared" si="663"/>
        <v>0</v>
      </c>
    </row>
    <row r="2103" spans="5:22" x14ac:dyDescent="0.25">
      <c r="E2103" s="4"/>
      <c r="M2103" s="4">
        <f t="shared" si="656"/>
        <v>173.1</v>
      </c>
      <c r="N2103" s="4"/>
      <c r="O2103" s="1">
        <f t="shared" si="657"/>
        <v>173.1</v>
      </c>
      <c r="P2103" s="1">
        <f t="shared" si="658"/>
        <v>0</v>
      </c>
      <c r="Q2103" s="1" t="str">
        <f t="shared" si="664"/>
        <v/>
      </c>
      <c r="R2103" s="1" t="str">
        <f t="shared" si="659"/>
        <v/>
      </c>
      <c r="S2103" s="1">
        <f t="shared" si="660"/>
        <v>630.90240000000244</v>
      </c>
      <c r="T2103" s="1">
        <f t="shared" si="661"/>
        <v>0</v>
      </c>
      <c r="U2103" s="1">
        <f t="shared" si="662"/>
        <v>0</v>
      </c>
      <c r="V2103" s="1">
        <f t="shared" si="663"/>
        <v>0</v>
      </c>
    </row>
    <row r="2104" spans="5:22" x14ac:dyDescent="0.25">
      <c r="E2104" s="4"/>
      <c r="M2104" s="4">
        <f t="shared" si="656"/>
        <v>173.1</v>
      </c>
      <c r="N2104" s="4"/>
      <c r="O2104" s="1">
        <f t="shared" si="657"/>
        <v>173.1</v>
      </c>
      <c r="P2104" s="1">
        <f t="shared" si="658"/>
        <v>0</v>
      </c>
      <c r="Q2104" s="1" t="str">
        <f t="shared" si="664"/>
        <v/>
      </c>
      <c r="R2104" s="1" t="str">
        <f t="shared" si="659"/>
        <v/>
      </c>
      <c r="S2104" s="1">
        <f t="shared" si="660"/>
        <v>630.90240000000244</v>
      </c>
      <c r="T2104" s="1">
        <f t="shared" si="661"/>
        <v>0</v>
      </c>
      <c r="U2104" s="1">
        <f t="shared" si="662"/>
        <v>0</v>
      </c>
      <c r="V2104" s="1">
        <f t="shared" si="663"/>
        <v>0</v>
      </c>
    </row>
    <row r="2105" spans="5:22" x14ac:dyDescent="0.25">
      <c r="E2105" s="4"/>
      <c r="M2105" s="4">
        <f t="shared" si="656"/>
        <v>173.1</v>
      </c>
      <c r="N2105" s="4"/>
      <c r="O2105" s="1">
        <f t="shared" si="657"/>
        <v>173.1</v>
      </c>
      <c r="P2105" s="1">
        <f t="shared" si="658"/>
        <v>0</v>
      </c>
      <c r="Q2105" s="1" t="str">
        <f t="shared" si="664"/>
        <v/>
      </c>
      <c r="R2105" s="1" t="str">
        <f t="shared" si="659"/>
        <v/>
      </c>
      <c r="S2105" s="1">
        <f t="shared" si="660"/>
        <v>630.90240000000244</v>
      </c>
      <c r="T2105" s="1">
        <f t="shared" si="661"/>
        <v>0</v>
      </c>
      <c r="U2105" s="1">
        <f t="shared" si="662"/>
        <v>0</v>
      </c>
      <c r="V2105" s="1">
        <f t="shared" si="663"/>
        <v>0</v>
      </c>
    </row>
    <row r="2106" spans="5:22" x14ac:dyDescent="0.25">
      <c r="E2106" s="4"/>
      <c r="M2106" s="4">
        <f t="shared" si="656"/>
        <v>173.1</v>
      </c>
      <c r="N2106" s="4"/>
      <c r="O2106" s="1">
        <f t="shared" si="657"/>
        <v>173.1</v>
      </c>
      <c r="P2106" s="1">
        <f t="shared" si="658"/>
        <v>0</v>
      </c>
      <c r="Q2106" s="1" t="str">
        <f t="shared" si="664"/>
        <v/>
      </c>
      <c r="R2106" s="1" t="str">
        <f t="shared" si="659"/>
        <v/>
      </c>
      <c r="S2106" s="1">
        <f t="shared" si="660"/>
        <v>630.90240000000244</v>
      </c>
      <c r="T2106" s="1">
        <f t="shared" si="661"/>
        <v>0</v>
      </c>
      <c r="U2106" s="1">
        <f t="shared" si="662"/>
        <v>0</v>
      </c>
      <c r="V2106" s="1">
        <f t="shared" si="663"/>
        <v>0</v>
      </c>
    </row>
    <row r="2107" spans="5:22" x14ac:dyDescent="0.25">
      <c r="E2107" s="4"/>
      <c r="M2107" s="4">
        <f t="shared" si="656"/>
        <v>173.1</v>
      </c>
      <c r="N2107" s="4"/>
      <c r="O2107" s="1">
        <f t="shared" si="657"/>
        <v>173.1</v>
      </c>
      <c r="P2107" s="1">
        <f t="shared" si="658"/>
        <v>0</v>
      </c>
      <c r="Q2107" s="1" t="str">
        <f t="shared" si="664"/>
        <v/>
      </c>
      <c r="R2107" s="1" t="str">
        <f t="shared" si="659"/>
        <v/>
      </c>
      <c r="S2107" s="1">
        <f t="shared" si="660"/>
        <v>630.90240000000244</v>
      </c>
      <c r="T2107" s="1">
        <f t="shared" si="661"/>
        <v>0</v>
      </c>
      <c r="U2107" s="1">
        <f t="shared" si="662"/>
        <v>0</v>
      </c>
      <c r="V2107" s="1">
        <f t="shared" si="663"/>
        <v>0</v>
      </c>
    </row>
    <row r="2108" spans="5:22" x14ac:dyDescent="0.25">
      <c r="E2108" s="4"/>
      <c r="M2108" s="4">
        <f t="shared" si="656"/>
        <v>173.1</v>
      </c>
      <c r="N2108" s="4"/>
      <c r="O2108" s="1">
        <f t="shared" si="657"/>
        <v>173.1</v>
      </c>
      <c r="P2108" s="1">
        <f t="shared" si="658"/>
        <v>0</v>
      </c>
      <c r="Q2108" s="1" t="str">
        <f t="shared" si="664"/>
        <v/>
      </c>
      <c r="R2108" s="1" t="str">
        <f t="shared" si="659"/>
        <v/>
      </c>
      <c r="S2108" s="1">
        <f t="shared" si="660"/>
        <v>630.90240000000244</v>
      </c>
      <c r="T2108" s="1">
        <f t="shared" si="661"/>
        <v>0</v>
      </c>
      <c r="U2108" s="1">
        <f t="shared" si="662"/>
        <v>0</v>
      </c>
      <c r="V2108" s="1">
        <f t="shared" si="663"/>
        <v>0</v>
      </c>
    </row>
    <row r="2109" spans="5:22" x14ac:dyDescent="0.25">
      <c r="E2109" s="4"/>
      <c r="M2109" s="4">
        <f t="shared" si="656"/>
        <v>173.1</v>
      </c>
      <c r="N2109" s="4"/>
      <c r="O2109" s="1">
        <f t="shared" si="657"/>
        <v>173.1</v>
      </c>
      <c r="P2109" s="1">
        <f t="shared" si="658"/>
        <v>0</v>
      </c>
      <c r="Q2109" s="1" t="str">
        <f t="shared" si="664"/>
        <v/>
      </c>
      <c r="R2109" s="1" t="str">
        <f t="shared" si="659"/>
        <v/>
      </c>
      <c r="S2109" s="1">
        <f t="shared" si="660"/>
        <v>630.90240000000244</v>
      </c>
      <c r="T2109" s="1">
        <f t="shared" si="661"/>
        <v>0</v>
      </c>
      <c r="U2109" s="1">
        <f t="shared" si="662"/>
        <v>0</v>
      </c>
      <c r="V2109" s="1">
        <f t="shared" si="663"/>
        <v>0</v>
      </c>
    </row>
    <row r="2110" spans="5:22" x14ac:dyDescent="0.25">
      <c r="E2110" s="4"/>
      <c r="M2110" s="4">
        <f t="shared" si="656"/>
        <v>173.1</v>
      </c>
      <c r="N2110" s="4"/>
      <c r="O2110" s="1">
        <f t="shared" si="657"/>
        <v>173.1</v>
      </c>
      <c r="P2110" s="1">
        <f t="shared" si="658"/>
        <v>0</v>
      </c>
      <c r="Q2110" s="1" t="str">
        <f t="shared" si="664"/>
        <v/>
      </c>
      <c r="R2110" s="1" t="str">
        <f t="shared" si="659"/>
        <v/>
      </c>
      <c r="S2110" s="1">
        <f t="shared" si="660"/>
        <v>630.90240000000244</v>
      </c>
      <c r="T2110" s="1">
        <f t="shared" si="661"/>
        <v>0</v>
      </c>
      <c r="U2110" s="1">
        <f t="shared" si="662"/>
        <v>0</v>
      </c>
      <c r="V2110" s="1">
        <f t="shared" si="663"/>
        <v>0</v>
      </c>
    </row>
    <row r="2111" spans="5:22" x14ac:dyDescent="0.25">
      <c r="E2111" s="4"/>
      <c r="M2111" s="4">
        <f t="shared" si="656"/>
        <v>173.1</v>
      </c>
      <c r="N2111" s="4"/>
      <c r="O2111" s="1">
        <f t="shared" si="657"/>
        <v>173.1</v>
      </c>
      <c r="P2111" s="1">
        <f t="shared" si="658"/>
        <v>0</v>
      </c>
      <c r="Q2111" s="1" t="str">
        <f t="shared" si="664"/>
        <v/>
      </c>
      <c r="R2111" s="1" t="str">
        <f t="shared" si="659"/>
        <v/>
      </c>
      <c r="S2111" s="1">
        <f t="shared" si="660"/>
        <v>630.90240000000244</v>
      </c>
      <c r="T2111" s="1">
        <f t="shared" si="661"/>
        <v>0</v>
      </c>
      <c r="U2111" s="1">
        <f t="shared" si="662"/>
        <v>0</v>
      </c>
      <c r="V2111" s="1">
        <f t="shared" si="663"/>
        <v>0</v>
      </c>
    </row>
    <row r="2112" spans="5:22" x14ac:dyDescent="0.25">
      <c r="E2112" s="4"/>
      <c r="M2112" s="4">
        <f t="shared" si="656"/>
        <v>173.1</v>
      </c>
      <c r="N2112" s="4"/>
      <c r="O2112" s="1">
        <f t="shared" si="657"/>
        <v>173.1</v>
      </c>
      <c r="P2112" s="1">
        <f t="shared" si="658"/>
        <v>0</v>
      </c>
      <c r="Q2112" s="1" t="str">
        <f t="shared" si="664"/>
        <v/>
      </c>
      <c r="R2112" s="1" t="str">
        <f t="shared" si="659"/>
        <v/>
      </c>
      <c r="S2112" s="1">
        <f t="shared" si="660"/>
        <v>630.90240000000244</v>
      </c>
      <c r="T2112" s="1">
        <f t="shared" si="661"/>
        <v>0</v>
      </c>
      <c r="U2112" s="1">
        <f t="shared" si="662"/>
        <v>0</v>
      </c>
      <c r="V2112" s="1">
        <f t="shared" si="663"/>
        <v>0</v>
      </c>
    </row>
    <row r="2113" spans="5:22" x14ac:dyDescent="0.25">
      <c r="E2113" s="4"/>
      <c r="M2113" s="4">
        <f t="shared" si="656"/>
        <v>173.1</v>
      </c>
      <c r="N2113" s="4"/>
      <c r="O2113" s="1">
        <f t="shared" si="657"/>
        <v>173.1</v>
      </c>
      <c r="P2113" s="1">
        <f t="shared" si="658"/>
        <v>0</v>
      </c>
      <c r="Q2113" s="1" t="str">
        <f t="shared" si="664"/>
        <v/>
      </c>
      <c r="R2113" s="1" t="str">
        <f t="shared" si="659"/>
        <v/>
      </c>
      <c r="S2113" s="1">
        <f t="shared" si="660"/>
        <v>630.90240000000244</v>
      </c>
      <c r="T2113" s="1">
        <f t="shared" si="661"/>
        <v>0</v>
      </c>
      <c r="U2113" s="1">
        <f t="shared" si="662"/>
        <v>0</v>
      </c>
      <c r="V2113" s="1">
        <f t="shared" si="663"/>
        <v>0</v>
      </c>
    </row>
    <row r="2114" spans="5:22" x14ac:dyDescent="0.25">
      <c r="E2114" s="4"/>
      <c r="M2114" s="4">
        <f t="shared" si="656"/>
        <v>173.1</v>
      </c>
      <c r="N2114" s="4"/>
      <c r="O2114" s="1">
        <f t="shared" si="657"/>
        <v>173.1</v>
      </c>
      <c r="P2114" s="1">
        <f t="shared" si="658"/>
        <v>0</v>
      </c>
      <c r="Q2114" s="1" t="str">
        <f t="shared" si="664"/>
        <v/>
      </c>
      <c r="R2114" s="1" t="str">
        <f t="shared" si="659"/>
        <v/>
      </c>
      <c r="S2114" s="1">
        <f t="shared" si="660"/>
        <v>630.90240000000244</v>
      </c>
      <c r="T2114" s="1">
        <f t="shared" si="661"/>
        <v>0</v>
      </c>
      <c r="U2114" s="1">
        <f t="shared" si="662"/>
        <v>0</v>
      </c>
      <c r="V2114" s="1">
        <f t="shared" si="663"/>
        <v>0</v>
      </c>
    </row>
    <row r="2115" spans="5:22" x14ac:dyDescent="0.25">
      <c r="E2115" s="4"/>
      <c r="M2115" s="4">
        <f t="shared" si="656"/>
        <v>173.1</v>
      </c>
      <c r="N2115" s="4"/>
      <c r="O2115" s="1">
        <f t="shared" si="657"/>
        <v>173.1</v>
      </c>
      <c r="P2115" s="1">
        <f t="shared" si="658"/>
        <v>0</v>
      </c>
      <c r="Q2115" s="1" t="str">
        <f t="shared" si="664"/>
        <v/>
      </c>
      <c r="R2115" s="1" t="str">
        <f t="shared" si="659"/>
        <v/>
      </c>
      <c r="S2115" s="1">
        <f t="shared" si="660"/>
        <v>630.90240000000244</v>
      </c>
      <c r="T2115" s="1">
        <f t="shared" si="661"/>
        <v>0</v>
      </c>
      <c r="U2115" s="1">
        <f t="shared" si="662"/>
        <v>0</v>
      </c>
      <c r="V2115" s="1">
        <f t="shared" si="663"/>
        <v>0</v>
      </c>
    </row>
    <row r="2116" spans="5:22" x14ac:dyDescent="0.25">
      <c r="E2116" s="4"/>
      <c r="M2116" s="4">
        <f t="shared" si="656"/>
        <v>173.1</v>
      </c>
      <c r="N2116" s="4"/>
      <c r="O2116" s="1">
        <f t="shared" si="657"/>
        <v>173.1</v>
      </c>
      <c r="P2116" s="1">
        <f t="shared" si="658"/>
        <v>0</v>
      </c>
      <c r="Q2116" s="1" t="str">
        <f t="shared" si="664"/>
        <v/>
      </c>
      <c r="R2116" s="1" t="str">
        <f t="shared" si="659"/>
        <v/>
      </c>
      <c r="S2116" s="1">
        <f t="shared" si="660"/>
        <v>630.90240000000244</v>
      </c>
      <c r="T2116" s="1">
        <f t="shared" si="661"/>
        <v>0</v>
      </c>
      <c r="U2116" s="1">
        <f t="shared" si="662"/>
        <v>0</v>
      </c>
      <c r="V2116" s="1">
        <f t="shared" si="663"/>
        <v>0</v>
      </c>
    </row>
    <row r="2117" spans="5:22" x14ac:dyDescent="0.25">
      <c r="E2117" s="4"/>
      <c r="M2117" s="4">
        <f t="shared" si="656"/>
        <v>173.1</v>
      </c>
      <c r="N2117" s="4"/>
      <c r="O2117" s="1">
        <f t="shared" si="657"/>
        <v>173.1</v>
      </c>
      <c r="P2117" s="1">
        <f t="shared" si="658"/>
        <v>0</v>
      </c>
      <c r="Q2117" s="1" t="str">
        <f t="shared" si="664"/>
        <v/>
      </c>
      <c r="R2117" s="1" t="str">
        <f t="shared" si="659"/>
        <v/>
      </c>
      <c r="S2117" s="1">
        <f t="shared" si="660"/>
        <v>630.90240000000244</v>
      </c>
      <c r="T2117" s="1">
        <f t="shared" si="661"/>
        <v>0</v>
      </c>
      <c r="U2117" s="1">
        <f t="shared" si="662"/>
        <v>0</v>
      </c>
      <c r="V2117" s="1">
        <f t="shared" si="663"/>
        <v>0</v>
      </c>
    </row>
    <row r="2118" spans="5:22" x14ac:dyDescent="0.25">
      <c r="E2118" s="4"/>
      <c r="M2118" s="4">
        <f t="shared" si="656"/>
        <v>173.1</v>
      </c>
      <c r="N2118" s="4"/>
      <c r="O2118" s="1">
        <f t="shared" si="657"/>
        <v>173.1</v>
      </c>
      <c r="P2118" s="1">
        <f t="shared" si="658"/>
        <v>0</v>
      </c>
      <c r="Q2118" s="1" t="str">
        <f t="shared" si="664"/>
        <v/>
      </c>
      <c r="R2118" s="1" t="str">
        <f t="shared" si="659"/>
        <v/>
      </c>
      <c r="S2118" s="1">
        <f t="shared" si="660"/>
        <v>630.90240000000244</v>
      </c>
      <c r="T2118" s="1">
        <f t="shared" si="661"/>
        <v>0</v>
      </c>
      <c r="U2118" s="1">
        <f t="shared" si="662"/>
        <v>0</v>
      </c>
      <c r="V2118" s="1">
        <f t="shared" si="663"/>
        <v>0</v>
      </c>
    </row>
    <row r="2119" spans="5:22" x14ac:dyDescent="0.25">
      <c r="E2119" s="4"/>
      <c r="M2119" s="4">
        <f t="shared" si="656"/>
        <v>173.1</v>
      </c>
      <c r="N2119" s="4"/>
      <c r="O2119" s="1">
        <f t="shared" si="657"/>
        <v>173.1</v>
      </c>
      <c r="P2119" s="1">
        <f t="shared" si="658"/>
        <v>0</v>
      </c>
      <c r="Q2119" s="1" t="str">
        <f t="shared" si="664"/>
        <v/>
      </c>
      <c r="R2119" s="1" t="str">
        <f t="shared" si="659"/>
        <v/>
      </c>
      <c r="S2119" s="1">
        <f t="shared" si="660"/>
        <v>630.90240000000244</v>
      </c>
      <c r="T2119" s="1">
        <f t="shared" si="661"/>
        <v>0</v>
      </c>
      <c r="U2119" s="1">
        <f t="shared" si="662"/>
        <v>0</v>
      </c>
      <c r="V2119" s="1">
        <f t="shared" si="663"/>
        <v>0</v>
      </c>
    </row>
    <row r="2120" spans="5:22" x14ac:dyDescent="0.25">
      <c r="E2120" s="4"/>
      <c r="M2120" s="4">
        <f t="shared" ref="M2120:M2183" si="665">E2120+M2119</f>
        <v>173.1</v>
      </c>
      <c r="N2120" s="4"/>
      <c r="O2120" s="1">
        <f t="shared" ref="O2120:O2183" si="666">E2119+O2119</f>
        <v>173.1</v>
      </c>
      <c r="P2120" s="1">
        <f t="shared" ref="P2120:P2183" si="667">F2120*52.8*E2120</f>
        <v>0</v>
      </c>
      <c r="Q2120" s="1" t="str">
        <f t="shared" si="664"/>
        <v/>
      </c>
      <c r="R2120" s="1" t="str">
        <f t="shared" ref="R2120:R2183" si="668">IF(I2120="",Q2120,IF(AND(H2120=H2119,I2120=I2119),"",I2120))</f>
        <v/>
      </c>
      <c r="S2120" s="1">
        <f t="shared" ref="S2120:S2183" si="669">S2119+U2119*T2119/100</f>
        <v>630.90240000000244</v>
      </c>
      <c r="T2120" s="1">
        <f t="shared" ref="T2120:T2183" si="670">IF(G2120="UNK",0,G2120)</f>
        <v>0</v>
      </c>
      <c r="U2120" s="1">
        <f t="shared" ref="U2120:U2183" si="671">E2120*5280</f>
        <v>0</v>
      </c>
      <c r="V2120" s="1">
        <f t="shared" ref="V2120:V2183" si="672">ABS(T2120*U2120)</f>
        <v>0</v>
      </c>
    </row>
    <row r="2121" spans="5:22" x14ac:dyDescent="0.25">
      <c r="E2121" s="4"/>
      <c r="M2121" s="4">
        <f t="shared" si="665"/>
        <v>173.1</v>
      </c>
      <c r="N2121" s="4"/>
      <c r="O2121" s="1">
        <f t="shared" si="666"/>
        <v>173.1</v>
      </c>
      <c r="P2121" s="1">
        <f t="shared" si="667"/>
        <v>0</v>
      </c>
      <c r="Q2121" s="1" t="str">
        <f t="shared" si="664"/>
        <v/>
      </c>
      <c r="R2121" s="1" t="str">
        <f t="shared" si="668"/>
        <v/>
      </c>
      <c r="S2121" s="1">
        <f t="shared" si="669"/>
        <v>630.90240000000244</v>
      </c>
      <c r="T2121" s="1">
        <f t="shared" si="670"/>
        <v>0</v>
      </c>
      <c r="U2121" s="1">
        <f t="shared" si="671"/>
        <v>0</v>
      </c>
      <c r="V2121" s="1">
        <f t="shared" si="672"/>
        <v>0</v>
      </c>
    </row>
    <row r="2122" spans="5:22" x14ac:dyDescent="0.25">
      <c r="E2122" s="4"/>
      <c r="M2122" s="4">
        <f t="shared" si="665"/>
        <v>173.1</v>
      </c>
      <c r="N2122" s="4"/>
      <c r="O2122" s="1">
        <f t="shared" si="666"/>
        <v>173.1</v>
      </c>
      <c r="P2122" s="1">
        <f t="shared" si="667"/>
        <v>0</v>
      </c>
      <c r="Q2122" s="1" t="str">
        <f t="shared" si="664"/>
        <v/>
      </c>
      <c r="R2122" s="1" t="str">
        <f t="shared" si="668"/>
        <v/>
      </c>
      <c r="S2122" s="1">
        <f t="shared" si="669"/>
        <v>630.90240000000244</v>
      </c>
      <c r="T2122" s="1">
        <f t="shared" si="670"/>
        <v>0</v>
      </c>
      <c r="U2122" s="1">
        <f t="shared" si="671"/>
        <v>0</v>
      </c>
      <c r="V2122" s="1">
        <f t="shared" si="672"/>
        <v>0</v>
      </c>
    </row>
    <row r="2123" spans="5:22" x14ac:dyDescent="0.25">
      <c r="E2123" s="4"/>
      <c r="M2123" s="4">
        <f t="shared" si="665"/>
        <v>173.1</v>
      </c>
      <c r="N2123" s="4"/>
      <c r="O2123" s="1">
        <f t="shared" si="666"/>
        <v>173.1</v>
      </c>
      <c r="P2123" s="1">
        <f t="shared" si="667"/>
        <v>0</v>
      </c>
      <c r="Q2123" s="1" t="str">
        <f t="shared" si="664"/>
        <v/>
      </c>
      <c r="R2123" s="1" t="str">
        <f t="shared" si="668"/>
        <v/>
      </c>
      <c r="S2123" s="1">
        <f t="shared" si="669"/>
        <v>630.90240000000244</v>
      </c>
      <c r="T2123" s="1">
        <f t="shared" si="670"/>
        <v>0</v>
      </c>
      <c r="U2123" s="1">
        <f t="shared" si="671"/>
        <v>0</v>
      </c>
      <c r="V2123" s="1">
        <f t="shared" si="672"/>
        <v>0</v>
      </c>
    </row>
    <row r="2124" spans="5:22" x14ac:dyDescent="0.25">
      <c r="E2124" s="4"/>
      <c r="M2124" s="4">
        <f t="shared" si="665"/>
        <v>173.1</v>
      </c>
      <c r="N2124" s="4"/>
      <c r="O2124" s="1">
        <f t="shared" si="666"/>
        <v>173.1</v>
      </c>
      <c r="P2124" s="1">
        <f t="shared" si="667"/>
        <v>0</v>
      </c>
      <c r="Q2124" s="1" t="str">
        <f t="shared" si="664"/>
        <v/>
      </c>
      <c r="R2124" s="1" t="str">
        <f t="shared" si="668"/>
        <v/>
      </c>
      <c r="S2124" s="1">
        <f t="shared" si="669"/>
        <v>630.90240000000244</v>
      </c>
      <c r="T2124" s="1">
        <f t="shared" si="670"/>
        <v>0</v>
      </c>
      <c r="U2124" s="1">
        <f t="shared" si="671"/>
        <v>0</v>
      </c>
      <c r="V2124" s="1">
        <f t="shared" si="672"/>
        <v>0</v>
      </c>
    </row>
    <row r="2125" spans="5:22" x14ac:dyDescent="0.25">
      <c r="E2125" s="4"/>
      <c r="M2125" s="4">
        <f t="shared" si="665"/>
        <v>173.1</v>
      </c>
      <c r="N2125" s="4"/>
      <c r="O2125" s="1">
        <f t="shared" si="666"/>
        <v>173.1</v>
      </c>
      <c r="P2125" s="1">
        <f t="shared" si="667"/>
        <v>0</v>
      </c>
      <c r="Q2125" s="1" t="str">
        <f t="shared" si="664"/>
        <v/>
      </c>
      <c r="R2125" s="1" t="str">
        <f t="shared" si="668"/>
        <v/>
      </c>
      <c r="S2125" s="1">
        <f t="shared" si="669"/>
        <v>630.90240000000244</v>
      </c>
      <c r="T2125" s="1">
        <f t="shared" si="670"/>
        <v>0</v>
      </c>
      <c r="U2125" s="1">
        <f t="shared" si="671"/>
        <v>0</v>
      </c>
      <c r="V2125" s="1">
        <f t="shared" si="672"/>
        <v>0</v>
      </c>
    </row>
    <row r="2126" spans="5:22" x14ac:dyDescent="0.25">
      <c r="E2126" s="4"/>
      <c r="M2126" s="4">
        <f t="shared" si="665"/>
        <v>173.1</v>
      </c>
      <c r="N2126" s="4"/>
      <c r="O2126" s="1">
        <f t="shared" si="666"/>
        <v>173.1</v>
      </c>
      <c r="P2126" s="1">
        <f t="shared" si="667"/>
        <v>0</v>
      </c>
      <c r="Q2126" s="1" t="str">
        <f t="shared" si="664"/>
        <v/>
      </c>
      <c r="R2126" s="1" t="str">
        <f t="shared" si="668"/>
        <v/>
      </c>
      <c r="S2126" s="1">
        <f t="shared" si="669"/>
        <v>630.90240000000244</v>
      </c>
      <c r="T2126" s="1">
        <f t="shared" si="670"/>
        <v>0</v>
      </c>
      <c r="U2126" s="1">
        <f t="shared" si="671"/>
        <v>0</v>
      </c>
      <c r="V2126" s="1">
        <f t="shared" si="672"/>
        <v>0</v>
      </c>
    </row>
    <row r="2127" spans="5:22" x14ac:dyDescent="0.25">
      <c r="E2127" s="4"/>
      <c r="M2127" s="4">
        <f t="shared" si="665"/>
        <v>173.1</v>
      </c>
      <c r="N2127" s="4"/>
      <c r="O2127" s="1">
        <f t="shared" si="666"/>
        <v>173.1</v>
      </c>
      <c r="P2127" s="1">
        <f t="shared" si="667"/>
        <v>0</v>
      </c>
      <c r="Q2127" s="1" t="str">
        <f t="shared" si="664"/>
        <v/>
      </c>
      <c r="R2127" s="1" t="str">
        <f t="shared" si="668"/>
        <v/>
      </c>
      <c r="S2127" s="1">
        <f t="shared" si="669"/>
        <v>630.90240000000244</v>
      </c>
      <c r="T2127" s="1">
        <f t="shared" si="670"/>
        <v>0</v>
      </c>
      <c r="U2127" s="1">
        <f t="shared" si="671"/>
        <v>0</v>
      </c>
      <c r="V2127" s="1">
        <f t="shared" si="672"/>
        <v>0</v>
      </c>
    </row>
    <row r="2128" spans="5:22" x14ac:dyDescent="0.25">
      <c r="E2128" s="4"/>
      <c r="M2128" s="4">
        <f t="shared" si="665"/>
        <v>173.1</v>
      </c>
      <c r="N2128" s="4"/>
      <c r="O2128" s="1">
        <f t="shared" si="666"/>
        <v>173.1</v>
      </c>
      <c r="P2128" s="1">
        <f t="shared" si="667"/>
        <v>0</v>
      </c>
      <c r="Q2128" s="1" t="str">
        <f t="shared" si="664"/>
        <v/>
      </c>
      <c r="R2128" s="1" t="str">
        <f t="shared" si="668"/>
        <v/>
      </c>
      <c r="S2128" s="1">
        <f t="shared" si="669"/>
        <v>630.90240000000244</v>
      </c>
      <c r="T2128" s="1">
        <f t="shared" si="670"/>
        <v>0</v>
      </c>
      <c r="U2128" s="1">
        <f t="shared" si="671"/>
        <v>0</v>
      </c>
      <c r="V2128" s="1">
        <f t="shared" si="672"/>
        <v>0</v>
      </c>
    </row>
    <row r="2129" spans="5:22" x14ac:dyDescent="0.25">
      <c r="E2129" s="4"/>
      <c r="M2129" s="4">
        <f t="shared" si="665"/>
        <v>173.1</v>
      </c>
      <c r="N2129" s="4"/>
      <c r="O2129" s="1">
        <f t="shared" si="666"/>
        <v>173.1</v>
      </c>
      <c r="P2129" s="1">
        <f t="shared" si="667"/>
        <v>0</v>
      </c>
      <c r="Q2129" s="1" t="str">
        <f t="shared" si="664"/>
        <v/>
      </c>
      <c r="R2129" s="1" t="str">
        <f t="shared" si="668"/>
        <v/>
      </c>
      <c r="S2129" s="1">
        <f t="shared" si="669"/>
        <v>630.90240000000244</v>
      </c>
      <c r="T2129" s="1">
        <f t="shared" si="670"/>
        <v>0</v>
      </c>
      <c r="U2129" s="1">
        <f t="shared" si="671"/>
        <v>0</v>
      </c>
      <c r="V2129" s="1">
        <f t="shared" si="672"/>
        <v>0</v>
      </c>
    </row>
    <row r="2130" spans="5:22" x14ac:dyDescent="0.25">
      <c r="E2130" s="4"/>
      <c r="M2130" s="4">
        <f t="shared" si="665"/>
        <v>173.1</v>
      </c>
      <c r="N2130" s="4"/>
      <c r="O2130" s="1">
        <f t="shared" si="666"/>
        <v>173.1</v>
      </c>
      <c r="P2130" s="1">
        <f t="shared" si="667"/>
        <v>0</v>
      </c>
      <c r="Q2130" s="1" t="str">
        <f t="shared" si="664"/>
        <v/>
      </c>
      <c r="R2130" s="1" t="str">
        <f t="shared" si="668"/>
        <v/>
      </c>
      <c r="S2130" s="1">
        <f t="shared" si="669"/>
        <v>630.90240000000244</v>
      </c>
      <c r="T2130" s="1">
        <f t="shared" si="670"/>
        <v>0</v>
      </c>
      <c r="U2130" s="1">
        <f t="shared" si="671"/>
        <v>0</v>
      </c>
      <c r="V2130" s="1">
        <f t="shared" si="672"/>
        <v>0</v>
      </c>
    </row>
    <row r="2131" spans="5:22" x14ac:dyDescent="0.25">
      <c r="E2131" s="4"/>
      <c r="M2131" s="4">
        <f t="shared" si="665"/>
        <v>173.1</v>
      </c>
      <c r="N2131" s="4"/>
      <c r="O2131" s="1">
        <f t="shared" si="666"/>
        <v>173.1</v>
      </c>
      <c r="P2131" s="1">
        <f t="shared" si="667"/>
        <v>0</v>
      </c>
      <c r="Q2131" s="1" t="str">
        <f t="shared" si="664"/>
        <v/>
      </c>
      <c r="R2131" s="1" t="str">
        <f t="shared" si="668"/>
        <v/>
      </c>
      <c r="S2131" s="1">
        <f t="shared" si="669"/>
        <v>630.90240000000244</v>
      </c>
      <c r="T2131" s="1">
        <f t="shared" si="670"/>
        <v>0</v>
      </c>
      <c r="U2131" s="1">
        <f t="shared" si="671"/>
        <v>0</v>
      </c>
      <c r="V2131" s="1">
        <f t="shared" si="672"/>
        <v>0</v>
      </c>
    </row>
    <row r="2132" spans="5:22" x14ac:dyDescent="0.25">
      <c r="E2132" s="4"/>
      <c r="M2132" s="4">
        <f t="shared" si="665"/>
        <v>173.1</v>
      </c>
      <c r="N2132" s="4"/>
      <c r="O2132" s="1">
        <f t="shared" si="666"/>
        <v>173.1</v>
      </c>
      <c r="P2132" s="1">
        <f t="shared" si="667"/>
        <v>0</v>
      </c>
      <c r="Q2132" s="1" t="str">
        <f t="shared" si="664"/>
        <v/>
      </c>
      <c r="R2132" s="1" t="str">
        <f t="shared" si="668"/>
        <v/>
      </c>
      <c r="S2132" s="1">
        <f t="shared" si="669"/>
        <v>630.90240000000244</v>
      </c>
      <c r="T2132" s="1">
        <f t="shared" si="670"/>
        <v>0</v>
      </c>
      <c r="U2132" s="1">
        <f t="shared" si="671"/>
        <v>0</v>
      </c>
      <c r="V2132" s="1">
        <f t="shared" si="672"/>
        <v>0</v>
      </c>
    </row>
    <row r="2133" spans="5:22" x14ac:dyDescent="0.25">
      <c r="E2133" s="4"/>
      <c r="M2133" s="4">
        <f t="shared" si="665"/>
        <v>173.1</v>
      </c>
      <c r="N2133" s="4"/>
      <c r="O2133" s="1">
        <f t="shared" si="666"/>
        <v>173.1</v>
      </c>
      <c r="P2133" s="1">
        <f t="shared" si="667"/>
        <v>0</v>
      </c>
      <c r="Q2133" s="1" t="str">
        <f t="shared" si="664"/>
        <v/>
      </c>
      <c r="R2133" s="1" t="str">
        <f t="shared" si="668"/>
        <v/>
      </c>
      <c r="S2133" s="1">
        <f t="shared" si="669"/>
        <v>630.90240000000244</v>
      </c>
      <c r="T2133" s="1">
        <f t="shared" si="670"/>
        <v>0</v>
      </c>
      <c r="U2133" s="1">
        <f t="shared" si="671"/>
        <v>0</v>
      </c>
      <c r="V2133" s="1">
        <f t="shared" si="672"/>
        <v>0</v>
      </c>
    </row>
    <row r="2134" spans="5:22" x14ac:dyDescent="0.25">
      <c r="E2134" s="4"/>
      <c r="M2134" s="4">
        <f t="shared" si="665"/>
        <v>173.1</v>
      </c>
      <c r="N2134" s="4"/>
      <c r="O2134" s="1">
        <f t="shared" si="666"/>
        <v>173.1</v>
      </c>
      <c r="P2134" s="1">
        <f t="shared" si="667"/>
        <v>0</v>
      </c>
      <c r="Q2134" s="1" t="str">
        <f t="shared" si="664"/>
        <v/>
      </c>
      <c r="R2134" s="1" t="str">
        <f t="shared" si="668"/>
        <v/>
      </c>
      <c r="S2134" s="1">
        <f t="shared" si="669"/>
        <v>630.90240000000244</v>
      </c>
      <c r="T2134" s="1">
        <f t="shared" si="670"/>
        <v>0</v>
      </c>
      <c r="U2134" s="1">
        <f t="shared" si="671"/>
        <v>0</v>
      </c>
      <c r="V2134" s="1">
        <f t="shared" si="672"/>
        <v>0</v>
      </c>
    </row>
    <row r="2135" spans="5:22" x14ac:dyDescent="0.25">
      <c r="E2135" s="4"/>
      <c r="M2135" s="4">
        <f t="shared" si="665"/>
        <v>173.1</v>
      </c>
      <c r="N2135" s="4"/>
      <c r="O2135" s="1">
        <f t="shared" si="666"/>
        <v>173.1</v>
      </c>
      <c r="P2135" s="1">
        <f t="shared" si="667"/>
        <v>0</v>
      </c>
      <c r="Q2135" s="1" t="str">
        <f t="shared" si="664"/>
        <v/>
      </c>
      <c r="R2135" s="1" t="str">
        <f t="shared" si="668"/>
        <v/>
      </c>
      <c r="S2135" s="1">
        <f t="shared" si="669"/>
        <v>630.90240000000244</v>
      </c>
      <c r="T2135" s="1">
        <f t="shared" si="670"/>
        <v>0</v>
      </c>
      <c r="U2135" s="1">
        <f t="shared" si="671"/>
        <v>0</v>
      </c>
      <c r="V2135" s="1">
        <f t="shared" si="672"/>
        <v>0</v>
      </c>
    </row>
    <row r="2136" spans="5:22" x14ac:dyDescent="0.25">
      <c r="E2136" s="4"/>
      <c r="M2136" s="4">
        <f t="shared" si="665"/>
        <v>173.1</v>
      </c>
      <c r="N2136" s="4"/>
      <c r="O2136" s="1">
        <f t="shared" si="666"/>
        <v>173.1</v>
      </c>
      <c r="P2136" s="1">
        <f t="shared" si="667"/>
        <v>0</v>
      </c>
      <c r="Q2136" s="1" t="str">
        <f t="shared" si="664"/>
        <v/>
      </c>
      <c r="R2136" s="1" t="str">
        <f t="shared" si="668"/>
        <v/>
      </c>
      <c r="S2136" s="1">
        <f t="shared" si="669"/>
        <v>630.90240000000244</v>
      </c>
      <c r="T2136" s="1">
        <f t="shared" si="670"/>
        <v>0</v>
      </c>
      <c r="U2136" s="1">
        <f t="shared" si="671"/>
        <v>0</v>
      </c>
      <c r="V2136" s="1">
        <f t="shared" si="672"/>
        <v>0</v>
      </c>
    </row>
    <row r="2137" spans="5:22" x14ac:dyDescent="0.25">
      <c r="E2137" s="4"/>
      <c r="M2137" s="4">
        <f t="shared" si="665"/>
        <v>173.1</v>
      </c>
      <c r="N2137" s="4"/>
      <c r="O2137" s="1">
        <f t="shared" si="666"/>
        <v>173.1</v>
      </c>
      <c r="P2137" s="1">
        <f t="shared" si="667"/>
        <v>0</v>
      </c>
      <c r="Q2137" s="1" t="str">
        <f t="shared" si="664"/>
        <v/>
      </c>
      <c r="R2137" s="1" t="str">
        <f t="shared" si="668"/>
        <v/>
      </c>
      <c r="S2137" s="1">
        <f t="shared" si="669"/>
        <v>630.90240000000244</v>
      </c>
      <c r="T2137" s="1">
        <f t="shared" si="670"/>
        <v>0</v>
      </c>
      <c r="U2137" s="1">
        <f t="shared" si="671"/>
        <v>0</v>
      </c>
      <c r="V2137" s="1">
        <f t="shared" si="672"/>
        <v>0</v>
      </c>
    </row>
    <row r="2138" spans="5:22" x14ac:dyDescent="0.25">
      <c r="E2138" s="4"/>
      <c r="M2138" s="4">
        <f t="shared" si="665"/>
        <v>173.1</v>
      </c>
      <c r="N2138" s="4"/>
      <c r="O2138" s="1">
        <f t="shared" si="666"/>
        <v>173.1</v>
      </c>
      <c r="P2138" s="1">
        <f t="shared" si="667"/>
        <v>0</v>
      </c>
      <c r="Q2138" s="1" t="str">
        <f t="shared" si="664"/>
        <v/>
      </c>
      <c r="R2138" s="1" t="str">
        <f t="shared" si="668"/>
        <v/>
      </c>
      <c r="S2138" s="1">
        <f t="shared" si="669"/>
        <v>630.90240000000244</v>
      </c>
      <c r="T2138" s="1">
        <f t="shared" si="670"/>
        <v>0</v>
      </c>
      <c r="U2138" s="1">
        <f t="shared" si="671"/>
        <v>0</v>
      </c>
      <c r="V2138" s="1">
        <f t="shared" si="672"/>
        <v>0</v>
      </c>
    </row>
    <row r="2139" spans="5:22" x14ac:dyDescent="0.25">
      <c r="E2139" s="4"/>
      <c r="M2139" s="4">
        <f t="shared" si="665"/>
        <v>173.1</v>
      </c>
      <c r="N2139" s="4"/>
      <c r="O2139" s="1">
        <f t="shared" si="666"/>
        <v>173.1</v>
      </c>
      <c r="P2139" s="1">
        <f t="shared" si="667"/>
        <v>0</v>
      </c>
      <c r="Q2139" s="1" t="str">
        <f t="shared" si="664"/>
        <v/>
      </c>
      <c r="R2139" s="1" t="str">
        <f t="shared" si="668"/>
        <v/>
      </c>
      <c r="S2139" s="1">
        <f t="shared" si="669"/>
        <v>630.90240000000244</v>
      </c>
      <c r="T2139" s="1">
        <f t="shared" si="670"/>
        <v>0</v>
      </c>
      <c r="U2139" s="1">
        <f t="shared" si="671"/>
        <v>0</v>
      </c>
      <c r="V2139" s="1">
        <f t="shared" si="672"/>
        <v>0</v>
      </c>
    </row>
    <row r="2140" spans="5:22" x14ac:dyDescent="0.25">
      <c r="E2140" s="4"/>
      <c r="M2140" s="4">
        <f t="shared" si="665"/>
        <v>173.1</v>
      </c>
      <c r="N2140" s="4"/>
      <c r="O2140" s="1">
        <f t="shared" si="666"/>
        <v>173.1</v>
      </c>
      <c r="P2140" s="1">
        <f t="shared" si="667"/>
        <v>0</v>
      </c>
      <c r="Q2140" s="1" t="str">
        <f t="shared" si="664"/>
        <v/>
      </c>
      <c r="R2140" s="1" t="str">
        <f t="shared" si="668"/>
        <v/>
      </c>
      <c r="S2140" s="1">
        <f t="shared" si="669"/>
        <v>630.90240000000244</v>
      </c>
      <c r="T2140" s="1">
        <f t="shared" si="670"/>
        <v>0</v>
      </c>
      <c r="U2140" s="1">
        <f t="shared" si="671"/>
        <v>0</v>
      </c>
      <c r="V2140" s="1">
        <f t="shared" si="672"/>
        <v>0</v>
      </c>
    </row>
    <row r="2141" spans="5:22" x14ac:dyDescent="0.25">
      <c r="E2141" s="4"/>
      <c r="M2141" s="4">
        <f t="shared" si="665"/>
        <v>173.1</v>
      </c>
      <c r="N2141" s="4"/>
      <c r="O2141" s="1">
        <f t="shared" si="666"/>
        <v>173.1</v>
      </c>
      <c r="P2141" s="1">
        <f t="shared" si="667"/>
        <v>0</v>
      </c>
      <c r="Q2141" s="1" t="str">
        <f t="shared" si="664"/>
        <v/>
      </c>
      <c r="R2141" s="1" t="str">
        <f t="shared" si="668"/>
        <v/>
      </c>
      <c r="S2141" s="1">
        <f t="shared" si="669"/>
        <v>630.90240000000244</v>
      </c>
      <c r="T2141" s="1">
        <f t="shared" si="670"/>
        <v>0</v>
      </c>
      <c r="U2141" s="1">
        <f t="shared" si="671"/>
        <v>0</v>
      </c>
      <c r="V2141" s="1">
        <f t="shared" si="672"/>
        <v>0</v>
      </c>
    </row>
    <row r="2142" spans="5:22" x14ac:dyDescent="0.25">
      <c r="E2142" s="4"/>
      <c r="M2142" s="4">
        <f t="shared" si="665"/>
        <v>173.1</v>
      </c>
      <c r="N2142" s="4"/>
      <c r="O2142" s="1">
        <f t="shared" si="666"/>
        <v>173.1</v>
      </c>
      <c r="P2142" s="1">
        <f t="shared" si="667"/>
        <v>0</v>
      </c>
      <c r="Q2142" s="1" t="str">
        <f t="shared" si="664"/>
        <v/>
      </c>
      <c r="R2142" s="1" t="str">
        <f t="shared" si="668"/>
        <v/>
      </c>
      <c r="S2142" s="1">
        <f t="shared" si="669"/>
        <v>630.90240000000244</v>
      </c>
      <c r="T2142" s="1">
        <f t="shared" si="670"/>
        <v>0</v>
      </c>
      <c r="U2142" s="1">
        <f t="shared" si="671"/>
        <v>0</v>
      </c>
      <c r="V2142" s="1">
        <f t="shared" si="672"/>
        <v>0</v>
      </c>
    </row>
    <row r="2143" spans="5:22" x14ac:dyDescent="0.25">
      <c r="E2143" s="4"/>
      <c r="M2143" s="4">
        <f t="shared" si="665"/>
        <v>173.1</v>
      </c>
      <c r="N2143" s="4"/>
      <c r="O2143" s="1">
        <f t="shared" si="666"/>
        <v>173.1</v>
      </c>
      <c r="P2143" s="1">
        <f t="shared" si="667"/>
        <v>0</v>
      </c>
      <c r="Q2143" s="1" t="str">
        <f t="shared" si="664"/>
        <v/>
      </c>
      <c r="R2143" s="1" t="str">
        <f t="shared" si="668"/>
        <v/>
      </c>
      <c r="S2143" s="1">
        <f t="shared" si="669"/>
        <v>630.90240000000244</v>
      </c>
      <c r="T2143" s="1">
        <f t="shared" si="670"/>
        <v>0</v>
      </c>
      <c r="U2143" s="1">
        <f t="shared" si="671"/>
        <v>0</v>
      </c>
      <c r="V2143" s="1">
        <f t="shared" si="672"/>
        <v>0</v>
      </c>
    </row>
    <row r="2144" spans="5:22" x14ac:dyDescent="0.25">
      <c r="E2144" s="4"/>
      <c r="M2144" s="4">
        <f t="shared" si="665"/>
        <v>173.1</v>
      </c>
      <c r="N2144" s="4"/>
      <c r="O2144" s="1">
        <f t="shared" si="666"/>
        <v>173.1</v>
      </c>
      <c r="P2144" s="1">
        <f t="shared" si="667"/>
        <v>0</v>
      </c>
      <c r="Q2144" s="1" t="str">
        <f t="shared" si="664"/>
        <v/>
      </c>
      <c r="R2144" s="1" t="str">
        <f t="shared" si="668"/>
        <v/>
      </c>
      <c r="S2144" s="1">
        <f t="shared" si="669"/>
        <v>630.90240000000244</v>
      </c>
      <c r="T2144" s="1">
        <f t="shared" si="670"/>
        <v>0</v>
      </c>
      <c r="U2144" s="1">
        <f t="shared" si="671"/>
        <v>0</v>
      </c>
      <c r="V2144" s="1">
        <f t="shared" si="672"/>
        <v>0</v>
      </c>
    </row>
    <row r="2145" spans="5:22" x14ac:dyDescent="0.25">
      <c r="E2145" s="4"/>
      <c r="M2145" s="4">
        <f t="shared" si="665"/>
        <v>173.1</v>
      </c>
      <c r="N2145" s="4"/>
      <c r="O2145" s="1">
        <f t="shared" si="666"/>
        <v>173.1</v>
      </c>
      <c r="P2145" s="1">
        <f t="shared" si="667"/>
        <v>0</v>
      </c>
      <c r="Q2145" s="1" t="str">
        <f t="shared" si="664"/>
        <v/>
      </c>
      <c r="R2145" s="1" t="str">
        <f t="shared" si="668"/>
        <v/>
      </c>
      <c r="S2145" s="1">
        <f t="shared" si="669"/>
        <v>630.90240000000244</v>
      </c>
      <c r="T2145" s="1">
        <f t="shared" si="670"/>
        <v>0</v>
      </c>
      <c r="U2145" s="1">
        <f t="shared" si="671"/>
        <v>0</v>
      </c>
      <c r="V2145" s="1">
        <f t="shared" si="672"/>
        <v>0</v>
      </c>
    </row>
    <row r="2146" spans="5:22" x14ac:dyDescent="0.25">
      <c r="E2146" s="4"/>
      <c r="M2146" s="4">
        <f t="shared" si="665"/>
        <v>173.1</v>
      </c>
      <c r="N2146" s="4"/>
      <c r="O2146" s="1">
        <f t="shared" si="666"/>
        <v>173.1</v>
      </c>
      <c r="P2146" s="1">
        <f t="shared" si="667"/>
        <v>0</v>
      </c>
      <c r="Q2146" s="1" t="str">
        <f t="shared" si="664"/>
        <v/>
      </c>
      <c r="R2146" s="1" t="str">
        <f t="shared" si="668"/>
        <v/>
      </c>
      <c r="S2146" s="1">
        <f t="shared" si="669"/>
        <v>630.90240000000244</v>
      </c>
      <c r="T2146" s="1">
        <f t="shared" si="670"/>
        <v>0</v>
      </c>
      <c r="U2146" s="1">
        <f t="shared" si="671"/>
        <v>0</v>
      </c>
      <c r="V2146" s="1">
        <f t="shared" si="672"/>
        <v>0</v>
      </c>
    </row>
    <row r="2147" spans="5:22" x14ac:dyDescent="0.25">
      <c r="E2147" s="4"/>
      <c r="M2147" s="4">
        <f t="shared" si="665"/>
        <v>173.1</v>
      </c>
      <c r="N2147" s="4"/>
      <c r="O2147" s="1">
        <f t="shared" si="666"/>
        <v>173.1</v>
      </c>
      <c r="P2147" s="1">
        <f t="shared" si="667"/>
        <v>0</v>
      </c>
      <c r="Q2147" s="1" t="str">
        <f t="shared" si="664"/>
        <v/>
      </c>
      <c r="R2147" s="1" t="str">
        <f t="shared" si="668"/>
        <v/>
      </c>
      <c r="S2147" s="1">
        <f t="shared" si="669"/>
        <v>630.90240000000244</v>
      </c>
      <c r="T2147" s="1">
        <f t="shared" si="670"/>
        <v>0</v>
      </c>
      <c r="U2147" s="1">
        <f t="shared" si="671"/>
        <v>0</v>
      </c>
      <c r="V2147" s="1">
        <f t="shared" si="672"/>
        <v>0</v>
      </c>
    </row>
    <row r="2148" spans="5:22" x14ac:dyDescent="0.25">
      <c r="E2148" s="4"/>
      <c r="M2148" s="4">
        <f t="shared" si="665"/>
        <v>173.1</v>
      </c>
      <c r="N2148" s="4"/>
      <c r="O2148" s="1">
        <f t="shared" si="666"/>
        <v>173.1</v>
      </c>
      <c r="P2148" s="1">
        <f t="shared" si="667"/>
        <v>0</v>
      </c>
      <c r="Q2148" s="1" t="str">
        <f t="shared" si="664"/>
        <v/>
      </c>
      <c r="R2148" s="1" t="str">
        <f t="shared" si="668"/>
        <v/>
      </c>
      <c r="S2148" s="1">
        <f t="shared" si="669"/>
        <v>630.90240000000244</v>
      </c>
      <c r="T2148" s="1">
        <f t="shared" si="670"/>
        <v>0</v>
      </c>
      <c r="U2148" s="1">
        <f t="shared" si="671"/>
        <v>0</v>
      </c>
      <c r="V2148" s="1">
        <f t="shared" si="672"/>
        <v>0</v>
      </c>
    </row>
    <row r="2149" spans="5:22" x14ac:dyDescent="0.25">
      <c r="E2149" s="4"/>
      <c r="M2149" s="4">
        <f t="shared" si="665"/>
        <v>173.1</v>
      </c>
      <c r="N2149" s="4"/>
      <c r="O2149" s="1">
        <f t="shared" si="666"/>
        <v>173.1</v>
      </c>
      <c r="P2149" s="1">
        <f t="shared" si="667"/>
        <v>0</v>
      </c>
      <c r="Q2149" s="1" t="str">
        <f t="shared" si="664"/>
        <v/>
      </c>
      <c r="R2149" s="1" t="str">
        <f t="shared" si="668"/>
        <v/>
      </c>
      <c r="S2149" s="1">
        <f t="shared" si="669"/>
        <v>630.90240000000244</v>
      </c>
      <c r="T2149" s="1">
        <f t="shared" si="670"/>
        <v>0</v>
      </c>
      <c r="U2149" s="1">
        <f t="shared" si="671"/>
        <v>0</v>
      </c>
      <c r="V2149" s="1">
        <f t="shared" si="672"/>
        <v>0</v>
      </c>
    </row>
    <row r="2150" spans="5:22" x14ac:dyDescent="0.25">
      <c r="E2150" s="4"/>
      <c r="M2150" s="4">
        <f t="shared" si="665"/>
        <v>173.1</v>
      </c>
      <c r="N2150" s="4"/>
      <c r="O2150" s="1">
        <f t="shared" si="666"/>
        <v>173.1</v>
      </c>
      <c r="P2150" s="1">
        <f t="shared" si="667"/>
        <v>0</v>
      </c>
      <c r="Q2150" s="1" t="str">
        <f t="shared" si="664"/>
        <v/>
      </c>
      <c r="R2150" s="1" t="str">
        <f t="shared" si="668"/>
        <v/>
      </c>
      <c r="S2150" s="1">
        <f t="shared" si="669"/>
        <v>630.90240000000244</v>
      </c>
      <c r="T2150" s="1">
        <f t="shared" si="670"/>
        <v>0</v>
      </c>
      <c r="U2150" s="1">
        <f t="shared" si="671"/>
        <v>0</v>
      </c>
      <c r="V2150" s="1">
        <f t="shared" si="672"/>
        <v>0</v>
      </c>
    </row>
    <row r="2151" spans="5:22" x14ac:dyDescent="0.25">
      <c r="E2151" s="4"/>
      <c r="M2151" s="4">
        <f t="shared" si="665"/>
        <v>173.1</v>
      </c>
      <c r="N2151" s="4"/>
      <c r="O2151" s="1">
        <f t="shared" si="666"/>
        <v>173.1</v>
      </c>
      <c r="P2151" s="1">
        <f t="shared" si="667"/>
        <v>0</v>
      </c>
      <c r="Q2151" s="1" t="str">
        <f t="shared" si="664"/>
        <v/>
      </c>
      <c r="R2151" s="1" t="str">
        <f t="shared" si="668"/>
        <v/>
      </c>
      <c r="S2151" s="1">
        <f t="shared" si="669"/>
        <v>630.90240000000244</v>
      </c>
      <c r="T2151" s="1">
        <f t="shared" si="670"/>
        <v>0</v>
      </c>
      <c r="U2151" s="1">
        <f t="shared" si="671"/>
        <v>0</v>
      </c>
      <c r="V2151" s="1">
        <f t="shared" si="672"/>
        <v>0</v>
      </c>
    </row>
    <row r="2152" spans="5:22" x14ac:dyDescent="0.25">
      <c r="E2152" s="4"/>
      <c r="M2152" s="4">
        <f t="shared" si="665"/>
        <v>173.1</v>
      </c>
      <c r="N2152" s="4"/>
      <c r="O2152" s="1">
        <f t="shared" si="666"/>
        <v>173.1</v>
      </c>
      <c r="P2152" s="1">
        <f t="shared" si="667"/>
        <v>0</v>
      </c>
      <c r="Q2152" s="1" t="str">
        <f t="shared" si="664"/>
        <v/>
      </c>
      <c r="R2152" s="1" t="str">
        <f t="shared" si="668"/>
        <v/>
      </c>
      <c r="S2152" s="1">
        <f t="shared" si="669"/>
        <v>630.90240000000244</v>
      </c>
      <c r="T2152" s="1">
        <f t="shared" si="670"/>
        <v>0</v>
      </c>
      <c r="U2152" s="1">
        <f t="shared" si="671"/>
        <v>0</v>
      </c>
      <c r="V2152" s="1">
        <f t="shared" si="672"/>
        <v>0</v>
      </c>
    </row>
    <row r="2153" spans="5:22" x14ac:dyDescent="0.25">
      <c r="E2153" s="4"/>
      <c r="M2153" s="4">
        <f t="shared" si="665"/>
        <v>173.1</v>
      </c>
      <c r="N2153" s="4"/>
      <c r="O2153" s="1">
        <f t="shared" si="666"/>
        <v>173.1</v>
      </c>
      <c r="P2153" s="1">
        <f t="shared" si="667"/>
        <v>0</v>
      </c>
      <c r="Q2153" s="1" t="str">
        <f t="shared" si="664"/>
        <v/>
      </c>
      <c r="R2153" s="1" t="str">
        <f t="shared" si="668"/>
        <v/>
      </c>
      <c r="S2153" s="1">
        <f t="shared" si="669"/>
        <v>630.90240000000244</v>
      </c>
      <c r="T2153" s="1">
        <f t="shared" si="670"/>
        <v>0</v>
      </c>
      <c r="U2153" s="1">
        <f t="shared" si="671"/>
        <v>0</v>
      </c>
      <c r="V2153" s="1">
        <f t="shared" si="672"/>
        <v>0</v>
      </c>
    </row>
    <row r="2154" spans="5:22" x14ac:dyDescent="0.25">
      <c r="E2154" s="4"/>
      <c r="M2154" s="4">
        <f t="shared" si="665"/>
        <v>173.1</v>
      </c>
      <c r="N2154" s="4"/>
      <c r="O2154" s="1">
        <f t="shared" si="666"/>
        <v>173.1</v>
      </c>
      <c r="P2154" s="1">
        <f t="shared" si="667"/>
        <v>0</v>
      </c>
      <c r="Q2154" s="1" t="str">
        <f t="shared" si="664"/>
        <v/>
      </c>
      <c r="R2154" s="1" t="str">
        <f t="shared" si="668"/>
        <v/>
      </c>
      <c r="S2154" s="1">
        <f t="shared" si="669"/>
        <v>630.90240000000244</v>
      </c>
      <c r="T2154" s="1">
        <f t="shared" si="670"/>
        <v>0</v>
      </c>
      <c r="U2154" s="1">
        <f t="shared" si="671"/>
        <v>0</v>
      </c>
      <c r="V2154" s="1">
        <f t="shared" si="672"/>
        <v>0</v>
      </c>
    </row>
    <row r="2155" spans="5:22" x14ac:dyDescent="0.25">
      <c r="E2155" s="4"/>
      <c r="M2155" s="4">
        <f t="shared" si="665"/>
        <v>173.1</v>
      </c>
      <c r="N2155" s="4"/>
      <c r="O2155" s="1">
        <f t="shared" si="666"/>
        <v>173.1</v>
      </c>
      <c r="P2155" s="1">
        <f t="shared" si="667"/>
        <v>0</v>
      </c>
      <c r="Q2155" s="1" t="str">
        <f t="shared" si="664"/>
        <v/>
      </c>
      <c r="R2155" s="1" t="str">
        <f t="shared" si="668"/>
        <v/>
      </c>
      <c r="S2155" s="1">
        <f t="shared" si="669"/>
        <v>630.90240000000244</v>
      </c>
      <c r="T2155" s="1">
        <f t="shared" si="670"/>
        <v>0</v>
      </c>
      <c r="U2155" s="1">
        <f t="shared" si="671"/>
        <v>0</v>
      </c>
      <c r="V2155" s="1">
        <f t="shared" si="672"/>
        <v>0</v>
      </c>
    </row>
    <row r="2156" spans="5:22" x14ac:dyDescent="0.25">
      <c r="E2156" s="4"/>
      <c r="M2156" s="4">
        <f t="shared" si="665"/>
        <v>173.1</v>
      </c>
      <c r="N2156" s="4"/>
      <c r="O2156" s="1">
        <f t="shared" si="666"/>
        <v>173.1</v>
      </c>
      <c r="P2156" s="1">
        <f t="shared" si="667"/>
        <v>0</v>
      </c>
      <c r="Q2156" s="1" t="str">
        <f t="shared" si="664"/>
        <v/>
      </c>
      <c r="R2156" s="1" t="str">
        <f t="shared" si="668"/>
        <v/>
      </c>
      <c r="S2156" s="1">
        <f t="shared" si="669"/>
        <v>630.90240000000244</v>
      </c>
      <c r="T2156" s="1">
        <f t="shared" si="670"/>
        <v>0</v>
      </c>
      <c r="U2156" s="1">
        <f t="shared" si="671"/>
        <v>0</v>
      </c>
      <c r="V2156" s="1">
        <f t="shared" si="672"/>
        <v>0</v>
      </c>
    </row>
    <row r="2157" spans="5:22" x14ac:dyDescent="0.25">
      <c r="E2157" s="4"/>
      <c r="M2157" s="4">
        <f t="shared" si="665"/>
        <v>173.1</v>
      </c>
      <c r="N2157" s="4"/>
      <c r="O2157" s="1">
        <f t="shared" si="666"/>
        <v>173.1</v>
      </c>
      <c r="P2157" s="1">
        <f t="shared" si="667"/>
        <v>0</v>
      </c>
      <c r="Q2157" s="1" t="str">
        <f t="shared" si="664"/>
        <v/>
      </c>
      <c r="R2157" s="1" t="str">
        <f t="shared" si="668"/>
        <v/>
      </c>
      <c r="S2157" s="1">
        <f t="shared" si="669"/>
        <v>630.90240000000244</v>
      </c>
      <c r="T2157" s="1">
        <f t="shared" si="670"/>
        <v>0</v>
      </c>
      <c r="U2157" s="1">
        <f t="shared" si="671"/>
        <v>0</v>
      </c>
      <c r="V2157" s="1">
        <f t="shared" si="672"/>
        <v>0</v>
      </c>
    </row>
    <row r="2158" spans="5:22" x14ac:dyDescent="0.25">
      <c r="E2158" s="4"/>
      <c r="M2158" s="4">
        <f t="shared" si="665"/>
        <v>173.1</v>
      </c>
      <c r="N2158" s="4"/>
      <c r="O2158" s="1">
        <f t="shared" si="666"/>
        <v>173.1</v>
      </c>
      <c r="P2158" s="1">
        <f t="shared" si="667"/>
        <v>0</v>
      </c>
      <c r="Q2158" s="1" t="str">
        <f t="shared" si="664"/>
        <v/>
      </c>
      <c r="R2158" s="1" t="str">
        <f t="shared" si="668"/>
        <v/>
      </c>
      <c r="S2158" s="1">
        <f t="shared" si="669"/>
        <v>630.90240000000244</v>
      </c>
      <c r="T2158" s="1">
        <f t="shared" si="670"/>
        <v>0</v>
      </c>
      <c r="U2158" s="1">
        <f t="shared" si="671"/>
        <v>0</v>
      </c>
      <c r="V2158" s="1">
        <f t="shared" si="672"/>
        <v>0</v>
      </c>
    </row>
    <row r="2159" spans="5:22" x14ac:dyDescent="0.25">
      <c r="E2159" s="4"/>
      <c r="M2159" s="4">
        <f t="shared" si="665"/>
        <v>173.1</v>
      </c>
      <c r="N2159" s="4"/>
      <c r="O2159" s="1">
        <f t="shared" si="666"/>
        <v>173.1</v>
      </c>
      <c r="P2159" s="1">
        <f t="shared" si="667"/>
        <v>0</v>
      </c>
      <c r="Q2159" s="1" t="str">
        <f t="shared" si="664"/>
        <v/>
      </c>
      <c r="R2159" s="1" t="str">
        <f t="shared" si="668"/>
        <v/>
      </c>
      <c r="S2159" s="1">
        <f t="shared" si="669"/>
        <v>630.90240000000244</v>
      </c>
      <c r="T2159" s="1">
        <f t="shared" si="670"/>
        <v>0</v>
      </c>
      <c r="U2159" s="1">
        <f t="shared" si="671"/>
        <v>0</v>
      </c>
      <c r="V2159" s="1">
        <f t="shared" si="672"/>
        <v>0</v>
      </c>
    </row>
    <row r="2160" spans="5:22" x14ac:dyDescent="0.25">
      <c r="E2160" s="4"/>
      <c r="M2160" s="4">
        <f t="shared" si="665"/>
        <v>173.1</v>
      </c>
      <c r="N2160" s="4"/>
      <c r="O2160" s="1">
        <f t="shared" si="666"/>
        <v>173.1</v>
      </c>
      <c r="P2160" s="1">
        <f t="shared" si="667"/>
        <v>0</v>
      </c>
      <c r="Q2160" s="1" t="str">
        <f t="shared" si="664"/>
        <v/>
      </c>
      <c r="R2160" s="1" t="str">
        <f t="shared" si="668"/>
        <v/>
      </c>
      <c r="S2160" s="1">
        <f t="shared" si="669"/>
        <v>630.90240000000244</v>
      </c>
      <c r="T2160" s="1">
        <f t="shared" si="670"/>
        <v>0</v>
      </c>
      <c r="U2160" s="1">
        <f t="shared" si="671"/>
        <v>0</v>
      </c>
      <c r="V2160" s="1">
        <f t="shared" si="672"/>
        <v>0</v>
      </c>
    </row>
    <row r="2161" spans="5:22" x14ac:dyDescent="0.25">
      <c r="E2161" s="4"/>
      <c r="M2161" s="4">
        <f t="shared" si="665"/>
        <v>173.1</v>
      </c>
      <c r="N2161" s="4"/>
      <c r="O2161" s="1">
        <f t="shared" si="666"/>
        <v>173.1</v>
      </c>
      <c r="P2161" s="1">
        <f t="shared" si="667"/>
        <v>0</v>
      </c>
      <c r="Q2161" s="1" t="str">
        <f t="shared" si="664"/>
        <v/>
      </c>
      <c r="R2161" s="1" t="str">
        <f t="shared" si="668"/>
        <v/>
      </c>
      <c r="S2161" s="1">
        <f t="shared" si="669"/>
        <v>630.90240000000244</v>
      </c>
      <c r="T2161" s="1">
        <f t="shared" si="670"/>
        <v>0</v>
      </c>
      <c r="U2161" s="1">
        <f t="shared" si="671"/>
        <v>0</v>
      </c>
      <c r="V2161" s="1">
        <f t="shared" si="672"/>
        <v>0</v>
      </c>
    </row>
    <row r="2162" spans="5:22" x14ac:dyDescent="0.25">
      <c r="E2162" s="4"/>
      <c r="M2162" s="4">
        <f t="shared" si="665"/>
        <v>173.1</v>
      </c>
      <c r="N2162" s="4"/>
      <c r="O2162" s="1">
        <f t="shared" si="666"/>
        <v>173.1</v>
      </c>
      <c r="P2162" s="1">
        <f t="shared" si="667"/>
        <v>0</v>
      </c>
      <c r="Q2162" s="1" t="str">
        <f t="shared" ref="Q2162:Q2225" si="673">IF(H2162&lt;&gt;"",IF(H2162=H2161,"",H2162),IF(H2160="","",MAX(H2161,Q2161)))</f>
        <v/>
      </c>
      <c r="R2162" s="1" t="str">
        <f t="shared" si="668"/>
        <v/>
      </c>
      <c r="S2162" s="1">
        <f t="shared" si="669"/>
        <v>630.90240000000244</v>
      </c>
      <c r="T2162" s="1">
        <f t="shared" si="670"/>
        <v>0</v>
      </c>
      <c r="U2162" s="1">
        <f t="shared" si="671"/>
        <v>0</v>
      </c>
      <c r="V2162" s="1">
        <f t="shared" si="672"/>
        <v>0</v>
      </c>
    </row>
    <row r="2163" spans="5:22" x14ac:dyDescent="0.25">
      <c r="E2163" s="4"/>
      <c r="M2163" s="4">
        <f t="shared" si="665"/>
        <v>173.1</v>
      </c>
      <c r="N2163" s="4"/>
      <c r="O2163" s="1">
        <f t="shared" si="666"/>
        <v>173.1</v>
      </c>
      <c r="P2163" s="1">
        <f t="shared" si="667"/>
        <v>0</v>
      </c>
      <c r="Q2163" s="1" t="str">
        <f t="shared" si="673"/>
        <v/>
      </c>
      <c r="R2163" s="1" t="str">
        <f t="shared" si="668"/>
        <v/>
      </c>
      <c r="S2163" s="1">
        <f t="shared" si="669"/>
        <v>630.90240000000244</v>
      </c>
      <c r="T2163" s="1">
        <f t="shared" si="670"/>
        <v>0</v>
      </c>
      <c r="U2163" s="1">
        <f t="shared" si="671"/>
        <v>0</v>
      </c>
      <c r="V2163" s="1">
        <f t="shared" si="672"/>
        <v>0</v>
      </c>
    </row>
    <row r="2164" spans="5:22" x14ac:dyDescent="0.25">
      <c r="E2164" s="4"/>
      <c r="M2164" s="4">
        <f t="shared" si="665"/>
        <v>173.1</v>
      </c>
      <c r="N2164" s="4"/>
      <c r="O2164" s="1">
        <f t="shared" si="666"/>
        <v>173.1</v>
      </c>
      <c r="P2164" s="1">
        <f t="shared" si="667"/>
        <v>0</v>
      </c>
      <c r="Q2164" s="1" t="str">
        <f t="shared" si="673"/>
        <v/>
      </c>
      <c r="R2164" s="1" t="str">
        <f t="shared" si="668"/>
        <v/>
      </c>
      <c r="S2164" s="1">
        <f t="shared" si="669"/>
        <v>630.90240000000244</v>
      </c>
      <c r="T2164" s="1">
        <f t="shared" si="670"/>
        <v>0</v>
      </c>
      <c r="U2164" s="1">
        <f t="shared" si="671"/>
        <v>0</v>
      </c>
      <c r="V2164" s="1">
        <f t="shared" si="672"/>
        <v>0</v>
      </c>
    </row>
    <row r="2165" spans="5:22" x14ac:dyDescent="0.25">
      <c r="E2165" s="4"/>
      <c r="M2165" s="4">
        <f t="shared" si="665"/>
        <v>173.1</v>
      </c>
      <c r="N2165" s="4"/>
      <c r="O2165" s="1">
        <f t="shared" si="666"/>
        <v>173.1</v>
      </c>
      <c r="P2165" s="1">
        <f t="shared" si="667"/>
        <v>0</v>
      </c>
      <c r="Q2165" s="1" t="str">
        <f t="shared" si="673"/>
        <v/>
      </c>
      <c r="R2165" s="1" t="str">
        <f t="shared" si="668"/>
        <v/>
      </c>
      <c r="S2165" s="1">
        <f t="shared" si="669"/>
        <v>630.90240000000244</v>
      </c>
      <c r="T2165" s="1">
        <f t="shared" si="670"/>
        <v>0</v>
      </c>
      <c r="U2165" s="1">
        <f t="shared" si="671"/>
        <v>0</v>
      </c>
      <c r="V2165" s="1">
        <f t="shared" si="672"/>
        <v>0</v>
      </c>
    </row>
    <row r="2166" spans="5:22" x14ac:dyDescent="0.25">
      <c r="E2166" s="4"/>
      <c r="M2166" s="4">
        <f t="shared" si="665"/>
        <v>173.1</v>
      </c>
      <c r="N2166" s="4"/>
      <c r="O2166" s="1">
        <f t="shared" si="666"/>
        <v>173.1</v>
      </c>
      <c r="P2166" s="1">
        <f t="shared" si="667"/>
        <v>0</v>
      </c>
      <c r="Q2166" s="1" t="str">
        <f t="shared" si="673"/>
        <v/>
      </c>
      <c r="R2166" s="1" t="str">
        <f t="shared" si="668"/>
        <v/>
      </c>
      <c r="S2166" s="1">
        <f t="shared" si="669"/>
        <v>630.90240000000244</v>
      </c>
      <c r="T2166" s="1">
        <f t="shared" si="670"/>
        <v>0</v>
      </c>
      <c r="U2166" s="1">
        <f t="shared" si="671"/>
        <v>0</v>
      </c>
      <c r="V2166" s="1">
        <f t="shared" si="672"/>
        <v>0</v>
      </c>
    </row>
    <row r="2167" spans="5:22" x14ac:dyDescent="0.25">
      <c r="E2167" s="4"/>
      <c r="M2167" s="4">
        <f t="shared" si="665"/>
        <v>173.1</v>
      </c>
      <c r="N2167" s="4"/>
      <c r="O2167" s="1">
        <f t="shared" si="666"/>
        <v>173.1</v>
      </c>
      <c r="P2167" s="1">
        <f t="shared" si="667"/>
        <v>0</v>
      </c>
      <c r="Q2167" s="1" t="str">
        <f t="shared" si="673"/>
        <v/>
      </c>
      <c r="R2167" s="1" t="str">
        <f t="shared" si="668"/>
        <v/>
      </c>
      <c r="S2167" s="1">
        <f t="shared" si="669"/>
        <v>630.90240000000244</v>
      </c>
      <c r="T2167" s="1">
        <f t="shared" si="670"/>
        <v>0</v>
      </c>
      <c r="U2167" s="1">
        <f t="shared" si="671"/>
        <v>0</v>
      </c>
      <c r="V2167" s="1">
        <f t="shared" si="672"/>
        <v>0</v>
      </c>
    </row>
    <row r="2168" spans="5:22" x14ac:dyDescent="0.25">
      <c r="E2168" s="4"/>
      <c r="M2168" s="4">
        <f t="shared" si="665"/>
        <v>173.1</v>
      </c>
      <c r="N2168" s="4"/>
      <c r="O2168" s="1">
        <f t="shared" si="666"/>
        <v>173.1</v>
      </c>
      <c r="P2168" s="1">
        <f t="shared" si="667"/>
        <v>0</v>
      </c>
      <c r="Q2168" s="1" t="str">
        <f t="shared" si="673"/>
        <v/>
      </c>
      <c r="R2168" s="1" t="str">
        <f t="shared" si="668"/>
        <v/>
      </c>
      <c r="S2168" s="1">
        <f t="shared" si="669"/>
        <v>630.90240000000244</v>
      </c>
      <c r="T2168" s="1">
        <f t="shared" si="670"/>
        <v>0</v>
      </c>
      <c r="U2168" s="1">
        <f t="shared" si="671"/>
        <v>0</v>
      </c>
      <c r="V2168" s="1">
        <f t="shared" si="672"/>
        <v>0</v>
      </c>
    </row>
    <row r="2169" spans="5:22" x14ac:dyDescent="0.25">
      <c r="E2169" s="4"/>
      <c r="M2169" s="4">
        <f t="shared" si="665"/>
        <v>173.1</v>
      </c>
      <c r="N2169" s="4"/>
      <c r="O2169" s="1">
        <f t="shared" si="666"/>
        <v>173.1</v>
      </c>
      <c r="P2169" s="1">
        <f t="shared" si="667"/>
        <v>0</v>
      </c>
      <c r="Q2169" s="1" t="str">
        <f t="shared" si="673"/>
        <v/>
      </c>
      <c r="R2169" s="1" t="str">
        <f t="shared" si="668"/>
        <v/>
      </c>
      <c r="S2169" s="1">
        <f t="shared" si="669"/>
        <v>630.90240000000244</v>
      </c>
      <c r="T2169" s="1">
        <f t="shared" si="670"/>
        <v>0</v>
      </c>
      <c r="U2169" s="1">
        <f t="shared" si="671"/>
        <v>0</v>
      </c>
      <c r="V2169" s="1">
        <f t="shared" si="672"/>
        <v>0</v>
      </c>
    </row>
    <row r="2170" spans="5:22" x14ac:dyDescent="0.25">
      <c r="E2170" s="4"/>
      <c r="M2170" s="4">
        <f t="shared" si="665"/>
        <v>173.1</v>
      </c>
      <c r="N2170" s="4"/>
      <c r="O2170" s="1">
        <f t="shared" si="666"/>
        <v>173.1</v>
      </c>
      <c r="P2170" s="1">
        <f t="shared" si="667"/>
        <v>0</v>
      </c>
      <c r="Q2170" s="1" t="str">
        <f t="shared" si="673"/>
        <v/>
      </c>
      <c r="R2170" s="1" t="str">
        <f t="shared" si="668"/>
        <v/>
      </c>
      <c r="S2170" s="1">
        <f t="shared" si="669"/>
        <v>630.90240000000244</v>
      </c>
      <c r="T2170" s="1">
        <f t="shared" si="670"/>
        <v>0</v>
      </c>
      <c r="U2170" s="1">
        <f t="shared" si="671"/>
        <v>0</v>
      </c>
      <c r="V2170" s="1">
        <f t="shared" si="672"/>
        <v>0</v>
      </c>
    </row>
    <row r="2171" spans="5:22" x14ac:dyDescent="0.25">
      <c r="E2171" s="4"/>
      <c r="M2171" s="4">
        <f t="shared" si="665"/>
        <v>173.1</v>
      </c>
      <c r="N2171" s="4"/>
      <c r="O2171" s="1">
        <f t="shared" si="666"/>
        <v>173.1</v>
      </c>
      <c r="P2171" s="1">
        <f t="shared" si="667"/>
        <v>0</v>
      </c>
      <c r="Q2171" s="1" t="str">
        <f t="shared" si="673"/>
        <v/>
      </c>
      <c r="R2171" s="1" t="str">
        <f t="shared" si="668"/>
        <v/>
      </c>
      <c r="S2171" s="1">
        <f t="shared" si="669"/>
        <v>630.90240000000244</v>
      </c>
      <c r="T2171" s="1">
        <f t="shared" si="670"/>
        <v>0</v>
      </c>
      <c r="U2171" s="1">
        <f t="shared" si="671"/>
        <v>0</v>
      </c>
      <c r="V2171" s="1">
        <f t="shared" si="672"/>
        <v>0</v>
      </c>
    </row>
    <row r="2172" spans="5:22" x14ac:dyDescent="0.25">
      <c r="E2172" s="4"/>
      <c r="M2172" s="4">
        <f t="shared" si="665"/>
        <v>173.1</v>
      </c>
      <c r="N2172" s="4"/>
      <c r="O2172" s="1">
        <f t="shared" si="666"/>
        <v>173.1</v>
      </c>
      <c r="P2172" s="1">
        <f t="shared" si="667"/>
        <v>0</v>
      </c>
      <c r="Q2172" s="1" t="str">
        <f t="shared" si="673"/>
        <v/>
      </c>
      <c r="R2172" s="1" t="str">
        <f t="shared" si="668"/>
        <v/>
      </c>
      <c r="S2172" s="1">
        <f t="shared" si="669"/>
        <v>630.90240000000244</v>
      </c>
      <c r="T2172" s="1">
        <f t="shared" si="670"/>
        <v>0</v>
      </c>
      <c r="U2172" s="1">
        <f t="shared" si="671"/>
        <v>0</v>
      </c>
      <c r="V2172" s="1">
        <f t="shared" si="672"/>
        <v>0</v>
      </c>
    </row>
    <row r="2173" spans="5:22" x14ac:dyDescent="0.25">
      <c r="E2173" s="4"/>
      <c r="M2173" s="4">
        <f t="shared" si="665"/>
        <v>173.1</v>
      </c>
      <c r="N2173" s="4"/>
      <c r="O2173" s="1">
        <f t="shared" si="666"/>
        <v>173.1</v>
      </c>
      <c r="P2173" s="1">
        <f t="shared" si="667"/>
        <v>0</v>
      </c>
      <c r="Q2173" s="1" t="str">
        <f t="shared" si="673"/>
        <v/>
      </c>
      <c r="R2173" s="1" t="str">
        <f t="shared" si="668"/>
        <v/>
      </c>
      <c r="S2173" s="1">
        <f t="shared" si="669"/>
        <v>630.90240000000244</v>
      </c>
      <c r="T2173" s="1">
        <f t="shared" si="670"/>
        <v>0</v>
      </c>
      <c r="U2173" s="1">
        <f t="shared" si="671"/>
        <v>0</v>
      </c>
      <c r="V2173" s="1">
        <f t="shared" si="672"/>
        <v>0</v>
      </c>
    </row>
    <row r="2174" spans="5:22" x14ac:dyDescent="0.25">
      <c r="E2174" s="4"/>
      <c r="M2174" s="4">
        <f t="shared" si="665"/>
        <v>173.1</v>
      </c>
      <c r="N2174" s="4"/>
      <c r="O2174" s="1">
        <f t="shared" si="666"/>
        <v>173.1</v>
      </c>
      <c r="P2174" s="1">
        <f t="shared" si="667"/>
        <v>0</v>
      </c>
      <c r="Q2174" s="1" t="str">
        <f t="shared" si="673"/>
        <v/>
      </c>
      <c r="R2174" s="1" t="str">
        <f t="shared" si="668"/>
        <v/>
      </c>
      <c r="S2174" s="1">
        <f t="shared" si="669"/>
        <v>630.90240000000244</v>
      </c>
      <c r="T2174" s="1">
        <f t="shared" si="670"/>
        <v>0</v>
      </c>
      <c r="U2174" s="1">
        <f t="shared" si="671"/>
        <v>0</v>
      </c>
      <c r="V2174" s="1">
        <f t="shared" si="672"/>
        <v>0</v>
      </c>
    </row>
    <row r="2175" spans="5:22" x14ac:dyDescent="0.25">
      <c r="E2175" s="4"/>
      <c r="M2175" s="4">
        <f t="shared" si="665"/>
        <v>173.1</v>
      </c>
      <c r="N2175" s="4"/>
      <c r="O2175" s="1">
        <f t="shared" si="666"/>
        <v>173.1</v>
      </c>
      <c r="P2175" s="1">
        <f t="shared" si="667"/>
        <v>0</v>
      </c>
      <c r="Q2175" s="1" t="str">
        <f t="shared" si="673"/>
        <v/>
      </c>
      <c r="R2175" s="1" t="str">
        <f t="shared" si="668"/>
        <v/>
      </c>
      <c r="S2175" s="1">
        <f t="shared" si="669"/>
        <v>630.90240000000244</v>
      </c>
      <c r="T2175" s="1">
        <f t="shared" si="670"/>
        <v>0</v>
      </c>
      <c r="U2175" s="1">
        <f t="shared" si="671"/>
        <v>0</v>
      </c>
      <c r="V2175" s="1">
        <f t="shared" si="672"/>
        <v>0</v>
      </c>
    </row>
    <row r="2176" spans="5:22" x14ac:dyDescent="0.25">
      <c r="E2176" s="4"/>
      <c r="M2176" s="4">
        <f t="shared" si="665"/>
        <v>173.1</v>
      </c>
      <c r="N2176" s="4"/>
      <c r="O2176" s="1">
        <f t="shared" si="666"/>
        <v>173.1</v>
      </c>
      <c r="P2176" s="1">
        <f t="shared" si="667"/>
        <v>0</v>
      </c>
      <c r="Q2176" s="1" t="str">
        <f t="shared" si="673"/>
        <v/>
      </c>
      <c r="R2176" s="1" t="str">
        <f t="shared" si="668"/>
        <v/>
      </c>
      <c r="S2176" s="1">
        <f t="shared" si="669"/>
        <v>630.90240000000244</v>
      </c>
      <c r="T2176" s="1">
        <f t="shared" si="670"/>
        <v>0</v>
      </c>
      <c r="U2176" s="1">
        <f t="shared" si="671"/>
        <v>0</v>
      </c>
      <c r="V2176" s="1">
        <f t="shared" si="672"/>
        <v>0</v>
      </c>
    </row>
    <row r="2177" spans="5:22" x14ac:dyDescent="0.25">
      <c r="E2177" s="4"/>
      <c r="M2177" s="4">
        <f t="shared" si="665"/>
        <v>173.1</v>
      </c>
      <c r="N2177" s="4"/>
      <c r="O2177" s="1">
        <f t="shared" si="666"/>
        <v>173.1</v>
      </c>
      <c r="P2177" s="1">
        <f t="shared" si="667"/>
        <v>0</v>
      </c>
      <c r="Q2177" s="1" t="str">
        <f t="shared" si="673"/>
        <v/>
      </c>
      <c r="R2177" s="1" t="str">
        <f t="shared" si="668"/>
        <v/>
      </c>
      <c r="S2177" s="1">
        <f t="shared" si="669"/>
        <v>630.90240000000244</v>
      </c>
      <c r="T2177" s="1">
        <f t="shared" si="670"/>
        <v>0</v>
      </c>
      <c r="U2177" s="1">
        <f t="shared" si="671"/>
        <v>0</v>
      </c>
      <c r="V2177" s="1">
        <f t="shared" si="672"/>
        <v>0</v>
      </c>
    </row>
    <row r="2178" spans="5:22" x14ac:dyDescent="0.25">
      <c r="E2178" s="4"/>
      <c r="M2178" s="4">
        <f t="shared" si="665"/>
        <v>173.1</v>
      </c>
      <c r="N2178" s="4"/>
      <c r="O2178" s="1">
        <f t="shared" si="666"/>
        <v>173.1</v>
      </c>
      <c r="P2178" s="1">
        <f t="shared" si="667"/>
        <v>0</v>
      </c>
      <c r="Q2178" s="1" t="str">
        <f t="shared" si="673"/>
        <v/>
      </c>
      <c r="R2178" s="1" t="str">
        <f t="shared" si="668"/>
        <v/>
      </c>
      <c r="S2178" s="1">
        <f t="shared" si="669"/>
        <v>630.90240000000244</v>
      </c>
      <c r="T2178" s="1">
        <f t="shared" si="670"/>
        <v>0</v>
      </c>
      <c r="U2178" s="1">
        <f t="shared" si="671"/>
        <v>0</v>
      </c>
      <c r="V2178" s="1">
        <f t="shared" si="672"/>
        <v>0</v>
      </c>
    </row>
    <row r="2179" spans="5:22" x14ac:dyDescent="0.25">
      <c r="E2179" s="4"/>
      <c r="M2179" s="4">
        <f t="shared" si="665"/>
        <v>173.1</v>
      </c>
      <c r="N2179" s="4"/>
      <c r="O2179" s="1">
        <f t="shared" si="666"/>
        <v>173.1</v>
      </c>
      <c r="P2179" s="1">
        <f t="shared" si="667"/>
        <v>0</v>
      </c>
      <c r="Q2179" s="1" t="str">
        <f t="shared" si="673"/>
        <v/>
      </c>
      <c r="R2179" s="1" t="str">
        <f t="shared" si="668"/>
        <v/>
      </c>
      <c r="S2179" s="1">
        <f t="shared" si="669"/>
        <v>630.90240000000244</v>
      </c>
      <c r="T2179" s="1">
        <f t="shared" si="670"/>
        <v>0</v>
      </c>
      <c r="U2179" s="1">
        <f t="shared" si="671"/>
        <v>0</v>
      </c>
      <c r="V2179" s="1">
        <f t="shared" si="672"/>
        <v>0</v>
      </c>
    </row>
    <row r="2180" spans="5:22" x14ac:dyDescent="0.25">
      <c r="E2180" s="4"/>
      <c r="M2180" s="4">
        <f t="shared" si="665"/>
        <v>173.1</v>
      </c>
      <c r="N2180" s="4"/>
      <c r="O2180" s="1">
        <f t="shared" si="666"/>
        <v>173.1</v>
      </c>
      <c r="P2180" s="1">
        <f t="shared" si="667"/>
        <v>0</v>
      </c>
      <c r="Q2180" s="1" t="str">
        <f t="shared" si="673"/>
        <v/>
      </c>
      <c r="R2180" s="1" t="str">
        <f t="shared" si="668"/>
        <v/>
      </c>
      <c r="S2180" s="1">
        <f t="shared" si="669"/>
        <v>630.90240000000244</v>
      </c>
      <c r="T2180" s="1">
        <f t="shared" si="670"/>
        <v>0</v>
      </c>
      <c r="U2180" s="1">
        <f t="shared" si="671"/>
        <v>0</v>
      </c>
      <c r="V2180" s="1">
        <f t="shared" si="672"/>
        <v>0</v>
      </c>
    </row>
    <row r="2181" spans="5:22" x14ac:dyDescent="0.25">
      <c r="E2181" s="4"/>
      <c r="M2181" s="4">
        <f t="shared" si="665"/>
        <v>173.1</v>
      </c>
      <c r="N2181" s="4"/>
      <c r="O2181" s="1">
        <f t="shared" si="666"/>
        <v>173.1</v>
      </c>
      <c r="P2181" s="1">
        <f t="shared" si="667"/>
        <v>0</v>
      </c>
      <c r="Q2181" s="1" t="str">
        <f t="shared" si="673"/>
        <v/>
      </c>
      <c r="R2181" s="1" t="str">
        <f t="shared" si="668"/>
        <v/>
      </c>
      <c r="S2181" s="1">
        <f t="shared" si="669"/>
        <v>630.90240000000244</v>
      </c>
      <c r="T2181" s="1">
        <f t="shared" si="670"/>
        <v>0</v>
      </c>
      <c r="U2181" s="1">
        <f t="shared" si="671"/>
        <v>0</v>
      </c>
      <c r="V2181" s="1">
        <f t="shared" si="672"/>
        <v>0</v>
      </c>
    </row>
    <row r="2182" spans="5:22" x14ac:dyDescent="0.25">
      <c r="E2182" s="4"/>
      <c r="M2182" s="4">
        <f t="shared" si="665"/>
        <v>173.1</v>
      </c>
      <c r="N2182" s="4"/>
      <c r="O2182" s="1">
        <f t="shared" si="666"/>
        <v>173.1</v>
      </c>
      <c r="P2182" s="1">
        <f t="shared" si="667"/>
        <v>0</v>
      </c>
      <c r="Q2182" s="1" t="str">
        <f t="shared" si="673"/>
        <v/>
      </c>
      <c r="R2182" s="1" t="str">
        <f t="shared" si="668"/>
        <v/>
      </c>
      <c r="S2182" s="1">
        <f t="shared" si="669"/>
        <v>630.90240000000244</v>
      </c>
      <c r="T2182" s="1">
        <f t="shared" si="670"/>
        <v>0</v>
      </c>
      <c r="U2182" s="1">
        <f t="shared" si="671"/>
        <v>0</v>
      </c>
      <c r="V2182" s="1">
        <f t="shared" si="672"/>
        <v>0</v>
      </c>
    </row>
    <row r="2183" spans="5:22" x14ac:dyDescent="0.25">
      <c r="E2183" s="4"/>
      <c r="M2183" s="4">
        <f t="shared" si="665"/>
        <v>173.1</v>
      </c>
      <c r="N2183" s="4"/>
      <c r="O2183" s="1">
        <f t="shared" si="666"/>
        <v>173.1</v>
      </c>
      <c r="P2183" s="1">
        <f t="shared" si="667"/>
        <v>0</v>
      </c>
      <c r="Q2183" s="1" t="str">
        <f t="shared" si="673"/>
        <v/>
      </c>
      <c r="R2183" s="1" t="str">
        <f t="shared" si="668"/>
        <v/>
      </c>
      <c r="S2183" s="1">
        <f t="shared" si="669"/>
        <v>630.90240000000244</v>
      </c>
      <c r="T2183" s="1">
        <f t="shared" si="670"/>
        <v>0</v>
      </c>
      <c r="U2183" s="1">
        <f t="shared" si="671"/>
        <v>0</v>
      </c>
      <c r="V2183" s="1">
        <f t="shared" si="672"/>
        <v>0</v>
      </c>
    </row>
    <row r="2184" spans="5:22" x14ac:dyDescent="0.25">
      <c r="E2184" s="4"/>
      <c r="M2184" s="4">
        <f t="shared" ref="M2184:M2247" si="674">E2184+M2183</f>
        <v>173.1</v>
      </c>
      <c r="N2184" s="4"/>
      <c r="O2184" s="1">
        <f t="shared" ref="O2184:O2247" si="675">E2183+O2183</f>
        <v>173.1</v>
      </c>
      <c r="P2184" s="1">
        <f t="shared" ref="P2184:P2247" si="676">F2184*52.8*E2184</f>
        <v>0</v>
      </c>
      <c r="Q2184" s="1" t="str">
        <f t="shared" si="673"/>
        <v/>
      </c>
      <c r="R2184" s="1" t="str">
        <f t="shared" ref="R2184:R2247" si="677">IF(I2184="",Q2184,IF(AND(H2184=H2183,I2184=I2183),"",I2184))</f>
        <v/>
      </c>
      <c r="S2184" s="1">
        <f t="shared" ref="S2184:S2247" si="678">S2183+U2183*T2183/100</f>
        <v>630.90240000000244</v>
      </c>
      <c r="T2184" s="1">
        <f t="shared" ref="T2184:T2247" si="679">IF(G2184="UNK",0,G2184)</f>
        <v>0</v>
      </c>
      <c r="U2184" s="1">
        <f t="shared" ref="U2184:U2247" si="680">E2184*5280</f>
        <v>0</v>
      </c>
      <c r="V2184" s="1">
        <f t="shared" ref="V2184:V2247" si="681">ABS(T2184*U2184)</f>
        <v>0</v>
      </c>
    </row>
    <row r="2185" spans="5:22" x14ac:dyDescent="0.25">
      <c r="E2185" s="4"/>
      <c r="M2185" s="4">
        <f t="shared" si="674"/>
        <v>173.1</v>
      </c>
      <c r="N2185" s="4"/>
      <c r="O2185" s="1">
        <f t="shared" si="675"/>
        <v>173.1</v>
      </c>
      <c r="P2185" s="1">
        <f t="shared" si="676"/>
        <v>0</v>
      </c>
      <c r="Q2185" s="1" t="str">
        <f t="shared" si="673"/>
        <v/>
      </c>
      <c r="R2185" s="1" t="str">
        <f t="shared" si="677"/>
        <v/>
      </c>
      <c r="S2185" s="1">
        <f t="shared" si="678"/>
        <v>630.90240000000244</v>
      </c>
      <c r="T2185" s="1">
        <f t="shared" si="679"/>
        <v>0</v>
      </c>
      <c r="U2185" s="1">
        <f t="shared" si="680"/>
        <v>0</v>
      </c>
      <c r="V2185" s="1">
        <f t="shared" si="681"/>
        <v>0</v>
      </c>
    </row>
    <row r="2186" spans="5:22" x14ac:dyDescent="0.25">
      <c r="E2186" s="4"/>
      <c r="M2186" s="4">
        <f t="shared" si="674"/>
        <v>173.1</v>
      </c>
      <c r="N2186" s="4"/>
      <c r="O2186" s="1">
        <f t="shared" si="675"/>
        <v>173.1</v>
      </c>
      <c r="P2186" s="1">
        <f t="shared" si="676"/>
        <v>0</v>
      </c>
      <c r="Q2186" s="1" t="str">
        <f t="shared" si="673"/>
        <v/>
      </c>
      <c r="R2186" s="1" t="str">
        <f t="shared" si="677"/>
        <v/>
      </c>
      <c r="S2186" s="1">
        <f t="shared" si="678"/>
        <v>630.90240000000244</v>
      </c>
      <c r="T2186" s="1">
        <f t="shared" si="679"/>
        <v>0</v>
      </c>
      <c r="U2186" s="1">
        <f t="shared" si="680"/>
        <v>0</v>
      </c>
      <c r="V2186" s="1">
        <f t="shared" si="681"/>
        <v>0</v>
      </c>
    </row>
    <row r="2187" spans="5:22" x14ac:dyDescent="0.25">
      <c r="E2187" s="4"/>
      <c r="M2187" s="4">
        <f t="shared" si="674"/>
        <v>173.1</v>
      </c>
      <c r="N2187" s="4"/>
      <c r="O2187" s="1">
        <f t="shared" si="675"/>
        <v>173.1</v>
      </c>
      <c r="P2187" s="1">
        <f t="shared" si="676"/>
        <v>0</v>
      </c>
      <c r="Q2187" s="1" t="str">
        <f t="shared" si="673"/>
        <v/>
      </c>
      <c r="R2187" s="1" t="str">
        <f t="shared" si="677"/>
        <v/>
      </c>
      <c r="S2187" s="1">
        <f t="shared" si="678"/>
        <v>630.90240000000244</v>
      </c>
      <c r="T2187" s="1">
        <f t="shared" si="679"/>
        <v>0</v>
      </c>
      <c r="U2187" s="1">
        <f t="shared" si="680"/>
        <v>0</v>
      </c>
      <c r="V2187" s="1">
        <f t="shared" si="681"/>
        <v>0</v>
      </c>
    </row>
    <row r="2188" spans="5:22" x14ac:dyDescent="0.25">
      <c r="E2188" s="4"/>
      <c r="M2188" s="4">
        <f t="shared" si="674"/>
        <v>173.1</v>
      </c>
      <c r="N2188" s="4"/>
      <c r="O2188" s="1">
        <f t="shared" si="675"/>
        <v>173.1</v>
      </c>
      <c r="P2188" s="1">
        <f t="shared" si="676"/>
        <v>0</v>
      </c>
      <c r="Q2188" s="1" t="str">
        <f t="shared" si="673"/>
        <v/>
      </c>
      <c r="R2188" s="1" t="str">
        <f t="shared" si="677"/>
        <v/>
      </c>
      <c r="S2188" s="1">
        <f t="shared" si="678"/>
        <v>630.90240000000244</v>
      </c>
      <c r="T2188" s="1">
        <f t="shared" si="679"/>
        <v>0</v>
      </c>
      <c r="U2188" s="1">
        <f t="shared" si="680"/>
        <v>0</v>
      </c>
      <c r="V2188" s="1">
        <f t="shared" si="681"/>
        <v>0</v>
      </c>
    </row>
    <row r="2189" spans="5:22" x14ac:dyDescent="0.25">
      <c r="E2189" s="4"/>
      <c r="M2189" s="4">
        <f t="shared" si="674"/>
        <v>173.1</v>
      </c>
      <c r="N2189" s="4"/>
      <c r="O2189" s="1">
        <f t="shared" si="675"/>
        <v>173.1</v>
      </c>
      <c r="P2189" s="1">
        <f t="shared" si="676"/>
        <v>0</v>
      </c>
      <c r="Q2189" s="1" t="str">
        <f t="shared" si="673"/>
        <v/>
      </c>
      <c r="R2189" s="1" t="str">
        <f t="shared" si="677"/>
        <v/>
      </c>
      <c r="S2189" s="1">
        <f t="shared" si="678"/>
        <v>630.90240000000244</v>
      </c>
      <c r="T2189" s="1">
        <f t="shared" si="679"/>
        <v>0</v>
      </c>
      <c r="U2189" s="1">
        <f t="shared" si="680"/>
        <v>0</v>
      </c>
      <c r="V2189" s="1">
        <f t="shared" si="681"/>
        <v>0</v>
      </c>
    </row>
    <row r="2190" spans="5:22" x14ac:dyDescent="0.25">
      <c r="E2190" s="4"/>
      <c r="M2190" s="4">
        <f t="shared" si="674"/>
        <v>173.1</v>
      </c>
      <c r="N2190" s="4"/>
      <c r="O2190" s="1">
        <f t="shared" si="675"/>
        <v>173.1</v>
      </c>
      <c r="P2190" s="1">
        <f t="shared" si="676"/>
        <v>0</v>
      </c>
      <c r="Q2190" s="1" t="str">
        <f t="shared" si="673"/>
        <v/>
      </c>
      <c r="R2190" s="1" t="str">
        <f t="shared" si="677"/>
        <v/>
      </c>
      <c r="S2190" s="1">
        <f t="shared" si="678"/>
        <v>630.90240000000244</v>
      </c>
      <c r="T2190" s="1">
        <f t="shared" si="679"/>
        <v>0</v>
      </c>
      <c r="U2190" s="1">
        <f t="shared" si="680"/>
        <v>0</v>
      </c>
      <c r="V2190" s="1">
        <f t="shared" si="681"/>
        <v>0</v>
      </c>
    </row>
    <row r="2191" spans="5:22" x14ac:dyDescent="0.25">
      <c r="E2191" s="4"/>
      <c r="M2191" s="4">
        <f t="shared" si="674"/>
        <v>173.1</v>
      </c>
      <c r="N2191" s="4"/>
      <c r="O2191" s="1">
        <f t="shared" si="675"/>
        <v>173.1</v>
      </c>
      <c r="P2191" s="1">
        <f t="shared" si="676"/>
        <v>0</v>
      </c>
      <c r="Q2191" s="1" t="str">
        <f t="shared" si="673"/>
        <v/>
      </c>
      <c r="R2191" s="1" t="str">
        <f t="shared" si="677"/>
        <v/>
      </c>
      <c r="S2191" s="1">
        <f t="shared" si="678"/>
        <v>630.90240000000244</v>
      </c>
      <c r="T2191" s="1">
        <f t="shared" si="679"/>
        <v>0</v>
      </c>
      <c r="U2191" s="1">
        <f t="shared" si="680"/>
        <v>0</v>
      </c>
      <c r="V2191" s="1">
        <f t="shared" si="681"/>
        <v>0</v>
      </c>
    </row>
    <row r="2192" spans="5:22" x14ac:dyDescent="0.25">
      <c r="E2192" s="4"/>
      <c r="M2192" s="4">
        <f t="shared" si="674"/>
        <v>173.1</v>
      </c>
      <c r="N2192" s="4"/>
      <c r="O2192" s="1">
        <f t="shared" si="675"/>
        <v>173.1</v>
      </c>
      <c r="P2192" s="1">
        <f t="shared" si="676"/>
        <v>0</v>
      </c>
      <c r="Q2192" s="1" t="str">
        <f t="shared" si="673"/>
        <v/>
      </c>
      <c r="R2192" s="1" t="str">
        <f t="shared" si="677"/>
        <v/>
      </c>
      <c r="S2192" s="1">
        <f t="shared" si="678"/>
        <v>630.90240000000244</v>
      </c>
      <c r="T2192" s="1">
        <f t="shared" si="679"/>
        <v>0</v>
      </c>
      <c r="U2192" s="1">
        <f t="shared" si="680"/>
        <v>0</v>
      </c>
      <c r="V2192" s="1">
        <f t="shared" si="681"/>
        <v>0</v>
      </c>
    </row>
    <row r="2193" spans="5:22" x14ac:dyDescent="0.25">
      <c r="E2193" s="4"/>
      <c r="M2193" s="4">
        <f t="shared" si="674"/>
        <v>173.1</v>
      </c>
      <c r="N2193" s="4"/>
      <c r="O2193" s="1">
        <f t="shared" si="675"/>
        <v>173.1</v>
      </c>
      <c r="P2193" s="1">
        <f t="shared" si="676"/>
        <v>0</v>
      </c>
      <c r="Q2193" s="1" t="str">
        <f t="shared" si="673"/>
        <v/>
      </c>
      <c r="R2193" s="1" t="str">
        <f t="shared" si="677"/>
        <v/>
      </c>
      <c r="S2193" s="1">
        <f t="shared" si="678"/>
        <v>630.90240000000244</v>
      </c>
      <c r="T2193" s="1">
        <f t="shared" si="679"/>
        <v>0</v>
      </c>
      <c r="U2193" s="1">
        <f t="shared" si="680"/>
        <v>0</v>
      </c>
      <c r="V2193" s="1">
        <f t="shared" si="681"/>
        <v>0</v>
      </c>
    </row>
    <row r="2194" spans="5:22" x14ac:dyDescent="0.25">
      <c r="E2194" s="4"/>
      <c r="M2194" s="4">
        <f t="shared" si="674"/>
        <v>173.1</v>
      </c>
      <c r="N2194" s="4"/>
      <c r="O2194" s="1">
        <f t="shared" si="675"/>
        <v>173.1</v>
      </c>
      <c r="P2194" s="1">
        <f t="shared" si="676"/>
        <v>0</v>
      </c>
      <c r="Q2194" s="1" t="str">
        <f t="shared" si="673"/>
        <v/>
      </c>
      <c r="R2194" s="1" t="str">
        <f t="shared" si="677"/>
        <v/>
      </c>
      <c r="S2194" s="1">
        <f t="shared" si="678"/>
        <v>630.90240000000244</v>
      </c>
      <c r="T2194" s="1">
        <f t="shared" si="679"/>
        <v>0</v>
      </c>
      <c r="U2194" s="1">
        <f t="shared" si="680"/>
        <v>0</v>
      </c>
      <c r="V2194" s="1">
        <f t="shared" si="681"/>
        <v>0</v>
      </c>
    </row>
    <row r="2195" spans="5:22" x14ac:dyDescent="0.25">
      <c r="E2195" s="4"/>
      <c r="M2195" s="4">
        <f t="shared" si="674"/>
        <v>173.1</v>
      </c>
      <c r="N2195" s="4"/>
      <c r="O2195" s="1">
        <f t="shared" si="675"/>
        <v>173.1</v>
      </c>
      <c r="P2195" s="1">
        <f t="shared" si="676"/>
        <v>0</v>
      </c>
      <c r="Q2195" s="1" t="str">
        <f t="shared" si="673"/>
        <v/>
      </c>
      <c r="R2195" s="1" t="str">
        <f t="shared" si="677"/>
        <v/>
      </c>
      <c r="S2195" s="1">
        <f t="shared" si="678"/>
        <v>630.90240000000244</v>
      </c>
      <c r="T2195" s="1">
        <f t="shared" si="679"/>
        <v>0</v>
      </c>
      <c r="U2195" s="1">
        <f t="shared" si="680"/>
        <v>0</v>
      </c>
      <c r="V2195" s="1">
        <f t="shared" si="681"/>
        <v>0</v>
      </c>
    </row>
    <row r="2196" spans="5:22" x14ac:dyDescent="0.25">
      <c r="E2196" s="4"/>
      <c r="M2196" s="4">
        <f t="shared" si="674"/>
        <v>173.1</v>
      </c>
      <c r="N2196" s="4"/>
      <c r="O2196" s="1">
        <f t="shared" si="675"/>
        <v>173.1</v>
      </c>
      <c r="P2196" s="1">
        <f t="shared" si="676"/>
        <v>0</v>
      </c>
      <c r="Q2196" s="1" t="str">
        <f t="shared" si="673"/>
        <v/>
      </c>
      <c r="R2196" s="1" t="str">
        <f t="shared" si="677"/>
        <v/>
      </c>
      <c r="S2196" s="1">
        <f t="shared" si="678"/>
        <v>630.90240000000244</v>
      </c>
      <c r="T2196" s="1">
        <f t="shared" si="679"/>
        <v>0</v>
      </c>
      <c r="U2196" s="1">
        <f t="shared" si="680"/>
        <v>0</v>
      </c>
      <c r="V2196" s="1">
        <f t="shared" si="681"/>
        <v>0</v>
      </c>
    </row>
    <row r="2197" spans="5:22" x14ac:dyDescent="0.25">
      <c r="E2197" s="4"/>
      <c r="M2197" s="4">
        <f t="shared" si="674"/>
        <v>173.1</v>
      </c>
      <c r="N2197" s="4"/>
      <c r="O2197" s="1">
        <f t="shared" si="675"/>
        <v>173.1</v>
      </c>
      <c r="P2197" s="1">
        <f t="shared" si="676"/>
        <v>0</v>
      </c>
      <c r="Q2197" s="1" t="str">
        <f t="shared" si="673"/>
        <v/>
      </c>
      <c r="R2197" s="1" t="str">
        <f t="shared" si="677"/>
        <v/>
      </c>
      <c r="S2197" s="1">
        <f t="shared" si="678"/>
        <v>630.90240000000244</v>
      </c>
      <c r="T2197" s="1">
        <f t="shared" si="679"/>
        <v>0</v>
      </c>
      <c r="U2197" s="1">
        <f t="shared" si="680"/>
        <v>0</v>
      </c>
      <c r="V2197" s="1">
        <f t="shared" si="681"/>
        <v>0</v>
      </c>
    </row>
    <row r="2198" spans="5:22" x14ac:dyDescent="0.25">
      <c r="E2198" s="4"/>
      <c r="M2198" s="4">
        <f t="shared" si="674"/>
        <v>173.1</v>
      </c>
      <c r="N2198" s="4"/>
      <c r="O2198" s="1">
        <f t="shared" si="675"/>
        <v>173.1</v>
      </c>
      <c r="P2198" s="1">
        <f t="shared" si="676"/>
        <v>0</v>
      </c>
      <c r="Q2198" s="1" t="str">
        <f t="shared" si="673"/>
        <v/>
      </c>
      <c r="R2198" s="1" t="str">
        <f t="shared" si="677"/>
        <v/>
      </c>
      <c r="S2198" s="1">
        <f t="shared" si="678"/>
        <v>630.90240000000244</v>
      </c>
      <c r="T2198" s="1">
        <f t="shared" si="679"/>
        <v>0</v>
      </c>
      <c r="U2198" s="1">
        <f t="shared" si="680"/>
        <v>0</v>
      </c>
      <c r="V2198" s="1">
        <f t="shared" si="681"/>
        <v>0</v>
      </c>
    </row>
    <row r="2199" spans="5:22" x14ac:dyDescent="0.25">
      <c r="E2199" s="4"/>
      <c r="M2199" s="4">
        <f t="shared" si="674"/>
        <v>173.1</v>
      </c>
      <c r="N2199" s="4"/>
      <c r="O2199" s="1">
        <f t="shared" si="675"/>
        <v>173.1</v>
      </c>
      <c r="P2199" s="1">
        <f t="shared" si="676"/>
        <v>0</v>
      </c>
      <c r="Q2199" s="1" t="str">
        <f t="shared" si="673"/>
        <v/>
      </c>
      <c r="R2199" s="1" t="str">
        <f t="shared" si="677"/>
        <v/>
      </c>
      <c r="S2199" s="1">
        <f t="shared" si="678"/>
        <v>630.90240000000244</v>
      </c>
      <c r="T2199" s="1">
        <f t="shared" si="679"/>
        <v>0</v>
      </c>
      <c r="U2199" s="1">
        <f t="shared" si="680"/>
        <v>0</v>
      </c>
      <c r="V2199" s="1">
        <f t="shared" si="681"/>
        <v>0</v>
      </c>
    </row>
    <row r="2200" spans="5:22" x14ac:dyDescent="0.25">
      <c r="E2200" s="4"/>
      <c r="M2200" s="4">
        <f t="shared" si="674"/>
        <v>173.1</v>
      </c>
      <c r="N2200" s="4"/>
      <c r="O2200" s="1">
        <f t="shared" si="675"/>
        <v>173.1</v>
      </c>
      <c r="P2200" s="1">
        <f t="shared" si="676"/>
        <v>0</v>
      </c>
      <c r="Q2200" s="1" t="str">
        <f t="shared" si="673"/>
        <v/>
      </c>
      <c r="R2200" s="1" t="str">
        <f t="shared" si="677"/>
        <v/>
      </c>
      <c r="S2200" s="1">
        <f t="shared" si="678"/>
        <v>630.90240000000244</v>
      </c>
      <c r="T2200" s="1">
        <f t="shared" si="679"/>
        <v>0</v>
      </c>
      <c r="U2200" s="1">
        <f t="shared" si="680"/>
        <v>0</v>
      </c>
      <c r="V2200" s="1">
        <f t="shared" si="681"/>
        <v>0</v>
      </c>
    </row>
    <row r="2201" spans="5:22" x14ac:dyDescent="0.25">
      <c r="E2201" s="4"/>
      <c r="M2201" s="4">
        <f t="shared" si="674"/>
        <v>173.1</v>
      </c>
      <c r="N2201" s="4"/>
      <c r="O2201" s="1">
        <f t="shared" si="675"/>
        <v>173.1</v>
      </c>
      <c r="P2201" s="1">
        <f t="shared" si="676"/>
        <v>0</v>
      </c>
      <c r="Q2201" s="1" t="str">
        <f t="shared" si="673"/>
        <v/>
      </c>
      <c r="R2201" s="1" t="str">
        <f t="shared" si="677"/>
        <v/>
      </c>
      <c r="S2201" s="1">
        <f t="shared" si="678"/>
        <v>630.90240000000244</v>
      </c>
      <c r="T2201" s="1">
        <f t="shared" si="679"/>
        <v>0</v>
      </c>
      <c r="U2201" s="1">
        <f t="shared" si="680"/>
        <v>0</v>
      </c>
      <c r="V2201" s="1">
        <f t="shared" si="681"/>
        <v>0</v>
      </c>
    </row>
    <row r="2202" spans="5:22" x14ac:dyDescent="0.25">
      <c r="E2202" s="4"/>
      <c r="M2202" s="4">
        <f t="shared" si="674"/>
        <v>173.1</v>
      </c>
      <c r="N2202" s="4"/>
      <c r="O2202" s="1">
        <f t="shared" si="675"/>
        <v>173.1</v>
      </c>
      <c r="P2202" s="1">
        <f t="shared" si="676"/>
        <v>0</v>
      </c>
      <c r="Q2202" s="1" t="str">
        <f t="shared" si="673"/>
        <v/>
      </c>
      <c r="R2202" s="1" t="str">
        <f t="shared" si="677"/>
        <v/>
      </c>
      <c r="S2202" s="1">
        <f t="shared" si="678"/>
        <v>630.90240000000244</v>
      </c>
      <c r="T2202" s="1">
        <f t="shared" si="679"/>
        <v>0</v>
      </c>
      <c r="U2202" s="1">
        <f t="shared" si="680"/>
        <v>0</v>
      </c>
      <c r="V2202" s="1">
        <f t="shared" si="681"/>
        <v>0</v>
      </c>
    </row>
    <row r="2203" spans="5:22" x14ac:dyDescent="0.25">
      <c r="E2203" s="4"/>
      <c r="M2203" s="4">
        <f t="shared" si="674"/>
        <v>173.1</v>
      </c>
      <c r="N2203" s="4"/>
      <c r="O2203" s="1">
        <f t="shared" si="675"/>
        <v>173.1</v>
      </c>
      <c r="P2203" s="1">
        <f t="shared" si="676"/>
        <v>0</v>
      </c>
      <c r="Q2203" s="1" t="str">
        <f t="shared" si="673"/>
        <v/>
      </c>
      <c r="R2203" s="1" t="str">
        <f t="shared" si="677"/>
        <v/>
      </c>
      <c r="S2203" s="1">
        <f t="shared" si="678"/>
        <v>630.90240000000244</v>
      </c>
      <c r="T2203" s="1">
        <f t="shared" si="679"/>
        <v>0</v>
      </c>
      <c r="U2203" s="1">
        <f t="shared" si="680"/>
        <v>0</v>
      </c>
      <c r="V2203" s="1">
        <f t="shared" si="681"/>
        <v>0</v>
      </c>
    </row>
    <row r="2204" spans="5:22" x14ac:dyDescent="0.25">
      <c r="E2204" s="4"/>
      <c r="M2204" s="4">
        <f t="shared" si="674"/>
        <v>173.1</v>
      </c>
      <c r="N2204" s="4"/>
      <c r="O2204" s="1">
        <f t="shared" si="675"/>
        <v>173.1</v>
      </c>
      <c r="P2204" s="1">
        <f t="shared" si="676"/>
        <v>0</v>
      </c>
      <c r="Q2204" s="1" t="str">
        <f t="shared" si="673"/>
        <v/>
      </c>
      <c r="R2204" s="1" t="str">
        <f t="shared" si="677"/>
        <v/>
      </c>
      <c r="S2204" s="1">
        <f t="shared" si="678"/>
        <v>630.90240000000244</v>
      </c>
      <c r="T2204" s="1">
        <f t="shared" si="679"/>
        <v>0</v>
      </c>
      <c r="U2204" s="1">
        <f t="shared" si="680"/>
        <v>0</v>
      </c>
      <c r="V2204" s="1">
        <f t="shared" si="681"/>
        <v>0</v>
      </c>
    </row>
    <row r="2205" spans="5:22" x14ac:dyDescent="0.25">
      <c r="E2205" s="4"/>
      <c r="M2205" s="4">
        <f t="shared" si="674"/>
        <v>173.1</v>
      </c>
      <c r="N2205" s="4"/>
      <c r="O2205" s="1">
        <f t="shared" si="675"/>
        <v>173.1</v>
      </c>
      <c r="P2205" s="1">
        <f t="shared" si="676"/>
        <v>0</v>
      </c>
      <c r="Q2205" s="1" t="str">
        <f t="shared" si="673"/>
        <v/>
      </c>
      <c r="R2205" s="1" t="str">
        <f t="shared" si="677"/>
        <v/>
      </c>
      <c r="S2205" s="1">
        <f t="shared" si="678"/>
        <v>630.90240000000244</v>
      </c>
      <c r="T2205" s="1">
        <f t="shared" si="679"/>
        <v>0</v>
      </c>
      <c r="U2205" s="1">
        <f t="shared" si="680"/>
        <v>0</v>
      </c>
      <c r="V2205" s="1">
        <f t="shared" si="681"/>
        <v>0</v>
      </c>
    </row>
    <row r="2206" spans="5:22" x14ac:dyDescent="0.25">
      <c r="E2206" s="4"/>
      <c r="M2206" s="4">
        <f t="shared" si="674"/>
        <v>173.1</v>
      </c>
      <c r="N2206" s="4"/>
      <c r="O2206" s="1">
        <f t="shared" si="675"/>
        <v>173.1</v>
      </c>
      <c r="P2206" s="1">
        <f t="shared" si="676"/>
        <v>0</v>
      </c>
      <c r="Q2206" s="1" t="str">
        <f t="shared" si="673"/>
        <v/>
      </c>
      <c r="R2206" s="1" t="str">
        <f t="shared" si="677"/>
        <v/>
      </c>
      <c r="S2206" s="1">
        <f t="shared" si="678"/>
        <v>630.90240000000244</v>
      </c>
      <c r="T2206" s="1">
        <f t="shared" si="679"/>
        <v>0</v>
      </c>
      <c r="U2206" s="1">
        <f t="shared" si="680"/>
        <v>0</v>
      </c>
      <c r="V2206" s="1">
        <f t="shared" si="681"/>
        <v>0</v>
      </c>
    </row>
    <row r="2207" spans="5:22" x14ac:dyDescent="0.25">
      <c r="E2207" s="4"/>
      <c r="M2207" s="4">
        <f t="shared" si="674"/>
        <v>173.1</v>
      </c>
      <c r="N2207" s="4"/>
      <c r="O2207" s="1">
        <f t="shared" si="675"/>
        <v>173.1</v>
      </c>
      <c r="P2207" s="1">
        <f t="shared" si="676"/>
        <v>0</v>
      </c>
      <c r="Q2207" s="1" t="str">
        <f t="shared" si="673"/>
        <v/>
      </c>
      <c r="R2207" s="1" t="str">
        <f t="shared" si="677"/>
        <v/>
      </c>
      <c r="S2207" s="1">
        <f t="shared" si="678"/>
        <v>630.90240000000244</v>
      </c>
      <c r="T2207" s="1">
        <f t="shared" si="679"/>
        <v>0</v>
      </c>
      <c r="U2207" s="1">
        <f t="shared" si="680"/>
        <v>0</v>
      </c>
      <c r="V2207" s="1">
        <f t="shared" si="681"/>
        <v>0</v>
      </c>
    </row>
    <row r="2208" spans="5:22" x14ac:dyDescent="0.25">
      <c r="E2208" s="4"/>
      <c r="M2208" s="4">
        <f t="shared" si="674"/>
        <v>173.1</v>
      </c>
      <c r="N2208" s="4"/>
      <c r="O2208" s="1">
        <f t="shared" si="675"/>
        <v>173.1</v>
      </c>
      <c r="P2208" s="1">
        <f t="shared" si="676"/>
        <v>0</v>
      </c>
      <c r="Q2208" s="1" t="str">
        <f t="shared" si="673"/>
        <v/>
      </c>
      <c r="R2208" s="1" t="str">
        <f t="shared" si="677"/>
        <v/>
      </c>
      <c r="S2208" s="1">
        <f t="shared" si="678"/>
        <v>630.90240000000244</v>
      </c>
      <c r="T2208" s="1">
        <f t="shared" si="679"/>
        <v>0</v>
      </c>
      <c r="U2208" s="1">
        <f t="shared" si="680"/>
        <v>0</v>
      </c>
      <c r="V2208" s="1">
        <f t="shared" si="681"/>
        <v>0</v>
      </c>
    </row>
    <row r="2209" spans="5:22" x14ac:dyDescent="0.25">
      <c r="E2209" s="4"/>
      <c r="M2209" s="4">
        <f t="shared" si="674"/>
        <v>173.1</v>
      </c>
      <c r="N2209" s="4"/>
      <c r="O2209" s="1">
        <f t="shared" si="675"/>
        <v>173.1</v>
      </c>
      <c r="P2209" s="1">
        <f t="shared" si="676"/>
        <v>0</v>
      </c>
      <c r="Q2209" s="1" t="str">
        <f t="shared" si="673"/>
        <v/>
      </c>
      <c r="R2209" s="1" t="str">
        <f t="shared" si="677"/>
        <v/>
      </c>
      <c r="S2209" s="1">
        <f t="shared" si="678"/>
        <v>630.90240000000244</v>
      </c>
      <c r="T2209" s="1">
        <f t="shared" si="679"/>
        <v>0</v>
      </c>
      <c r="U2209" s="1">
        <f t="shared" si="680"/>
        <v>0</v>
      </c>
      <c r="V2209" s="1">
        <f t="shared" si="681"/>
        <v>0</v>
      </c>
    </row>
    <row r="2210" spans="5:22" x14ac:dyDescent="0.25">
      <c r="E2210" s="4"/>
      <c r="M2210" s="4">
        <f t="shared" si="674"/>
        <v>173.1</v>
      </c>
      <c r="N2210" s="4"/>
      <c r="O2210" s="1">
        <f t="shared" si="675"/>
        <v>173.1</v>
      </c>
      <c r="P2210" s="1">
        <f t="shared" si="676"/>
        <v>0</v>
      </c>
      <c r="Q2210" s="1" t="str">
        <f t="shared" si="673"/>
        <v/>
      </c>
      <c r="R2210" s="1" t="str">
        <f t="shared" si="677"/>
        <v/>
      </c>
      <c r="S2210" s="1">
        <f t="shared" si="678"/>
        <v>630.90240000000244</v>
      </c>
      <c r="T2210" s="1">
        <f t="shared" si="679"/>
        <v>0</v>
      </c>
      <c r="U2210" s="1">
        <f t="shared" si="680"/>
        <v>0</v>
      </c>
      <c r="V2210" s="1">
        <f t="shared" si="681"/>
        <v>0</v>
      </c>
    </row>
    <row r="2211" spans="5:22" x14ac:dyDescent="0.25">
      <c r="E2211" s="4"/>
      <c r="M2211" s="4">
        <f t="shared" si="674"/>
        <v>173.1</v>
      </c>
      <c r="N2211" s="4"/>
      <c r="O2211" s="1">
        <f t="shared" si="675"/>
        <v>173.1</v>
      </c>
      <c r="P2211" s="1">
        <f t="shared" si="676"/>
        <v>0</v>
      </c>
      <c r="Q2211" s="1" t="str">
        <f t="shared" si="673"/>
        <v/>
      </c>
      <c r="R2211" s="1" t="str">
        <f t="shared" si="677"/>
        <v/>
      </c>
      <c r="S2211" s="1">
        <f t="shared" si="678"/>
        <v>630.90240000000244</v>
      </c>
      <c r="T2211" s="1">
        <f t="shared" si="679"/>
        <v>0</v>
      </c>
      <c r="U2211" s="1">
        <f t="shared" si="680"/>
        <v>0</v>
      </c>
      <c r="V2211" s="1">
        <f t="shared" si="681"/>
        <v>0</v>
      </c>
    </row>
    <row r="2212" spans="5:22" x14ac:dyDescent="0.25">
      <c r="E2212" s="4"/>
      <c r="M2212" s="4">
        <f t="shared" si="674"/>
        <v>173.1</v>
      </c>
      <c r="N2212" s="4"/>
      <c r="O2212" s="1">
        <f t="shared" si="675"/>
        <v>173.1</v>
      </c>
      <c r="P2212" s="1">
        <f t="shared" si="676"/>
        <v>0</v>
      </c>
      <c r="Q2212" s="1" t="str">
        <f t="shared" si="673"/>
        <v/>
      </c>
      <c r="R2212" s="1" t="str">
        <f t="shared" si="677"/>
        <v/>
      </c>
      <c r="S2212" s="1">
        <f t="shared" si="678"/>
        <v>630.90240000000244</v>
      </c>
      <c r="T2212" s="1">
        <f t="shared" si="679"/>
        <v>0</v>
      </c>
      <c r="U2212" s="1">
        <f t="shared" si="680"/>
        <v>0</v>
      </c>
      <c r="V2212" s="1">
        <f t="shared" si="681"/>
        <v>0</v>
      </c>
    </row>
    <row r="2213" spans="5:22" x14ac:dyDescent="0.25">
      <c r="E2213" s="4"/>
      <c r="M2213" s="4">
        <f t="shared" si="674"/>
        <v>173.1</v>
      </c>
      <c r="N2213" s="4"/>
      <c r="O2213" s="1">
        <f t="shared" si="675"/>
        <v>173.1</v>
      </c>
      <c r="P2213" s="1">
        <f t="shared" si="676"/>
        <v>0</v>
      </c>
      <c r="Q2213" s="1" t="str">
        <f t="shared" si="673"/>
        <v/>
      </c>
      <c r="R2213" s="1" t="str">
        <f t="shared" si="677"/>
        <v/>
      </c>
      <c r="S2213" s="1">
        <f t="shared" si="678"/>
        <v>630.90240000000244</v>
      </c>
      <c r="T2213" s="1">
        <f t="shared" si="679"/>
        <v>0</v>
      </c>
      <c r="U2213" s="1">
        <f t="shared" si="680"/>
        <v>0</v>
      </c>
      <c r="V2213" s="1">
        <f t="shared" si="681"/>
        <v>0</v>
      </c>
    </row>
    <row r="2214" spans="5:22" x14ac:dyDescent="0.25">
      <c r="E2214" s="4"/>
      <c r="M2214" s="4">
        <f t="shared" si="674"/>
        <v>173.1</v>
      </c>
      <c r="N2214" s="4"/>
      <c r="O2214" s="1">
        <f t="shared" si="675"/>
        <v>173.1</v>
      </c>
      <c r="P2214" s="1">
        <f t="shared" si="676"/>
        <v>0</v>
      </c>
      <c r="Q2214" s="1" t="str">
        <f t="shared" si="673"/>
        <v/>
      </c>
      <c r="R2214" s="1" t="str">
        <f t="shared" si="677"/>
        <v/>
      </c>
      <c r="S2214" s="1">
        <f t="shared" si="678"/>
        <v>630.90240000000244</v>
      </c>
      <c r="T2214" s="1">
        <f t="shared" si="679"/>
        <v>0</v>
      </c>
      <c r="U2214" s="1">
        <f t="shared" si="680"/>
        <v>0</v>
      </c>
      <c r="V2214" s="1">
        <f t="shared" si="681"/>
        <v>0</v>
      </c>
    </row>
    <row r="2215" spans="5:22" x14ac:dyDescent="0.25">
      <c r="E2215" s="4"/>
      <c r="M2215" s="4">
        <f t="shared" si="674"/>
        <v>173.1</v>
      </c>
      <c r="N2215" s="4"/>
      <c r="O2215" s="1">
        <f t="shared" si="675"/>
        <v>173.1</v>
      </c>
      <c r="P2215" s="1">
        <f t="shared" si="676"/>
        <v>0</v>
      </c>
      <c r="Q2215" s="1" t="str">
        <f t="shared" si="673"/>
        <v/>
      </c>
      <c r="R2215" s="1" t="str">
        <f t="shared" si="677"/>
        <v/>
      </c>
      <c r="S2215" s="1">
        <f t="shared" si="678"/>
        <v>630.90240000000244</v>
      </c>
      <c r="T2215" s="1">
        <f t="shared" si="679"/>
        <v>0</v>
      </c>
      <c r="U2215" s="1">
        <f t="shared" si="680"/>
        <v>0</v>
      </c>
      <c r="V2215" s="1">
        <f t="shared" si="681"/>
        <v>0</v>
      </c>
    </row>
    <row r="2216" spans="5:22" x14ac:dyDescent="0.25">
      <c r="E2216" s="4"/>
      <c r="M2216" s="4">
        <f t="shared" si="674"/>
        <v>173.1</v>
      </c>
      <c r="N2216" s="4"/>
      <c r="O2216" s="1">
        <f t="shared" si="675"/>
        <v>173.1</v>
      </c>
      <c r="P2216" s="1">
        <f t="shared" si="676"/>
        <v>0</v>
      </c>
      <c r="Q2216" s="1" t="str">
        <f t="shared" si="673"/>
        <v/>
      </c>
      <c r="R2216" s="1" t="str">
        <f t="shared" si="677"/>
        <v/>
      </c>
      <c r="S2216" s="1">
        <f t="shared" si="678"/>
        <v>630.90240000000244</v>
      </c>
      <c r="T2216" s="1">
        <f t="shared" si="679"/>
        <v>0</v>
      </c>
      <c r="U2216" s="1">
        <f t="shared" si="680"/>
        <v>0</v>
      </c>
      <c r="V2216" s="1">
        <f t="shared" si="681"/>
        <v>0</v>
      </c>
    </row>
    <row r="2217" spans="5:22" x14ac:dyDescent="0.25">
      <c r="E2217" s="4"/>
      <c r="M2217" s="4">
        <f t="shared" si="674"/>
        <v>173.1</v>
      </c>
      <c r="N2217" s="4"/>
      <c r="O2217" s="1">
        <f t="shared" si="675"/>
        <v>173.1</v>
      </c>
      <c r="P2217" s="1">
        <f t="shared" si="676"/>
        <v>0</v>
      </c>
      <c r="Q2217" s="1" t="str">
        <f t="shared" si="673"/>
        <v/>
      </c>
      <c r="R2217" s="1" t="str">
        <f t="shared" si="677"/>
        <v/>
      </c>
      <c r="S2217" s="1">
        <f t="shared" si="678"/>
        <v>630.90240000000244</v>
      </c>
      <c r="T2217" s="1">
        <f t="shared" si="679"/>
        <v>0</v>
      </c>
      <c r="U2217" s="1">
        <f t="shared" si="680"/>
        <v>0</v>
      </c>
      <c r="V2217" s="1">
        <f t="shared" si="681"/>
        <v>0</v>
      </c>
    </row>
    <row r="2218" spans="5:22" x14ac:dyDescent="0.25">
      <c r="E2218" s="4"/>
      <c r="M2218" s="4">
        <f t="shared" si="674"/>
        <v>173.1</v>
      </c>
      <c r="N2218" s="4"/>
      <c r="O2218" s="1">
        <f t="shared" si="675"/>
        <v>173.1</v>
      </c>
      <c r="P2218" s="1">
        <f t="shared" si="676"/>
        <v>0</v>
      </c>
      <c r="Q2218" s="1" t="str">
        <f t="shared" si="673"/>
        <v/>
      </c>
      <c r="R2218" s="1" t="str">
        <f t="shared" si="677"/>
        <v/>
      </c>
      <c r="S2218" s="1">
        <f t="shared" si="678"/>
        <v>630.90240000000244</v>
      </c>
      <c r="T2218" s="1">
        <f t="shared" si="679"/>
        <v>0</v>
      </c>
      <c r="U2218" s="1">
        <f t="shared" si="680"/>
        <v>0</v>
      </c>
      <c r="V2218" s="1">
        <f t="shared" si="681"/>
        <v>0</v>
      </c>
    </row>
    <row r="2219" spans="5:22" x14ac:dyDescent="0.25">
      <c r="E2219" s="4"/>
      <c r="M2219" s="4">
        <f t="shared" si="674"/>
        <v>173.1</v>
      </c>
      <c r="N2219" s="4"/>
      <c r="O2219" s="1">
        <f t="shared" si="675"/>
        <v>173.1</v>
      </c>
      <c r="P2219" s="1">
        <f t="shared" si="676"/>
        <v>0</v>
      </c>
      <c r="Q2219" s="1" t="str">
        <f t="shared" si="673"/>
        <v/>
      </c>
      <c r="R2219" s="1" t="str">
        <f t="shared" si="677"/>
        <v/>
      </c>
      <c r="S2219" s="1">
        <f t="shared" si="678"/>
        <v>630.90240000000244</v>
      </c>
      <c r="T2219" s="1">
        <f t="shared" si="679"/>
        <v>0</v>
      </c>
      <c r="U2219" s="1">
        <f t="shared" si="680"/>
        <v>0</v>
      </c>
      <c r="V2219" s="1">
        <f t="shared" si="681"/>
        <v>0</v>
      </c>
    </row>
    <row r="2220" spans="5:22" x14ac:dyDescent="0.25">
      <c r="E2220" s="4"/>
      <c r="M2220" s="4">
        <f t="shared" si="674"/>
        <v>173.1</v>
      </c>
      <c r="N2220" s="4"/>
      <c r="O2220" s="1">
        <f t="shared" si="675"/>
        <v>173.1</v>
      </c>
      <c r="P2220" s="1">
        <f t="shared" si="676"/>
        <v>0</v>
      </c>
      <c r="Q2220" s="1" t="str">
        <f t="shared" si="673"/>
        <v/>
      </c>
      <c r="R2220" s="1" t="str">
        <f t="shared" si="677"/>
        <v/>
      </c>
      <c r="S2220" s="1">
        <f t="shared" si="678"/>
        <v>630.90240000000244</v>
      </c>
      <c r="T2220" s="1">
        <f t="shared" si="679"/>
        <v>0</v>
      </c>
      <c r="U2220" s="1">
        <f t="shared" si="680"/>
        <v>0</v>
      </c>
      <c r="V2220" s="1">
        <f t="shared" si="681"/>
        <v>0</v>
      </c>
    </row>
    <row r="2221" spans="5:22" x14ac:dyDescent="0.25">
      <c r="E2221" s="4"/>
      <c r="M2221" s="4">
        <f t="shared" si="674"/>
        <v>173.1</v>
      </c>
      <c r="N2221" s="4"/>
      <c r="O2221" s="1">
        <f t="shared" si="675"/>
        <v>173.1</v>
      </c>
      <c r="P2221" s="1">
        <f t="shared" si="676"/>
        <v>0</v>
      </c>
      <c r="Q2221" s="1" t="str">
        <f t="shared" si="673"/>
        <v/>
      </c>
      <c r="R2221" s="1" t="str">
        <f t="shared" si="677"/>
        <v/>
      </c>
      <c r="S2221" s="1">
        <f t="shared" si="678"/>
        <v>630.90240000000244</v>
      </c>
      <c r="T2221" s="1">
        <f t="shared" si="679"/>
        <v>0</v>
      </c>
      <c r="U2221" s="1">
        <f t="shared" si="680"/>
        <v>0</v>
      </c>
      <c r="V2221" s="1">
        <f t="shared" si="681"/>
        <v>0</v>
      </c>
    </row>
    <row r="2222" spans="5:22" x14ac:dyDescent="0.25">
      <c r="E2222" s="4"/>
      <c r="M2222" s="4">
        <f t="shared" si="674"/>
        <v>173.1</v>
      </c>
      <c r="N2222" s="4"/>
      <c r="O2222" s="1">
        <f t="shared" si="675"/>
        <v>173.1</v>
      </c>
      <c r="P2222" s="1">
        <f t="shared" si="676"/>
        <v>0</v>
      </c>
      <c r="Q2222" s="1" t="str">
        <f t="shared" si="673"/>
        <v/>
      </c>
      <c r="R2222" s="1" t="str">
        <f t="shared" si="677"/>
        <v/>
      </c>
      <c r="S2222" s="1">
        <f t="shared" si="678"/>
        <v>630.90240000000244</v>
      </c>
      <c r="T2222" s="1">
        <f t="shared" si="679"/>
        <v>0</v>
      </c>
      <c r="U2222" s="1">
        <f t="shared" si="680"/>
        <v>0</v>
      </c>
      <c r="V2222" s="1">
        <f t="shared" si="681"/>
        <v>0</v>
      </c>
    </row>
    <row r="2223" spans="5:22" x14ac:dyDescent="0.25">
      <c r="E2223" s="4"/>
      <c r="M2223" s="4">
        <f t="shared" si="674"/>
        <v>173.1</v>
      </c>
      <c r="N2223" s="4"/>
      <c r="O2223" s="1">
        <f t="shared" si="675"/>
        <v>173.1</v>
      </c>
      <c r="P2223" s="1">
        <f t="shared" si="676"/>
        <v>0</v>
      </c>
      <c r="Q2223" s="1" t="str">
        <f t="shared" si="673"/>
        <v/>
      </c>
      <c r="R2223" s="1" t="str">
        <f t="shared" si="677"/>
        <v/>
      </c>
      <c r="S2223" s="1">
        <f t="shared" si="678"/>
        <v>630.90240000000244</v>
      </c>
      <c r="T2223" s="1">
        <f t="shared" si="679"/>
        <v>0</v>
      </c>
      <c r="U2223" s="1">
        <f t="shared" si="680"/>
        <v>0</v>
      </c>
      <c r="V2223" s="1">
        <f t="shared" si="681"/>
        <v>0</v>
      </c>
    </row>
    <row r="2224" spans="5:22" x14ac:dyDescent="0.25">
      <c r="E2224" s="4"/>
      <c r="M2224" s="4">
        <f t="shared" si="674"/>
        <v>173.1</v>
      </c>
      <c r="N2224" s="4"/>
      <c r="O2224" s="1">
        <f t="shared" si="675"/>
        <v>173.1</v>
      </c>
      <c r="P2224" s="1">
        <f t="shared" si="676"/>
        <v>0</v>
      </c>
      <c r="Q2224" s="1" t="str">
        <f t="shared" si="673"/>
        <v/>
      </c>
      <c r="R2224" s="1" t="str">
        <f t="shared" si="677"/>
        <v/>
      </c>
      <c r="S2224" s="1">
        <f t="shared" si="678"/>
        <v>630.90240000000244</v>
      </c>
      <c r="T2224" s="1">
        <f t="shared" si="679"/>
        <v>0</v>
      </c>
      <c r="U2224" s="1">
        <f t="shared" si="680"/>
        <v>0</v>
      </c>
      <c r="V2224" s="1">
        <f t="shared" si="681"/>
        <v>0</v>
      </c>
    </row>
    <row r="2225" spans="5:22" x14ac:dyDescent="0.25">
      <c r="E2225" s="4"/>
      <c r="M2225" s="4">
        <f t="shared" si="674"/>
        <v>173.1</v>
      </c>
      <c r="N2225" s="4"/>
      <c r="O2225" s="1">
        <f t="shared" si="675"/>
        <v>173.1</v>
      </c>
      <c r="P2225" s="1">
        <f t="shared" si="676"/>
        <v>0</v>
      </c>
      <c r="Q2225" s="1" t="str">
        <f t="shared" si="673"/>
        <v/>
      </c>
      <c r="R2225" s="1" t="str">
        <f t="shared" si="677"/>
        <v/>
      </c>
      <c r="S2225" s="1">
        <f t="shared" si="678"/>
        <v>630.90240000000244</v>
      </c>
      <c r="T2225" s="1">
        <f t="shared" si="679"/>
        <v>0</v>
      </c>
      <c r="U2225" s="1">
        <f t="shared" si="680"/>
        <v>0</v>
      </c>
      <c r="V2225" s="1">
        <f t="shared" si="681"/>
        <v>0</v>
      </c>
    </row>
    <row r="2226" spans="5:22" x14ac:dyDescent="0.25">
      <c r="E2226" s="4"/>
      <c r="M2226" s="4">
        <f t="shared" si="674"/>
        <v>173.1</v>
      </c>
      <c r="N2226" s="4"/>
      <c r="O2226" s="1">
        <f t="shared" si="675"/>
        <v>173.1</v>
      </c>
      <c r="P2226" s="1">
        <f t="shared" si="676"/>
        <v>0</v>
      </c>
      <c r="Q2226" s="1" t="str">
        <f t="shared" ref="Q2226:Q2289" si="682">IF(H2226&lt;&gt;"",IF(H2226=H2225,"",H2226),IF(H2224="","",MAX(H2225,Q2225)))</f>
        <v/>
      </c>
      <c r="R2226" s="1" t="str">
        <f t="shared" si="677"/>
        <v/>
      </c>
      <c r="S2226" s="1">
        <f t="shared" si="678"/>
        <v>630.90240000000244</v>
      </c>
      <c r="T2226" s="1">
        <f t="shared" si="679"/>
        <v>0</v>
      </c>
      <c r="U2226" s="1">
        <f t="shared" si="680"/>
        <v>0</v>
      </c>
      <c r="V2226" s="1">
        <f t="shared" si="681"/>
        <v>0</v>
      </c>
    </row>
    <row r="2227" spans="5:22" x14ac:dyDescent="0.25">
      <c r="E2227" s="4"/>
      <c r="M2227" s="4">
        <f t="shared" si="674"/>
        <v>173.1</v>
      </c>
      <c r="N2227" s="4"/>
      <c r="O2227" s="1">
        <f t="shared" si="675"/>
        <v>173.1</v>
      </c>
      <c r="P2227" s="1">
        <f t="shared" si="676"/>
        <v>0</v>
      </c>
      <c r="Q2227" s="1" t="str">
        <f t="shared" si="682"/>
        <v/>
      </c>
      <c r="R2227" s="1" t="str">
        <f t="shared" si="677"/>
        <v/>
      </c>
      <c r="S2227" s="1">
        <f t="shared" si="678"/>
        <v>630.90240000000244</v>
      </c>
      <c r="T2227" s="1">
        <f t="shared" si="679"/>
        <v>0</v>
      </c>
      <c r="U2227" s="1">
        <f t="shared" si="680"/>
        <v>0</v>
      </c>
      <c r="V2227" s="1">
        <f t="shared" si="681"/>
        <v>0</v>
      </c>
    </row>
    <row r="2228" spans="5:22" x14ac:dyDescent="0.25">
      <c r="E2228" s="4"/>
      <c r="M2228" s="4">
        <f t="shared" si="674"/>
        <v>173.1</v>
      </c>
      <c r="N2228" s="4"/>
      <c r="O2228" s="1">
        <f t="shared" si="675"/>
        <v>173.1</v>
      </c>
      <c r="P2228" s="1">
        <f t="shared" si="676"/>
        <v>0</v>
      </c>
      <c r="Q2228" s="1" t="str">
        <f t="shared" si="682"/>
        <v/>
      </c>
      <c r="R2228" s="1" t="str">
        <f t="shared" si="677"/>
        <v/>
      </c>
      <c r="S2228" s="1">
        <f t="shared" si="678"/>
        <v>630.90240000000244</v>
      </c>
      <c r="T2228" s="1">
        <f t="shared" si="679"/>
        <v>0</v>
      </c>
      <c r="U2228" s="1">
        <f t="shared" si="680"/>
        <v>0</v>
      </c>
      <c r="V2228" s="1">
        <f t="shared" si="681"/>
        <v>0</v>
      </c>
    </row>
    <row r="2229" spans="5:22" x14ac:dyDescent="0.25">
      <c r="E2229" s="4"/>
      <c r="M2229" s="4">
        <f t="shared" si="674"/>
        <v>173.1</v>
      </c>
      <c r="N2229" s="4"/>
      <c r="O2229" s="1">
        <f t="shared" si="675"/>
        <v>173.1</v>
      </c>
      <c r="P2229" s="1">
        <f t="shared" si="676"/>
        <v>0</v>
      </c>
      <c r="Q2229" s="1" t="str">
        <f t="shared" si="682"/>
        <v/>
      </c>
      <c r="R2229" s="1" t="str">
        <f t="shared" si="677"/>
        <v/>
      </c>
      <c r="S2229" s="1">
        <f t="shared" si="678"/>
        <v>630.90240000000244</v>
      </c>
      <c r="T2229" s="1">
        <f t="shared" si="679"/>
        <v>0</v>
      </c>
      <c r="U2229" s="1">
        <f t="shared" si="680"/>
        <v>0</v>
      </c>
      <c r="V2229" s="1">
        <f t="shared" si="681"/>
        <v>0</v>
      </c>
    </row>
    <row r="2230" spans="5:22" x14ac:dyDescent="0.25">
      <c r="E2230" s="4"/>
      <c r="M2230" s="4">
        <f t="shared" si="674"/>
        <v>173.1</v>
      </c>
      <c r="N2230" s="4"/>
      <c r="O2230" s="1">
        <f t="shared" si="675"/>
        <v>173.1</v>
      </c>
      <c r="P2230" s="1">
        <f t="shared" si="676"/>
        <v>0</v>
      </c>
      <c r="Q2230" s="1" t="str">
        <f t="shared" si="682"/>
        <v/>
      </c>
      <c r="R2230" s="1" t="str">
        <f t="shared" si="677"/>
        <v/>
      </c>
      <c r="S2230" s="1">
        <f t="shared" si="678"/>
        <v>630.90240000000244</v>
      </c>
      <c r="T2230" s="1">
        <f t="shared" si="679"/>
        <v>0</v>
      </c>
      <c r="U2230" s="1">
        <f t="shared" si="680"/>
        <v>0</v>
      </c>
      <c r="V2230" s="1">
        <f t="shared" si="681"/>
        <v>0</v>
      </c>
    </row>
    <row r="2231" spans="5:22" x14ac:dyDescent="0.25">
      <c r="E2231" s="4"/>
      <c r="M2231" s="4">
        <f t="shared" si="674"/>
        <v>173.1</v>
      </c>
      <c r="N2231" s="4"/>
      <c r="O2231" s="1">
        <f t="shared" si="675"/>
        <v>173.1</v>
      </c>
      <c r="P2231" s="1">
        <f t="shared" si="676"/>
        <v>0</v>
      </c>
      <c r="Q2231" s="1" t="str">
        <f t="shared" si="682"/>
        <v/>
      </c>
      <c r="R2231" s="1" t="str">
        <f t="shared" si="677"/>
        <v/>
      </c>
      <c r="S2231" s="1">
        <f t="shared" si="678"/>
        <v>630.90240000000244</v>
      </c>
      <c r="T2231" s="1">
        <f t="shared" si="679"/>
        <v>0</v>
      </c>
      <c r="U2231" s="1">
        <f t="shared" si="680"/>
        <v>0</v>
      </c>
      <c r="V2231" s="1">
        <f t="shared" si="681"/>
        <v>0</v>
      </c>
    </row>
    <row r="2232" spans="5:22" x14ac:dyDescent="0.25">
      <c r="E2232" s="4"/>
      <c r="M2232" s="4">
        <f t="shared" si="674"/>
        <v>173.1</v>
      </c>
      <c r="N2232" s="4"/>
      <c r="O2232" s="1">
        <f t="shared" si="675"/>
        <v>173.1</v>
      </c>
      <c r="P2232" s="1">
        <f t="shared" si="676"/>
        <v>0</v>
      </c>
      <c r="Q2232" s="1" t="str">
        <f t="shared" si="682"/>
        <v/>
      </c>
      <c r="R2232" s="1" t="str">
        <f t="shared" si="677"/>
        <v/>
      </c>
      <c r="S2232" s="1">
        <f t="shared" si="678"/>
        <v>630.90240000000244</v>
      </c>
      <c r="T2232" s="1">
        <f t="shared" si="679"/>
        <v>0</v>
      </c>
      <c r="U2232" s="1">
        <f t="shared" si="680"/>
        <v>0</v>
      </c>
      <c r="V2232" s="1">
        <f t="shared" si="681"/>
        <v>0</v>
      </c>
    </row>
    <row r="2233" spans="5:22" x14ac:dyDescent="0.25">
      <c r="E2233" s="4"/>
      <c r="M2233" s="4">
        <f t="shared" si="674"/>
        <v>173.1</v>
      </c>
      <c r="N2233" s="4"/>
      <c r="O2233" s="1">
        <f t="shared" si="675"/>
        <v>173.1</v>
      </c>
      <c r="P2233" s="1">
        <f t="shared" si="676"/>
        <v>0</v>
      </c>
      <c r="Q2233" s="1" t="str">
        <f t="shared" si="682"/>
        <v/>
      </c>
      <c r="R2233" s="1" t="str">
        <f t="shared" si="677"/>
        <v/>
      </c>
      <c r="S2233" s="1">
        <f t="shared" si="678"/>
        <v>630.90240000000244</v>
      </c>
      <c r="T2233" s="1">
        <f t="shared" si="679"/>
        <v>0</v>
      </c>
      <c r="U2233" s="1">
        <f t="shared" si="680"/>
        <v>0</v>
      </c>
      <c r="V2233" s="1">
        <f t="shared" si="681"/>
        <v>0</v>
      </c>
    </row>
    <row r="2234" spans="5:22" x14ac:dyDescent="0.25">
      <c r="E2234" s="4"/>
      <c r="M2234" s="4">
        <f t="shared" si="674"/>
        <v>173.1</v>
      </c>
      <c r="N2234" s="4"/>
      <c r="O2234" s="1">
        <f t="shared" si="675"/>
        <v>173.1</v>
      </c>
      <c r="P2234" s="1">
        <f t="shared" si="676"/>
        <v>0</v>
      </c>
      <c r="Q2234" s="1" t="str">
        <f t="shared" si="682"/>
        <v/>
      </c>
      <c r="R2234" s="1" t="str">
        <f t="shared" si="677"/>
        <v/>
      </c>
      <c r="S2234" s="1">
        <f t="shared" si="678"/>
        <v>630.90240000000244</v>
      </c>
      <c r="T2234" s="1">
        <f t="shared" si="679"/>
        <v>0</v>
      </c>
      <c r="U2234" s="1">
        <f t="shared" si="680"/>
        <v>0</v>
      </c>
      <c r="V2234" s="1">
        <f t="shared" si="681"/>
        <v>0</v>
      </c>
    </row>
    <row r="2235" spans="5:22" x14ac:dyDescent="0.25">
      <c r="E2235" s="4"/>
      <c r="M2235" s="4">
        <f t="shared" si="674"/>
        <v>173.1</v>
      </c>
      <c r="N2235" s="4"/>
      <c r="O2235" s="1">
        <f t="shared" si="675"/>
        <v>173.1</v>
      </c>
      <c r="P2235" s="1">
        <f t="shared" si="676"/>
        <v>0</v>
      </c>
      <c r="Q2235" s="1" t="str">
        <f t="shared" si="682"/>
        <v/>
      </c>
      <c r="R2235" s="1" t="str">
        <f t="shared" si="677"/>
        <v/>
      </c>
      <c r="S2235" s="1">
        <f t="shared" si="678"/>
        <v>630.90240000000244</v>
      </c>
      <c r="T2235" s="1">
        <f t="shared" si="679"/>
        <v>0</v>
      </c>
      <c r="U2235" s="1">
        <f t="shared" si="680"/>
        <v>0</v>
      </c>
      <c r="V2235" s="1">
        <f t="shared" si="681"/>
        <v>0</v>
      </c>
    </row>
    <row r="2236" spans="5:22" x14ac:dyDescent="0.25">
      <c r="E2236" s="4"/>
      <c r="M2236" s="4">
        <f t="shared" si="674"/>
        <v>173.1</v>
      </c>
      <c r="N2236" s="4"/>
      <c r="O2236" s="1">
        <f t="shared" si="675"/>
        <v>173.1</v>
      </c>
      <c r="P2236" s="1">
        <f t="shared" si="676"/>
        <v>0</v>
      </c>
      <c r="Q2236" s="1" t="str">
        <f t="shared" si="682"/>
        <v/>
      </c>
      <c r="R2236" s="1" t="str">
        <f t="shared" si="677"/>
        <v/>
      </c>
      <c r="S2236" s="1">
        <f t="shared" si="678"/>
        <v>630.90240000000244</v>
      </c>
      <c r="T2236" s="1">
        <f t="shared" si="679"/>
        <v>0</v>
      </c>
      <c r="U2236" s="1">
        <f t="shared" si="680"/>
        <v>0</v>
      </c>
      <c r="V2236" s="1">
        <f t="shared" si="681"/>
        <v>0</v>
      </c>
    </row>
    <row r="2237" spans="5:22" x14ac:dyDescent="0.25">
      <c r="E2237" s="4"/>
      <c r="M2237" s="4">
        <f t="shared" si="674"/>
        <v>173.1</v>
      </c>
      <c r="N2237" s="4"/>
      <c r="O2237" s="1">
        <f t="shared" si="675"/>
        <v>173.1</v>
      </c>
      <c r="P2237" s="1">
        <f t="shared" si="676"/>
        <v>0</v>
      </c>
      <c r="Q2237" s="1" t="str">
        <f t="shared" si="682"/>
        <v/>
      </c>
      <c r="R2237" s="1" t="str">
        <f t="shared" si="677"/>
        <v/>
      </c>
      <c r="S2237" s="1">
        <f t="shared" si="678"/>
        <v>630.90240000000244</v>
      </c>
      <c r="T2237" s="1">
        <f t="shared" si="679"/>
        <v>0</v>
      </c>
      <c r="U2237" s="1">
        <f t="shared" si="680"/>
        <v>0</v>
      </c>
      <c r="V2237" s="1">
        <f t="shared" si="681"/>
        <v>0</v>
      </c>
    </row>
    <row r="2238" spans="5:22" x14ac:dyDescent="0.25">
      <c r="E2238" s="4"/>
      <c r="M2238" s="4">
        <f t="shared" si="674"/>
        <v>173.1</v>
      </c>
      <c r="N2238" s="4"/>
      <c r="O2238" s="1">
        <f t="shared" si="675"/>
        <v>173.1</v>
      </c>
      <c r="P2238" s="1">
        <f t="shared" si="676"/>
        <v>0</v>
      </c>
      <c r="Q2238" s="1" t="str">
        <f t="shared" si="682"/>
        <v/>
      </c>
      <c r="R2238" s="1" t="str">
        <f t="shared" si="677"/>
        <v/>
      </c>
      <c r="S2238" s="1">
        <f t="shared" si="678"/>
        <v>630.90240000000244</v>
      </c>
      <c r="T2238" s="1">
        <f t="shared" si="679"/>
        <v>0</v>
      </c>
      <c r="U2238" s="1">
        <f t="shared" si="680"/>
        <v>0</v>
      </c>
      <c r="V2238" s="1">
        <f t="shared" si="681"/>
        <v>0</v>
      </c>
    </row>
    <row r="2239" spans="5:22" x14ac:dyDescent="0.25">
      <c r="E2239" s="4"/>
      <c r="M2239" s="4">
        <f t="shared" si="674"/>
        <v>173.1</v>
      </c>
      <c r="N2239" s="4"/>
      <c r="O2239" s="1">
        <f t="shared" si="675"/>
        <v>173.1</v>
      </c>
      <c r="P2239" s="1">
        <f t="shared" si="676"/>
        <v>0</v>
      </c>
      <c r="Q2239" s="1" t="str">
        <f t="shared" si="682"/>
        <v/>
      </c>
      <c r="R2239" s="1" t="str">
        <f t="shared" si="677"/>
        <v/>
      </c>
      <c r="S2239" s="1">
        <f t="shared" si="678"/>
        <v>630.90240000000244</v>
      </c>
      <c r="T2239" s="1">
        <f t="shared" si="679"/>
        <v>0</v>
      </c>
      <c r="U2239" s="1">
        <f t="shared" si="680"/>
        <v>0</v>
      </c>
      <c r="V2239" s="1">
        <f t="shared" si="681"/>
        <v>0</v>
      </c>
    </row>
    <row r="2240" spans="5:22" x14ac:dyDescent="0.25">
      <c r="E2240" s="4"/>
      <c r="M2240" s="4">
        <f t="shared" si="674"/>
        <v>173.1</v>
      </c>
      <c r="N2240" s="4"/>
      <c r="O2240" s="1">
        <f t="shared" si="675"/>
        <v>173.1</v>
      </c>
      <c r="P2240" s="1">
        <f t="shared" si="676"/>
        <v>0</v>
      </c>
      <c r="Q2240" s="1" t="str">
        <f t="shared" si="682"/>
        <v/>
      </c>
      <c r="R2240" s="1" t="str">
        <f t="shared" si="677"/>
        <v/>
      </c>
      <c r="S2240" s="1">
        <f t="shared" si="678"/>
        <v>630.90240000000244</v>
      </c>
      <c r="T2240" s="1">
        <f t="shared" si="679"/>
        <v>0</v>
      </c>
      <c r="U2240" s="1">
        <f t="shared" si="680"/>
        <v>0</v>
      </c>
      <c r="V2240" s="1">
        <f t="shared" si="681"/>
        <v>0</v>
      </c>
    </row>
    <row r="2241" spans="5:22" x14ac:dyDescent="0.25">
      <c r="E2241" s="4"/>
      <c r="M2241" s="4">
        <f t="shared" si="674"/>
        <v>173.1</v>
      </c>
      <c r="N2241" s="4"/>
      <c r="O2241" s="1">
        <f t="shared" si="675"/>
        <v>173.1</v>
      </c>
      <c r="P2241" s="1">
        <f t="shared" si="676"/>
        <v>0</v>
      </c>
      <c r="Q2241" s="1" t="str">
        <f t="shared" si="682"/>
        <v/>
      </c>
      <c r="R2241" s="1" t="str">
        <f t="shared" si="677"/>
        <v/>
      </c>
      <c r="S2241" s="1">
        <f t="shared" si="678"/>
        <v>630.90240000000244</v>
      </c>
      <c r="T2241" s="1">
        <f t="shared" si="679"/>
        <v>0</v>
      </c>
      <c r="U2241" s="1">
        <f t="shared" si="680"/>
        <v>0</v>
      </c>
      <c r="V2241" s="1">
        <f t="shared" si="681"/>
        <v>0</v>
      </c>
    </row>
    <row r="2242" spans="5:22" x14ac:dyDescent="0.25">
      <c r="E2242" s="4"/>
      <c r="M2242" s="4">
        <f t="shared" si="674"/>
        <v>173.1</v>
      </c>
      <c r="N2242" s="4"/>
      <c r="O2242" s="1">
        <f t="shared" si="675"/>
        <v>173.1</v>
      </c>
      <c r="P2242" s="1">
        <f t="shared" si="676"/>
        <v>0</v>
      </c>
      <c r="Q2242" s="1" t="str">
        <f t="shared" si="682"/>
        <v/>
      </c>
      <c r="R2242" s="1" t="str">
        <f t="shared" si="677"/>
        <v/>
      </c>
      <c r="S2242" s="1">
        <f t="shared" si="678"/>
        <v>630.90240000000244</v>
      </c>
      <c r="T2242" s="1">
        <f t="shared" si="679"/>
        <v>0</v>
      </c>
      <c r="U2242" s="1">
        <f t="shared" si="680"/>
        <v>0</v>
      </c>
      <c r="V2242" s="1">
        <f t="shared" si="681"/>
        <v>0</v>
      </c>
    </row>
    <row r="2243" spans="5:22" x14ac:dyDescent="0.25">
      <c r="E2243" s="4"/>
      <c r="M2243" s="4">
        <f t="shared" si="674"/>
        <v>173.1</v>
      </c>
      <c r="N2243" s="4"/>
      <c r="O2243" s="1">
        <f t="shared" si="675"/>
        <v>173.1</v>
      </c>
      <c r="P2243" s="1">
        <f t="shared" si="676"/>
        <v>0</v>
      </c>
      <c r="Q2243" s="1" t="str">
        <f t="shared" si="682"/>
        <v/>
      </c>
      <c r="R2243" s="1" t="str">
        <f t="shared" si="677"/>
        <v/>
      </c>
      <c r="S2243" s="1">
        <f t="shared" si="678"/>
        <v>630.90240000000244</v>
      </c>
      <c r="T2243" s="1">
        <f t="shared" si="679"/>
        <v>0</v>
      </c>
      <c r="U2243" s="1">
        <f t="shared" si="680"/>
        <v>0</v>
      </c>
      <c r="V2243" s="1">
        <f t="shared" si="681"/>
        <v>0</v>
      </c>
    </row>
    <row r="2244" spans="5:22" x14ac:dyDescent="0.25">
      <c r="E2244" s="4"/>
      <c r="M2244" s="4">
        <f t="shared" si="674"/>
        <v>173.1</v>
      </c>
      <c r="N2244" s="4"/>
      <c r="O2244" s="1">
        <f t="shared" si="675"/>
        <v>173.1</v>
      </c>
      <c r="P2244" s="1">
        <f t="shared" si="676"/>
        <v>0</v>
      </c>
      <c r="Q2244" s="1" t="str">
        <f t="shared" si="682"/>
        <v/>
      </c>
      <c r="R2244" s="1" t="str">
        <f t="shared" si="677"/>
        <v/>
      </c>
      <c r="S2244" s="1">
        <f t="shared" si="678"/>
        <v>630.90240000000244</v>
      </c>
      <c r="T2244" s="1">
        <f t="shared" si="679"/>
        <v>0</v>
      </c>
      <c r="U2244" s="1">
        <f t="shared" si="680"/>
        <v>0</v>
      </c>
      <c r="V2244" s="1">
        <f t="shared" si="681"/>
        <v>0</v>
      </c>
    </row>
    <row r="2245" spans="5:22" x14ac:dyDescent="0.25">
      <c r="E2245" s="4"/>
      <c r="M2245" s="4">
        <f t="shared" si="674"/>
        <v>173.1</v>
      </c>
      <c r="N2245" s="4"/>
      <c r="O2245" s="1">
        <f t="shared" si="675"/>
        <v>173.1</v>
      </c>
      <c r="P2245" s="1">
        <f t="shared" si="676"/>
        <v>0</v>
      </c>
      <c r="Q2245" s="1" t="str">
        <f t="shared" si="682"/>
        <v/>
      </c>
      <c r="R2245" s="1" t="str">
        <f t="shared" si="677"/>
        <v/>
      </c>
      <c r="S2245" s="1">
        <f t="shared" si="678"/>
        <v>630.90240000000244</v>
      </c>
      <c r="T2245" s="1">
        <f t="shared" si="679"/>
        <v>0</v>
      </c>
      <c r="U2245" s="1">
        <f t="shared" si="680"/>
        <v>0</v>
      </c>
      <c r="V2245" s="1">
        <f t="shared" si="681"/>
        <v>0</v>
      </c>
    </row>
    <row r="2246" spans="5:22" x14ac:dyDescent="0.25">
      <c r="E2246" s="4"/>
      <c r="M2246" s="4">
        <f t="shared" si="674"/>
        <v>173.1</v>
      </c>
      <c r="N2246" s="4"/>
      <c r="O2246" s="1">
        <f t="shared" si="675"/>
        <v>173.1</v>
      </c>
      <c r="P2246" s="1">
        <f t="shared" si="676"/>
        <v>0</v>
      </c>
      <c r="Q2246" s="1" t="str">
        <f t="shared" si="682"/>
        <v/>
      </c>
      <c r="R2246" s="1" t="str">
        <f t="shared" si="677"/>
        <v/>
      </c>
      <c r="S2246" s="1">
        <f t="shared" si="678"/>
        <v>630.90240000000244</v>
      </c>
      <c r="T2246" s="1">
        <f t="shared" si="679"/>
        <v>0</v>
      </c>
      <c r="U2246" s="1">
        <f t="shared" si="680"/>
        <v>0</v>
      </c>
      <c r="V2246" s="1">
        <f t="shared" si="681"/>
        <v>0</v>
      </c>
    </row>
    <row r="2247" spans="5:22" x14ac:dyDescent="0.25">
      <c r="E2247" s="4"/>
      <c r="M2247" s="4">
        <f t="shared" si="674"/>
        <v>173.1</v>
      </c>
      <c r="N2247" s="4"/>
      <c r="O2247" s="1">
        <f t="shared" si="675"/>
        <v>173.1</v>
      </c>
      <c r="P2247" s="1">
        <f t="shared" si="676"/>
        <v>0</v>
      </c>
      <c r="Q2247" s="1" t="str">
        <f t="shared" si="682"/>
        <v/>
      </c>
      <c r="R2247" s="1" t="str">
        <f t="shared" si="677"/>
        <v/>
      </c>
      <c r="S2247" s="1">
        <f t="shared" si="678"/>
        <v>630.90240000000244</v>
      </c>
      <c r="T2247" s="1">
        <f t="shared" si="679"/>
        <v>0</v>
      </c>
      <c r="U2247" s="1">
        <f t="shared" si="680"/>
        <v>0</v>
      </c>
      <c r="V2247" s="1">
        <f t="shared" si="681"/>
        <v>0</v>
      </c>
    </row>
    <row r="2248" spans="5:22" x14ac:dyDescent="0.25">
      <c r="E2248" s="4"/>
      <c r="M2248" s="4">
        <f t="shared" ref="M2248:M2311" si="683">E2248+M2247</f>
        <v>173.1</v>
      </c>
      <c r="N2248" s="4"/>
      <c r="O2248" s="1">
        <f t="shared" ref="O2248:O2311" si="684">E2247+O2247</f>
        <v>173.1</v>
      </c>
      <c r="P2248" s="1">
        <f t="shared" ref="P2248:P2311" si="685">F2248*52.8*E2248</f>
        <v>0</v>
      </c>
      <c r="Q2248" s="1" t="str">
        <f t="shared" si="682"/>
        <v/>
      </c>
      <c r="R2248" s="1" t="str">
        <f t="shared" ref="R2248:R2311" si="686">IF(I2248="",Q2248,IF(AND(H2248=H2247,I2248=I2247),"",I2248))</f>
        <v/>
      </c>
      <c r="S2248" s="1">
        <f t="shared" ref="S2248:S2311" si="687">S2247+U2247*T2247/100</f>
        <v>630.90240000000244</v>
      </c>
      <c r="T2248" s="1">
        <f t="shared" ref="T2248:T2311" si="688">IF(G2248="UNK",0,G2248)</f>
        <v>0</v>
      </c>
      <c r="U2248" s="1">
        <f t="shared" ref="U2248:U2311" si="689">E2248*5280</f>
        <v>0</v>
      </c>
      <c r="V2248" s="1">
        <f t="shared" ref="V2248:V2311" si="690">ABS(T2248*U2248)</f>
        <v>0</v>
      </c>
    </row>
    <row r="2249" spans="5:22" x14ac:dyDescent="0.25">
      <c r="E2249" s="4"/>
      <c r="M2249" s="4">
        <f t="shared" si="683"/>
        <v>173.1</v>
      </c>
      <c r="N2249" s="4"/>
      <c r="O2249" s="1">
        <f t="shared" si="684"/>
        <v>173.1</v>
      </c>
      <c r="P2249" s="1">
        <f t="shared" si="685"/>
        <v>0</v>
      </c>
      <c r="Q2249" s="1" t="str">
        <f t="shared" si="682"/>
        <v/>
      </c>
      <c r="R2249" s="1" t="str">
        <f t="shared" si="686"/>
        <v/>
      </c>
      <c r="S2249" s="1">
        <f t="shared" si="687"/>
        <v>630.90240000000244</v>
      </c>
      <c r="T2249" s="1">
        <f t="shared" si="688"/>
        <v>0</v>
      </c>
      <c r="U2249" s="1">
        <f t="shared" si="689"/>
        <v>0</v>
      </c>
      <c r="V2249" s="1">
        <f t="shared" si="690"/>
        <v>0</v>
      </c>
    </row>
    <row r="2250" spans="5:22" x14ac:dyDescent="0.25">
      <c r="E2250" s="4"/>
      <c r="M2250" s="4">
        <f t="shared" si="683"/>
        <v>173.1</v>
      </c>
      <c r="N2250" s="4"/>
      <c r="O2250" s="1">
        <f t="shared" si="684"/>
        <v>173.1</v>
      </c>
      <c r="P2250" s="1">
        <f t="shared" si="685"/>
        <v>0</v>
      </c>
      <c r="Q2250" s="1" t="str">
        <f t="shared" si="682"/>
        <v/>
      </c>
      <c r="R2250" s="1" t="str">
        <f t="shared" si="686"/>
        <v/>
      </c>
      <c r="S2250" s="1">
        <f t="shared" si="687"/>
        <v>630.90240000000244</v>
      </c>
      <c r="T2250" s="1">
        <f t="shared" si="688"/>
        <v>0</v>
      </c>
      <c r="U2250" s="1">
        <f t="shared" si="689"/>
        <v>0</v>
      </c>
      <c r="V2250" s="1">
        <f t="shared" si="690"/>
        <v>0</v>
      </c>
    </row>
    <row r="2251" spans="5:22" x14ac:dyDescent="0.25">
      <c r="E2251" s="4"/>
      <c r="M2251" s="4">
        <f t="shared" si="683"/>
        <v>173.1</v>
      </c>
      <c r="N2251" s="4"/>
      <c r="O2251" s="1">
        <f t="shared" si="684"/>
        <v>173.1</v>
      </c>
      <c r="P2251" s="1">
        <f t="shared" si="685"/>
        <v>0</v>
      </c>
      <c r="Q2251" s="1" t="str">
        <f t="shared" si="682"/>
        <v/>
      </c>
      <c r="R2251" s="1" t="str">
        <f t="shared" si="686"/>
        <v/>
      </c>
      <c r="S2251" s="1">
        <f t="shared" si="687"/>
        <v>630.90240000000244</v>
      </c>
      <c r="T2251" s="1">
        <f t="shared" si="688"/>
        <v>0</v>
      </c>
      <c r="U2251" s="1">
        <f t="shared" si="689"/>
        <v>0</v>
      </c>
      <c r="V2251" s="1">
        <f t="shared" si="690"/>
        <v>0</v>
      </c>
    </row>
    <row r="2252" spans="5:22" x14ac:dyDescent="0.25">
      <c r="E2252" s="4"/>
      <c r="M2252" s="4">
        <f t="shared" si="683"/>
        <v>173.1</v>
      </c>
      <c r="N2252" s="4"/>
      <c r="O2252" s="1">
        <f t="shared" si="684"/>
        <v>173.1</v>
      </c>
      <c r="P2252" s="1">
        <f t="shared" si="685"/>
        <v>0</v>
      </c>
      <c r="Q2252" s="1" t="str">
        <f t="shared" si="682"/>
        <v/>
      </c>
      <c r="R2252" s="1" t="str">
        <f t="shared" si="686"/>
        <v/>
      </c>
      <c r="S2252" s="1">
        <f t="shared" si="687"/>
        <v>630.90240000000244</v>
      </c>
      <c r="T2252" s="1">
        <f t="shared" si="688"/>
        <v>0</v>
      </c>
      <c r="U2252" s="1">
        <f t="shared" si="689"/>
        <v>0</v>
      </c>
      <c r="V2252" s="1">
        <f t="shared" si="690"/>
        <v>0</v>
      </c>
    </row>
    <row r="2253" spans="5:22" x14ac:dyDescent="0.25">
      <c r="E2253" s="4"/>
      <c r="M2253" s="4">
        <f t="shared" si="683"/>
        <v>173.1</v>
      </c>
      <c r="N2253" s="4"/>
      <c r="O2253" s="1">
        <f t="shared" si="684"/>
        <v>173.1</v>
      </c>
      <c r="P2253" s="1">
        <f t="shared" si="685"/>
        <v>0</v>
      </c>
      <c r="Q2253" s="1" t="str">
        <f t="shared" si="682"/>
        <v/>
      </c>
      <c r="R2253" s="1" t="str">
        <f t="shared" si="686"/>
        <v/>
      </c>
      <c r="S2253" s="1">
        <f t="shared" si="687"/>
        <v>630.90240000000244</v>
      </c>
      <c r="T2253" s="1">
        <f t="shared" si="688"/>
        <v>0</v>
      </c>
      <c r="U2253" s="1">
        <f t="shared" si="689"/>
        <v>0</v>
      </c>
      <c r="V2253" s="1">
        <f t="shared" si="690"/>
        <v>0</v>
      </c>
    </row>
    <row r="2254" spans="5:22" x14ac:dyDescent="0.25">
      <c r="E2254" s="4"/>
      <c r="M2254" s="4">
        <f t="shared" si="683"/>
        <v>173.1</v>
      </c>
      <c r="N2254" s="4"/>
      <c r="O2254" s="1">
        <f t="shared" si="684"/>
        <v>173.1</v>
      </c>
      <c r="P2254" s="1">
        <f t="shared" si="685"/>
        <v>0</v>
      </c>
      <c r="Q2254" s="1" t="str">
        <f t="shared" si="682"/>
        <v/>
      </c>
      <c r="R2254" s="1" t="str">
        <f t="shared" si="686"/>
        <v/>
      </c>
      <c r="S2254" s="1">
        <f t="shared" si="687"/>
        <v>630.90240000000244</v>
      </c>
      <c r="T2254" s="1">
        <f t="shared" si="688"/>
        <v>0</v>
      </c>
      <c r="U2254" s="1">
        <f t="shared" si="689"/>
        <v>0</v>
      </c>
      <c r="V2254" s="1">
        <f t="shared" si="690"/>
        <v>0</v>
      </c>
    </row>
    <row r="2255" spans="5:22" x14ac:dyDescent="0.25">
      <c r="E2255" s="4"/>
      <c r="M2255" s="4">
        <f t="shared" si="683"/>
        <v>173.1</v>
      </c>
      <c r="N2255" s="4"/>
      <c r="O2255" s="1">
        <f t="shared" si="684"/>
        <v>173.1</v>
      </c>
      <c r="P2255" s="1">
        <f t="shared" si="685"/>
        <v>0</v>
      </c>
      <c r="Q2255" s="1" t="str">
        <f t="shared" si="682"/>
        <v/>
      </c>
      <c r="R2255" s="1" t="str">
        <f t="shared" si="686"/>
        <v/>
      </c>
      <c r="S2255" s="1">
        <f t="shared" si="687"/>
        <v>630.90240000000244</v>
      </c>
      <c r="T2255" s="1">
        <f t="shared" si="688"/>
        <v>0</v>
      </c>
      <c r="U2255" s="1">
        <f t="shared" si="689"/>
        <v>0</v>
      </c>
      <c r="V2255" s="1">
        <f t="shared" si="690"/>
        <v>0</v>
      </c>
    </row>
    <row r="2256" spans="5:22" x14ac:dyDescent="0.25">
      <c r="E2256" s="4"/>
      <c r="M2256" s="4">
        <f t="shared" si="683"/>
        <v>173.1</v>
      </c>
      <c r="N2256" s="4"/>
      <c r="O2256" s="1">
        <f t="shared" si="684"/>
        <v>173.1</v>
      </c>
      <c r="P2256" s="1">
        <f t="shared" si="685"/>
        <v>0</v>
      </c>
      <c r="Q2256" s="1" t="str">
        <f t="shared" si="682"/>
        <v/>
      </c>
      <c r="R2256" s="1" t="str">
        <f t="shared" si="686"/>
        <v/>
      </c>
      <c r="S2256" s="1">
        <f t="shared" si="687"/>
        <v>630.90240000000244</v>
      </c>
      <c r="T2256" s="1">
        <f t="shared" si="688"/>
        <v>0</v>
      </c>
      <c r="U2256" s="1">
        <f t="shared" si="689"/>
        <v>0</v>
      </c>
      <c r="V2256" s="1">
        <f t="shared" si="690"/>
        <v>0</v>
      </c>
    </row>
    <row r="2257" spans="5:22" x14ac:dyDescent="0.25">
      <c r="E2257" s="4"/>
      <c r="M2257" s="4">
        <f t="shared" si="683"/>
        <v>173.1</v>
      </c>
      <c r="N2257" s="4"/>
      <c r="O2257" s="1">
        <f t="shared" si="684"/>
        <v>173.1</v>
      </c>
      <c r="P2257" s="1">
        <f t="shared" si="685"/>
        <v>0</v>
      </c>
      <c r="Q2257" s="1" t="str">
        <f t="shared" si="682"/>
        <v/>
      </c>
      <c r="R2257" s="1" t="str">
        <f t="shared" si="686"/>
        <v/>
      </c>
      <c r="S2257" s="1">
        <f t="shared" si="687"/>
        <v>630.90240000000244</v>
      </c>
      <c r="T2257" s="1">
        <f t="shared" si="688"/>
        <v>0</v>
      </c>
      <c r="U2257" s="1">
        <f t="shared" si="689"/>
        <v>0</v>
      </c>
      <c r="V2257" s="1">
        <f t="shared" si="690"/>
        <v>0</v>
      </c>
    </row>
    <row r="2258" spans="5:22" x14ac:dyDescent="0.25">
      <c r="E2258" s="4"/>
      <c r="M2258" s="4">
        <f t="shared" si="683"/>
        <v>173.1</v>
      </c>
      <c r="N2258" s="4"/>
      <c r="O2258" s="1">
        <f t="shared" si="684"/>
        <v>173.1</v>
      </c>
      <c r="P2258" s="1">
        <f t="shared" si="685"/>
        <v>0</v>
      </c>
      <c r="Q2258" s="1" t="str">
        <f t="shared" si="682"/>
        <v/>
      </c>
      <c r="R2258" s="1" t="str">
        <f t="shared" si="686"/>
        <v/>
      </c>
      <c r="S2258" s="1">
        <f t="shared" si="687"/>
        <v>630.90240000000244</v>
      </c>
      <c r="T2258" s="1">
        <f t="shared" si="688"/>
        <v>0</v>
      </c>
      <c r="U2258" s="1">
        <f t="shared" si="689"/>
        <v>0</v>
      </c>
      <c r="V2258" s="1">
        <f t="shared" si="690"/>
        <v>0</v>
      </c>
    </row>
    <row r="2259" spans="5:22" x14ac:dyDescent="0.25">
      <c r="E2259" s="4"/>
      <c r="M2259" s="4">
        <f t="shared" si="683"/>
        <v>173.1</v>
      </c>
      <c r="N2259" s="4"/>
      <c r="O2259" s="1">
        <f t="shared" si="684"/>
        <v>173.1</v>
      </c>
      <c r="P2259" s="1">
        <f t="shared" si="685"/>
        <v>0</v>
      </c>
      <c r="Q2259" s="1" t="str">
        <f t="shared" si="682"/>
        <v/>
      </c>
      <c r="R2259" s="1" t="str">
        <f t="shared" si="686"/>
        <v/>
      </c>
      <c r="S2259" s="1">
        <f t="shared" si="687"/>
        <v>630.90240000000244</v>
      </c>
      <c r="T2259" s="1">
        <f t="shared" si="688"/>
        <v>0</v>
      </c>
      <c r="U2259" s="1">
        <f t="shared" si="689"/>
        <v>0</v>
      </c>
      <c r="V2259" s="1">
        <f t="shared" si="690"/>
        <v>0</v>
      </c>
    </row>
    <row r="2260" spans="5:22" x14ac:dyDescent="0.25">
      <c r="E2260" s="4"/>
      <c r="M2260" s="4">
        <f t="shared" si="683"/>
        <v>173.1</v>
      </c>
      <c r="N2260" s="4"/>
      <c r="O2260" s="1">
        <f t="shared" si="684"/>
        <v>173.1</v>
      </c>
      <c r="P2260" s="1">
        <f t="shared" si="685"/>
        <v>0</v>
      </c>
      <c r="Q2260" s="1" t="str">
        <f t="shared" si="682"/>
        <v/>
      </c>
      <c r="R2260" s="1" t="str">
        <f t="shared" si="686"/>
        <v/>
      </c>
      <c r="S2260" s="1">
        <f t="shared" si="687"/>
        <v>630.90240000000244</v>
      </c>
      <c r="T2260" s="1">
        <f t="shared" si="688"/>
        <v>0</v>
      </c>
      <c r="U2260" s="1">
        <f t="shared" si="689"/>
        <v>0</v>
      </c>
      <c r="V2260" s="1">
        <f t="shared" si="690"/>
        <v>0</v>
      </c>
    </row>
    <row r="2261" spans="5:22" x14ac:dyDescent="0.25">
      <c r="E2261" s="4"/>
      <c r="M2261" s="4">
        <f t="shared" si="683"/>
        <v>173.1</v>
      </c>
      <c r="N2261" s="4"/>
      <c r="O2261" s="1">
        <f t="shared" si="684"/>
        <v>173.1</v>
      </c>
      <c r="P2261" s="1">
        <f t="shared" si="685"/>
        <v>0</v>
      </c>
      <c r="Q2261" s="1" t="str">
        <f t="shared" si="682"/>
        <v/>
      </c>
      <c r="R2261" s="1" t="str">
        <f t="shared" si="686"/>
        <v/>
      </c>
      <c r="S2261" s="1">
        <f t="shared" si="687"/>
        <v>630.90240000000244</v>
      </c>
      <c r="T2261" s="1">
        <f t="shared" si="688"/>
        <v>0</v>
      </c>
      <c r="U2261" s="1">
        <f t="shared" si="689"/>
        <v>0</v>
      </c>
      <c r="V2261" s="1">
        <f t="shared" si="690"/>
        <v>0</v>
      </c>
    </row>
    <row r="2262" spans="5:22" x14ac:dyDescent="0.25">
      <c r="E2262" s="4"/>
      <c r="M2262" s="4">
        <f t="shared" si="683"/>
        <v>173.1</v>
      </c>
      <c r="N2262" s="4"/>
      <c r="O2262" s="1">
        <f t="shared" si="684"/>
        <v>173.1</v>
      </c>
      <c r="P2262" s="1">
        <f t="shared" si="685"/>
        <v>0</v>
      </c>
      <c r="Q2262" s="1" t="str">
        <f t="shared" si="682"/>
        <v/>
      </c>
      <c r="R2262" s="1" t="str">
        <f t="shared" si="686"/>
        <v/>
      </c>
      <c r="S2262" s="1">
        <f t="shared" si="687"/>
        <v>630.90240000000244</v>
      </c>
      <c r="T2262" s="1">
        <f t="shared" si="688"/>
        <v>0</v>
      </c>
      <c r="U2262" s="1">
        <f t="shared" si="689"/>
        <v>0</v>
      </c>
      <c r="V2262" s="1">
        <f t="shared" si="690"/>
        <v>0</v>
      </c>
    </row>
    <row r="2263" spans="5:22" x14ac:dyDescent="0.25">
      <c r="E2263" s="4"/>
      <c r="M2263" s="4">
        <f t="shared" si="683"/>
        <v>173.1</v>
      </c>
      <c r="N2263" s="4"/>
      <c r="O2263" s="1">
        <f t="shared" si="684"/>
        <v>173.1</v>
      </c>
      <c r="P2263" s="1">
        <f t="shared" si="685"/>
        <v>0</v>
      </c>
      <c r="Q2263" s="1" t="str">
        <f t="shared" si="682"/>
        <v/>
      </c>
      <c r="R2263" s="1" t="str">
        <f t="shared" si="686"/>
        <v/>
      </c>
      <c r="S2263" s="1">
        <f t="shared" si="687"/>
        <v>630.90240000000244</v>
      </c>
      <c r="T2263" s="1">
        <f t="shared" si="688"/>
        <v>0</v>
      </c>
      <c r="U2263" s="1">
        <f t="shared" si="689"/>
        <v>0</v>
      </c>
      <c r="V2263" s="1">
        <f t="shared" si="690"/>
        <v>0</v>
      </c>
    </row>
    <row r="2264" spans="5:22" x14ac:dyDescent="0.25">
      <c r="E2264" s="4"/>
      <c r="M2264" s="4">
        <f t="shared" si="683"/>
        <v>173.1</v>
      </c>
      <c r="N2264" s="4"/>
      <c r="O2264" s="1">
        <f t="shared" si="684"/>
        <v>173.1</v>
      </c>
      <c r="P2264" s="1">
        <f t="shared" si="685"/>
        <v>0</v>
      </c>
      <c r="Q2264" s="1" t="str">
        <f t="shared" si="682"/>
        <v/>
      </c>
      <c r="R2264" s="1" t="str">
        <f t="shared" si="686"/>
        <v/>
      </c>
      <c r="S2264" s="1">
        <f t="shared" si="687"/>
        <v>630.90240000000244</v>
      </c>
      <c r="T2264" s="1">
        <f t="shared" si="688"/>
        <v>0</v>
      </c>
      <c r="U2264" s="1">
        <f t="shared" si="689"/>
        <v>0</v>
      </c>
      <c r="V2264" s="1">
        <f t="shared" si="690"/>
        <v>0</v>
      </c>
    </row>
    <row r="2265" spans="5:22" x14ac:dyDescent="0.25">
      <c r="E2265" s="4"/>
      <c r="M2265" s="4">
        <f t="shared" si="683"/>
        <v>173.1</v>
      </c>
      <c r="N2265" s="4"/>
      <c r="O2265" s="1">
        <f t="shared" si="684"/>
        <v>173.1</v>
      </c>
      <c r="P2265" s="1">
        <f t="shared" si="685"/>
        <v>0</v>
      </c>
      <c r="Q2265" s="1" t="str">
        <f t="shared" si="682"/>
        <v/>
      </c>
      <c r="R2265" s="1" t="str">
        <f t="shared" si="686"/>
        <v/>
      </c>
      <c r="S2265" s="1">
        <f t="shared" si="687"/>
        <v>630.90240000000244</v>
      </c>
      <c r="T2265" s="1">
        <f t="shared" si="688"/>
        <v>0</v>
      </c>
      <c r="U2265" s="1">
        <f t="shared" si="689"/>
        <v>0</v>
      </c>
      <c r="V2265" s="1">
        <f t="shared" si="690"/>
        <v>0</v>
      </c>
    </row>
    <row r="2266" spans="5:22" x14ac:dyDescent="0.25">
      <c r="E2266" s="4"/>
      <c r="M2266" s="4">
        <f t="shared" si="683"/>
        <v>173.1</v>
      </c>
      <c r="N2266" s="4"/>
      <c r="O2266" s="1">
        <f t="shared" si="684"/>
        <v>173.1</v>
      </c>
      <c r="P2266" s="1">
        <f t="shared" si="685"/>
        <v>0</v>
      </c>
      <c r="Q2266" s="1" t="str">
        <f t="shared" si="682"/>
        <v/>
      </c>
      <c r="R2266" s="1" t="str">
        <f t="shared" si="686"/>
        <v/>
      </c>
      <c r="S2266" s="1">
        <f t="shared" si="687"/>
        <v>630.90240000000244</v>
      </c>
      <c r="T2266" s="1">
        <f t="shared" si="688"/>
        <v>0</v>
      </c>
      <c r="U2266" s="1">
        <f t="shared" si="689"/>
        <v>0</v>
      </c>
      <c r="V2266" s="1">
        <f t="shared" si="690"/>
        <v>0</v>
      </c>
    </row>
    <row r="2267" spans="5:22" x14ac:dyDescent="0.25">
      <c r="E2267" s="4"/>
      <c r="M2267" s="4">
        <f t="shared" si="683"/>
        <v>173.1</v>
      </c>
      <c r="N2267" s="4"/>
      <c r="O2267" s="1">
        <f t="shared" si="684"/>
        <v>173.1</v>
      </c>
      <c r="P2267" s="1">
        <f t="shared" si="685"/>
        <v>0</v>
      </c>
      <c r="Q2267" s="1" t="str">
        <f t="shared" si="682"/>
        <v/>
      </c>
      <c r="R2267" s="1" t="str">
        <f t="shared" si="686"/>
        <v/>
      </c>
      <c r="S2267" s="1">
        <f t="shared" si="687"/>
        <v>630.90240000000244</v>
      </c>
      <c r="T2267" s="1">
        <f t="shared" si="688"/>
        <v>0</v>
      </c>
      <c r="U2267" s="1">
        <f t="shared" si="689"/>
        <v>0</v>
      </c>
      <c r="V2267" s="1">
        <f t="shared" si="690"/>
        <v>0</v>
      </c>
    </row>
    <row r="2268" spans="5:22" x14ac:dyDescent="0.25">
      <c r="E2268" s="4"/>
      <c r="M2268" s="4">
        <f t="shared" si="683"/>
        <v>173.1</v>
      </c>
      <c r="N2268" s="4"/>
      <c r="O2268" s="1">
        <f t="shared" si="684"/>
        <v>173.1</v>
      </c>
      <c r="P2268" s="1">
        <f t="shared" si="685"/>
        <v>0</v>
      </c>
      <c r="Q2268" s="1" t="str">
        <f t="shared" si="682"/>
        <v/>
      </c>
      <c r="R2268" s="1" t="str">
        <f t="shared" si="686"/>
        <v/>
      </c>
      <c r="S2268" s="1">
        <f t="shared" si="687"/>
        <v>630.90240000000244</v>
      </c>
      <c r="T2268" s="1">
        <f t="shared" si="688"/>
        <v>0</v>
      </c>
      <c r="U2268" s="1">
        <f t="shared" si="689"/>
        <v>0</v>
      </c>
      <c r="V2268" s="1">
        <f t="shared" si="690"/>
        <v>0</v>
      </c>
    </row>
    <row r="2269" spans="5:22" x14ac:dyDescent="0.25">
      <c r="E2269" s="4"/>
      <c r="M2269" s="4">
        <f t="shared" si="683"/>
        <v>173.1</v>
      </c>
      <c r="N2269" s="4"/>
      <c r="O2269" s="1">
        <f t="shared" si="684"/>
        <v>173.1</v>
      </c>
      <c r="P2269" s="1">
        <f t="shared" si="685"/>
        <v>0</v>
      </c>
      <c r="Q2269" s="1" t="str">
        <f t="shared" si="682"/>
        <v/>
      </c>
      <c r="R2269" s="1" t="str">
        <f t="shared" si="686"/>
        <v/>
      </c>
      <c r="S2269" s="1">
        <f t="shared" si="687"/>
        <v>630.90240000000244</v>
      </c>
      <c r="T2269" s="1">
        <f t="shared" si="688"/>
        <v>0</v>
      </c>
      <c r="U2269" s="1">
        <f t="shared" si="689"/>
        <v>0</v>
      </c>
      <c r="V2269" s="1">
        <f t="shared" si="690"/>
        <v>0</v>
      </c>
    </row>
    <row r="2270" spans="5:22" x14ac:dyDescent="0.25">
      <c r="E2270" s="4"/>
      <c r="M2270" s="4">
        <f t="shared" si="683"/>
        <v>173.1</v>
      </c>
      <c r="N2270" s="4"/>
      <c r="O2270" s="1">
        <f t="shared" si="684"/>
        <v>173.1</v>
      </c>
      <c r="P2270" s="1">
        <f t="shared" si="685"/>
        <v>0</v>
      </c>
      <c r="Q2270" s="1" t="str">
        <f t="shared" si="682"/>
        <v/>
      </c>
      <c r="R2270" s="1" t="str">
        <f t="shared" si="686"/>
        <v/>
      </c>
      <c r="S2270" s="1">
        <f t="shared" si="687"/>
        <v>630.90240000000244</v>
      </c>
      <c r="T2270" s="1">
        <f t="shared" si="688"/>
        <v>0</v>
      </c>
      <c r="U2270" s="1">
        <f t="shared" si="689"/>
        <v>0</v>
      </c>
      <c r="V2270" s="1">
        <f t="shared" si="690"/>
        <v>0</v>
      </c>
    </row>
    <row r="2271" spans="5:22" x14ac:dyDescent="0.25">
      <c r="E2271" s="4"/>
      <c r="M2271" s="4">
        <f t="shared" si="683"/>
        <v>173.1</v>
      </c>
      <c r="N2271" s="4"/>
      <c r="O2271" s="1">
        <f t="shared" si="684"/>
        <v>173.1</v>
      </c>
      <c r="P2271" s="1">
        <f t="shared" si="685"/>
        <v>0</v>
      </c>
      <c r="Q2271" s="1" t="str">
        <f t="shared" si="682"/>
        <v/>
      </c>
      <c r="R2271" s="1" t="str">
        <f t="shared" si="686"/>
        <v/>
      </c>
      <c r="S2271" s="1">
        <f t="shared" si="687"/>
        <v>630.90240000000244</v>
      </c>
      <c r="T2271" s="1">
        <f t="shared" si="688"/>
        <v>0</v>
      </c>
      <c r="U2271" s="1">
        <f t="shared" si="689"/>
        <v>0</v>
      </c>
      <c r="V2271" s="1">
        <f t="shared" si="690"/>
        <v>0</v>
      </c>
    </row>
    <row r="2272" spans="5:22" x14ac:dyDescent="0.25">
      <c r="E2272" s="4"/>
      <c r="M2272" s="4">
        <f t="shared" si="683"/>
        <v>173.1</v>
      </c>
      <c r="N2272" s="4"/>
      <c r="O2272" s="1">
        <f t="shared" si="684"/>
        <v>173.1</v>
      </c>
      <c r="P2272" s="1">
        <f t="shared" si="685"/>
        <v>0</v>
      </c>
      <c r="Q2272" s="1" t="str">
        <f t="shared" si="682"/>
        <v/>
      </c>
      <c r="R2272" s="1" t="str">
        <f t="shared" si="686"/>
        <v/>
      </c>
      <c r="S2272" s="1">
        <f t="shared" si="687"/>
        <v>630.90240000000244</v>
      </c>
      <c r="T2272" s="1">
        <f t="shared" si="688"/>
        <v>0</v>
      </c>
      <c r="U2272" s="1">
        <f t="shared" si="689"/>
        <v>0</v>
      </c>
      <c r="V2272" s="1">
        <f t="shared" si="690"/>
        <v>0</v>
      </c>
    </row>
    <row r="2273" spans="5:22" x14ac:dyDescent="0.25">
      <c r="E2273" s="4"/>
      <c r="M2273" s="4">
        <f t="shared" si="683"/>
        <v>173.1</v>
      </c>
      <c r="N2273" s="4"/>
      <c r="O2273" s="1">
        <f t="shared" si="684"/>
        <v>173.1</v>
      </c>
      <c r="P2273" s="1">
        <f t="shared" si="685"/>
        <v>0</v>
      </c>
      <c r="Q2273" s="1" t="str">
        <f t="shared" si="682"/>
        <v/>
      </c>
      <c r="R2273" s="1" t="str">
        <f t="shared" si="686"/>
        <v/>
      </c>
      <c r="S2273" s="1">
        <f t="shared" si="687"/>
        <v>630.90240000000244</v>
      </c>
      <c r="T2273" s="1">
        <f t="shared" si="688"/>
        <v>0</v>
      </c>
      <c r="U2273" s="1">
        <f t="shared" si="689"/>
        <v>0</v>
      </c>
      <c r="V2273" s="1">
        <f t="shared" si="690"/>
        <v>0</v>
      </c>
    </row>
    <row r="2274" spans="5:22" x14ac:dyDescent="0.25">
      <c r="E2274" s="4"/>
      <c r="M2274" s="4">
        <f t="shared" si="683"/>
        <v>173.1</v>
      </c>
      <c r="N2274" s="4"/>
      <c r="O2274" s="1">
        <f t="shared" si="684"/>
        <v>173.1</v>
      </c>
      <c r="P2274" s="1">
        <f t="shared" si="685"/>
        <v>0</v>
      </c>
      <c r="Q2274" s="1" t="str">
        <f t="shared" si="682"/>
        <v/>
      </c>
      <c r="R2274" s="1" t="str">
        <f t="shared" si="686"/>
        <v/>
      </c>
      <c r="S2274" s="1">
        <f t="shared" si="687"/>
        <v>630.90240000000244</v>
      </c>
      <c r="T2274" s="1">
        <f t="shared" si="688"/>
        <v>0</v>
      </c>
      <c r="U2274" s="1">
        <f t="shared" si="689"/>
        <v>0</v>
      </c>
      <c r="V2274" s="1">
        <f t="shared" si="690"/>
        <v>0</v>
      </c>
    </row>
    <row r="2275" spans="5:22" x14ac:dyDescent="0.25">
      <c r="E2275" s="4"/>
      <c r="M2275" s="4">
        <f t="shared" si="683"/>
        <v>173.1</v>
      </c>
      <c r="N2275" s="4"/>
      <c r="O2275" s="1">
        <f t="shared" si="684"/>
        <v>173.1</v>
      </c>
      <c r="P2275" s="1">
        <f t="shared" si="685"/>
        <v>0</v>
      </c>
      <c r="Q2275" s="1" t="str">
        <f t="shared" si="682"/>
        <v/>
      </c>
      <c r="R2275" s="1" t="str">
        <f t="shared" si="686"/>
        <v/>
      </c>
      <c r="S2275" s="1">
        <f t="shared" si="687"/>
        <v>630.90240000000244</v>
      </c>
      <c r="T2275" s="1">
        <f t="shared" si="688"/>
        <v>0</v>
      </c>
      <c r="U2275" s="1">
        <f t="shared" si="689"/>
        <v>0</v>
      </c>
      <c r="V2275" s="1">
        <f t="shared" si="690"/>
        <v>0</v>
      </c>
    </row>
    <row r="2276" spans="5:22" x14ac:dyDescent="0.25">
      <c r="E2276" s="4"/>
      <c r="M2276" s="4">
        <f t="shared" si="683"/>
        <v>173.1</v>
      </c>
      <c r="N2276" s="4"/>
      <c r="O2276" s="1">
        <f t="shared" si="684"/>
        <v>173.1</v>
      </c>
      <c r="P2276" s="1">
        <f t="shared" si="685"/>
        <v>0</v>
      </c>
      <c r="Q2276" s="1" t="str">
        <f t="shared" si="682"/>
        <v/>
      </c>
      <c r="R2276" s="1" t="str">
        <f t="shared" si="686"/>
        <v/>
      </c>
      <c r="S2276" s="1">
        <f t="shared" si="687"/>
        <v>630.90240000000244</v>
      </c>
      <c r="T2276" s="1">
        <f t="shared" si="688"/>
        <v>0</v>
      </c>
      <c r="U2276" s="1">
        <f t="shared" si="689"/>
        <v>0</v>
      </c>
      <c r="V2276" s="1">
        <f t="shared" si="690"/>
        <v>0</v>
      </c>
    </row>
    <row r="2277" spans="5:22" x14ac:dyDescent="0.25">
      <c r="E2277" s="4"/>
      <c r="M2277" s="4">
        <f t="shared" si="683"/>
        <v>173.1</v>
      </c>
      <c r="N2277" s="4"/>
      <c r="O2277" s="1">
        <f t="shared" si="684"/>
        <v>173.1</v>
      </c>
      <c r="P2277" s="1">
        <f t="shared" si="685"/>
        <v>0</v>
      </c>
      <c r="Q2277" s="1" t="str">
        <f t="shared" si="682"/>
        <v/>
      </c>
      <c r="R2277" s="1" t="str">
        <f t="shared" si="686"/>
        <v/>
      </c>
      <c r="S2277" s="1">
        <f t="shared" si="687"/>
        <v>630.90240000000244</v>
      </c>
      <c r="T2277" s="1">
        <f t="shared" si="688"/>
        <v>0</v>
      </c>
      <c r="U2277" s="1">
        <f t="shared" si="689"/>
        <v>0</v>
      </c>
      <c r="V2277" s="1">
        <f t="shared" si="690"/>
        <v>0</v>
      </c>
    </row>
    <row r="2278" spans="5:22" x14ac:dyDescent="0.25">
      <c r="E2278" s="4"/>
      <c r="M2278" s="4">
        <f t="shared" si="683"/>
        <v>173.1</v>
      </c>
      <c r="N2278" s="4"/>
      <c r="O2278" s="1">
        <f t="shared" si="684"/>
        <v>173.1</v>
      </c>
      <c r="P2278" s="1">
        <f t="shared" si="685"/>
        <v>0</v>
      </c>
      <c r="Q2278" s="1" t="str">
        <f t="shared" si="682"/>
        <v/>
      </c>
      <c r="R2278" s="1" t="str">
        <f t="shared" si="686"/>
        <v/>
      </c>
      <c r="S2278" s="1">
        <f t="shared" si="687"/>
        <v>630.90240000000244</v>
      </c>
      <c r="T2278" s="1">
        <f t="shared" si="688"/>
        <v>0</v>
      </c>
      <c r="U2278" s="1">
        <f t="shared" si="689"/>
        <v>0</v>
      </c>
      <c r="V2278" s="1">
        <f t="shared" si="690"/>
        <v>0</v>
      </c>
    </row>
    <row r="2279" spans="5:22" x14ac:dyDescent="0.25">
      <c r="E2279" s="4"/>
      <c r="M2279" s="4">
        <f t="shared" si="683"/>
        <v>173.1</v>
      </c>
      <c r="N2279" s="4"/>
      <c r="O2279" s="1">
        <f t="shared" si="684"/>
        <v>173.1</v>
      </c>
      <c r="P2279" s="1">
        <f t="shared" si="685"/>
        <v>0</v>
      </c>
      <c r="Q2279" s="1" t="str">
        <f t="shared" si="682"/>
        <v/>
      </c>
      <c r="R2279" s="1" t="str">
        <f t="shared" si="686"/>
        <v/>
      </c>
      <c r="S2279" s="1">
        <f t="shared" si="687"/>
        <v>630.90240000000244</v>
      </c>
      <c r="T2279" s="1">
        <f t="shared" si="688"/>
        <v>0</v>
      </c>
      <c r="U2279" s="1">
        <f t="shared" si="689"/>
        <v>0</v>
      </c>
      <c r="V2279" s="1">
        <f t="shared" si="690"/>
        <v>0</v>
      </c>
    </row>
    <row r="2280" spans="5:22" x14ac:dyDescent="0.25">
      <c r="E2280" s="4"/>
      <c r="M2280" s="4">
        <f t="shared" si="683"/>
        <v>173.1</v>
      </c>
      <c r="N2280" s="4"/>
      <c r="O2280" s="1">
        <f t="shared" si="684"/>
        <v>173.1</v>
      </c>
      <c r="P2280" s="1">
        <f t="shared" si="685"/>
        <v>0</v>
      </c>
      <c r="Q2280" s="1" t="str">
        <f t="shared" si="682"/>
        <v/>
      </c>
      <c r="R2280" s="1" t="str">
        <f t="shared" si="686"/>
        <v/>
      </c>
      <c r="S2280" s="1">
        <f t="shared" si="687"/>
        <v>630.90240000000244</v>
      </c>
      <c r="T2280" s="1">
        <f t="shared" si="688"/>
        <v>0</v>
      </c>
      <c r="U2280" s="1">
        <f t="shared" si="689"/>
        <v>0</v>
      </c>
      <c r="V2280" s="1">
        <f t="shared" si="690"/>
        <v>0</v>
      </c>
    </row>
    <row r="2281" spans="5:22" x14ac:dyDescent="0.25">
      <c r="E2281" s="4"/>
      <c r="M2281" s="4">
        <f t="shared" si="683"/>
        <v>173.1</v>
      </c>
      <c r="N2281" s="4"/>
      <c r="O2281" s="1">
        <f t="shared" si="684"/>
        <v>173.1</v>
      </c>
      <c r="P2281" s="1">
        <f t="shared" si="685"/>
        <v>0</v>
      </c>
      <c r="Q2281" s="1" t="str">
        <f t="shared" si="682"/>
        <v/>
      </c>
      <c r="R2281" s="1" t="str">
        <f t="shared" si="686"/>
        <v/>
      </c>
      <c r="S2281" s="1">
        <f t="shared" si="687"/>
        <v>630.90240000000244</v>
      </c>
      <c r="T2281" s="1">
        <f t="shared" si="688"/>
        <v>0</v>
      </c>
      <c r="U2281" s="1">
        <f t="shared" si="689"/>
        <v>0</v>
      </c>
      <c r="V2281" s="1">
        <f t="shared" si="690"/>
        <v>0</v>
      </c>
    </row>
    <row r="2282" spans="5:22" x14ac:dyDescent="0.25">
      <c r="E2282" s="4"/>
      <c r="M2282" s="4">
        <f t="shared" si="683"/>
        <v>173.1</v>
      </c>
      <c r="N2282" s="4"/>
      <c r="O2282" s="1">
        <f t="shared" si="684"/>
        <v>173.1</v>
      </c>
      <c r="P2282" s="1">
        <f t="shared" si="685"/>
        <v>0</v>
      </c>
      <c r="Q2282" s="1" t="str">
        <f t="shared" si="682"/>
        <v/>
      </c>
      <c r="R2282" s="1" t="str">
        <f t="shared" si="686"/>
        <v/>
      </c>
      <c r="S2282" s="1">
        <f t="shared" si="687"/>
        <v>630.90240000000244</v>
      </c>
      <c r="T2282" s="1">
        <f t="shared" si="688"/>
        <v>0</v>
      </c>
      <c r="U2282" s="1">
        <f t="shared" si="689"/>
        <v>0</v>
      </c>
      <c r="V2282" s="1">
        <f t="shared" si="690"/>
        <v>0</v>
      </c>
    </row>
    <row r="2283" spans="5:22" x14ac:dyDescent="0.25">
      <c r="E2283" s="4"/>
      <c r="M2283" s="4">
        <f t="shared" si="683"/>
        <v>173.1</v>
      </c>
      <c r="N2283" s="4"/>
      <c r="O2283" s="1">
        <f t="shared" si="684"/>
        <v>173.1</v>
      </c>
      <c r="P2283" s="1">
        <f t="shared" si="685"/>
        <v>0</v>
      </c>
      <c r="Q2283" s="1" t="str">
        <f t="shared" si="682"/>
        <v/>
      </c>
      <c r="R2283" s="1" t="str">
        <f t="shared" si="686"/>
        <v/>
      </c>
      <c r="S2283" s="1">
        <f t="shared" si="687"/>
        <v>630.90240000000244</v>
      </c>
      <c r="T2283" s="1">
        <f t="shared" si="688"/>
        <v>0</v>
      </c>
      <c r="U2283" s="1">
        <f t="shared" si="689"/>
        <v>0</v>
      </c>
      <c r="V2283" s="1">
        <f t="shared" si="690"/>
        <v>0</v>
      </c>
    </row>
    <row r="2284" spans="5:22" x14ac:dyDescent="0.25">
      <c r="E2284" s="4"/>
      <c r="M2284" s="4">
        <f t="shared" si="683"/>
        <v>173.1</v>
      </c>
      <c r="N2284" s="4"/>
      <c r="O2284" s="1">
        <f t="shared" si="684"/>
        <v>173.1</v>
      </c>
      <c r="P2284" s="1">
        <f t="shared" si="685"/>
        <v>0</v>
      </c>
      <c r="Q2284" s="1" t="str">
        <f t="shared" si="682"/>
        <v/>
      </c>
      <c r="R2284" s="1" t="str">
        <f t="shared" si="686"/>
        <v/>
      </c>
      <c r="S2284" s="1">
        <f t="shared" si="687"/>
        <v>630.90240000000244</v>
      </c>
      <c r="T2284" s="1">
        <f t="shared" si="688"/>
        <v>0</v>
      </c>
      <c r="U2284" s="1">
        <f t="shared" si="689"/>
        <v>0</v>
      </c>
      <c r="V2284" s="1">
        <f t="shared" si="690"/>
        <v>0</v>
      </c>
    </row>
    <row r="2285" spans="5:22" x14ac:dyDescent="0.25">
      <c r="E2285" s="4"/>
      <c r="M2285" s="4">
        <f t="shared" si="683"/>
        <v>173.1</v>
      </c>
      <c r="N2285" s="4"/>
      <c r="O2285" s="1">
        <f t="shared" si="684"/>
        <v>173.1</v>
      </c>
      <c r="P2285" s="1">
        <f t="shared" si="685"/>
        <v>0</v>
      </c>
      <c r="Q2285" s="1" t="str">
        <f t="shared" si="682"/>
        <v/>
      </c>
      <c r="R2285" s="1" t="str">
        <f t="shared" si="686"/>
        <v/>
      </c>
      <c r="S2285" s="1">
        <f t="shared" si="687"/>
        <v>630.90240000000244</v>
      </c>
      <c r="T2285" s="1">
        <f t="shared" si="688"/>
        <v>0</v>
      </c>
      <c r="U2285" s="1">
        <f t="shared" si="689"/>
        <v>0</v>
      </c>
      <c r="V2285" s="1">
        <f t="shared" si="690"/>
        <v>0</v>
      </c>
    </row>
    <row r="2286" spans="5:22" x14ac:dyDescent="0.25">
      <c r="E2286" s="4"/>
      <c r="M2286" s="4">
        <f t="shared" si="683"/>
        <v>173.1</v>
      </c>
      <c r="N2286" s="4"/>
      <c r="O2286" s="1">
        <f t="shared" si="684"/>
        <v>173.1</v>
      </c>
      <c r="P2286" s="1">
        <f t="shared" si="685"/>
        <v>0</v>
      </c>
      <c r="Q2286" s="1" t="str">
        <f t="shared" si="682"/>
        <v/>
      </c>
      <c r="R2286" s="1" t="str">
        <f t="shared" si="686"/>
        <v/>
      </c>
      <c r="S2286" s="1">
        <f t="shared" si="687"/>
        <v>630.90240000000244</v>
      </c>
      <c r="T2286" s="1">
        <f t="shared" si="688"/>
        <v>0</v>
      </c>
      <c r="U2286" s="1">
        <f t="shared" si="689"/>
        <v>0</v>
      </c>
      <c r="V2286" s="1">
        <f t="shared" si="690"/>
        <v>0</v>
      </c>
    </row>
    <row r="2287" spans="5:22" x14ac:dyDescent="0.25">
      <c r="E2287" s="4"/>
      <c r="M2287" s="4">
        <f t="shared" si="683"/>
        <v>173.1</v>
      </c>
      <c r="N2287" s="4"/>
      <c r="O2287" s="1">
        <f t="shared" si="684"/>
        <v>173.1</v>
      </c>
      <c r="P2287" s="1">
        <f t="shared" si="685"/>
        <v>0</v>
      </c>
      <c r="Q2287" s="1" t="str">
        <f t="shared" si="682"/>
        <v/>
      </c>
      <c r="R2287" s="1" t="str">
        <f t="shared" si="686"/>
        <v/>
      </c>
      <c r="S2287" s="1">
        <f t="shared" si="687"/>
        <v>630.90240000000244</v>
      </c>
      <c r="T2287" s="1">
        <f t="shared" si="688"/>
        <v>0</v>
      </c>
      <c r="U2287" s="1">
        <f t="shared" si="689"/>
        <v>0</v>
      </c>
      <c r="V2287" s="1">
        <f t="shared" si="690"/>
        <v>0</v>
      </c>
    </row>
    <row r="2288" spans="5:22" x14ac:dyDescent="0.25">
      <c r="E2288" s="4"/>
      <c r="M2288" s="4">
        <f t="shared" si="683"/>
        <v>173.1</v>
      </c>
      <c r="N2288" s="4"/>
      <c r="O2288" s="1">
        <f t="shared" si="684"/>
        <v>173.1</v>
      </c>
      <c r="P2288" s="1">
        <f t="shared" si="685"/>
        <v>0</v>
      </c>
      <c r="Q2288" s="1" t="str">
        <f t="shared" si="682"/>
        <v/>
      </c>
      <c r="R2288" s="1" t="str">
        <f t="shared" si="686"/>
        <v/>
      </c>
      <c r="S2288" s="1">
        <f t="shared" si="687"/>
        <v>630.90240000000244</v>
      </c>
      <c r="T2288" s="1">
        <f t="shared" si="688"/>
        <v>0</v>
      </c>
      <c r="U2288" s="1">
        <f t="shared" si="689"/>
        <v>0</v>
      </c>
      <c r="V2288" s="1">
        <f t="shared" si="690"/>
        <v>0</v>
      </c>
    </row>
    <row r="2289" spans="5:22" x14ac:dyDescent="0.25">
      <c r="E2289" s="4"/>
      <c r="M2289" s="4">
        <f t="shared" si="683"/>
        <v>173.1</v>
      </c>
      <c r="N2289" s="4"/>
      <c r="O2289" s="1">
        <f t="shared" si="684"/>
        <v>173.1</v>
      </c>
      <c r="P2289" s="1">
        <f t="shared" si="685"/>
        <v>0</v>
      </c>
      <c r="Q2289" s="1" t="str">
        <f t="shared" si="682"/>
        <v/>
      </c>
      <c r="R2289" s="1" t="str">
        <f t="shared" si="686"/>
        <v/>
      </c>
      <c r="S2289" s="1">
        <f t="shared" si="687"/>
        <v>630.90240000000244</v>
      </c>
      <c r="T2289" s="1">
        <f t="shared" si="688"/>
        <v>0</v>
      </c>
      <c r="U2289" s="1">
        <f t="shared" si="689"/>
        <v>0</v>
      </c>
      <c r="V2289" s="1">
        <f t="shared" si="690"/>
        <v>0</v>
      </c>
    </row>
    <row r="2290" spans="5:22" x14ac:dyDescent="0.25">
      <c r="E2290" s="4"/>
      <c r="M2290" s="4">
        <f t="shared" si="683"/>
        <v>173.1</v>
      </c>
      <c r="N2290" s="4"/>
      <c r="O2290" s="1">
        <f t="shared" si="684"/>
        <v>173.1</v>
      </c>
      <c r="P2290" s="1">
        <f t="shared" si="685"/>
        <v>0</v>
      </c>
      <c r="Q2290" s="1" t="str">
        <f t="shared" ref="Q2290:Q2353" si="691">IF(H2290&lt;&gt;"",IF(H2290=H2289,"",H2290),IF(H2288="","",MAX(H2289,Q2289)))</f>
        <v/>
      </c>
      <c r="R2290" s="1" t="str">
        <f t="shared" si="686"/>
        <v/>
      </c>
      <c r="S2290" s="1">
        <f t="shared" si="687"/>
        <v>630.90240000000244</v>
      </c>
      <c r="T2290" s="1">
        <f t="shared" si="688"/>
        <v>0</v>
      </c>
      <c r="U2290" s="1">
        <f t="shared" si="689"/>
        <v>0</v>
      </c>
      <c r="V2290" s="1">
        <f t="shared" si="690"/>
        <v>0</v>
      </c>
    </row>
    <row r="2291" spans="5:22" x14ac:dyDescent="0.25">
      <c r="E2291" s="4"/>
      <c r="M2291" s="4">
        <f t="shared" si="683"/>
        <v>173.1</v>
      </c>
      <c r="N2291" s="4"/>
      <c r="O2291" s="1">
        <f t="shared" si="684"/>
        <v>173.1</v>
      </c>
      <c r="P2291" s="1">
        <f t="shared" si="685"/>
        <v>0</v>
      </c>
      <c r="Q2291" s="1" t="str">
        <f t="shared" si="691"/>
        <v/>
      </c>
      <c r="R2291" s="1" t="str">
        <f t="shared" si="686"/>
        <v/>
      </c>
      <c r="S2291" s="1">
        <f t="shared" si="687"/>
        <v>630.90240000000244</v>
      </c>
      <c r="T2291" s="1">
        <f t="shared" si="688"/>
        <v>0</v>
      </c>
      <c r="U2291" s="1">
        <f t="shared" si="689"/>
        <v>0</v>
      </c>
      <c r="V2291" s="1">
        <f t="shared" si="690"/>
        <v>0</v>
      </c>
    </row>
    <row r="2292" spans="5:22" x14ac:dyDescent="0.25">
      <c r="E2292" s="4"/>
      <c r="M2292" s="4">
        <f t="shared" si="683"/>
        <v>173.1</v>
      </c>
      <c r="N2292" s="4"/>
      <c r="O2292" s="1">
        <f t="shared" si="684"/>
        <v>173.1</v>
      </c>
      <c r="P2292" s="1">
        <f t="shared" si="685"/>
        <v>0</v>
      </c>
      <c r="Q2292" s="1" t="str">
        <f t="shared" si="691"/>
        <v/>
      </c>
      <c r="R2292" s="1" t="str">
        <f t="shared" si="686"/>
        <v/>
      </c>
      <c r="S2292" s="1">
        <f t="shared" si="687"/>
        <v>630.90240000000244</v>
      </c>
      <c r="T2292" s="1">
        <f t="shared" si="688"/>
        <v>0</v>
      </c>
      <c r="U2292" s="1">
        <f t="shared" si="689"/>
        <v>0</v>
      </c>
      <c r="V2292" s="1">
        <f t="shared" si="690"/>
        <v>0</v>
      </c>
    </row>
    <row r="2293" spans="5:22" x14ac:dyDescent="0.25">
      <c r="E2293" s="4"/>
      <c r="M2293" s="4">
        <f t="shared" si="683"/>
        <v>173.1</v>
      </c>
      <c r="N2293" s="4"/>
      <c r="O2293" s="1">
        <f t="shared" si="684"/>
        <v>173.1</v>
      </c>
      <c r="P2293" s="1">
        <f t="shared" si="685"/>
        <v>0</v>
      </c>
      <c r="Q2293" s="1" t="str">
        <f t="shared" si="691"/>
        <v/>
      </c>
      <c r="R2293" s="1" t="str">
        <f t="shared" si="686"/>
        <v/>
      </c>
      <c r="S2293" s="1">
        <f t="shared" si="687"/>
        <v>630.90240000000244</v>
      </c>
      <c r="T2293" s="1">
        <f t="shared" si="688"/>
        <v>0</v>
      </c>
      <c r="U2293" s="1">
        <f t="shared" si="689"/>
        <v>0</v>
      </c>
      <c r="V2293" s="1">
        <f t="shared" si="690"/>
        <v>0</v>
      </c>
    </row>
    <row r="2294" spans="5:22" x14ac:dyDescent="0.25">
      <c r="E2294" s="4"/>
      <c r="M2294" s="4">
        <f t="shared" si="683"/>
        <v>173.1</v>
      </c>
      <c r="N2294" s="4"/>
      <c r="O2294" s="1">
        <f t="shared" si="684"/>
        <v>173.1</v>
      </c>
      <c r="P2294" s="1">
        <f t="shared" si="685"/>
        <v>0</v>
      </c>
      <c r="Q2294" s="1" t="str">
        <f t="shared" si="691"/>
        <v/>
      </c>
      <c r="R2294" s="1" t="str">
        <f t="shared" si="686"/>
        <v/>
      </c>
      <c r="S2294" s="1">
        <f t="shared" si="687"/>
        <v>630.90240000000244</v>
      </c>
      <c r="T2294" s="1">
        <f t="shared" si="688"/>
        <v>0</v>
      </c>
      <c r="U2294" s="1">
        <f t="shared" si="689"/>
        <v>0</v>
      </c>
      <c r="V2294" s="1">
        <f t="shared" si="690"/>
        <v>0</v>
      </c>
    </row>
    <row r="2295" spans="5:22" x14ac:dyDescent="0.25">
      <c r="E2295" s="4"/>
      <c r="M2295" s="4">
        <f t="shared" si="683"/>
        <v>173.1</v>
      </c>
      <c r="N2295" s="4"/>
      <c r="O2295" s="1">
        <f t="shared" si="684"/>
        <v>173.1</v>
      </c>
      <c r="P2295" s="1">
        <f t="shared" si="685"/>
        <v>0</v>
      </c>
      <c r="Q2295" s="1" t="str">
        <f t="shared" si="691"/>
        <v/>
      </c>
      <c r="R2295" s="1" t="str">
        <f t="shared" si="686"/>
        <v/>
      </c>
      <c r="S2295" s="1">
        <f t="shared" si="687"/>
        <v>630.90240000000244</v>
      </c>
      <c r="T2295" s="1">
        <f t="shared" si="688"/>
        <v>0</v>
      </c>
      <c r="U2295" s="1">
        <f t="shared" si="689"/>
        <v>0</v>
      </c>
      <c r="V2295" s="1">
        <f t="shared" si="690"/>
        <v>0</v>
      </c>
    </row>
    <row r="2296" spans="5:22" x14ac:dyDescent="0.25">
      <c r="E2296" s="4"/>
      <c r="M2296" s="4">
        <f t="shared" si="683"/>
        <v>173.1</v>
      </c>
      <c r="N2296" s="4"/>
      <c r="O2296" s="1">
        <f t="shared" si="684"/>
        <v>173.1</v>
      </c>
      <c r="P2296" s="1">
        <f t="shared" si="685"/>
        <v>0</v>
      </c>
      <c r="Q2296" s="1" t="str">
        <f t="shared" si="691"/>
        <v/>
      </c>
      <c r="R2296" s="1" t="str">
        <f t="shared" si="686"/>
        <v/>
      </c>
      <c r="S2296" s="1">
        <f t="shared" si="687"/>
        <v>630.90240000000244</v>
      </c>
      <c r="T2296" s="1">
        <f t="shared" si="688"/>
        <v>0</v>
      </c>
      <c r="U2296" s="1">
        <f t="shared" si="689"/>
        <v>0</v>
      </c>
      <c r="V2296" s="1">
        <f t="shared" si="690"/>
        <v>0</v>
      </c>
    </row>
    <row r="2297" spans="5:22" x14ac:dyDescent="0.25">
      <c r="E2297" s="4"/>
      <c r="M2297" s="4">
        <f t="shared" si="683"/>
        <v>173.1</v>
      </c>
      <c r="N2297" s="4"/>
      <c r="O2297" s="1">
        <f t="shared" si="684"/>
        <v>173.1</v>
      </c>
      <c r="P2297" s="1">
        <f t="shared" si="685"/>
        <v>0</v>
      </c>
      <c r="Q2297" s="1" t="str">
        <f t="shared" si="691"/>
        <v/>
      </c>
      <c r="R2297" s="1" t="str">
        <f t="shared" si="686"/>
        <v/>
      </c>
      <c r="S2297" s="1">
        <f t="shared" si="687"/>
        <v>630.90240000000244</v>
      </c>
      <c r="T2297" s="1">
        <f t="shared" si="688"/>
        <v>0</v>
      </c>
      <c r="U2297" s="1">
        <f t="shared" si="689"/>
        <v>0</v>
      </c>
      <c r="V2297" s="1">
        <f t="shared" si="690"/>
        <v>0</v>
      </c>
    </row>
    <row r="2298" spans="5:22" x14ac:dyDescent="0.25">
      <c r="E2298" s="4"/>
      <c r="M2298" s="4">
        <f t="shared" si="683"/>
        <v>173.1</v>
      </c>
      <c r="N2298" s="4"/>
      <c r="O2298" s="1">
        <f t="shared" si="684"/>
        <v>173.1</v>
      </c>
      <c r="P2298" s="1">
        <f t="shared" si="685"/>
        <v>0</v>
      </c>
      <c r="Q2298" s="1" t="str">
        <f t="shared" si="691"/>
        <v/>
      </c>
      <c r="R2298" s="1" t="str">
        <f t="shared" si="686"/>
        <v/>
      </c>
      <c r="S2298" s="1">
        <f t="shared" si="687"/>
        <v>630.90240000000244</v>
      </c>
      <c r="T2298" s="1">
        <f t="shared" si="688"/>
        <v>0</v>
      </c>
      <c r="U2298" s="1">
        <f t="shared" si="689"/>
        <v>0</v>
      </c>
      <c r="V2298" s="1">
        <f t="shared" si="690"/>
        <v>0</v>
      </c>
    </row>
    <row r="2299" spans="5:22" x14ac:dyDescent="0.25">
      <c r="E2299" s="4"/>
      <c r="M2299" s="4">
        <f t="shared" si="683"/>
        <v>173.1</v>
      </c>
      <c r="N2299" s="4"/>
      <c r="O2299" s="1">
        <f t="shared" si="684"/>
        <v>173.1</v>
      </c>
      <c r="P2299" s="1">
        <f t="shared" si="685"/>
        <v>0</v>
      </c>
      <c r="Q2299" s="1" t="str">
        <f t="shared" si="691"/>
        <v/>
      </c>
      <c r="R2299" s="1" t="str">
        <f t="shared" si="686"/>
        <v/>
      </c>
      <c r="S2299" s="1">
        <f t="shared" si="687"/>
        <v>630.90240000000244</v>
      </c>
      <c r="T2299" s="1">
        <f t="shared" si="688"/>
        <v>0</v>
      </c>
      <c r="U2299" s="1">
        <f t="shared" si="689"/>
        <v>0</v>
      </c>
      <c r="V2299" s="1">
        <f t="shared" si="690"/>
        <v>0</v>
      </c>
    </row>
    <row r="2300" spans="5:22" x14ac:dyDescent="0.25">
      <c r="E2300" s="4"/>
      <c r="M2300" s="4">
        <f t="shared" si="683"/>
        <v>173.1</v>
      </c>
      <c r="N2300" s="4"/>
      <c r="O2300" s="1">
        <f t="shared" si="684"/>
        <v>173.1</v>
      </c>
      <c r="P2300" s="1">
        <f t="shared" si="685"/>
        <v>0</v>
      </c>
      <c r="Q2300" s="1" t="str">
        <f t="shared" si="691"/>
        <v/>
      </c>
      <c r="R2300" s="1" t="str">
        <f t="shared" si="686"/>
        <v/>
      </c>
      <c r="S2300" s="1">
        <f t="shared" si="687"/>
        <v>630.90240000000244</v>
      </c>
      <c r="T2300" s="1">
        <f t="shared" si="688"/>
        <v>0</v>
      </c>
      <c r="U2300" s="1">
        <f t="shared" si="689"/>
        <v>0</v>
      </c>
      <c r="V2300" s="1">
        <f t="shared" si="690"/>
        <v>0</v>
      </c>
    </row>
    <row r="2301" spans="5:22" x14ac:dyDescent="0.25">
      <c r="E2301" s="4"/>
      <c r="M2301" s="4">
        <f t="shared" si="683"/>
        <v>173.1</v>
      </c>
      <c r="N2301" s="4"/>
      <c r="O2301" s="1">
        <f t="shared" si="684"/>
        <v>173.1</v>
      </c>
      <c r="P2301" s="1">
        <f t="shared" si="685"/>
        <v>0</v>
      </c>
      <c r="Q2301" s="1" t="str">
        <f t="shared" si="691"/>
        <v/>
      </c>
      <c r="R2301" s="1" t="str">
        <f t="shared" si="686"/>
        <v/>
      </c>
      <c r="S2301" s="1">
        <f t="shared" si="687"/>
        <v>630.90240000000244</v>
      </c>
      <c r="T2301" s="1">
        <f t="shared" si="688"/>
        <v>0</v>
      </c>
      <c r="U2301" s="1">
        <f t="shared" si="689"/>
        <v>0</v>
      </c>
      <c r="V2301" s="1">
        <f t="shared" si="690"/>
        <v>0</v>
      </c>
    </row>
    <row r="2302" spans="5:22" x14ac:dyDescent="0.25">
      <c r="E2302" s="4"/>
      <c r="M2302" s="4">
        <f t="shared" si="683"/>
        <v>173.1</v>
      </c>
      <c r="N2302" s="4"/>
      <c r="O2302" s="1">
        <f t="shared" si="684"/>
        <v>173.1</v>
      </c>
      <c r="P2302" s="1">
        <f t="shared" si="685"/>
        <v>0</v>
      </c>
      <c r="Q2302" s="1" t="str">
        <f t="shared" si="691"/>
        <v/>
      </c>
      <c r="R2302" s="1" t="str">
        <f t="shared" si="686"/>
        <v/>
      </c>
      <c r="S2302" s="1">
        <f t="shared" si="687"/>
        <v>630.90240000000244</v>
      </c>
      <c r="T2302" s="1">
        <f t="shared" si="688"/>
        <v>0</v>
      </c>
      <c r="U2302" s="1">
        <f t="shared" si="689"/>
        <v>0</v>
      </c>
      <c r="V2302" s="1">
        <f t="shared" si="690"/>
        <v>0</v>
      </c>
    </row>
    <row r="2303" spans="5:22" x14ac:dyDescent="0.25">
      <c r="E2303" s="4"/>
      <c r="M2303" s="4">
        <f t="shared" si="683"/>
        <v>173.1</v>
      </c>
      <c r="N2303" s="4"/>
      <c r="O2303" s="1">
        <f t="shared" si="684"/>
        <v>173.1</v>
      </c>
      <c r="P2303" s="1">
        <f t="shared" si="685"/>
        <v>0</v>
      </c>
      <c r="Q2303" s="1" t="str">
        <f t="shared" si="691"/>
        <v/>
      </c>
      <c r="R2303" s="1" t="str">
        <f t="shared" si="686"/>
        <v/>
      </c>
      <c r="S2303" s="1">
        <f t="shared" si="687"/>
        <v>630.90240000000244</v>
      </c>
      <c r="T2303" s="1">
        <f t="shared" si="688"/>
        <v>0</v>
      </c>
      <c r="U2303" s="1">
        <f t="shared" si="689"/>
        <v>0</v>
      </c>
      <c r="V2303" s="1">
        <f t="shared" si="690"/>
        <v>0</v>
      </c>
    </row>
    <row r="2304" spans="5:22" x14ac:dyDescent="0.25">
      <c r="E2304" s="4"/>
      <c r="M2304" s="4">
        <f t="shared" si="683"/>
        <v>173.1</v>
      </c>
      <c r="N2304" s="4"/>
      <c r="O2304" s="1">
        <f t="shared" si="684"/>
        <v>173.1</v>
      </c>
      <c r="P2304" s="1">
        <f t="shared" si="685"/>
        <v>0</v>
      </c>
      <c r="Q2304" s="1" t="str">
        <f t="shared" si="691"/>
        <v/>
      </c>
      <c r="R2304" s="1" t="str">
        <f t="shared" si="686"/>
        <v/>
      </c>
      <c r="S2304" s="1">
        <f t="shared" si="687"/>
        <v>630.90240000000244</v>
      </c>
      <c r="T2304" s="1">
        <f t="shared" si="688"/>
        <v>0</v>
      </c>
      <c r="U2304" s="1">
        <f t="shared" si="689"/>
        <v>0</v>
      </c>
      <c r="V2304" s="1">
        <f t="shared" si="690"/>
        <v>0</v>
      </c>
    </row>
    <row r="2305" spans="5:22" x14ac:dyDescent="0.25">
      <c r="E2305" s="4"/>
      <c r="M2305" s="4">
        <f t="shared" si="683"/>
        <v>173.1</v>
      </c>
      <c r="N2305" s="4"/>
      <c r="O2305" s="1">
        <f t="shared" si="684"/>
        <v>173.1</v>
      </c>
      <c r="P2305" s="1">
        <f t="shared" si="685"/>
        <v>0</v>
      </c>
      <c r="Q2305" s="1" t="str">
        <f t="shared" si="691"/>
        <v/>
      </c>
      <c r="R2305" s="1" t="str">
        <f t="shared" si="686"/>
        <v/>
      </c>
      <c r="S2305" s="1">
        <f t="shared" si="687"/>
        <v>630.90240000000244</v>
      </c>
      <c r="T2305" s="1">
        <f t="shared" si="688"/>
        <v>0</v>
      </c>
      <c r="U2305" s="1">
        <f t="shared" si="689"/>
        <v>0</v>
      </c>
      <c r="V2305" s="1">
        <f t="shared" si="690"/>
        <v>0</v>
      </c>
    </row>
    <row r="2306" spans="5:22" x14ac:dyDescent="0.25">
      <c r="E2306" s="4"/>
      <c r="M2306" s="4">
        <f t="shared" si="683"/>
        <v>173.1</v>
      </c>
      <c r="N2306" s="4"/>
      <c r="O2306" s="1">
        <f t="shared" si="684"/>
        <v>173.1</v>
      </c>
      <c r="P2306" s="1">
        <f t="shared" si="685"/>
        <v>0</v>
      </c>
      <c r="Q2306" s="1" t="str">
        <f t="shared" si="691"/>
        <v/>
      </c>
      <c r="R2306" s="1" t="str">
        <f t="shared" si="686"/>
        <v/>
      </c>
      <c r="S2306" s="1">
        <f t="shared" si="687"/>
        <v>630.90240000000244</v>
      </c>
      <c r="T2306" s="1">
        <f t="shared" si="688"/>
        <v>0</v>
      </c>
      <c r="U2306" s="1">
        <f t="shared" si="689"/>
        <v>0</v>
      </c>
      <c r="V2306" s="1">
        <f t="shared" si="690"/>
        <v>0</v>
      </c>
    </row>
    <row r="2307" spans="5:22" x14ac:dyDescent="0.25">
      <c r="E2307" s="4"/>
      <c r="M2307" s="4">
        <f t="shared" si="683"/>
        <v>173.1</v>
      </c>
      <c r="N2307" s="4"/>
      <c r="O2307" s="1">
        <f t="shared" si="684"/>
        <v>173.1</v>
      </c>
      <c r="P2307" s="1">
        <f t="shared" si="685"/>
        <v>0</v>
      </c>
      <c r="Q2307" s="1" t="str">
        <f t="shared" si="691"/>
        <v/>
      </c>
      <c r="R2307" s="1" t="str">
        <f t="shared" si="686"/>
        <v/>
      </c>
      <c r="S2307" s="1">
        <f t="shared" si="687"/>
        <v>630.90240000000244</v>
      </c>
      <c r="T2307" s="1">
        <f t="shared" si="688"/>
        <v>0</v>
      </c>
      <c r="U2307" s="1">
        <f t="shared" si="689"/>
        <v>0</v>
      </c>
      <c r="V2307" s="1">
        <f t="shared" si="690"/>
        <v>0</v>
      </c>
    </row>
    <row r="2308" spans="5:22" x14ac:dyDescent="0.25">
      <c r="E2308" s="4"/>
      <c r="M2308" s="4">
        <f t="shared" si="683"/>
        <v>173.1</v>
      </c>
      <c r="N2308" s="4"/>
      <c r="O2308" s="1">
        <f t="shared" si="684"/>
        <v>173.1</v>
      </c>
      <c r="P2308" s="1">
        <f t="shared" si="685"/>
        <v>0</v>
      </c>
      <c r="Q2308" s="1" t="str">
        <f t="shared" si="691"/>
        <v/>
      </c>
      <c r="R2308" s="1" t="str">
        <f t="shared" si="686"/>
        <v/>
      </c>
      <c r="S2308" s="1">
        <f t="shared" si="687"/>
        <v>630.90240000000244</v>
      </c>
      <c r="T2308" s="1">
        <f t="shared" si="688"/>
        <v>0</v>
      </c>
      <c r="U2308" s="1">
        <f t="shared" si="689"/>
        <v>0</v>
      </c>
      <c r="V2308" s="1">
        <f t="shared" si="690"/>
        <v>0</v>
      </c>
    </row>
    <row r="2309" spans="5:22" x14ac:dyDescent="0.25">
      <c r="E2309" s="4"/>
      <c r="M2309" s="4">
        <f t="shared" si="683"/>
        <v>173.1</v>
      </c>
      <c r="N2309" s="4"/>
      <c r="O2309" s="1">
        <f t="shared" si="684"/>
        <v>173.1</v>
      </c>
      <c r="P2309" s="1">
        <f t="shared" si="685"/>
        <v>0</v>
      </c>
      <c r="Q2309" s="1" t="str">
        <f t="shared" si="691"/>
        <v/>
      </c>
      <c r="R2309" s="1" t="str">
        <f t="shared" si="686"/>
        <v/>
      </c>
      <c r="S2309" s="1">
        <f t="shared" si="687"/>
        <v>630.90240000000244</v>
      </c>
      <c r="T2309" s="1">
        <f t="shared" si="688"/>
        <v>0</v>
      </c>
      <c r="U2309" s="1">
        <f t="shared" si="689"/>
        <v>0</v>
      </c>
      <c r="V2309" s="1">
        <f t="shared" si="690"/>
        <v>0</v>
      </c>
    </row>
    <row r="2310" spans="5:22" x14ac:dyDescent="0.25">
      <c r="E2310" s="4"/>
      <c r="M2310" s="4">
        <f t="shared" si="683"/>
        <v>173.1</v>
      </c>
      <c r="N2310" s="4"/>
      <c r="O2310" s="1">
        <f t="shared" si="684"/>
        <v>173.1</v>
      </c>
      <c r="P2310" s="1">
        <f t="shared" si="685"/>
        <v>0</v>
      </c>
      <c r="Q2310" s="1" t="str">
        <f t="shared" si="691"/>
        <v/>
      </c>
      <c r="R2310" s="1" t="str">
        <f t="shared" si="686"/>
        <v/>
      </c>
      <c r="S2310" s="1">
        <f t="shared" si="687"/>
        <v>630.90240000000244</v>
      </c>
      <c r="T2310" s="1">
        <f t="shared" si="688"/>
        <v>0</v>
      </c>
      <c r="U2310" s="1">
        <f t="shared" si="689"/>
        <v>0</v>
      </c>
      <c r="V2310" s="1">
        <f t="shared" si="690"/>
        <v>0</v>
      </c>
    </row>
    <row r="2311" spans="5:22" x14ac:dyDescent="0.25">
      <c r="E2311" s="4"/>
      <c r="M2311" s="4">
        <f t="shared" si="683"/>
        <v>173.1</v>
      </c>
      <c r="N2311" s="4"/>
      <c r="O2311" s="1">
        <f t="shared" si="684"/>
        <v>173.1</v>
      </c>
      <c r="P2311" s="1">
        <f t="shared" si="685"/>
        <v>0</v>
      </c>
      <c r="Q2311" s="1" t="str">
        <f t="shared" si="691"/>
        <v/>
      </c>
      <c r="R2311" s="1" t="str">
        <f t="shared" si="686"/>
        <v/>
      </c>
      <c r="S2311" s="1">
        <f t="shared" si="687"/>
        <v>630.90240000000244</v>
      </c>
      <c r="T2311" s="1">
        <f t="shared" si="688"/>
        <v>0</v>
      </c>
      <c r="U2311" s="1">
        <f t="shared" si="689"/>
        <v>0</v>
      </c>
      <c r="V2311" s="1">
        <f t="shared" si="690"/>
        <v>0</v>
      </c>
    </row>
    <row r="2312" spans="5:22" x14ac:dyDescent="0.25">
      <c r="E2312" s="4"/>
      <c r="M2312" s="4">
        <f t="shared" ref="M2312:M2375" si="692">E2312+M2311</f>
        <v>173.1</v>
      </c>
      <c r="N2312" s="4"/>
      <c r="O2312" s="1">
        <f t="shared" ref="O2312:O2375" si="693">E2311+O2311</f>
        <v>173.1</v>
      </c>
      <c r="P2312" s="1">
        <f t="shared" ref="P2312:P2375" si="694">F2312*52.8*E2312</f>
        <v>0</v>
      </c>
      <c r="Q2312" s="1" t="str">
        <f t="shared" si="691"/>
        <v/>
      </c>
      <c r="R2312" s="1" t="str">
        <f t="shared" ref="R2312:R2375" si="695">IF(I2312="",Q2312,IF(AND(H2312=H2311,I2312=I2311),"",I2312))</f>
        <v/>
      </c>
      <c r="S2312" s="1">
        <f t="shared" ref="S2312:S2375" si="696">S2311+U2311*T2311/100</f>
        <v>630.90240000000244</v>
      </c>
      <c r="T2312" s="1">
        <f t="shared" ref="T2312:T2375" si="697">IF(G2312="UNK",0,G2312)</f>
        <v>0</v>
      </c>
      <c r="U2312" s="1">
        <f t="shared" ref="U2312:U2375" si="698">E2312*5280</f>
        <v>0</v>
      </c>
      <c r="V2312" s="1">
        <f t="shared" ref="V2312:V2375" si="699">ABS(T2312*U2312)</f>
        <v>0</v>
      </c>
    </row>
    <row r="2313" spans="5:22" x14ac:dyDescent="0.25">
      <c r="E2313" s="4"/>
      <c r="M2313" s="4">
        <f t="shared" si="692"/>
        <v>173.1</v>
      </c>
      <c r="N2313" s="4"/>
      <c r="O2313" s="1">
        <f t="shared" si="693"/>
        <v>173.1</v>
      </c>
      <c r="P2313" s="1">
        <f t="shared" si="694"/>
        <v>0</v>
      </c>
      <c r="Q2313" s="1" t="str">
        <f t="shared" si="691"/>
        <v/>
      </c>
      <c r="R2313" s="1" t="str">
        <f t="shared" si="695"/>
        <v/>
      </c>
      <c r="S2313" s="1">
        <f t="shared" si="696"/>
        <v>630.90240000000244</v>
      </c>
      <c r="T2313" s="1">
        <f t="shared" si="697"/>
        <v>0</v>
      </c>
      <c r="U2313" s="1">
        <f t="shared" si="698"/>
        <v>0</v>
      </c>
      <c r="V2313" s="1">
        <f t="shared" si="699"/>
        <v>0</v>
      </c>
    </row>
    <row r="2314" spans="5:22" x14ac:dyDescent="0.25">
      <c r="E2314" s="4"/>
      <c r="M2314" s="4">
        <f t="shared" si="692"/>
        <v>173.1</v>
      </c>
      <c r="N2314" s="4"/>
      <c r="O2314" s="1">
        <f t="shared" si="693"/>
        <v>173.1</v>
      </c>
      <c r="P2314" s="1">
        <f t="shared" si="694"/>
        <v>0</v>
      </c>
      <c r="Q2314" s="1" t="str">
        <f t="shared" si="691"/>
        <v/>
      </c>
      <c r="R2314" s="1" t="str">
        <f t="shared" si="695"/>
        <v/>
      </c>
      <c r="S2314" s="1">
        <f t="shared" si="696"/>
        <v>630.90240000000244</v>
      </c>
      <c r="T2314" s="1">
        <f t="shared" si="697"/>
        <v>0</v>
      </c>
      <c r="U2314" s="1">
        <f t="shared" si="698"/>
        <v>0</v>
      </c>
      <c r="V2314" s="1">
        <f t="shared" si="699"/>
        <v>0</v>
      </c>
    </row>
    <row r="2315" spans="5:22" x14ac:dyDescent="0.25">
      <c r="E2315" s="4"/>
      <c r="M2315" s="4">
        <f t="shared" si="692"/>
        <v>173.1</v>
      </c>
      <c r="N2315" s="4"/>
      <c r="O2315" s="1">
        <f t="shared" si="693"/>
        <v>173.1</v>
      </c>
      <c r="P2315" s="1">
        <f t="shared" si="694"/>
        <v>0</v>
      </c>
      <c r="Q2315" s="1" t="str">
        <f t="shared" si="691"/>
        <v/>
      </c>
      <c r="R2315" s="1" t="str">
        <f t="shared" si="695"/>
        <v/>
      </c>
      <c r="S2315" s="1">
        <f t="shared" si="696"/>
        <v>630.90240000000244</v>
      </c>
      <c r="T2315" s="1">
        <f t="shared" si="697"/>
        <v>0</v>
      </c>
      <c r="U2315" s="1">
        <f t="shared" si="698"/>
        <v>0</v>
      </c>
      <c r="V2315" s="1">
        <f t="shared" si="699"/>
        <v>0</v>
      </c>
    </row>
    <row r="2316" spans="5:22" x14ac:dyDescent="0.25">
      <c r="E2316" s="4"/>
      <c r="M2316" s="4">
        <f t="shared" si="692"/>
        <v>173.1</v>
      </c>
      <c r="N2316" s="4"/>
      <c r="O2316" s="1">
        <f t="shared" si="693"/>
        <v>173.1</v>
      </c>
      <c r="P2316" s="1">
        <f t="shared" si="694"/>
        <v>0</v>
      </c>
      <c r="Q2316" s="1" t="str">
        <f t="shared" si="691"/>
        <v/>
      </c>
      <c r="R2316" s="1" t="str">
        <f t="shared" si="695"/>
        <v/>
      </c>
      <c r="S2316" s="1">
        <f t="shared" si="696"/>
        <v>630.90240000000244</v>
      </c>
      <c r="T2316" s="1">
        <f t="shared" si="697"/>
        <v>0</v>
      </c>
      <c r="U2316" s="1">
        <f t="shared" si="698"/>
        <v>0</v>
      </c>
      <c r="V2316" s="1">
        <f t="shared" si="699"/>
        <v>0</v>
      </c>
    </row>
    <row r="2317" spans="5:22" x14ac:dyDescent="0.25">
      <c r="E2317" s="4"/>
      <c r="M2317" s="4">
        <f t="shared" si="692"/>
        <v>173.1</v>
      </c>
      <c r="N2317" s="4"/>
      <c r="O2317" s="1">
        <f t="shared" si="693"/>
        <v>173.1</v>
      </c>
      <c r="P2317" s="1">
        <f t="shared" si="694"/>
        <v>0</v>
      </c>
      <c r="Q2317" s="1" t="str">
        <f t="shared" si="691"/>
        <v/>
      </c>
      <c r="R2317" s="1" t="str">
        <f t="shared" si="695"/>
        <v/>
      </c>
      <c r="S2317" s="1">
        <f t="shared" si="696"/>
        <v>630.90240000000244</v>
      </c>
      <c r="T2317" s="1">
        <f t="shared" si="697"/>
        <v>0</v>
      </c>
      <c r="U2317" s="1">
        <f t="shared" si="698"/>
        <v>0</v>
      </c>
      <c r="V2317" s="1">
        <f t="shared" si="699"/>
        <v>0</v>
      </c>
    </row>
    <row r="2318" spans="5:22" x14ac:dyDescent="0.25">
      <c r="E2318" s="4"/>
      <c r="M2318" s="4">
        <f t="shared" si="692"/>
        <v>173.1</v>
      </c>
      <c r="N2318" s="4"/>
      <c r="O2318" s="1">
        <f t="shared" si="693"/>
        <v>173.1</v>
      </c>
      <c r="P2318" s="1">
        <f t="shared" si="694"/>
        <v>0</v>
      </c>
      <c r="Q2318" s="1" t="str">
        <f t="shared" si="691"/>
        <v/>
      </c>
      <c r="R2318" s="1" t="str">
        <f t="shared" si="695"/>
        <v/>
      </c>
      <c r="S2318" s="1">
        <f t="shared" si="696"/>
        <v>630.90240000000244</v>
      </c>
      <c r="T2318" s="1">
        <f t="shared" si="697"/>
        <v>0</v>
      </c>
      <c r="U2318" s="1">
        <f t="shared" si="698"/>
        <v>0</v>
      </c>
      <c r="V2318" s="1">
        <f t="shared" si="699"/>
        <v>0</v>
      </c>
    </row>
    <row r="2319" spans="5:22" x14ac:dyDescent="0.25">
      <c r="E2319" s="4"/>
      <c r="M2319" s="4">
        <f t="shared" si="692"/>
        <v>173.1</v>
      </c>
      <c r="N2319" s="4"/>
      <c r="O2319" s="1">
        <f t="shared" si="693"/>
        <v>173.1</v>
      </c>
      <c r="P2319" s="1">
        <f t="shared" si="694"/>
        <v>0</v>
      </c>
      <c r="Q2319" s="1" t="str">
        <f t="shared" si="691"/>
        <v/>
      </c>
      <c r="R2319" s="1" t="str">
        <f t="shared" si="695"/>
        <v/>
      </c>
      <c r="S2319" s="1">
        <f t="shared" si="696"/>
        <v>630.90240000000244</v>
      </c>
      <c r="T2319" s="1">
        <f t="shared" si="697"/>
        <v>0</v>
      </c>
      <c r="U2319" s="1">
        <f t="shared" si="698"/>
        <v>0</v>
      </c>
      <c r="V2319" s="1">
        <f t="shared" si="699"/>
        <v>0</v>
      </c>
    </row>
    <row r="2320" spans="5:22" x14ac:dyDescent="0.25">
      <c r="E2320" s="4"/>
      <c r="M2320" s="4">
        <f t="shared" si="692"/>
        <v>173.1</v>
      </c>
      <c r="N2320" s="4"/>
      <c r="O2320" s="1">
        <f t="shared" si="693"/>
        <v>173.1</v>
      </c>
      <c r="P2320" s="1">
        <f t="shared" si="694"/>
        <v>0</v>
      </c>
      <c r="Q2320" s="1" t="str">
        <f t="shared" si="691"/>
        <v/>
      </c>
      <c r="R2320" s="1" t="str">
        <f t="shared" si="695"/>
        <v/>
      </c>
      <c r="S2320" s="1">
        <f t="shared" si="696"/>
        <v>630.90240000000244</v>
      </c>
      <c r="T2320" s="1">
        <f t="shared" si="697"/>
        <v>0</v>
      </c>
      <c r="U2320" s="1">
        <f t="shared" si="698"/>
        <v>0</v>
      </c>
      <c r="V2320" s="1">
        <f t="shared" si="699"/>
        <v>0</v>
      </c>
    </row>
    <row r="2321" spans="5:22" x14ac:dyDescent="0.25">
      <c r="E2321" s="4"/>
      <c r="M2321" s="4">
        <f t="shared" si="692"/>
        <v>173.1</v>
      </c>
      <c r="N2321" s="4"/>
      <c r="O2321" s="1">
        <f t="shared" si="693"/>
        <v>173.1</v>
      </c>
      <c r="P2321" s="1">
        <f t="shared" si="694"/>
        <v>0</v>
      </c>
      <c r="Q2321" s="1" t="str">
        <f t="shared" si="691"/>
        <v/>
      </c>
      <c r="R2321" s="1" t="str">
        <f t="shared" si="695"/>
        <v/>
      </c>
      <c r="S2321" s="1">
        <f t="shared" si="696"/>
        <v>630.90240000000244</v>
      </c>
      <c r="T2321" s="1">
        <f t="shared" si="697"/>
        <v>0</v>
      </c>
      <c r="U2321" s="1">
        <f t="shared" si="698"/>
        <v>0</v>
      </c>
      <c r="V2321" s="1">
        <f t="shared" si="699"/>
        <v>0</v>
      </c>
    </row>
    <row r="2322" spans="5:22" x14ac:dyDescent="0.25">
      <c r="E2322" s="4"/>
      <c r="M2322" s="4">
        <f t="shared" si="692"/>
        <v>173.1</v>
      </c>
      <c r="N2322" s="4"/>
      <c r="O2322" s="1">
        <f t="shared" si="693"/>
        <v>173.1</v>
      </c>
      <c r="P2322" s="1">
        <f t="shared" si="694"/>
        <v>0</v>
      </c>
      <c r="Q2322" s="1" t="str">
        <f t="shared" si="691"/>
        <v/>
      </c>
      <c r="R2322" s="1" t="str">
        <f t="shared" si="695"/>
        <v/>
      </c>
      <c r="S2322" s="1">
        <f t="shared" si="696"/>
        <v>630.90240000000244</v>
      </c>
      <c r="T2322" s="1">
        <f t="shared" si="697"/>
        <v>0</v>
      </c>
      <c r="U2322" s="1">
        <f t="shared" si="698"/>
        <v>0</v>
      </c>
      <c r="V2322" s="1">
        <f t="shared" si="699"/>
        <v>0</v>
      </c>
    </row>
    <row r="2323" spans="5:22" x14ac:dyDescent="0.25">
      <c r="E2323" s="4"/>
      <c r="M2323" s="4">
        <f t="shared" si="692"/>
        <v>173.1</v>
      </c>
      <c r="N2323" s="4"/>
      <c r="O2323" s="1">
        <f t="shared" si="693"/>
        <v>173.1</v>
      </c>
      <c r="P2323" s="1">
        <f t="shared" si="694"/>
        <v>0</v>
      </c>
      <c r="Q2323" s="1" t="str">
        <f t="shared" si="691"/>
        <v/>
      </c>
      <c r="R2323" s="1" t="str">
        <f t="shared" si="695"/>
        <v/>
      </c>
      <c r="S2323" s="1">
        <f t="shared" si="696"/>
        <v>630.90240000000244</v>
      </c>
      <c r="T2323" s="1">
        <f t="shared" si="697"/>
        <v>0</v>
      </c>
      <c r="U2323" s="1">
        <f t="shared" si="698"/>
        <v>0</v>
      </c>
      <c r="V2323" s="1">
        <f t="shared" si="699"/>
        <v>0</v>
      </c>
    </row>
    <row r="2324" spans="5:22" x14ac:dyDescent="0.25">
      <c r="E2324" s="4"/>
      <c r="M2324" s="4">
        <f t="shared" si="692"/>
        <v>173.1</v>
      </c>
      <c r="N2324" s="4"/>
      <c r="O2324" s="1">
        <f t="shared" si="693"/>
        <v>173.1</v>
      </c>
      <c r="P2324" s="1">
        <f t="shared" si="694"/>
        <v>0</v>
      </c>
      <c r="Q2324" s="1" t="str">
        <f t="shared" si="691"/>
        <v/>
      </c>
      <c r="R2324" s="1" t="str">
        <f t="shared" si="695"/>
        <v/>
      </c>
      <c r="S2324" s="1">
        <f t="shared" si="696"/>
        <v>630.90240000000244</v>
      </c>
      <c r="T2324" s="1">
        <f t="shared" si="697"/>
        <v>0</v>
      </c>
      <c r="U2324" s="1">
        <f t="shared" si="698"/>
        <v>0</v>
      </c>
      <c r="V2324" s="1">
        <f t="shared" si="699"/>
        <v>0</v>
      </c>
    </row>
    <row r="2325" spans="5:22" x14ac:dyDescent="0.25">
      <c r="E2325" s="4"/>
      <c r="M2325" s="4">
        <f t="shared" si="692"/>
        <v>173.1</v>
      </c>
      <c r="N2325" s="4"/>
      <c r="O2325" s="1">
        <f t="shared" si="693"/>
        <v>173.1</v>
      </c>
      <c r="P2325" s="1">
        <f t="shared" si="694"/>
        <v>0</v>
      </c>
      <c r="Q2325" s="1" t="str">
        <f t="shared" si="691"/>
        <v/>
      </c>
      <c r="R2325" s="1" t="str">
        <f t="shared" si="695"/>
        <v/>
      </c>
      <c r="S2325" s="1">
        <f t="shared" si="696"/>
        <v>630.90240000000244</v>
      </c>
      <c r="T2325" s="1">
        <f t="shared" si="697"/>
        <v>0</v>
      </c>
      <c r="U2325" s="1">
        <f t="shared" si="698"/>
        <v>0</v>
      </c>
      <c r="V2325" s="1">
        <f t="shared" si="699"/>
        <v>0</v>
      </c>
    </row>
    <row r="2326" spans="5:22" x14ac:dyDescent="0.25">
      <c r="E2326" s="4"/>
      <c r="M2326" s="4">
        <f t="shared" si="692"/>
        <v>173.1</v>
      </c>
      <c r="N2326" s="4"/>
      <c r="O2326" s="1">
        <f t="shared" si="693"/>
        <v>173.1</v>
      </c>
      <c r="P2326" s="1">
        <f t="shared" si="694"/>
        <v>0</v>
      </c>
      <c r="Q2326" s="1" t="str">
        <f t="shared" si="691"/>
        <v/>
      </c>
      <c r="R2326" s="1" t="str">
        <f t="shared" si="695"/>
        <v/>
      </c>
      <c r="S2326" s="1">
        <f t="shared" si="696"/>
        <v>630.90240000000244</v>
      </c>
      <c r="T2326" s="1">
        <f t="shared" si="697"/>
        <v>0</v>
      </c>
      <c r="U2326" s="1">
        <f t="shared" si="698"/>
        <v>0</v>
      </c>
      <c r="V2326" s="1">
        <f t="shared" si="699"/>
        <v>0</v>
      </c>
    </row>
    <row r="2327" spans="5:22" x14ac:dyDescent="0.25">
      <c r="E2327" s="4"/>
      <c r="M2327" s="4">
        <f t="shared" si="692"/>
        <v>173.1</v>
      </c>
      <c r="N2327" s="4"/>
      <c r="O2327" s="1">
        <f t="shared" si="693"/>
        <v>173.1</v>
      </c>
      <c r="P2327" s="1">
        <f t="shared" si="694"/>
        <v>0</v>
      </c>
      <c r="Q2327" s="1" t="str">
        <f t="shared" si="691"/>
        <v/>
      </c>
      <c r="R2327" s="1" t="str">
        <f t="shared" si="695"/>
        <v/>
      </c>
      <c r="S2327" s="1">
        <f t="shared" si="696"/>
        <v>630.90240000000244</v>
      </c>
      <c r="T2327" s="1">
        <f t="shared" si="697"/>
        <v>0</v>
      </c>
      <c r="U2327" s="1">
        <f t="shared" si="698"/>
        <v>0</v>
      </c>
      <c r="V2327" s="1">
        <f t="shared" si="699"/>
        <v>0</v>
      </c>
    </row>
    <row r="2328" spans="5:22" x14ac:dyDescent="0.25">
      <c r="E2328" s="4"/>
      <c r="M2328" s="4">
        <f t="shared" si="692"/>
        <v>173.1</v>
      </c>
      <c r="N2328" s="4"/>
      <c r="O2328" s="1">
        <f t="shared" si="693"/>
        <v>173.1</v>
      </c>
      <c r="P2328" s="1">
        <f t="shared" si="694"/>
        <v>0</v>
      </c>
      <c r="Q2328" s="1" t="str">
        <f t="shared" si="691"/>
        <v/>
      </c>
      <c r="R2328" s="1" t="str">
        <f t="shared" si="695"/>
        <v/>
      </c>
      <c r="S2328" s="1">
        <f t="shared" si="696"/>
        <v>630.90240000000244</v>
      </c>
      <c r="T2328" s="1">
        <f t="shared" si="697"/>
        <v>0</v>
      </c>
      <c r="U2328" s="1">
        <f t="shared" si="698"/>
        <v>0</v>
      </c>
      <c r="V2328" s="1">
        <f t="shared" si="699"/>
        <v>0</v>
      </c>
    </row>
    <row r="2329" spans="5:22" x14ac:dyDescent="0.25">
      <c r="E2329" s="4"/>
      <c r="M2329" s="4">
        <f t="shared" si="692"/>
        <v>173.1</v>
      </c>
      <c r="N2329" s="4"/>
      <c r="O2329" s="1">
        <f t="shared" si="693"/>
        <v>173.1</v>
      </c>
      <c r="P2329" s="1">
        <f t="shared" si="694"/>
        <v>0</v>
      </c>
      <c r="Q2329" s="1" t="str">
        <f t="shared" si="691"/>
        <v/>
      </c>
      <c r="R2329" s="1" t="str">
        <f t="shared" si="695"/>
        <v/>
      </c>
      <c r="S2329" s="1">
        <f t="shared" si="696"/>
        <v>630.90240000000244</v>
      </c>
      <c r="T2329" s="1">
        <f t="shared" si="697"/>
        <v>0</v>
      </c>
      <c r="U2329" s="1">
        <f t="shared" si="698"/>
        <v>0</v>
      </c>
      <c r="V2329" s="1">
        <f t="shared" si="699"/>
        <v>0</v>
      </c>
    </row>
    <row r="2330" spans="5:22" x14ac:dyDescent="0.25">
      <c r="E2330" s="4"/>
      <c r="M2330" s="4">
        <f t="shared" si="692"/>
        <v>173.1</v>
      </c>
      <c r="N2330" s="4"/>
      <c r="O2330" s="1">
        <f t="shared" si="693"/>
        <v>173.1</v>
      </c>
      <c r="P2330" s="1">
        <f t="shared" si="694"/>
        <v>0</v>
      </c>
      <c r="Q2330" s="1" t="str">
        <f t="shared" si="691"/>
        <v/>
      </c>
      <c r="R2330" s="1" t="str">
        <f t="shared" si="695"/>
        <v/>
      </c>
      <c r="S2330" s="1">
        <f t="shared" si="696"/>
        <v>630.90240000000244</v>
      </c>
      <c r="T2330" s="1">
        <f t="shared" si="697"/>
        <v>0</v>
      </c>
      <c r="U2330" s="1">
        <f t="shared" si="698"/>
        <v>0</v>
      </c>
      <c r="V2330" s="1">
        <f t="shared" si="699"/>
        <v>0</v>
      </c>
    </row>
    <row r="2331" spans="5:22" x14ac:dyDescent="0.25">
      <c r="E2331" s="4"/>
      <c r="M2331" s="4">
        <f t="shared" si="692"/>
        <v>173.1</v>
      </c>
      <c r="N2331" s="4"/>
      <c r="O2331" s="1">
        <f t="shared" si="693"/>
        <v>173.1</v>
      </c>
      <c r="P2331" s="1">
        <f t="shared" si="694"/>
        <v>0</v>
      </c>
      <c r="Q2331" s="1" t="str">
        <f t="shared" si="691"/>
        <v/>
      </c>
      <c r="R2331" s="1" t="str">
        <f t="shared" si="695"/>
        <v/>
      </c>
      <c r="S2331" s="1">
        <f t="shared" si="696"/>
        <v>630.90240000000244</v>
      </c>
      <c r="T2331" s="1">
        <f t="shared" si="697"/>
        <v>0</v>
      </c>
      <c r="U2331" s="1">
        <f t="shared" si="698"/>
        <v>0</v>
      </c>
      <c r="V2331" s="1">
        <f t="shared" si="699"/>
        <v>0</v>
      </c>
    </row>
    <row r="2332" spans="5:22" x14ac:dyDescent="0.25">
      <c r="E2332" s="4"/>
      <c r="M2332" s="4">
        <f t="shared" si="692"/>
        <v>173.1</v>
      </c>
      <c r="N2332" s="4"/>
      <c r="O2332" s="1">
        <f t="shared" si="693"/>
        <v>173.1</v>
      </c>
      <c r="P2332" s="1">
        <f t="shared" si="694"/>
        <v>0</v>
      </c>
      <c r="Q2332" s="1" t="str">
        <f t="shared" si="691"/>
        <v/>
      </c>
      <c r="R2332" s="1" t="str">
        <f t="shared" si="695"/>
        <v/>
      </c>
      <c r="S2332" s="1">
        <f t="shared" si="696"/>
        <v>630.90240000000244</v>
      </c>
      <c r="T2332" s="1">
        <f t="shared" si="697"/>
        <v>0</v>
      </c>
      <c r="U2332" s="1">
        <f t="shared" si="698"/>
        <v>0</v>
      </c>
      <c r="V2332" s="1">
        <f t="shared" si="699"/>
        <v>0</v>
      </c>
    </row>
    <row r="2333" spans="5:22" x14ac:dyDescent="0.25">
      <c r="E2333" s="4"/>
      <c r="M2333" s="4">
        <f t="shared" si="692"/>
        <v>173.1</v>
      </c>
      <c r="N2333" s="4"/>
      <c r="O2333" s="1">
        <f t="shared" si="693"/>
        <v>173.1</v>
      </c>
      <c r="P2333" s="1">
        <f t="shared" si="694"/>
        <v>0</v>
      </c>
      <c r="Q2333" s="1" t="str">
        <f t="shared" si="691"/>
        <v/>
      </c>
      <c r="R2333" s="1" t="str">
        <f t="shared" si="695"/>
        <v/>
      </c>
      <c r="S2333" s="1">
        <f t="shared" si="696"/>
        <v>630.90240000000244</v>
      </c>
      <c r="T2333" s="1">
        <f t="shared" si="697"/>
        <v>0</v>
      </c>
      <c r="U2333" s="1">
        <f t="shared" si="698"/>
        <v>0</v>
      </c>
      <c r="V2333" s="1">
        <f t="shared" si="699"/>
        <v>0</v>
      </c>
    </row>
    <row r="2334" spans="5:22" x14ac:dyDescent="0.25">
      <c r="E2334" s="4"/>
      <c r="M2334" s="4">
        <f t="shared" si="692"/>
        <v>173.1</v>
      </c>
      <c r="N2334" s="4"/>
      <c r="O2334" s="1">
        <f t="shared" si="693"/>
        <v>173.1</v>
      </c>
      <c r="P2334" s="1">
        <f t="shared" si="694"/>
        <v>0</v>
      </c>
      <c r="Q2334" s="1" t="str">
        <f t="shared" si="691"/>
        <v/>
      </c>
      <c r="R2334" s="1" t="str">
        <f t="shared" si="695"/>
        <v/>
      </c>
      <c r="S2334" s="1">
        <f t="shared" si="696"/>
        <v>630.90240000000244</v>
      </c>
      <c r="T2334" s="1">
        <f t="shared" si="697"/>
        <v>0</v>
      </c>
      <c r="U2334" s="1">
        <f t="shared" si="698"/>
        <v>0</v>
      </c>
      <c r="V2334" s="1">
        <f t="shared" si="699"/>
        <v>0</v>
      </c>
    </row>
    <row r="2335" spans="5:22" x14ac:dyDescent="0.25">
      <c r="E2335" s="4"/>
      <c r="M2335" s="4">
        <f t="shared" si="692"/>
        <v>173.1</v>
      </c>
      <c r="N2335" s="4"/>
      <c r="O2335" s="1">
        <f t="shared" si="693"/>
        <v>173.1</v>
      </c>
      <c r="P2335" s="1">
        <f t="shared" si="694"/>
        <v>0</v>
      </c>
      <c r="Q2335" s="1" t="str">
        <f t="shared" si="691"/>
        <v/>
      </c>
      <c r="R2335" s="1" t="str">
        <f t="shared" si="695"/>
        <v/>
      </c>
      <c r="S2335" s="1">
        <f t="shared" si="696"/>
        <v>630.90240000000244</v>
      </c>
      <c r="T2335" s="1">
        <f t="shared" si="697"/>
        <v>0</v>
      </c>
      <c r="U2335" s="1">
        <f t="shared" si="698"/>
        <v>0</v>
      </c>
      <c r="V2335" s="1">
        <f t="shared" si="699"/>
        <v>0</v>
      </c>
    </row>
    <row r="2336" spans="5:22" x14ac:dyDescent="0.25">
      <c r="E2336" s="4"/>
      <c r="M2336" s="4">
        <f t="shared" si="692"/>
        <v>173.1</v>
      </c>
      <c r="N2336" s="4"/>
      <c r="O2336" s="1">
        <f t="shared" si="693"/>
        <v>173.1</v>
      </c>
      <c r="P2336" s="1">
        <f t="shared" si="694"/>
        <v>0</v>
      </c>
      <c r="Q2336" s="1" t="str">
        <f t="shared" si="691"/>
        <v/>
      </c>
      <c r="R2336" s="1" t="str">
        <f t="shared" si="695"/>
        <v/>
      </c>
      <c r="S2336" s="1">
        <f t="shared" si="696"/>
        <v>630.90240000000244</v>
      </c>
      <c r="T2336" s="1">
        <f t="shared" si="697"/>
        <v>0</v>
      </c>
      <c r="U2336" s="1">
        <f t="shared" si="698"/>
        <v>0</v>
      </c>
      <c r="V2336" s="1">
        <f t="shared" si="699"/>
        <v>0</v>
      </c>
    </row>
    <row r="2337" spans="5:22" x14ac:dyDescent="0.25">
      <c r="E2337" s="4"/>
      <c r="M2337" s="4">
        <f t="shared" si="692"/>
        <v>173.1</v>
      </c>
      <c r="N2337" s="4"/>
      <c r="O2337" s="1">
        <f t="shared" si="693"/>
        <v>173.1</v>
      </c>
      <c r="P2337" s="1">
        <f t="shared" si="694"/>
        <v>0</v>
      </c>
      <c r="Q2337" s="1" t="str">
        <f t="shared" si="691"/>
        <v/>
      </c>
      <c r="R2337" s="1" t="str">
        <f t="shared" si="695"/>
        <v/>
      </c>
      <c r="S2337" s="1">
        <f t="shared" si="696"/>
        <v>630.90240000000244</v>
      </c>
      <c r="T2337" s="1">
        <f t="shared" si="697"/>
        <v>0</v>
      </c>
      <c r="U2337" s="1">
        <f t="shared" si="698"/>
        <v>0</v>
      </c>
      <c r="V2337" s="1">
        <f t="shared" si="699"/>
        <v>0</v>
      </c>
    </row>
    <row r="2338" spans="5:22" x14ac:dyDescent="0.25">
      <c r="E2338" s="4"/>
      <c r="M2338" s="4">
        <f t="shared" si="692"/>
        <v>173.1</v>
      </c>
      <c r="N2338" s="4"/>
      <c r="O2338" s="1">
        <f t="shared" si="693"/>
        <v>173.1</v>
      </c>
      <c r="P2338" s="1">
        <f t="shared" si="694"/>
        <v>0</v>
      </c>
      <c r="Q2338" s="1" t="str">
        <f t="shared" si="691"/>
        <v/>
      </c>
      <c r="R2338" s="1" t="str">
        <f t="shared" si="695"/>
        <v/>
      </c>
      <c r="S2338" s="1">
        <f t="shared" si="696"/>
        <v>630.90240000000244</v>
      </c>
      <c r="T2338" s="1">
        <f t="shared" si="697"/>
        <v>0</v>
      </c>
      <c r="U2338" s="1">
        <f t="shared" si="698"/>
        <v>0</v>
      </c>
      <c r="V2338" s="1">
        <f t="shared" si="699"/>
        <v>0</v>
      </c>
    </row>
    <row r="2339" spans="5:22" x14ac:dyDescent="0.25">
      <c r="E2339" s="4"/>
      <c r="M2339" s="4">
        <f t="shared" si="692"/>
        <v>173.1</v>
      </c>
      <c r="N2339" s="4"/>
      <c r="O2339" s="1">
        <f t="shared" si="693"/>
        <v>173.1</v>
      </c>
      <c r="P2339" s="1">
        <f t="shared" si="694"/>
        <v>0</v>
      </c>
      <c r="Q2339" s="1" t="str">
        <f t="shared" si="691"/>
        <v/>
      </c>
      <c r="R2339" s="1" t="str">
        <f t="shared" si="695"/>
        <v/>
      </c>
      <c r="S2339" s="1">
        <f t="shared" si="696"/>
        <v>630.90240000000244</v>
      </c>
      <c r="T2339" s="1">
        <f t="shared" si="697"/>
        <v>0</v>
      </c>
      <c r="U2339" s="1">
        <f t="shared" si="698"/>
        <v>0</v>
      </c>
      <c r="V2339" s="1">
        <f t="shared" si="699"/>
        <v>0</v>
      </c>
    </row>
    <row r="2340" spans="5:22" x14ac:dyDescent="0.25">
      <c r="E2340" s="4"/>
      <c r="M2340" s="4">
        <f t="shared" si="692"/>
        <v>173.1</v>
      </c>
      <c r="N2340" s="4"/>
      <c r="O2340" s="1">
        <f t="shared" si="693"/>
        <v>173.1</v>
      </c>
      <c r="P2340" s="1">
        <f t="shared" si="694"/>
        <v>0</v>
      </c>
      <c r="Q2340" s="1" t="str">
        <f t="shared" si="691"/>
        <v/>
      </c>
      <c r="R2340" s="1" t="str">
        <f t="shared" si="695"/>
        <v/>
      </c>
      <c r="S2340" s="1">
        <f t="shared" si="696"/>
        <v>630.90240000000244</v>
      </c>
      <c r="T2340" s="1">
        <f t="shared" si="697"/>
        <v>0</v>
      </c>
      <c r="U2340" s="1">
        <f t="shared" si="698"/>
        <v>0</v>
      </c>
      <c r="V2340" s="1">
        <f t="shared" si="699"/>
        <v>0</v>
      </c>
    </row>
    <row r="2341" spans="5:22" x14ac:dyDescent="0.25">
      <c r="E2341" s="4"/>
      <c r="M2341" s="4">
        <f t="shared" si="692"/>
        <v>173.1</v>
      </c>
      <c r="N2341" s="4"/>
      <c r="O2341" s="1">
        <f t="shared" si="693"/>
        <v>173.1</v>
      </c>
      <c r="P2341" s="1">
        <f t="shared" si="694"/>
        <v>0</v>
      </c>
      <c r="Q2341" s="1" t="str">
        <f t="shared" si="691"/>
        <v/>
      </c>
      <c r="R2341" s="1" t="str">
        <f t="shared" si="695"/>
        <v/>
      </c>
      <c r="S2341" s="1">
        <f t="shared" si="696"/>
        <v>630.90240000000244</v>
      </c>
      <c r="T2341" s="1">
        <f t="shared" si="697"/>
        <v>0</v>
      </c>
      <c r="U2341" s="1">
        <f t="shared" si="698"/>
        <v>0</v>
      </c>
      <c r="V2341" s="1">
        <f t="shared" si="699"/>
        <v>0</v>
      </c>
    </row>
    <row r="2342" spans="5:22" x14ac:dyDescent="0.25">
      <c r="E2342" s="4"/>
      <c r="M2342" s="4">
        <f t="shared" si="692"/>
        <v>173.1</v>
      </c>
      <c r="N2342" s="4"/>
      <c r="O2342" s="1">
        <f t="shared" si="693"/>
        <v>173.1</v>
      </c>
      <c r="P2342" s="1">
        <f t="shared" si="694"/>
        <v>0</v>
      </c>
      <c r="Q2342" s="1" t="str">
        <f t="shared" si="691"/>
        <v/>
      </c>
      <c r="R2342" s="1" t="str">
        <f t="shared" si="695"/>
        <v/>
      </c>
      <c r="S2342" s="1">
        <f t="shared" si="696"/>
        <v>630.90240000000244</v>
      </c>
      <c r="T2342" s="1">
        <f t="shared" si="697"/>
        <v>0</v>
      </c>
      <c r="U2342" s="1">
        <f t="shared" si="698"/>
        <v>0</v>
      </c>
      <c r="V2342" s="1">
        <f t="shared" si="699"/>
        <v>0</v>
      </c>
    </row>
    <row r="2343" spans="5:22" x14ac:dyDescent="0.25">
      <c r="E2343" s="4"/>
      <c r="M2343" s="4">
        <f t="shared" si="692"/>
        <v>173.1</v>
      </c>
      <c r="N2343" s="4"/>
      <c r="O2343" s="1">
        <f t="shared" si="693"/>
        <v>173.1</v>
      </c>
      <c r="P2343" s="1">
        <f t="shared" si="694"/>
        <v>0</v>
      </c>
      <c r="Q2343" s="1" t="str">
        <f t="shared" si="691"/>
        <v/>
      </c>
      <c r="R2343" s="1" t="str">
        <f t="shared" si="695"/>
        <v/>
      </c>
      <c r="S2343" s="1">
        <f t="shared" si="696"/>
        <v>630.90240000000244</v>
      </c>
      <c r="T2343" s="1">
        <f t="shared" si="697"/>
        <v>0</v>
      </c>
      <c r="U2343" s="1">
        <f t="shared" si="698"/>
        <v>0</v>
      </c>
      <c r="V2343" s="1">
        <f t="shared" si="699"/>
        <v>0</v>
      </c>
    </row>
    <row r="2344" spans="5:22" x14ac:dyDescent="0.25">
      <c r="E2344" s="4"/>
      <c r="M2344" s="4">
        <f t="shared" si="692"/>
        <v>173.1</v>
      </c>
      <c r="N2344" s="4"/>
      <c r="O2344" s="1">
        <f t="shared" si="693"/>
        <v>173.1</v>
      </c>
      <c r="P2344" s="1">
        <f t="shared" si="694"/>
        <v>0</v>
      </c>
      <c r="Q2344" s="1" t="str">
        <f t="shared" si="691"/>
        <v/>
      </c>
      <c r="R2344" s="1" t="str">
        <f t="shared" si="695"/>
        <v/>
      </c>
      <c r="S2344" s="1">
        <f t="shared" si="696"/>
        <v>630.90240000000244</v>
      </c>
      <c r="T2344" s="1">
        <f t="shared" si="697"/>
        <v>0</v>
      </c>
      <c r="U2344" s="1">
        <f t="shared" si="698"/>
        <v>0</v>
      </c>
      <c r="V2344" s="1">
        <f t="shared" si="699"/>
        <v>0</v>
      </c>
    </row>
    <row r="2345" spans="5:22" x14ac:dyDescent="0.25">
      <c r="E2345" s="4"/>
      <c r="M2345" s="4">
        <f t="shared" si="692"/>
        <v>173.1</v>
      </c>
      <c r="N2345" s="4"/>
      <c r="O2345" s="1">
        <f t="shared" si="693"/>
        <v>173.1</v>
      </c>
      <c r="P2345" s="1">
        <f t="shared" si="694"/>
        <v>0</v>
      </c>
      <c r="Q2345" s="1" t="str">
        <f t="shared" si="691"/>
        <v/>
      </c>
      <c r="R2345" s="1" t="str">
        <f t="shared" si="695"/>
        <v/>
      </c>
      <c r="S2345" s="1">
        <f t="shared" si="696"/>
        <v>630.90240000000244</v>
      </c>
      <c r="T2345" s="1">
        <f t="shared" si="697"/>
        <v>0</v>
      </c>
      <c r="U2345" s="1">
        <f t="shared" si="698"/>
        <v>0</v>
      </c>
      <c r="V2345" s="1">
        <f t="shared" si="699"/>
        <v>0</v>
      </c>
    </row>
    <row r="2346" spans="5:22" x14ac:dyDescent="0.25">
      <c r="E2346" s="4"/>
      <c r="M2346" s="4">
        <f t="shared" si="692"/>
        <v>173.1</v>
      </c>
      <c r="N2346" s="4"/>
      <c r="O2346" s="1">
        <f t="shared" si="693"/>
        <v>173.1</v>
      </c>
      <c r="P2346" s="1">
        <f t="shared" si="694"/>
        <v>0</v>
      </c>
      <c r="Q2346" s="1" t="str">
        <f t="shared" si="691"/>
        <v/>
      </c>
      <c r="R2346" s="1" t="str">
        <f t="shared" si="695"/>
        <v/>
      </c>
      <c r="S2346" s="1">
        <f t="shared" si="696"/>
        <v>630.90240000000244</v>
      </c>
      <c r="T2346" s="1">
        <f t="shared" si="697"/>
        <v>0</v>
      </c>
      <c r="U2346" s="1">
        <f t="shared" si="698"/>
        <v>0</v>
      </c>
      <c r="V2346" s="1">
        <f t="shared" si="699"/>
        <v>0</v>
      </c>
    </row>
    <row r="2347" spans="5:22" x14ac:dyDescent="0.25">
      <c r="E2347" s="4"/>
      <c r="M2347" s="4">
        <f t="shared" si="692"/>
        <v>173.1</v>
      </c>
      <c r="N2347" s="4"/>
      <c r="O2347" s="1">
        <f t="shared" si="693"/>
        <v>173.1</v>
      </c>
      <c r="P2347" s="1">
        <f t="shared" si="694"/>
        <v>0</v>
      </c>
      <c r="Q2347" s="1" t="str">
        <f t="shared" si="691"/>
        <v/>
      </c>
      <c r="R2347" s="1" t="str">
        <f t="shared" si="695"/>
        <v/>
      </c>
      <c r="S2347" s="1">
        <f t="shared" si="696"/>
        <v>630.90240000000244</v>
      </c>
      <c r="T2347" s="1">
        <f t="shared" si="697"/>
        <v>0</v>
      </c>
      <c r="U2347" s="1">
        <f t="shared" si="698"/>
        <v>0</v>
      </c>
      <c r="V2347" s="1">
        <f t="shared" si="699"/>
        <v>0</v>
      </c>
    </row>
    <row r="2348" spans="5:22" x14ac:dyDescent="0.25">
      <c r="E2348" s="4"/>
      <c r="M2348" s="4">
        <f t="shared" si="692"/>
        <v>173.1</v>
      </c>
      <c r="N2348" s="4"/>
      <c r="O2348" s="1">
        <f t="shared" si="693"/>
        <v>173.1</v>
      </c>
      <c r="P2348" s="1">
        <f t="shared" si="694"/>
        <v>0</v>
      </c>
      <c r="Q2348" s="1" t="str">
        <f t="shared" si="691"/>
        <v/>
      </c>
      <c r="R2348" s="1" t="str">
        <f t="shared" si="695"/>
        <v/>
      </c>
      <c r="S2348" s="1">
        <f t="shared" si="696"/>
        <v>630.90240000000244</v>
      </c>
      <c r="T2348" s="1">
        <f t="shared" si="697"/>
        <v>0</v>
      </c>
      <c r="U2348" s="1">
        <f t="shared" si="698"/>
        <v>0</v>
      </c>
      <c r="V2348" s="1">
        <f t="shared" si="699"/>
        <v>0</v>
      </c>
    </row>
    <row r="2349" spans="5:22" x14ac:dyDescent="0.25">
      <c r="E2349" s="4"/>
      <c r="M2349" s="4">
        <f t="shared" si="692"/>
        <v>173.1</v>
      </c>
      <c r="N2349" s="4"/>
      <c r="O2349" s="1">
        <f t="shared" si="693"/>
        <v>173.1</v>
      </c>
      <c r="P2349" s="1">
        <f t="shared" si="694"/>
        <v>0</v>
      </c>
      <c r="Q2349" s="1" t="str">
        <f t="shared" si="691"/>
        <v/>
      </c>
      <c r="R2349" s="1" t="str">
        <f t="shared" si="695"/>
        <v/>
      </c>
      <c r="S2349" s="1">
        <f t="shared" si="696"/>
        <v>630.90240000000244</v>
      </c>
      <c r="T2349" s="1">
        <f t="shared" si="697"/>
        <v>0</v>
      </c>
      <c r="U2349" s="1">
        <f t="shared" si="698"/>
        <v>0</v>
      </c>
      <c r="V2349" s="1">
        <f t="shared" si="699"/>
        <v>0</v>
      </c>
    </row>
    <row r="2350" spans="5:22" x14ac:dyDescent="0.25">
      <c r="E2350" s="4"/>
      <c r="M2350" s="4">
        <f t="shared" si="692"/>
        <v>173.1</v>
      </c>
      <c r="N2350" s="4"/>
      <c r="O2350" s="1">
        <f t="shared" si="693"/>
        <v>173.1</v>
      </c>
      <c r="P2350" s="1">
        <f t="shared" si="694"/>
        <v>0</v>
      </c>
      <c r="Q2350" s="1" t="str">
        <f t="shared" si="691"/>
        <v/>
      </c>
      <c r="R2350" s="1" t="str">
        <f t="shared" si="695"/>
        <v/>
      </c>
      <c r="S2350" s="1">
        <f t="shared" si="696"/>
        <v>630.90240000000244</v>
      </c>
      <c r="T2350" s="1">
        <f t="shared" si="697"/>
        <v>0</v>
      </c>
      <c r="U2350" s="1">
        <f t="shared" si="698"/>
        <v>0</v>
      </c>
      <c r="V2350" s="1">
        <f t="shared" si="699"/>
        <v>0</v>
      </c>
    </row>
    <row r="2351" spans="5:22" x14ac:dyDescent="0.25">
      <c r="E2351" s="4"/>
      <c r="M2351" s="4">
        <f t="shared" si="692"/>
        <v>173.1</v>
      </c>
      <c r="N2351" s="4"/>
      <c r="O2351" s="1">
        <f t="shared" si="693"/>
        <v>173.1</v>
      </c>
      <c r="P2351" s="1">
        <f t="shared" si="694"/>
        <v>0</v>
      </c>
      <c r="Q2351" s="1" t="str">
        <f t="shared" si="691"/>
        <v/>
      </c>
      <c r="R2351" s="1" t="str">
        <f t="shared" si="695"/>
        <v/>
      </c>
      <c r="S2351" s="1">
        <f t="shared" si="696"/>
        <v>630.90240000000244</v>
      </c>
      <c r="T2351" s="1">
        <f t="shared" si="697"/>
        <v>0</v>
      </c>
      <c r="U2351" s="1">
        <f t="shared" si="698"/>
        <v>0</v>
      </c>
      <c r="V2351" s="1">
        <f t="shared" si="699"/>
        <v>0</v>
      </c>
    </row>
    <row r="2352" spans="5:22" x14ac:dyDescent="0.25">
      <c r="E2352" s="4"/>
      <c r="M2352" s="4">
        <f t="shared" si="692"/>
        <v>173.1</v>
      </c>
      <c r="N2352" s="4"/>
      <c r="O2352" s="1">
        <f t="shared" si="693"/>
        <v>173.1</v>
      </c>
      <c r="P2352" s="1">
        <f t="shared" si="694"/>
        <v>0</v>
      </c>
      <c r="Q2352" s="1" t="str">
        <f t="shared" si="691"/>
        <v/>
      </c>
      <c r="R2352" s="1" t="str">
        <f t="shared" si="695"/>
        <v/>
      </c>
      <c r="S2352" s="1">
        <f t="shared" si="696"/>
        <v>630.90240000000244</v>
      </c>
      <c r="T2352" s="1">
        <f t="shared" si="697"/>
        <v>0</v>
      </c>
      <c r="U2352" s="1">
        <f t="shared" si="698"/>
        <v>0</v>
      </c>
      <c r="V2352" s="1">
        <f t="shared" si="699"/>
        <v>0</v>
      </c>
    </row>
    <row r="2353" spans="5:22" x14ac:dyDescent="0.25">
      <c r="E2353" s="4"/>
      <c r="M2353" s="4">
        <f t="shared" si="692"/>
        <v>173.1</v>
      </c>
      <c r="N2353" s="4"/>
      <c r="O2353" s="1">
        <f t="shared" si="693"/>
        <v>173.1</v>
      </c>
      <c r="P2353" s="1">
        <f t="shared" si="694"/>
        <v>0</v>
      </c>
      <c r="Q2353" s="1" t="str">
        <f t="shared" si="691"/>
        <v/>
      </c>
      <c r="R2353" s="1" t="str">
        <f t="shared" si="695"/>
        <v/>
      </c>
      <c r="S2353" s="1">
        <f t="shared" si="696"/>
        <v>630.90240000000244</v>
      </c>
      <c r="T2353" s="1">
        <f t="shared" si="697"/>
        <v>0</v>
      </c>
      <c r="U2353" s="1">
        <f t="shared" si="698"/>
        <v>0</v>
      </c>
      <c r="V2353" s="1">
        <f t="shared" si="699"/>
        <v>0</v>
      </c>
    </row>
    <row r="2354" spans="5:22" x14ac:dyDescent="0.25">
      <c r="E2354" s="4"/>
      <c r="M2354" s="4">
        <f t="shared" si="692"/>
        <v>173.1</v>
      </c>
      <c r="N2354" s="4"/>
      <c r="O2354" s="1">
        <f t="shared" si="693"/>
        <v>173.1</v>
      </c>
      <c r="P2354" s="1">
        <f t="shared" si="694"/>
        <v>0</v>
      </c>
      <c r="Q2354" s="1" t="str">
        <f t="shared" ref="Q2354:Q2417" si="700">IF(H2354&lt;&gt;"",IF(H2354=H2353,"",H2354),IF(H2352="","",MAX(H2353,Q2353)))</f>
        <v/>
      </c>
      <c r="R2354" s="1" t="str">
        <f t="shared" si="695"/>
        <v/>
      </c>
      <c r="S2354" s="1">
        <f t="shared" si="696"/>
        <v>630.90240000000244</v>
      </c>
      <c r="T2354" s="1">
        <f t="shared" si="697"/>
        <v>0</v>
      </c>
      <c r="U2354" s="1">
        <f t="shared" si="698"/>
        <v>0</v>
      </c>
      <c r="V2354" s="1">
        <f t="shared" si="699"/>
        <v>0</v>
      </c>
    </row>
    <row r="2355" spans="5:22" x14ac:dyDescent="0.25">
      <c r="E2355" s="4"/>
      <c r="M2355" s="4">
        <f t="shared" si="692"/>
        <v>173.1</v>
      </c>
      <c r="N2355" s="4"/>
      <c r="O2355" s="1">
        <f t="shared" si="693"/>
        <v>173.1</v>
      </c>
      <c r="P2355" s="1">
        <f t="shared" si="694"/>
        <v>0</v>
      </c>
      <c r="Q2355" s="1" t="str">
        <f t="shared" si="700"/>
        <v/>
      </c>
      <c r="R2355" s="1" t="str">
        <f t="shared" si="695"/>
        <v/>
      </c>
      <c r="S2355" s="1">
        <f t="shared" si="696"/>
        <v>630.90240000000244</v>
      </c>
      <c r="T2355" s="1">
        <f t="shared" si="697"/>
        <v>0</v>
      </c>
      <c r="U2355" s="1">
        <f t="shared" si="698"/>
        <v>0</v>
      </c>
      <c r="V2355" s="1">
        <f t="shared" si="699"/>
        <v>0</v>
      </c>
    </row>
    <row r="2356" spans="5:22" x14ac:dyDescent="0.25">
      <c r="E2356" s="4"/>
      <c r="M2356" s="4">
        <f t="shared" si="692"/>
        <v>173.1</v>
      </c>
      <c r="N2356" s="4"/>
      <c r="O2356" s="1">
        <f t="shared" si="693"/>
        <v>173.1</v>
      </c>
      <c r="P2356" s="1">
        <f t="shared" si="694"/>
        <v>0</v>
      </c>
      <c r="Q2356" s="1" t="str">
        <f t="shared" si="700"/>
        <v/>
      </c>
      <c r="R2356" s="1" t="str">
        <f t="shared" si="695"/>
        <v/>
      </c>
      <c r="S2356" s="1">
        <f t="shared" si="696"/>
        <v>630.90240000000244</v>
      </c>
      <c r="T2356" s="1">
        <f t="shared" si="697"/>
        <v>0</v>
      </c>
      <c r="U2356" s="1">
        <f t="shared" si="698"/>
        <v>0</v>
      </c>
      <c r="V2356" s="1">
        <f t="shared" si="699"/>
        <v>0</v>
      </c>
    </row>
    <row r="2357" spans="5:22" x14ac:dyDescent="0.25">
      <c r="E2357" s="4"/>
      <c r="M2357" s="4">
        <f t="shared" si="692"/>
        <v>173.1</v>
      </c>
      <c r="N2357" s="4"/>
      <c r="O2357" s="1">
        <f t="shared" si="693"/>
        <v>173.1</v>
      </c>
      <c r="P2357" s="1">
        <f t="shared" si="694"/>
        <v>0</v>
      </c>
      <c r="Q2357" s="1" t="str">
        <f t="shared" si="700"/>
        <v/>
      </c>
      <c r="R2357" s="1" t="str">
        <f t="shared" si="695"/>
        <v/>
      </c>
      <c r="S2357" s="1">
        <f t="shared" si="696"/>
        <v>630.90240000000244</v>
      </c>
      <c r="T2357" s="1">
        <f t="shared" si="697"/>
        <v>0</v>
      </c>
      <c r="U2357" s="1">
        <f t="shared" si="698"/>
        <v>0</v>
      </c>
      <c r="V2357" s="1">
        <f t="shared" si="699"/>
        <v>0</v>
      </c>
    </row>
    <row r="2358" spans="5:22" x14ac:dyDescent="0.25">
      <c r="E2358" s="4"/>
      <c r="M2358" s="4">
        <f t="shared" si="692"/>
        <v>173.1</v>
      </c>
      <c r="N2358" s="4"/>
      <c r="O2358" s="1">
        <f t="shared" si="693"/>
        <v>173.1</v>
      </c>
      <c r="P2358" s="1">
        <f t="shared" si="694"/>
        <v>0</v>
      </c>
      <c r="Q2358" s="1" t="str">
        <f t="shared" si="700"/>
        <v/>
      </c>
      <c r="R2358" s="1" t="str">
        <f t="shared" si="695"/>
        <v/>
      </c>
      <c r="S2358" s="1">
        <f t="shared" si="696"/>
        <v>630.90240000000244</v>
      </c>
      <c r="T2358" s="1">
        <f t="shared" si="697"/>
        <v>0</v>
      </c>
      <c r="U2358" s="1">
        <f t="shared" si="698"/>
        <v>0</v>
      </c>
      <c r="V2358" s="1">
        <f t="shared" si="699"/>
        <v>0</v>
      </c>
    </row>
    <row r="2359" spans="5:22" x14ac:dyDescent="0.25">
      <c r="E2359" s="4"/>
      <c r="M2359" s="4">
        <f t="shared" si="692"/>
        <v>173.1</v>
      </c>
      <c r="N2359" s="4"/>
      <c r="O2359" s="1">
        <f t="shared" si="693"/>
        <v>173.1</v>
      </c>
      <c r="P2359" s="1">
        <f t="shared" si="694"/>
        <v>0</v>
      </c>
      <c r="Q2359" s="1" t="str">
        <f t="shared" si="700"/>
        <v/>
      </c>
      <c r="R2359" s="1" t="str">
        <f t="shared" si="695"/>
        <v/>
      </c>
      <c r="S2359" s="1">
        <f t="shared" si="696"/>
        <v>630.90240000000244</v>
      </c>
      <c r="T2359" s="1">
        <f t="shared" si="697"/>
        <v>0</v>
      </c>
      <c r="U2359" s="1">
        <f t="shared" si="698"/>
        <v>0</v>
      </c>
      <c r="V2359" s="1">
        <f t="shared" si="699"/>
        <v>0</v>
      </c>
    </row>
    <row r="2360" spans="5:22" x14ac:dyDescent="0.25">
      <c r="E2360" s="4"/>
      <c r="M2360" s="4">
        <f t="shared" si="692"/>
        <v>173.1</v>
      </c>
      <c r="N2360" s="4"/>
      <c r="O2360" s="1">
        <f t="shared" si="693"/>
        <v>173.1</v>
      </c>
      <c r="P2360" s="1">
        <f t="shared" si="694"/>
        <v>0</v>
      </c>
      <c r="Q2360" s="1" t="str">
        <f t="shared" si="700"/>
        <v/>
      </c>
      <c r="R2360" s="1" t="str">
        <f t="shared" si="695"/>
        <v/>
      </c>
      <c r="S2360" s="1">
        <f t="shared" si="696"/>
        <v>630.90240000000244</v>
      </c>
      <c r="T2360" s="1">
        <f t="shared" si="697"/>
        <v>0</v>
      </c>
      <c r="U2360" s="1">
        <f t="shared" si="698"/>
        <v>0</v>
      </c>
      <c r="V2360" s="1">
        <f t="shared" si="699"/>
        <v>0</v>
      </c>
    </row>
    <row r="2361" spans="5:22" x14ac:dyDescent="0.25">
      <c r="E2361" s="4"/>
      <c r="M2361" s="4">
        <f t="shared" si="692"/>
        <v>173.1</v>
      </c>
      <c r="N2361" s="4"/>
      <c r="O2361" s="1">
        <f t="shared" si="693"/>
        <v>173.1</v>
      </c>
      <c r="P2361" s="1">
        <f t="shared" si="694"/>
        <v>0</v>
      </c>
      <c r="Q2361" s="1" t="str">
        <f t="shared" si="700"/>
        <v/>
      </c>
      <c r="R2361" s="1" t="str">
        <f t="shared" si="695"/>
        <v/>
      </c>
      <c r="S2361" s="1">
        <f t="shared" si="696"/>
        <v>630.90240000000244</v>
      </c>
      <c r="T2361" s="1">
        <f t="shared" si="697"/>
        <v>0</v>
      </c>
      <c r="U2361" s="1">
        <f t="shared" si="698"/>
        <v>0</v>
      </c>
      <c r="V2361" s="1">
        <f t="shared" si="699"/>
        <v>0</v>
      </c>
    </row>
    <row r="2362" spans="5:22" x14ac:dyDescent="0.25">
      <c r="E2362" s="4"/>
      <c r="M2362" s="4">
        <f t="shared" si="692"/>
        <v>173.1</v>
      </c>
      <c r="N2362" s="4"/>
      <c r="O2362" s="1">
        <f t="shared" si="693"/>
        <v>173.1</v>
      </c>
      <c r="P2362" s="1">
        <f t="shared" si="694"/>
        <v>0</v>
      </c>
      <c r="Q2362" s="1" t="str">
        <f t="shared" si="700"/>
        <v/>
      </c>
      <c r="R2362" s="1" t="str">
        <f t="shared" si="695"/>
        <v/>
      </c>
      <c r="S2362" s="1">
        <f t="shared" si="696"/>
        <v>630.90240000000244</v>
      </c>
      <c r="T2362" s="1">
        <f t="shared" si="697"/>
        <v>0</v>
      </c>
      <c r="U2362" s="1">
        <f t="shared" si="698"/>
        <v>0</v>
      </c>
      <c r="V2362" s="1">
        <f t="shared" si="699"/>
        <v>0</v>
      </c>
    </row>
    <row r="2363" spans="5:22" x14ac:dyDescent="0.25">
      <c r="E2363" s="4"/>
      <c r="M2363" s="4">
        <f t="shared" si="692"/>
        <v>173.1</v>
      </c>
      <c r="N2363" s="4"/>
      <c r="O2363" s="1">
        <f t="shared" si="693"/>
        <v>173.1</v>
      </c>
      <c r="P2363" s="1">
        <f t="shared" si="694"/>
        <v>0</v>
      </c>
      <c r="Q2363" s="1" t="str">
        <f t="shared" si="700"/>
        <v/>
      </c>
      <c r="R2363" s="1" t="str">
        <f t="shared" si="695"/>
        <v/>
      </c>
      <c r="S2363" s="1">
        <f t="shared" si="696"/>
        <v>630.90240000000244</v>
      </c>
      <c r="T2363" s="1">
        <f t="shared" si="697"/>
        <v>0</v>
      </c>
      <c r="U2363" s="1">
        <f t="shared" si="698"/>
        <v>0</v>
      </c>
      <c r="V2363" s="1">
        <f t="shared" si="699"/>
        <v>0</v>
      </c>
    </row>
    <row r="2364" spans="5:22" x14ac:dyDescent="0.25">
      <c r="E2364" s="4"/>
      <c r="M2364" s="4">
        <f t="shared" si="692"/>
        <v>173.1</v>
      </c>
      <c r="N2364" s="4"/>
      <c r="O2364" s="1">
        <f t="shared" si="693"/>
        <v>173.1</v>
      </c>
      <c r="P2364" s="1">
        <f t="shared" si="694"/>
        <v>0</v>
      </c>
      <c r="Q2364" s="1" t="str">
        <f t="shared" si="700"/>
        <v/>
      </c>
      <c r="R2364" s="1" t="str">
        <f t="shared" si="695"/>
        <v/>
      </c>
      <c r="S2364" s="1">
        <f t="shared" si="696"/>
        <v>630.90240000000244</v>
      </c>
      <c r="T2364" s="1">
        <f t="shared" si="697"/>
        <v>0</v>
      </c>
      <c r="U2364" s="1">
        <f t="shared" si="698"/>
        <v>0</v>
      </c>
      <c r="V2364" s="1">
        <f t="shared" si="699"/>
        <v>0</v>
      </c>
    </row>
    <row r="2365" spans="5:22" x14ac:dyDescent="0.25">
      <c r="E2365" s="4"/>
      <c r="M2365" s="4">
        <f t="shared" si="692"/>
        <v>173.1</v>
      </c>
      <c r="N2365" s="4"/>
      <c r="O2365" s="1">
        <f t="shared" si="693"/>
        <v>173.1</v>
      </c>
      <c r="P2365" s="1">
        <f t="shared" si="694"/>
        <v>0</v>
      </c>
      <c r="Q2365" s="1" t="str">
        <f t="shared" si="700"/>
        <v/>
      </c>
      <c r="R2365" s="1" t="str">
        <f t="shared" si="695"/>
        <v/>
      </c>
      <c r="S2365" s="1">
        <f t="shared" si="696"/>
        <v>630.90240000000244</v>
      </c>
      <c r="T2365" s="1">
        <f t="shared" si="697"/>
        <v>0</v>
      </c>
      <c r="U2365" s="1">
        <f t="shared" si="698"/>
        <v>0</v>
      </c>
      <c r="V2365" s="1">
        <f t="shared" si="699"/>
        <v>0</v>
      </c>
    </row>
    <row r="2366" spans="5:22" x14ac:dyDescent="0.25">
      <c r="E2366" s="4"/>
      <c r="M2366" s="4">
        <f t="shared" si="692"/>
        <v>173.1</v>
      </c>
      <c r="N2366" s="4"/>
      <c r="O2366" s="1">
        <f t="shared" si="693"/>
        <v>173.1</v>
      </c>
      <c r="P2366" s="1">
        <f t="shared" si="694"/>
        <v>0</v>
      </c>
      <c r="Q2366" s="1" t="str">
        <f t="shared" si="700"/>
        <v/>
      </c>
      <c r="R2366" s="1" t="str">
        <f t="shared" si="695"/>
        <v/>
      </c>
      <c r="S2366" s="1">
        <f t="shared" si="696"/>
        <v>630.90240000000244</v>
      </c>
      <c r="T2366" s="1">
        <f t="shared" si="697"/>
        <v>0</v>
      </c>
      <c r="U2366" s="1">
        <f t="shared" si="698"/>
        <v>0</v>
      </c>
      <c r="V2366" s="1">
        <f t="shared" si="699"/>
        <v>0</v>
      </c>
    </row>
    <row r="2367" spans="5:22" x14ac:dyDescent="0.25">
      <c r="E2367" s="4"/>
      <c r="M2367" s="4">
        <f t="shared" si="692"/>
        <v>173.1</v>
      </c>
      <c r="N2367" s="4"/>
      <c r="O2367" s="1">
        <f t="shared" si="693"/>
        <v>173.1</v>
      </c>
      <c r="P2367" s="1">
        <f t="shared" si="694"/>
        <v>0</v>
      </c>
      <c r="Q2367" s="1" t="str">
        <f t="shared" si="700"/>
        <v/>
      </c>
      <c r="R2367" s="1" t="str">
        <f t="shared" si="695"/>
        <v/>
      </c>
      <c r="S2367" s="1">
        <f t="shared" si="696"/>
        <v>630.90240000000244</v>
      </c>
      <c r="T2367" s="1">
        <f t="shared" si="697"/>
        <v>0</v>
      </c>
      <c r="U2367" s="1">
        <f t="shared" si="698"/>
        <v>0</v>
      </c>
      <c r="V2367" s="1">
        <f t="shared" si="699"/>
        <v>0</v>
      </c>
    </row>
    <row r="2368" spans="5:22" x14ac:dyDescent="0.25">
      <c r="E2368" s="4"/>
      <c r="M2368" s="4">
        <f t="shared" si="692"/>
        <v>173.1</v>
      </c>
      <c r="N2368" s="4"/>
      <c r="O2368" s="1">
        <f t="shared" si="693"/>
        <v>173.1</v>
      </c>
      <c r="P2368" s="1">
        <f t="shared" si="694"/>
        <v>0</v>
      </c>
      <c r="Q2368" s="1" t="str">
        <f t="shared" si="700"/>
        <v/>
      </c>
      <c r="R2368" s="1" t="str">
        <f t="shared" si="695"/>
        <v/>
      </c>
      <c r="S2368" s="1">
        <f t="shared" si="696"/>
        <v>630.90240000000244</v>
      </c>
      <c r="T2368" s="1">
        <f t="shared" si="697"/>
        <v>0</v>
      </c>
      <c r="U2368" s="1">
        <f t="shared" si="698"/>
        <v>0</v>
      </c>
      <c r="V2368" s="1">
        <f t="shared" si="699"/>
        <v>0</v>
      </c>
    </row>
    <row r="2369" spans="5:22" x14ac:dyDescent="0.25">
      <c r="E2369" s="4"/>
      <c r="M2369" s="4">
        <f t="shared" si="692"/>
        <v>173.1</v>
      </c>
      <c r="N2369" s="4"/>
      <c r="O2369" s="1">
        <f t="shared" si="693"/>
        <v>173.1</v>
      </c>
      <c r="P2369" s="1">
        <f t="shared" si="694"/>
        <v>0</v>
      </c>
      <c r="Q2369" s="1" t="str">
        <f t="shared" si="700"/>
        <v/>
      </c>
      <c r="R2369" s="1" t="str">
        <f t="shared" si="695"/>
        <v/>
      </c>
      <c r="S2369" s="1">
        <f t="shared" si="696"/>
        <v>630.90240000000244</v>
      </c>
      <c r="T2369" s="1">
        <f t="shared" si="697"/>
        <v>0</v>
      </c>
      <c r="U2369" s="1">
        <f t="shared" si="698"/>
        <v>0</v>
      </c>
      <c r="V2369" s="1">
        <f t="shared" si="699"/>
        <v>0</v>
      </c>
    </row>
    <row r="2370" spans="5:22" x14ac:dyDescent="0.25">
      <c r="E2370" s="4"/>
      <c r="M2370" s="4">
        <f t="shared" si="692"/>
        <v>173.1</v>
      </c>
      <c r="N2370" s="4"/>
      <c r="O2370" s="1">
        <f t="shared" si="693"/>
        <v>173.1</v>
      </c>
      <c r="P2370" s="1">
        <f t="shared" si="694"/>
        <v>0</v>
      </c>
      <c r="Q2370" s="1" t="str">
        <f t="shared" si="700"/>
        <v/>
      </c>
      <c r="R2370" s="1" t="str">
        <f t="shared" si="695"/>
        <v/>
      </c>
      <c r="S2370" s="1">
        <f t="shared" si="696"/>
        <v>630.90240000000244</v>
      </c>
      <c r="T2370" s="1">
        <f t="shared" si="697"/>
        <v>0</v>
      </c>
      <c r="U2370" s="1">
        <f t="shared" si="698"/>
        <v>0</v>
      </c>
      <c r="V2370" s="1">
        <f t="shared" si="699"/>
        <v>0</v>
      </c>
    </row>
    <row r="2371" spans="5:22" x14ac:dyDescent="0.25">
      <c r="E2371" s="4"/>
      <c r="M2371" s="4">
        <f t="shared" si="692"/>
        <v>173.1</v>
      </c>
      <c r="N2371" s="4"/>
      <c r="O2371" s="1">
        <f t="shared" si="693"/>
        <v>173.1</v>
      </c>
      <c r="P2371" s="1">
        <f t="shared" si="694"/>
        <v>0</v>
      </c>
      <c r="Q2371" s="1" t="str">
        <f t="shared" si="700"/>
        <v/>
      </c>
      <c r="R2371" s="1" t="str">
        <f t="shared" si="695"/>
        <v/>
      </c>
      <c r="S2371" s="1">
        <f t="shared" si="696"/>
        <v>630.90240000000244</v>
      </c>
      <c r="T2371" s="1">
        <f t="shared" si="697"/>
        <v>0</v>
      </c>
      <c r="U2371" s="1">
        <f t="shared" si="698"/>
        <v>0</v>
      </c>
      <c r="V2371" s="1">
        <f t="shared" si="699"/>
        <v>0</v>
      </c>
    </row>
    <row r="2372" spans="5:22" x14ac:dyDescent="0.25">
      <c r="E2372" s="4"/>
      <c r="M2372" s="4">
        <f t="shared" si="692"/>
        <v>173.1</v>
      </c>
      <c r="N2372" s="4"/>
      <c r="O2372" s="1">
        <f t="shared" si="693"/>
        <v>173.1</v>
      </c>
      <c r="P2372" s="1">
        <f t="shared" si="694"/>
        <v>0</v>
      </c>
      <c r="Q2372" s="1" t="str">
        <f t="shared" si="700"/>
        <v/>
      </c>
      <c r="R2372" s="1" t="str">
        <f t="shared" si="695"/>
        <v/>
      </c>
      <c r="S2372" s="1">
        <f t="shared" si="696"/>
        <v>630.90240000000244</v>
      </c>
      <c r="T2372" s="1">
        <f t="shared" si="697"/>
        <v>0</v>
      </c>
      <c r="U2372" s="1">
        <f t="shared" si="698"/>
        <v>0</v>
      </c>
      <c r="V2372" s="1">
        <f t="shared" si="699"/>
        <v>0</v>
      </c>
    </row>
    <row r="2373" spans="5:22" x14ac:dyDescent="0.25">
      <c r="E2373" s="4"/>
      <c r="M2373" s="4">
        <f t="shared" si="692"/>
        <v>173.1</v>
      </c>
      <c r="N2373" s="4"/>
      <c r="O2373" s="1">
        <f t="shared" si="693"/>
        <v>173.1</v>
      </c>
      <c r="P2373" s="1">
        <f t="shared" si="694"/>
        <v>0</v>
      </c>
      <c r="Q2373" s="1" t="str">
        <f t="shared" si="700"/>
        <v/>
      </c>
      <c r="R2373" s="1" t="str">
        <f t="shared" si="695"/>
        <v/>
      </c>
      <c r="S2373" s="1">
        <f t="shared" si="696"/>
        <v>630.90240000000244</v>
      </c>
      <c r="T2373" s="1">
        <f t="shared" si="697"/>
        <v>0</v>
      </c>
      <c r="U2373" s="1">
        <f t="shared" si="698"/>
        <v>0</v>
      </c>
      <c r="V2373" s="1">
        <f t="shared" si="699"/>
        <v>0</v>
      </c>
    </row>
    <row r="2374" spans="5:22" x14ac:dyDescent="0.25">
      <c r="E2374" s="4"/>
      <c r="M2374" s="4">
        <f t="shared" si="692"/>
        <v>173.1</v>
      </c>
      <c r="N2374" s="4"/>
      <c r="O2374" s="1">
        <f t="shared" si="693"/>
        <v>173.1</v>
      </c>
      <c r="P2374" s="1">
        <f t="shared" si="694"/>
        <v>0</v>
      </c>
      <c r="Q2374" s="1" t="str">
        <f t="shared" si="700"/>
        <v/>
      </c>
      <c r="R2374" s="1" t="str">
        <f t="shared" si="695"/>
        <v/>
      </c>
      <c r="S2374" s="1">
        <f t="shared" si="696"/>
        <v>630.90240000000244</v>
      </c>
      <c r="T2374" s="1">
        <f t="shared" si="697"/>
        <v>0</v>
      </c>
      <c r="U2374" s="1">
        <f t="shared" si="698"/>
        <v>0</v>
      </c>
      <c r="V2374" s="1">
        <f t="shared" si="699"/>
        <v>0</v>
      </c>
    </row>
    <row r="2375" spans="5:22" x14ac:dyDescent="0.25">
      <c r="E2375" s="4"/>
      <c r="M2375" s="4">
        <f t="shared" si="692"/>
        <v>173.1</v>
      </c>
      <c r="N2375" s="4"/>
      <c r="O2375" s="1">
        <f t="shared" si="693"/>
        <v>173.1</v>
      </c>
      <c r="P2375" s="1">
        <f t="shared" si="694"/>
        <v>0</v>
      </c>
      <c r="Q2375" s="1" t="str">
        <f t="shared" si="700"/>
        <v/>
      </c>
      <c r="R2375" s="1" t="str">
        <f t="shared" si="695"/>
        <v/>
      </c>
      <c r="S2375" s="1">
        <f t="shared" si="696"/>
        <v>630.90240000000244</v>
      </c>
      <c r="T2375" s="1">
        <f t="shared" si="697"/>
        <v>0</v>
      </c>
      <c r="U2375" s="1">
        <f t="shared" si="698"/>
        <v>0</v>
      </c>
      <c r="V2375" s="1">
        <f t="shared" si="699"/>
        <v>0</v>
      </c>
    </row>
    <row r="2376" spans="5:22" x14ac:dyDescent="0.25">
      <c r="E2376" s="4"/>
      <c r="M2376" s="4">
        <f t="shared" ref="M2376:M2439" si="701">E2376+M2375</f>
        <v>173.1</v>
      </c>
      <c r="N2376" s="4"/>
      <c r="O2376" s="1">
        <f t="shared" ref="O2376:O2439" si="702">E2375+O2375</f>
        <v>173.1</v>
      </c>
      <c r="P2376" s="1">
        <f t="shared" ref="P2376:P2439" si="703">F2376*52.8*E2376</f>
        <v>0</v>
      </c>
      <c r="Q2376" s="1" t="str">
        <f t="shared" si="700"/>
        <v/>
      </c>
      <c r="R2376" s="1" t="str">
        <f t="shared" ref="R2376:R2439" si="704">IF(I2376="",Q2376,IF(AND(H2376=H2375,I2376=I2375),"",I2376))</f>
        <v/>
      </c>
      <c r="S2376" s="1">
        <f t="shared" ref="S2376:S2439" si="705">S2375+U2375*T2375/100</f>
        <v>630.90240000000244</v>
      </c>
      <c r="T2376" s="1">
        <f t="shared" ref="T2376:T2439" si="706">IF(G2376="UNK",0,G2376)</f>
        <v>0</v>
      </c>
      <c r="U2376" s="1">
        <f t="shared" ref="U2376:U2439" si="707">E2376*5280</f>
        <v>0</v>
      </c>
      <c r="V2376" s="1">
        <f t="shared" ref="V2376:V2439" si="708">ABS(T2376*U2376)</f>
        <v>0</v>
      </c>
    </row>
    <row r="2377" spans="5:22" x14ac:dyDescent="0.25">
      <c r="E2377" s="4"/>
      <c r="M2377" s="4">
        <f t="shared" si="701"/>
        <v>173.1</v>
      </c>
      <c r="N2377" s="4"/>
      <c r="O2377" s="1">
        <f t="shared" si="702"/>
        <v>173.1</v>
      </c>
      <c r="P2377" s="1">
        <f t="shared" si="703"/>
        <v>0</v>
      </c>
      <c r="Q2377" s="1" t="str">
        <f t="shared" si="700"/>
        <v/>
      </c>
      <c r="R2377" s="1" t="str">
        <f t="shared" si="704"/>
        <v/>
      </c>
      <c r="S2377" s="1">
        <f t="shared" si="705"/>
        <v>630.90240000000244</v>
      </c>
      <c r="T2377" s="1">
        <f t="shared" si="706"/>
        <v>0</v>
      </c>
      <c r="U2377" s="1">
        <f t="shared" si="707"/>
        <v>0</v>
      </c>
      <c r="V2377" s="1">
        <f t="shared" si="708"/>
        <v>0</v>
      </c>
    </row>
    <row r="2378" spans="5:22" x14ac:dyDescent="0.25">
      <c r="E2378" s="4"/>
      <c r="M2378" s="4">
        <f t="shared" si="701"/>
        <v>173.1</v>
      </c>
      <c r="N2378" s="4"/>
      <c r="O2378" s="1">
        <f t="shared" si="702"/>
        <v>173.1</v>
      </c>
      <c r="P2378" s="1">
        <f t="shared" si="703"/>
        <v>0</v>
      </c>
      <c r="Q2378" s="1" t="str">
        <f t="shared" si="700"/>
        <v/>
      </c>
      <c r="R2378" s="1" t="str">
        <f t="shared" si="704"/>
        <v/>
      </c>
      <c r="S2378" s="1">
        <f t="shared" si="705"/>
        <v>630.90240000000244</v>
      </c>
      <c r="T2378" s="1">
        <f t="shared" si="706"/>
        <v>0</v>
      </c>
      <c r="U2378" s="1">
        <f t="shared" si="707"/>
        <v>0</v>
      </c>
      <c r="V2378" s="1">
        <f t="shared" si="708"/>
        <v>0</v>
      </c>
    </row>
    <row r="2379" spans="5:22" x14ac:dyDescent="0.25">
      <c r="E2379" s="4"/>
      <c r="M2379" s="4">
        <f t="shared" si="701"/>
        <v>173.1</v>
      </c>
      <c r="N2379" s="4"/>
      <c r="O2379" s="1">
        <f t="shared" si="702"/>
        <v>173.1</v>
      </c>
      <c r="P2379" s="1">
        <f t="shared" si="703"/>
        <v>0</v>
      </c>
      <c r="Q2379" s="1" t="str">
        <f t="shared" si="700"/>
        <v/>
      </c>
      <c r="R2379" s="1" t="str">
        <f t="shared" si="704"/>
        <v/>
      </c>
      <c r="S2379" s="1">
        <f t="shared" si="705"/>
        <v>630.90240000000244</v>
      </c>
      <c r="T2379" s="1">
        <f t="shared" si="706"/>
        <v>0</v>
      </c>
      <c r="U2379" s="1">
        <f t="shared" si="707"/>
        <v>0</v>
      </c>
      <c r="V2379" s="1">
        <f t="shared" si="708"/>
        <v>0</v>
      </c>
    </row>
    <row r="2380" spans="5:22" x14ac:dyDescent="0.25">
      <c r="E2380" s="4"/>
      <c r="M2380" s="4">
        <f t="shared" si="701"/>
        <v>173.1</v>
      </c>
      <c r="N2380" s="4"/>
      <c r="O2380" s="1">
        <f t="shared" si="702"/>
        <v>173.1</v>
      </c>
      <c r="P2380" s="1">
        <f t="shared" si="703"/>
        <v>0</v>
      </c>
      <c r="Q2380" s="1" t="str">
        <f t="shared" si="700"/>
        <v/>
      </c>
      <c r="R2380" s="1" t="str">
        <f t="shared" si="704"/>
        <v/>
      </c>
      <c r="S2380" s="1">
        <f t="shared" si="705"/>
        <v>630.90240000000244</v>
      </c>
      <c r="T2380" s="1">
        <f t="shared" si="706"/>
        <v>0</v>
      </c>
      <c r="U2380" s="1">
        <f t="shared" si="707"/>
        <v>0</v>
      </c>
      <c r="V2380" s="1">
        <f t="shared" si="708"/>
        <v>0</v>
      </c>
    </row>
    <row r="2381" spans="5:22" x14ac:dyDescent="0.25">
      <c r="E2381" s="4"/>
      <c r="M2381" s="4">
        <f t="shared" si="701"/>
        <v>173.1</v>
      </c>
      <c r="N2381" s="4"/>
      <c r="O2381" s="1">
        <f t="shared" si="702"/>
        <v>173.1</v>
      </c>
      <c r="P2381" s="1">
        <f t="shared" si="703"/>
        <v>0</v>
      </c>
      <c r="Q2381" s="1" t="str">
        <f t="shared" si="700"/>
        <v/>
      </c>
      <c r="R2381" s="1" t="str">
        <f t="shared" si="704"/>
        <v/>
      </c>
      <c r="S2381" s="1">
        <f t="shared" si="705"/>
        <v>630.90240000000244</v>
      </c>
      <c r="T2381" s="1">
        <f t="shared" si="706"/>
        <v>0</v>
      </c>
      <c r="U2381" s="1">
        <f t="shared" si="707"/>
        <v>0</v>
      </c>
      <c r="V2381" s="1">
        <f t="shared" si="708"/>
        <v>0</v>
      </c>
    </row>
    <row r="2382" spans="5:22" x14ac:dyDescent="0.25">
      <c r="E2382" s="4"/>
      <c r="M2382" s="4">
        <f t="shared" si="701"/>
        <v>173.1</v>
      </c>
      <c r="N2382" s="4"/>
      <c r="O2382" s="1">
        <f t="shared" si="702"/>
        <v>173.1</v>
      </c>
      <c r="P2382" s="1">
        <f t="shared" si="703"/>
        <v>0</v>
      </c>
      <c r="Q2382" s="1" t="str">
        <f t="shared" si="700"/>
        <v/>
      </c>
      <c r="R2382" s="1" t="str">
        <f t="shared" si="704"/>
        <v/>
      </c>
      <c r="S2382" s="1">
        <f t="shared" si="705"/>
        <v>630.90240000000244</v>
      </c>
      <c r="T2382" s="1">
        <f t="shared" si="706"/>
        <v>0</v>
      </c>
      <c r="U2382" s="1">
        <f t="shared" si="707"/>
        <v>0</v>
      </c>
      <c r="V2382" s="1">
        <f t="shared" si="708"/>
        <v>0</v>
      </c>
    </row>
    <row r="2383" spans="5:22" x14ac:dyDescent="0.25">
      <c r="E2383" s="4"/>
      <c r="M2383" s="4">
        <f t="shared" si="701"/>
        <v>173.1</v>
      </c>
      <c r="N2383" s="4"/>
      <c r="O2383" s="1">
        <f t="shared" si="702"/>
        <v>173.1</v>
      </c>
      <c r="P2383" s="1">
        <f t="shared" si="703"/>
        <v>0</v>
      </c>
      <c r="Q2383" s="1" t="str">
        <f t="shared" si="700"/>
        <v/>
      </c>
      <c r="R2383" s="1" t="str">
        <f t="shared" si="704"/>
        <v/>
      </c>
      <c r="S2383" s="1">
        <f t="shared" si="705"/>
        <v>630.90240000000244</v>
      </c>
      <c r="T2383" s="1">
        <f t="shared" si="706"/>
        <v>0</v>
      </c>
      <c r="U2383" s="1">
        <f t="shared" si="707"/>
        <v>0</v>
      </c>
      <c r="V2383" s="1">
        <f t="shared" si="708"/>
        <v>0</v>
      </c>
    </row>
    <row r="2384" spans="5:22" x14ac:dyDescent="0.25">
      <c r="E2384" s="4"/>
      <c r="M2384" s="4">
        <f t="shared" si="701"/>
        <v>173.1</v>
      </c>
      <c r="N2384" s="4"/>
      <c r="O2384" s="1">
        <f t="shared" si="702"/>
        <v>173.1</v>
      </c>
      <c r="P2384" s="1">
        <f t="shared" si="703"/>
        <v>0</v>
      </c>
      <c r="Q2384" s="1" t="str">
        <f t="shared" si="700"/>
        <v/>
      </c>
      <c r="R2384" s="1" t="str">
        <f t="shared" si="704"/>
        <v/>
      </c>
      <c r="S2384" s="1">
        <f t="shared" si="705"/>
        <v>630.90240000000244</v>
      </c>
      <c r="T2384" s="1">
        <f t="shared" si="706"/>
        <v>0</v>
      </c>
      <c r="U2384" s="1">
        <f t="shared" si="707"/>
        <v>0</v>
      </c>
      <c r="V2384" s="1">
        <f t="shared" si="708"/>
        <v>0</v>
      </c>
    </row>
    <row r="2385" spans="5:22" x14ac:dyDescent="0.25">
      <c r="E2385" s="4"/>
      <c r="M2385" s="4">
        <f t="shared" si="701"/>
        <v>173.1</v>
      </c>
      <c r="N2385" s="4"/>
      <c r="O2385" s="1">
        <f t="shared" si="702"/>
        <v>173.1</v>
      </c>
      <c r="P2385" s="1">
        <f t="shared" si="703"/>
        <v>0</v>
      </c>
      <c r="Q2385" s="1" t="str">
        <f t="shared" si="700"/>
        <v/>
      </c>
      <c r="R2385" s="1" t="str">
        <f t="shared" si="704"/>
        <v/>
      </c>
      <c r="S2385" s="1">
        <f t="shared" si="705"/>
        <v>630.90240000000244</v>
      </c>
      <c r="T2385" s="1">
        <f t="shared" si="706"/>
        <v>0</v>
      </c>
      <c r="U2385" s="1">
        <f t="shared" si="707"/>
        <v>0</v>
      </c>
      <c r="V2385" s="1">
        <f t="shared" si="708"/>
        <v>0</v>
      </c>
    </row>
    <row r="2386" spans="5:22" x14ac:dyDescent="0.25">
      <c r="E2386" s="4"/>
      <c r="M2386" s="4">
        <f t="shared" si="701"/>
        <v>173.1</v>
      </c>
      <c r="N2386" s="4"/>
      <c r="O2386" s="1">
        <f t="shared" si="702"/>
        <v>173.1</v>
      </c>
      <c r="P2386" s="1">
        <f t="shared" si="703"/>
        <v>0</v>
      </c>
      <c r="Q2386" s="1" t="str">
        <f t="shared" si="700"/>
        <v/>
      </c>
      <c r="R2386" s="1" t="str">
        <f t="shared" si="704"/>
        <v/>
      </c>
      <c r="S2386" s="1">
        <f t="shared" si="705"/>
        <v>630.90240000000244</v>
      </c>
      <c r="T2386" s="1">
        <f t="shared" si="706"/>
        <v>0</v>
      </c>
      <c r="U2386" s="1">
        <f t="shared" si="707"/>
        <v>0</v>
      </c>
      <c r="V2386" s="1">
        <f t="shared" si="708"/>
        <v>0</v>
      </c>
    </row>
    <row r="2387" spans="5:22" x14ac:dyDescent="0.25">
      <c r="E2387" s="4"/>
      <c r="M2387" s="4">
        <f t="shared" si="701"/>
        <v>173.1</v>
      </c>
      <c r="N2387" s="4"/>
      <c r="O2387" s="1">
        <f t="shared" si="702"/>
        <v>173.1</v>
      </c>
      <c r="P2387" s="1">
        <f t="shared" si="703"/>
        <v>0</v>
      </c>
      <c r="Q2387" s="1" t="str">
        <f t="shared" si="700"/>
        <v/>
      </c>
      <c r="R2387" s="1" t="str">
        <f t="shared" si="704"/>
        <v/>
      </c>
      <c r="S2387" s="1">
        <f t="shared" si="705"/>
        <v>630.90240000000244</v>
      </c>
      <c r="T2387" s="1">
        <f t="shared" si="706"/>
        <v>0</v>
      </c>
      <c r="U2387" s="1">
        <f t="shared" si="707"/>
        <v>0</v>
      </c>
      <c r="V2387" s="1">
        <f t="shared" si="708"/>
        <v>0</v>
      </c>
    </row>
    <row r="2388" spans="5:22" x14ac:dyDescent="0.25">
      <c r="E2388" s="4"/>
      <c r="M2388" s="4">
        <f t="shared" si="701"/>
        <v>173.1</v>
      </c>
      <c r="N2388" s="4"/>
      <c r="O2388" s="1">
        <f t="shared" si="702"/>
        <v>173.1</v>
      </c>
      <c r="P2388" s="1">
        <f t="shared" si="703"/>
        <v>0</v>
      </c>
      <c r="Q2388" s="1" t="str">
        <f t="shared" si="700"/>
        <v/>
      </c>
      <c r="R2388" s="1" t="str">
        <f t="shared" si="704"/>
        <v/>
      </c>
      <c r="S2388" s="1">
        <f t="shared" si="705"/>
        <v>630.90240000000244</v>
      </c>
      <c r="T2388" s="1">
        <f t="shared" si="706"/>
        <v>0</v>
      </c>
      <c r="U2388" s="1">
        <f t="shared" si="707"/>
        <v>0</v>
      </c>
      <c r="V2388" s="1">
        <f t="shared" si="708"/>
        <v>0</v>
      </c>
    </row>
    <row r="2389" spans="5:22" x14ac:dyDescent="0.25">
      <c r="E2389" s="4"/>
      <c r="M2389" s="4">
        <f t="shared" si="701"/>
        <v>173.1</v>
      </c>
      <c r="N2389" s="4"/>
      <c r="O2389" s="1">
        <f t="shared" si="702"/>
        <v>173.1</v>
      </c>
      <c r="P2389" s="1">
        <f t="shared" si="703"/>
        <v>0</v>
      </c>
      <c r="Q2389" s="1" t="str">
        <f t="shared" si="700"/>
        <v/>
      </c>
      <c r="R2389" s="1" t="str">
        <f t="shared" si="704"/>
        <v/>
      </c>
      <c r="S2389" s="1">
        <f t="shared" si="705"/>
        <v>630.90240000000244</v>
      </c>
      <c r="T2389" s="1">
        <f t="shared" si="706"/>
        <v>0</v>
      </c>
      <c r="U2389" s="1">
        <f t="shared" si="707"/>
        <v>0</v>
      </c>
      <c r="V2389" s="1">
        <f t="shared" si="708"/>
        <v>0</v>
      </c>
    </row>
    <row r="2390" spans="5:22" x14ac:dyDescent="0.25">
      <c r="E2390" s="4"/>
      <c r="M2390" s="4">
        <f t="shared" si="701"/>
        <v>173.1</v>
      </c>
      <c r="N2390" s="4"/>
      <c r="O2390" s="1">
        <f t="shared" si="702"/>
        <v>173.1</v>
      </c>
      <c r="P2390" s="1">
        <f t="shared" si="703"/>
        <v>0</v>
      </c>
      <c r="Q2390" s="1" t="str">
        <f t="shared" si="700"/>
        <v/>
      </c>
      <c r="R2390" s="1" t="str">
        <f t="shared" si="704"/>
        <v/>
      </c>
      <c r="S2390" s="1">
        <f t="shared" si="705"/>
        <v>630.90240000000244</v>
      </c>
      <c r="T2390" s="1">
        <f t="shared" si="706"/>
        <v>0</v>
      </c>
      <c r="U2390" s="1">
        <f t="shared" si="707"/>
        <v>0</v>
      </c>
      <c r="V2390" s="1">
        <f t="shared" si="708"/>
        <v>0</v>
      </c>
    </row>
    <row r="2391" spans="5:22" x14ac:dyDescent="0.25">
      <c r="E2391" s="4"/>
      <c r="M2391" s="4">
        <f t="shared" si="701"/>
        <v>173.1</v>
      </c>
      <c r="N2391" s="4"/>
      <c r="O2391" s="1">
        <f t="shared" si="702"/>
        <v>173.1</v>
      </c>
      <c r="P2391" s="1">
        <f t="shared" si="703"/>
        <v>0</v>
      </c>
      <c r="Q2391" s="1" t="str">
        <f t="shared" si="700"/>
        <v/>
      </c>
      <c r="R2391" s="1" t="str">
        <f t="shared" si="704"/>
        <v/>
      </c>
      <c r="S2391" s="1">
        <f t="shared" si="705"/>
        <v>630.90240000000244</v>
      </c>
      <c r="T2391" s="1">
        <f t="shared" si="706"/>
        <v>0</v>
      </c>
      <c r="U2391" s="1">
        <f t="shared" si="707"/>
        <v>0</v>
      </c>
      <c r="V2391" s="1">
        <f t="shared" si="708"/>
        <v>0</v>
      </c>
    </row>
    <row r="2392" spans="5:22" x14ac:dyDescent="0.25">
      <c r="E2392" s="4"/>
      <c r="M2392" s="4">
        <f t="shared" si="701"/>
        <v>173.1</v>
      </c>
      <c r="N2392" s="4"/>
      <c r="O2392" s="1">
        <f t="shared" si="702"/>
        <v>173.1</v>
      </c>
      <c r="P2392" s="1">
        <f t="shared" si="703"/>
        <v>0</v>
      </c>
      <c r="Q2392" s="1" t="str">
        <f t="shared" si="700"/>
        <v/>
      </c>
      <c r="R2392" s="1" t="str">
        <f t="shared" si="704"/>
        <v/>
      </c>
      <c r="S2392" s="1">
        <f t="shared" si="705"/>
        <v>630.90240000000244</v>
      </c>
      <c r="T2392" s="1">
        <f t="shared" si="706"/>
        <v>0</v>
      </c>
      <c r="U2392" s="1">
        <f t="shared" si="707"/>
        <v>0</v>
      </c>
      <c r="V2392" s="1">
        <f t="shared" si="708"/>
        <v>0</v>
      </c>
    </row>
    <row r="2393" spans="5:22" x14ac:dyDescent="0.25">
      <c r="E2393" s="4"/>
      <c r="M2393" s="4">
        <f t="shared" si="701"/>
        <v>173.1</v>
      </c>
      <c r="N2393" s="4"/>
      <c r="O2393" s="1">
        <f t="shared" si="702"/>
        <v>173.1</v>
      </c>
      <c r="P2393" s="1">
        <f t="shared" si="703"/>
        <v>0</v>
      </c>
      <c r="Q2393" s="1" t="str">
        <f t="shared" si="700"/>
        <v/>
      </c>
      <c r="R2393" s="1" t="str">
        <f t="shared" si="704"/>
        <v/>
      </c>
      <c r="S2393" s="1">
        <f t="shared" si="705"/>
        <v>630.90240000000244</v>
      </c>
      <c r="T2393" s="1">
        <f t="shared" si="706"/>
        <v>0</v>
      </c>
      <c r="U2393" s="1">
        <f t="shared" si="707"/>
        <v>0</v>
      </c>
      <c r="V2393" s="1">
        <f t="shared" si="708"/>
        <v>0</v>
      </c>
    </row>
    <row r="2394" spans="5:22" x14ac:dyDescent="0.25">
      <c r="E2394" s="4"/>
      <c r="M2394" s="4">
        <f t="shared" si="701"/>
        <v>173.1</v>
      </c>
      <c r="N2394" s="4"/>
      <c r="O2394" s="1">
        <f t="shared" si="702"/>
        <v>173.1</v>
      </c>
      <c r="P2394" s="1">
        <f t="shared" si="703"/>
        <v>0</v>
      </c>
      <c r="Q2394" s="1" t="str">
        <f t="shared" si="700"/>
        <v/>
      </c>
      <c r="R2394" s="1" t="str">
        <f t="shared" si="704"/>
        <v/>
      </c>
      <c r="S2394" s="1">
        <f t="shared" si="705"/>
        <v>630.90240000000244</v>
      </c>
      <c r="T2394" s="1">
        <f t="shared" si="706"/>
        <v>0</v>
      </c>
      <c r="U2394" s="1">
        <f t="shared" si="707"/>
        <v>0</v>
      </c>
      <c r="V2394" s="1">
        <f t="shared" si="708"/>
        <v>0</v>
      </c>
    </row>
    <row r="2395" spans="5:22" x14ac:dyDescent="0.25">
      <c r="E2395" s="4"/>
      <c r="M2395" s="4">
        <f t="shared" si="701"/>
        <v>173.1</v>
      </c>
      <c r="N2395" s="4"/>
      <c r="O2395" s="1">
        <f t="shared" si="702"/>
        <v>173.1</v>
      </c>
      <c r="P2395" s="1">
        <f t="shared" si="703"/>
        <v>0</v>
      </c>
      <c r="Q2395" s="1" t="str">
        <f t="shared" si="700"/>
        <v/>
      </c>
      <c r="R2395" s="1" t="str">
        <f t="shared" si="704"/>
        <v/>
      </c>
      <c r="S2395" s="1">
        <f t="shared" si="705"/>
        <v>630.90240000000244</v>
      </c>
      <c r="T2395" s="1">
        <f t="shared" si="706"/>
        <v>0</v>
      </c>
      <c r="U2395" s="1">
        <f t="shared" si="707"/>
        <v>0</v>
      </c>
      <c r="V2395" s="1">
        <f t="shared" si="708"/>
        <v>0</v>
      </c>
    </row>
    <row r="2396" spans="5:22" x14ac:dyDescent="0.25">
      <c r="E2396" s="4"/>
      <c r="M2396" s="4">
        <f t="shared" si="701"/>
        <v>173.1</v>
      </c>
      <c r="N2396" s="4"/>
      <c r="O2396" s="1">
        <f t="shared" si="702"/>
        <v>173.1</v>
      </c>
      <c r="P2396" s="1">
        <f t="shared" si="703"/>
        <v>0</v>
      </c>
      <c r="Q2396" s="1" t="str">
        <f t="shared" si="700"/>
        <v/>
      </c>
      <c r="R2396" s="1" t="str">
        <f t="shared" si="704"/>
        <v/>
      </c>
      <c r="S2396" s="1">
        <f t="shared" si="705"/>
        <v>630.90240000000244</v>
      </c>
      <c r="T2396" s="1">
        <f t="shared" si="706"/>
        <v>0</v>
      </c>
      <c r="U2396" s="1">
        <f t="shared" si="707"/>
        <v>0</v>
      </c>
      <c r="V2396" s="1">
        <f t="shared" si="708"/>
        <v>0</v>
      </c>
    </row>
    <row r="2397" spans="5:22" x14ac:dyDescent="0.25">
      <c r="E2397" s="4"/>
      <c r="M2397" s="4">
        <f t="shared" si="701"/>
        <v>173.1</v>
      </c>
      <c r="N2397" s="4"/>
      <c r="O2397" s="1">
        <f t="shared" si="702"/>
        <v>173.1</v>
      </c>
      <c r="P2397" s="1">
        <f t="shared" si="703"/>
        <v>0</v>
      </c>
      <c r="Q2397" s="1" t="str">
        <f t="shared" si="700"/>
        <v/>
      </c>
      <c r="R2397" s="1" t="str">
        <f t="shared" si="704"/>
        <v/>
      </c>
      <c r="S2397" s="1">
        <f t="shared" si="705"/>
        <v>630.90240000000244</v>
      </c>
      <c r="T2397" s="1">
        <f t="shared" si="706"/>
        <v>0</v>
      </c>
      <c r="U2397" s="1">
        <f t="shared" si="707"/>
        <v>0</v>
      </c>
      <c r="V2397" s="1">
        <f t="shared" si="708"/>
        <v>0</v>
      </c>
    </row>
    <row r="2398" spans="5:22" x14ac:dyDescent="0.25">
      <c r="E2398" s="4"/>
      <c r="M2398" s="4">
        <f t="shared" si="701"/>
        <v>173.1</v>
      </c>
      <c r="N2398" s="4"/>
      <c r="O2398" s="1">
        <f t="shared" si="702"/>
        <v>173.1</v>
      </c>
      <c r="P2398" s="1">
        <f t="shared" si="703"/>
        <v>0</v>
      </c>
      <c r="Q2398" s="1" t="str">
        <f t="shared" si="700"/>
        <v/>
      </c>
      <c r="R2398" s="1" t="str">
        <f t="shared" si="704"/>
        <v/>
      </c>
      <c r="S2398" s="1">
        <f t="shared" si="705"/>
        <v>630.90240000000244</v>
      </c>
      <c r="T2398" s="1">
        <f t="shared" si="706"/>
        <v>0</v>
      </c>
      <c r="U2398" s="1">
        <f t="shared" si="707"/>
        <v>0</v>
      </c>
      <c r="V2398" s="1">
        <f t="shared" si="708"/>
        <v>0</v>
      </c>
    </row>
    <row r="2399" spans="5:22" x14ac:dyDescent="0.25">
      <c r="E2399" s="4"/>
      <c r="M2399" s="4">
        <f t="shared" si="701"/>
        <v>173.1</v>
      </c>
      <c r="N2399" s="4"/>
      <c r="O2399" s="1">
        <f t="shared" si="702"/>
        <v>173.1</v>
      </c>
      <c r="P2399" s="1">
        <f t="shared" si="703"/>
        <v>0</v>
      </c>
      <c r="Q2399" s="1" t="str">
        <f t="shared" si="700"/>
        <v/>
      </c>
      <c r="R2399" s="1" t="str">
        <f t="shared" si="704"/>
        <v/>
      </c>
      <c r="S2399" s="1">
        <f t="shared" si="705"/>
        <v>630.90240000000244</v>
      </c>
      <c r="T2399" s="1">
        <f t="shared" si="706"/>
        <v>0</v>
      </c>
      <c r="U2399" s="1">
        <f t="shared" si="707"/>
        <v>0</v>
      </c>
      <c r="V2399" s="1">
        <f t="shared" si="708"/>
        <v>0</v>
      </c>
    </row>
    <row r="2400" spans="5:22" x14ac:dyDescent="0.25">
      <c r="E2400" s="4"/>
      <c r="M2400" s="4">
        <f t="shared" si="701"/>
        <v>173.1</v>
      </c>
      <c r="N2400" s="4"/>
      <c r="O2400" s="1">
        <f t="shared" si="702"/>
        <v>173.1</v>
      </c>
      <c r="P2400" s="1">
        <f t="shared" si="703"/>
        <v>0</v>
      </c>
      <c r="Q2400" s="1" t="str">
        <f t="shared" si="700"/>
        <v/>
      </c>
      <c r="R2400" s="1" t="str">
        <f t="shared" si="704"/>
        <v/>
      </c>
      <c r="S2400" s="1">
        <f t="shared" si="705"/>
        <v>630.90240000000244</v>
      </c>
      <c r="T2400" s="1">
        <f t="shared" si="706"/>
        <v>0</v>
      </c>
      <c r="U2400" s="1">
        <f t="shared" si="707"/>
        <v>0</v>
      </c>
      <c r="V2400" s="1">
        <f t="shared" si="708"/>
        <v>0</v>
      </c>
    </row>
    <row r="2401" spans="5:22" x14ac:dyDescent="0.25">
      <c r="E2401" s="4"/>
      <c r="M2401" s="4">
        <f t="shared" si="701"/>
        <v>173.1</v>
      </c>
      <c r="N2401" s="4"/>
      <c r="O2401" s="1">
        <f t="shared" si="702"/>
        <v>173.1</v>
      </c>
      <c r="P2401" s="1">
        <f t="shared" si="703"/>
        <v>0</v>
      </c>
      <c r="Q2401" s="1" t="str">
        <f t="shared" si="700"/>
        <v/>
      </c>
      <c r="R2401" s="1" t="str">
        <f t="shared" si="704"/>
        <v/>
      </c>
      <c r="S2401" s="1">
        <f t="shared" si="705"/>
        <v>630.90240000000244</v>
      </c>
      <c r="T2401" s="1">
        <f t="shared" si="706"/>
        <v>0</v>
      </c>
      <c r="U2401" s="1">
        <f t="shared" si="707"/>
        <v>0</v>
      </c>
      <c r="V2401" s="1">
        <f t="shared" si="708"/>
        <v>0</v>
      </c>
    </row>
    <row r="2402" spans="5:22" x14ac:dyDescent="0.25">
      <c r="E2402" s="4"/>
      <c r="M2402" s="4">
        <f t="shared" si="701"/>
        <v>173.1</v>
      </c>
      <c r="N2402" s="4"/>
      <c r="O2402" s="1">
        <f t="shared" si="702"/>
        <v>173.1</v>
      </c>
      <c r="P2402" s="1">
        <f t="shared" si="703"/>
        <v>0</v>
      </c>
      <c r="Q2402" s="1" t="str">
        <f t="shared" si="700"/>
        <v/>
      </c>
      <c r="R2402" s="1" t="str">
        <f t="shared" si="704"/>
        <v/>
      </c>
      <c r="S2402" s="1">
        <f t="shared" si="705"/>
        <v>630.90240000000244</v>
      </c>
      <c r="T2402" s="1">
        <f t="shared" si="706"/>
        <v>0</v>
      </c>
      <c r="U2402" s="1">
        <f t="shared" si="707"/>
        <v>0</v>
      </c>
      <c r="V2402" s="1">
        <f t="shared" si="708"/>
        <v>0</v>
      </c>
    </row>
    <row r="2403" spans="5:22" x14ac:dyDescent="0.25">
      <c r="E2403" s="4"/>
      <c r="M2403" s="4">
        <f t="shared" si="701"/>
        <v>173.1</v>
      </c>
      <c r="N2403" s="4"/>
      <c r="O2403" s="1">
        <f t="shared" si="702"/>
        <v>173.1</v>
      </c>
      <c r="P2403" s="1">
        <f t="shared" si="703"/>
        <v>0</v>
      </c>
      <c r="Q2403" s="1" t="str">
        <f t="shared" si="700"/>
        <v/>
      </c>
      <c r="R2403" s="1" t="str">
        <f t="shared" si="704"/>
        <v/>
      </c>
      <c r="S2403" s="1">
        <f t="shared" si="705"/>
        <v>630.90240000000244</v>
      </c>
      <c r="T2403" s="1">
        <f t="shared" si="706"/>
        <v>0</v>
      </c>
      <c r="U2403" s="1">
        <f t="shared" si="707"/>
        <v>0</v>
      </c>
      <c r="V2403" s="1">
        <f t="shared" si="708"/>
        <v>0</v>
      </c>
    </row>
    <row r="2404" spans="5:22" x14ac:dyDescent="0.25">
      <c r="E2404" s="4"/>
      <c r="M2404" s="4">
        <f t="shared" si="701"/>
        <v>173.1</v>
      </c>
      <c r="N2404" s="4"/>
      <c r="O2404" s="1">
        <f t="shared" si="702"/>
        <v>173.1</v>
      </c>
      <c r="P2404" s="1">
        <f t="shared" si="703"/>
        <v>0</v>
      </c>
      <c r="Q2404" s="1" t="str">
        <f t="shared" si="700"/>
        <v/>
      </c>
      <c r="R2404" s="1" t="str">
        <f t="shared" si="704"/>
        <v/>
      </c>
      <c r="S2404" s="1">
        <f t="shared" si="705"/>
        <v>630.90240000000244</v>
      </c>
      <c r="T2404" s="1">
        <f t="shared" si="706"/>
        <v>0</v>
      </c>
      <c r="U2404" s="1">
        <f t="shared" si="707"/>
        <v>0</v>
      </c>
      <c r="V2404" s="1">
        <f t="shared" si="708"/>
        <v>0</v>
      </c>
    </row>
    <row r="2405" spans="5:22" x14ac:dyDescent="0.25">
      <c r="E2405" s="4"/>
      <c r="M2405" s="4">
        <f t="shared" si="701"/>
        <v>173.1</v>
      </c>
      <c r="N2405" s="4"/>
      <c r="O2405" s="1">
        <f t="shared" si="702"/>
        <v>173.1</v>
      </c>
      <c r="P2405" s="1">
        <f t="shared" si="703"/>
        <v>0</v>
      </c>
      <c r="Q2405" s="1" t="str">
        <f t="shared" si="700"/>
        <v/>
      </c>
      <c r="R2405" s="1" t="str">
        <f t="shared" si="704"/>
        <v/>
      </c>
      <c r="S2405" s="1">
        <f t="shared" si="705"/>
        <v>630.90240000000244</v>
      </c>
      <c r="T2405" s="1">
        <f t="shared" si="706"/>
        <v>0</v>
      </c>
      <c r="U2405" s="1">
        <f t="shared" si="707"/>
        <v>0</v>
      </c>
      <c r="V2405" s="1">
        <f t="shared" si="708"/>
        <v>0</v>
      </c>
    </row>
    <row r="2406" spans="5:22" x14ac:dyDescent="0.25">
      <c r="E2406" s="4"/>
      <c r="M2406" s="4">
        <f t="shared" si="701"/>
        <v>173.1</v>
      </c>
      <c r="N2406" s="4"/>
      <c r="O2406" s="1">
        <f t="shared" si="702"/>
        <v>173.1</v>
      </c>
      <c r="P2406" s="1">
        <f t="shared" si="703"/>
        <v>0</v>
      </c>
      <c r="Q2406" s="1" t="str">
        <f t="shared" si="700"/>
        <v/>
      </c>
      <c r="R2406" s="1" t="str">
        <f t="shared" si="704"/>
        <v/>
      </c>
      <c r="S2406" s="1">
        <f t="shared" si="705"/>
        <v>630.90240000000244</v>
      </c>
      <c r="T2406" s="1">
        <f t="shared" si="706"/>
        <v>0</v>
      </c>
      <c r="U2406" s="1">
        <f t="shared" si="707"/>
        <v>0</v>
      </c>
      <c r="V2406" s="1">
        <f t="shared" si="708"/>
        <v>0</v>
      </c>
    </row>
    <row r="2407" spans="5:22" x14ac:dyDescent="0.25">
      <c r="E2407" s="4"/>
      <c r="M2407" s="4">
        <f t="shared" si="701"/>
        <v>173.1</v>
      </c>
      <c r="N2407" s="4"/>
      <c r="O2407" s="1">
        <f t="shared" si="702"/>
        <v>173.1</v>
      </c>
      <c r="P2407" s="1">
        <f t="shared" si="703"/>
        <v>0</v>
      </c>
      <c r="Q2407" s="1" t="str">
        <f t="shared" si="700"/>
        <v/>
      </c>
      <c r="R2407" s="1" t="str">
        <f t="shared" si="704"/>
        <v/>
      </c>
      <c r="S2407" s="1">
        <f t="shared" si="705"/>
        <v>630.90240000000244</v>
      </c>
      <c r="T2407" s="1">
        <f t="shared" si="706"/>
        <v>0</v>
      </c>
      <c r="U2407" s="1">
        <f t="shared" si="707"/>
        <v>0</v>
      </c>
      <c r="V2407" s="1">
        <f t="shared" si="708"/>
        <v>0</v>
      </c>
    </row>
    <row r="2408" spans="5:22" x14ac:dyDescent="0.25">
      <c r="E2408" s="4"/>
      <c r="M2408" s="4">
        <f t="shared" si="701"/>
        <v>173.1</v>
      </c>
      <c r="N2408" s="4"/>
      <c r="O2408" s="1">
        <f t="shared" si="702"/>
        <v>173.1</v>
      </c>
      <c r="P2408" s="1">
        <f t="shared" si="703"/>
        <v>0</v>
      </c>
      <c r="Q2408" s="1" t="str">
        <f t="shared" si="700"/>
        <v/>
      </c>
      <c r="R2408" s="1" t="str">
        <f t="shared" si="704"/>
        <v/>
      </c>
      <c r="S2408" s="1">
        <f t="shared" si="705"/>
        <v>630.90240000000244</v>
      </c>
      <c r="T2408" s="1">
        <f t="shared" si="706"/>
        <v>0</v>
      </c>
      <c r="U2408" s="1">
        <f t="shared" si="707"/>
        <v>0</v>
      </c>
      <c r="V2408" s="1">
        <f t="shared" si="708"/>
        <v>0</v>
      </c>
    </row>
    <row r="2409" spans="5:22" x14ac:dyDescent="0.25">
      <c r="E2409" s="4"/>
      <c r="M2409" s="4">
        <f t="shared" si="701"/>
        <v>173.1</v>
      </c>
      <c r="N2409" s="4"/>
      <c r="O2409" s="1">
        <f t="shared" si="702"/>
        <v>173.1</v>
      </c>
      <c r="P2409" s="1">
        <f t="shared" si="703"/>
        <v>0</v>
      </c>
      <c r="Q2409" s="1" t="str">
        <f t="shared" si="700"/>
        <v/>
      </c>
      <c r="R2409" s="1" t="str">
        <f t="shared" si="704"/>
        <v/>
      </c>
      <c r="S2409" s="1">
        <f t="shared" si="705"/>
        <v>630.90240000000244</v>
      </c>
      <c r="T2409" s="1">
        <f t="shared" si="706"/>
        <v>0</v>
      </c>
      <c r="U2409" s="1">
        <f t="shared" si="707"/>
        <v>0</v>
      </c>
      <c r="V2409" s="1">
        <f t="shared" si="708"/>
        <v>0</v>
      </c>
    </row>
    <row r="2410" spans="5:22" x14ac:dyDescent="0.25">
      <c r="E2410" s="4"/>
      <c r="M2410" s="4">
        <f t="shared" si="701"/>
        <v>173.1</v>
      </c>
      <c r="N2410" s="4"/>
      <c r="O2410" s="1">
        <f t="shared" si="702"/>
        <v>173.1</v>
      </c>
      <c r="P2410" s="1">
        <f t="shared" si="703"/>
        <v>0</v>
      </c>
      <c r="Q2410" s="1" t="str">
        <f t="shared" si="700"/>
        <v/>
      </c>
      <c r="R2410" s="1" t="str">
        <f t="shared" si="704"/>
        <v/>
      </c>
      <c r="S2410" s="1">
        <f t="shared" si="705"/>
        <v>630.90240000000244</v>
      </c>
      <c r="T2410" s="1">
        <f t="shared" si="706"/>
        <v>0</v>
      </c>
      <c r="U2410" s="1">
        <f t="shared" si="707"/>
        <v>0</v>
      </c>
      <c r="V2410" s="1">
        <f t="shared" si="708"/>
        <v>0</v>
      </c>
    </row>
    <row r="2411" spans="5:22" x14ac:dyDescent="0.25">
      <c r="E2411" s="4"/>
      <c r="M2411" s="4">
        <f t="shared" si="701"/>
        <v>173.1</v>
      </c>
      <c r="N2411" s="4"/>
      <c r="O2411" s="1">
        <f t="shared" si="702"/>
        <v>173.1</v>
      </c>
      <c r="P2411" s="1">
        <f t="shared" si="703"/>
        <v>0</v>
      </c>
      <c r="Q2411" s="1" t="str">
        <f t="shared" si="700"/>
        <v/>
      </c>
      <c r="R2411" s="1" t="str">
        <f t="shared" si="704"/>
        <v/>
      </c>
      <c r="S2411" s="1">
        <f t="shared" si="705"/>
        <v>630.90240000000244</v>
      </c>
      <c r="T2411" s="1">
        <f t="shared" si="706"/>
        <v>0</v>
      </c>
      <c r="U2411" s="1">
        <f t="shared" si="707"/>
        <v>0</v>
      </c>
      <c r="V2411" s="1">
        <f t="shared" si="708"/>
        <v>0</v>
      </c>
    </row>
    <row r="2412" spans="5:22" x14ac:dyDescent="0.25">
      <c r="E2412" s="4"/>
      <c r="M2412" s="4">
        <f t="shared" si="701"/>
        <v>173.1</v>
      </c>
      <c r="N2412" s="4"/>
      <c r="O2412" s="1">
        <f t="shared" si="702"/>
        <v>173.1</v>
      </c>
      <c r="P2412" s="1">
        <f t="shared" si="703"/>
        <v>0</v>
      </c>
      <c r="Q2412" s="1" t="str">
        <f t="shared" si="700"/>
        <v/>
      </c>
      <c r="R2412" s="1" t="str">
        <f t="shared" si="704"/>
        <v/>
      </c>
      <c r="S2412" s="1">
        <f t="shared" si="705"/>
        <v>630.90240000000244</v>
      </c>
      <c r="T2412" s="1">
        <f t="shared" si="706"/>
        <v>0</v>
      </c>
      <c r="U2412" s="1">
        <f t="shared" si="707"/>
        <v>0</v>
      </c>
      <c r="V2412" s="1">
        <f t="shared" si="708"/>
        <v>0</v>
      </c>
    </row>
    <row r="2413" spans="5:22" x14ac:dyDescent="0.25">
      <c r="E2413" s="4"/>
      <c r="M2413" s="4">
        <f t="shared" si="701"/>
        <v>173.1</v>
      </c>
      <c r="N2413" s="4"/>
      <c r="O2413" s="1">
        <f t="shared" si="702"/>
        <v>173.1</v>
      </c>
      <c r="P2413" s="1">
        <f t="shared" si="703"/>
        <v>0</v>
      </c>
      <c r="Q2413" s="1" t="str">
        <f t="shared" si="700"/>
        <v/>
      </c>
      <c r="R2413" s="1" t="str">
        <f t="shared" si="704"/>
        <v/>
      </c>
      <c r="S2413" s="1">
        <f t="shared" si="705"/>
        <v>630.90240000000244</v>
      </c>
      <c r="T2413" s="1">
        <f t="shared" si="706"/>
        <v>0</v>
      </c>
      <c r="U2413" s="1">
        <f t="shared" si="707"/>
        <v>0</v>
      </c>
      <c r="V2413" s="1">
        <f t="shared" si="708"/>
        <v>0</v>
      </c>
    </row>
    <row r="2414" spans="5:22" x14ac:dyDescent="0.25">
      <c r="E2414" s="4"/>
      <c r="M2414" s="4">
        <f t="shared" si="701"/>
        <v>173.1</v>
      </c>
      <c r="N2414" s="4"/>
      <c r="O2414" s="1">
        <f t="shared" si="702"/>
        <v>173.1</v>
      </c>
      <c r="P2414" s="1">
        <f t="shared" si="703"/>
        <v>0</v>
      </c>
      <c r="Q2414" s="1" t="str">
        <f t="shared" si="700"/>
        <v/>
      </c>
      <c r="R2414" s="1" t="str">
        <f t="shared" si="704"/>
        <v/>
      </c>
      <c r="S2414" s="1">
        <f t="shared" si="705"/>
        <v>630.90240000000244</v>
      </c>
      <c r="T2414" s="1">
        <f t="shared" si="706"/>
        <v>0</v>
      </c>
      <c r="U2414" s="1">
        <f t="shared" si="707"/>
        <v>0</v>
      </c>
      <c r="V2414" s="1">
        <f t="shared" si="708"/>
        <v>0</v>
      </c>
    </row>
    <row r="2415" spans="5:22" x14ac:dyDescent="0.25">
      <c r="E2415" s="4"/>
      <c r="M2415" s="4">
        <f t="shared" si="701"/>
        <v>173.1</v>
      </c>
      <c r="N2415" s="4"/>
      <c r="O2415" s="1">
        <f t="shared" si="702"/>
        <v>173.1</v>
      </c>
      <c r="P2415" s="1">
        <f t="shared" si="703"/>
        <v>0</v>
      </c>
      <c r="Q2415" s="1" t="str">
        <f t="shared" si="700"/>
        <v/>
      </c>
      <c r="R2415" s="1" t="str">
        <f t="shared" si="704"/>
        <v/>
      </c>
      <c r="S2415" s="1">
        <f t="shared" si="705"/>
        <v>630.90240000000244</v>
      </c>
      <c r="T2415" s="1">
        <f t="shared" si="706"/>
        <v>0</v>
      </c>
      <c r="U2415" s="1">
        <f t="shared" si="707"/>
        <v>0</v>
      </c>
      <c r="V2415" s="1">
        <f t="shared" si="708"/>
        <v>0</v>
      </c>
    </row>
    <row r="2416" spans="5:22" x14ac:dyDescent="0.25">
      <c r="E2416" s="4"/>
      <c r="M2416" s="4">
        <f t="shared" si="701"/>
        <v>173.1</v>
      </c>
      <c r="N2416" s="4"/>
      <c r="O2416" s="1">
        <f t="shared" si="702"/>
        <v>173.1</v>
      </c>
      <c r="P2416" s="1">
        <f t="shared" si="703"/>
        <v>0</v>
      </c>
      <c r="Q2416" s="1" t="str">
        <f t="shared" si="700"/>
        <v/>
      </c>
      <c r="R2416" s="1" t="str">
        <f t="shared" si="704"/>
        <v/>
      </c>
      <c r="S2416" s="1">
        <f t="shared" si="705"/>
        <v>630.90240000000244</v>
      </c>
      <c r="T2416" s="1">
        <f t="shared" si="706"/>
        <v>0</v>
      </c>
      <c r="U2416" s="1">
        <f t="shared" si="707"/>
        <v>0</v>
      </c>
      <c r="V2416" s="1">
        <f t="shared" si="708"/>
        <v>0</v>
      </c>
    </row>
    <row r="2417" spans="5:22" x14ac:dyDescent="0.25">
      <c r="E2417" s="4"/>
      <c r="M2417" s="4">
        <f t="shared" si="701"/>
        <v>173.1</v>
      </c>
      <c r="N2417" s="4"/>
      <c r="O2417" s="1">
        <f t="shared" si="702"/>
        <v>173.1</v>
      </c>
      <c r="P2417" s="1">
        <f t="shared" si="703"/>
        <v>0</v>
      </c>
      <c r="Q2417" s="1" t="str">
        <f t="shared" si="700"/>
        <v/>
      </c>
      <c r="R2417" s="1" t="str">
        <f t="shared" si="704"/>
        <v/>
      </c>
      <c r="S2417" s="1">
        <f t="shared" si="705"/>
        <v>630.90240000000244</v>
      </c>
      <c r="T2417" s="1">
        <f t="shared" si="706"/>
        <v>0</v>
      </c>
      <c r="U2417" s="1">
        <f t="shared" si="707"/>
        <v>0</v>
      </c>
      <c r="V2417" s="1">
        <f t="shared" si="708"/>
        <v>0</v>
      </c>
    </row>
    <row r="2418" spans="5:22" x14ac:dyDescent="0.25">
      <c r="E2418" s="4"/>
      <c r="M2418" s="4">
        <f t="shared" si="701"/>
        <v>173.1</v>
      </c>
      <c r="N2418" s="4"/>
      <c r="O2418" s="1">
        <f t="shared" si="702"/>
        <v>173.1</v>
      </c>
      <c r="P2418" s="1">
        <f t="shared" si="703"/>
        <v>0</v>
      </c>
      <c r="Q2418" s="1" t="str">
        <f t="shared" ref="Q2418:Q2481" si="709">IF(H2418&lt;&gt;"",IF(H2418=H2417,"",H2418),IF(H2416="","",MAX(H2417,Q2417)))</f>
        <v/>
      </c>
      <c r="R2418" s="1" t="str">
        <f t="shared" si="704"/>
        <v/>
      </c>
      <c r="S2418" s="1">
        <f t="shared" si="705"/>
        <v>630.90240000000244</v>
      </c>
      <c r="T2418" s="1">
        <f t="shared" si="706"/>
        <v>0</v>
      </c>
      <c r="U2418" s="1">
        <f t="shared" si="707"/>
        <v>0</v>
      </c>
      <c r="V2418" s="1">
        <f t="shared" si="708"/>
        <v>0</v>
      </c>
    </row>
    <row r="2419" spans="5:22" x14ac:dyDescent="0.25">
      <c r="E2419" s="4"/>
      <c r="M2419" s="4">
        <f t="shared" si="701"/>
        <v>173.1</v>
      </c>
      <c r="N2419" s="4"/>
      <c r="O2419" s="1">
        <f t="shared" si="702"/>
        <v>173.1</v>
      </c>
      <c r="P2419" s="1">
        <f t="shared" si="703"/>
        <v>0</v>
      </c>
      <c r="Q2419" s="1" t="str">
        <f t="shared" si="709"/>
        <v/>
      </c>
      <c r="R2419" s="1" t="str">
        <f t="shared" si="704"/>
        <v/>
      </c>
      <c r="S2419" s="1">
        <f t="shared" si="705"/>
        <v>630.90240000000244</v>
      </c>
      <c r="T2419" s="1">
        <f t="shared" si="706"/>
        <v>0</v>
      </c>
      <c r="U2419" s="1">
        <f t="shared" si="707"/>
        <v>0</v>
      </c>
      <c r="V2419" s="1">
        <f t="shared" si="708"/>
        <v>0</v>
      </c>
    </row>
    <row r="2420" spans="5:22" x14ac:dyDescent="0.25">
      <c r="E2420" s="4"/>
      <c r="M2420" s="4">
        <f t="shared" si="701"/>
        <v>173.1</v>
      </c>
      <c r="N2420" s="4"/>
      <c r="O2420" s="1">
        <f t="shared" si="702"/>
        <v>173.1</v>
      </c>
      <c r="P2420" s="1">
        <f t="shared" si="703"/>
        <v>0</v>
      </c>
      <c r="Q2420" s="1" t="str">
        <f t="shared" si="709"/>
        <v/>
      </c>
      <c r="R2420" s="1" t="str">
        <f t="shared" si="704"/>
        <v/>
      </c>
      <c r="S2420" s="1">
        <f t="shared" si="705"/>
        <v>630.90240000000244</v>
      </c>
      <c r="T2420" s="1">
        <f t="shared" si="706"/>
        <v>0</v>
      </c>
      <c r="U2420" s="1">
        <f t="shared" si="707"/>
        <v>0</v>
      </c>
      <c r="V2420" s="1">
        <f t="shared" si="708"/>
        <v>0</v>
      </c>
    </row>
    <row r="2421" spans="5:22" x14ac:dyDescent="0.25">
      <c r="E2421" s="4"/>
      <c r="M2421" s="4">
        <f t="shared" si="701"/>
        <v>173.1</v>
      </c>
      <c r="N2421" s="4"/>
      <c r="O2421" s="1">
        <f t="shared" si="702"/>
        <v>173.1</v>
      </c>
      <c r="P2421" s="1">
        <f t="shared" si="703"/>
        <v>0</v>
      </c>
      <c r="Q2421" s="1" t="str">
        <f t="shared" si="709"/>
        <v/>
      </c>
      <c r="R2421" s="1" t="str">
        <f t="shared" si="704"/>
        <v/>
      </c>
      <c r="S2421" s="1">
        <f t="shared" si="705"/>
        <v>630.90240000000244</v>
      </c>
      <c r="T2421" s="1">
        <f t="shared" si="706"/>
        <v>0</v>
      </c>
      <c r="U2421" s="1">
        <f t="shared" si="707"/>
        <v>0</v>
      </c>
      <c r="V2421" s="1">
        <f t="shared" si="708"/>
        <v>0</v>
      </c>
    </row>
    <row r="2422" spans="5:22" x14ac:dyDescent="0.25">
      <c r="E2422" s="4"/>
      <c r="M2422" s="4">
        <f t="shared" si="701"/>
        <v>173.1</v>
      </c>
      <c r="N2422" s="4"/>
      <c r="O2422" s="1">
        <f t="shared" si="702"/>
        <v>173.1</v>
      </c>
      <c r="P2422" s="1">
        <f t="shared" si="703"/>
        <v>0</v>
      </c>
      <c r="Q2422" s="1" t="str">
        <f t="shared" si="709"/>
        <v/>
      </c>
      <c r="R2422" s="1" t="str">
        <f t="shared" si="704"/>
        <v/>
      </c>
      <c r="S2422" s="1">
        <f t="shared" si="705"/>
        <v>630.90240000000244</v>
      </c>
      <c r="T2422" s="1">
        <f t="shared" si="706"/>
        <v>0</v>
      </c>
      <c r="U2422" s="1">
        <f t="shared" si="707"/>
        <v>0</v>
      </c>
      <c r="V2422" s="1">
        <f t="shared" si="708"/>
        <v>0</v>
      </c>
    </row>
    <row r="2423" spans="5:22" x14ac:dyDescent="0.25">
      <c r="E2423" s="4"/>
      <c r="M2423" s="4">
        <f t="shared" si="701"/>
        <v>173.1</v>
      </c>
      <c r="N2423" s="4"/>
      <c r="O2423" s="1">
        <f t="shared" si="702"/>
        <v>173.1</v>
      </c>
      <c r="P2423" s="1">
        <f t="shared" si="703"/>
        <v>0</v>
      </c>
      <c r="Q2423" s="1" t="str">
        <f t="shared" si="709"/>
        <v/>
      </c>
      <c r="R2423" s="1" t="str">
        <f t="shared" si="704"/>
        <v/>
      </c>
      <c r="S2423" s="1">
        <f t="shared" si="705"/>
        <v>630.90240000000244</v>
      </c>
      <c r="T2423" s="1">
        <f t="shared" si="706"/>
        <v>0</v>
      </c>
      <c r="U2423" s="1">
        <f t="shared" si="707"/>
        <v>0</v>
      </c>
      <c r="V2423" s="1">
        <f t="shared" si="708"/>
        <v>0</v>
      </c>
    </row>
    <row r="2424" spans="5:22" x14ac:dyDescent="0.25">
      <c r="E2424" s="4"/>
      <c r="M2424" s="4">
        <f t="shared" si="701"/>
        <v>173.1</v>
      </c>
      <c r="N2424" s="4"/>
      <c r="O2424" s="1">
        <f t="shared" si="702"/>
        <v>173.1</v>
      </c>
      <c r="P2424" s="1">
        <f t="shared" si="703"/>
        <v>0</v>
      </c>
      <c r="Q2424" s="1" t="str">
        <f t="shared" si="709"/>
        <v/>
      </c>
      <c r="R2424" s="1" t="str">
        <f t="shared" si="704"/>
        <v/>
      </c>
      <c r="S2424" s="1">
        <f t="shared" si="705"/>
        <v>630.90240000000244</v>
      </c>
      <c r="T2424" s="1">
        <f t="shared" si="706"/>
        <v>0</v>
      </c>
      <c r="U2424" s="1">
        <f t="shared" si="707"/>
        <v>0</v>
      </c>
      <c r="V2424" s="1">
        <f t="shared" si="708"/>
        <v>0</v>
      </c>
    </row>
    <row r="2425" spans="5:22" x14ac:dyDescent="0.25">
      <c r="E2425" s="4"/>
      <c r="M2425" s="4">
        <f t="shared" si="701"/>
        <v>173.1</v>
      </c>
      <c r="N2425" s="4"/>
      <c r="O2425" s="1">
        <f t="shared" si="702"/>
        <v>173.1</v>
      </c>
      <c r="P2425" s="1">
        <f t="shared" si="703"/>
        <v>0</v>
      </c>
      <c r="Q2425" s="1" t="str">
        <f t="shared" si="709"/>
        <v/>
      </c>
      <c r="R2425" s="1" t="str">
        <f t="shared" si="704"/>
        <v/>
      </c>
      <c r="S2425" s="1">
        <f t="shared" si="705"/>
        <v>630.90240000000244</v>
      </c>
      <c r="T2425" s="1">
        <f t="shared" si="706"/>
        <v>0</v>
      </c>
      <c r="U2425" s="1">
        <f t="shared" si="707"/>
        <v>0</v>
      </c>
      <c r="V2425" s="1">
        <f t="shared" si="708"/>
        <v>0</v>
      </c>
    </row>
    <row r="2426" spans="5:22" x14ac:dyDescent="0.25">
      <c r="E2426" s="4"/>
      <c r="M2426" s="4">
        <f t="shared" si="701"/>
        <v>173.1</v>
      </c>
      <c r="N2426" s="4"/>
      <c r="O2426" s="1">
        <f t="shared" si="702"/>
        <v>173.1</v>
      </c>
      <c r="P2426" s="1">
        <f t="shared" si="703"/>
        <v>0</v>
      </c>
      <c r="Q2426" s="1" t="str">
        <f t="shared" si="709"/>
        <v/>
      </c>
      <c r="R2426" s="1" t="str">
        <f t="shared" si="704"/>
        <v/>
      </c>
      <c r="S2426" s="1">
        <f t="shared" si="705"/>
        <v>630.90240000000244</v>
      </c>
      <c r="T2426" s="1">
        <f t="shared" si="706"/>
        <v>0</v>
      </c>
      <c r="U2426" s="1">
        <f t="shared" si="707"/>
        <v>0</v>
      </c>
      <c r="V2426" s="1">
        <f t="shared" si="708"/>
        <v>0</v>
      </c>
    </row>
    <row r="2427" spans="5:22" x14ac:dyDescent="0.25">
      <c r="E2427" s="4"/>
      <c r="M2427" s="4">
        <f t="shared" si="701"/>
        <v>173.1</v>
      </c>
      <c r="N2427" s="4"/>
      <c r="O2427" s="1">
        <f t="shared" si="702"/>
        <v>173.1</v>
      </c>
      <c r="P2427" s="1">
        <f t="shared" si="703"/>
        <v>0</v>
      </c>
      <c r="Q2427" s="1" t="str">
        <f t="shared" si="709"/>
        <v/>
      </c>
      <c r="R2427" s="1" t="str">
        <f t="shared" si="704"/>
        <v/>
      </c>
      <c r="S2427" s="1">
        <f t="shared" si="705"/>
        <v>630.90240000000244</v>
      </c>
      <c r="T2427" s="1">
        <f t="shared" si="706"/>
        <v>0</v>
      </c>
      <c r="U2427" s="1">
        <f t="shared" si="707"/>
        <v>0</v>
      </c>
      <c r="V2427" s="1">
        <f t="shared" si="708"/>
        <v>0</v>
      </c>
    </row>
    <row r="2428" spans="5:22" x14ac:dyDescent="0.25">
      <c r="E2428" s="4"/>
      <c r="M2428" s="4">
        <f t="shared" si="701"/>
        <v>173.1</v>
      </c>
      <c r="N2428" s="4"/>
      <c r="O2428" s="1">
        <f t="shared" si="702"/>
        <v>173.1</v>
      </c>
      <c r="P2428" s="1">
        <f t="shared" si="703"/>
        <v>0</v>
      </c>
      <c r="Q2428" s="1" t="str">
        <f t="shared" si="709"/>
        <v/>
      </c>
      <c r="R2428" s="1" t="str">
        <f t="shared" si="704"/>
        <v/>
      </c>
      <c r="S2428" s="1">
        <f t="shared" si="705"/>
        <v>630.90240000000244</v>
      </c>
      <c r="T2428" s="1">
        <f t="shared" si="706"/>
        <v>0</v>
      </c>
      <c r="U2428" s="1">
        <f t="shared" si="707"/>
        <v>0</v>
      </c>
      <c r="V2428" s="1">
        <f t="shared" si="708"/>
        <v>0</v>
      </c>
    </row>
    <row r="2429" spans="5:22" x14ac:dyDescent="0.25">
      <c r="E2429" s="4"/>
      <c r="M2429" s="4">
        <f t="shared" si="701"/>
        <v>173.1</v>
      </c>
      <c r="N2429" s="4"/>
      <c r="O2429" s="1">
        <f t="shared" si="702"/>
        <v>173.1</v>
      </c>
      <c r="P2429" s="1">
        <f t="shared" si="703"/>
        <v>0</v>
      </c>
      <c r="Q2429" s="1" t="str">
        <f t="shared" si="709"/>
        <v/>
      </c>
      <c r="R2429" s="1" t="str">
        <f t="shared" si="704"/>
        <v/>
      </c>
      <c r="S2429" s="1">
        <f t="shared" si="705"/>
        <v>630.90240000000244</v>
      </c>
      <c r="T2429" s="1">
        <f t="shared" si="706"/>
        <v>0</v>
      </c>
      <c r="U2429" s="1">
        <f t="shared" si="707"/>
        <v>0</v>
      </c>
      <c r="V2429" s="1">
        <f t="shared" si="708"/>
        <v>0</v>
      </c>
    </row>
    <row r="2430" spans="5:22" x14ac:dyDescent="0.25">
      <c r="E2430" s="4"/>
      <c r="M2430" s="4">
        <f t="shared" si="701"/>
        <v>173.1</v>
      </c>
      <c r="N2430" s="4"/>
      <c r="O2430" s="1">
        <f t="shared" si="702"/>
        <v>173.1</v>
      </c>
      <c r="P2430" s="1">
        <f t="shared" si="703"/>
        <v>0</v>
      </c>
      <c r="Q2430" s="1" t="str">
        <f t="shared" si="709"/>
        <v/>
      </c>
      <c r="R2430" s="1" t="str">
        <f t="shared" si="704"/>
        <v/>
      </c>
      <c r="S2430" s="1">
        <f t="shared" si="705"/>
        <v>630.90240000000244</v>
      </c>
      <c r="T2430" s="1">
        <f t="shared" si="706"/>
        <v>0</v>
      </c>
      <c r="U2430" s="1">
        <f t="shared" si="707"/>
        <v>0</v>
      </c>
      <c r="V2430" s="1">
        <f t="shared" si="708"/>
        <v>0</v>
      </c>
    </row>
    <row r="2431" spans="5:22" x14ac:dyDescent="0.25">
      <c r="E2431" s="4"/>
      <c r="M2431" s="4">
        <f t="shared" si="701"/>
        <v>173.1</v>
      </c>
      <c r="N2431" s="4"/>
      <c r="O2431" s="1">
        <f t="shared" si="702"/>
        <v>173.1</v>
      </c>
      <c r="P2431" s="1">
        <f t="shared" si="703"/>
        <v>0</v>
      </c>
      <c r="Q2431" s="1" t="str">
        <f t="shared" si="709"/>
        <v/>
      </c>
      <c r="R2431" s="1" t="str">
        <f t="shared" si="704"/>
        <v/>
      </c>
      <c r="S2431" s="1">
        <f t="shared" si="705"/>
        <v>630.90240000000244</v>
      </c>
      <c r="T2431" s="1">
        <f t="shared" si="706"/>
        <v>0</v>
      </c>
      <c r="U2431" s="1">
        <f t="shared" si="707"/>
        <v>0</v>
      </c>
      <c r="V2431" s="1">
        <f t="shared" si="708"/>
        <v>0</v>
      </c>
    </row>
    <row r="2432" spans="5:22" x14ac:dyDescent="0.25">
      <c r="E2432" s="4"/>
      <c r="M2432" s="4">
        <f t="shared" si="701"/>
        <v>173.1</v>
      </c>
      <c r="N2432" s="4"/>
      <c r="O2432" s="1">
        <f t="shared" si="702"/>
        <v>173.1</v>
      </c>
      <c r="P2432" s="1">
        <f t="shared" si="703"/>
        <v>0</v>
      </c>
      <c r="Q2432" s="1" t="str">
        <f t="shared" si="709"/>
        <v/>
      </c>
      <c r="R2432" s="1" t="str">
        <f t="shared" si="704"/>
        <v/>
      </c>
      <c r="S2432" s="1">
        <f t="shared" si="705"/>
        <v>630.90240000000244</v>
      </c>
      <c r="T2432" s="1">
        <f t="shared" si="706"/>
        <v>0</v>
      </c>
      <c r="U2432" s="1">
        <f t="shared" si="707"/>
        <v>0</v>
      </c>
      <c r="V2432" s="1">
        <f t="shared" si="708"/>
        <v>0</v>
      </c>
    </row>
    <row r="2433" spans="5:22" x14ac:dyDescent="0.25">
      <c r="E2433" s="4"/>
      <c r="M2433" s="4">
        <f t="shared" si="701"/>
        <v>173.1</v>
      </c>
      <c r="N2433" s="4"/>
      <c r="O2433" s="1">
        <f t="shared" si="702"/>
        <v>173.1</v>
      </c>
      <c r="P2433" s="1">
        <f t="shared" si="703"/>
        <v>0</v>
      </c>
      <c r="Q2433" s="1" t="str">
        <f t="shared" si="709"/>
        <v/>
      </c>
      <c r="R2433" s="1" t="str">
        <f t="shared" si="704"/>
        <v/>
      </c>
      <c r="S2433" s="1">
        <f t="shared" si="705"/>
        <v>630.90240000000244</v>
      </c>
      <c r="T2433" s="1">
        <f t="shared" si="706"/>
        <v>0</v>
      </c>
      <c r="U2433" s="1">
        <f t="shared" si="707"/>
        <v>0</v>
      </c>
      <c r="V2433" s="1">
        <f t="shared" si="708"/>
        <v>0</v>
      </c>
    </row>
    <row r="2434" spans="5:22" x14ac:dyDescent="0.25">
      <c r="E2434" s="4"/>
      <c r="M2434" s="4">
        <f t="shared" si="701"/>
        <v>173.1</v>
      </c>
      <c r="N2434" s="4"/>
      <c r="O2434" s="1">
        <f t="shared" si="702"/>
        <v>173.1</v>
      </c>
      <c r="P2434" s="1">
        <f t="shared" si="703"/>
        <v>0</v>
      </c>
      <c r="Q2434" s="1" t="str">
        <f t="shared" si="709"/>
        <v/>
      </c>
      <c r="R2434" s="1" t="str">
        <f t="shared" si="704"/>
        <v/>
      </c>
      <c r="S2434" s="1">
        <f t="shared" si="705"/>
        <v>630.90240000000244</v>
      </c>
      <c r="T2434" s="1">
        <f t="shared" si="706"/>
        <v>0</v>
      </c>
      <c r="U2434" s="1">
        <f t="shared" si="707"/>
        <v>0</v>
      </c>
      <c r="V2434" s="1">
        <f t="shared" si="708"/>
        <v>0</v>
      </c>
    </row>
    <row r="2435" spans="5:22" x14ac:dyDescent="0.25">
      <c r="E2435" s="4"/>
      <c r="M2435" s="4">
        <f t="shared" si="701"/>
        <v>173.1</v>
      </c>
      <c r="N2435" s="4"/>
      <c r="O2435" s="1">
        <f t="shared" si="702"/>
        <v>173.1</v>
      </c>
      <c r="P2435" s="1">
        <f t="shared" si="703"/>
        <v>0</v>
      </c>
      <c r="Q2435" s="1" t="str">
        <f t="shared" si="709"/>
        <v/>
      </c>
      <c r="R2435" s="1" t="str">
        <f t="shared" si="704"/>
        <v/>
      </c>
      <c r="S2435" s="1">
        <f t="shared" si="705"/>
        <v>630.90240000000244</v>
      </c>
      <c r="T2435" s="1">
        <f t="shared" si="706"/>
        <v>0</v>
      </c>
      <c r="U2435" s="1">
        <f t="shared" si="707"/>
        <v>0</v>
      </c>
      <c r="V2435" s="1">
        <f t="shared" si="708"/>
        <v>0</v>
      </c>
    </row>
    <row r="2436" spans="5:22" x14ac:dyDescent="0.25">
      <c r="E2436" s="4"/>
      <c r="M2436" s="4">
        <f t="shared" si="701"/>
        <v>173.1</v>
      </c>
      <c r="N2436" s="4"/>
      <c r="O2436" s="1">
        <f t="shared" si="702"/>
        <v>173.1</v>
      </c>
      <c r="P2436" s="1">
        <f t="shared" si="703"/>
        <v>0</v>
      </c>
      <c r="Q2436" s="1" t="str">
        <f t="shared" si="709"/>
        <v/>
      </c>
      <c r="R2436" s="1" t="str">
        <f t="shared" si="704"/>
        <v/>
      </c>
      <c r="S2436" s="1">
        <f t="shared" si="705"/>
        <v>630.90240000000244</v>
      </c>
      <c r="T2436" s="1">
        <f t="shared" si="706"/>
        <v>0</v>
      </c>
      <c r="U2436" s="1">
        <f t="shared" si="707"/>
        <v>0</v>
      </c>
      <c r="V2436" s="1">
        <f t="shared" si="708"/>
        <v>0</v>
      </c>
    </row>
    <row r="2437" spans="5:22" x14ac:dyDescent="0.25">
      <c r="E2437" s="4"/>
      <c r="M2437" s="4">
        <f t="shared" si="701"/>
        <v>173.1</v>
      </c>
      <c r="N2437" s="4"/>
      <c r="O2437" s="1">
        <f t="shared" si="702"/>
        <v>173.1</v>
      </c>
      <c r="P2437" s="1">
        <f t="shared" si="703"/>
        <v>0</v>
      </c>
      <c r="Q2437" s="1" t="str">
        <f t="shared" si="709"/>
        <v/>
      </c>
      <c r="R2437" s="1" t="str">
        <f t="shared" si="704"/>
        <v/>
      </c>
      <c r="S2437" s="1">
        <f t="shared" si="705"/>
        <v>630.90240000000244</v>
      </c>
      <c r="T2437" s="1">
        <f t="shared" si="706"/>
        <v>0</v>
      </c>
      <c r="U2437" s="1">
        <f t="shared" si="707"/>
        <v>0</v>
      </c>
      <c r="V2437" s="1">
        <f t="shared" si="708"/>
        <v>0</v>
      </c>
    </row>
    <row r="2438" spans="5:22" x14ac:dyDescent="0.25">
      <c r="E2438" s="4"/>
      <c r="M2438" s="4">
        <f t="shared" si="701"/>
        <v>173.1</v>
      </c>
      <c r="N2438" s="4"/>
      <c r="O2438" s="1">
        <f t="shared" si="702"/>
        <v>173.1</v>
      </c>
      <c r="P2438" s="1">
        <f t="shared" si="703"/>
        <v>0</v>
      </c>
      <c r="Q2438" s="1" t="str">
        <f t="shared" si="709"/>
        <v/>
      </c>
      <c r="R2438" s="1" t="str">
        <f t="shared" si="704"/>
        <v/>
      </c>
      <c r="S2438" s="1">
        <f t="shared" si="705"/>
        <v>630.90240000000244</v>
      </c>
      <c r="T2438" s="1">
        <f t="shared" si="706"/>
        <v>0</v>
      </c>
      <c r="U2438" s="1">
        <f t="shared" si="707"/>
        <v>0</v>
      </c>
      <c r="V2438" s="1">
        <f t="shared" si="708"/>
        <v>0</v>
      </c>
    </row>
    <row r="2439" spans="5:22" x14ac:dyDescent="0.25">
      <c r="E2439" s="4"/>
      <c r="M2439" s="4">
        <f t="shared" si="701"/>
        <v>173.1</v>
      </c>
      <c r="N2439" s="4"/>
      <c r="O2439" s="1">
        <f t="shared" si="702"/>
        <v>173.1</v>
      </c>
      <c r="P2439" s="1">
        <f t="shared" si="703"/>
        <v>0</v>
      </c>
      <c r="Q2439" s="1" t="str">
        <f t="shared" si="709"/>
        <v/>
      </c>
      <c r="R2439" s="1" t="str">
        <f t="shared" si="704"/>
        <v/>
      </c>
      <c r="S2439" s="1">
        <f t="shared" si="705"/>
        <v>630.90240000000244</v>
      </c>
      <c r="T2439" s="1">
        <f t="shared" si="706"/>
        <v>0</v>
      </c>
      <c r="U2439" s="1">
        <f t="shared" si="707"/>
        <v>0</v>
      </c>
      <c r="V2439" s="1">
        <f t="shared" si="708"/>
        <v>0</v>
      </c>
    </row>
    <row r="2440" spans="5:22" x14ac:dyDescent="0.25">
      <c r="E2440" s="4"/>
      <c r="M2440" s="4">
        <f t="shared" ref="M2440:M2503" si="710">E2440+M2439</f>
        <v>173.1</v>
      </c>
      <c r="N2440" s="4"/>
      <c r="O2440" s="1">
        <f t="shared" ref="O2440:O2503" si="711">E2439+O2439</f>
        <v>173.1</v>
      </c>
      <c r="P2440" s="1">
        <f t="shared" ref="P2440:P2503" si="712">F2440*52.8*E2440</f>
        <v>0</v>
      </c>
      <c r="Q2440" s="1" t="str">
        <f t="shared" si="709"/>
        <v/>
      </c>
      <c r="R2440" s="1" t="str">
        <f t="shared" ref="R2440:R2503" si="713">IF(I2440="",Q2440,IF(AND(H2440=H2439,I2440=I2439),"",I2440))</f>
        <v/>
      </c>
      <c r="S2440" s="1">
        <f t="shared" ref="S2440:S2503" si="714">S2439+U2439*T2439/100</f>
        <v>630.90240000000244</v>
      </c>
      <c r="T2440" s="1">
        <f t="shared" ref="T2440:T2503" si="715">IF(G2440="UNK",0,G2440)</f>
        <v>0</v>
      </c>
      <c r="U2440" s="1">
        <f t="shared" ref="U2440:U2503" si="716">E2440*5280</f>
        <v>0</v>
      </c>
      <c r="V2440" s="1">
        <f t="shared" ref="V2440:V2503" si="717">ABS(T2440*U2440)</f>
        <v>0</v>
      </c>
    </row>
    <row r="2441" spans="5:22" x14ac:dyDescent="0.25">
      <c r="E2441" s="4"/>
      <c r="M2441" s="4">
        <f t="shared" si="710"/>
        <v>173.1</v>
      </c>
      <c r="N2441" s="4"/>
      <c r="O2441" s="1">
        <f t="shared" si="711"/>
        <v>173.1</v>
      </c>
      <c r="P2441" s="1">
        <f t="shared" si="712"/>
        <v>0</v>
      </c>
      <c r="Q2441" s="1" t="str">
        <f t="shared" si="709"/>
        <v/>
      </c>
      <c r="R2441" s="1" t="str">
        <f t="shared" si="713"/>
        <v/>
      </c>
      <c r="S2441" s="1">
        <f t="shared" si="714"/>
        <v>630.90240000000244</v>
      </c>
      <c r="T2441" s="1">
        <f t="shared" si="715"/>
        <v>0</v>
      </c>
      <c r="U2441" s="1">
        <f t="shared" si="716"/>
        <v>0</v>
      </c>
      <c r="V2441" s="1">
        <f t="shared" si="717"/>
        <v>0</v>
      </c>
    </row>
    <row r="2442" spans="5:22" x14ac:dyDescent="0.25">
      <c r="E2442" s="4"/>
      <c r="M2442" s="4">
        <f t="shared" si="710"/>
        <v>173.1</v>
      </c>
      <c r="N2442" s="4"/>
      <c r="O2442" s="1">
        <f t="shared" si="711"/>
        <v>173.1</v>
      </c>
      <c r="P2442" s="1">
        <f t="shared" si="712"/>
        <v>0</v>
      </c>
      <c r="Q2442" s="1" t="str">
        <f t="shared" si="709"/>
        <v/>
      </c>
      <c r="R2442" s="1" t="str">
        <f t="shared" si="713"/>
        <v/>
      </c>
      <c r="S2442" s="1">
        <f t="shared" si="714"/>
        <v>630.90240000000244</v>
      </c>
      <c r="T2442" s="1">
        <f t="shared" si="715"/>
        <v>0</v>
      </c>
      <c r="U2442" s="1">
        <f t="shared" si="716"/>
        <v>0</v>
      </c>
      <c r="V2442" s="1">
        <f t="shared" si="717"/>
        <v>0</v>
      </c>
    </row>
    <row r="2443" spans="5:22" x14ac:dyDescent="0.25">
      <c r="E2443" s="4"/>
      <c r="M2443" s="4">
        <f t="shared" si="710"/>
        <v>173.1</v>
      </c>
      <c r="N2443" s="4"/>
      <c r="O2443" s="1">
        <f t="shared" si="711"/>
        <v>173.1</v>
      </c>
      <c r="P2443" s="1">
        <f t="shared" si="712"/>
        <v>0</v>
      </c>
      <c r="Q2443" s="1" t="str">
        <f t="shared" si="709"/>
        <v/>
      </c>
      <c r="R2443" s="1" t="str">
        <f t="shared" si="713"/>
        <v/>
      </c>
      <c r="S2443" s="1">
        <f t="shared" si="714"/>
        <v>630.90240000000244</v>
      </c>
      <c r="T2443" s="1">
        <f t="shared" si="715"/>
        <v>0</v>
      </c>
      <c r="U2443" s="1">
        <f t="shared" si="716"/>
        <v>0</v>
      </c>
      <c r="V2443" s="1">
        <f t="shared" si="717"/>
        <v>0</v>
      </c>
    </row>
    <row r="2444" spans="5:22" x14ac:dyDescent="0.25">
      <c r="E2444" s="4"/>
      <c r="M2444" s="4">
        <f t="shared" si="710"/>
        <v>173.1</v>
      </c>
      <c r="N2444" s="4"/>
      <c r="O2444" s="1">
        <f t="shared" si="711"/>
        <v>173.1</v>
      </c>
      <c r="P2444" s="1">
        <f t="shared" si="712"/>
        <v>0</v>
      </c>
      <c r="Q2444" s="1" t="str">
        <f t="shared" si="709"/>
        <v/>
      </c>
      <c r="R2444" s="1" t="str">
        <f t="shared" si="713"/>
        <v/>
      </c>
      <c r="S2444" s="1">
        <f t="shared" si="714"/>
        <v>630.90240000000244</v>
      </c>
      <c r="T2444" s="1">
        <f t="shared" si="715"/>
        <v>0</v>
      </c>
      <c r="U2444" s="1">
        <f t="shared" si="716"/>
        <v>0</v>
      </c>
      <c r="V2444" s="1">
        <f t="shared" si="717"/>
        <v>0</v>
      </c>
    </row>
    <row r="2445" spans="5:22" x14ac:dyDescent="0.25">
      <c r="E2445" s="4"/>
      <c r="M2445" s="4">
        <f t="shared" si="710"/>
        <v>173.1</v>
      </c>
      <c r="N2445" s="4"/>
      <c r="O2445" s="1">
        <f t="shared" si="711"/>
        <v>173.1</v>
      </c>
      <c r="P2445" s="1">
        <f t="shared" si="712"/>
        <v>0</v>
      </c>
      <c r="Q2445" s="1" t="str">
        <f t="shared" si="709"/>
        <v/>
      </c>
      <c r="R2445" s="1" t="str">
        <f t="shared" si="713"/>
        <v/>
      </c>
      <c r="S2445" s="1">
        <f t="shared" si="714"/>
        <v>630.90240000000244</v>
      </c>
      <c r="T2445" s="1">
        <f t="shared" si="715"/>
        <v>0</v>
      </c>
      <c r="U2445" s="1">
        <f t="shared" si="716"/>
        <v>0</v>
      </c>
      <c r="V2445" s="1">
        <f t="shared" si="717"/>
        <v>0</v>
      </c>
    </row>
    <row r="2446" spans="5:22" x14ac:dyDescent="0.25">
      <c r="E2446" s="4"/>
      <c r="M2446" s="4">
        <f t="shared" si="710"/>
        <v>173.1</v>
      </c>
      <c r="N2446" s="4"/>
      <c r="O2446" s="1">
        <f t="shared" si="711"/>
        <v>173.1</v>
      </c>
      <c r="P2446" s="1">
        <f t="shared" si="712"/>
        <v>0</v>
      </c>
      <c r="Q2446" s="1" t="str">
        <f t="shared" si="709"/>
        <v/>
      </c>
      <c r="R2446" s="1" t="str">
        <f t="shared" si="713"/>
        <v/>
      </c>
      <c r="S2446" s="1">
        <f t="shared" si="714"/>
        <v>630.90240000000244</v>
      </c>
      <c r="T2446" s="1">
        <f t="shared" si="715"/>
        <v>0</v>
      </c>
      <c r="U2446" s="1">
        <f t="shared" si="716"/>
        <v>0</v>
      </c>
      <c r="V2446" s="1">
        <f t="shared" si="717"/>
        <v>0</v>
      </c>
    </row>
    <row r="2447" spans="5:22" x14ac:dyDescent="0.25">
      <c r="E2447" s="4"/>
      <c r="M2447" s="4">
        <f t="shared" si="710"/>
        <v>173.1</v>
      </c>
      <c r="N2447" s="4"/>
      <c r="O2447" s="1">
        <f t="shared" si="711"/>
        <v>173.1</v>
      </c>
      <c r="P2447" s="1">
        <f t="shared" si="712"/>
        <v>0</v>
      </c>
      <c r="Q2447" s="1" t="str">
        <f t="shared" si="709"/>
        <v/>
      </c>
      <c r="R2447" s="1" t="str">
        <f t="shared" si="713"/>
        <v/>
      </c>
      <c r="S2447" s="1">
        <f t="shared" si="714"/>
        <v>630.90240000000244</v>
      </c>
      <c r="T2447" s="1">
        <f t="shared" si="715"/>
        <v>0</v>
      </c>
      <c r="U2447" s="1">
        <f t="shared" si="716"/>
        <v>0</v>
      </c>
      <c r="V2447" s="1">
        <f t="shared" si="717"/>
        <v>0</v>
      </c>
    </row>
    <row r="2448" spans="5:22" x14ac:dyDescent="0.25">
      <c r="E2448" s="4"/>
      <c r="M2448" s="4">
        <f t="shared" si="710"/>
        <v>173.1</v>
      </c>
      <c r="N2448" s="4"/>
      <c r="O2448" s="1">
        <f t="shared" si="711"/>
        <v>173.1</v>
      </c>
      <c r="P2448" s="1">
        <f t="shared" si="712"/>
        <v>0</v>
      </c>
      <c r="Q2448" s="1" t="str">
        <f t="shared" si="709"/>
        <v/>
      </c>
      <c r="R2448" s="1" t="str">
        <f t="shared" si="713"/>
        <v/>
      </c>
      <c r="S2448" s="1">
        <f t="shared" si="714"/>
        <v>630.90240000000244</v>
      </c>
      <c r="T2448" s="1">
        <f t="shared" si="715"/>
        <v>0</v>
      </c>
      <c r="U2448" s="1">
        <f t="shared" si="716"/>
        <v>0</v>
      </c>
      <c r="V2448" s="1">
        <f t="shared" si="717"/>
        <v>0</v>
      </c>
    </row>
    <row r="2449" spans="5:22" x14ac:dyDescent="0.25">
      <c r="E2449" s="4"/>
      <c r="M2449" s="4">
        <f t="shared" si="710"/>
        <v>173.1</v>
      </c>
      <c r="N2449" s="4"/>
      <c r="O2449" s="1">
        <f t="shared" si="711"/>
        <v>173.1</v>
      </c>
      <c r="P2449" s="1">
        <f t="shared" si="712"/>
        <v>0</v>
      </c>
      <c r="Q2449" s="1" t="str">
        <f t="shared" si="709"/>
        <v/>
      </c>
      <c r="R2449" s="1" t="str">
        <f t="shared" si="713"/>
        <v/>
      </c>
      <c r="S2449" s="1">
        <f t="shared" si="714"/>
        <v>630.90240000000244</v>
      </c>
      <c r="T2449" s="1">
        <f t="shared" si="715"/>
        <v>0</v>
      </c>
      <c r="U2449" s="1">
        <f t="shared" si="716"/>
        <v>0</v>
      </c>
      <c r="V2449" s="1">
        <f t="shared" si="717"/>
        <v>0</v>
      </c>
    </row>
    <row r="2450" spans="5:22" x14ac:dyDescent="0.25">
      <c r="E2450" s="4"/>
      <c r="M2450" s="4">
        <f t="shared" si="710"/>
        <v>173.1</v>
      </c>
      <c r="N2450" s="4"/>
      <c r="O2450" s="1">
        <f t="shared" si="711"/>
        <v>173.1</v>
      </c>
      <c r="P2450" s="1">
        <f t="shared" si="712"/>
        <v>0</v>
      </c>
      <c r="Q2450" s="1" t="str">
        <f t="shared" si="709"/>
        <v/>
      </c>
      <c r="R2450" s="1" t="str">
        <f t="shared" si="713"/>
        <v/>
      </c>
      <c r="S2450" s="1">
        <f t="shared" si="714"/>
        <v>630.90240000000244</v>
      </c>
      <c r="T2450" s="1">
        <f t="shared" si="715"/>
        <v>0</v>
      </c>
      <c r="U2450" s="1">
        <f t="shared" si="716"/>
        <v>0</v>
      </c>
      <c r="V2450" s="1">
        <f t="shared" si="717"/>
        <v>0</v>
      </c>
    </row>
    <row r="2451" spans="5:22" x14ac:dyDescent="0.25">
      <c r="E2451" s="4"/>
      <c r="M2451" s="4">
        <f t="shared" si="710"/>
        <v>173.1</v>
      </c>
      <c r="N2451" s="4"/>
      <c r="O2451" s="1">
        <f t="shared" si="711"/>
        <v>173.1</v>
      </c>
      <c r="P2451" s="1">
        <f t="shared" si="712"/>
        <v>0</v>
      </c>
      <c r="Q2451" s="1" t="str">
        <f t="shared" si="709"/>
        <v/>
      </c>
      <c r="R2451" s="1" t="str">
        <f t="shared" si="713"/>
        <v/>
      </c>
      <c r="S2451" s="1">
        <f t="shared" si="714"/>
        <v>630.90240000000244</v>
      </c>
      <c r="T2451" s="1">
        <f t="shared" si="715"/>
        <v>0</v>
      </c>
      <c r="U2451" s="1">
        <f t="shared" si="716"/>
        <v>0</v>
      </c>
      <c r="V2451" s="1">
        <f t="shared" si="717"/>
        <v>0</v>
      </c>
    </row>
    <row r="2452" spans="5:22" x14ac:dyDescent="0.25">
      <c r="E2452" s="4"/>
      <c r="M2452" s="4">
        <f t="shared" si="710"/>
        <v>173.1</v>
      </c>
      <c r="N2452" s="4"/>
      <c r="O2452" s="1">
        <f t="shared" si="711"/>
        <v>173.1</v>
      </c>
      <c r="P2452" s="1">
        <f t="shared" si="712"/>
        <v>0</v>
      </c>
      <c r="Q2452" s="1" t="str">
        <f t="shared" si="709"/>
        <v/>
      </c>
      <c r="R2452" s="1" t="str">
        <f t="shared" si="713"/>
        <v/>
      </c>
      <c r="S2452" s="1">
        <f t="shared" si="714"/>
        <v>630.90240000000244</v>
      </c>
      <c r="T2452" s="1">
        <f t="shared" si="715"/>
        <v>0</v>
      </c>
      <c r="U2452" s="1">
        <f t="shared" si="716"/>
        <v>0</v>
      </c>
      <c r="V2452" s="1">
        <f t="shared" si="717"/>
        <v>0</v>
      </c>
    </row>
    <row r="2453" spans="5:22" x14ac:dyDescent="0.25">
      <c r="E2453" s="4"/>
      <c r="M2453" s="4">
        <f t="shared" si="710"/>
        <v>173.1</v>
      </c>
      <c r="N2453" s="4"/>
      <c r="O2453" s="1">
        <f t="shared" si="711"/>
        <v>173.1</v>
      </c>
      <c r="P2453" s="1">
        <f t="shared" si="712"/>
        <v>0</v>
      </c>
      <c r="Q2453" s="1" t="str">
        <f t="shared" si="709"/>
        <v/>
      </c>
      <c r="R2453" s="1" t="str">
        <f t="shared" si="713"/>
        <v/>
      </c>
      <c r="S2453" s="1">
        <f t="shared" si="714"/>
        <v>630.90240000000244</v>
      </c>
      <c r="T2453" s="1">
        <f t="shared" si="715"/>
        <v>0</v>
      </c>
      <c r="U2453" s="1">
        <f t="shared" si="716"/>
        <v>0</v>
      </c>
      <c r="V2453" s="1">
        <f t="shared" si="717"/>
        <v>0</v>
      </c>
    </row>
    <row r="2454" spans="5:22" x14ac:dyDescent="0.25">
      <c r="E2454" s="4"/>
      <c r="M2454" s="4">
        <f t="shared" si="710"/>
        <v>173.1</v>
      </c>
      <c r="N2454" s="4"/>
      <c r="O2454" s="1">
        <f t="shared" si="711"/>
        <v>173.1</v>
      </c>
      <c r="P2454" s="1">
        <f t="shared" si="712"/>
        <v>0</v>
      </c>
      <c r="Q2454" s="1" t="str">
        <f t="shared" si="709"/>
        <v/>
      </c>
      <c r="R2454" s="1" t="str">
        <f t="shared" si="713"/>
        <v/>
      </c>
      <c r="S2454" s="1">
        <f t="shared" si="714"/>
        <v>630.90240000000244</v>
      </c>
      <c r="T2454" s="1">
        <f t="shared" si="715"/>
        <v>0</v>
      </c>
      <c r="U2454" s="1">
        <f t="shared" si="716"/>
        <v>0</v>
      </c>
      <c r="V2454" s="1">
        <f t="shared" si="717"/>
        <v>0</v>
      </c>
    </row>
    <row r="2455" spans="5:22" x14ac:dyDescent="0.25">
      <c r="E2455" s="4"/>
      <c r="M2455" s="4">
        <f t="shared" si="710"/>
        <v>173.1</v>
      </c>
      <c r="N2455" s="4"/>
      <c r="O2455" s="1">
        <f t="shared" si="711"/>
        <v>173.1</v>
      </c>
      <c r="P2455" s="1">
        <f t="shared" si="712"/>
        <v>0</v>
      </c>
      <c r="Q2455" s="1" t="str">
        <f t="shared" si="709"/>
        <v/>
      </c>
      <c r="R2455" s="1" t="str">
        <f t="shared" si="713"/>
        <v/>
      </c>
      <c r="S2455" s="1">
        <f t="shared" si="714"/>
        <v>630.90240000000244</v>
      </c>
      <c r="T2455" s="1">
        <f t="shared" si="715"/>
        <v>0</v>
      </c>
      <c r="U2455" s="1">
        <f t="shared" si="716"/>
        <v>0</v>
      </c>
      <c r="V2455" s="1">
        <f t="shared" si="717"/>
        <v>0</v>
      </c>
    </row>
    <row r="2456" spans="5:22" x14ac:dyDescent="0.25">
      <c r="E2456" s="4"/>
      <c r="M2456" s="4">
        <f t="shared" si="710"/>
        <v>173.1</v>
      </c>
      <c r="N2456" s="4"/>
      <c r="O2456" s="1">
        <f t="shared" si="711"/>
        <v>173.1</v>
      </c>
      <c r="P2456" s="1">
        <f t="shared" si="712"/>
        <v>0</v>
      </c>
      <c r="Q2456" s="1" t="str">
        <f t="shared" si="709"/>
        <v/>
      </c>
      <c r="R2456" s="1" t="str">
        <f t="shared" si="713"/>
        <v/>
      </c>
      <c r="S2456" s="1">
        <f t="shared" si="714"/>
        <v>630.90240000000244</v>
      </c>
      <c r="T2456" s="1">
        <f t="shared" si="715"/>
        <v>0</v>
      </c>
      <c r="U2456" s="1">
        <f t="shared" si="716"/>
        <v>0</v>
      </c>
      <c r="V2456" s="1">
        <f t="shared" si="717"/>
        <v>0</v>
      </c>
    </row>
    <row r="2457" spans="5:22" x14ac:dyDescent="0.25">
      <c r="E2457" s="4"/>
      <c r="M2457" s="4">
        <f t="shared" si="710"/>
        <v>173.1</v>
      </c>
      <c r="N2457" s="4"/>
      <c r="O2457" s="1">
        <f t="shared" si="711"/>
        <v>173.1</v>
      </c>
      <c r="P2457" s="1">
        <f t="shared" si="712"/>
        <v>0</v>
      </c>
      <c r="Q2457" s="1" t="str">
        <f t="shared" si="709"/>
        <v/>
      </c>
      <c r="R2457" s="1" t="str">
        <f t="shared" si="713"/>
        <v/>
      </c>
      <c r="S2457" s="1">
        <f t="shared" si="714"/>
        <v>630.90240000000244</v>
      </c>
      <c r="T2457" s="1">
        <f t="shared" si="715"/>
        <v>0</v>
      </c>
      <c r="U2457" s="1">
        <f t="shared" si="716"/>
        <v>0</v>
      </c>
      <c r="V2457" s="1">
        <f t="shared" si="717"/>
        <v>0</v>
      </c>
    </row>
    <row r="2458" spans="5:22" x14ac:dyDescent="0.25">
      <c r="E2458" s="4"/>
      <c r="M2458" s="4">
        <f t="shared" si="710"/>
        <v>173.1</v>
      </c>
      <c r="N2458" s="4"/>
      <c r="O2458" s="1">
        <f t="shared" si="711"/>
        <v>173.1</v>
      </c>
      <c r="P2458" s="1">
        <f t="shared" si="712"/>
        <v>0</v>
      </c>
      <c r="Q2458" s="1" t="str">
        <f t="shared" si="709"/>
        <v/>
      </c>
      <c r="R2458" s="1" t="str">
        <f t="shared" si="713"/>
        <v/>
      </c>
      <c r="S2458" s="1">
        <f t="shared" si="714"/>
        <v>630.90240000000244</v>
      </c>
      <c r="T2458" s="1">
        <f t="shared" si="715"/>
        <v>0</v>
      </c>
      <c r="U2458" s="1">
        <f t="shared" si="716"/>
        <v>0</v>
      </c>
      <c r="V2458" s="1">
        <f t="shared" si="717"/>
        <v>0</v>
      </c>
    </row>
    <row r="2459" spans="5:22" x14ac:dyDescent="0.25">
      <c r="E2459" s="4"/>
      <c r="M2459" s="4">
        <f t="shared" si="710"/>
        <v>173.1</v>
      </c>
      <c r="N2459" s="4"/>
      <c r="O2459" s="1">
        <f t="shared" si="711"/>
        <v>173.1</v>
      </c>
      <c r="P2459" s="1">
        <f t="shared" si="712"/>
        <v>0</v>
      </c>
      <c r="Q2459" s="1" t="str">
        <f t="shared" si="709"/>
        <v/>
      </c>
      <c r="R2459" s="1" t="str">
        <f t="shared" si="713"/>
        <v/>
      </c>
      <c r="S2459" s="1">
        <f t="shared" si="714"/>
        <v>630.90240000000244</v>
      </c>
      <c r="T2459" s="1">
        <f t="shared" si="715"/>
        <v>0</v>
      </c>
      <c r="U2459" s="1">
        <f t="shared" si="716"/>
        <v>0</v>
      </c>
      <c r="V2459" s="1">
        <f t="shared" si="717"/>
        <v>0</v>
      </c>
    </row>
    <row r="2460" spans="5:22" x14ac:dyDescent="0.25">
      <c r="E2460" s="4"/>
      <c r="M2460" s="4">
        <f t="shared" si="710"/>
        <v>173.1</v>
      </c>
      <c r="N2460" s="4"/>
      <c r="O2460" s="1">
        <f t="shared" si="711"/>
        <v>173.1</v>
      </c>
      <c r="P2460" s="1">
        <f t="shared" si="712"/>
        <v>0</v>
      </c>
      <c r="Q2460" s="1" t="str">
        <f t="shared" si="709"/>
        <v/>
      </c>
      <c r="R2460" s="1" t="str">
        <f t="shared" si="713"/>
        <v/>
      </c>
      <c r="S2460" s="1">
        <f t="shared" si="714"/>
        <v>630.90240000000244</v>
      </c>
      <c r="T2460" s="1">
        <f t="shared" si="715"/>
        <v>0</v>
      </c>
      <c r="U2460" s="1">
        <f t="shared" si="716"/>
        <v>0</v>
      </c>
      <c r="V2460" s="1">
        <f t="shared" si="717"/>
        <v>0</v>
      </c>
    </row>
    <row r="2461" spans="5:22" x14ac:dyDescent="0.25">
      <c r="E2461" s="4"/>
      <c r="M2461" s="4">
        <f t="shared" si="710"/>
        <v>173.1</v>
      </c>
      <c r="N2461" s="4"/>
      <c r="O2461" s="1">
        <f t="shared" si="711"/>
        <v>173.1</v>
      </c>
      <c r="P2461" s="1">
        <f t="shared" si="712"/>
        <v>0</v>
      </c>
      <c r="Q2461" s="1" t="str">
        <f t="shared" si="709"/>
        <v/>
      </c>
      <c r="R2461" s="1" t="str">
        <f t="shared" si="713"/>
        <v/>
      </c>
      <c r="S2461" s="1">
        <f t="shared" si="714"/>
        <v>630.90240000000244</v>
      </c>
      <c r="T2461" s="1">
        <f t="shared" si="715"/>
        <v>0</v>
      </c>
      <c r="U2461" s="1">
        <f t="shared" si="716"/>
        <v>0</v>
      </c>
      <c r="V2461" s="1">
        <f t="shared" si="717"/>
        <v>0</v>
      </c>
    </row>
    <row r="2462" spans="5:22" x14ac:dyDescent="0.25">
      <c r="E2462" s="4"/>
      <c r="M2462" s="4">
        <f t="shared" si="710"/>
        <v>173.1</v>
      </c>
      <c r="N2462" s="4"/>
      <c r="O2462" s="1">
        <f t="shared" si="711"/>
        <v>173.1</v>
      </c>
      <c r="P2462" s="1">
        <f t="shared" si="712"/>
        <v>0</v>
      </c>
      <c r="Q2462" s="1" t="str">
        <f t="shared" si="709"/>
        <v/>
      </c>
      <c r="R2462" s="1" t="str">
        <f t="shared" si="713"/>
        <v/>
      </c>
      <c r="S2462" s="1">
        <f t="shared" si="714"/>
        <v>630.90240000000244</v>
      </c>
      <c r="T2462" s="1">
        <f t="shared" si="715"/>
        <v>0</v>
      </c>
      <c r="U2462" s="1">
        <f t="shared" si="716"/>
        <v>0</v>
      </c>
      <c r="V2462" s="1">
        <f t="shared" si="717"/>
        <v>0</v>
      </c>
    </row>
    <row r="2463" spans="5:22" x14ac:dyDescent="0.25">
      <c r="E2463" s="4"/>
      <c r="M2463" s="4">
        <f t="shared" si="710"/>
        <v>173.1</v>
      </c>
      <c r="N2463" s="4"/>
      <c r="O2463" s="1">
        <f t="shared" si="711"/>
        <v>173.1</v>
      </c>
      <c r="P2463" s="1">
        <f t="shared" si="712"/>
        <v>0</v>
      </c>
      <c r="Q2463" s="1" t="str">
        <f t="shared" si="709"/>
        <v/>
      </c>
      <c r="R2463" s="1" t="str">
        <f t="shared" si="713"/>
        <v/>
      </c>
      <c r="S2463" s="1">
        <f t="shared" si="714"/>
        <v>630.90240000000244</v>
      </c>
      <c r="T2463" s="1">
        <f t="shared" si="715"/>
        <v>0</v>
      </c>
      <c r="U2463" s="1">
        <f t="shared" si="716"/>
        <v>0</v>
      </c>
      <c r="V2463" s="1">
        <f t="shared" si="717"/>
        <v>0</v>
      </c>
    </row>
    <row r="2464" spans="5:22" x14ac:dyDescent="0.25">
      <c r="E2464" s="4"/>
      <c r="M2464" s="4">
        <f t="shared" si="710"/>
        <v>173.1</v>
      </c>
      <c r="N2464" s="4"/>
      <c r="O2464" s="1">
        <f t="shared" si="711"/>
        <v>173.1</v>
      </c>
      <c r="P2464" s="1">
        <f t="shared" si="712"/>
        <v>0</v>
      </c>
      <c r="Q2464" s="1" t="str">
        <f t="shared" si="709"/>
        <v/>
      </c>
      <c r="R2464" s="1" t="str">
        <f t="shared" si="713"/>
        <v/>
      </c>
      <c r="S2464" s="1">
        <f t="shared" si="714"/>
        <v>630.90240000000244</v>
      </c>
      <c r="T2464" s="1">
        <f t="shared" si="715"/>
        <v>0</v>
      </c>
      <c r="U2464" s="1">
        <f t="shared" si="716"/>
        <v>0</v>
      </c>
      <c r="V2464" s="1">
        <f t="shared" si="717"/>
        <v>0</v>
      </c>
    </row>
    <row r="2465" spans="5:22" x14ac:dyDescent="0.25">
      <c r="E2465" s="4"/>
      <c r="M2465" s="4">
        <f t="shared" si="710"/>
        <v>173.1</v>
      </c>
      <c r="N2465" s="4"/>
      <c r="O2465" s="1">
        <f t="shared" si="711"/>
        <v>173.1</v>
      </c>
      <c r="P2465" s="1">
        <f t="shared" si="712"/>
        <v>0</v>
      </c>
      <c r="Q2465" s="1" t="str">
        <f t="shared" si="709"/>
        <v/>
      </c>
      <c r="R2465" s="1" t="str">
        <f t="shared" si="713"/>
        <v/>
      </c>
      <c r="S2465" s="1">
        <f t="shared" si="714"/>
        <v>630.90240000000244</v>
      </c>
      <c r="T2465" s="1">
        <f t="shared" si="715"/>
        <v>0</v>
      </c>
      <c r="U2465" s="1">
        <f t="shared" si="716"/>
        <v>0</v>
      </c>
      <c r="V2465" s="1">
        <f t="shared" si="717"/>
        <v>0</v>
      </c>
    </row>
    <row r="2466" spans="5:22" x14ac:dyDescent="0.25">
      <c r="E2466" s="4"/>
      <c r="M2466" s="4">
        <f t="shared" si="710"/>
        <v>173.1</v>
      </c>
      <c r="N2466" s="4"/>
      <c r="O2466" s="1">
        <f t="shared" si="711"/>
        <v>173.1</v>
      </c>
      <c r="P2466" s="1">
        <f t="shared" si="712"/>
        <v>0</v>
      </c>
      <c r="Q2466" s="1" t="str">
        <f t="shared" si="709"/>
        <v/>
      </c>
      <c r="R2466" s="1" t="str">
        <f t="shared" si="713"/>
        <v/>
      </c>
      <c r="S2466" s="1">
        <f t="shared" si="714"/>
        <v>630.90240000000244</v>
      </c>
      <c r="T2466" s="1">
        <f t="shared" si="715"/>
        <v>0</v>
      </c>
      <c r="U2466" s="1">
        <f t="shared" si="716"/>
        <v>0</v>
      </c>
      <c r="V2466" s="1">
        <f t="shared" si="717"/>
        <v>0</v>
      </c>
    </row>
    <row r="2467" spans="5:22" x14ac:dyDescent="0.25">
      <c r="E2467" s="4"/>
      <c r="M2467" s="4">
        <f t="shared" si="710"/>
        <v>173.1</v>
      </c>
      <c r="N2467" s="4"/>
      <c r="O2467" s="1">
        <f t="shared" si="711"/>
        <v>173.1</v>
      </c>
      <c r="P2467" s="1">
        <f t="shared" si="712"/>
        <v>0</v>
      </c>
      <c r="Q2467" s="1" t="str">
        <f t="shared" si="709"/>
        <v/>
      </c>
      <c r="R2467" s="1" t="str">
        <f t="shared" si="713"/>
        <v/>
      </c>
      <c r="S2467" s="1">
        <f t="shared" si="714"/>
        <v>630.90240000000244</v>
      </c>
      <c r="T2467" s="1">
        <f t="shared" si="715"/>
        <v>0</v>
      </c>
      <c r="U2467" s="1">
        <f t="shared" si="716"/>
        <v>0</v>
      </c>
      <c r="V2467" s="1">
        <f t="shared" si="717"/>
        <v>0</v>
      </c>
    </row>
    <row r="2468" spans="5:22" x14ac:dyDescent="0.25">
      <c r="E2468" s="4"/>
      <c r="M2468" s="4">
        <f t="shared" si="710"/>
        <v>173.1</v>
      </c>
      <c r="N2468" s="4"/>
      <c r="O2468" s="1">
        <f t="shared" si="711"/>
        <v>173.1</v>
      </c>
      <c r="P2468" s="1">
        <f t="shared" si="712"/>
        <v>0</v>
      </c>
      <c r="Q2468" s="1" t="str">
        <f t="shared" si="709"/>
        <v/>
      </c>
      <c r="R2468" s="1" t="str">
        <f t="shared" si="713"/>
        <v/>
      </c>
      <c r="S2468" s="1">
        <f t="shared" si="714"/>
        <v>630.90240000000244</v>
      </c>
      <c r="T2468" s="1">
        <f t="shared" si="715"/>
        <v>0</v>
      </c>
      <c r="U2468" s="1">
        <f t="shared" si="716"/>
        <v>0</v>
      </c>
      <c r="V2468" s="1">
        <f t="shared" si="717"/>
        <v>0</v>
      </c>
    </row>
    <row r="2469" spans="5:22" x14ac:dyDescent="0.25">
      <c r="E2469" s="4"/>
      <c r="M2469" s="4">
        <f t="shared" si="710"/>
        <v>173.1</v>
      </c>
      <c r="N2469" s="4"/>
      <c r="O2469" s="1">
        <f t="shared" si="711"/>
        <v>173.1</v>
      </c>
      <c r="P2469" s="1">
        <f t="shared" si="712"/>
        <v>0</v>
      </c>
      <c r="Q2469" s="1" t="str">
        <f t="shared" si="709"/>
        <v/>
      </c>
      <c r="R2469" s="1" t="str">
        <f t="shared" si="713"/>
        <v/>
      </c>
      <c r="S2469" s="1">
        <f t="shared" si="714"/>
        <v>630.90240000000244</v>
      </c>
      <c r="T2469" s="1">
        <f t="shared" si="715"/>
        <v>0</v>
      </c>
      <c r="U2469" s="1">
        <f t="shared" si="716"/>
        <v>0</v>
      </c>
      <c r="V2469" s="1">
        <f t="shared" si="717"/>
        <v>0</v>
      </c>
    </row>
    <row r="2470" spans="5:22" x14ac:dyDescent="0.25">
      <c r="E2470" s="4"/>
      <c r="M2470" s="4">
        <f t="shared" si="710"/>
        <v>173.1</v>
      </c>
      <c r="N2470" s="4"/>
      <c r="O2470" s="1">
        <f t="shared" si="711"/>
        <v>173.1</v>
      </c>
      <c r="P2470" s="1">
        <f t="shared" si="712"/>
        <v>0</v>
      </c>
      <c r="Q2470" s="1" t="str">
        <f t="shared" si="709"/>
        <v/>
      </c>
      <c r="R2470" s="1" t="str">
        <f t="shared" si="713"/>
        <v/>
      </c>
      <c r="S2470" s="1">
        <f t="shared" si="714"/>
        <v>630.90240000000244</v>
      </c>
      <c r="T2470" s="1">
        <f t="shared" si="715"/>
        <v>0</v>
      </c>
      <c r="U2470" s="1">
        <f t="shared" si="716"/>
        <v>0</v>
      </c>
      <c r="V2470" s="1">
        <f t="shared" si="717"/>
        <v>0</v>
      </c>
    </row>
    <row r="2471" spans="5:22" x14ac:dyDescent="0.25">
      <c r="E2471" s="4"/>
      <c r="M2471" s="4">
        <f t="shared" si="710"/>
        <v>173.1</v>
      </c>
      <c r="N2471" s="4"/>
      <c r="O2471" s="1">
        <f t="shared" si="711"/>
        <v>173.1</v>
      </c>
      <c r="P2471" s="1">
        <f t="shared" si="712"/>
        <v>0</v>
      </c>
      <c r="Q2471" s="1" t="str">
        <f t="shared" si="709"/>
        <v/>
      </c>
      <c r="R2471" s="1" t="str">
        <f t="shared" si="713"/>
        <v/>
      </c>
      <c r="S2471" s="1">
        <f t="shared" si="714"/>
        <v>630.90240000000244</v>
      </c>
      <c r="T2471" s="1">
        <f t="shared" si="715"/>
        <v>0</v>
      </c>
      <c r="U2471" s="1">
        <f t="shared" si="716"/>
        <v>0</v>
      </c>
      <c r="V2471" s="1">
        <f t="shared" si="717"/>
        <v>0</v>
      </c>
    </row>
    <row r="2472" spans="5:22" x14ac:dyDescent="0.25">
      <c r="E2472" s="4"/>
      <c r="M2472" s="4">
        <f t="shared" si="710"/>
        <v>173.1</v>
      </c>
      <c r="N2472" s="4"/>
      <c r="O2472" s="1">
        <f t="shared" si="711"/>
        <v>173.1</v>
      </c>
      <c r="P2472" s="1">
        <f t="shared" si="712"/>
        <v>0</v>
      </c>
      <c r="Q2472" s="1" t="str">
        <f t="shared" si="709"/>
        <v/>
      </c>
      <c r="R2472" s="1" t="str">
        <f t="shared" si="713"/>
        <v/>
      </c>
      <c r="S2472" s="1">
        <f t="shared" si="714"/>
        <v>630.90240000000244</v>
      </c>
      <c r="T2472" s="1">
        <f t="shared" si="715"/>
        <v>0</v>
      </c>
      <c r="U2472" s="1">
        <f t="shared" si="716"/>
        <v>0</v>
      </c>
      <c r="V2472" s="1">
        <f t="shared" si="717"/>
        <v>0</v>
      </c>
    </row>
    <row r="2473" spans="5:22" x14ac:dyDescent="0.25">
      <c r="E2473" s="4"/>
      <c r="M2473" s="4">
        <f t="shared" si="710"/>
        <v>173.1</v>
      </c>
      <c r="N2473" s="4"/>
      <c r="O2473" s="1">
        <f t="shared" si="711"/>
        <v>173.1</v>
      </c>
      <c r="P2473" s="1">
        <f t="shared" si="712"/>
        <v>0</v>
      </c>
      <c r="Q2473" s="1" t="str">
        <f t="shared" si="709"/>
        <v/>
      </c>
      <c r="R2473" s="1" t="str">
        <f t="shared" si="713"/>
        <v/>
      </c>
      <c r="S2473" s="1">
        <f t="shared" si="714"/>
        <v>630.90240000000244</v>
      </c>
      <c r="T2473" s="1">
        <f t="shared" si="715"/>
        <v>0</v>
      </c>
      <c r="U2473" s="1">
        <f t="shared" si="716"/>
        <v>0</v>
      </c>
      <c r="V2473" s="1">
        <f t="shared" si="717"/>
        <v>0</v>
      </c>
    </row>
    <row r="2474" spans="5:22" x14ac:dyDescent="0.25">
      <c r="E2474" s="4"/>
      <c r="M2474" s="4">
        <f t="shared" si="710"/>
        <v>173.1</v>
      </c>
      <c r="N2474" s="4"/>
      <c r="O2474" s="1">
        <f t="shared" si="711"/>
        <v>173.1</v>
      </c>
      <c r="P2474" s="1">
        <f t="shared" si="712"/>
        <v>0</v>
      </c>
      <c r="Q2474" s="1" t="str">
        <f t="shared" si="709"/>
        <v/>
      </c>
      <c r="R2474" s="1" t="str">
        <f t="shared" si="713"/>
        <v/>
      </c>
      <c r="S2474" s="1">
        <f t="shared" si="714"/>
        <v>630.90240000000244</v>
      </c>
      <c r="T2474" s="1">
        <f t="shared" si="715"/>
        <v>0</v>
      </c>
      <c r="U2474" s="1">
        <f t="shared" si="716"/>
        <v>0</v>
      </c>
      <c r="V2474" s="1">
        <f t="shared" si="717"/>
        <v>0</v>
      </c>
    </row>
    <row r="2475" spans="5:22" x14ac:dyDescent="0.25">
      <c r="E2475" s="4"/>
      <c r="M2475" s="4">
        <f t="shared" si="710"/>
        <v>173.1</v>
      </c>
      <c r="N2475" s="4"/>
      <c r="O2475" s="1">
        <f t="shared" si="711"/>
        <v>173.1</v>
      </c>
      <c r="P2475" s="1">
        <f t="shared" si="712"/>
        <v>0</v>
      </c>
      <c r="Q2475" s="1" t="str">
        <f t="shared" si="709"/>
        <v/>
      </c>
      <c r="R2475" s="1" t="str">
        <f t="shared" si="713"/>
        <v/>
      </c>
      <c r="S2475" s="1">
        <f t="shared" si="714"/>
        <v>630.90240000000244</v>
      </c>
      <c r="T2475" s="1">
        <f t="shared" si="715"/>
        <v>0</v>
      </c>
      <c r="U2475" s="1">
        <f t="shared" si="716"/>
        <v>0</v>
      </c>
      <c r="V2475" s="1">
        <f t="shared" si="717"/>
        <v>0</v>
      </c>
    </row>
    <row r="2476" spans="5:22" x14ac:dyDescent="0.25">
      <c r="E2476" s="4"/>
      <c r="M2476" s="4">
        <f t="shared" si="710"/>
        <v>173.1</v>
      </c>
      <c r="N2476" s="4"/>
      <c r="O2476" s="1">
        <f t="shared" si="711"/>
        <v>173.1</v>
      </c>
      <c r="P2476" s="1">
        <f t="shared" si="712"/>
        <v>0</v>
      </c>
      <c r="Q2476" s="1" t="str">
        <f t="shared" si="709"/>
        <v/>
      </c>
      <c r="R2476" s="1" t="str">
        <f t="shared" si="713"/>
        <v/>
      </c>
      <c r="S2476" s="1">
        <f t="shared" si="714"/>
        <v>630.90240000000244</v>
      </c>
      <c r="T2476" s="1">
        <f t="shared" si="715"/>
        <v>0</v>
      </c>
      <c r="U2476" s="1">
        <f t="shared" si="716"/>
        <v>0</v>
      </c>
      <c r="V2476" s="1">
        <f t="shared" si="717"/>
        <v>0</v>
      </c>
    </row>
    <row r="2477" spans="5:22" x14ac:dyDescent="0.25">
      <c r="E2477" s="4"/>
      <c r="M2477" s="4">
        <f t="shared" si="710"/>
        <v>173.1</v>
      </c>
      <c r="N2477" s="4"/>
      <c r="O2477" s="1">
        <f t="shared" si="711"/>
        <v>173.1</v>
      </c>
      <c r="P2477" s="1">
        <f t="shared" si="712"/>
        <v>0</v>
      </c>
      <c r="Q2477" s="1" t="str">
        <f t="shared" si="709"/>
        <v/>
      </c>
      <c r="R2477" s="1" t="str">
        <f t="shared" si="713"/>
        <v/>
      </c>
      <c r="S2477" s="1">
        <f t="shared" si="714"/>
        <v>630.90240000000244</v>
      </c>
      <c r="T2477" s="1">
        <f t="shared" si="715"/>
        <v>0</v>
      </c>
      <c r="U2477" s="1">
        <f t="shared" si="716"/>
        <v>0</v>
      </c>
      <c r="V2477" s="1">
        <f t="shared" si="717"/>
        <v>0</v>
      </c>
    </row>
    <row r="2478" spans="5:22" x14ac:dyDescent="0.25">
      <c r="E2478" s="4"/>
      <c r="M2478" s="4">
        <f t="shared" si="710"/>
        <v>173.1</v>
      </c>
      <c r="N2478" s="4"/>
      <c r="O2478" s="1">
        <f t="shared" si="711"/>
        <v>173.1</v>
      </c>
      <c r="P2478" s="1">
        <f t="shared" si="712"/>
        <v>0</v>
      </c>
      <c r="Q2478" s="1" t="str">
        <f t="shared" si="709"/>
        <v/>
      </c>
      <c r="R2478" s="1" t="str">
        <f t="shared" si="713"/>
        <v/>
      </c>
      <c r="S2478" s="1">
        <f t="shared" si="714"/>
        <v>630.90240000000244</v>
      </c>
      <c r="T2478" s="1">
        <f t="shared" si="715"/>
        <v>0</v>
      </c>
      <c r="U2478" s="1">
        <f t="shared" si="716"/>
        <v>0</v>
      </c>
      <c r="V2478" s="1">
        <f t="shared" si="717"/>
        <v>0</v>
      </c>
    </row>
    <row r="2479" spans="5:22" x14ac:dyDescent="0.25">
      <c r="E2479" s="4"/>
      <c r="M2479" s="4">
        <f t="shared" si="710"/>
        <v>173.1</v>
      </c>
      <c r="N2479" s="4"/>
      <c r="O2479" s="1">
        <f t="shared" si="711"/>
        <v>173.1</v>
      </c>
      <c r="P2479" s="1">
        <f t="shared" si="712"/>
        <v>0</v>
      </c>
      <c r="Q2479" s="1" t="str">
        <f t="shared" si="709"/>
        <v/>
      </c>
      <c r="R2479" s="1" t="str">
        <f t="shared" si="713"/>
        <v/>
      </c>
      <c r="S2479" s="1">
        <f t="shared" si="714"/>
        <v>630.90240000000244</v>
      </c>
      <c r="T2479" s="1">
        <f t="shared" si="715"/>
        <v>0</v>
      </c>
      <c r="U2479" s="1">
        <f t="shared" si="716"/>
        <v>0</v>
      </c>
      <c r="V2479" s="1">
        <f t="shared" si="717"/>
        <v>0</v>
      </c>
    </row>
    <row r="2480" spans="5:22" x14ac:dyDescent="0.25">
      <c r="E2480" s="4"/>
      <c r="M2480" s="4">
        <f t="shared" si="710"/>
        <v>173.1</v>
      </c>
      <c r="N2480" s="4"/>
      <c r="O2480" s="1">
        <f t="shared" si="711"/>
        <v>173.1</v>
      </c>
      <c r="P2480" s="1">
        <f t="shared" si="712"/>
        <v>0</v>
      </c>
      <c r="Q2480" s="1" t="str">
        <f t="shared" si="709"/>
        <v/>
      </c>
      <c r="R2480" s="1" t="str">
        <f t="shared" si="713"/>
        <v/>
      </c>
      <c r="S2480" s="1">
        <f t="shared" si="714"/>
        <v>630.90240000000244</v>
      </c>
      <c r="T2480" s="1">
        <f t="shared" si="715"/>
        <v>0</v>
      </c>
      <c r="U2480" s="1">
        <f t="shared" si="716"/>
        <v>0</v>
      </c>
      <c r="V2480" s="1">
        <f t="shared" si="717"/>
        <v>0</v>
      </c>
    </row>
    <row r="2481" spans="5:22" x14ac:dyDescent="0.25">
      <c r="E2481" s="4"/>
      <c r="M2481" s="4">
        <f t="shared" si="710"/>
        <v>173.1</v>
      </c>
      <c r="N2481" s="4"/>
      <c r="O2481" s="1">
        <f t="shared" si="711"/>
        <v>173.1</v>
      </c>
      <c r="P2481" s="1">
        <f t="shared" si="712"/>
        <v>0</v>
      </c>
      <c r="Q2481" s="1" t="str">
        <f t="shared" si="709"/>
        <v/>
      </c>
      <c r="R2481" s="1" t="str">
        <f t="shared" si="713"/>
        <v/>
      </c>
      <c r="S2481" s="1">
        <f t="shared" si="714"/>
        <v>630.90240000000244</v>
      </c>
      <c r="T2481" s="1">
        <f t="shared" si="715"/>
        <v>0</v>
      </c>
      <c r="U2481" s="1">
        <f t="shared" si="716"/>
        <v>0</v>
      </c>
      <c r="V2481" s="1">
        <f t="shared" si="717"/>
        <v>0</v>
      </c>
    </row>
    <row r="2482" spans="5:22" x14ac:dyDescent="0.25">
      <c r="E2482" s="4"/>
      <c r="M2482" s="4">
        <f t="shared" si="710"/>
        <v>173.1</v>
      </c>
      <c r="N2482" s="4"/>
      <c r="O2482" s="1">
        <f t="shared" si="711"/>
        <v>173.1</v>
      </c>
      <c r="P2482" s="1">
        <f t="shared" si="712"/>
        <v>0</v>
      </c>
      <c r="Q2482" s="1" t="str">
        <f t="shared" ref="Q2482:Q2545" si="718">IF(H2482&lt;&gt;"",IF(H2482=H2481,"",H2482),IF(H2480="","",MAX(H2481,Q2481)))</f>
        <v/>
      </c>
      <c r="R2482" s="1" t="str">
        <f t="shared" si="713"/>
        <v/>
      </c>
      <c r="S2482" s="1">
        <f t="shared" si="714"/>
        <v>630.90240000000244</v>
      </c>
      <c r="T2482" s="1">
        <f t="shared" si="715"/>
        <v>0</v>
      </c>
      <c r="U2482" s="1">
        <f t="shared" si="716"/>
        <v>0</v>
      </c>
      <c r="V2482" s="1">
        <f t="shared" si="717"/>
        <v>0</v>
      </c>
    </row>
    <row r="2483" spans="5:22" x14ac:dyDescent="0.25">
      <c r="E2483" s="4"/>
      <c r="M2483" s="4">
        <f t="shared" si="710"/>
        <v>173.1</v>
      </c>
      <c r="N2483" s="4"/>
      <c r="O2483" s="1">
        <f t="shared" si="711"/>
        <v>173.1</v>
      </c>
      <c r="P2483" s="1">
        <f t="shared" si="712"/>
        <v>0</v>
      </c>
      <c r="Q2483" s="1" t="str">
        <f t="shared" si="718"/>
        <v/>
      </c>
      <c r="R2483" s="1" t="str">
        <f t="shared" si="713"/>
        <v/>
      </c>
      <c r="S2483" s="1">
        <f t="shared" si="714"/>
        <v>630.90240000000244</v>
      </c>
      <c r="T2483" s="1">
        <f t="shared" si="715"/>
        <v>0</v>
      </c>
      <c r="U2483" s="1">
        <f t="shared" si="716"/>
        <v>0</v>
      </c>
      <c r="V2483" s="1">
        <f t="shared" si="717"/>
        <v>0</v>
      </c>
    </row>
    <row r="2484" spans="5:22" x14ac:dyDescent="0.25">
      <c r="E2484" s="4"/>
      <c r="M2484" s="4">
        <f t="shared" si="710"/>
        <v>173.1</v>
      </c>
      <c r="N2484" s="4"/>
      <c r="O2484" s="1">
        <f t="shared" si="711"/>
        <v>173.1</v>
      </c>
      <c r="P2484" s="1">
        <f t="shared" si="712"/>
        <v>0</v>
      </c>
      <c r="Q2484" s="1" t="str">
        <f t="shared" si="718"/>
        <v/>
      </c>
      <c r="R2484" s="1" t="str">
        <f t="shared" si="713"/>
        <v/>
      </c>
      <c r="S2484" s="1">
        <f t="shared" si="714"/>
        <v>630.90240000000244</v>
      </c>
      <c r="T2484" s="1">
        <f t="shared" si="715"/>
        <v>0</v>
      </c>
      <c r="U2484" s="1">
        <f t="shared" si="716"/>
        <v>0</v>
      </c>
      <c r="V2484" s="1">
        <f t="shared" si="717"/>
        <v>0</v>
      </c>
    </row>
    <row r="2485" spans="5:22" x14ac:dyDescent="0.25">
      <c r="E2485" s="4"/>
      <c r="M2485" s="4">
        <f t="shared" si="710"/>
        <v>173.1</v>
      </c>
      <c r="N2485" s="4"/>
      <c r="O2485" s="1">
        <f t="shared" si="711"/>
        <v>173.1</v>
      </c>
      <c r="P2485" s="1">
        <f t="shared" si="712"/>
        <v>0</v>
      </c>
      <c r="Q2485" s="1" t="str">
        <f t="shared" si="718"/>
        <v/>
      </c>
      <c r="R2485" s="1" t="str">
        <f t="shared" si="713"/>
        <v/>
      </c>
      <c r="S2485" s="1">
        <f t="shared" si="714"/>
        <v>630.90240000000244</v>
      </c>
      <c r="T2485" s="1">
        <f t="shared" si="715"/>
        <v>0</v>
      </c>
      <c r="U2485" s="1">
        <f t="shared" si="716"/>
        <v>0</v>
      </c>
      <c r="V2485" s="1">
        <f t="shared" si="717"/>
        <v>0</v>
      </c>
    </row>
    <row r="2486" spans="5:22" x14ac:dyDescent="0.25">
      <c r="E2486" s="4"/>
      <c r="M2486" s="4">
        <f t="shared" si="710"/>
        <v>173.1</v>
      </c>
      <c r="N2486" s="4"/>
      <c r="O2486" s="1">
        <f t="shared" si="711"/>
        <v>173.1</v>
      </c>
      <c r="P2486" s="1">
        <f t="shared" si="712"/>
        <v>0</v>
      </c>
      <c r="Q2486" s="1" t="str">
        <f t="shared" si="718"/>
        <v/>
      </c>
      <c r="R2486" s="1" t="str">
        <f t="shared" si="713"/>
        <v/>
      </c>
      <c r="S2486" s="1">
        <f t="shared" si="714"/>
        <v>630.90240000000244</v>
      </c>
      <c r="T2486" s="1">
        <f t="shared" si="715"/>
        <v>0</v>
      </c>
      <c r="U2486" s="1">
        <f t="shared" si="716"/>
        <v>0</v>
      </c>
      <c r="V2486" s="1">
        <f t="shared" si="717"/>
        <v>0</v>
      </c>
    </row>
    <row r="2487" spans="5:22" x14ac:dyDescent="0.25">
      <c r="E2487" s="4"/>
      <c r="M2487" s="4">
        <f t="shared" si="710"/>
        <v>173.1</v>
      </c>
      <c r="N2487" s="4"/>
      <c r="O2487" s="1">
        <f t="shared" si="711"/>
        <v>173.1</v>
      </c>
      <c r="P2487" s="1">
        <f t="shared" si="712"/>
        <v>0</v>
      </c>
      <c r="Q2487" s="1" t="str">
        <f t="shared" si="718"/>
        <v/>
      </c>
      <c r="R2487" s="1" t="str">
        <f t="shared" si="713"/>
        <v/>
      </c>
      <c r="S2487" s="1">
        <f t="shared" si="714"/>
        <v>630.90240000000244</v>
      </c>
      <c r="T2487" s="1">
        <f t="shared" si="715"/>
        <v>0</v>
      </c>
      <c r="U2487" s="1">
        <f t="shared" si="716"/>
        <v>0</v>
      </c>
      <c r="V2487" s="1">
        <f t="shared" si="717"/>
        <v>0</v>
      </c>
    </row>
    <row r="2488" spans="5:22" x14ac:dyDescent="0.25">
      <c r="E2488" s="4"/>
      <c r="M2488" s="4">
        <f t="shared" si="710"/>
        <v>173.1</v>
      </c>
      <c r="N2488" s="4"/>
      <c r="O2488" s="1">
        <f t="shared" si="711"/>
        <v>173.1</v>
      </c>
      <c r="P2488" s="1">
        <f t="shared" si="712"/>
        <v>0</v>
      </c>
      <c r="Q2488" s="1" t="str">
        <f t="shared" si="718"/>
        <v/>
      </c>
      <c r="R2488" s="1" t="str">
        <f t="shared" si="713"/>
        <v/>
      </c>
      <c r="S2488" s="1">
        <f t="shared" si="714"/>
        <v>630.90240000000244</v>
      </c>
      <c r="T2488" s="1">
        <f t="shared" si="715"/>
        <v>0</v>
      </c>
      <c r="U2488" s="1">
        <f t="shared" si="716"/>
        <v>0</v>
      </c>
      <c r="V2488" s="1">
        <f t="shared" si="717"/>
        <v>0</v>
      </c>
    </row>
    <row r="2489" spans="5:22" x14ac:dyDescent="0.25">
      <c r="E2489" s="4"/>
      <c r="M2489" s="4">
        <f t="shared" si="710"/>
        <v>173.1</v>
      </c>
      <c r="N2489" s="4"/>
      <c r="O2489" s="1">
        <f t="shared" si="711"/>
        <v>173.1</v>
      </c>
      <c r="P2489" s="1">
        <f t="shared" si="712"/>
        <v>0</v>
      </c>
      <c r="Q2489" s="1" t="str">
        <f t="shared" si="718"/>
        <v/>
      </c>
      <c r="R2489" s="1" t="str">
        <f t="shared" si="713"/>
        <v/>
      </c>
      <c r="S2489" s="1">
        <f t="shared" si="714"/>
        <v>630.90240000000244</v>
      </c>
      <c r="T2489" s="1">
        <f t="shared" si="715"/>
        <v>0</v>
      </c>
      <c r="U2489" s="1">
        <f t="shared" si="716"/>
        <v>0</v>
      </c>
      <c r="V2489" s="1">
        <f t="shared" si="717"/>
        <v>0</v>
      </c>
    </row>
    <row r="2490" spans="5:22" x14ac:dyDescent="0.25">
      <c r="E2490" s="4"/>
      <c r="M2490" s="4">
        <f t="shared" si="710"/>
        <v>173.1</v>
      </c>
      <c r="N2490" s="4"/>
      <c r="O2490" s="1">
        <f t="shared" si="711"/>
        <v>173.1</v>
      </c>
      <c r="P2490" s="1">
        <f t="shared" si="712"/>
        <v>0</v>
      </c>
      <c r="Q2490" s="1" t="str">
        <f t="shared" si="718"/>
        <v/>
      </c>
      <c r="R2490" s="1" t="str">
        <f t="shared" si="713"/>
        <v/>
      </c>
      <c r="S2490" s="1">
        <f t="shared" si="714"/>
        <v>630.90240000000244</v>
      </c>
      <c r="T2490" s="1">
        <f t="shared" si="715"/>
        <v>0</v>
      </c>
      <c r="U2490" s="1">
        <f t="shared" si="716"/>
        <v>0</v>
      </c>
      <c r="V2490" s="1">
        <f t="shared" si="717"/>
        <v>0</v>
      </c>
    </row>
    <row r="2491" spans="5:22" x14ac:dyDescent="0.25">
      <c r="E2491" s="4"/>
      <c r="M2491" s="4">
        <f t="shared" si="710"/>
        <v>173.1</v>
      </c>
      <c r="N2491" s="4"/>
      <c r="O2491" s="1">
        <f t="shared" si="711"/>
        <v>173.1</v>
      </c>
      <c r="P2491" s="1">
        <f t="shared" si="712"/>
        <v>0</v>
      </c>
      <c r="Q2491" s="1" t="str">
        <f t="shared" si="718"/>
        <v/>
      </c>
      <c r="R2491" s="1" t="str">
        <f t="shared" si="713"/>
        <v/>
      </c>
      <c r="S2491" s="1">
        <f t="shared" si="714"/>
        <v>630.90240000000244</v>
      </c>
      <c r="T2491" s="1">
        <f t="shared" si="715"/>
        <v>0</v>
      </c>
      <c r="U2491" s="1">
        <f t="shared" si="716"/>
        <v>0</v>
      </c>
      <c r="V2491" s="1">
        <f t="shared" si="717"/>
        <v>0</v>
      </c>
    </row>
    <row r="2492" spans="5:22" x14ac:dyDescent="0.25">
      <c r="E2492" s="4"/>
      <c r="M2492" s="4">
        <f t="shared" si="710"/>
        <v>173.1</v>
      </c>
      <c r="N2492" s="4"/>
      <c r="O2492" s="1">
        <f t="shared" si="711"/>
        <v>173.1</v>
      </c>
      <c r="P2492" s="1">
        <f t="shared" si="712"/>
        <v>0</v>
      </c>
      <c r="Q2492" s="1" t="str">
        <f t="shared" si="718"/>
        <v/>
      </c>
      <c r="R2492" s="1" t="str">
        <f t="shared" si="713"/>
        <v/>
      </c>
      <c r="S2492" s="1">
        <f t="shared" si="714"/>
        <v>630.90240000000244</v>
      </c>
      <c r="T2492" s="1">
        <f t="shared" si="715"/>
        <v>0</v>
      </c>
      <c r="U2492" s="1">
        <f t="shared" si="716"/>
        <v>0</v>
      </c>
      <c r="V2492" s="1">
        <f t="shared" si="717"/>
        <v>0</v>
      </c>
    </row>
    <row r="2493" spans="5:22" x14ac:dyDescent="0.25">
      <c r="E2493" s="4"/>
      <c r="M2493" s="4">
        <f t="shared" si="710"/>
        <v>173.1</v>
      </c>
      <c r="N2493" s="4"/>
      <c r="O2493" s="1">
        <f t="shared" si="711"/>
        <v>173.1</v>
      </c>
      <c r="P2493" s="1">
        <f t="shared" si="712"/>
        <v>0</v>
      </c>
      <c r="Q2493" s="1" t="str">
        <f t="shared" si="718"/>
        <v/>
      </c>
      <c r="R2493" s="1" t="str">
        <f t="shared" si="713"/>
        <v/>
      </c>
      <c r="S2493" s="1">
        <f t="shared" si="714"/>
        <v>630.90240000000244</v>
      </c>
      <c r="T2493" s="1">
        <f t="shared" si="715"/>
        <v>0</v>
      </c>
      <c r="U2493" s="1">
        <f t="shared" si="716"/>
        <v>0</v>
      </c>
      <c r="V2493" s="1">
        <f t="shared" si="717"/>
        <v>0</v>
      </c>
    </row>
    <row r="2494" spans="5:22" x14ac:dyDescent="0.25">
      <c r="E2494" s="4"/>
      <c r="M2494" s="4">
        <f t="shared" si="710"/>
        <v>173.1</v>
      </c>
      <c r="N2494" s="4"/>
      <c r="O2494" s="1">
        <f t="shared" si="711"/>
        <v>173.1</v>
      </c>
      <c r="P2494" s="1">
        <f t="shared" si="712"/>
        <v>0</v>
      </c>
      <c r="Q2494" s="1" t="str">
        <f t="shared" si="718"/>
        <v/>
      </c>
      <c r="R2494" s="1" t="str">
        <f t="shared" si="713"/>
        <v/>
      </c>
      <c r="S2494" s="1">
        <f t="shared" si="714"/>
        <v>630.90240000000244</v>
      </c>
      <c r="T2494" s="1">
        <f t="shared" si="715"/>
        <v>0</v>
      </c>
      <c r="U2494" s="1">
        <f t="shared" si="716"/>
        <v>0</v>
      </c>
      <c r="V2494" s="1">
        <f t="shared" si="717"/>
        <v>0</v>
      </c>
    </row>
    <row r="2495" spans="5:22" x14ac:dyDescent="0.25">
      <c r="E2495" s="4"/>
      <c r="M2495" s="4">
        <f t="shared" si="710"/>
        <v>173.1</v>
      </c>
      <c r="N2495" s="4"/>
      <c r="O2495" s="1">
        <f t="shared" si="711"/>
        <v>173.1</v>
      </c>
      <c r="P2495" s="1">
        <f t="shared" si="712"/>
        <v>0</v>
      </c>
      <c r="Q2495" s="1" t="str">
        <f t="shared" si="718"/>
        <v/>
      </c>
      <c r="R2495" s="1" t="str">
        <f t="shared" si="713"/>
        <v/>
      </c>
      <c r="S2495" s="1">
        <f t="shared" si="714"/>
        <v>630.90240000000244</v>
      </c>
      <c r="T2495" s="1">
        <f t="shared" si="715"/>
        <v>0</v>
      </c>
      <c r="U2495" s="1">
        <f t="shared" si="716"/>
        <v>0</v>
      </c>
      <c r="V2495" s="1">
        <f t="shared" si="717"/>
        <v>0</v>
      </c>
    </row>
    <row r="2496" spans="5:22" x14ac:dyDescent="0.25">
      <c r="E2496" s="4"/>
      <c r="M2496" s="4">
        <f t="shared" si="710"/>
        <v>173.1</v>
      </c>
      <c r="N2496" s="4"/>
      <c r="O2496" s="1">
        <f t="shared" si="711"/>
        <v>173.1</v>
      </c>
      <c r="P2496" s="1">
        <f t="shared" si="712"/>
        <v>0</v>
      </c>
      <c r="Q2496" s="1" t="str">
        <f t="shared" si="718"/>
        <v/>
      </c>
      <c r="R2496" s="1" t="str">
        <f t="shared" si="713"/>
        <v/>
      </c>
      <c r="S2496" s="1">
        <f t="shared" si="714"/>
        <v>630.90240000000244</v>
      </c>
      <c r="T2496" s="1">
        <f t="shared" si="715"/>
        <v>0</v>
      </c>
      <c r="U2496" s="1">
        <f t="shared" si="716"/>
        <v>0</v>
      </c>
      <c r="V2496" s="1">
        <f t="shared" si="717"/>
        <v>0</v>
      </c>
    </row>
    <row r="2497" spans="5:22" x14ac:dyDescent="0.25">
      <c r="E2497" s="4"/>
      <c r="M2497" s="4">
        <f t="shared" si="710"/>
        <v>173.1</v>
      </c>
      <c r="N2497" s="4"/>
      <c r="O2497" s="1">
        <f t="shared" si="711"/>
        <v>173.1</v>
      </c>
      <c r="P2497" s="1">
        <f t="shared" si="712"/>
        <v>0</v>
      </c>
      <c r="Q2497" s="1" t="str">
        <f t="shared" si="718"/>
        <v/>
      </c>
      <c r="R2497" s="1" t="str">
        <f t="shared" si="713"/>
        <v/>
      </c>
      <c r="S2497" s="1">
        <f t="shared" si="714"/>
        <v>630.90240000000244</v>
      </c>
      <c r="T2497" s="1">
        <f t="shared" si="715"/>
        <v>0</v>
      </c>
      <c r="U2497" s="1">
        <f t="shared" si="716"/>
        <v>0</v>
      </c>
      <c r="V2497" s="1">
        <f t="shared" si="717"/>
        <v>0</v>
      </c>
    </row>
    <row r="2498" spans="5:22" x14ac:dyDescent="0.25">
      <c r="E2498" s="4"/>
      <c r="M2498" s="4">
        <f t="shared" si="710"/>
        <v>173.1</v>
      </c>
      <c r="N2498" s="4"/>
      <c r="O2498" s="1">
        <f t="shared" si="711"/>
        <v>173.1</v>
      </c>
      <c r="P2498" s="1">
        <f t="shared" si="712"/>
        <v>0</v>
      </c>
      <c r="Q2498" s="1" t="str">
        <f t="shared" si="718"/>
        <v/>
      </c>
      <c r="R2498" s="1" t="str">
        <f t="shared" si="713"/>
        <v/>
      </c>
      <c r="S2498" s="1">
        <f t="shared" si="714"/>
        <v>630.90240000000244</v>
      </c>
      <c r="T2498" s="1">
        <f t="shared" si="715"/>
        <v>0</v>
      </c>
      <c r="U2498" s="1">
        <f t="shared" si="716"/>
        <v>0</v>
      </c>
      <c r="V2498" s="1">
        <f t="shared" si="717"/>
        <v>0</v>
      </c>
    </row>
    <row r="2499" spans="5:22" x14ac:dyDescent="0.25">
      <c r="E2499" s="4"/>
      <c r="M2499" s="4">
        <f t="shared" si="710"/>
        <v>173.1</v>
      </c>
      <c r="N2499" s="4"/>
      <c r="O2499" s="1">
        <f t="shared" si="711"/>
        <v>173.1</v>
      </c>
      <c r="P2499" s="1">
        <f t="shared" si="712"/>
        <v>0</v>
      </c>
      <c r="Q2499" s="1" t="str">
        <f t="shared" si="718"/>
        <v/>
      </c>
      <c r="R2499" s="1" t="str">
        <f t="shared" si="713"/>
        <v/>
      </c>
      <c r="S2499" s="1">
        <f t="shared" si="714"/>
        <v>630.90240000000244</v>
      </c>
      <c r="T2499" s="1">
        <f t="shared" si="715"/>
        <v>0</v>
      </c>
      <c r="U2499" s="1">
        <f t="shared" si="716"/>
        <v>0</v>
      </c>
      <c r="V2499" s="1">
        <f t="shared" si="717"/>
        <v>0</v>
      </c>
    </row>
    <row r="2500" spans="5:22" x14ac:dyDescent="0.25">
      <c r="E2500" s="4"/>
      <c r="M2500" s="4">
        <f t="shared" si="710"/>
        <v>173.1</v>
      </c>
      <c r="N2500" s="4"/>
      <c r="O2500" s="1">
        <f t="shared" si="711"/>
        <v>173.1</v>
      </c>
      <c r="P2500" s="1">
        <f t="shared" si="712"/>
        <v>0</v>
      </c>
      <c r="Q2500" s="1" t="str">
        <f t="shared" si="718"/>
        <v/>
      </c>
      <c r="R2500" s="1" t="str">
        <f t="shared" si="713"/>
        <v/>
      </c>
      <c r="S2500" s="1">
        <f t="shared" si="714"/>
        <v>630.90240000000244</v>
      </c>
      <c r="T2500" s="1">
        <f t="shared" si="715"/>
        <v>0</v>
      </c>
      <c r="U2500" s="1">
        <f t="shared" si="716"/>
        <v>0</v>
      </c>
      <c r="V2500" s="1">
        <f t="shared" si="717"/>
        <v>0</v>
      </c>
    </row>
    <row r="2501" spans="5:22" x14ac:dyDescent="0.25">
      <c r="E2501" s="4"/>
      <c r="M2501" s="4">
        <f t="shared" si="710"/>
        <v>173.1</v>
      </c>
      <c r="N2501" s="4"/>
      <c r="O2501" s="1">
        <f t="shared" si="711"/>
        <v>173.1</v>
      </c>
      <c r="P2501" s="1">
        <f t="shared" si="712"/>
        <v>0</v>
      </c>
      <c r="Q2501" s="1" t="str">
        <f t="shared" si="718"/>
        <v/>
      </c>
      <c r="R2501" s="1" t="str">
        <f t="shared" si="713"/>
        <v/>
      </c>
      <c r="S2501" s="1">
        <f t="shared" si="714"/>
        <v>630.90240000000244</v>
      </c>
      <c r="T2501" s="1">
        <f t="shared" si="715"/>
        <v>0</v>
      </c>
      <c r="U2501" s="1">
        <f t="shared" si="716"/>
        <v>0</v>
      </c>
      <c r="V2501" s="1">
        <f t="shared" si="717"/>
        <v>0</v>
      </c>
    </row>
    <row r="2502" spans="5:22" x14ac:dyDescent="0.25">
      <c r="E2502" s="4"/>
      <c r="M2502" s="4">
        <f t="shared" si="710"/>
        <v>173.1</v>
      </c>
      <c r="N2502" s="4"/>
      <c r="O2502" s="1">
        <f t="shared" si="711"/>
        <v>173.1</v>
      </c>
      <c r="P2502" s="1">
        <f t="shared" si="712"/>
        <v>0</v>
      </c>
      <c r="Q2502" s="1" t="str">
        <f t="shared" si="718"/>
        <v/>
      </c>
      <c r="R2502" s="1" t="str">
        <f t="shared" si="713"/>
        <v/>
      </c>
      <c r="S2502" s="1">
        <f t="shared" si="714"/>
        <v>630.90240000000244</v>
      </c>
      <c r="T2502" s="1">
        <f t="shared" si="715"/>
        <v>0</v>
      </c>
      <c r="U2502" s="1">
        <f t="shared" si="716"/>
        <v>0</v>
      </c>
      <c r="V2502" s="1">
        <f t="shared" si="717"/>
        <v>0</v>
      </c>
    </row>
    <row r="2503" spans="5:22" x14ac:dyDescent="0.25">
      <c r="E2503" s="4"/>
      <c r="M2503" s="4">
        <f t="shared" si="710"/>
        <v>173.1</v>
      </c>
      <c r="N2503" s="4"/>
      <c r="O2503" s="1">
        <f t="shared" si="711"/>
        <v>173.1</v>
      </c>
      <c r="P2503" s="1">
        <f t="shared" si="712"/>
        <v>0</v>
      </c>
      <c r="Q2503" s="1" t="str">
        <f t="shared" si="718"/>
        <v/>
      </c>
      <c r="R2503" s="1" t="str">
        <f t="shared" si="713"/>
        <v/>
      </c>
      <c r="S2503" s="1">
        <f t="shared" si="714"/>
        <v>630.90240000000244</v>
      </c>
      <c r="T2503" s="1">
        <f t="shared" si="715"/>
        <v>0</v>
      </c>
      <c r="U2503" s="1">
        <f t="shared" si="716"/>
        <v>0</v>
      </c>
      <c r="V2503" s="1">
        <f t="shared" si="717"/>
        <v>0</v>
      </c>
    </row>
    <row r="2504" spans="5:22" x14ac:dyDescent="0.25">
      <c r="E2504" s="4"/>
      <c r="M2504" s="4">
        <f t="shared" ref="M2504:M2567" si="719">E2504+M2503</f>
        <v>173.1</v>
      </c>
      <c r="N2504" s="4"/>
      <c r="O2504" s="1">
        <f t="shared" ref="O2504:O2567" si="720">E2503+O2503</f>
        <v>173.1</v>
      </c>
      <c r="P2504" s="1">
        <f t="shared" ref="P2504:P2567" si="721">F2504*52.8*E2504</f>
        <v>0</v>
      </c>
      <c r="Q2504" s="1" t="str">
        <f t="shared" si="718"/>
        <v/>
      </c>
      <c r="R2504" s="1" t="str">
        <f t="shared" ref="R2504:R2567" si="722">IF(I2504="",Q2504,IF(AND(H2504=H2503,I2504=I2503),"",I2504))</f>
        <v/>
      </c>
      <c r="S2504" s="1">
        <f t="shared" ref="S2504:S2567" si="723">S2503+U2503*T2503/100</f>
        <v>630.90240000000244</v>
      </c>
      <c r="T2504" s="1">
        <f t="shared" ref="T2504:T2567" si="724">IF(G2504="UNK",0,G2504)</f>
        <v>0</v>
      </c>
      <c r="U2504" s="1">
        <f t="shared" ref="U2504:U2567" si="725">E2504*5280</f>
        <v>0</v>
      </c>
      <c r="V2504" s="1">
        <f t="shared" ref="V2504:V2567" si="726">ABS(T2504*U2504)</f>
        <v>0</v>
      </c>
    </row>
    <row r="2505" spans="5:22" x14ac:dyDescent="0.25">
      <c r="E2505" s="4"/>
      <c r="M2505" s="4">
        <f t="shared" si="719"/>
        <v>173.1</v>
      </c>
      <c r="N2505" s="4"/>
      <c r="O2505" s="1">
        <f t="shared" si="720"/>
        <v>173.1</v>
      </c>
      <c r="P2505" s="1">
        <f t="shared" si="721"/>
        <v>0</v>
      </c>
      <c r="Q2505" s="1" t="str">
        <f t="shared" si="718"/>
        <v/>
      </c>
      <c r="R2505" s="1" t="str">
        <f t="shared" si="722"/>
        <v/>
      </c>
      <c r="S2505" s="1">
        <f t="shared" si="723"/>
        <v>630.90240000000244</v>
      </c>
      <c r="T2505" s="1">
        <f t="shared" si="724"/>
        <v>0</v>
      </c>
      <c r="U2505" s="1">
        <f t="shared" si="725"/>
        <v>0</v>
      </c>
      <c r="V2505" s="1">
        <f t="shared" si="726"/>
        <v>0</v>
      </c>
    </row>
    <row r="2506" spans="5:22" x14ac:dyDescent="0.25">
      <c r="E2506" s="4"/>
      <c r="M2506" s="4">
        <f t="shared" si="719"/>
        <v>173.1</v>
      </c>
      <c r="N2506" s="4"/>
      <c r="O2506" s="1">
        <f t="shared" si="720"/>
        <v>173.1</v>
      </c>
      <c r="P2506" s="1">
        <f t="shared" si="721"/>
        <v>0</v>
      </c>
      <c r="Q2506" s="1" t="str">
        <f t="shared" si="718"/>
        <v/>
      </c>
      <c r="R2506" s="1" t="str">
        <f t="shared" si="722"/>
        <v/>
      </c>
      <c r="S2506" s="1">
        <f t="shared" si="723"/>
        <v>630.90240000000244</v>
      </c>
      <c r="T2506" s="1">
        <f t="shared" si="724"/>
        <v>0</v>
      </c>
      <c r="U2506" s="1">
        <f t="shared" si="725"/>
        <v>0</v>
      </c>
      <c r="V2506" s="1">
        <f t="shared" si="726"/>
        <v>0</v>
      </c>
    </row>
    <row r="2507" spans="5:22" x14ac:dyDescent="0.25">
      <c r="E2507" s="4"/>
      <c r="M2507" s="4">
        <f t="shared" si="719"/>
        <v>173.1</v>
      </c>
      <c r="N2507" s="4"/>
      <c r="O2507" s="1">
        <f t="shared" si="720"/>
        <v>173.1</v>
      </c>
      <c r="P2507" s="1">
        <f t="shared" si="721"/>
        <v>0</v>
      </c>
      <c r="Q2507" s="1" t="str">
        <f t="shared" si="718"/>
        <v/>
      </c>
      <c r="R2507" s="1" t="str">
        <f t="shared" si="722"/>
        <v/>
      </c>
      <c r="S2507" s="1">
        <f t="shared" si="723"/>
        <v>630.90240000000244</v>
      </c>
      <c r="T2507" s="1">
        <f t="shared" si="724"/>
        <v>0</v>
      </c>
      <c r="U2507" s="1">
        <f t="shared" si="725"/>
        <v>0</v>
      </c>
      <c r="V2507" s="1">
        <f t="shared" si="726"/>
        <v>0</v>
      </c>
    </row>
    <row r="2508" spans="5:22" x14ac:dyDescent="0.25">
      <c r="E2508" s="4"/>
      <c r="M2508" s="4">
        <f t="shared" si="719"/>
        <v>173.1</v>
      </c>
      <c r="N2508" s="4"/>
      <c r="O2508" s="1">
        <f t="shared" si="720"/>
        <v>173.1</v>
      </c>
      <c r="P2508" s="1">
        <f t="shared" si="721"/>
        <v>0</v>
      </c>
      <c r="Q2508" s="1" t="str">
        <f t="shared" si="718"/>
        <v/>
      </c>
      <c r="R2508" s="1" t="str">
        <f t="shared" si="722"/>
        <v/>
      </c>
      <c r="S2508" s="1">
        <f t="shared" si="723"/>
        <v>630.90240000000244</v>
      </c>
      <c r="T2508" s="1">
        <f t="shared" si="724"/>
        <v>0</v>
      </c>
      <c r="U2508" s="1">
        <f t="shared" si="725"/>
        <v>0</v>
      </c>
      <c r="V2508" s="1">
        <f t="shared" si="726"/>
        <v>0</v>
      </c>
    </row>
    <row r="2509" spans="5:22" x14ac:dyDescent="0.25">
      <c r="E2509" s="4"/>
      <c r="M2509" s="4">
        <f t="shared" si="719"/>
        <v>173.1</v>
      </c>
      <c r="N2509" s="4"/>
      <c r="O2509" s="1">
        <f t="shared" si="720"/>
        <v>173.1</v>
      </c>
      <c r="P2509" s="1">
        <f t="shared" si="721"/>
        <v>0</v>
      </c>
      <c r="Q2509" s="1" t="str">
        <f t="shared" si="718"/>
        <v/>
      </c>
      <c r="R2509" s="1" t="str">
        <f t="shared" si="722"/>
        <v/>
      </c>
      <c r="S2509" s="1">
        <f t="shared" si="723"/>
        <v>630.90240000000244</v>
      </c>
      <c r="T2509" s="1">
        <f t="shared" si="724"/>
        <v>0</v>
      </c>
      <c r="U2509" s="1">
        <f t="shared" si="725"/>
        <v>0</v>
      </c>
      <c r="V2509" s="1">
        <f t="shared" si="726"/>
        <v>0</v>
      </c>
    </row>
    <row r="2510" spans="5:22" x14ac:dyDescent="0.25">
      <c r="E2510" s="4"/>
      <c r="M2510" s="4">
        <f t="shared" si="719"/>
        <v>173.1</v>
      </c>
      <c r="N2510" s="4"/>
      <c r="O2510" s="1">
        <f t="shared" si="720"/>
        <v>173.1</v>
      </c>
      <c r="P2510" s="1">
        <f t="shared" si="721"/>
        <v>0</v>
      </c>
      <c r="Q2510" s="1" t="str">
        <f t="shared" si="718"/>
        <v/>
      </c>
      <c r="R2510" s="1" t="str">
        <f t="shared" si="722"/>
        <v/>
      </c>
      <c r="S2510" s="1">
        <f t="shared" si="723"/>
        <v>630.90240000000244</v>
      </c>
      <c r="T2510" s="1">
        <f t="shared" si="724"/>
        <v>0</v>
      </c>
      <c r="U2510" s="1">
        <f t="shared" si="725"/>
        <v>0</v>
      </c>
      <c r="V2510" s="1">
        <f t="shared" si="726"/>
        <v>0</v>
      </c>
    </row>
    <row r="2511" spans="5:22" x14ac:dyDescent="0.25">
      <c r="E2511" s="4"/>
      <c r="M2511" s="4">
        <f t="shared" si="719"/>
        <v>173.1</v>
      </c>
      <c r="N2511" s="4"/>
      <c r="O2511" s="1">
        <f t="shared" si="720"/>
        <v>173.1</v>
      </c>
      <c r="P2511" s="1">
        <f t="shared" si="721"/>
        <v>0</v>
      </c>
      <c r="Q2511" s="1" t="str">
        <f t="shared" si="718"/>
        <v/>
      </c>
      <c r="R2511" s="1" t="str">
        <f t="shared" si="722"/>
        <v/>
      </c>
      <c r="S2511" s="1">
        <f t="shared" si="723"/>
        <v>630.90240000000244</v>
      </c>
      <c r="T2511" s="1">
        <f t="shared" si="724"/>
        <v>0</v>
      </c>
      <c r="U2511" s="1">
        <f t="shared" si="725"/>
        <v>0</v>
      </c>
      <c r="V2511" s="1">
        <f t="shared" si="726"/>
        <v>0</v>
      </c>
    </row>
    <row r="2512" spans="5:22" x14ac:dyDescent="0.25">
      <c r="E2512" s="4"/>
      <c r="M2512" s="4">
        <f t="shared" si="719"/>
        <v>173.1</v>
      </c>
      <c r="N2512" s="4"/>
      <c r="O2512" s="1">
        <f t="shared" si="720"/>
        <v>173.1</v>
      </c>
      <c r="P2512" s="1">
        <f t="shared" si="721"/>
        <v>0</v>
      </c>
      <c r="Q2512" s="1" t="str">
        <f t="shared" si="718"/>
        <v/>
      </c>
      <c r="R2512" s="1" t="str">
        <f t="shared" si="722"/>
        <v/>
      </c>
      <c r="S2512" s="1">
        <f t="shared" si="723"/>
        <v>630.90240000000244</v>
      </c>
      <c r="T2512" s="1">
        <f t="shared" si="724"/>
        <v>0</v>
      </c>
      <c r="U2512" s="1">
        <f t="shared" si="725"/>
        <v>0</v>
      </c>
      <c r="V2512" s="1">
        <f t="shared" si="726"/>
        <v>0</v>
      </c>
    </row>
    <row r="2513" spans="5:22" x14ac:dyDescent="0.25">
      <c r="E2513" s="4"/>
      <c r="M2513" s="4">
        <f t="shared" si="719"/>
        <v>173.1</v>
      </c>
      <c r="N2513" s="4"/>
      <c r="O2513" s="1">
        <f t="shared" si="720"/>
        <v>173.1</v>
      </c>
      <c r="P2513" s="1">
        <f t="shared" si="721"/>
        <v>0</v>
      </c>
      <c r="Q2513" s="1" t="str">
        <f t="shared" si="718"/>
        <v/>
      </c>
      <c r="R2513" s="1" t="str">
        <f t="shared" si="722"/>
        <v/>
      </c>
      <c r="S2513" s="1">
        <f t="shared" si="723"/>
        <v>630.90240000000244</v>
      </c>
      <c r="T2513" s="1">
        <f t="shared" si="724"/>
        <v>0</v>
      </c>
      <c r="U2513" s="1">
        <f t="shared" si="725"/>
        <v>0</v>
      </c>
      <c r="V2513" s="1">
        <f t="shared" si="726"/>
        <v>0</v>
      </c>
    </row>
    <row r="2514" spans="5:22" x14ac:dyDescent="0.25">
      <c r="E2514" s="4"/>
      <c r="M2514" s="4">
        <f t="shared" si="719"/>
        <v>173.1</v>
      </c>
      <c r="N2514" s="4"/>
      <c r="O2514" s="1">
        <f t="shared" si="720"/>
        <v>173.1</v>
      </c>
      <c r="P2514" s="1">
        <f t="shared" si="721"/>
        <v>0</v>
      </c>
      <c r="Q2514" s="1" t="str">
        <f t="shared" si="718"/>
        <v/>
      </c>
      <c r="R2514" s="1" t="str">
        <f t="shared" si="722"/>
        <v/>
      </c>
      <c r="S2514" s="1">
        <f t="shared" si="723"/>
        <v>630.90240000000244</v>
      </c>
      <c r="T2514" s="1">
        <f t="shared" si="724"/>
        <v>0</v>
      </c>
      <c r="U2514" s="1">
        <f t="shared" si="725"/>
        <v>0</v>
      </c>
      <c r="V2514" s="1">
        <f t="shared" si="726"/>
        <v>0</v>
      </c>
    </row>
    <row r="2515" spans="5:22" x14ac:dyDescent="0.25">
      <c r="E2515" s="4"/>
      <c r="M2515" s="4">
        <f t="shared" si="719"/>
        <v>173.1</v>
      </c>
      <c r="N2515" s="4"/>
      <c r="O2515" s="1">
        <f t="shared" si="720"/>
        <v>173.1</v>
      </c>
      <c r="P2515" s="1">
        <f t="shared" si="721"/>
        <v>0</v>
      </c>
      <c r="Q2515" s="1" t="str">
        <f t="shared" si="718"/>
        <v/>
      </c>
      <c r="R2515" s="1" t="str">
        <f t="shared" si="722"/>
        <v/>
      </c>
      <c r="S2515" s="1">
        <f t="shared" si="723"/>
        <v>630.90240000000244</v>
      </c>
      <c r="T2515" s="1">
        <f t="shared" si="724"/>
        <v>0</v>
      </c>
      <c r="U2515" s="1">
        <f t="shared" si="725"/>
        <v>0</v>
      </c>
      <c r="V2515" s="1">
        <f t="shared" si="726"/>
        <v>0</v>
      </c>
    </row>
    <row r="2516" spans="5:22" x14ac:dyDescent="0.25">
      <c r="E2516" s="4"/>
      <c r="M2516" s="4">
        <f t="shared" si="719"/>
        <v>173.1</v>
      </c>
      <c r="N2516" s="4"/>
      <c r="O2516" s="1">
        <f t="shared" si="720"/>
        <v>173.1</v>
      </c>
      <c r="P2516" s="1">
        <f t="shared" si="721"/>
        <v>0</v>
      </c>
      <c r="Q2516" s="1" t="str">
        <f t="shared" si="718"/>
        <v/>
      </c>
      <c r="R2516" s="1" t="str">
        <f t="shared" si="722"/>
        <v/>
      </c>
      <c r="S2516" s="1">
        <f t="shared" si="723"/>
        <v>630.90240000000244</v>
      </c>
      <c r="T2516" s="1">
        <f t="shared" si="724"/>
        <v>0</v>
      </c>
      <c r="U2516" s="1">
        <f t="shared" si="725"/>
        <v>0</v>
      </c>
      <c r="V2516" s="1">
        <f t="shared" si="726"/>
        <v>0</v>
      </c>
    </row>
    <row r="2517" spans="5:22" x14ac:dyDescent="0.25">
      <c r="E2517" s="4"/>
      <c r="M2517" s="4">
        <f t="shared" si="719"/>
        <v>173.1</v>
      </c>
      <c r="N2517" s="4"/>
      <c r="O2517" s="1">
        <f t="shared" si="720"/>
        <v>173.1</v>
      </c>
      <c r="P2517" s="1">
        <f t="shared" si="721"/>
        <v>0</v>
      </c>
      <c r="Q2517" s="1" t="str">
        <f t="shared" si="718"/>
        <v/>
      </c>
      <c r="R2517" s="1" t="str">
        <f t="shared" si="722"/>
        <v/>
      </c>
      <c r="S2517" s="1">
        <f t="shared" si="723"/>
        <v>630.90240000000244</v>
      </c>
      <c r="T2517" s="1">
        <f t="shared" si="724"/>
        <v>0</v>
      </c>
      <c r="U2517" s="1">
        <f t="shared" si="725"/>
        <v>0</v>
      </c>
      <c r="V2517" s="1">
        <f t="shared" si="726"/>
        <v>0</v>
      </c>
    </row>
    <row r="2518" spans="5:22" x14ac:dyDescent="0.25">
      <c r="E2518" s="4"/>
      <c r="M2518" s="4">
        <f t="shared" si="719"/>
        <v>173.1</v>
      </c>
      <c r="N2518" s="4"/>
      <c r="O2518" s="1">
        <f t="shared" si="720"/>
        <v>173.1</v>
      </c>
      <c r="P2518" s="1">
        <f t="shared" si="721"/>
        <v>0</v>
      </c>
      <c r="Q2518" s="1" t="str">
        <f t="shared" si="718"/>
        <v/>
      </c>
      <c r="R2518" s="1" t="str">
        <f t="shared" si="722"/>
        <v/>
      </c>
      <c r="S2518" s="1">
        <f t="shared" si="723"/>
        <v>630.90240000000244</v>
      </c>
      <c r="T2518" s="1">
        <f t="shared" si="724"/>
        <v>0</v>
      </c>
      <c r="U2518" s="1">
        <f t="shared" si="725"/>
        <v>0</v>
      </c>
      <c r="V2518" s="1">
        <f t="shared" si="726"/>
        <v>0</v>
      </c>
    </row>
    <row r="2519" spans="5:22" x14ac:dyDescent="0.25">
      <c r="E2519" s="4"/>
      <c r="M2519" s="4">
        <f t="shared" si="719"/>
        <v>173.1</v>
      </c>
      <c r="N2519" s="4"/>
      <c r="O2519" s="1">
        <f t="shared" si="720"/>
        <v>173.1</v>
      </c>
      <c r="P2519" s="1">
        <f t="shared" si="721"/>
        <v>0</v>
      </c>
      <c r="Q2519" s="1" t="str">
        <f t="shared" si="718"/>
        <v/>
      </c>
      <c r="R2519" s="1" t="str">
        <f t="shared" si="722"/>
        <v/>
      </c>
      <c r="S2519" s="1">
        <f t="shared" si="723"/>
        <v>630.90240000000244</v>
      </c>
      <c r="T2519" s="1">
        <f t="shared" si="724"/>
        <v>0</v>
      </c>
      <c r="U2519" s="1">
        <f t="shared" si="725"/>
        <v>0</v>
      </c>
      <c r="V2519" s="1">
        <f t="shared" si="726"/>
        <v>0</v>
      </c>
    </row>
    <row r="2520" spans="5:22" x14ac:dyDescent="0.25">
      <c r="E2520" s="4"/>
      <c r="M2520" s="4">
        <f t="shared" si="719"/>
        <v>173.1</v>
      </c>
      <c r="N2520" s="4"/>
      <c r="O2520" s="1">
        <f t="shared" si="720"/>
        <v>173.1</v>
      </c>
      <c r="P2520" s="1">
        <f t="shared" si="721"/>
        <v>0</v>
      </c>
      <c r="Q2520" s="1" t="str">
        <f t="shared" si="718"/>
        <v/>
      </c>
      <c r="R2520" s="1" t="str">
        <f t="shared" si="722"/>
        <v/>
      </c>
      <c r="S2520" s="1">
        <f t="shared" si="723"/>
        <v>630.90240000000244</v>
      </c>
      <c r="T2520" s="1">
        <f t="shared" si="724"/>
        <v>0</v>
      </c>
      <c r="U2520" s="1">
        <f t="shared" si="725"/>
        <v>0</v>
      </c>
      <c r="V2520" s="1">
        <f t="shared" si="726"/>
        <v>0</v>
      </c>
    </row>
    <row r="2521" spans="5:22" x14ac:dyDescent="0.25">
      <c r="E2521" s="4"/>
      <c r="M2521" s="4">
        <f t="shared" si="719"/>
        <v>173.1</v>
      </c>
      <c r="N2521" s="4"/>
      <c r="O2521" s="1">
        <f t="shared" si="720"/>
        <v>173.1</v>
      </c>
      <c r="P2521" s="1">
        <f t="shared" si="721"/>
        <v>0</v>
      </c>
      <c r="Q2521" s="1" t="str">
        <f t="shared" si="718"/>
        <v/>
      </c>
      <c r="R2521" s="1" t="str">
        <f t="shared" si="722"/>
        <v/>
      </c>
      <c r="S2521" s="1">
        <f t="shared" si="723"/>
        <v>630.90240000000244</v>
      </c>
      <c r="T2521" s="1">
        <f t="shared" si="724"/>
        <v>0</v>
      </c>
      <c r="U2521" s="1">
        <f t="shared" si="725"/>
        <v>0</v>
      </c>
      <c r="V2521" s="1">
        <f t="shared" si="726"/>
        <v>0</v>
      </c>
    </row>
    <row r="2522" spans="5:22" x14ac:dyDescent="0.25">
      <c r="E2522" s="4"/>
      <c r="M2522" s="4">
        <f t="shared" si="719"/>
        <v>173.1</v>
      </c>
      <c r="N2522" s="4"/>
      <c r="O2522" s="1">
        <f t="shared" si="720"/>
        <v>173.1</v>
      </c>
      <c r="P2522" s="1">
        <f t="shared" si="721"/>
        <v>0</v>
      </c>
      <c r="Q2522" s="1" t="str">
        <f t="shared" si="718"/>
        <v/>
      </c>
      <c r="R2522" s="1" t="str">
        <f t="shared" si="722"/>
        <v/>
      </c>
      <c r="S2522" s="1">
        <f t="shared" si="723"/>
        <v>630.90240000000244</v>
      </c>
      <c r="T2522" s="1">
        <f t="shared" si="724"/>
        <v>0</v>
      </c>
      <c r="U2522" s="1">
        <f t="shared" si="725"/>
        <v>0</v>
      </c>
      <c r="V2522" s="1">
        <f t="shared" si="726"/>
        <v>0</v>
      </c>
    </row>
    <row r="2523" spans="5:22" x14ac:dyDescent="0.25">
      <c r="E2523" s="4"/>
      <c r="M2523" s="4">
        <f t="shared" si="719"/>
        <v>173.1</v>
      </c>
      <c r="N2523" s="4"/>
      <c r="O2523" s="1">
        <f t="shared" si="720"/>
        <v>173.1</v>
      </c>
      <c r="P2523" s="1">
        <f t="shared" si="721"/>
        <v>0</v>
      </c>
      <c r="Q2523" s="1" t="str">
        <f t="shared" si="718"/>
        <v/>
      </c>
      <c r="R2523" s="1" t="str">
        <f t="shared" si="722"/>
        <v/>
      </c>
      <c r="S2523" s="1">
        <f t="shared" si="723"/>
        <v>630.90240000000244</v>
      </c>
      <c r="T2523" s="1">
        <f t="shared" si="724"/>
        <v>0</v>
      </c>
      <c r="U2523" s="1">
        <f t="shared" si="725"/>
        <v>0</v>
      </c>
      <c r="V2523" s="1">
        <f t="shared" si="726"/>
        <v>0</v>
      </c>
    </row>
    <row r="2524" spans="5:22" x14ac:dyDescent="0.25">
      <c r="E2524" s="4"/>
      <c r="M2524" s="4">
        <f t="shared" si="719"/>
        <v>173.1</v>
      </c>
      <c r="N2524" s="4"/>
      <c r="O2524" s="1">
        <f t="shared" si="720"/>
        <v>173.1</v>
      </c>
      <c r="P2524" s="1">
        <f t="shared" si="721"/>
        <v>0</v>
      </c>
      <c r="Q2524" s="1" t="str">
        <f t="shared" si="718"/>
        <v/>
      </c>
      <c r="R2524" s="1" t="str">
        <f t="shared" si="722"/>
        <v/>
      </c>
      <c r="S2524" s="1">
        <f t="shared" si="723"/>
        <v>630.90240000000244</v>
      </c>
      <c r="T2524" s="1">
        <f t="shared" si="724"/>
        <v>0</v>
      </c>
      <c r="U2524" s="1">
        <f t="shared" si="725"/>
        <v>0</v>
      </c>
      <c r="V2524" s="1">
        <f t="shared" si="726"/>
        <v>0</v>
      </c>
    </row>
    <row r="2525" spans="5:22" x14ac:dyDescent="0.25">
      <c r="E2525" s="4"/>
      <c r="M2525" s="4">
        <f t="shared" si="719"/>
        <v>173.1</v>
      </c>
      <c r="N2525" s="4"/>
      <c r="O2525" s="1">
        <f t="shared" si="720"/>
        <v>173.1</v>
      </c>
      <c r="P2525" s="1">
        <f t="shared" si="721"/>
        <v>0</v>
      </c>
      <c r="Q2525" s="1" t="str">
        <f t="shared" si="718"/>
        <v/>
      </c>
      <c r="R2525" s="1" t="str">
        <f t="shared" si="722"/>
        <v/>
      </c>
      <c r="S2525" s="1">
        <f t="shared" si="723"/>
        <v>630.90240000000244</v>
      </c>
      <c r="T2525" s="1">
        <f t="shared" si="724"/>
        <v>0</v>
      </c>
      <c r="U2525" s="1">
        <f t="shared" si="725"/>
        <v>0</v>
      </c>
      <c r="V2525" s="1">
        <f t="shared" si="726"/>
        <v>0</v>
      </c>
    </row>
    <row r="2526" spans="5:22" x14ac:dyDescent="0.25">
      <c r="E2526" s="4"/>
      <c r="M2526" s="4">
        <f t="shared" si="719"/>
        <v>173.1</v>
      </c>
      <c r="N2526" s="4"/>
      <c r="O2526" s="1">
        <f t="shared" si="720"/>
        <v>173.1</v>
      </c>
      <c r="P2526" s="1">
        <f t="shared" si="721"/>
        <v>0</v>
      </c>
      <c r="Q2526" s="1" t="str">
        <f t="shared" si="718"/>
        <v/>
      </c>
      <c r="R2526" s="1" t="str">
        <f t="shared" si="722"/>
        <v/>
      </c>
      <c r="S2526" s="1">
        <f t="shared" si="723"/>
        <v>630.90240000000244</v>
      </c>
      <c r="T2526" s="1">
        <f t="shared" si="724"/>
        <v>0</v>
      </c>
      <c r="U2526" s="1">
        <f t="shared" si="725"/>
        <v>0</v>
      </c>
      <c r="V2526" s="1">
        <f t="shared" si="726"/>
        <v>0</v>
      </c>
    </row>
    <row r="2527" spans="5:22" x14ac:dyDescent="0.25">
      <c r="E2527" s="4"/>
      <c r="M2527" s="4">
        <f t="shared" si="719"/>
        <v>173.1</v>
      </c>
      <c r="N2527" s="4"/>
      <c r="O2527" s="1">
        <f t="shared" si="720"/>
        <v>173.1</v>
      </c>
      <c r="P2527" s="1">
        <f t="shared" si="721"/>
        <v>0</v>
      </c>
      <c r="Q2527" s="1" t="str">
        <f t="shared" si="718"/>
        <v/>
      </c>
      <c r="R2527" s="1" t="str">
        <f t="shared" si="722"/>
        <v/>
      </c>
      <c r="S2527" s="1">
        <f t="shared" si="723"/>
        <v>630.90240000000244</v>
      </c>
      <c r="T2527" s="1">
        <f t="shared" si="724"/>
        <v>0</v>
      </c>
      <c r="U2527" s="1">
        <f t="shared" si="725"/>
        <v>0</v>
      </c>
      <c r="V2527" s="1">
        <f t="shared" si="726"/>
        <v>0</v>
      </c>
    </row>
    <row r="2528" spans="5:22" x14ac:dyDescent="0.25">
      <c r="E2528" s="4"/>
      <c r="M2528" s="4">
        <f t="shared" si="719"/>
        <v>173.1</v>
      </c>
      <c r="N2528" s="4"/>
      <c r="O2528" s="1">
        <f t="shared" si="720"/>
        <v>173.1</v>
      </c>
      <c r="P2528" s="1">
        <f t="shared" si="721"/>
        <v>0</v>
      </c>
      <c r="Q2528" s="1" t="str">
        <f t="shared" si="718"/>
        <v/>
      </c>
      <c r="R2528" s="1" t="str">
        <f t="shared" si="722"/>
        <v/>
      </c>
      <c r="S2528" s="1">
        <f t="shared" si="723"/>
        <v>630.90240000000244</v>
      </c>
      <c r="T2528" s="1">
        <f t="shared" si="724"/>
        <v>0</v>
      </c>
      <c r="U2528" s="1">
        <f t="shared" si="725"/>
        <v>0</v>
      </c>
      <c r="V2528" s="1">
        <f t="shared" si="726"/>
        <v>0</v>
      </c>
    </row>
    <row r="2529" spans="5:22" x14ac:dyDescent="0.25">
      <c r="E2529" s="4"/>
      <c r="M2529" s="4">
        <f t="shared" si="719"/>
        <v>173.1</v>
      </c>
      <c r="N2529" s="4"/>
      <c r="O2529" s="1">
        <f t="shared" si="720"/>
        <v>173.1</v>
      </c>
      <c r="P2529" s="1">
        <f t="shared" si="721"/>
        <v>0</v>
      </c>
      <c r="Q2529" s="1" t="str">
        <f t="shared" si="718"/>
        <v/>
      </c>
      <c r="R2529" s="1" t="str">
        <f t="shared" si="722"/>
        <v/>
      </c>
      <c r="S2529" s="1">
        <f t="shared" si="723"/>
        <v>630.90240000000244</v>
      </c>
      <c r="T2529" s="1">
        <f t="shared" si="724"/>
        <v>0</v>
      </c>
      <c r="U2529" s="1">
        <f t="shared" si="725"/>
        <v>0</v>
      </c>
      <c r="V2529" s="1">
        <f t="shared" si="726"/>
        <v>0</v>
      </c>
    </row>
    <row r="2530" spans="5:22" x14ac:dyDescent="0.25">
      <c r="E2530" s="4"/>
      <c r="M2530" s="4">
        <f t="shared" si="719"/>
        <v>173.1</v>
      </c>
      <c r="N2530" s="4"/>
      <c r="O2530" s="1">
        <f t="shared" si="720"/>
        <v>173.1</v>
      </c>
      <c r="P2530" s="1">
        <f t="shared" si="721"/>
        <v>0</v>
      </c>
      <c r="Q2530" s="1" t="str">
        <f t="shared" si="718"/>
        <v/>
      </c>
      <c r="R2530" s="1" t="str">
        <f t="shared" si="722"/>
        <v/>
      </c>
      <c r="S2530" s="1">
        <f t="shared" si="723"/>
        <v>630.90240000000244</v>
      </c>
      <c r="T2530" s="1">
        <f t="shared" si="724"/>
        <v>0</v>
      </c>
      <c r="U2530" s="1">
        <f t="shared" si="725"/>
        <v>0</v>
      </c>
      <c r="V2530" s="1">
        <f t="shared" si="726"/>
        <v>0</v>
      </c>
    </row>
    <row r="2531" spans="5:22" x14ac:dyDescent="0.25">
      <c r="E2531" s="4"/>
      <c r="M2531" s="4">
        <f t="shared" si="719"/>
        <v>173.1</v>
      </c>
      <c r="N2531" s="4"/>
      <c r="O2531" s="1">
        <f t="shared" si="720"/>
        <v>173.1</v>
      </c>
      <c r="P2531" s="1">
        <f t="shared" si="721"/>
        <v>0</v>
      </c>
      <c r="Q2531" s="1" t="str">
        <f t="shared" si="718"/>
        <v/>
      </c>
      <c r="R2531" s="1" t="str">
        <f t="shared" si="722"/>
        <v/>
      </c>
      <c r="S2531" s="1">
        <f t="shared" si="723"/>
        <v>630.90240000000244</v>
      </c>
      <c r="T2531" s="1">
        <f t="shared" si="724"/>
        <v>0</v>
      </c>
      <c r="U2531" s="1">
        <f t="shared" si="725"/>
        <v>0</v>
      </c>
      <c r="V2531" s="1">
        <f t="shared" si="726"/>
        <v>0</v>
      </c>
    </row>
    <row r="2532" spans="5:22" x14ac:dyDescent="0.25">
      <c r="E2532" s="4"/>
      <c r="M2532" s="4">
        <f t="shared" si="719"/>
        <v>173.1</v>
      </c>
      <c r="N2532" s="4"/>
      <c r="O2532" s="1">
        <f t="shared" si="720"/>
        <v>173.1</v>
      </c>
      <c r="P2532" s="1">
        <f t="shared" si="721"/>
        <v>0</v>
      </c>
      <c r="Q2532" s="1" t="str">
        <f t="shared" si="718"/>
        <v/>
      </c>
      <c r="R2532" s="1" t="str">
        <f t="shared" si="722"/>
        <v/>
      </c>
      <c r="S2532" s="1">
        <f t="shared" si="723"/>
        <v>630.90240000000244</v>
      </c>
      <c r="T2532" s="1">
        <f t="shared" si="724"/>
        <v>0</v>
      </c>
      <c r="U2532" s="1">
        <f t="shared" si="725"/>
        <v>0</v>
      </c>
      <c r="V2532" s="1">
        <f t="shared" si="726"/>
        <v>0</v>
      </c>
    </row>
    <row r="2533" spans="5:22" x14ac:dyDescent="0.25">
      <c r="E2533" s="4"/>
      <c r="M2533" s="4">
        <f t="shared" si="719"/>
        <v>173.1</v>
      </c>
      <c r="N2533" s="4"/>
      <c r="O2533" s="1">
        <f t="shared" si="720"/>
        <v>173.1</v>
      </c>
      <c r="P2533" s="1">
        <f t="shared" si="721"/>
        <v>0</v>
      </c>
      <c r="Q2533" s="1" t="str">
        <f t="shared" si="718"/>
        <v/>
      </c>
      <c r="R2533" s="1" t="str">
        <f t="shared" si="722"/>
        <v/>
      </c>
      <c r="S2533" s="1">
        <f t="shared" si="723"/>
        <v>630.90240000000244</v>
      </c>
      <c r="T2533" s="1">
        <f t="shared" si="724"/>
        <v>0</v>
      </c>
      <c r="U2533" s="1">
        <f t="shared" si="725"/>
        <v>0</v>
      </c>
      <c r="V2533" s="1">
        <f t="shared" si="726"/>
        <v>0</v>
      </c>
    </row>
    <row r="2534" spans="5:22" x14ac:dyDescent="0.25">
      <c r="E2534" s="4"/>
      <c r="M2534" s="4">
        <f t="shared" si="719"/>
        <v>173.1</v>
      </c>
      <c r="N2534" s="4"/>
      <c r="O2534" s="1">
        <f t="shared" si="720"/>
        <v>173.1</v>
      </c>
      <c r="P2534" s="1">
        <f t="shared" si="721"/>
        <v>0</v>
      </c>
      <c r="Q2534" s="1" t="str">
        <f t="shared" si="718"/>
        <v/>
      </c>
      <c r="R2534" s="1" t="str">
        <f t="shared" si="722"/>
        <v/>
      </c>
      <c r="S2534" s="1">
        <f t="shared" si="723"/>
        <v>630.90240000000244</v>
      </c>
      <c r="T2534" s="1">
        <f t="shared" si="724"/>
        <v>0</v>
      </c>
      <c r="U2534" s="1">
        <f t="shared" si="725"/>
        <v>0</v>
      </c>
      <c r="V2534" s="1">
        <f t="shared" si="726"/>
        <v>0</v>
      </c>
    </row>
    <row r="2535" spans="5:22" x14ac:dyDescent="0.25">
      <c r="E2535" s="4"/>
      <c r="M2535" s="4">
        <f t="shared" si="719"/>
        <v>173.1</v>
      </c>
      <c r="N2535" s="4"/>
      <c r="O2535" s="1">
        <f t="shared" si="720"/>
        <v>173.1</v>
      </c>
      <c r="P2535" s="1">
        <f t="shared" si="721"/>
        <v>0</v>
      </c>
      <c r="Q2535" s="1" t="str">
        <f t="shared" si="718"/>
        <v/>
      </c>
      <c r="R2535" s="1" t="str">
        <f t="shared" si="722"/>
        <v/>
      </c>
      <c r="S2535" s="1">
        <f t="shared" si="723"/>
        <v>630.90240000000244</v>
      </c>
      <c r="T2535" s="1">
        <f t="shared" si="724"/>
        <v>0</v>
      </c>
      <c r="U2535" s="1">
        <f t="shared" si="725"/>
        <v>0</v>
      </c>
      <c r="V2535" s="1">
        <f t="shared" si="726"/>
        <v>0</v>
      </c>
    </row>
    <row r="2536" spans="5:22" x14ac:dyDescent="0.25">
      <c r="E2536" s="4"/>
      <c r="M2536" s="4">
        <f t="shared" si="719"/>
        <v>173.1</v>
      </c>
      <c r="N2536" s="4"/>
      <c r="O2536" s="1">
        <f t="shared" si="720"/>
        <v>173.1</v>
      </c>
      <c r="P2536" s="1">
        <f t="shared" si="721"/>
        <v>0</v>
      </c>
      <c r="Q2536" s="1" t="str">
        <f t="shared" si="718"/>
        <v/>
      </c>
      <c r="R2536" s="1" t="str">
        <f t="shared" si="722"/>
        <v/>
      </c>
      <c r="S2536" s="1">
        <f t="shared" si="723"/>
        <v>630.90240000000244</v>
      </c>
      <c r="T2536" s="1">
        <f t="shared" si="724"/>
        <v>0</v>
      </c>
      <c r="U2536" s="1">
        <f t="shared" si="725"/>
        <v>0</v>
      </c>
      <c r="V2536" s="1">
        <f t="shared" si="726"/>
        <v>0</v>
      </c>
    </row>
    <row r="2537" spans="5:22" x14ac:dyDescent="0.25">
      <c r="E2537" s="4"/>
      <c r="M2537" s="4">
        <f t="shared" si="719"/>
        <v>173.1</v>
      </c>
      <c r="N2537" s="4"/>
      <c r="O2537" s="1">
        <f t="shared" si="720"/>
        <v>173.1</v>
      </c>
      <c r="P2537" s="1">
        <f t="shared" si="721"/>
        <v>0</v>
      </c>
      <c r="Q2537" s="1" t="str">
        <f t="shared" si="718"/>
        <v/>
      </c>
      <c r="R2537" s="1" t="str">
        <f t="shared" si="722"/>
        <v/>
      </c>
      <c r="S2537" s="1">
        <f t="shared" si="723"/>
        <v>630.90240000000244</v>
      </c>
      <c r="T2537" s="1">
        <f t="shared" si="724"/>
        <v>0</v>
      </c>
      <c r="U2537" s="1">
        <f t="shared" si="725"/>
        <v>0</v>
      </c>
      <c r="V2537" s="1">
        <f t="shared" si="726"/>
        <v>0</v>
      </c>
    </row>
    <row r="2538" spans="5:22" x14ac:dyDescent="0.25">
      <c r="E2538" s="4"/>
      <c r="M2538" s="4">
        <f t="shared" si="719"/>
        <v>173.1</v>
      </c>
      <c r="N2538" s="4"/>
      <c r="O2538" s="1">
        <f t="shared" si="720"/>
        <v>173.1</v>
      </c>
      <c r="P2538" s="1">
        <f t="shared" si="721"/>
        <v>0</v>
      </c>
      <c r="Q2538" s="1" t="str">
        <f t="shared" si="718"/>
        <v/>
      </c>
      <c r="R2538" s="1" t="str">
        <f t="shared" si="722"/>
        <v/>
      </c>
      <c r="S2538" s="1">
        <f t="shared" si="723"/>
        <v>630.90240000000244</v>
      </c>
      <c r="T2538" s="1">
        <f t="shared" si="724"/>
        <v>0</v>
      </c>
      <c r="U2538" s="1">
        <f t="shared" si="725"/>
        <v>0</v>
      </c>
      <c r="V2538" s="1">
        <f t="shared" si="726"/>
        <v>0</v>
      </c>
    </row>
    <row r="2539" spans="5:22" x14ac:dyDescent="0.25">
      <c r="E2539" s="4"/>
      <c r="M2539" s="4">
        <f t="shared" si="719"/>
        <v>173.1</v>
      </c>
      <c r="N2539" s="4"/>
      <c r="O2539" s="1">
        <f t="shared" si="720"/>
        <v>173.1</v>
      </c>
      <c r="P2539" s="1">
        <f t="shared" si="721"/>
        <v>0</v>
      </c>
      <c r="Q2539" s="1" t="str">
        <f t="shared" si="718"/>
        <v/>
      </c>
      <c r="R2539" s="1" t="str">
        <f t="shared" si="722"/>
        <v/>
      </c>
      <c r="S2539" s="1">
        <f t="shared" si="723"/>
        <v>630.90240000000244</v>
      </c>
      <c r="T2539" s="1">
        <f t="shared" si="724"/>
        <v>0</v>
      </c>
      <c r="U2539" s="1">
        <f t="shared" si="725"/>
        <v>0</v>
      </c>
      <c r="V2539" s="1">
        <f t="shared" si="726"/>
        <v>0</v>
      </c>
    </row>
    <row r="2540" spans="5:22" x14ac:dyDescent="0.25">
      <c r="E2540" s="4"/>
      <c r="M2540" s="4">
        <f t="shared" si="719"/>
        <v>173.1</v>
      </c>
      <c r="N2540" s="4"/>
      <c r="O2540" s="1">
        <f t="shared" si="720"/>
        <v>173.1</v>
      </c>
      <c r="P2540" s="1">
        <f t="shared" si="721"/>
        <v>0</v>
      </c>
      <c r="Q2540" s="1" t="str">
        <f t="shared" si="718"/>
        <v/>
      </c>
      <c r="R2540" s="1" t="str">
        <f t="shared" si="722"/>
        <v/>
      </c>
      <c r="S2540" s="1">
        <f t="shared" si="723"/>
        <v>630.90240000000244</v>
      </c>
      <c r="T2540" s="1">
        <f t="shared" si="724"/>
        <v>0</v>
      </c>
      <c r="U2540" s="1">
        <f t="shared" si="725"/>
        <v>0</v>
      </c>
      <c r="V2540" s="1">
        <f t="shared" si="726"/>
        <v>0</v>
      </c>
    </row>
    <row r="2541" spans="5:22" x14ac:dyDescent="0.25">
      <c r="E2541" s="4"/>
      <c r="M2541" s="4">
        <f t="shared" si="719"/>
        <v>173.1</v>
      </c>
      <c r="N2541" s="4"/>
      <c r="O2541" s="1">
        <f t="shared" si="720"/>
        <v>173.1</v>
      </c>
      <c r="P2541" s="1">
        <f t="shared" si="721"/>
        <v>0</v>
      </c>
      <c r="Q2541" s="1" t="str">
        <f t="shared" si="718"/>
        <v/>
      </c>
      <c r="R2541" s="1" t="str">
        <f t="shared" si="722"/>
        <v/>
      </c>
      <c r="S2541" s="1">
        <f t="shared" si="723"/>
        <v>630.90240000000244</v>
      </c>
      <c r="T2541" s="1">
        <f t="shared" si="724"/>
        <v>0</v>
      </c>
      <c r="U2541" s="1">
        <f t="shared" si="725"/>
        <v>0</v>
      </c>
      <c r="V2541" s="1">
        <f t="shared" si="726"/>
        <v>0</v>
      </c>
    </row>
    <row r="2542" spans="5:22" x14ac:dyDescent="0.25">
      <c r="E2542" s="4"/>
      <c r="M2542" s="4">
        <f t="shared" si="719"/>
        <v>173.1</v>
      </c>
      <c r="N2542" s="4"/>
      <c r="O2542" s="1">
        <f t="shared" si="720"/>
        <v>173.1</v>
      </c>
      <c r="P2542" s="1">
        <f t="shared" si="721"/>
        <v>0</v>
      </c>
      <c r="Q2542" s="1" t="str">
        <f t="shared" si="718"/>
        <v/>
      </c>
      <c r="R2542" s="1" t="str">
        <f t="shared" si="722"/>
        <v/>
      </c>
      <c r="S2542" s="1">
        <f t="shared" si="723"/>
        <v>630.90240000000244</v>
      </c>
      <c r="T2542" s="1">
        <f t="shared" si="724"/>
        <v>0</v>
      </c>
      <c r="U2542" s="1">
        <f t="shared" si="725"/>
        <v>0</v>
      </c>
      <c r="V2542" s="1">
        <f t="shared" si="726"/>
        <v>0</v>
      </c>
    </row>
    <row r="2543" spans="5:22" x14ac:dyDescent="0.25">
      <c r="E2543" s="4"/>
      <c r="M2543" s="4">
        <f t="shared" si="719"/>
        <v>173.1</v>
      </c>
      <c r="N2543" s="4"/>
      <c r="O2543" s="1">
        <f t="shared" si="720"/>
        <v>173.1</v>
      </c>
      <c r="P2543" s="1">
        <f t="shared" si="721"/>
        <v>0</v>
      </c>
      <c r="Q2543" s="1" t="str">
        <f t="shared" si="718"/>
        <v/>
      </c>
      <c r="R2543" s="1" t="str">
        <f t="shared" si="722"/>
        <v/>
      </c>
      <c r="S2543" s="1">
        <f t="shared" si="723"/>
        <v>630.90240000000244</v>
      </c>
      <c r="T2543" s="1">
        <f t="shared" si="724"/>
        <v>0</v>
      </c>
      <c r="U2543" s="1">
        <f t="shared" si="725"/>
        <v>0</v>
      </c>
      <c r="V2543" s="1">
        <f t="shared" si="726"/>
        <v>0</v>
      </c>
    </row>
    <row r="2544" spans="5:22" x14ac:dyDescent="0.25">
      <c r="E2544" s="4"/>
      <c r="M2544" s="4">
        <f t="shared" si="719"/>
        <v>173.1</v>
      </c>
      <c r="N2544" s="4"/>
      <c r="O2544" s="1">
        <f t="shared" si="720"/>
        <v>173.1</v>
      </c>
      <c r="P2544" s="1">
        <f t="shared" si="721"/>
        <v>0</v>
      </c>
      <c r="Q2544" s="1" t="str">
        <f t="shared" si="718"/>
        <v/>
      </c>
      <c r="R2544" s="1" t="str">
        <f t="shared" si="722"/>
        <v/>
      </c>
      <c r="S2544" s="1">
        <f t="shared" si="723"/>
        <v>630.90240000000244</v>
      </c>
      <c r="T2544" s="1">
        <f t="shared" si="724"/>
        <v>0</v>
      </c>
      <c r="U2544" s="1">
        <f t="shared" si="725"/>
        <v>0</v>
      </c>
      <c r="V2544" s="1">
        <f t="shared" si="726"/>
        <v>0</v>
      </c>
    </row>
    <row r="2545" spans="5:22" x14ac:dyDescent="0.25">
      <c r="E2545" s="4"/>
      <c r="M2545" s="4">
        <f t="shared" si="719"/>
        <v>173.1</v>
      </c>
      <c r="N2545" s="4"/>
      <c r="O2545" s="1">
        <f t="shared" si="720"/>
        <v>173.1</v>
      </c>
      <c r="P2545" s="1">
        <f t="shared" si="721"/>
        <v>0</v>
      </c>
      <c r="Q2545" s="1" t="str">
        <f t="shared" si="718"/>
        <v/>
      </c>
      <c r="R2545" s="1" t="str">
        <f t="shared" si="722"/>
        <v/>
      </c>
      <c r="S2545" s="1">
        <f t="shared" si="723"/>
        <v>630.90240000000244</v>
      </c>
      <c r="T2545" s="1">
        <f t="shared" si="724"/>
        <v>0</v>
      </c>
      <c r="U2545" s="1">
        <f t="shared" si="725"/>
        <v>0</v>
      </c>
      <c r="V2545" s="1">
        <f t="shared" si="726"/>
        <v>0</v>
      </c>
    </row>
    <row r="2546" spans="5:22" x14ac:dyDescent="0.25">
      <c r="E2546" s="4"/>
      <c r="M2546" s="4">
        <f t="shared" si="719"/>
        <v>173.1</v>
      </c>
      <c r="N2546" s="4"/>
      <c r="O2546" s="1">
        <f t="shared" si="720"/>
        <v>173.1</v>
      </c>
      <c r="P2546" s="1">
        <f t="shared" si="721"/>
        <v>0</v>
      </c>
      <c r="Q2546" s="1" t="str">
        <f t="shared" ref="Q2546:Q2609" si="727">IF(H2546&lt;&gt;"",IF(H2546=H2545,"",H2546),IF(H2544="","",MAX(H2545,Q2545)))</f>
        <v/>
      </c>
      <c r="R2546" s="1" t="str">
        <f t="shared" si="722"/>
        <v/>
      </c>
      <c r="S2546" s="1">
        <f t="shared" si="723"/>
        <v>630.90240000000244</v>
      </c>
      <c r="T2546" s="1">
        <f t="shared" si="724"/>
        <v>0</v>
      </c>
      <c r="U2546" s="1">
        <f t="shared" si="725"/>
        <v>0</v>
      </c>
      <c r="V2546" s="1">
        <f t="shared" si="726"/>
        <v>0</v>
      </c>
    </row>
    <row r="2547" spans="5:22" x14ac:dyDescent="0.25">
      <c r="E2547" s="4"/>
      <c r="M2547" s="4">
        <f t="shared" si="719"/>
        <v>173.1</v>
      </c>
      <c r="N2547" s="4"/>
      <c r="O2547" s="1">
        <f t="shared" si="720"/>
        <v>173.1</v>
      </c>
      <c r="P2547" s="1">
        <f t="shared" si="721"/>
        <v>0</v>
      </c>
      <c r="Q2547" s="1" t="str">
        <f t="shared" si="727"/>
        <v/>
      </c>
      <c r="R2547" s="1" t="str">
        <f t="shared" si="722"/>
        <v/>
      </c>
      <c r="S2547" s="1">
        <f t="shared" si="723"/>
        <v>630.90240000000244</v>
      </c>
      <c r="T2547" s="1">
        <f t="shared" si="724"/>
        <v>0</v>
      </c>
      <c r="U2547" s="1">
        <f t="shared" si="725"/>
        <v>0</v>
      </c>
      <c r="V2547" s="1">
        <f t="shared" si="726"/>
        <v>0</v>
      </c>
    </row>
    <row r="2548" spans="5:22" x14ac:dyDescent="0.25">
      <c r="E2548" s="4"/>
      <c r="M2548" s="4">
        <f t="shared" si="719"/>
        <v>173.1</v>
      </c>
      <c r="N2548" s="4"/>
      <c r="O2548" s="1">
        <f t="shared" si="720"/>
        <v>173.1</v>
      </c>
      <c r="P2548" s="1">
        <f t="shared" si="721"/>
        <v>0</v>
      </c>
      <c r="Q2548" s="1" t="str">
        <f t="shared" si="727"/>
        <v/>
      </c>
      <c r="R2548" s="1" t="str">
        <f t="shared" si="722"/>
        <v/>
      </c>
      <c r="S2548" s="1">
        <f t="shared" si="723"/>
        <v>630.90240000000244</v>
      </c>
      <c r="T2548" s="1">
        <f t="shared" si="724"/>
        <v>0</v>
      </c>
      <c r="U2548" s="1">
        <f t="shared" si="725"/>
        <v>0</v>
      </c>
      <c r="V2548" s="1">
        <f t="shared" si="726"/>
        <v>0</v>
      </c>
    </row>
    <row r="2549" spans="5:22" x14ac:dyDescent="0.25">
      <c r="E2549" s="4"/>
      <c r="M2549" s="4">
        <f t="shared" si="719"/>
        <v>173.1</v>
      </c>
      <c r="N2549" s="4"/>
      <c r="O2549" s="1">
        <f t="shared" si="720"/>
        <v>173.1</v>
      </c>
      <c r="P2549" s="1">
        <f t="shared" si="721"/>
        <v>0</v>
      </c>
      <c r="Q2549" s="1" t="str">
        <f t="shared" si="727"/>
        <v/>
      </c>
      <c r="R2549" s="1" t="str">
        <f t="shared" si="722"/>
        <v/>
      </c>
      <c r="S2549" s="1">
        <f t="shared" si="723"/>
        <v>630.90240000000244</v>
      </c>
      <c r="T2549" s="1">
        <f t="shared" si="724"/>
        <v>0</v>
      </c>
      <c r="U2549" s="1">
        <f t="shared" si="725"/>
        <v>0</v>
      </c>
      <c r="V2549" s="1">
        <f t="shared" si="726"/>
        <v>0</v>
      </c>
    </row>
    <row r="2550" spans="5:22" x14ac:dyDescent="0.25">
      <c r="E2550" s="4"/>
      <c r="M2550" s="4">
        <f t="shared" si="719"/>
        <v>173.1</v>
      </c>
      <c r="N2550" s="4"/>
      <c r="O2550" s="1">
        <f t="shared" si="720"/>
        <v>173.1</v>
      </c>
      <c r="P2550" s="1">
        <f t="shared" si="721"/>
        <v>0</v>
      </c>
      <c r="Q2550" s="1" t="str">
        <f t="shared" si="727"/>
        <v/>
      </c>
      <c r="R2550" s="1" t="str">
        <f t="shared" si="722"/>
        <v/>
      </c>
      <c r="S2550" s="1">
        <f t="shared" si="723"/>
        <v>630.90240000000244</v>
      </c>
      <c r="T2550" s="1">
        <f t="shared" si="724"/>
        <v>0</v>
      </c>
      <c r="U2550" s="1">
        <f t="shared" si="725"/>
        <v>0</v>
      </c>
      <c r="V2550" s="1">
        <f t="shared" si="726"/>
        <v>0</v>
      </c>
    </row>
    <row r="2551" spans="5:22" x14ac:dyDescent="0.25">
      <c r="E2551" s="4"/>
      <c r="M2551" s="4">
        <f t="shared" si="719"/>
        <v>173.1</v>
      </c>
      <c r="N2551" s="4"/>
      <c r="O2551" s="1">
        <f t="shared" si="720"/>
        <v>173.1</v>
      </c>
      <c r="P2551" s="1">
        <f t="shared" si="721"/>
        <v>0</v>
      </c>
      <c r="Q2551" s="1" t="str">
        <f t="shared" si="727"/>
        <v/>
      </c>
      <c r="R2551" s="1" t="str">
        <f t="shared" si="722"/>
        <v/>
      </c>
      <c r="S2551" s="1">
        <f t="shared" si="723"/>
        <v>630.90240000000244</v>
      </c>
      <c r="T2551" s="1">
        <f t="shared" si="724"/>
        <v>0</v>
      </c>
      <c r="U2551" s="1">
        <f t="shared" si="725"/>
        <v>0</v>
      </c>
      <c r="V2551" s="1">
        <f t="shared" si="726"/>
        <v>0</v>
      </c>
    </row>
    <row r="2552" spans="5:22" x14ac:dyDescent="0.25">
      <c r="E2552" s="4"/>
      <c r="M2552" s="4">
        <f t="shared" si="719"/>
        <v>173.1</v>
      </c>
      <c r="N2552" s="4"/>
      <c r="O2552" s="1">
        <f t="shared" si="720"/>
        <v>173.1</v>
      </c>
      <c r="P2552" s="1">
        <f t="shared" si="721"/>
        <v>0</v>
      </c>
      <c r="Q2552" s="1" t="str">
        <f t="shared" si="727"/>
        <v/>
      </c>
      <c r="R2552" s="1" t="str">
        <f t="shared" si="722"/>
        <v/>
      </c>
      <c r="S2552" s="1">
        <f t="shared" si="723"/>
        <v>630.90240000000244</v>
      </c>
      <c r="T2552" s="1">
        <f t="shared" si="724"/>
        <v>0</v>
      </c>
      <c r="U2552" s="1">
        <f t="shared" si="725"/>
        <v>0</v>
      </c>
      <c r="V2552" s="1">
        <f t="shared" si="726"/>
        <v>0</v>
      </c>
    </row>
    <row r="2553" spans="5:22" x14ac:dyDescent="0.25">
      <c r="E2553" s="4"/>
      <c r="M2553" s="4">
        <f t="shared" si="719"/>
        <v>173.1</v>
      </c>
      <c r="N2553" s="4"/>
      <c r="O2553" s="1">
        <f t="shared" si="720"/>
        <v>173.1</v>
      </c>
      <c r="P2553" s="1">
        <f t="shared" si="721"/>
        <v>0</v>
      </c>
      <c r="Q2553" s="1" t="str">
        <f t="shared" si="727"/>
        <v/>
      </c>
      <c r="R2553" s="1" t="str">
        <f t="shared" si="722"/>
        <v/>
      </c>
      <c r="S2553" s="1">
        <f t="shared" si="723"/>
        <v>630.90240000000244</v>
      </c>
      <c r="T2553" s="1">
        <f t="shared" si="724"/>
        <v>0</v>
      </c>
      <c r="U2553" s="1">
        <f t="shared" si="725"/>
        <v>0</v>
      </c>
      <c r="V2553" s="1">
        <f t="shared" si="726"/>
        <v>0</v>
      </c>
    </row>
    <row r="2554" spans="5:22" x14ac:dyDescent="0.25">
      <c r="E2554" s="4"/>
      <c r="M2554" s="4">
        <f t="shared" si="719"/>
        <v>173.1</v>
      </c>
      <c r="N2554" s="4"/>
      <c r="O2554" s="1">
        <f t="shared" si="720"/>
        <v>173.1</v>
      </c>
      <c r="P2554" s="1">
        <f t="shared" si="721"/>
        <v>0</v>
      </c>
      <c r="Q2554" s="1" t="str">
        <f t="shared" si="727"/>
        <v/>
      </c>
      <c r="R2554" s="1" t="str">
        <f t="shared" si="722"/>
        <v/>
      </c>
      <c r="S2554" s="1">
        <f t="shared" si="723"/>
        <v>630.90240000000244</v>
      </c>
      <c r="T2554" s="1">
        <f t="shared" si="724"/>
        <v>0</v>
      </c>
      <c r="U2554" s="1">
        <f t="shared" si="725"/>
        <v>0</v>
      </c>
      <c r="V2554" s="1">
        <f t="shared" si="726"/>
        <v>0</v>
      </c>
    </row>
    <row r="2555" spans="5:22" x14ac:dyDescent="0.25">
      <c r="E2555" s="4"/>
      <c r="M2555" s="4">
        <f t="shared" si="719"/>
        <v>173.1</v>
      </c>
      <c r="N2555" s="4"/>
      <c r="O2555" s="1">
        <f t="shared" si="720"/>
        <v>173.1</v>
      </c>
      <c r="P2555" s="1">
        <f t="shared" si="721"/>
        <v>0</v>
      </c>
      <c r="Q2555" s="1" t="str">
        <f t="shared" si="727"/>
        <v/>
      </c>
      <c r="R2555" s="1" t="str">
        <f t="shared" si="722"/>
        <v/>
      </c>
      <c r="S2555" s="1">
        <f t="shared" si="723"/>
        <v>630.90240000000244</v>
      </c>
      <c r="T2555" s="1">
        <f t="shared" si="724"/>
        <v>0</v>
      </c>
      <c r="U2555" s="1">
        <f t="shared" si="725"/>
        <v>0</v>
      </c>
      <c r="V2555" s="1">
        <f t="shared" si="726"/>
        <v>0</v>
      </c>
    </row>
    <row r="2556" spans="5:22" x14ac:dyDescent="0.25">
      <c r="E2556" s="4"/>
      <c r="M2556" s="4">
        <f t="shared" si="719"/>
        <v>173.1</v>
      </c>
      <c r="N2556" s="4"/>
      <c r="O2556" s="1">
        <f t="shared" si="720"/>
        <v>173.1</v>
      </c>
      <c r="P2556" s="1">
        <f t="shared" si="721"/>
        <v>0</v>
      </c>
      <c r="Q2556" s="1" t="str">
        <f t="shared" si="727"/>
        <v/>
      </c>
      <c r="R2556" s="1" t="str">
        <f t="shared" si="722"/>
        <v/>
      </c>
      <c r="S2556" s="1">
        <f t="shared" si="723"/>
        <v>630.90240000000244</v>
      </c>
      <c r="T2556" s="1">
        <f t="shared" si="724"/>
        <v>0</v>
      </c>
      <c r="U2556" s="1">
        <f t="shared" si="725"/>
        <v>0</v>
      </c>
      <c r="V2556" s="1">
        <f t="shared" si="726"/>
        <v>0</v>
      </c>
    </row>
    <row r="2557" spans="5:22" x14ac:dyDescent="0.25">
      <c r="E2557" s="4"/>
      <c r="M2557" s="4">
        <f t="shared" si="719"/>
        <v>173.1</v>
      </c>
      <c r="N2557" s="4"/>
      <c r="O2557" s="1">
        <f t="shared" si="720"/>
        <v>173.1</v>
      </c>
      <c r="P2557" s="1">
        <f t="shared" si="721"/>
        <v>0</v>
      </c>
      <c r="Q2557" s="1" t="str">
        <f t="shared" si="727"/>
        <v/>
      </c>
      <c r="R2557" s="1" t="str">
        <f t="shared" si="722"/>
        <v/>
      </c>
      <c r="S2557" s="1">
        <f t="shared" si="723"/>
        <v>630.90240000000244</v>
      </c>
      <c r="T2557" s="1">
        <f t="shared" si="724"/>
        <v>0</v>
      </c>
      <c r="U2557" s="1">
        <f t="shared" si="725"/>
        <v>0</v>
      </c>
      <c r="V2557" s="1">
        <f t="shared" si="726"/>
        <v>0</v>
      </c>
    </row>
    <row r="2558" spans="5:22" x14ac:dyDescent="0.25">
      <c r="E2558" s="4"/>
      <c r="M2558" s="4">
        <f t="shared" si="719"/>
        <v>173.1</v>
      </c>
      <c r="N2558" s="4"/>
      <c r="O2558" s="1">
        <f t="shared" si="720"/>
        <v>173.1</v>
      </c>
      <c r="P2558" s="1">
        <f t="shared" si="721"/>
        <v>0</v>
      </c>
      <c r="Q2558" s="1" t="str">
        <f t="shared" si="727"/>
        <v/>
      </c>
      <c r="R2558" s="1" t="str">
        <f t="shared" si="722"/>
        <v/>
      </c>
      <c r="S2558" s="1">
        <f t="shared" si="723"/>
        <v>630.90240000000244</v>
      </c>
      <c r="T2558" s="1">
        <f t="shared" si="724"/>
        <v>0</v>
      </c>
      <c r="U2558" s="1">
        <f t="shared" si="725"/>
        <v>0</v>
      </c>
      <c r="V2558" s="1">
        <f t="shared" si="726"/>
        <v>0</v>
      </c>
    </row>
    <row r="2559" spans="5:22" x14ac:dyDescent="0.25">
      <c r="E2559" s="4"/>
      <c r="M2559" s="4">
        <f t="shared" si="719"/>
        <v>173.1</v>
      </c>
      <c r="N2559" s="4"/>
      <c r="O2559" s="1">
        <f t="shared" si="720"/>
        <v>173.1</v>
      </c>
      <c r="P2559" s="1">
        <f t="shared" si="721"/>
        <v>0</v>
      </c>
      <c r="Q2559" s="1" t="str">
        <f t="shared" si="727"/>
        <v/>
      </c>
      <c r="R2559" s="1" t="str">
        <f t="shared" si="722"/>
        <v/>
      </c>
      <c r="S2559" s="1">
        <f t="shared" si="723"/>
        <v>630.90240000000244</v>
      </c>
      <c r="T2559" s="1">
        <f t="shared" si="724"/>
        <v>0</v>
      </c>
      <c r="U2559" s="1">
        <f t="shared" si="725"/>
        <v>0</v>
      </c>
      <c r="V2559" s="1">
        <f t="shared" si="726"/>
        <v>0</v>
      </c>
    </row>
    <row r="2560" spans="5:22" x14ac:dyDescent="0.25">
      <c r="E2560" s="4"/>
      <c r="M2560" s="4">
        <f t="shared" si="719"/>
        <v>173.1</v>
      </c>
      <c r="N2560" s="4"/>
      <c r="O2560" s="1">
        <f t="shared" si="720"/>
        <v>173.1</v>
      </c>
      <c r="P2560" s="1">
        <f t="shared" si="721"/>
        <v>0</v>
      </c>
      <c r="Q2560" s="1" t="str">
        <f t="shared" si="727"/>
        <v/>
      </c>
      <c r="R2560" s="1" t="str">
        <f t="shared" si="722"/>
        <v/>
      </c>
      <c r="S2560" s="1">
        <f t="shared" si="723"/>
        <v>630.90240000000244</v>
      </c>
      <c r="T2560" s="1">
        <f t="shared" si="724"/>
        <v>0</v>
      </c>
      <c r="U2560" s="1">
        <f t="shared" si="725"/>
        <v>0</v>
      </c>
      <c r="V2560" s="1">
        <f t="shared" si="726"/>
        <v>0</v>
      </c>
    </row>
    <row r="2561" spans="5:22" x14ac:dyDescent="0.25">
      <c r="E2561" s="4"/>
      <c r="M2561" s="4">
        <f t="shared" si="719"/>
        <v>173.1</v>
      </c>
      <c r="N2561" s="4"/>
      <c r="O2561" s="1">
        <f t="shared" si="720"/>
        <v>173.1</v>
      </c>
      <c r="P2561" s="1">
        <f t="shared" si="721"/>
        <v>0</v>
      </c>
      <c r="Q2561" s="1" t="str">
        <f t="shared" si="727"/>
        <v/>
      </c>
      <c r="R2561" s="1" t="str">
        <f t="shared" si="722"/>
        <v/>
      </c>
      <c r="S2561" s="1">
        <f t="shared" si="723"/>
        <v>630.90240000000244</v>
      </c>
      <c r="T2561" s="1">
        <f t="shared" si="724"/>
        <v>0</v>
      </c>
      <c r="U2561" s="1">
        <f t="shared" si="725"/>
        <v>0</v>
      </c>
      <c r="V2561" s="1">
        <f t="shared" si="726"/>
        <v>0</v>
      </c>
    </row>
    <row r="2562" spans="5:22" x14ac:dyDescent="0.25">
      <c r="E2562" s="4"/>
      <c r="M2562" s="4">
        <f t="shared" si="719"/>
        <v>173.1</v>
      </c>
      <c r="N2562" s="4"/>
      <c r="O2562" s="1">
        <f t="shared" si="720"/>
        <v>173.1</v>
      </c>
      <c r="P2562" s="1">
        <f t="shared" si="721"/>
        <v>0</v>
      </c>
      <c r="Q2562" s="1" t="str">
        <f t="shared" si="727"/>
        <v/>
      </c>
      <c r="R2562" s="1" t="str">
        <f t="shared" si="722"/>
        <v/>
      </c>
      <c r="S2562" s="1">
        <f t="shared" si="723"/>
        <v>630.90240000000244</v>
      </c>
      <c r="T2562" s="1">
        <f t="shared" si="724"/>
        <v>0</v>
      </c>
      <c r="U2562" s="1">
        <f t="shared" si="725"/>
        <v>0</v>
      </c>
      <c r="V2562" s="1">
        <f t="shared" si="726"/>
        <v>0</v>
      </c>
    </row>
    <row r="2563" spans="5:22" x14ac:dyDescent="0.25">
      <c r="E2563" s="4"/>
      <c r="M2563" s="4">
        <f t="shared" si="719"/>
        <v>173.1</v>
      </c>
      <c r="N2563" s="4"/>
      <c r="O2563" s="1">
        <f t="shared" si="720"/>
        <v>173.1</v>
      </c>
      <c r="P2563" s="1">
        <f t="shared" si="721"/>
        <v>0</v>
      </c>
      <c r="Q2563" s="1" t="str">
        <f t="shared" si="727"/>
        <v/>
      </c>
      <c r="R2563" s="1" t="str">
        <f t="shared" si="722"/>
        <v/>
      </c>
      <c r="S2563" s="1">
        <f t="shared" si="723"/>
        <v>630.90240000000244</v>
      </c>
      <c r="T2563" s="1">
        <f t="shared" si="724"/>
        <v>0</v>
      </c>
      <c r="U2563" s="1">
        <f t="shared" si="725"/>
        <v>0</v>
      </c>
      <c r="V2563" s="1">
        <f t="shared" si="726"/>
        <v>0</v>
      </c>
    </row>
    <row r="2564" spans="5:22" x14ac:dyDescent="0.25">
      <c r="E2564" s="4"/>
      <c r="M2564" s="4">
        <f t="shared" si="719"/>
        <v>173.1</v>
      </c>
      <c r="N2564" s="4"/>
      <c r="O2564" s="1">
        <f t="shared" si="720"/>
        <v>173.1</v>
      </c>
      <c r="P2564" s="1">
        <f t="shared" si="721"/>
        <v>0</v>
      </c>
      <c r="Q2564" s="1" t="str">
        <f t="shared" si="727"/>
        <v/>
      </c>
      <c r="R2564" s="1" t="str">
        <f t="shared" si="722"/>
        <v/>
      </c>
      <c r="S2564" s="1">
        <f t="shared" si="723"/>
        <v>630.90240000000244</v>
      </c>
      <c r="T2564" s="1">
        <f t="shared" si="724"/>
        <v>0</v>
      </c>
      <c r="U2564" s="1">
        <f t="shared" si="725"/>
        <v>0</v>
      </c>
      <c r="V2564" s="1">
        <f t="shared" si="726"/>
        <v>0</v>
      </c>
    </row>
    <row r="2565" spans="5:22" x14ac:dyDescent="0.25">
      <c r="E2565" s="4"/>
      <c r="M2565" s="4">
        <f t="shared" si="719"/>
        <v>173.1</v>
      </c>
      <c r="N2565" s="4"/>
      <c r="O2565" s="1">
        <f t="shared" si="720"/>
        <v>173.1</v>
      </c>
      <c r="P2565" s="1">
        <f t="shared" si="721"/>
        <v>0</v>
      </c>
      <c r="Q2565" s="1" t="str">
        <f t="shared" si="727"/>
        <v/>
      </c>
      <c r="R2565" s="1" t="str">
        <f t="shared" si="722"/>
        <v/>
      </c>
      <c r="S2565" s="1">
        <f t="shared" si="723"/>
        <v>630.90240000000244</v>
      </c>
      <c r="T2565" s="1">
        <f t="shared" si="724"/>
        <v>0</v>
      </c>
      <c r="U2565" s="1">
        <f t="shared" si="725"/>
        <v>0</v>
      </c>
      <c r="V2565" s="1">
        <f t="shared" si="726"/>
        <v>0</v>
      </c>
    </row>
    <row r="2566" spans="5:22" x14ac:dyDescent="0.25">
      <c r="E2566" s="4"/>
      <c r="M2566" s="4">
        <f t="shared" si="719"/>
        <v>173.1</v>
      </c>
      <c r="N2566" s="4"/>
      <c r="O2566" s="1">
        <f t="shared" si="720"/>
        <v>173.1</v>
      </c>
      <c r="P2566" s="1">
        <f t="shared" si="721"/>
        <v>0</v>
      </c>
      <c r="Q2566" s="1" t="str">
        <f t="shared" si="727"/>
        <v/>
      </c>
      <c r="R2566" s="1" t="str">
        <f t="shared" si="722"/>
        <v/>
      </c>
      <c r="S2566" s="1">
        <f t="shared" si="723"/>
        <v>630.90240000000244</v>
      </c>
      <c r="T2566" s="1">
        <f t="shared" si="724"/>
        <v>0</v>
      </c>
      <c r="U2566" s="1">
        <f t="shared" si="725"/>
        <v>0</v>
      </c>
      <c r="V2566" s="1">
        <f t="shared" si="726"/>
        <v>0</v>
      </c>
    </row>
    <row r="2567" spans="5:22" x14ac:dyDescent="0.25">
      <c r="E2567" s="4"/>
      <c r="M2567" s="4">
        <f t="shared" si="719"/>
        <v>173.1</v>
      </c>
      <c r="N2567" s="4"/>
      <c r="O2567" s="1">
        <f t="shared" si="720"/>
        <v>173.1</v>
      </c>
      <c r="P2567" s="1">
        <f t="shared" si="721"/>
        <v>0</v>
      </c>
      <c r="Q2567" s="1" t="str">
        <f t="shared" si="727"/>
        <v/>
      </c>
      <c r="R2567" s="1" t="str">
        <f t="shared" si="722"/>
        <v/>
      </c>
      <c r="S2567" s="1">
        <f t="shared" si="723"/>
        <v>630.90240000000244</v>
      </c>
      <c r="T2567" s="1">
        <f t="shared" si="724"/>
        <v>0</v>
      </c>
      <c r="U2567" s="1">
        <f t="shared" si="725"/>
        <v>0</v>
      </c>
      <c r="V2567" s="1">
        <f t="shared" si="726"/>
        <v>0</v>
      </c>
    </row>
    <row r="2568" spans="5:22" x14ac:dyDescent="0.25">
      <c r="E2568" s="4"/>
      <c r="M2568" s="4">
        <f t="shared" ref="M2568:M2631" si="728">E2568+M2567</f>
        <v>173.1</v>
      </c>
      <c r="N2568" s="4"/>
      <c r="O2568" s="1">
        <f t="shared" ref="O2568:O2631" si="729">E2567+O2567</f>
        <v>173.1</v>
      </c>
      <c r="P2568" s="1">
        <f t="shared" ref="P2568:P2631" si="730">F2568*52.8*E2568</f>
        <v>0</v>
      </c>
      <c r="Q2568" s="1" t="str">
        <f t="shared" si="727"/>
        <v/>
      </c>
      <c r="R2568" s="1" t="str">
        <f t="shared" ref="R2568:R2631" si="731">IF(I2568="",Q2568,IF(AND(H2568=H2567,I2568=I2567),"",I2568))</f>
        <v/>
      </c>
      <c r="S2568" s="1">
        <f t="shared" ref="S2568:S2631" si="732">S2567+U2567*T2567/100</f>
        <v>630.90240000000244</v>
      </c>
      <c r="T2568" s="1">
        <f t="shared" ref="T2568:T2631" si="733">IF(G2568="UNK",0,G2568)</f>
        <v>0</v>
      </c>
      <c r="U2568" s="1">
        <f t="shared" ref="U2568:U2631" si="734">E2568*5280</f>
        <v>0</v>
      </c>
      <c r="V2568" s="1">
        <f t="shared" ref="V2568:V2631" si="735">ABS(T2568*U2568)</f>
        <v>0</v>
      </c>
    </row>
    <row r="2569" spans="5:22" x14ac:dyDescent="0.25">
      <c r="E2569" s="4"/>
      <c r="M2569" s="4">
        <f t="shared" si="728"/>
        <v>173.1</v>
      </c>
      <c r="N2569" s="4"/>
      <c r="O2569" s="1">
        <f t="shared" si="729"/>
        <v>173.1</v>
      </c>
      <c r="P2569" s="1">
        <f t="shared" si="730"/>
        <v>0</v>
      </c>
      <c r="Q2569" s="1" t="str">
        <f t="shared" si="727"/>
        <v/>
      </c>
      <c r="R2569" s="1" t="str">
        <f t="shared" si="731"/>
        <v/>
      </c>
      <c r="S2569" s="1">
        <f t="shared" si="732"/>
        <v>630.90240000000244</v>
      </c>
      <c r="T2569" s="1">
        <f t="shared" si="733"/>
        <v>0</v>
      </c>
      <c r="U2569" s="1">
        <f t="shared" si="734"/>
        <v>0</v>
      </c>
      <c r="V2569" s="1">
        <f t="shared" si="735"/>
        <v>0</v>
      </c>
    </row>
    <row r="2570" spans="5:22" x14ac:dyDescent="0.25">
      <c r="E2570" s="4"/>
      <c r="M2570" s="4">
        <f t="shared" si="728"/>
        <v>173.1</v>
      </c>
      <c r="N2570" s="4"/>
      <c r="O2570" s="1">
        <f t="shared" si="729"/>
        <v>173.1</v>
      </c>
      <c r="P2570" s="1">
        <f t="shared" si="730"/>
        <v>0</v>
      </c>
      <c r="Q2570" s="1" t="str">
        <f t="shared" si="727"/>
        <v/>
      </c>
      <c r="R2570" s="1" t="str">
        <f t="shared" si="731"/>
        <v/>
      </c>
      <c r="S2570" s="1">
        <f t="shared" si="732"/>
        <v>630.90240000000244</v>
      </c>
      <c r="T2570" s="1">
        <f t="shared" si="733"/>
        <v>0</v>
      </c>
      <c r="U2570" s="1">
        <f t="shared" si="734"/>
        <v>0</v>
      </c>
      <c r="V2570" s="1">
        <f t="shared" si="735"/>
        <v>0</v>
      </c>
    </row>
    <row r="2571" spans="5:22" x14ac:dyDescent="0.25">
      <c r="E2571" s="4"/>
      <c r="M2571" s="4">
        <f t="shared" si="728"/>
        <v>173.1</v>
      </c>
      <c r="N2571" s="4"/>
      <c r="O2571" s="1">
        <f t="shared" si="729"/>
        <v>173.1</v>
      </c>
      <c r="P2571" s="1">
        <f t="shared" si="730"/>
        <v>0</v>
      </c>
      <c r="Q2571" s="1" t="str">
        <f t="shared" si="727"/>
        <v/>
      </c>
      <c r="R2571" s="1" t="str">
        <f t="shared" si="731"/>
        <v/>
      </c>
      <c r="S2571" s="1">
        <f t="shared" si="732"/>
        <v>630.90240000000244</v>
      </c>
      <c r="T2571" s="1">
        <f t="shared" si="733"/>
        <v>0</v>
      </c>
      <c r="U2571" s="1">
        <f t="shared" si="734"/>
        <v>0</v>
      </c>
      <c r="V2571" s="1">
        <f t="shared" si="735"/>
        <v>0</v>
      </c>
    </row>
    <row r="2572" spans="5:22" x14ac:dyDescent="0.25">
      <c r="E2572" s="4"/>
      <c r="M2572" s="4">
        <f t="shared" si="728"/>
        <v>173.1</v>
      </c>
      <c r="N2572" s="4"/>
      <c r="O2572" s="1">
        <f t="shared" si="729"/>
        <v>173.1</v>
      </c>
      <c r="P2572" s="1">
        <f t="shared" si="730"/>
        <v>0</v>
      </c>
      <c r="Q2572" s="1" t="str">
        <f t="shared" si="727"/>
        <v/>
      </c>
      <c r="R2572" s="1" t="str">
        <f t="shared" si="731"/>
        <v/>
      </c>
      <c r="S2572" s="1">
        <f t="shared" si="732"/>
        <v>630.90240000000244</v>
      </c>
      <c r="T2572" s="1">
        <f t="shared" si="733"/>
        <v>0</v>
      </c>
      <c r="U2572" s="1">
        <f t="shared" si="734"/>
        <v>0</v>
      </c>
      <c r="V2572" s="1">
        <f t="shared" si="735"/>
        <v>0</v>
      </c>
    </row>
    <row r="2573" spans="5:22" x14ac:dyDescent="0.25">
      <c r="E2573" s="4"/>
      <c r="M2573" s="4">
        <f t="shared" si="728"/>
        <v>173.1</v>
      </c>
      <c r="N2573" s="4"/>
      <c r="O2573" s="1">
        <f t="shared" si="729"/>
        <v>173.1</v>
      </c>
      <c r="P2573" s="1">
        <f t="shared" si="730"/>
        <v>0</v>
      </c>
      <c r="Q2573" s="1" t="str">
        <f t="shared" si="727"/>
        <v/>
      </c>
      <c r="R2573" s="1" t="str">
        <f t="shared" si="731"/>
        <v/>
      </c>
      <c r="S2573" s="1">
        <f t="shared" si="732"/>
        <v>630.90240000000244</v>
      </c>
      <c r="T2573" s="1">
        <f t="shared" si="733"/>
        <v>0</v>
      </c>
      <c r="U2573" s="1">
        <f t="shared" si="734"/>
        <v>0</v>
      </c>
      <c r="V2573" s="1">
        <f t="shared" si="735"/>
        <v>0</v>
      </c>
    </row>
    <row r="2574" spans="5:22" x14ac:dyDescent="0.25">
      <c r="E2574" s="4"/>
      <c r="M2574" s="4">
        <f t="shared" si="728"/>
        <v>173.1</v>
      </c>
      <c r="N2574" s="4"/>
      <c r="O2574" s="1">
        <f t="shared" si="729"/>
        <v>173.1</v>
      </c>
      <c r="P2574" s="1">
        <f t="shared" si="730"/>
        <v>0</v>
      </c>
      <c r="Q2574" s="1" t="str">
        <f t="shared" si="727"/>
        <v/>
      </c>
      <c r="R2574" s="1" t="str">
        <f t="shared" si="731"/>
        <v/>
      </c>
      <c r="S2574" s="1">
        <f t="shared" si="732"/>
        <v>630.90240000000244</v>
      </c>
      <c r="T2574" s="1">
        <f t="shared" si="733"/>
        <v>0</v>
      </c>
      <c r="U2574" s="1">
        <f t="shared" si="734"/>
        <v>0</v>
      </c>
      <c r="V2574" s="1">
        <f t="shared" si="735"/>
        <v>0</v>
      </c>
    </row>
    <row r="2575" spans="5:22" x14ac:dyDescent="0.25">
      <c r="E2575" s="4"/>
      <c r="M2575" s="4">
        <f t="shared" si="728"/>
        <v>173.1</v>
      </c>
      <c r="N2575" s="4"/>
      <c r="O2575" s="1">
        <f t="shared" si="729"/>
        <v>173.1</v>
      </c>
      <c r="P2575" s="1">
        <f t="shared" si="730"/>
        <v>0</v>
      </c>
      <c r="Q2575" s="1" t="str">
        <f t="shared" si="727"/>
        <v/>
      </c>
      <c r="R2575" s="1" t="str">
        <f t="shared" si="731"/>
        <v/>
      </c>
      <c r="S2575" s="1">
        <f t="shared" si="732"/>
        <v>630.90240000000244</v>
      </c>
      <c r="T2575" s="1">
        <f t="shared" si="733"/>
        <v>0</v>
      </c>
      <c r="U2575" s="1">
        <f t="shared" si="734"/>
        <v>0</v>
      </c>
      <c r="V2575" s="1">
        <f t="shared" si="735"/>
        <v>0</v>
      </c>
    </row>
    <row r="2576" spans="5:22" x14ac:dyDescent="0.25">
      <c r="E2576" s="4"/>
      <c r="M2576" s="4">
        <f t="shared" si="728"/>
        <v>173.1</v>
      </c>
      <c r="N2576" s="4"/>
      <c r="O2576" s="1">
        <f t="shared" si="729"/>
        <v>173.1</v>
      </c>
      <c r="P2576" s="1">
        <f t="shared" si="730"/>
        <v>0</v>
      </c>
      <c r="Q2576" s="1" t="str">
        <f t="shared" si="727"/>
        <v/>
      </c>
      <c r="R2576" s="1" t="str">
        <f t="shared" si="731"/>
        <v/>
      </c>
      <c r="S2576" s="1">
        <f t="shared" si="732"/>
        <v>630.90240000000244</v>
      </c>
      <c r="T2576" s="1">
        <f t="shared" si="733"/>
        <v>0</v>
      </c>
      <c r="U2576" s="1">
        <f t="shared" si="734"/>
        <v>0</v>
      </c>
      <c r="V2576" s="1">
        <f t="shared" si="735"/>
        <v>0</v>
      </c>
    </row>
    <row r="2577" spans="5:22" x14ac:dyDescent="0.25">
      <c r="E2577" s="4"/>
      <c r="M2577" s="4">
        <f t="shared" si="728"/>
        <v>173.1</v>
      </c>
      <c r="N2577" s="4"/>
      <c r="O2577" s="1">
        <f t="shared" si="729"/>
        <v>173.1</v>
      </c>
      <c r="P2577" s="1">
        <f t="shared" si="730"/>
        <v>0</v>
      </c>
      <c r="Q2577" s="1" t="str">
        <f t="shared" si="727"/>
        <v/>
      </c>
      <c r="R2577" s="1" t="str">
        <f t="shared" si="731"/>
        <v/>
      </c>
      <c r="S2577" s="1">
        <f t="shared" si="732"/>
        <v>630.90240000000244</v>
      </c>
      <c r="T2577" s="1">
        <f t="shared" si="733"/>
        <v>0</v>
      </c>
      <c r="U2577" s="1">
        <f t="shared" si="734"/>
        <v>0</v>
      </c>
      <c r="V2577" s="1">
        <f t="shared" si="735"/>
        <v>0</v>
      </c>
    </row>
    <row r="2578" spans="5:22" x14ac:dyDescent="0.25">
      <c r="E2578" s="4"/>
      <c r="M2578" s="4">
        <f t="shared" si="728"/>
        <v>173.1</v>
      </c>
      <c r="N2578" s="4"/>
      <c r="O2578" s="1">
        <f t="shared" si="729"/>
        <v>173.1</v>
      </c>
      <c r="P2578" s="1">
        <f t="shared" si="730"/>
        <v>0</v>
      </c>
      <c r="Q2578" s="1" t="str">
        <f t="shared" si="727"/>
        <v/>
      </c>
      <c r="R2578" s="1" t="str">
        <f t="shared" si="731"/>
        <v/>
      </c>
      <c r="S2578" s="1">
        <f t="shared" si="732"/>
        <v>630.90240000000244</v>
      </c>
      <c r="T2578" s="1">
        <f t="shared" si="733"/>
        <v>0</v>
      </c>
      <c r="U2578" s="1">
        <f t="shared" si="734"/>
        <v>0</v>
      </c>
      <c r="V2578" s="1">
        <f t="shared" si="735"/>
        <v>0</v>
      </c>
    </row>
    <row r="2579" spans="5:22" x14ac:dyDescent="0.25">
      <c r="E2579" s="4"/>
      <c r="M2579" s="4">
        <f t="shared" si="728"/>
        <v>173.1</v>
      </c>
      <c r="N2579" s="4"/>
      <c r="O2579" s="1">
        <f t="shared" si="729"/>
        <v>173.1</v>
      </c>
      <c r="P2579" s="1">
        <f t="shared" si="730"/>
        <v>0</v>
      </c>
      <c r="Q2579" s="1" t="str">
        <f t="shared" si="727"/>
        <v/>
      </c>
      <c r="R2579" s="1" t="str">
        <f t="shared" si="731"/>
        <v/>
      </c>
      <c r="S2579" s="1">
        <f t="shared" si="732"/>
        <v>630.90240000000244</v>
      </c>
      <c r="T2579" s="1">
        <f t="shared" si="733"/>
        <v>0</v>
      </c>
      <c r="U2579" s="1">
        <f t="shared" si="734"/>
        <v>0</v>
      </c>
      <c r="V2579" s="1">
        <f t="shared" si="735"/>
        <v>0</v>
      </c>
    </row>
    <row r="2580" spans="5:22" x14ac:dyDescent="0.25">
      <c r="E2580" s="4"/>
      <c r="M2580" s="4">
        <f t="shared" si="728"/>
        <v>173.1</v>
      </c>
      <c r="N2580" s="4"/>
      <c r="O2580" s="1">
        <f t="shared" si="729"/>
        <v>173.1</v>
      </c>
      <c r="P2580" s="1">
        <f t="shared" si="730"/>
        <v>0</v>
      </c>
      <c r="Q2580" s="1" t="str">
        <f t="shared" si="727"/>
        <v/>
      </c>
      <c r="R2580" s="1" t="str">
        <f t="shared" si="731"/>
        <v/>
      </c>
      <c r="S2580" s="1">
        <f t="shared" si="732"/>
        <v>630.90240000000244</v>
      </c>
      <c r="T2580" s="1">
        <f t="shared" si="733"/>
        <v>0</v>
      </c>
      <c r="U2580" s="1">
        <f t="shared" si="734"/>
        <v>0</v>
      </c>
      <c r="V2580" s="1">
        <f t="shared" si="735"/>
        <v>0</v>
      </c>
    </row>
    <row r="2581" spans="5:22" x14ac:dyDescent="0.25">
      <c r="E2581" s="4"/>
      <c r="M2581" s="4">
        <f t="shared" si="728"/>
        <v>173.1</v>
      </c>
      <c r="N2581" s="4"/>
      <c r="O2581" s="1">
        <f t="shared" si="729"/>
        <v>173.1</v>
      </c>
      <c r="P2581" s="1">
        <f t="shared" si="730"/>
        <v>0</v>
      </c>
      <c r="Q2581" s="1" t="str">
        <f t="shared" si="727"/>
        <v/>
      </c>
      <c r="R2581" s="1" t="str">
        <f t="shared" si="731"/>
        <v/>
      </c>
      <c r="S2581" s="1">
        <f t="shared" si="732"/>
        <v>630.90240000000244</v>
      </c>
      <c r="T2581" s="1">
        <f t="shared" si="733"/>
        <v>0</v>
      </c>
      <c r="U2581" s="1">
        <f t="shared" si="734"/>
        <v>0</v>
      </c>
      <c r="V2581" s="1">
        <f t="shared" si="735"/>
        <v>0</v>
      </c>
    </row>
    <row r="2582" spans="5:22" x14ac:dyDescent="0.25">
      <c r="E2582" s="4"/>
      <c r="M2582" s="4">
        <f t="shared" si="728"/>
        <v>173.1</v>
      </c>
      <c r="N2582" s="4"/>
      <c r="O2582" s="1">
        <f t="shared" si="729"/>
        <v>173.1</v>
      </c>
      <c r="P2582" s="1">
        <f t="shared" si="730"/>
        <v>0</v>
      </c>
      <c r="Q2582" s="1" t="str">
        <f t="shared" si="727"/>
        <v/>
      </c>
      <c r="R2582" s="1" t="str">
        <f t="shared" si="731"/>
        <v/>
      </c>
      <c r="S2582" s="1">
        <f t="shared" si="732"/>
        <v>630.90240000000244</v>
      </c>
      <c r="T2582" s="1">
        <f t="shared" si="733"/>
        <v>0</v>
      </c>
      <c r="U2582" s="1">
        <f t="shared" si="734"/>
        <v>0</v>
      </c>
      <c r="V2582" s="1">
        <f t="shared" si="735"/>
        <v>0</v>
      </c>
    </row>
    <row r="2583" spans="5:22" x14ac:dyDescent="0.25">
      <c r="E2583" s="4"/>
      <c r="M2583" s="4">
        <f t="shared" si="728"/>
        <v>173.1</v>
      </c>
      <c r="N2583" s="4"/>
      <c r="O2583" s="1">
        <f t="shared" si="729"/>
        <v>173.1</v>
      </c>
      <c r="P2583" s="1">
        <f t="shared" si="730"/>
        <v>0</v>
      </c>
      <c r="Q2583" s="1" t="str">
        <f t="shared" si="727"/>
        <v/>
      </c>
      <c r="R2583" s="1" t="str">
        <f t="shared" si="731"/>
        <v/>
      </c>
      <c r="S2583" s="1">
        <f t="shared" si="732"/>
        <v>630.90240000000244</v>
      </c>
      <c r="T2583" s="1">
        <f t="shared" si="733"/>
        <v>0</v>
      </c>
      <c r="U2583" s="1">
        <f t="shared" si="734"/>
        <v>0</v>
      </c>
      <c r="V2583" s="1">
        <f t="shared" si="735"/>
        <v>0</v>
      </c>
    </row>
    <row r="2584" spans="5:22" x14ac:dyDescent="0.25">
      <c r="E2584" s="4"/>
      <c r="M2584" s="4">
        <f t="shared" si="728"/>
        <v>173.1</v>
      </c>
      <c r="N2584" s="4"/>
      <c r="O2584" s="1">
        <f t="shared" si="729"/>
        <v>173.1</v>
      </c>
      <c r="P2584" s="1">
        <f t="shared" si="730"/>
        <v>0</v>
      </c>
      <c r="Q2584" s="1" t="str">
        <f t="shared" si="727"/>
        <v/>
      </c>
      <c r="R2584" s="1" t="str">
        <f t="shared" si="731"/>
        <v/>
      </c>
      <c r="S2584" s="1">
        <f t="shared" si="732"/>
        <v>630.90240000000244</v>
      </c>
      <c r="T2584" s="1">
        <f t="shared" si="733"/>
        <v>0</v>
      </c>
      <c r="U2584" s="1">
        <f t="shared" si="734"/>
        <v>0</v>
      </c>
      <c r="V2584" s="1">
        <f t="shared" si="735"/>
        <v>0</v>
      </c>
    </row>
    <row r="2585" spans="5:22" x14ac:dyDescent="0.25">
      <c r="E2585" s="4"/>
      <c r="M2585" s="4">
        <f t="shared" si="728"/>
        <v>173.1</v>
      </c>
      <c r="N2585" s="4"/>
      <c r="O2585" s="1">
        <f t="shared" si="729"/>
        <v>173.1</v>
      </c>
      <c r="P2585" s="1">
        <f t="shared" si="730"/>
        <v>0</v>
      </c>
      <c r="Q2585" s="1" t="str">
        <f t="shared" si="727"/>
        <v/>
      </c>
      <c r="R2585" s="1" t="str">
        <f t="shared" si="731"/>
        <v/>
      </c>
      <c r="S2585" s="1">
        <f t="shared" si="732"/>
        <v>630.90240000000244</v>
      </c>
      <c r="T2585" s="1">
        <f t="shared" si="733"/>
        <v>0</v>
      </c>
      <c r="U2585" s="1">
        <f t="shared" si="734"/>
        <v>0</v>
      </c>
      <c r="V2585" s="1">
        <f t="shared" si="735"/>
        <v>0</v>
      </c>
    </row>
    <row r="2586" spans="5:22" x14ac:dyDescent="0.25">
      <c r="E2586" s="4"/>
      <c r="M2586" s="4">
        <f t="shared" si="728"/>
        <v>173.1</v>
      </c>
      <c r="N2586" s="4"/>
      <c r="O2586" s="1">
        <f t="shared" si="729"/>
        <v>173.1</v>
      </c>
      <c r="P2586" s="1">
        <f t="shared" si="730"/>
        <v>0</v>
      </c>
      <c r="Q2586" s="1" t="str">
        <f t="shared" si="727"/>
        <v/>
      </c>
      <c r="R2586" s="1" t="str">
        <f t="shared" si="731"/>
        <v/>
      </c>
      <c r="S2586" s="1">
        <f t="shared" si="732"/>
        <v>630.90240000000244</v>
      </c>
      <c r="T2586" s="1">
        <f t="shared" si="733"/>
        <v>0</v>
      </c>
      <c r="U2586" s="1">
        <f t="shared" si="734"/>
        <v>0</v>
      </c>
      <c r="V2586" s="1">
        <f t="shared" si="735"/>
        <v>0</v>
      </c>
    </row>
    <row r="2587" spans="5:22" x14ac:dyDescent="0.25">
      <c r="E2587" s="4"/>
      <c r="M2587" s="4">
        <f t="shared" si="728"/>
        <v>173.1</v>
      </c>
      <c r="N2587" s="4"/>
      <c r="O2587" s="1">
        <f t="shared" si="729"/>
        <v>173.1</v>
      </c>
      <c r="P2587" s="1">
        <f t="shared" si="730"/>
        <v>0</v>
      </c>
      <c r="Q2587" s="1" t="str">
        <f t="shared" si="727"/>
        <v/>
      </c>
      <c r="R2587" s="1" t="str">
        <f t="shared" si="731"/>
        <v/>
      </c>
      <c r="S2587" s="1">
        <f t="shared" si="732"/>
        <v>630.90240000000244</v>
      </c>
      <c r="T2587" s="1">
        <f t="shared" si="733"/>
        <v>0</v>
      </c>
      <c r="U2587" s="1">
        <f t="shared" si="734"/>
        <v>0</v>
      </c>
      <c r="V2587" s="1">
        <f t="shared" si="735"/>
        <v>0</v>
      </c>
    </row>
    <row r="2588" spans="5:22" x14ac:dyDescent="0.25">
      <c r="E2588" s="4"/>
      <c r="M2588" s="4">
        <f t="shared" si="728"/>
        <v>173.1</v>
      </c>
      <c r="N2588" s="4"/>
      <c r="O2588" s="1">
        <f t="shared" si="729"/>
        <v>173.1</v>
      </c>
      <c r="P2588" s="1">
        <f t="shared" si="730"/>
        <v>0</v>
      </c>
      <c r="Q2588" s="1" t="str">
        <f t="shared" si="727"/>
        <v/>
      </c>
      <c r="R2588" s="1" t="str">
        <f t="shared" si="731"/>
        <v/>
      </c>
      <c r="S2588" s="1">
        <f t="shared" si="732"/>
        <v>630.90240000000244</v>
      </c>
      <c r="T2588" s="1">
        <f t="shared" si="733"/>
        <v>0</v>
      </c>
      <c r="U2588" s="1">
        <f t="shared" si="734"/>
        <v>0</v>
      </c>
      <c r="V2588" s="1">
        <f t="shared" si="735"/>
        <v>0</v>
      </c>
    </row>
    <row r="2589" spans="5:22" x14ac:dyDescent="0.25">
      <c r="E2589" s="4"/>
      <c r="M2589" s="4">
        <f t="shared" si="728"/>
        <v>173.1</v>
      </c>
      <c r="N2589" s="4"/>
      <c r="O2589" s="1">
        <f t="shared" si="729"/>
        <v>173.1</v>
      </c>
      <c r="P2589" s="1">
        <f t="shared" si="730"/>
        <v>0</v>
      </c>
      <c r="Q2589" s="1" t="str">
        <f t="shared" si="727"/>
        <v/>
      </c>
      <c r="R2589" s="1" t="str">
        <f t="shared" si="731"/>
        <v/>
      </c>
      <c r="S2589" s="1">
        <f t="shared" si="732"/>
        <v>630.90240000000244</v>
      </c>
      <c r="T2589" s="1">
        <f t="shared" si="733"/>
        <v>0</v>
      </c>
      <c r="U2589" s="1">
        <f t="shared" si="734"/>
        <v>0</v>
      </c>
      <c r="V2589" s="1">
        <f t="shared" si="735"/>
        <v>0</v>
      </c>
    </row>
    <row r="2590" spans="5:22" x14ac:dyDescent="0.25">
      <c r="E2590" s="4"/>
      <c r="M2590" s="4">
        <f t="shared" si="728"/>
        <v>173.1</v>
      </c>
      <c r="N2590" s="4"/>
      <c r="O2590" s="1">
        <f t="shared" si="729"/>
        <v>173.1</v>
      </c>
      <c r="P2590" s="1">
        <f t="shared" si="730"/>
        <v>0</v>
      </c>
      <c r="Q2590" s="1" t="str">
        <f t="shared" si="727"/>
        <v/>
      </c>
      <c r="R2590" s="1" t="str">
        <f t="shared" si="731"/>
        <v/>
      </c>
      <c r="S2590" s="1">
        <f t="shared" si="732"/>
        <v>630.90240000000244</v>
      </c>
      <c r="T2590" s="1">
        <f t="shared" si="733"/>
        <v>0</v>
      </c>
      <c r="U2590" s="1">
        <f t="shared" si="734"/>
        <v>0</v>
      </c>
      <c r="V2590" s="1">
        <f t="shared" si="735"/>
        <v>0</v>
      </c>
    </row>
    <row r="2591" spans="5:22" x14ac:dyDescent="0.25">
      <c r="E2591" s="4"/>
      <c r="M2591" s="4">
        <f t="shared" si="728"/>
        <v>173.1</v>
      </c>
      <c r="N2591" s="4"/>
      <c r="O2591" s="1">
        <f t="shared" si="729"/>
        <v>173.1</v>
      </c>
      <c r="P2591" s="1">
        <f t="shared" si="730"/>
        <v>0</v>
      </c>
      <c r="Q2591" s="1" t="str">
        <f t="shared" si="727"/>
        <v/>
      </c>
      <c r="R2591" s="1" t="str">
        <f t="shared" si="731"/>
        <v/>
      </c>
      <c r="S2591" s="1">
        <f t="shared" si="732"/>
        <v>630.90240000000244</v>
      </c>
      <c r="T2591" s="1">
        <f t="shared" si="733"/>
        <v>0</v>
      </c>
      <c r="U2591" s="1">
        <f t="shared" si="734"/>
        <v>0</v>
      </c>
      <c r="V2591" s="1">
        <f t="shared" si="735"/>
        <v>0</v>
      </c>
    </row>
    <row r="2592" spans="5:22" x14ac:dyDescent="0.25">
      <c r="E2592" s="4"/>
      <c r="M2592" s="4">
        <f t="shared" si="728"/>
        <v>173.1</v>
      </c>
      <c r="N2592" s="4"/>
      <c r="O2592" s="1">
        <f t="shared" si="729"/>
        <v>173.1</v>
      </c>
      <c r="P2592" s="1">
        <f t="shared" si="730"/>
        <v>0</v>
      </c>
      <c r="Q2592" s="1" t="str">
        <f t="shared" si="727"/>
        <v/>
      </c>
      <c r="R2592" s="1" t="str">
        <f t="shared" si="731"/>
        <v/>
      </c>
      <c r="S2592" s="1">
        <f t="shared" si="732"/>
        <v>630.90240000000244</v>
      </c>
      <c r="T2592" s="1">
        <f t="shared" si="733"/>
        <v>0</v>
      </c>
      <c r="U2592" s="1">
        <f t="shared" si="734"/>
        <v>0</v>
      </c>
      <c r="V2592" s="1">
        <f t="shared" si="735"/>
        <v>0</v>
      </c>
    </row>
    <row r="2593" spans="5:22" x14ac:dyDescent="0.25">
      <c r="E2593" s="4"/>
      <c r="M2593" s="4">
        <f t="shared" si="728"/>
        <v>173.1</v>
      </c>
      <c r="N2593" s="4"/>
      <c r="O2593" s="1">
        <f t="shared" si="729"/>
        <v>173.1</v>
      </c>
      <c r="P2593" s="1">
        <f t="shared" si="730"/>
        <v>0</v>
      </c>
      <c r="Q2593" s="1" t="str">
        <f t="shared" si="727"/>
        <v/>
      </c>
      <c r="R2593" s="1" t="str">
        <f t="shared" si="731"/>
        <v/>
      </c>
      <c r="S2593" s="1">
        <f t="shared" si="732"/>
        <v>630.90240000000244</v>
      </c>
      <c r="T2593" s="1">
        <f t="shared" si="733"/>
        <v>0</v>
      </c>
      <c r="U2593" s="1">
        <f t="shared" si="734"/>
        <v>0</v>
      </c>
      <c r="V2593" s="1">
        <f t="shared" si="735"/>
        <v>0</v>
      </c>
    </row>
    <row r="2594" spans="5:22" x14ac:dyDescent="0.25">
      <c r="E2594" s="4"/>
      <c r="M2594" s="4">
        <f t="shared" si="728"/>
        <v>173.1</v>
      </c>
      <c r="N2594" s="4"/>
      <c r="O2594" s="1">
        <f t="shared" si="729"/>
        <v>173.1</v>
      </c>
      <c r="P2594" s="1">
        <f t="shared" si="730"/>
        <v>0</v>
      </c>
      <c r="Q2594" s="1" t="str">
        <f t="shared" si="727"/>
        <v/>
      </c>
      <c r="R2594" s="1" t="str">
        <f t="shared" si="731"/>
        <v/>
      </c>
      <c r="S2594" s="1">
        <f t="shared" si="732"/>
        <v>630.90240000000244</v>
      </c>
      <c r="T2594" s="1">
        <f t="shared" si="733"/>
        <v>0</v>
      </c>
      <c r="U2594" s="1">
        <f t="shared" si="734"/>
        <v>0</v>
      </c>
      <c r="V2594" s="1">
        <f t="shared" si="735"/>
        <v>0</v>
      </c>
    </row>
    <row r="2595" spans="5:22" x14ac:dyDescent="0.25">
      <c r="E2595" s="4"/>
      <c r="M2595" s="4">
        <f t="shared" si="728"/>
        <v>173.1</v>
      </c>
      <c r="N2595" s="4"/>
      <c r="O2595" s="1">
        <f t="shared" si="729"/>
        <v>173.1</v>
      </c>
      <c r="P2595" s="1">
        <f t="shared" si="730"/>
        <v>0</v>
      </c>
      <c r="Q2595" s="1" t="str">
        <f t="shared" si="727"/>
        <v/>
      </c>
      <c r="R2595" s="1" t="str">
        <f t="shared" si="731"/>
        <v/>
      </c>
      <c r="S2595" s="1">
        <f t="shared" si="732"/>
        <v>630.90240000000244</v>
      </c>
      <c r="T2595" s="1">
        <f t="shared" si="733"/>
        <v>0</v>
      </c>
      <c r="U2595" s="1">
        <f t="shared" si="734"/>
        <v>0</v>
      </c>
      <c r="V2595" s="1">
        <f t="shared" si="735"/>
        <v>0</v>
      </c>
    </row>
    <row r="2596" spans="5:22" x14ac:dyDescent="0.25">
      <c r="E2596" s="4"/>
      <c r="M2596" s="4">
        <f t="shared" si="728"/>
        <v>173.1</v>
      </c>
      <c r="N2596" s="4"/>
      <c r="O2596" s="1">
        <f t="shared" si="729"/>
        <v>173.1</v>
      </c>
      <c r="P2596" s="1">
        <f t="shared" si="730"/>
        <v>0</v>
      </c>
      <c r="Q2596" s="1" t="str">
        <f t="shared" si="727"/>
        <v/>
      </c>
      <c r="R2596" s="1" t="str">
        <f t="shared" si="731"/>
        <v/>
      </c>
      <c r="S2596" s="1">
        <f t="shared" si="732"/>
        <v>630.90240000000244</v>
      </c>
      <c r="T2596" s="1">
        <f t="shared" si="733"/>
        <v>0</v>
      </c>
      <c r="U2596" s="1">
        <f t="shared" si="734"/>
        <v>0</v>
      </c>
      <c r="V2596" s="1">
        <f t="shared" si="735"/>
        <v>0</v>
      </c>
    </row>
    <row r="2597" spans="5:22" x14ac:dyDescent="0.25">
      <c r="E2597" s="4"/>
      <c r="M2597" s="4">
        <f t="shared" si="728"/>
        <v>173.1</v>
      </c>
      <c r="N2597" s="4"/>
      <c r="O2597" s="1">
        <f t="shared" si="729"/>
        <v>173.1</v>
      </c>
      <c r="P2597" s="1">
        <f t="shared" si="730"/>
        <v>0</v>
      </c>
      <c r="Q2597" s="1" t="str">
        <f t="shared" si="727"/>
        <v/>
      </c>
      <c r="R2597" s="1" t="str">
        <f t="shared" si="731"/>
        <v/>
      </c>
      <c r="S2597" s="1">
        <f t="shared" si="732"/>
        <v>630.90240000000244</v>
      </c>
      <c r="T2597" s="1">
        <f t="shared" si="733"/>
        <v>0</v>
      </c>
      <c r="U2597" s="1">
        <f t="shared" si="734"/>
        <v>0</v>
      </c>
      <c r="V2597" s="1">
        <f t="shared" si="735"/>
        <v>0</v>
      </c>
    </row>
    <row r="2598" spans="5:22" x14ac:dyDescent="0.25">
      <c r="E2598" s="4"/>
      <c r="M2598" s="4">
        <f t="shared" si="728"/>
        <v>173.1</v>
      </c>
      <c r="N2598" s="4"/>
      <c r="O2598" s="1">
        <f t="shared" si="729"/>
        <v>173.1</v>
      </c>
      <c r="P2598" s="1">
        <f t="shared" si="730"/>
        <v>0</v>
      </c>
      <c r="Q2598" s="1" t="str">
        <f t="shared" si="727"/>
        <v/>
      </c>
      <c r="R2598" s="1" t="str">
        <f t="shared" si="731"/>
        <v/>
      </c>
      <c r="S2598" s="1">
        <f t="shared" si="732"/>
        <v>630.90240000000244</v>
      </c>
      <c r="T2598" s="1">
        <f t="shared" si="733"/>
        <v>0</v>
      </c>
      <c r="U2598" s="1">
        <f t="shared" si="734"/>
        <v>0</v>
      </c>
      <c r="V2598" s="1">
        <f t="shared" si="735"/>
        <v>0</v>
      </c>
    </row>
    <row r="2599" spans="5:22" x14ac:dyDescent="0.25">
      <c r="E2599" s="4"/>
      <c r="M2599" s="4">
        <f t="shared" si="728"/>
        <v>173.1</v>
      </c>
      <c r="N2599" s="4"/>
      <c r="O2599" s="1">
        <f t="shared" si="729"/>
        <v>173.1</v>
      </c>
      <c r="P2599" s="1">
        <f t="shared" si="730"/>
        <v>0</v>
      </c>
      <c r="Q2599" s="1" t="str">
        <f t="shared" si="727"/>
        <v/>
      </c>
      <c r="R2599" s="1" t="str">
        <f t="shared" si="731"/>
        <v/>
      </c>
      <c r="S2599" s="1">
        <f t="shared" si="732"/>
        <v>630.90240000000244</v>
      </c>
      <c r="T2599" s="1">
        <f t="shared" si="733"/>
        <v>0</v>
      </c>
      <c r="U2599" s="1">
        <f t="shared" si="734"/>
        <v>0</v>
      </c>
      <c r="V2599" s="1">
        <f t="shared" si="735"/>
        <v>0</v>
      </c>
    </row>
    <row r="2600" spans="5:22" x14ac:dyDescent="0.25">
      <c r="E2600" s="4"/>
      <c r="M2600" s="4">
        <f t="shared" si="728"/>
        <v>173.1</v>
      </c>
      <c r="N2600" s="4"/>
      <c r="O2600" s="1">
        <f t="shared" si="729"/>
        <v>173.1</v>
      </c>
      <c r="P2600" s="1">
        <f t="shared" si="730"/>
        <v>0</v>
      </c>
      <c r="Q2600" s="1" t="str">
        <f t="shared" si="727"/>
        <v/>
      </c>
      <c r="R2600" s="1" t="str">
        <f t="shared" si="731"/>
        <v/>
      </c>
      <c r="S2600" s="1">
        <f t="shared" si="732"/>
        <v>630.90240000000244</v>
      </c>
      <c r="T2600" s="1">
        <f t="shared" si="733"/>
        <v>0</v>
      </c>
      <c r="U2600" s="1">
        <f t="shared" si="734"/>
        <v>0</v>
      </c>
      <c r="V2600" s="1">
        <f t="shared" si="735"/>
        <v>0</v>
      </c>
    </row>
    <row r="2601" spans="5:22" x14ac:dyDescent="0.25">
      <c r="E2601" s="4"/>
      <c r="M2601" s="4">
        <f t="shared" si="728"/>
        <v>173.1</v>
      </c>
      <c r="N2601" s="4"/>
      <c r="O2601" s="1">
        <f t="shared" si="729"/>
        <v>173.1</v>
      </c>
      <c r="P2601" s="1">
        <f t="shared" si="730"/>
        <v>0</v>
      </c>
      <c r="Q2601" s="1" t="str">
        <f t="shared" si="727"/>
        <v/>
      </c>
      <c r="R2601" s="1" t="str">
        <f t="shared" si="731"/>
        <v/>
      </c>
      <c r="S2601" s="1">
        <f t="shared" si="732"/>
        <v>630.90240000000244</v>
      </c>
      <c r="T2601" s="1">
        <f t="shared" si="733"/>
        <v>0</v>
      </c>
      <c r="U2601" s="1">
        <f t="shared" si="734"/>
        <v>0</v>
      </c>
      <c r="V2601" s="1">
        <f t="shared" si="735"/>
        <v>0</v>
      </c>
    </row>
    <row r="2602" spans="5:22" x14ac:dyDescent="0.25">
      <c r="E2602" s="4"/>
      <c r="M2602" s="4">
        <f t="shared" si="728"/>
        <v>173.1</v>
      </c>
      <c r="N2602" s="4"/>
      <c r="O2602" s="1">
        <f t="shared" si="729"/>
        <v>173.1</v>
      </c>
      <c r="P2602" s="1">
        <f t="shared" si="730"/>
        <v>0</v>
      </c>
      <c r="Q2602" s="1" t="str">
        <f t="shared" si="727"/>
        <v/>
      </c>
      <c r="R2602" s="1" t="str">
        <f t="shared" si="731"/>
        <v/>
      </c>
      <c r="S2602" s="1">
        <f t="shared" si="732"/>
        <v>630.90240000000244</v>
      </c>
      <c r="T2602" s="1">
        <f t="shared" si="733"/>
        <v>0</v>
      </c>
      <c r="U2602" s="1">
        <f t="shared" si="734"/>
        <v>0</v>
      </c>
      <c r="V2602" s="1">
        <f t="shared" si="735"/>
        <v>0</v>
      </c>
    </row>
    <row r="2603" spans="5:22" x14ac:dyDescent="0.25">
      <c r="E2603" s="4"/>
      <c r="M2603" s="4">
        <f t="shared" si="728"/>
        <v>173.1</v>
      </c>
      <c r="N2603" s="4"/>
      <c r="O2603" s="1">
        <f t="shared" si="729"/>
        <v>173.1</v>
      </c>
      <c r="P2603" s="1">
        <f t="shared" si="730"/>
        <v>0</v>
      </c>
      <c r="Q2603" s="1" t="str">
        <f t="shared" si="727"/>
        <v/>
      </c>
      <c r="R2603" s="1" t="str">
        <f t="shared" si="731"/>
        <v/>
      </c>
      <c r="S2603" s="1">
        <f t="shared" si="732"/>
        <v>630.90240000000244</v>
      </c>
      <c r="T2603" s="1">
        <f t="shared" si="733"/>
        <v>0</v>
      </c>
      <c r="U2603" s="1">
        <f t="shared" si="734"/>
        <v>0</v>
      </c>
      <c r="V2603" s="1">
        <f t="shared" si="735"/>
        <v>0</v>
      </c>
    </row>
    <row r="2604" spans="5:22" x14ac:dyDescent="0.25">
      <c r="E2604" s="4"/>
      <c r="M2604" s="4">
        <f t="shared" si="728"/>
        <v>173.1</v>
      </c>
      <c r="N2604" s="4"/>
      <c r="O2604" s="1">
        <f t="shared" si="729"/>
        <v>173.1</v>
      </c>
      <c r="P2604" s="1">
        <f t="shared" si="730"/>
        <v>0</v>
      </c>
      <c r="Q2604" s="1" t="str">
        <f t="shared" si="727"/>
        <v/>
      </c>
      <c r="R2604" s="1" t="str">
        <f t="shared" si="731"/>
        <v/>
      </c>
      <c r="S2604" s="1">
        <f t="shared" si="732"/>
        <v>630.90240000000244</v>
      </c>
      <c r="T2604" s="1">
        <f t="shared" si="733"/>
        <v>0</v>
      </c>
      <c r="U2604" s="1">
        <f t="shared" si="734"/>
        <v>0</v>
      </c>
      <c r="V2604" s="1">
        <f t="shared" si="735"/>
        <v>0</v>
      </c>
    </row>
    <row r="2605" spans="5:22" x14ac:dyDescent="0.25">
      <c r="E2605" s="4"/>
      <c r="M2605" s="4">
        <f t="shared" si="728"/>
        <v>173.1</v>
      </c>
      <c r="N2605" s="4"/>
      <c r="O2605" s="1">
        <f t="shared" si="729"/>
        <v>173.1</v>
      </c>
      <c r="P2605" s="1">
        <f t="shared" si="730"/>
        <v>0</v>
      </c>
      <c r="Q2605" s="1" t="str">
        <f t="shared" si="727"/>
        <v/>
      </c>
      <c r="R2605" s="1" t="str">
        <f t="shared" si="731"/>
        <v/>
      </c>
      <c r="S2605" s="1">
        <f t="shared" si="732"/>
        <v>630.90240000000244</v>
      </c>
      <c r="T2605" s="1">
        <f t="shared" si="733"/>
        <v>0</v>
      </c>
      <c r="U2605" s="1">
        <f t="shared" si="734"/>
        <v>0</v>
      </c>
      <c r="V2605" s="1">
        <f t="shared" si="735"/>
        <v>0</v>
      </c>
    </row>
    <row r="2606" spans="5:22" x14ac:dyDescent="0.25">
      <c r="E2606" s="4"/>
      <c r="M2606" s="4">
        <f t="shared" si="728"/>
        <v>173.1</v>
      </c>
      <c r="N2606" s="4"/>
      <c r="O2606" s="1">
        <f t="shared" si="729"/>
        <v>173.1</v>
      </c>
      <c r="P2606" s="1">
        <f t="shared" si="730"/>
        <v>0</v>
      </c>
      <c r="Q2606" s="1" t="str">
        <f t="shared" si="727"/>
        <v/>
      </c>
      <c r="R2606" s="1" t="str">
        <f t="shared" si="731"/>
        <v/>
      </c>
      <c r="S2606" s="1">
        <f t="shared" si="732"/>
        <v>630.90240000000244</v>
      </c>
      <c r="T2606" s="1">
        <f t="shared" si="733"/>
        <v>0</v>
      </c>
      <c r="U2606" s="1">
        <f t="shared" si="734"/>
        <v>0</v>
      </c>
      <c r="V2606" s="1">
        <f t="shared" si="735"/>
        <v>0</v>
      </c>
    </row>
    <row r="2607" spans="5:22" x14ac:dyDescent="0.25">
      <c r="E2607" s="4"/>
      <c r="M2607" s="4">
        <f t="shared" si="728"/>
        <v>173.1</v>
      </c>
      <c r="N2607" s="4"/>
      <c r="O2607" s="1">
        <f t="shared" si="729"/>
        <v>173.1</v>
      </c>
      <c r="P2607" s="1">
        <f t="shared" si="730"/>
        <v>0</v>
      </c>
      <c r="Q2607" s="1" t="str">
        <f t="shared" si="727"/>
        <v/>
      </c>
      <c r="R2607" s="1" t="str">
        <f t="shared" si="731"/>
        <v/>
      </c>
      <c r="S2607" s="1">
        <f t="shared" si="732"/>
        <v>630.90240000000244</v>
      </c>
      <c r="T2607" s="1">
        <f t="shared" si="733"/>
        <v>0</v>
      </c>
      <c r="U2607" s="1">
        <f t="shared" si="734"/>
        <v>0</v>
      </c>
      <c r="V2607" s="1">
        <f t="shared" si="735"/>
        <v>0</v>
      </c>
    </row>
    <row r="2608" spans="5:22" x14ac:dyDescent="0.25">
      <c r="E2608" s="4"/>
      <c r="M2608" s="4">
        <f t="shared" si="728"/>
        <v>173.1</v>
      </c>
      <c r="N2608" s="4"/>
      <c r="O2608" s="1">
        <f t="shared" si="729"/>
        <v>173.1</v>
      </c>
      <c r="P2608" s="1">
        <f t="shared" si="730"/>
        <v>0</v>
      </c>
      <c r="Q2608" s="1" t="str">
        <f t="shared" si="727"/>
        <v/>
      </c>
      <c r="R2608" s="1" t="str">
        <f t="shared" si="731"/>
        <v/>
      </c>
      <c r="S2608" s="1">
        <f t="shared" si="732"/>
        <v>630.90240000000244</v>
      </c>
      <c r="T2608" s="1">
        <f t="shared" si="733"/>
        <v>0</v>
      </c>
      <c r="U2608" s="1">
        <f t="shared" si="734"/>
        <v>0</v>
      </c>
      <c r="V2608" s="1">
        <f t="shared" si="735"/>
        <v>0</v>
      </c>
    </row>
    <row r="2609" spans="5:22" x14ac:dyDescent="0.25">
      <c r="E2609" s="4"/>
      <c r="M2609" s="4">
        <f t="shared" si="728"/>
        <v>173.1</v>
      </c>
      <c r="N2609" s="4"/>
      <c r="O2609" s="1">
        <f t="shared" si="729"/>
        <v>173.1</v>
      </c>
      <c r="P2609" s="1">
        <f t="shared" si="730"/>
        <v>0</v>
      </c>
      <c r="Q2609" s="1" t="str">
        <f t="shared" si="727"/>
        <v/>
      </c>
      <c r="R2609" s="1" t="str">
        <f t="shared" si="731"/>
        <v/>
      </c>
      <c r="S2609" s="1">
        <f t="shared" si="732"/>
        <v>630.90240000000244</v>
      </c>
      <c r="T2609" s="1">
        <f t="shared" si="733"/>
        <v>0</v>
      </c>
      <c r="U2609" s="1">
        <f t="shared" si="734"/>
        <v>0</v>
      </c>
      <c r="V2609" s="1">
        <f t="shared" si="735"/>
        <v>0</v>
      </c>
    </row>
    <row r="2610" spans="5:22" x14ac:dyDescent="0.25">
      <c r="E2610" s="4"/>
      <c r="M2610" s="4">
        <f t="shared" si="728"/>
        <v>173.1</v>
      </c>
      <c r="N2610" s="4"/>
      <c r="O2610" s="1">
        <f t="shared" si="729"/>
        <v>173.1</v>
      </c>
      <c r="P2610" s="1">
        <f t="shared" si="730"/>
        <v>0</v>
      </c>
      <c r="Q2610" s="1" t="str">
        <f t="shared" ref="Q2610:Q2673" si="736">IF(H2610&lt;&gt;"",IF(H2610=H2609,"",H2610),IF(H2608="","",MAX(H2609,Q2609)))</f>
        <v/>
      </c>
      <c r="R2610" s="1" t="str">
        <f t="shared" si="731"/>
        <v/>
      </c>
      <c r="S2610" s="1">
        <f t="shared" si="732"/>
        <v>630.90240000000244</v>
      </c>
      <c r="T2610" s="1">
        <f t="shared" si="733"/>
        <v>0</v>
      </c>
      <c r="U2610" s="1">
        <f t="shared" si="734"/>
        <v>0</v>
      </c>
      <c r="V2610" s="1">
        <f t="shared" si="735"/>
        <v>0</v>
      </c>
    </row>
    <row r="2611" spans="5:22" x14ac:dyDescent="0.25">
      <c r="E2611" s="4"/>
      <c r="M2611" s="4">
        <f t="shared" si="728"/>
        <v>173.1</v>
      </c>
      <c r="N2611" s="4"/>
      <c r="O2611" s="1">
        <f t="shared" si="729"/>
        <v>173.1</v>
      </c>
      <c r="P2611" s="1">
        <f t="shared" si="730"/>
        <v>0</v>
      </c>
      <c r="Q2611" s="1" t="str">
        <f t="shared" si="736"/>
        <v/>
      </c>
      <c r="R2611" s="1" t="str">
        <f t="shared" si="731"/>
        <v/>
      </c>
      <c r="S2611" s="1">
        <f t="shared" si="732"/>
        <v>630.90240000000244</v>
      </c>
      <c r="T2611" s="1">
        <f t="shared" si="733"/>
        <v>0</v>
      </c>
      <c r="U2611" s="1">
        <f t="shared" si="734"/>
        <v>0</v>
      </c>
      <c r="V2611" s="1">
        <f t="shared" si="735"/>
        <v>0</v>
      </c>
    </row>
    <row r="2612" spans="5:22" x14ac:dyDescent="0.25">
      <c r="E2612" s="4"/>
      <c r="M2612" s="4">
        <f t="shared" si="728"/>
        <v>173.1</v>
      </c>
      <c r="N2612" s="4"/>
      <c r="O2612" s="1">
        <f t="shared" si="729"/>
        <v>173.1</v>
      </c>
      <c r="P2612" s="1">
        <f t="shared" si="730"/>
        <v>0</v>
      </c>
      <c r="Q2612" s="1" t="str">
        <f t="shared" si="736"/>
        <v/>
      </c>
      <c r="R2612" s="1" t="str">
        <f t="shared" si="731"/>
        <v/>
      </c>
      <c r="S2612" s="1">
        <f t="shared" si="732"/>
        <v>630.90240000000244</v>
      </c>
      <c r="T2612" s="1">
        <f t="shared" si="733"/>
        <v>0</v>
      </c>
      <c r="U2612" s="1">
        <f t="shared" si="734"/>
        <v>0</v>
      </c>
      <c r="V2612" s="1">
        <f t="shared" si="735"/>
        <v>0</v>
      </c>
    </row>
    <row r="2613" spans="5:22" x14ac:dyDescent="0.25">
      <c r="E2613" s="4"/>
      <c r="M2613" s="4">
        <f t="shared" si="728"/>
        <v>173.1</v>
      </c>
      <c r="N2613" s="4"/>
      <c r="O2613" s="1">
        <f t="shared" si="729"/>
        <v>173.1</v>
      </c>
      <c r="P2613" s="1">
        <f t="shared" si="730"/>
        <v>0</v>
      </c>
      <c r="Q2613" s="1" t="str">
        <f t="shared" si="736"/>
        <v/>
      </c>
      <c r="R2613" s="1" t="str">
        <f t="shared" si="731"/>
        <v/>
      </c>
      <c r="S2613" s="1">
        <f t="shared" si="732"/>
        <v>630.90240000000244</v>
      </c>
      <c r="T2613" s="1">
        <f t="shared" si="733"/>
        <v>0</v>
      </c>
      <c r="U2613" s="1">
        <f t="shared" si="734"/>
        <v>0</v>
      </c>
      <c r="V2613" s="1">
        <f t="shared" si="735"/>
        <v>0</v>
      </c>
    </row>
    <row r="2614" spans="5:22" x14ac:dyDescent="0.25">
      <c r="E2614" s="4"/>
      <c r="M2614" s="4">
        <f t="shared" si="728"/>
        <v>173.1</v>
      </c>
      <c r="N2614" s="4"/>
      <c r="O2614" s="1">
        <f t="shared" si="729"/>
        <v>173.1</v>
      </c>
      <c r="P2614" s="1">
        <f t="shared" si="730"/>
        <v>0</v>
      </c>
      <c r="Q2614" s="1" t="str">
        <f t="shared" si="736"/>
        <v/>
      </c>
      <c r="R2614" s="1" t="str">
        <f t="shared" si="731"/>
        <v/>
      </c>
      <c r="S2614" s="1">
        <f t="shared" si="732"/>
        <v>630.90240000000244</v>
      </c>
      <c r="T2614" s="1">
        <f t="shared" si="733"/>
        <v>0</v>
      </c>
      <c r="U2614" s="1">
        <f t="shared" si="734"/>
        <v>0</v>
      </c>
      <c r="V2614" s="1">
        <f t="shared" si="735"/>
        <v>0</v>
      </c>
    </row>
    <row r="2615" spans="5:22" x14ac:dyDescent="0.25">
      <c r="E2615" s="4"/>
      <c r="M2615" s="4">
        <f t="shared" si="728"/>
        <v>173.1</v>
      </c>
      <c r="N2615" s="4"/>
      <c r="O2615" s="1">
        <f t="shared" si="729"/>
        <v>173.1</v>
      </c>
      <c r="P2615" s="1">
        <f t="shared" si="730"/>
        <v>0</v>
      </c>
      <c r="Q2615" s="1" t="str">
        <f t="shared" si="736"/>
        <v/>
      </c>
      <c r="R2615" s="1" t="str">
        <f t="shared" si="731"/>
        <v/>
      </c>
      <c r="S2615" s="1">
        <f t="shared" si="732"/>
        <v>630.90240000000244</v>
      </c>
      <c r="T2615" s="1">
        <f t="shared" si="733"/>
        <v>0</v>
      </c>
      <c r="U2615" s="1">
        <f t="shared" si="734"/>
        <v>0</v>
      </c>
      <c r="V2615" s="1">
        <f t="shared" si="735"/>
        <v>0</v>
      </c>
    </row>
    <row r="2616" spans="5:22" x14ac:dyDescent="0.25">
      <c r="E2616" s="4"/>
      <c r="M2616" s="4">
        <f t="shared" si="728"/>
        <v>173.1</v>
      </c>
      <c r="N2616" s="4"/>
      <c r="O2616" s="1">
        <f t="shared" si="729"/>
        <v>173.1</v>
      </c>
      <c r="P2616" s="1">
        <f t="shared" si="730"/>
        <v>0</v>
      </c>
      <c r="Q2616" s="1" t="str">
        <f t="shared" si="736"/>
        <v/>
      </c>
      <c r="R2616" s="1" t="str">
        <f t="shared" si="731"/>
        <v/>
      </c>
      <c r="S2616" s="1">
        <f t="shared" si="732"/>
        <v>630.90240000000244</v>
      </c>
      <c r="T2616" s="1">
        <f t="shared" si="733"/>
        <v>0</v>
      </c>
      <c r="U2616" s="1">
        <f t="shared" si="734"/>
        <v>0</v>
      </c>
      <c r="V2616" s="1">
        <f t="shared" si="735"/>
        <v>0</v>
      </c>
    </row>
    <row r="2617" spans="5:22" x14ac:dyDescent="0.25">
      <c r="E2617" s="4"/>
      <c r="M2617" s="4">
        <f t="shared" si="728"/>
        <v>173.1</v>
      </c>
      <c r="N2617" s="4"/>
      <c r="O2617" s="1">
        <f t="shared" si="729"/>
        <v>173.1</v>
      </c>
      <c r="P2617" s="1">
        <f t="shared" si="730"/>
        <v>0</v>
      </c>
      <c r="Q2617" s="1" t="str">
        <f t="shared" si="736"/>
        <v/>
      </c>
      <c r="R2617" s="1" t="str">
        <f t="shared" si="731"/>
        <v/>
      </c>
      <c r="S2617" s="1">
        <f t="shared" si="732"/>
        <v>630.90240000000244</v>
      </c>
      <c r="T2617" s="1">
        <f t="shared" si="733"/>
        <v>0</v>
      </c>
      <c r="U2617" s="1">
        <f t="shared" si="734"/>
        <v>0</v>
      </c>
      <c r="V2617" s="1">
        <f t="shared" si="735"/>
        <v>0</v>
      </c>
    </row>
    <row r="2618" spans="5:22" x14ac:dyDescent="0.25">
      <c r="E2618" s="4"/>
      <c r="M2618" s="4">
        <f t="shared" si="728"/>
        <v>173.1</v>
      </c>
      <c r="N2618" s="4"/>
      <c r="O2618" s="1">
        <f t="shared" si="729"/>
        <v>173.1</v>
      </c>
      <c r="P2618" s="1">
        <f t="shared" si="730"/>
        <v>0</v>
      </c>
      <c r="Q2618" s="1" t="str">
        <f t="shared" si="736"/>
        <v/>
      </c>
      <c r="R2618" s="1" t="str">
        <f t="shared" si="731"/>
        <v/>
      </c>
      <c r="S2618" s="1">
        <f t="shared" si="732"/>
        <v>630.90240000000244</v>
      </c>
      <c r="T2618" s="1">
        <f t="shared" si="733"/>
        <v>0</v>
      </c>
      <c r="U2618" s="1">
        <f t="shared" si="734"/>
        <v>0</v>
      </c>
      <c r="V2618" s="1">
        <f t="shared" si="735"/>
        <v>0</v>
      </c>
    </row>
    <row r="2619" spans="5:22" x14ac:dyDescent="0.25">
      <c r="E2619" s="4"/>
      <c r="M2619" s="4">
        <f t="shared" si="728"/>
        <v>173.1</v>
      </c>
      <c r="N2619" s="4"/>
      <c r="O2619" s="1">
        <f t="shared" si="729"/>
        <v>173.1</v>
      </c>
      <c r="P2619" s="1">
        <f t="shared" si="730"/>
        <v>0</v>
      </c>
      <c r="Q2619" s="1" t="str">
        <f t="shared" si="736"/>
        <v/>
      </c>
      <c r="R2619" s="1" t="str">
        <f t="shared" si="731"/>
        <v/>
      </c>
      <c r="S2619" s="1">
        <f t="shared" si="732"/>
        <v>630.90240000000244</v>
      </c>
      <c r="T2619" s="1">
        <f t="shared" si="733"/>
        <v>0</v>
      </c>
      <c r="U2619" s="1">
        <f t="shared" si="734"/>
        <v>0</v>
      </c>
      <c r="V2619" s="1">
        <f t="shared" si="735"/>
        <v>0</v>
      </c>
    </row>
    <row r="2620" spans="5:22" x14ac:dyDescent="0.25">
      <c r="E2620" s="4"/>
      <c r="M2620" s="4">
        <f t="shared" si="728"/>
        <v>173.1</v>
      </c>
      <c r="N2620" s="4"/>
      <c r="O2620" s="1">
        <f t="shared" si="729"/>
        <v>173.1</v>
      </c>
      <c r="P2620" s="1">
        <f t="shared" si="730"/>
        <v>0</v>
      </c>
      <c r="Q2620" s="1" t="str">
        <f t="shared" si="736"/>
        <v/>
      </c>
      <c r="R2620" s="1" t="str">
        <f t="shared" si="731"/>
        <v/>
      </c>
      <c r="S2620" s="1">
        <f t="shared" si="732"/>
        <v>630.90240000000244</v>
      </c>
      <c r="T2620" s="1">
        <f t="shared" si="733"/>
        <v>0</v>
      </c>
      <c r="U2620" s="1">
        <f t="shared" si="734"/>
        <v>0</v>
      </c>
      <c r="V2620" s="1">
        <f t="shared" si="735"/>
        <v>0</v>
      </c>
    </row>
    <row r="2621" spans="5:22" x14ac:dyDescent="0.25">
      <c r="E2621" s="4"/>
      <c r="M2621" s="4">
        <f t="shared" si="728"/>
        <v>173.1</v>
      </c>
      <c r="N2621" s="4"/>
      <c r="O2621" s="1">
        <f t="shared" si="729"/>
        <v>173.1</v>
      </c>
      <c r="P2621" s="1">
        <f t="shared" si="730"/>
        <v>0</v>
      </c>
      <c r="Q2621" s="1" t="str">
        <f t="shared" si="736"/>
        <v/>
      </c>
      <c r="R2621" s="1" t="str">
        <f t="shared" si="731"/>
        <v/>
      </c>
      <c r="S2621" s="1">
        <f t="shared" si="732"/>
        <v>630.90240000000244</v>
      </c>
      <c r="T2621" s="1">
        <f t="shared" si="733"/>
        <v>0</v>
      </c>
      <c r="U2621" s="1">
        <f t="shared" si="734"/>
        <v>0</v>
      </c>
      <c r="V2621" s="1">
        <f t="shared" si="735"/>
        <v>0</v>
      </c>
    </row>
    <row r="2622" spans="5:22" x14ac:dyDescent="0.25">
      <c r="E2622" s="4"/>
      <c r="M2622" s="4">
        <f t="shared" si="728"/>
        <v>173.1</v>
      </c>
      <c r="N2622" s="4"/>
      <c r="O2622" s="1">
        <f t="shared" si="729"/>
        <v>173.1</v>
      </c>
      <c r="P2622" s="1">
        <f t="shared" si="730"/>
        <v>0</v>
      </c>
      <c r="Q2622" s="1" t="str">
        <f t="shared" si="736"/>
        <v/>
      </c>
      <c r="R2622" s="1" t="str">
        <f t="shared" si="731"/>
        <v/>
      </c>
      <c r="S2622" s="1">
        <f t="shared" si="732"/>
        <v>630.90240000000244</v>
      </c>
      <c r="T2622" s="1">
        <f t="shared" si="733"/>
        <v>0</v>
      </c>
      <c r="U2622" s="1">
        <f t="shared" si="734"/>
        <v>0</v>
      </c>
      <c r="V2622" s="1">
        <f t="shared" si="735"/>
        <v>0</v>
      </c>
    </row>
    <row r="2623" spans="5:22" x14ac:dyDescent="0.25">
      <c r="E2623" s="4"/>
      <c r="M2623" s="4">
        <f t="shared" si="728"/>
        <v>173.1</v>
      </c>
      <c r="N2623" s="4"/>
      <c r="O2623" s="1">
        <f t="shared" si="729"/>
        <v>173.1</v>
      </c>
      <c r="P2623" s="1">
        <f t="shared" si="730"/>
        <v>0</v>
      </c>
      <c r="Q2623" s="1" t="str">
        <f t="shared" si="736"/>
        <v/>
      </c>
      <c r="R2623" s="1" t="str">
        <f t="shared" si="731"/>
        <v/>
      </c>
      <c r="S2623" s="1">
        <f t="shared" si="732"/>
        <v>630.90240000000244</v>
      </c>
      <c r="T2623" s="1">
        <f t="shared" si="733"/>
        <v>0</v>
      </c>
      <c r="U2623" s="1">
        <f t="shared" si="734"/>
        <v>0</v>
      </c>
      <c r="V2623" s="1">
        <f t="shared" si="735"/>
        <v>0</v>
      </c>
    </row>
    <row r="2624" spans="5:22" x14ac:dyDescent="0.25">
      <c r="E2624" s="4"/>
      <c r="M2624" s="4">
        <f t="shared" si="728"/>
        <v>173.1</v>
      </c>
      <c r="N2624" s="4"/>
      <c r="O2624" s="1">
        <f t="shared" si="729"/>
        <v>173.1</v>
      </c>
      <c r="P2624" s="1">
        <f t="shared" si="730"/>
        <v>0</v>
      </c>
      <c r="Q2624" s="1" t="str">
        <f t="shared" si="736"/>
        <v/>
      </c>
      <c r="R2624" s="1" t="str">
        <f t="shared" si="731"/>
        <v/>
      </c>
      <c r="S2624" s="1">
        <f t="shared" si="732"/>
        <v>630.90240000000244</v>
      </c>
      <c r="T2624" s="1">
        <f t="shared" si="733"/>
        <v>0</v>
      </c>
      <c r="U2624" s="1">
        <f t="shared" si="734"/>
        <v>0</v>
      </c>
      <c r="V2624" s="1">
        <f t="shared" si="735"/>
        <v>0</v>
      </c>
    </row>
    <row r="2625" spans="5:22" x14ac:dyDescent="0.25">
      <c r="E2625" s="4"/>
      <c r="M2625" s="4">
        <f t="shared" si="728"/>
        <v>173.1</v>
      </c>
      <c r="N2625" s="4"/>
      <c r="O2625" s="1">
        <f t="shared" si="729"/>
        <v>173.1</v>
      </c>
      <c r="P2625" s="1">
        <f t="shared" si="730"/>
        <v>0</v>
      </c>
      <c r="Q2625" s="1" t="str">
        <f t="shared" si="736"/>
        <v/>
      </c>
      <c r="R2625" s="1" t="str">
        <f t="shared" si="731"/>
        <v/>
      </c>
      <c r="S2625" s="1">
        <f t="shared" si="732"/>
        <v>630.90240000000244</v>
      </c>
      <c r="T2625" s="1">
        <f t="shared" si="733"/>
        <v>0</v>
      </c>
      <c r="U2625" s="1">
        <f t="shared" si="734"/>
        <v>0</v>
      </c>
      <c r="V2625" s="1">
        <f t="shared" si="735"/>
        <v>0</v>
      </c>
    </row>
    <row r="2626" spans="5:22" x14ac:dyDescent="0.25">
      <c r="E2626" s="4"/>
      <c r="M2626" s="4">
        <f t="shared" si="728"/>
        <v>173.1</v>
      </c>
      <c r="N2626" s="4"/>
      <c r="O2626" s="1">
        <f t="shared" si="729"/>
        <v>173.1</v>
      </c>
      <c r="P2626" s="1">
        <f t="shared" si="730"/>
        <v>0</v>
      </c>
      <c r="Q2626" s="1" t="str">
        <f t="shared" si="736"/>
        <v/>
      </c>
      <c r="R2626" s="1" t="str">
        <f t="shared" si="731"/>
        <v/>
      </c>
      <c r="S2626" s="1">
        <f t="shared" si="732"/>
        <v>630.90240000000244</v>
      </c>
      <c r="T2626" s="1">
        <f t="shared" si="733"/>
        <v>0</v>
      </c>
      <c r="U2626" s="1">
        <f t="shared" si="734"/>
        <v>0</v>
      </c>
      <c r="V2626" s="1">
        <f t="shared" si="735"/>
        <v>0</v>
      </c>
    </row>
    <row r="2627" spans="5:22" x14ac:dyDescent="0.25">
      <c r="E2627" s="4"/>
      <c r="M2627" s="4">
        <f t="shared" si="728"/>
        <v>173.1</v>
      </c>
      <c r="N2627" s="4"/>
      <c r="O2627" s="1">
        <f t="shared" si="729"/>
        <v>173.1</v>
      </c>
      <c r="P2627" s="1">
        <f t="shared" si="730"/>
        <v>0</v>
      </c>
      <c r="Q2627" s="1" t="str">
        <f t="shared" si="736"/>
        <v/>
      </c>
      <c r="R2627" s="1" t="str">
        <f t="shared" si="731"/>
        <v/>
      </c>
      <c r="S2627" s="1">
        <f t="shared" si="732"/>
        <v>630.90240000000244</v>
      </c>
      <c r="T2627" s="1">
        <f t="shared" si="733"/>
        <v>0</v>
      </c>
      <c r="U2627" s="1">
        <f t="shared" si="734"/>
        <v>0</v>
      </c>
      <c r="V2627" s="1">
        <f t="shared" si="735"/>
        <v>0</v>
      </c>
    </row>
    <row r="2628" spans="5:22" x14ac:dyDescent="0.25">
      <c r="E2628" s="4"/>
      <c r="M2628" s="4">
        <f t="shared" si="728"/>
        <v>173.1</v>
      </c>
      <c r="N2628" s="4"/>
      <c r="O2628" s="1">
        <f t="shared" si="729"/>
        <v>173.1</v>
      </c>
      <c r="P2628" s="1">
        <f t="shared" si="730"/>
        <v>0</v>
      </c>
      <c r="Q2628" s="1" t="str">
        <f t="shared" si="736"/>
        <v/>
      </c>
      <c r="R2628" s="1" t="str">
        <f t="shared" si="731"/>
        <v/>
      </c>
      <c r="S2628" s="1">
        <f t="shared" si="732"/>
        <v>630.90240000000244</v>
      </c>
      <c r="T2628" s="1">
        <f t="shared" si="733"/>
        <v>0</v>
      </c>
      <c r="U2628" s="1">
        <f t="shared" si="734"/>
        <v>0</v>
      </c>
      <c r="V2628" s="1">
        <f t="shared" si="735"/>
        <v>0</v>
      </c>
    </row>
    <row r="2629" spans="5:22" x14ac:dyDescent="0.25">
      <c r="E2629" s="4"/>
      <c r="M2629" s="4">
        <f t="shared" si="728"/>
        <v>173.1</v>
      </c>
      <c r="N2629" s="4"/>
      <c r="O2629" s="1">
        <f t="shared" si="729"/>
        <v>173.1</v>
      </c>
      <c r="P2629" s="1">
        <f t="shared" si="730"/>
        <v>0</v>
      </c>
      <c r="Q2629" s="1" t="str">
        <f t="shared" si="736"/>
        <v/>
      </c>
      <c r="R2629" s="1" t="str">
        <f t="shared" si="731"/>
        <v/>
      </c>
      <c r="S2629" s="1">
        <f t="shared" si="732"/>
        <v>630.90240000000244</v>
      </c>
      <c r="T2629" s="1">
        <f t="shared" si="733"/>
        <v>0</v>
      </c>
      <c r="U2629" s="1">
        <f t="shared" si="734"/>
        <v>0</v>
      </c>
      <c r="V2629" s="1">
        <f t="shared" si="735"/>
        <v>0</v>
      </c>
    </row>
    <row r="2630" spans="5:22" x14ac:dyDescent="0.25">
      <c r="E2630" s="4"/>
      <c r="M2630" s="4">
        <f t="shared" si="728"/>
        <v>173.1</v>
      </c>
      <c r="N2630" s="4"/>
      <c r="O2630" s="1">
        <f t="shared" si="729"/>
        <v>173.1</v>
      </c>
      <c r="P2630" s="1">
        <f t="shared" si="730"/>
        <v>0</v>
      </c>
      <c r="Q2630" s="1" t="str">
        <f t="shared" si="736"/>
        <v/>
      </c>
      <c r="R2630" s="1" t="str">
        <f t="shared" si="731"/>
        <v/>
      </c>
      <c r="S2630" s="1">
        <f t="shared" si="732"/>
        <v>630.90240000000244</v>
      </c>
      <c r="T2630" s="1">
        <f t="shared" si="733"/>
        <v>0</v>
      </c>
      <c r="U2630" s="1">
        <f t="shared" si="734"/>
        <v>0</v>
      </c>
      <c r="V2630" s="1">
        <f t="shared" si="735"/>
        <v>0</v>
      </c>
    </row>
    <row r="2631" spans="5:22" x14ac:dyDescent="0.25">
      <c r="E2631" s="4"/>
      <c r="M2631" s="4">
        <f t="shared" si="728"/>
        <v>173.1</v>
      </c>
      <c r="N2631" s="4"/>
      <c r="O2631" s="1">
        <f t="shared" si="729"/>
        <v>173.1</v>
      </c>
      <c r="P2631" s="1">
        <f t="shared" si="730"/>
        <v>0</v>
      </c>
      <c r="Q2631" s="1" t="str">
        <f t="shared" si="736"/>
        <v/>
      </c>
      <c r="R2631" s="1" t="str">
        <f t="shared" si="731"/>
        <v/>
      </c>
      <c r="S2631" s="1">
        <f t="shared" si="732"/>
        <v>630.90240000000244</v>
      </c>
      <c r="T2631" s="1">
        <f t="shared" si="733"/>
        <v>0</v>
      </c>
      <c r="U2631" s="1">
        <f t="shared" si="734"/>
        <v>0</v>
      </c>
      <c r="V2631" s="1">
        <f t="shared" si="735"/>
        <v>0</v>
      </c>
    </row>
    <row r="2632" spans="5:22" x14ac:dyDescent="0.25">
      <c r="E2632" s="4"/>
      <c r="M2632" s="4">
        <f t="shared" ref="M2632:M2695" si="737">E2632+M2631</f>
        <v>173.1</v>
      </c>
      <c r="N2632" s="4"/>
      <c r="O2632" s="1">
        <f t="shared" ref="O2632:O2695" si="738">E2631+O2631</f>
        <v>173.1</v>
      </c>
      <c r="P2632" s="1">
        <f t="shared" ref="P2632:P2695" si="739">F2632*52.8*E2632</f>
        <v>0</v>
      </c>
      <c r="Q2632" s="1" t="str">
        <f t="shared" si="736"/>
        <v/>
      </c>
      <c r="R2632" s="1" t="str">
        <f t="shared" ref="R2632:R2695" si="740">IF(I2632="",Q2632,IF(AND(H2632=H2631,I2632=I2631),"",I2632))</f>
        <v/>
      </c>
      <c r="S2632" s="1">
        <f t="shared" ref="S2632:S2695" si="741">S2631+U2631*T2631/100</f>
        <v>630.90240000000244</v>
      </c>
      <c r="T2632" s="1">
        <f t="shared" ref="T2632:T2695" si="742">IF(G2632="UNK",0,G2632)</f>
        <v>0</v>
      </c>
      <c r="U2632" s="1">
        <f t="shared" ref="U2632:U2695" si="743">E2632*5280</f>
        <v>0</v>
      </c>
      <c r="V2632" s="1">
        <f t="shared" ref="V2632:V2695" si="744">ABS(T2632*U2632)</f>
        <v>0</v>
      </c>
    </row>
    <row r="2633" spans="5:22" x14ac:dyDescent="0.25">
      <c r="E2633" s="4"/>
      <c r="M2633" s="4">
        <f t="shared" si="737"/>
        <v>173.1</v>
      </c>
      <c r="N2633" s="4"/>
      <c r="O2633" s="1">
        <f t="shared" si="738"/>
        <v>173.1</v>
      </c>
      <c r="P2633" s="1">
        <f t="shared" si="739"/>
        <v>0</v>
      </c>
      <c r="Q2633" s="1" t="str">
        <f t="shared" si="736"/>
        <v/>
      </c>
      <c r="R2633" s="1" t="str">
        <f t="shared" si="740"/>
        <v/>
      </c>
      <c r="S2633" s="1">
        <f t="shared" si="741"/>
        <v>630.90240000000244</v>
      </c>
      <c r="T2633" s="1">
        <f t="shared" si="742"/>
        <v>0</v>
      </c>
      <c r="U2633" s="1">
        <f t="shared" si="743"/>
        <v>0</v>
      </c>
      <c r="V2633" s="1">
        <f t="shared" si="744"/>
        <v>0</v>
      </c>
    </row>
    <row r="2634" spans="5:22" x14ac:dyDescent="0.25">
      <c r="E2634" s="4"/>
      <c r="M2634" s="4">
        <f t="shared" si="737"/>
        <v>173.1</v>
      </c>
      <c r="N2634" s="4"/>
      <c r="O2634" s="1">
        <f t="shared" si="738"/>
        <v>173.1</v>
      </c>
      <c r="P2634" s="1">
        <f t="shared" si="739"/>
        <v>0</v>
      </c>
      <c r="Q2634" s="1" t="str">
        <f t="shared" si="736"/>
        <v/>
      </c>
      <c r="R2634" s="1" t="str">
        <f t="shared" si="740"/>
        <v/>
      </c>
      <c r="S2634" s="1">
        <f t="shared" si="741"/>
        <v>630.90240000000244</v>
      </c>
      <c r="T2634" s="1">
        <f t="shared" si="742"/>
        <v>0</v>
      </c>
      <c r="U2634" s="1">
        <f t="shared" si="743"/>
        <v>0</v>
      </c>
      <c r="V2634" s="1">
        <f t="shared" si="744"/>
        <v>0</v>
      </c>
    </row>
    <row r="2635" spans="5:22" x14ac:dyDescent="0.25">
      <c r="E2635" s="4"/>
      <c r="M2635" s="4">
        <f t="shared" si="737"/>
        <v>173.1</v>
      </c>
      <c r="N2635" s="4"/>
      <c r="O2635" s="1">
        <f t="shared" si="738"/>
        <v>173.1</v>
      </c>
      <c r="P2635" s="1">
        <f t="shared" si="739"/>
        <v>0</v>
      </c>
      <c r="Q2635" s="1" t="str">
        <f t="shared" si="736"/>
        <v/>
      </c>
      <c r="R2635" s="1" t="str">
        <f t="shared" si="740"/>
        <v/>
      </c>
      <c r="S2635" s="1">
        <f t="shared" si="741"/>
        <v>630.90240000000244</v>
      </c>
      <c r="T2635" s="1">
        <f t="shared" si="742"/>
        <v>0</v>
      </c>
      <c r="U2635" s="1">
        <f t="shared" si="743"/>
        <v>0</v>
      </c>
      <c r="V2635" s="1">
        <f t="shared" si="744"/>
        <v>0</v>
      </c>
    </row>
    <row r="2636" spans="5:22" x14ac:dyDescent="0.25">
      <c r="E2636" s="4"/>
      <c r="M2636" s="4">
        <f t="shared" si="737"/>
        <v>173.1</v>
      </c>
      <c r="N2636" s="4"/>
      <c r="O2636" s="1">
        <f t="shared" si="738"/>
        <v>173.1</v>
      </c>
      <c r="P2636" s="1">
        <f t="shared" si="739"/>
        <v>0</v>
      </c>
      <c r="Q2636" s="1" t="str">
        <f t="shared" si="736"/>
        <v/>
      </c>
      <c r="R2636" s="1" t="str">
        <f t="shared" si="740"/>
        <v/>
      </c>
      <c r="S2636" s="1">
        <f t="shared" si="741"/>
        <v>630.90240000000244</v>
      </c>
      <c r="T2636" s="1">
        <f t="shared" si="742"/>
        <v>0</v>
      </c>
      <c r="U2636" s="1">
        <f t="shared" si="743"/>
        <v>0</v>
      </c>
      <c r="V2636" s="1">
        <f t="shared" si="744"/>
        <v>0</v>
      </c>
    </row>
    <row r="2637" spans="5:22" x14ac:dyDescent="0.25">
      <c r="E2637" s="4"/>
      <c r="M2637" s="4">
        <f t="shared" si="737"/>
        <v>173.1</v>
      </c>
      <c r="N2637" s="4"/>
      <c r="O2637" s="1">
        <f t="shared" si="738"/>
        <v>173.1</v>
      </c>
      <c r="P2637" s="1">
        <f t="shared" si="739"/>
        <v>0</v>
      </c>
      <c r="Q2637" s="1" t="str">
        <f t="shared" si="736"/>
        <v/>
      </c>
      <c r="R2637" s="1" t="str">
        <f t="shared" si="740"/>
        <v/>
      </c>
      <c r="S2637" s="1">
        <f t="shared" si="741"/>
        <v>630.90240000000244</v>
      </c>
      <c r="T2637" s="1">
        <f t="shared" si="742"/>
        <v>0</v>
      </c>
      <c r="U2637" s="1">
        <f t="shared" si="743"/>
        <v>0</v>
      </c>
      <c r="V2637" s="1">
        <f t="shared" si="744"/>
        <v>0</v>
      </c>
    </row>
    <row r="2638" spans="5:22" x14ac:dyDescent="0.25">
      <c r="E2638" s="4"/>
      <c r="M2638" s="4">
        <f t="shared" si="737"/>
        <v>173.1</v>
      </c>
      <c r="N2638" s="4"/>
      <c r="O2638" s="1">
        <f t="shared" si="738"/>
        <v>173.1</v>
      </c>
      <c r="P2638" s="1">
        <f t="shared" si="739"/>
        <v>0</v>
      </c>
      <c r="Q2638" s="1" t="str">
        <f t="shared" si="736"/>
        <v/>
      </c>
      <c r="R2638" s="1" t="str">
        <f t="shared" si="740"/>
        <v/>
      </c>
      <c r="S2638" s="1">
        <f t="shared" si="741"/>
        <v>630.90240000000244</v>
      </c>
      <c r="T2638" s="1">
        <f t="shared" si="742"/>
        <v>0</v>
      </c>
      <c r="U2638" s="1">
        <f t="shared" si="743"/>
        <v>0</v>
      </c>
      <c r="V2638" s="1">
        <f t="shared" si="744"/>
        <v>0</v>
      </c>
    </row>
    <row r="2639" spans="5:22" x14ac:dyDescent="0.25">
      <c r="E2639" s="4"/>
      <c r="M2639" s="4">
        <f t="shared" si="737"/>
        <v>173.1</v>
      </c>
      <c r="N2639" s="4"/>
      <c r="O2639" s="1">
        <f t="shared" si="738"/>
        <v>173.1</v>
      </c>
      <c r="P2639" s="1">
        <f t="shared" si="739"/>
        <v>0</v>
      </c>
      <c r="Q2639" s="1" t="str">
        <f t="shared" si="736"/>
        <v/>
      </c>
      <c r="R2639" s="1" t="str">
        <f t="shared" si="740"/>
        <v/>
      </c>
      <c r="S2639" s="1">
        <f t="shared" si="741"/>
        <v>630.90240000000244</v>
      </c>
      <c r="T2639" s="1">
        <f t="shared" si="742"/>
        <v>0</v>
      </c>
      <c r="U2639" s="1">
        <f t="shared" si="743"/>
        <v>0</v>
      </c>
      <c r="V2639" s="1">
        <f t="shared" si="744"/>
        <v>0</v>
      </c>
    </row>
    <row r="2640" spans="5:22" x14ac:dyDescent="0.25">
      <c r="E2640" s="4"/>
      <c r="M2640" s="4">
        <f t="shared" si="737"/>
        <v>173.1</v>
      </c>
      <c r="N2640" s="4"/>
      <c r="O2640" s="1">
        <f t="shared" si="738"/>
        <v>173.1</v>
      </c>
      <c r="P2640" s="1">
        <f t="shared" si="739"/>
        <v>0</v>
      </c>
      <c r="Q2640" s="1" t="str">
        <f t="shared" si="736"/>
        <v/>
      </c>
      <c r="R2640" s="1" t="str">
        <f t="shared" si="740"/>
        <v/>
      </c>
      <c r="S2640" s="1">
        <f t="shared" si="741"/>
        <v>630.90240000000244</v>
      </c>
      <c r="T2640" s="1">
        <f t="shared" si="742"/>
        <v>0</v>
      </c>
      <c r="U2640" s="1">
        <f t="shared" si="743"/>
        <v>0</v>
      </c>
      <c r="V2640" s="1">
        <f t="shared" si="744"/>
        <v>0</v>
      </c>
    </row>
    <row r="2641" spans="5:22" x14ac:dyDescent="0.25">
      <c r="E2641" s="4"/>
      <c r="M2641" s="4">
        <f t="shared" si="737"/>
        <v>173.1</v>
      </c>
      <c r="N2641" s="4"/>
      <c r="O2641" s="1">
        <f t="shared" si="738"/>
        <v>173.1</v>
      </c>
      <c r="P2641" s="1">
        <f t="shared" si="739"/>
        <v>0</v>
      </c>
      <c r="Q2641" s="1" t="str">
        <f t="shared" si="736"/>
        <v/>
      </c>
      <c r="R2641" s="1" t="str">
        <f t="shared" si="740"/>
        <v/>
      </c>
      <c r="S2641" s="1">
        <f t="shared" si="741"/>
        <v>630.90240000000244</v>
      </c>
      <c r="T2641" s="1">
        <f t="shared" si="742"/>
        <v>0</v>
      </c>
      <c r="U2641" s="1">
        <f t="shared" si="743"/>
        <v>0</v>
      </c>
      <c r="V2641" s="1">
        <f t="shared" si="744"/>
        <v>0</v>
      </c>
    </row>
    <row r="2642" spans="5:22" x14ac:dyDescent="0.25">
      <c r="E2642" s="4"/>
      <c r="M2642" s="4">
        <f t="shared" si="737"/>
        <v>173.1</v>
      </c>
      <c r="N2642" s="4"/>
      <c r="O2642" s="1">
        <f t="shared" si="738"/>
        <v>173.1</v>
      </c>
      <c r="P2642" s="1">
        <f t="shared" si="739"/>
        <v>0</v>
      </c>
      <c r="Q2642" s="1" t="str">
        <f t="shared" si="736"/>
        <v/>
      </c>
      <c r="R2642" s="1" t="str">
        <f t="shared" si="740"/>
        <v/>
      </c>
      <c r="S2642" s="1">
        <f t="shared" si="741"/>
        <v>630.90240000000244</v>
      </c>
      <c r="T2642" s="1">
        <f t="shared" si="742"/>
        <v>0</v>
      </c>
      <c r="U2642" s="1">
        <f t="shared" si="743"/>
        <v>0</v>
      </c>
      <c r="V2642" s="1">
        <f t="shared" si="744"/>
        <v>0</v>
      </c>
    </row>
    <row r="2643" spans="5:22" x14ac:dyDescent="0.25">
      <c r="E2643" s="4"/>
      <c r="M2643" s="4">
        <f t="shared" si="737"/>
        <v>173.1</v>
      </c>
      <c r="N2643" s="4"/>
      <c r="O2643" s="1">
        <f t="shared" si="738"/>
        <v>173.1</v>
      </c>
      <c r="P2643" s="1">
        <f t="shared" si="739"/>
        <v>0</v>
      </c>
      <c r="Q2643" s="1" t="str">
        <f t="shared" si="736"/>
        <v/>
      </c>
      <c r="R2643" s="1" t="str">
        <f t="shared" si="740"/>
        <v/>
      </c>
      <c r="S2643" s="1">
        <f t="shared" si="741"/>
        <v>630.90240000000244</v>
      </c>
      <c r="T2643" s="1">
        <f t="shared" si="742"/>
        <v>0</v>
      </c>
      <c r="U2643" s="1">
        <f t="shared" si="743"/>
        <v>0</v>
      </c>
      <c r="V2643" s="1">
        <f t="shared" si="744"/>
        <v>0</v>
      </c>
    </row>
    <row r="2644" spans="5:22" x14ac:dyDescent="0.25">
      <c r="E2644" s="4"/>
      <c r="M2644" s="4">
        <f t="shared" si="737"/>
        <v>173.1</v>
      </c>
      <c r="N2644" s="4"/>
      <c r="O2644" s="1">
        <f t="shared" si="738"/>
        <v>173.1</v>
      </c>
      <c r="P2644" s="1">
        <f t="shared" si="739"/>
        <v>0</v>
      </c>
      <c r="Q2644" s="1" t="str">
        <f t="shared" si="736"/>
        <v/>
      </c>
      <c r="R2644" s="1" t="str">
        <f t="shared" si="740"/>
        <v/>
      </c>
      <c r="S2644" s="1">
        <f t="shared" si="741"/>
        <v>630.90240000000244</v>
      </c>
      <c r="T2644" s="1">
        <f t="shared" si="742"/>
        <v>0</v>
      </c>
      <c r="U2644" s="1">
        <f t="shared" si="743"/>
        <v>0</v>
      </c>
      <c r="V2644" s="1">
        <f t="shared" si="744"/>
        <v>0</v>
      </c>
    </row>
    <row r="2645" spans="5:22" x14ac:dyDescent="0.25">
      <c r="E2645" s="4"/>
      <c r="M2645" s="4">
        <f t="shared" si="737"/>
        <v>173.1</v>
      </c>
      <c r="N2645" s="4"/>
      <c r="O2645" s="1">
        <f t="shared" si="738"/>
        <v>173.1</v>
      </c>
      <c r="P2645" s="1">
        <f t="shared" si="739"/>
        <v>0</v>
      </c>
      <c r="Q2645" s="1" t="str">
        <f t="shared" si="736"/>
        <v/>
      </c>
      <c r="R2645" s="1" t="str">
        <f t="shared" si="740"/>
        <v/>
      </c>
      <c r="S2645" s="1">
        <f t="shared" si="741"/>
        <v>630.90240000000244</v>
      </c>
      <c r="T2645" s="1">
        <f t="shared" si="742"/>
        <v>0</v>
      </c>
      <c r="U2645" s="1">
        <f t="shared" si="743"/>
        <v>0</v>
      </c>
      <c r="V2645" s="1">
        <f t="shared" si="744"/>
        <v>0</v>
      </c>
    </row>
    <row r="2646" spans="5:22" x14ac:dyDescent="0.25">
      <c r="E2646" s="4"/>
      <c r="M2646" s="4">
        <f t="shared" si="737"/>
        <v>173.1</v>
      </c>
      <c r="N2646" s="4"/>
      <c r="O2646" s="1">
        <f t="shared" si="738"/>
        <v>173.1</v>
      </c>
      <c r="P2646" s="1">
        <f t="shared" si="739"/>
        <v>0</v>
      </c>
      <c r="Q2646" s="1" t="str">
        <f t="shared" si="736"/>
        <v/>
      </c>
      <c r="R2646" s="1" t="str">
        <f t="shared" si="740"/>
        <v/>
      </c>
      <c r="S2646" s="1">
        <f t="shared" si="741"/>
        <v>630.90240000000244</v>
      </c>
      <c r="T2646" s="1">
        <f t="shared" si="742"/>
        <v>0</v>
      </c>
      <c r="U2646" s="1">
        <f t="shared" si="743"/>
        <v>0</v>
      </c>
      <c r="V2646" s="1">
        <f t="shared" si="744"/>
        <v>0</v>
      </c>
    </row>
    <row r="2647" spans="5:22" x14ac:dyDescent="0.25">
      <c r="E2647" s="4"/>
      <c r="M2647" s="4">
        <f t="shared" si="737"/>
        <v>173.1</v>
      </c>
      <c r="N2647" s="4"/>
      <c r="O2647" s="1">
        <f t="shared" si="738"/>
        <v>173.1</v>
      </c>
      <c r="P2647" s="1">
        <f t="shared" si="739"/>
        <v>0</v>
      </c>
      <c r="Q2647" s="1" t="str">
        <f t="shared" si="736"/>
        <v/>
      </c>
      <c r="R2647" s="1" t="str">
        <f t="shared" si="740"/>
        <v/>
      </c>
      <c r="S2647" s="1">
        <f t="shared" si="741"/>
        <v>630.90240000000244</v>
      </c>
      <c r="T2647" s="1">
        <f t="shared" si="742"/>
        <v>0</v>
      </c>
      <c r="U2647" s="1">
        <f t="shared" si="743"/>
        <v>0</v>
      </c>
      <c r="V2647" s="1">
        <f t="shared" si="744"/>
        <v>0</v>
      </c>
    </row>
    <row r="2648" spans="5:22" x14ac:dyDescent="0.25">
      <c r="E2648" s="4"/>
      <c r="M2648" s="4">
        <f t="shared" si="737"/>
        <v>173.1</v>
      </c>
      <c r="N2648" s="4"/>
      <c r="O2648" s="1">
        <f t="shared" si="738"/>
        <v>173.1</v>
      </c>
      <c r="P2648" s="1">
        <f t="shared" si="739"/>
        <v>0</v>
      </c>
      <c r="Q2648" s="1" t="str">
        <f t="shared" si="736"/>
        <v/>
      </c>
      <c r="R2648" s="1" t="str">
        <f t="shared" si="740"/>
        <v/>
      </c>
      <c r="S2648" s="1">
        <f t="shared" si="741"/>
        <v>630.90240000000244</v>
      </c>
      <c r="T2648" s="1">
        <f t="shared" si="742"/>
        <v>0</v>
      </c>
      <c r="U2648" s="1">
        <f t="shared" si="743"/>
        <v>0</v>
      </c>
      <c r="V2648" s="1">
        <f t="shared" si="744"/>
        <v>0</v>
      </c>
    </row>
    <row r="2649" spans="5:22" x14ac:dyDescent="0.25">
      <c r="E2649" s="4"/>
      <c r="M2649" s="4">
        <f t="shared" si="737"/>
        <v>173.1</v>
      </c>
      <c r="N2649" s="4"/>
      <c r="O2649" s="1">
        <f t="shared" si="738"/>
        <v>173.1</v>
      </c>
      <c r="P2649" s="1">
        <f t="shared" si="739"/>
        <v>0</v>
      </c>
      <c r="Q2649" s="1" t="str">
        <f t="shared" si="736"/>
        <v/>
      </c>
      <c r="R2649" s="1" t="str">
        <f t="shared" si="740"/>
        <v/>
      </c>
      <c r="S2649" s="1">
        <f t="shared" si="741"/>
        <v>630.90240000000244</v>
      </c>
      <c r="T2649" s="1">
        <f t="shared" si="742"/>
        <v>0</v>
      </c>
      <c r="U2649" s="1">
        <f t="shared" si="743"/>
        <v>0</v>
      </c>
      <c r="V2649" s="1">
        <f t="shared" si="744"/>
        <v>0</v>
      </c>
    </row>
    <row r="2650" spans="5:22" x14ac:dyDescent="0.25">
      <c r="E2650" s="4"/>
      <c r="M2650" s="4">
        <f t="shared" si="737"/>
        <v>173.1</v>
      </c>
      <c r="N2650" s="4"/>
      <c r="O2650" s="1">
        <f t="shared" si="738"/>
        <v>173.1</v>
      </c>
      <c r="P2650" s="1">
        <f t="shared" si="739"/>
        <v>0</v>
      </c>
      <c r="Q2650" s="1" t="str">
        <f t="shared" si="736"/>
        <v/>
      </c>
      <c r="R2650" s="1" t="str">
        <f t="shared" si="740"/>
        <v/>
      </c>
      <c r="S2650" s="1">
        <f t="shared" si="741"/>
        <v>630.90240000000244</v>
      </c>
      <c r="T2650" s="1">
        <f t="shared" si="742"/>
        <v>0</v>
      </c>
      <c r="U2650" s="1">
        <f t="shared" si="743"/>
        <v>0</v>
      </c>
      <c r="V2650" s="1">
        <f t="shared" si="744"/>
        <v>0</v>
      </c>
    </row>
    <row r="2651" spans="5:22" x14ac:dyDescent="0.25">
      <c r="E2651" s="4"/>
      <c r="M2651" s="4">
        <f t="shared" si="737"/>
        <v>173.1</v>
      </c>
      <c r="N2651" s="4"/>
      <c r="O2651" s="1">
        <f t="shared" si="738"/>
        <v>173.1</v>
      </c>
      <c r="P2651" s="1">
        <f t="shared" si="739"/>
        <v>0</v>
      </c>
      <c r="Q2651" s="1" t="str">
        <f t="shared" si="736"/>
        <v/>
      </c>
      <c r="R2651" s="1" t="str">
        <f t="shared" si="740"/>
        <v/>
      </c>
      <c r="S2651" s="1">
        <f t="shared" si="741"/>
        <v>630.90240000000244</v>
      </c>
      <c r="T2651" s="1">
        <f t="shared" si="742"/>
        <v>0</v>
      </c>
      <c r="U2651" s="1">
        <f t="shared" si="743"/>
        <v>0</v>
      </c>
      <c r="V2651" s="1">
        <f t="shared" si="744"/>
        <v>0</v>
      </c>
    </row>
    <row r="2652" spans="5:22" x14ac:dyDescent="0.25">
      <c r="E2652" s="4"/>
      <c r="M2652" s="4">
        <f t="shared" si="737"/>
        <v>173.1</v>
      </c>
      <c r="N2652" s="4"/>
      <c r="O2652" s="1">
        <f t="shared" si="738"/>
        <v>173.1</v>
      </c>
      <c r="P2652" s="1">
        <f t="shared" si="739"/>
        <v>0</v>
      </c>
      <c r="Q2652" s="1" t="str">
        <f t="shared" si="736"/>
        <v/>
      </c>
      <c r="R2652" s="1" t="str">
        <f t="shared" si="740"/>
        <v/>
      </c>
      <c r="S2652" s="1">
        <f t="shared" si="741"/>
        <v>630.90240000000244</v>
      </c>
      <c r="T2652" s="1">
        <f t="shared" si="742"/>
        <v>0</v>
      </c>
      <c r="U2652" s="1">
        <f t="shared" si="743"/>
        <v>0</v>
      </c>
      <c r="V2652" s="1">
        <f t="shared" si="744"/>
        <v>0</v>
      </c>
    </row>
    <row r="2653" spans="5:22" x14ac:dyDescent="0.25">
      <c r="E2653" s="4"/>
      <c r="M2653" s="4">
        <f t="shared" si="737"/>
        <v>173.1</v>
      </c>
      <c r="N2653" s="4"/>
      <c r="O2653" s="1">
        <f t="shared" si="738"/>
        <v>173.1</v>
      </c>
      <c r="P2653" s="1">
        <f t="shared" si="739"/>
        <v>0</v>
      </c>
      <c r="Q2653" s="1" t="str">
        <f t="shared" si="736"/>
        <v/>
      </c>
      <c r="R2653" s="1" t="str">
        <f t="shared" si="740"/>
        <v/>
      </c>
      <c r="S2653" s="1">
        <f t="shared" si="741"/>
        <v>630.90240000000244</v>
      </c>
      <c r="T2653" s="1">
        <f t="shared" si="742"/>
        <v>0</v>
      </c>
      <c r="U2653" s="1">
        <f t="shared" si="743"/>
        <v>0</v>
      </c>
      <c r="V2653" s="1">
        <f t="shared" si="744"/>
        <v>0</v>
      </c>
    </row>
    <row r="2654" spans="5:22" x14ac:dyDescent="0.25">
      <c r="E2654" s="4"/>
      <c r="M2654" s="4">
        <f t="shared" si="737"/>
        <v>173.1</v>
      </c>
      <c r="N2654" s="4"/>
      <c r="O2654" s="1">
        <f t="shared" si="738"/>
        <v>173.1</v>
      </c>
      <c r="P2654" s="1">
        <f t="shared" si="739"/>
        <v>0</v>
      </c>
      <c r="Q2654" s="1" t="str">
        <f t="shared" si="736"/>
        <v/>
      </c>
      <c r="R2654" s="1" t="str">
        <f t="shared" si="740"/>
        <v/>
      </c>
      <c r="S2654" s="1">
        <f t="shared" si="741"/>
        <v>630.90240000000244</v>
      </c>
      <c r="T2654" s="1">
        <f t="shared" si="742"/>
        <v>0</v>
      </c>
      <c r="U2654" s="1">
        <f t="shared" si="743"/>
        <v>0</v>
      </c>
      <c r="V2654" s="1">
        <f t="shared" si="744"/>
        <v>0</v>
      </c>
    </row>
    <row r="2655" spans="5:22" x14ac:dyDescent="0.25">
      <c r="E2655" s="4"/>
      <c r="M2655" s="4">
        <f t="shared" si="737"/>
        <v>173.1</v>
      </c>
      <c r="N2655" s="4"/>
      <c r="O2655" s="1">
        <f t="shared" si="738"/>
        <v>173.1</v>
      </c>
      <c r="P2655" s="1">
        <f t="shared" si="739"/>
        <v>0</v>
      </c>
      <c r="Q2655" s="1" t="str">
        <f t="shared" si="736"/>
        <v/>
      </c>
      <c r="R2655" s="1" t="str">
        <f t="shared" si="740"/>
        <v/>
      </c>
      <c r="S2655" s="1">
        <f t="shared" si="741"/>
        <v>630.90240000000244</v>
      </c>
      <c r="T2655" s="1">
        <f t="shared" si="742"/>
        <v>0</v>
      </c>
      <c r="U2655" s="1">
        <f t="shared" si="743"/>
        <v>0</v>
      </c>
      <c r="V2655" s="1">
        <f t="shared" si="744"/>
        <v>0</v>
      </c>
    </row>
    <row r="2656" spans="5:22" x14ac:dyDescent="0.25">
      <c r="E2656" s="4"/>
      <c r="M2656" s="4">
        <f t="shared" si="737"/>
        <v>173.1</v>
      </c>
      <c r="N2656" s="4"/>
      <c r="O2656" s="1">
        <f t="shared" si="738"/>
        <v>173.1</v>
      </c>
      <c r="P2656" s="1">
        <f t="shared" si="739"/>
        <v>0</v>
      </c>
      <c r="Q2656" s="1" t="str">
        <f t="shared" si="736"/>
        <v/>
      </c>
      <c r="R2656" s="1" t="str">
        <f t="shared" si="740"/>
        <v/>
      </c>
      <c r="S2656" s="1">
        <f t="shared" si="741"/>
        <v>630.90240000000244</v>
      </c>
      <c r="T2656" s="1">
        <f t="shared" si="742"/>
        <v>0</v>
      </c>
      <c r="U2656" s="1">
        <f t="shared" si="743"/>
        <v>0</v>
      </c>
      <c r="V2656" s="1">
        <f t="shared" si="744"/>
        <v>0</v>
      </c>
    </row>
    <row r="2657" spans="5:22" x14ac:dyDescent="0.25">
      <c r="E2657" s="4"/>
      <c r="M2657" s="4">
        <f t="shared" si="737"/>
        <v>173.1</v>
      </c>
      <c r="N2657" s="4"/>
      <c r="O2657" s="1">
        <f t="shared" si="738"/>
        <v>173.1</v>
      </c>
      <c r="P2657" s="1">
        <f t="shared" si="739"/>
        <v>0</v>
      </c>
      <c r="Q2657" s="1" t="str">
        <f t="shared" si="736"/>
        <v/>
      </c>
      <c r="R2657" s="1" t="str">
        <f t="shared" si="740"/>
        <v/>
      </c>
      <c r="S2657" s="1">
        <f t="shared" si="741"/>
        <v>630.90240000000244</v>
      </c>
      <c r="T2657" s="1">
        <f t="shared" si="742"/>
        <v>0</v>
      </c>
      <c r="U2657" s="1">
        <f t="shared" si="743"/>
        <v>0</v>
      </c>
      <c r="V2657" s="1">
        <f t="shared" si="744"/>
        <v>0</v>
      </c>
    </row>
    <row r="2658" spans="5:22" x14ac:dyDescent="0.25">
      <c r="E2658" s="4"/>
      <c r="M2658" s="4">
        <f t="shared" si="737"/>
        <v>173.1</v>
      </c>
      <c r="N2658" s="4"/>
      <c r="O2658" s="1">
        <f t="shared" si="738"/>
        <v>173.1</v>
      </c>
      <c r="P2658" s="1">
        <f t="shared" si="739"/>
        <v>0</v>
      </c>
      <c r="Q2658" s="1" t="str">
        <f t="shared" si="736"/>
        <v/>
      </c>
      <c r="R2658" s="1" t="str">
        <f t="shared" si="740"/>
        <v/>
      </c>
      <c r="S2658" s="1">
        <f t="shared" si="741"/>
        <v>630.90240000000244</v>
      </c>
      <c r="T2658" s="1">
        <f t="shared" si="742"/>
        <v>0</v>
      </c>
      <c r="U2658" s="1">
        <f t="shared" si="743"/>
        <v>0</v>
      </c>
      <c r="V2658" s="1">
        <f t="shared" si="744"/>
        <v>0</v>
      </c>
    </row>
    <row r="2659" spans="5:22" x14ac:dyDescent="0.25">
      <c r="E2659" s="4"/>
      <c r="M2659" s="4">
        <f t="shared" si="737"/>
        <v>173.1</v>
      </c>
      <c r="N2659" s="4"/>
      <c r="O2659" s="1">
        <f t="shared" si="738"/>
        <v>173.1</v>
      </c>
      <c r="P2659" s="1">
        <f t="shared" si="739"/>
        <v>0</v>
      </c>
      <c r="Q2659" s="1" t="str">
        <f t="shared" si="736"/>
        <v/>
      </c>
      <c r="R2659" s="1" t="str">
        <f t="shared" si="740"/>
        <v/>
      </c>
      <c r="S2659" s="1">
        <f t="shared" si="741"/>
        <v>630.90240000000244</v>
      </c>
      <c r="T2659" s="1">
        <f t="shared" si="742"/>
        <v>0</v>
      </c>
      <c r="U2659" s="1">
        <f t="shared" si="743"/>
        <v>0</v>
      </c>
      <c r="V2659" s="1">
        <f t="shared" si="744"/>
        <v>0</v>
      </c>
    </row>
    <row r="2660" spans="5:22" x14ac:dyDescent="0.25">
      <c r="E2660" s="4"/>
      <c r="M2660" s="4">
        <f t="shared" si="737"/>
        <v>173.1</v>
      </c>
      <c r="N2660" s="4"/>
      <c r="O2660" s="1">
        <f t="shared" si="738"/>
        <v>173.1</v>
      </c>
      <c r="P2660" s="1">
        <f t="shared" si="739"/>
        <v>0</v>
      </c>
      <c r="Q2660" s="1" t="str">
        <f t="shared" si="736"/>
        <v/>
      </c>
      <c r="R2660" s="1" t="str">
        <f t="shared" si="740"/>
        <v/>
      </c>
      <c r="S2660" s="1">
        <f t="shared" si="741"/>
        <v>630.90240000000244</v>
      </c>
      <c r="T2660" s="1">
        <f t="shared" si="742"/>
        <v>0</v>
      </c>
      <c r="U2660" s="1">
        <f t="shared" si="743"/>
        <v>0</v>
      </c>
      <c r="V2660" s="1">
        <f t="shared" si="744"/>
        <v>0</v>
      </c>
    </row>
    <row r="2661" spans="5:22" x14ac:dyDescent="0.25">
      <c r="E2661" s="4"/>
      <c r="M2661" s="4">
        <f t="shared" si="737"/>
        <v>173.1</v>
      </c>
      <c r="N2661" s="4"/>
      <c r="O2661" s="1">
        <f t="shared" si="738"/>
        <v>173.1</v>
      </c>
      <c r="P2661" s="1">
        <f t="shared" si="739"/>
        <v>0</v>
      </c>
      <c r="Q2661" s="1" t="str">
        <f t="shared" si="736"/>
        <v/>
      </c>
      <c r="R2661" s="1" t="str">
        <f t="shared" si="740"/>
        <v/>
      </c>
      <c r="S2661" s="1">
        <f t="shared" si="741"/>
        <v>630.90240000000244</v>
      </c>
      <c r="T2661" s="1">
        <f t="shared" si="742"/>
        <v>0</v>
      </c>
      <c r="U2661" s="1">
        <f t="shared" si="743"/>
        <v>0</v>
      </c>
      <c r="V2661" s="1">
        <f t="shared" si="744"/>
        <v>0</v>
      </c>
    </row>
    <row r="2662" spans="5:22" x14ac:dyDescent="0.25">
      <c r="E2662" s="4"/>
      <c r="M2662" s="4">
        <f t="shared" si="737"/>
        <v>173.1</v>
      </c>
      <c r="N2662" s="4"/>
      <c r="O2662" s="1">
        <f t="shared" si="738"/>
        <v>173.1</v>
      </c>
      <c r="P2662" s="1">
        <f t="shared" si="739"/>
        <v>0</v>
      </c>
      <c r="Q2662" s="1" t="str">
        <f t="shared" si="736"/>
        <v/>
      </c>
      <c r="R2662" s="1" t="str">
        <f t="shared" si="740"/>
        <v/>
      </c>
      <c r="S2662" s="1">
        <f t="shared" si="741"/>
        <v>630.90240000000244</v>
      </c>
      <c r="T2662" s="1">
        <f t="shared" si="742"/>
        <v>0</v>
      </c>
      <c r="U2662" s="1">
        <f t="shared" si="743"/>
        <v>0</v>
      </c>
      <c r="V2662" s="1">
        <f t="shared" si="744"/>
        <v>0</v>
      </c>
    </row>
    <row r="2663" spans="5:22" x14ac:dyDescent="0.25">
      <c r="E2663" s="4"/>
      <c r="M2663" s="4">
        <f t="shared" si="737"/>
        <v>173.1</v>
      </c>
      <c r="N2663" s="4"/>
      <c r="O2663" s="1">
        <f t="shared" si="738"/>
        <v>173.1</v>
      </c>
      <c r="P2663" s="1">
        <f t="shared" si="739"/>
        <v>0</v>
      </c>
      <c r="Q2663" s="1" t="str">
        <f t="shared" si="736"/>
        <v/>
      </c>
      <c r="R2663" s="1" t="str">
        <f t="shared" si="740"/>
        <v/>
      </c>
      <c r="S2663" s="1">
        <f t="shared" si="741"/>
        <v>630.90240000000244</v>
      </c>
      <c r="T2663" s="1">
        <f t="shared" si="742"/>
        <v>0</v>
      </c>
      <c r="U2663" s="1">
        <f t="shared" si="743"/>
        <v>0</v>
      </c>
      <c r="V2663" s="1">
        <f t="shared" si="744"/>
        <v>0</v>
      </c>
    </row>
    <row r="2664" spans="5:22" x14ac:dyDescent="0.25">
      <c r="E2664" s="4"/>
      <c r="M2664" s="4">
        <f t="shared" si="737"/>
        <v>173.1</v>
      </c>
      <c r="N2664" s="4"/>
      <c r="O2664" s="1">
        <f t="shared" si="738"/>
        <v>173.1</v>
      </c>
      <c r="P2664" s="1">
        <f t="shared" si="739"/>
        <v>0</v>
      </c>
      <c r="Q2664" s="1" t="str">
        <f t="shared" si="736"/>
        <v/>
      </c>
      <c r="R2664" s="1" t="str">
        <f t="shared" si="740"/>
        <v/>
      </c>
      <c r="S2664" s="1">
        <f t="shared" si="741"/>
        <v>630.90240000000244</v>
      </c>
      <c r="T2664" s="1">
        <f t="shared" si="742"/>
        <v>0</v>
      </c>
      <c r="U2664" s="1">
        <f t="shared" si="743"/>
        <v>0</v>
      </c>
      <c r="V2664" s="1">
        <f t="shared" si="744"/>
        <v>0</v>
      </c>
    </row>
    <row r="2665" spans="5:22" x14ac:dyDescent="0.25">
      <c r="E2665" s="4"/>
      <c r="M2665" s="4">
        <f t="shared" si="737"/>
        <v>173.1</v>
      </c>
      <c r="N2665" s="4"/>
      <c r="O2665" s="1">
        <f t="shared" si="738"/>
        <v>173.1</v>
      </c>
      <c r="P2665" s="1">
        <f t="shared" si="739"/>
        <v>0</v>
      </c>
      <c r="Q2665" s="1" t="str">
        <f t="shared" si="736"/>
        <v/>
      </c>
      <c r="R2665" s="1" t="str">
        <f t="shared" si="740"/>
        <v/>
      </c>
      <c r="S2665" s="1">
        <f t="shared" si="741"/>
        <v>630.90240000000244</v>
      </c>
      <c r="T2665" s="1">
        <f t="shared" si="742"/>
        <v>0</v>
      </c>
      <c r="U2665" s="1">
        <f t="shared" si="743"/>
        <v>0</v>
      </c>
      <c r="V2665" s="1">
        <f t="shared" si="744"/>
        <v>0</v>
      </c>
    </row>
    <row r="2666" spans="5:22" x14ac:dyDescent="0.25">
      <c r="E2666" s="4"/>
      <c r="M2666" s="4">
        <f t="shared" si="737"/>
        <v>173.1</v>
      </c>
      <c r="N2666" s="4"/>
      <c r="O2666" s="1">
        <f t="shared" si="738"/>
        <v>173.1</v>
      </c>
      <c r="P2666" s="1">
        <f t="shared" si="739"/>
        <v>0</v>
      </c>
      <c r="Q2666" s="1" t="str">
        <f t="shared" si="736"/>
        <v/>
      </c>
      <c r="R2666" s="1" t="str">
        <f t="shared" si="740"/>
        <v/>
      </c>
      <c r="S2666" s="1">
        <f t="shared" si="741"/>
        <v>630.90240000000244</v>
      </c>
      <c r="T2666" s="1">
        <f t="shared" si="742"/>
        <v>0</v>
      </c>
      <c r="U2666" s="1">
        <f t="shared" si="743"/>
        <v>0</v>
      </c>
      <c r="V2666" s="1">
        <f t="shared" si="744"/>
        <v>0</v>
      </c>
    </row>
    <row r="2667" spans="5:22" x14ac:dyDescent="0.25">
      <c r="E2667" s="4"/>
      <c r="M2667" s="4">
        <f t="shared" si="737"/>
        <v>173.1</v>
      </c>
      <c r="N2667" s="4"/>
      <c r="O2667" s="1">
        <f t="shared" si="738"/>
        <v>173.1</v>
      </c>
      <c r="P2667" s="1">
        <f t="shared" si="739"/>
        <v>0</v>
      </c>
      <c r="Q2667" s="1" t="str">
        <f t="shared" si="736"/>
        <v/>
      </c>
      <c r="R2667" s="1" t="str">
        <f t="shared" si="740"/>
        <v/>
      </c>
      <c r="S2667" s="1">
        <f t="shared" si="741"/>
        <v>630.90240000000244</v>
      </c>
      <c r="T2667" s="1">
        <f t="shared" si="742"/>
        <v>0</v>
      </c>
      <c r="U2667" s="1">
        <f t="shared" si="743"/>
        <v>0</v>
      </c>
      <c r="V2667" s="1">
        <f t="shared" si="744"/>
        <v>0</v>
      </c>
    </row>
    <row r="2668" spans="5:22" x14ac:dyDescent="0.25">
      <c r="E2668" s="4"/>
      <c r="M2668" s="4">
        <f t="shared" si="737"/>
        <v>173.1</v>
      </c>
      <c r="N2668" s="4"/>
      <c r="O2668" s="1">
        <f t="shared" si="738"/>
        <v>173.1</v>
      </c>
      <c r="P2668" s="1">
        <f t="shared" si="739"/>
        <v>0</v>
      </c>
      <c r="Q2668" s="1" t="str">
        <f t="shared" si="736"/>
        <v/>
      </c>
      <c r="R2668" s="1" t="str">
        <f t="shared" si="740"/>
        <v/>
      </c>
      <c r="S2668" s="1">
        <f t="shared" si="741"/>
        <v>630.90240000000244</v>
      </c>
      <c r="T2668" s="1">
        <f t="shared" si="742"/>
        <v>0</v>
      </c>
      <c r="U2668" s="1">
        <f t="shared" si="743"/>
        <v>0</v>
      </c>
      <c r="V2668" s="1">
        <f t="shared" si="744"/>
        <v>0</v>
      </c>
    </row>
    <row r="2669" spans="5:22" x14ac:dyDescent="0.25">
      <c r="E2669" s="4"/>
      <c r="M2669" s="4">
        <f t="shared" si="737"/>
        <v>173.1</v>
      </c>
      <c r="N2669" s="4"/>
      <c r="O2669" s="1">
        <f t="shared" si="738"/>
        <v>173.1</v>
      </c>
      <c r="P2669" s="1">
        <f t="shared" si="739"/>
        <v>0</v>
      </c>
      <c r="Q2669" s="1" t="str">
        <f t="shared" si="736"/>
        <v/>
      </c>
      <c r="R2669" s="1" t="str">
        <f t="shared" si="740"/>
        <v/>
      </c>
      <c r="S2669" s="1">
        <f t="shared" si="741"/>
        <v>630.90240000000244</v>
      </c>
      <c r="T2669" s="1">
        <f t="shared" si="742"/>
        <v>0</v>
      </c>
      <c r="U2669" s="1">
        <f t="shared" si="743"/>
        <v>0</v>
      </c>
      <c r="V2669" s="1">
        <f t="shared" si="744"/>
        <v>0</v>
      </c>
    </row>
    <row r="2670" spans="5:22" x14ac:dyDescent="0.25">
      <c r="E2670" s="4"/>
      <c r="M2670" s="4">
        <f t="shared" si="737"/>
        <v>173.1</v>
      </c>
      <c r="N2670" s="4"/>
      <c r="O2670" s="1">
        <f t="shared" si="738"/>
        <v>173.1</v>
      </c>
      <c r="P2670" s="1">
        <f t="shared" si="739"/>
        <v>0</v>
      </c>
      <c r="Q2670" s="1" t="str">
        <f t="shared" si="736"/>
        <v/>
      </c>
      <c r="R2670" s="1" t="str">
        <f t="shared" si="740"/>
        <v/>
      </c>
      <c r="S2670" s="1">
        <f t="shared" si="741"/>
        <v>630.90240000000244</v>
      </c>
      <c r="T2670" s="1">
        <f t="shared" si="742"/>
        <v>0</v>
      </c>
      <c r="U2670" s="1">
        <f t="shared" si="743"/>
        <v>0</v>
      </c>
      <c r="V2670" s="1">
        <f t="shared" si="744"/>
        <v>0</v>
      </c>
    </row>
    <row r="2671" spans="5:22" x14ac:dyDescent="0.25">
      <c r="E2671" s="4"/>
      <c r="M2671" s="4">
        <f t="shared" si="737"/>
        <v>173.1</v>
      </c>
      <c r="N2671" s="4"/>
      <c r="O2671" s="1">
        <f t="shared" si="738"/>
        <v>173.1</v>
      </c>
      <c r="P2671" s="1">
        <f t="shared" si="739"/>
        <v>0</v>
      </c>
      <c r="Q2671" s="1" t="str">
        <f t="shared" si="736"/>
        <v/>
      </c>
      <c r="R2671" s="1" t="str">
        <f t="shared" si="740"/>
        <v/>
      </c>
      <c r="S2671" s="1">
        <f t="shared" si="741"/>
        <v>630.90240000000244</v>
      </c>
      <c r="T2671" s="1">
        <f t="shared" si="742"/>
        <v>0</v>
      </c>
      <c r="U2671" s="1">
        <f t="shared" si="743"/>
        <v>0</v>
      </c>
      <c r="V2671" s="1">
        <f t="shared" si="744"/>
        <v>0</v>
      </c>
    </row>
    <row r="2672" spans="5:22" x14ac:dyDescent="0.25">
      <c r="E2672" s="4"/>
      <c r="M2672" s="4">
        <f t="shared" si="737"/>
        <v>173.1</v>
      </c>
      <c r="N2672" s="4"/>
      <c r="O2672" s="1">
        <f t="shared" si="738"/>
        <v>173.1</v>
      </c>
      <c r="P2672" s="1">
        <f t="shared" si="739"/>
        <v>0</v>
      </c>
      <c r="Q2672" s="1" t="str">
        <f t="shared" si="736"/>
        <v/>
      </c>
      <c r="R2672" s="1" t="str">
        <f t="shared" si="740"/>
        <v/>
      </c>
      <c r="S2672" s="1">
        <f t="shared" si="741"/>
        <v>630.90240000000244</v>
      </c>
      <c r="T2672" s="1">
        <f t="shared" si="742"/>
        <v>0</v>
      </c>
      <c r="U2672" s="1">
        <f t="shared" si="743"/>
        <v>0</v>
      </c>
      <c r="V2672" s="1">
        <f t="shared" si="744"/>
        <v>0</v>
      </c>
    </row>
    <row r="2673" spans="5:22" x14ac:dyDescent="0.25">
      <c r="E2673" s="4"/>
      <c r="M2673" s="4">
        <f t="shared" si="737"/>
        <v>173.1</v>
      </c>
      <c r="N2673" s="4"/>
      <c r="O2673" s="1">
        <f t="shared" si="738"/>
        <v>173.1</v>
      </c>
      <c r="P2673" s="1">
        <f t="shared" si="739"/>
        <v>0</v>
      </c>
      <c r="Q2673" s="1" t="str">
        <f t="shared" si="736"/>
        <v/>
      </c>
      <c r="R2673" s="1" t="str">
        <f t="shared" si="740"/>
        <v/>
      </c>
      <c r="S2673" s="1">
        <f t="shared" si="741"/>
        <v>630.90240000000244</v>
      </c>
      <c r="T2673" s="1">
        <f t="shared" si="742"/>
        <v>0</v>
      </c>
      <c r="U2673" s="1">
        <f t="shared" si="743"/>
        <v>0</v>
      </c>
      <c r="V2673" s="1">
        <f t="shared" si="744"/>
        <v>0</v>
      </c>
    </row>
    <row r="2674" spans="5:22" x14ac:dyDescent="0.25">
      <c r="E2674" s="4"/>
      <c r="M2674" s="4">
        <f t="shared" si="737"/>
        <v>173.1</v>
      </c>
      <c r="N2674" s="4"/>
      <c r="O2674" s="1">
        <f t="shared" si="738"/>
        <v>173.1</v>
      </c>
      <c r="P2674" s="1">
        <f t="shared" si="739"/>
        <v>0</v>
      </c>
      <c r="Q2674" s="1" t="str">
        <f t="shared" ref="Q2674:Q2737" si="745">IF(H2674&lt;&gt;"",IF(H2674=H2673,"",H2674),IF(H2672="","",MAX(H2673,Q2673)))</f>
        <v/>
      </c>
      <c r="R2674" s="1" t="str">
        <f t="shared" si="740"/>
        <v/>
      </c>
      <c r="S2674" s="1">
        <f t="shared" si="741"/>
        <v>630.90240000000244</v>
      </c>
      <c r="T2674" s="1">
        <f t="shared" si="742"/>
        <v>0</v>
      </c>
      <c r="U2674" s="1">
        <f t="shared" si="743"/>
        <v>0</v>
      </c>
      <c r="V2674" s="1">
        <f t="shared" si="744"/>
        <v>0</v>
      </c>
    </row>
    <row r="2675" spans="5:22" x14ac:dyDescent="0.25">
      <c r="E2675" s="4"/>
      <c r="M2675" s="4">
        <f t="shared" si="737"/>
        <v>173.1</v>
      </c>
      <c r="N2675" s="4"/>
      <c r="O2675" s="1">
        <f t="shared" si="738"/>
        <v>173.1</v>
      </c>
      <c r="P2675" s="1">
        <f t="shared" si="739"/>
        <v>0</v>
      </c>
      <c r="Q2675" s="1" t="str">
        <f t="shared" si="745"/>
        <v/>
      </c>
      <c r="R2675" s="1" t="str">
        <f t="shared" si="740"/>
        <v/>
      </c>
      <c r="S2675" s="1">
        <f t="shared" si="741"/>
        <v>630.90240000000244</v>
      </c>
      <c r="T2675" s="1">
        <f t="shared" si="742"/>
        <v>0</v>
      </c>
      <c r="U2675" s="1">
        <f t="shared" si="743"/>
        <v>0</v>
      </c>
      <c r="V2675" s="1">
        <f t="shared" si="744"/>
        <v>0</v>
      </c>
    </row>
    <row r="2676" spans="5:22" x14ac:dyDescent="0.25">
      <c r="E2676" s="4"/>
      <c r="M2676" s="4">
        <f t="shared" si="737"/>
        <v>173.1</v>
      </c>
      <c r="N2676" s="4"/>
      <c r="O2676" s="1">
        <f t="shared" si="738"/>
        <v>173.1</v>
      </c>
      <c r="P2676" s="1">
        <f t="shared" si="739"/>
        <v>0</v>
      </c>
      <c r="Q2676" s="1" t="str">
        <f t="shared" si="745"/>
        <v/>
      </c>
      <c r="R2676" s="1" t="str">
        <f t="shared" si="740"/>
        <v/>
      </c>
      <c r="S2676" s="1">
        <f t="shared" si="741"/>
        <v>630.90240000000244</v>
      </c>
      <c r="T2676" s="1">
        <f t="shared" si="742"/>
        <v>0</v>
      </c>
      <c r="U2676" s="1">
        <f t="shared" si="743"/>
        <v>0</v>
      </c>
      <c r="V2676" s="1">
        <f t="shared" si="744"/>
        <v>0</v>
      </c>
    </row>
    <row r="2677" spans="5:22" x14ac:dyDescent="0.25">
      <c r="E2677" s="4"/>
      <c r="M2677" s="4">
        <f t="shared" si="737"/>
        <v>173.1</v>
      </c>
      <c r="N2677" s="4"/>
      <c r="O2677" s="1">
        <f t="shared" si="738"/>
        <v>173.1</v>
      </c>
      <c r="P2677" s="1">
        <f t="shared" si="739"/>
        <v>0</v>
      </c>
      <c r="Q2677" s="1" t="str">
        <f t="shared" si="745"/>
        <v/>
      </c>
      <c r="R2677" s="1" t="str">
        <f t="shared" si="740"/>
        <v/>
      </c>
      <c r="S2677" s="1">
        <f t="shared" si="741"/>
        <v>630.90240000000244</v>
      </c>
      <c r="T2677" s="1">
        <f t="shared" si="742"/>
        <v>0</v>
      </c>
      <c r="U2677" s="1">
        <f t="shared" si="743"/>
        <v>0</v>
      </c>
      <c r="V2677" s="1">
        <f t="shared" si="744"/>
        <v>0</v>
      </c>
    </row>
    <row r="2678" spans="5:22" x14ac:dyDescent="0.25">
      <c r="E2678" s="4"/>
      <c r="M2678" s="4">
        <f t="shared" si="737"/>
        <v>173.1</v>
      </c>
      <c r="N2678" s="4"/>
      <c r="O2678" s="1">
        <f t="shared" si="738"/>
        <v>173.1</v>
      </c>
      <c r="P2678" s="1">
        <f t="shared" si="739"/>
        <v>0</v>
      </c>
      <c r="Q2678" s="1" t="str">
        <f t="shared" si="745"/>
        <v/>
      </c>
      <c r="R2678" s="1" t="str">
        <f t="shared" si="740"/>
        <v/>
      </c>
      <c r="S2678" s="1">
        <f t="shared" si="741"/>
        <v>630.90240000000244</v>
      </c>
      <c r="T2678" s="1">
        <f t="shared" si="742"/>
        <v>0</v>
      </c>
      <c r="U2678" s="1">
        <f t="shared" si="743"/>
        <v>0</v>
      </c>
      <c r="V2678" s="1">
        <f t="shared" si="744"/>
        <v>0</v>
      </c>
    </row>
    <row r="2679" spans="5:22" x14ac:dyDescent="0.25">
      <c r="E2679" s="4"/>
      <c r="M2679" s="4">
        <f t="shared" si="737"/>
        <v>173.1</v>
      </c>
      <c r="N2679" s="4"/>
      <c r="O2679" s="1">
        <f t="shared" si="738"/>
        <v>173.1</v>
      </c>
      <c r="P2679" s="1">
        <f t="shared" si="739"/>
        <v>0</v>
      </c>
      <c r="Q2679" s="1" t="str">
        <f t="shared" si="745"/>
        <v/>
      </c>
      <c r="R2679" s="1" t="str">
        <f t="shared" si="740"/>
        <v/>
      </c>
      <c r="S2679" s="1">
        <f t="shared" si="741"/>
        <v>630.90240000000244</v>
      </c>
      <c r="T2679" s="1">
        <f t="shared" si="742"/>
        <v>0</v>
      </c>
      <c r="U2679" s="1">
        <f t="shared" si="743"/>
        <v>0</v>
      </c>
      <c r="V2679" s="1">
        <f t="shared" si="744"/>
        <v>0</v>
      </c>
    </row>
    <row r="2680" spans="5:22" x14ac:dyDescent="0.25">
      <c r="E2680" s="4"/>
      <c r="M2680" s="4">
        <f t="shared" si="737"/>
        <v>173.1</v>
      </c>
      <c r="N2680" s="4"/>
      <c r="O2680" s="1">
        <f t="shared" si="738"/>
        <v>173.1</v>
      </c>
      <c r="P2680" s="1">
        <f t="shared" si="739"/>
        <v>0</v>
      </c>
      <c r="Q2680" s="1" t="str">
        <f t="shared" si="745"/>
        <v/>
      </c>
      <c r="R2680" s="1" t="str">
        <f t="shared" si="740"/>
        <v/>
      </c>
      <c r="S2680" s="1">
        <f t="shared" si="741"/>
        <v>630.90240000000244</v>
      </c>
      <c r="T2680" s="1">
        <f t="shared" si="742"/>
        <v>0</v>
      </c>
      <c r="U2680" s="1">
        <f t="shared" si="743"/>
        <v>0</v>
      </c>
      <c r="V2680" s="1">
        <f t="shared" si="744"/>
        <v>0</v>
      </c>
    </row>
    <row r="2681" spans="5:22" x14ac:dyDescent="0.25">
      <c r="E2681" s="4"/>
      <c r="M2681" s="4">
        <f t="shared" si="737"/>
        <v>173.1</v>
      </c>
      <c r="N2681" s="4"/>
      <c r="O2681" s="1">
        <f t="shared" si="738"/>
        <v>173.1</v>
      </c>
      <c r="P2681" s="1">
        <f t="shared" si="739"/>
        <v>0</v>
      </c>
      <c r="Q2681" s="1" t="str">
        <f t="shared" si="745"/>
        <v/>
      </c>
      <c r="R2681" s="1" t="str">
        <f t="shared" si="740"/>
        <v/>
      </c>
      <c r="S2681" s="1">
        <f t="shared" si="741"/>
        <v>630.90240000000244</v>
      </c>
      <c r="T2681" s="1">
        <f t="shared" si="742"/>
        <v>0</v>
      </c>
      <c r="U2681" s="1">
        <f t="shared" si="743"/>
        <v>0</v>
      </c>
      <c r="V2681" s="1">
        <f t="shared" si="744"/>
        <v>0</v>
      </c>
    </row>
    <row r="2682" spans="5:22" x14ac:dyDescent="0.25">
      <c r="E2682" s="4"/>
      <c r="M2682" s="4">
        <f t="shared" si="737"/>
        <v>173.1</v>
      </c>
      <c r="N2682" s="4"/>
      <c r="O2682" s="1">
        <f t="shared" si="738"/>
        <v>173.1</v>
      </c>
      <c r="P2682" s="1">
        <f t="shared" si="739"/>
        <v>0</v>
      </c>
      <c r="Q2682" s="1" t="str">
        <f t="shared" si="745"/>
        <v/>
      </c>
      <c r="R2682" s="1" t="str">
        <f t="shared" si="740"/>
        <v/>
      </c>
      <c r="S2682" s="1">
        <f t="shared" si="741"/>
        <v>630.90240000000244</v>
      </c>
      <c r="T2682" s="1">
        <f t="shared" si="742"/>
        <v>0</v>
      </c>
      <c r="U2682" s="1">
        <f t="shared" si="743"/>
        <v>0</v>
      </c>
      <c r="V2682" s="1">
        <f t="shared" si="744"/>
        <v>0</v>
      </c>
    </row>
    <row r="2683" spans="5:22" x14ac:dyDescent="0.25">
      <c r="E2683" s="4"/>
      <c r="M2683" s="4">
        <f t="shared" si="737"/>
        <v>173.1</v>
      </c>
      <c r="N2683" s="4"/>
      <c r="O2683" s="1">
        <f t="shared" si="738"/>
        <v>173.1</v>
      </c>
      <c r="P2683" s="1">
        <f t="shared" si="739"/>
        <v>0</v>
      </c>
      <c r="Q2683" s="1" t="str">
        <f t="shared" si="745"/>
        <v/>
      </c>
      <c r="R2683" s="1" t="str">
        <f t="shared" si="740"/>
        <v/>
      </c>
      <c r="S2683" s="1">
        <f t="shared" si="741"/>
        <v>630.90240000000244</v>
      </c>
      <c r="T2683" s="1">
        <f t="shared" si="742"/>
        <v>0</v>
      </c>
      <c r="U2683" s="1">
        <f t="shared" si="743"/>
        <v>0</v>
      </c>
      <c r="V2683" s="1">
        <f t="shared" si="744"/>
        <v>0</v>
      </c>
    </row>
    <row r="2684" spans="5:22" x14ac:dyDescent="0.25">
      <c r="E2684" s="4"/>
      <c r="M2684" s="4">
        <f t="shared" si="737"/>
        <v>173.1</v>
      </c>
      <c r="N2684" s="4"/>
      <c r="O2684" s="1">
        <f t="shared" si="738"/>
        <v>173.1</v>
      </c>
      <c r="P2684" s="1">
        <f t="shared" si="739"/>
        <v>0</v>
      </c>
      <c r="Q2684" s="1" t="str">
        <f t="shared" si="745"/>
        <v/>
      </c>
      <c r="R2684" s="1" t="str">
        <f t="shared" si="740"/>
        <v/>
      </c>
      <c r="S2684" s="1">
        <f t="shared" si="741"/>
        <v>630.90240000000244</v>
      </c>
      <c r="T2684" s="1">
        <f t="shared" si="742"/>
        <v>0</v>
      </c>
      <c r="U2684" s="1">
        <f t="shared" si="743"/>
        <v>0</v>
      </c>
      <c r="V2684" s="1">
        <f t="shared" si="744"/>
        <v>0</v>
      </c>
    </row>
    <row r="2685" spans="5:22" x14ac:dyDescent="0.25">
      <c r="E2685" s="4"/>
      <c r="M2685" s="4">
        <f t="shared" si="737"/>
        <v>173.1</v>
      </c>
      <c r="N2685" s="4"/>
      <c r="O2685" s="1">
        <f t="shared" si="738"/>
        <v>173.1</v>
      </c>
      <c r="P2685" s="1">
        <f t="shared" si="739"/>
        <v>0</v>
      </c>
      <c r="Q2685" s="1" t="str">
        <f t="shared" si="745"/>
        <v/>
      </c>
      <c r="R2685" s="1" t="str">
        <f t="shared" si="740"/>
        <v/>
      </c>
      <c r="S2685" s="1">
        <f t="shared" si="741"/>
        <v>630.90240000000244</v>
      </c>
      <c r="T2685" s="1">
        <f t="shared" si="742"/>
        <v>0</v>
      </c>
      <c r="U2685" s="1">
        <f t="shared" si="743"/>
        <v>0</v>
      </c>
      <c r="V2685" s="1">
        <f t="shared" si="744"/>
        <v>0</v>
      </c>
    </row>
    <row r="2686" spans="5:22" x14ac:dyDescent="0.25">
      <c r="E2686" s="4"/>
      <c r="M2686" s="4">
        <f t="shared" si="737"/>
        <v>173.1</v>
      </c>
      <c r="N2686" s="4"/>
      <c r="O2686" s="1">
        <f t="shared" si="738"/>
        <v>173.1</v>
      </c>
      <c r="P2686" s="1">
        <f t="shared" si="739"/>
        <v>0</v>
      </c>
      <c r="Q2686" s="1" t="str">
        <f t="shared" si="745"/>
        <v/>
      </c>
      <c r="R2686" s="1" t="str">
        <f t="shared" si="740"/>
        <v/>
      </c>
      <c r="S2686" s="1">
        <f t="shared" si="741"/>
        <v>630.90240000000244</v>
      </c>
      <c r="T2686" s="1">
        <f t="shared" si="742"/>
        <v>0</v>
      </c>
      <c r="U2686" s="1">
        <f t="shared" si="743"/>
        <v>0</v>
      </c>
      <c r="V2686" s="1">
        <f t="shared" si="744"/>
        <v>0</v>
      </c>
    </row>
    <row r="2687" spans="5:22" x14ac:dyDescent="0.25">
      <c r="E2687" s="4"/>
      <c r="M2687" s="4">
        <f t="shared" si="737"/>
        <v>173.1</v>
      </c>
      <c r="N2687" s="4"/>
      <c r="O2687" s="1">
        <f t="shared" si="738"/>
        <v>173.1</v>
      </c>
      <c r="P2687" s="1">
        <f t="shared" si="739"/>
        <v>0</v>
      </c>
      <c r="Q2687" s="1" t="str">
        <f t="shared" si="745"/>
        <v/>
      </c>
      <c r="R2687" s="1" t="str">
        <f t="shared" si="740"/>
        <v/>
      </c>
      <c r="S2687" s="1">
        <f t="shared" si="741"/>
        <v>630.90240000000244</v>
      </c>
      <c r="T2687" s="1">
        <f t="shared" si="742"/>
        <v>0</v>
      </c>
      <c r="U2687" s="1">
        <f t="shared" si="743"/>
        <v>0</v>
      </c>
      <c r="V2687" s="1">
        <f t="shared" si="744"/>
        <v>0</v>
      </c>
    </row>
    <row r="2688" spans="5:22" x14ac:dyDescent="0.25">
      <c r="E2688" s="4"/>
      <c r="M2688" s="4">
        <f t="shared" si="737"/>
        <v>173.1</v>
      </c>
      <c r="N2688" s="4"/>
      <c r="O2688" s="1">
        <f t="shared" si="738"/>
        <v>173.1</v>
      </c>
      <c r="P2688" s="1">
        <f t="shared" si="739"/>
        <v>0</v>
      </c>
      <c r="Q2688" s="1" t="str">
        <f t="shared" si="745"/>
        <v/>
      </c>
      <c r="R2688" s="1" t="str">
        <f t="shared" si="740"/>
        <v/>
      </c>
      <c r="S2688" s="1">
        <f t="shared" si="741"/>
        <v>630.90240000000244</v>
      </c>
      <c r="T2688" s="1">
        <f t="shared" si="742"/>
        <v>0</v>
      </c>
      <c r="U2688" s="1">
        <f t="shared" si="743"/>
        <v>0</v>
      </c>
      <c r="V2688" s="1">
        <f t="shared" si="744"/>
        <v>0</v>
      </c>
    </row>
    <row r="2689" spans="5:22" x14ac:dyDescent="0.25">
      <c r="E2689" s="4"/>
      <c r="M2689" s="4">
        <f t="shared" si="737"/>
        <v>173.1</v>
      </c>
      <c r="N2689" s="4"/>
      <c r="O2689" s="1">
        <f t="shared" si="738"/>
        <v>173.1</v>
      </c>
      <c r="P2689" s="1">
        <f t="shared" si="739"/>
        <v>0</v>
      </c>
      <c r="Q2689" s="1" t="str">
        <f t="shared" si="745"/>
        <v/>
      </c>
      <c r="R2689" s="1" t="str">
        <f t="shared" si="740"/>
        <v/>
      </c>
      <c r="S2689" s="1">
        <f t="shared" si="741"/>
        <v>630.90240000000244</v>
      </c>
      <c r="T2689" s="1">
        <f t="shared" si="742"/>
        <v>0</v>
      </c>
      <c r="U2689" s="1">
        <f t="shared" si="743"/>
        <v>0</v>
      </c>
      <c r="V2689" s="1">
        <f t="shared" si="744"/>
        <v>0</v>
      </c>
    </row>
    <row r="2690" spans="5:22" x14ac:dyDescent="0.25">
      <c r="E2690" s="4"/>
      <c r="M2690" s="4">
        <f t="shared" si="737"/>
        <v>173.1</v>
      </c>
      <c r="N2690" s="4"/>
      <c r="O2690" s="1">
        <f t="shared" si="738"/>
        <v>173.1</v>
      </c>
      <c r="P2690" s="1">
        <f t="shared" si="739"/>
        <v>0</v>
      </c>
      <c r="Q2690" s="1" t="str">
        <f t="shared" si="745"/>
        <v/>
      </c>
      <c r="R2690" s="1" t="str">
        <f t="shared" si="740"/>
        <v/>
      </c>
      <c r="S2690" s="1">
        <f t="shared" si="741"/>
        <v>630.90240000000244</v>
      </c>
      <c r="T2690" s="1">
        <f t="shared" si="742"/>
        <v>0</v>
      </c>
      <c r="U2690" s="1">
        <f t="shared" si="743"/>
        <v>0</v>
      </c>
      <c r="V2690" s="1">
        <f t="shared" si="744"/>
        <v>0</v>
      </c>
    </row>
    <row r="2691" spans="5:22" x14ac:dyDescent="0.25">
      <c r="E2691" s="4"/>
      <c r="M2691" s="4">
        <f t="shared" si="737"/>
        <v>173.1</v>
      </c>
      <c r="N2691" s="4"/>
      <c r="O2691" s="1">
        <f t="shared" si="738"/>
        <v>173.1</v>
      </c>
      <c r="P2691" s="1">
        <f t="shared" si="739"/>
        <v>0</v>
      </c>
      <c r="Q2691" s="1" t="str">
        <f t="shared" si="745"/>
        <v/>
      </c>
      <c r="R2691" s="1" t="str">
        <f t="shared" si="740"/>
        <v/>
      </c>
      <c r="S2691" s="1">
        <f t="shared" si="741"/>
        <v>630.90240000000244</v>
      </c>
      <c r="T2691" s="1">
        <f t="shared" si="742"/>
        <v>0</v>
      </c>
      <c r="U2691" s="1">
        <f t="shared" si="743"/>
        <v>0</v>
      </c>
      <c r="V2691" s="1">
        <f t="shared" si="744"/>
        <v>0</v>
      </c>
    </row>
    <row r="2692" spans="5:22" x14ac:dyDescent="0.25">
      <c r="E2692" s="4"/>
      <c r="M2692" s="4">
        <f t="shared" si="737"/>
        <v>173.1</v>
      </c>
      <c r="N2692" s="4"/>
      <c r="O2692" s="1">
        <f t="shared" si="738"/>
        <v>173.1</v>
      </c>
      <c r="P2692" s="1">
        <f t="shared" si="739"/>
        <v>0</v>
      </c>
      <c r="Q2692" s="1" t="str">
        <f t="shared" si="745"/>
        <v/>
      </c>
      <c r="R2692" s="1" t="str">
        <f t="shared" si="740"/>
        <v/>
      </c>
      <c r="S2692" s="1">
        <f t="shared" si="741"/>
        <v>630.90240000000244</v>
      </c>
      <c r="T2692" s="1">
        <f t="shared" si="742"/>
        <v>0</v>
      </c>
      <c r="U2692" s="1">
        <f t="shared" si="743"/>
        <v>0</v>
      </c>
      <c r="V2692" s="1">
        <f t="shared" si="744"/>
        <v>0</v>
      </c>
    </row>
    <row r="2693" spans="5:22" x14ac:dyDescent="0.25">
      <c r="E2693" s="4"/>
      <c r="M2693" s="4">
        <f t="shared" si="737"/>
        <v>173.1</v>
      </c>
      <c r="N2693" s="4"/>
      <c r="O2693" s="1">
        <f t="shared" si="738"/>
        <v>173.1</v>
      </c>
      <c r="P2693" s="1">
        <f t="shared" si="739"/>
        <v>0</v>
      </c>
      <c r="Q2693" s="1" t="str">
        <f t="shared" si="745"/>
        <v/>
      </c>
      <c r="R2693" s="1" t="str">
        <f t="shared" si="740"/>
        <v/>
      </c>
      <c r="S2693" s="1">
        <f t="shared" si="741"/>
        <v>630.90240000000244</v>
      </c>
      <c r="T2693" s="1">
        <f t="shared" si="742"/>
        <v>0</v>
      </c>
      <c r="U2693" s="1">
        <f t="shared" si="743"/>
        <v>0</v>
      </c>
      <c r="V2693" s="1">
        <f t="shared" si="744"/>
        <v>0</v>
      </c>
    </row>
    <row r="2694" spans="5:22" x14ac:dyDescent="0.25">
      <c r="E2694" s="4"/>
      <c r="M2694" s="4">
        <f t="shared" si="737"/>
        <v>173.1</v>
      </c>
      <c r="N2694" s="4"/>
      <c r="O2694" s="1">
        <f t="shared" si="738"/>
        <v>173.1</v>
      </c>
      <c r="P2694" s="1">
        <f t="shared" si="739"/>
        <v>0</v>
      </c>
      <c r="Q2694" s="1" t="str">
        <f t="shared" si="745"/>
        <v/>
      </c>
      <c r="R2694" s="1" t="str">
        <f t="shared" si="740"/>
        <v/>
      </c>
      <c r="S2694" s="1">
        <f t="shared" si="741"/>
        <v>630.90240000000244</v>
      </c>
      <c r="T2694" s="1">
        <f t="shared" si="742"/>
        <v>0</v>
      </c>
      <c r="U2694" s="1">
        <f t="shared" si="743"/>
        <v>0</v>
      </c>
      <c r="V2694" s="1">
        <f t="shared" si="744"/>
        <v>0</v>
      </c>
    </row>
    <row r="2695" spans="5:22" x14ac:dyDescent="0.25">
      <c r="E2695" s="4"/>
      <c r="M2695" s="4">
        <f t="shared" si="737"/>
        <v>173.1</v>
      </c>
      <c r="N2695" s="4"/>
      <c r="O2695" s="1">
        <f t="shared" si="738"/>
        <v>173.1</v>
      </c>
      <c r="P2695" s="1">
        <f t="shared" si="739"/>
        <v>0</v>
      </c>
      <c r="Q2695" s="1" t="str">
        <f t="shared" si="745"/>
        <v/>
      </c>
      <c r="R2695" s="1" t="str">
        <f t="shared" si="740"/>
        <v/>
      </c>
      <c r="S2695" s="1">
        <f t="shared" si="741"/>
        <v>630.90240000000244</v>
      </c>
      <c r="T2695" s="1">
        <f t="shared" si="742"/>
        <v>0</v>
      </c>
      <c r="U2695" s="1">
        <f t="shared" si="743"/>
        <v>0</v>
      </c>
      <c r="V2695" s="1">
        <f t="shared" si="744"/>
        <v>0</v>
      </c>
    </row>
    <row r="2696" spans="5:22" x14ac:dyDescent="0.25">
      <c r="E2696" s="4"/>
      <c r="M2696" s="4">
        <f t="shared" ref="M2696:M2759" si="746">E2696+M2695</f>
        <v>173.1</v>
      </c>
      <c r="N2696" s="4"/>
      <c r="O2696" s="1">
        <f t="shared" ref="O2696:O2759" si="747">E2695+O2695</f>
        <v>173.1</v>
      </c>
      <c r="P2696" s="1">
        <f t="shared" ref="P2696:P2759" si="748">F2696*52.8*E2696</f>
        <v>0</v>
      </c>
      <c r="Q2696" s="1" t="str">
        <f t="shared" si="745"/>
        <v/>
      </c>
      <c r="R2696" s="1" t="str">
        <f t="shared" ref="R2696:R2759" si="749">IF(I2696="",Q2696,IF(AND(H2696=H2695,I2696=I2695),"",I2696))</f>
        <v/>
      </c>
      <c r="S2696" s="1">
        <f t="shared" ref="S2696:S2759" si="750">S2695+U2695*T2695/100</f>
        <v>630.90240000000244</v>
      </c>
      <c r="T2696" s="1">
        <f t="shared" ref="T2696:T2759" si="751">IF(G2696="UNK",0,G2696)</f>
        <v>0</v>
      </c>
      <c r="U2696" s="1">
        <f t="shared" ref="U2696:U2759" si="752">E2696*5280</f>
        <v>0</v>
      </c>
      <c r="V2696" s="1">
        <f t="shared" ref="V2696:V2759" si="753">ABS(T2696*U2696)</f>
        <v>0</v>
      </c>
    </row>
    <row r="2697" spans="5:22" x14ac:dyDescent="0.25">
      <c r="E2697" s="4"/>
      <c r="M2697" s="4">
        <f t="shared" si="746"/>
        <v>173.1</v>
      </c>
      <c r="N2697" s="4"/>
      <c r="O2697" s="1">
        <f t="shared" si="747"/>
        <v>173.1</v>
      </c>
      <c r="P2697" s="1">
        <f t="shared" si="748"/>
        <v>0</v>
      </c>
      <c r="Q2697" s="1" t="str">
        <f t="shared" si="745"/>
        <v/>
      </c>
      <c r="R2697" s="1" t="str">
        <f t="shared" si="749"/>
        <v/>
      </c>
      <c r="S2697" s="1">
        <f t="shared" si="750"/>
        <v>630.90240000000244</v>
      </c>
      <c r="T2697" s="1">
        <f t="shared" si="751"/>
        <v>0</v>
      </c>
      <c r="U2697" s="1">
        <f t="shared" si="752"/>
        <v>0</v>
      </c>
      <c r="V2697" s="1">
        <f t="shared" si="753"/>
        <v>0</v>
      </c>
    </row>
    <row r="2698" spans="5:22" x14ac:dyDescent="0.25">
      <c r="E2698" s="4"/>
      <c r="M2698" s="4">
        <f t="shared" si="746"/>
        <v>173.1</v>
      </c>
      <c r="N2698" s="4"/>
      <c r="O2698" s="1">
        <f t="shared" si="747"/>
        <v>173.1</v>
      </c>
      <c r="P2698" s="1">
        <f t="shared" si="748"/>
        <v>0</v>
      </c>
      <c r="Q2698" s="1" t="str">
        <f t="shared" si="745"/>
        <v/>
      </c>
      <c r="R2698" s="1" t="str">
        <f t="shared" si="749"/>
        <v/>
      </c>
      <c r="S2698" s="1">
        <f t="shared" si="750"/>
        <v>630.90240000000244</v>
      </c>
      <c r="T2698" s="1">
        <f t="shared" si="751"/>
        <v>0</v>
      </c>
      <c r="U2698" s="1">
        <f t="shared" si="752"/>
        <v>0</v>
      </c>
      <c r="V2698" s="1">
        <f t="shared" si="753"/>
        <v>0</v>
      </c>
    </row>
    <row r="2699" spans="5:22" x14ac:dyDescent="0.25">
      <c r="E2699" s="4"/>
      <c r="M2699" s="4">
        <f t="shared" si="746"/>
        <v>173.1</v>
      </c>
      <c r="N2699" s="4"/>
      <c r="O2699" s="1">
        <f t="shared" si="747"/>
        <v>173.1</v>
      </c>
      <c r="P2699" s="1">
        <f t="shared" si="748"/>
        <v>0</v>
      </c>
      <c r="Q2699" s="1" t="str">
        <f t="shared" si="745"/>
        <v/>
      </c>
      <c r="R2699" s="1" t="str">
        <f t="shared" si="749"/>
        <v/>
      </c>
      <c r="S2699" s="1">
        <f t="shared" si="750"/>
        <v>630.90240000000244</v>
      </c>
      <c r="T2699" s="1">
        <f t="shared" si="751"/>
        <v>0</v>
      </c>
      <c r="U2699" s="1">
        <f t="shared" si="752"/>
        <v>0</v>
      </c>
      <c r="V2699" s="1">
        <f t="shared" si="753"/>
        <v>0</v>
      </c>
    </row>
    <row r="2700" spans="5:22" x14ac:dyDescent="0.25">
      <c r="E2700" s="4"/>
      <c r="M2700" s="4">
        <f t="shared" si="746"/>
        <v>173.1</v>
      </c>
      <c r="N2700" s="4"/>
      <c r="O2700" s="1">
        <f t="shared" si="747"/>
        <v>173.1</v>
      </c>
      <c r="P2700" s="1">
        <f t="shared" si="748"/>
        <v>0</v>
      </c>
      <c r="Q2700" s="1" t="str">
        <f t="shared" si="745"/>
        <v/>
      </c>
      <c r="R2700" s="1" t="str">
        <f t="shared" si="749"/>
        <v/>
      </c>
      <c r="S2700" s="1">
        <f t="shared" si="750"/>
        <v>630.90240000000244</v>
      </c>
      <c r="T2700" s="1">
        <f t="shared" si="751"/>
        <v>0</v>
      </c>
      <c r="U2700" s="1">
        <f t="shared" si="752"/>
        <v>0</v>
      </c>
      <c r="V2700" s="1">
        <f t="shared" si="753"/>
        <v>0</v>
      </c>
    </row>
    <row r="2701" spans="5:22" x14ac:dyDescent="0.25">
      <c r="E2701" s="4"/>
      <c r="M2701" s="4">
        <f t="shared" si="746"/>
        <v>173.1</v>
      </c>
      <c r="N2701" s="4"/>
      <c r="O2701" s="1">
        <f t="shared" si="747"/>
        <v>173.1</v>
      </c>
      <c r="P2701" s="1">
        <f t="shared" si="748"/>
        <v>0</v>
      </c>
      <c r="Q2701" s="1" t="str">
        <f t="shared" si="745"/>
        <v/>
      </c>
      <c r="R2701" s="1" t="str">
        <f t="shared" si="749"/>
        <v/>
      </c>
      <c r="S2701" s="1">
        <f t="shared" si="750"/>
        <v>630.90240000000244</v>
      </c>
      <c r="T2701" s="1">
        <f t="shared" si="751"/>
        <v>0</v>
      </c>
      <c r="U2701" s="1">
        <f t="shared" si="752"/>
        <v>0</v>
      </c>
      <c r="V2701" s="1">
        <f t="shared" si="753"/>
        <v>0</v>
      </c>
    </row>
    <row r="2702" spans="5:22" x14ac:dyDescent="0.25">
      <c r="E2702" s="4"/>
      <c r="M2702" s="4">
        <f t="shared" si="746"/>
        <v>173.1</v>
      </c>
      <c r="N2702" s="4"/>
      <c r="O2702" s="1">
        <f t="shared" si="747"/>
        <v>173.1</v>
      </c>
      <c r="P2702" s="1">
        <f t="shared" si="748"/>
        <v>0</v>
      </c>
      <c r="Q2702" s="1" t="str">
        <f t="shared" si="745"/>
        <v/>
      </c>
      <c r="R2702" s="1" t="str">
        <f t="shared" si="749"/>
        <v/>
      </c>
      <c r="S2702" s="1">
        <f t="shared" si="750"/>
        <v>630.90240000000244</v>
      </c>
      <c r="T2702" s="1">
        <f t="shared" si="751"/>
        <v>0</v>
      </c>
      <c r="U2702" s="1">
        <f t="shared" si="752"/>
        <v>0</v>
      </c>
      <c r="V2702" s="1">
        <f t="shared" si="753"/>
        <v>0</v>
      </c>
    </row>
    <row r="2703" spans="5:22" x14ac:dyDescent="0.25">
      <c r="E2703" s="4"/>
      <c r="M2703" s="4">
        <f t="shared" si="746"/>
        <v>173.1</v>
      </c>
      <c r="N2703" s="4"/>
      <c r="O2703" s="1">
        <f t="shared" si="747"/>
        <v>173.1</v>
      </c>
      <c r="P2703" s="1">
        <f t="shared" si="748"/>
        <v>0</v>
      </c>
      <c r="Q2703" s="1" t="str">
        <f t="shared" si="745"/>
        <v/>
      </c>
      <c r="R2703" s="1" t="str">
        <f t="shared" si="749"/>
        <v/>
      </c>
      <c r="S2703" s="1">
        <f t="shared" si="750"/>
        <v>630.90240000000244</v>
      </c>
      <c r="T2703" s="1">
        <f t="shared" si="751"/>
        <v>0</v>
      </c>
      <c r="U2703" s="1">
        <f t="shared" si="752"/>
        <v>0</v>
      </c>
      <c r="V2703" s="1">
        <f t="shared" si="753"/>
        <v>0</v>
      </c>
    </row>
    <row r="2704" spans="5:22" x14ac:dyDescent="0.25">
      <c r="E2704" s="4"/>
      <c r="M2704" s="4">
        <f t="shared" si="746"/>
        <v>173.1</v>
      </c>
      <c r="N2704" s="4"/>
      <c r="O2704" s="1">
        <f t="shared" si="747"/>
        <v>173.1</v>
      </c>
      <c r="P2704" s="1">
        <f t="shared" si="748"/>
        <v>0</v>
      </c>
      <c r="Q2704" s="1" t="str">
        <f t="shared" si="745"/>
        <v/>
      </c>
      <c r="R2704" s="1" t="str">
        <f t="shared" si="749"/>
        <v/>
      </c>
      <c r="S2704" s="1">
        <f t="shared" si="750"/>
        <v>630.90240000000244</v>
      </c>
      <c r="T2704" s="1">
        <f t="shared" si="751"/>
        <v>0</v>
      </c>
      <c r="U2704" s="1">
        <f t="shared" si="752"/>
        <v>0</v>
      </c>
      <c r="V2704" s="1">
        <f t="shared" si="753"/>
        <v>0</v>
      </c>
    </row>
    <row r="2705" spans="5:22" x14ac:dyDescent="0.25">
      <c r="E2705" s="4"/>
      <c r="M2705" s="4">
        <f t="shared" si="746"/>
        <v>173.1</v>
      </c>
      <c r="N2705" s="4"/>
      <c r="O2705" s="1">
        <f t="shared" si="747"/>
        <v>173.1</v>
      </c>
      <c r="P2705" s="1">
        <f t="shared" si="748"/>
        <v>0</v>
      </c>
      <c r="Q2705" s="1" t="str">
        <f t="shared" si="745"/>
        <v/>
      </c>
      <c r="R2705" s="1" t="str">
        <f t="shared" si="749"/>
        <v/>
      </c>
      <c r="S2705" s="1">
        <f t="shared" si="750"/>
        <v>630.90240000000244</v>
      </c>
      <c r="T2705" s="1">
        <f t="shared" si="751"/>
        <v>0</v>
      </c>
      <c r="U2705" s="1">
        <f t="shared" si="752"/>
        <v>0</v>
      </c>
      <c r="V2705" s="1">
        <f t="shared" si="753"/>
        <v>0</v>
      </c>
    </row>
    <row r="2706" spans="5:22" x14ac:dyDescent="0.25">
      <c r="E2706" s="4"/>
      <c r="M2706" s="4">
        <f t="shared" si="746"/>
        <v>173.1</v>
      </c>
      <c r="N2706" s="4"/>
      <c r="O2706" s="1">
        <f t="shared" si="747"/>
        <v>173.1</v>
      </c>
      <c r="P2706" s="1">
        <f t="shared" si="748"/>
        <v>0</v>
      </c>
      <c r="Q2706" s="1" t="str">
        <f t="shared" si="745"/>
        <v/>
      </c>
      <c r="R2706" s="1" t="str">
        <f t="shared" si="749"/>
        <v/>
      </c>
      <c r="S2706" s="1">
        <f t="shared" si="750"/>
        <v>630.90240000000244</v>
      </c>
      <c r="T2706" s="1">
        <f t="shared" si="751"/>
        <v>0</v>
      </c>
      <c r="U2706" s="1">
        <f t="shared" si="752"/>
        <v>0</v>
      </c>
      <c r="V2706" s="1">
        <f t="shared" si="753"/>
        <v>0</v>
      </c>
    </row>
    <row r="2707" spans="5:22" x14ac:dyDescent="0.25">
      <c r="E2707" s="4"/>
      <c r="M2707" s="4">
        <f t="shared" si="746"/>
        <v>173.1</v>
      </c>
      <c r="N2707" s="4"/>
      <c r="O2707" s="1">
        <f t="shared" si="747"/>
        <v>173.1</v>
      </c>
      <c r="P2707" s="1">
        <f t="shared" si="748"/>
        <v>0</v>
      </c>
      <c r="Q2707" s="1" t="str">
        <f t="shared" si="745"/>
        <v/>
      </c>
      <c r="R2707" s="1" t="str">
        <f t="shared" si="749"/>
        <v/>
      </c>
      <c r="S2707" s="1">
        <f t="shared" si="750"/>
        <v>630.90240000000244</v>
      </c>
      <c r="T2707" s="1">
        <f t="shared" si="751"/>
        <v>0</v>
      </c>
      <c r="U2707" s="1">
        <f t="shared" si="752"/>
        <v>0</v>
      </c>
      <c r="V2707" s="1">
        <f t="shared" si="753"/>
        <v>0</v>
      </c>
    </row>
    <row r="2708" spans="5:22" x14ac:dyDescent="0.25">
      <c r="E2708" s="4"/>
      <c r="M2708" s="4">
        <f t="shared" si="746"/>
        <v>173.1</v>
      </c>
      <c r="N2708" s="4"/>
      <c r="O2708" s="1">
        <f t="shared" si="747"/>
        <v>173.1</v>
      </c>
      <c r="P2708" s="1">
        <f t="shared" si="748"/>
        <v>0</v>
      </c>
      <c r="Q2708" s="1" t="str">
        <f t="shared" si="745"/>
        <v/>
      </c>
      <c r="R2708" s="1" t="str">
        <f t="shared" si="749"/>
        <v/>
      </c>
      <c r="S2708" s="1">
        <f t="shared" si="750"/>
        <v>630.90240000000244</v>
      </c>
      <c r="T2708" s="1">
        <f t="shared" si="751"/>
        <v>0</v>
      </c>
      <c r="U2708" s="1">
        <f t="shared" si="752"/>
        <v>0</v>
      </c>
      <c r="V2708" s="1">
        <f t="shared" si="753"/>
        <v>0</v>
      </c>
    </row>
    <row r="2709" spans="5:22" x14ac:dyDescent="0.25">
      <c r="E2709" s="4"/>
      <c r="M2709" s="4">
        <f t="shared" si="746"/>
        <v>173.1</v>
      </c>
      <c r="N2709" s="4"/>
      <c r="O2709" s="1">
        <f t="shared" si="747"/>
        <v>173.1</v>
      </c>
      <c r="P2709" s="1">
        <f t="shared" si="748"/>
        <v>0</v>
      </c>
      <c r="Q2709" s="1" t="str">
        <f t="shared" si="745"/>
        <v/>
      </c>
      <c r="R2709" s="1" t="str">
        <f t="shared" si="749"/>
        <v/>
      </c>
      <c r="S2709" s="1">
        <f t="shared" si="750"/>
        <v>630.90240000000244</v>
      </c>
      <c r="T2709" s="1">
        <f t="shared" si="751"/>
        <v>0</v>
      </c>
      <c r="U2709" s="1">
        <f t="shared" si="752"/>
        <v>0</v>
      </c>
      <c r="V2709" s="1">
        <f t="shared" si="753"/>
        <v>0</v>
      </c>
    </row>
    <row r="2710" spans="5:22" x14ac:dyDescent="0.25">
      <c r="E2710" s="4"/>
      <c r="M2710" s="4">
        <f t="shared" si="746"/>
        <v>173.1</v>
      </c>
      <c r="N2710" s="4"/>
      <c r="O2710" s="1">
        <f t="shared" si="747"/>
        <v>173.1</v>
      </c>
      <c r="P2710" s="1">
        <f t="shared" si="748"/>
        <v>0</v>
      </c>
      <c r="Q2710" s="1" t="str">
        <f t="shared" si="745"/>
        <v/>
      </c>
      <c r="R2710" s="1" t="str">
        <f t="shared" si="749"/>
        <v/>
      </c>
      <c r="S2710" s="1">
        <f t="shared" si="750"/>
        <v>630.90240000000244</v>
      </c>
      <c r="T2710" s="1">
        <f t="shared" si="751"/>
        <v>0</v>
      </c>
      <c r="U2710" s="1">
        <f t="shared" si="752"/>
        <v>0</v>
      </c>
      <c r="V2710" s="1">
        <f t="shared" si="753"/>
        <v>0</v>
      </c>
    </row>
    <row r="2711" spans="5:22" x14ac:dyDescent="0.25">
      <c r="E2711" s="4"/>
      <c r="M2711" s="4">
        <f t="shared" si="746"/>
        <v>173.1</v>
      </c>
      <c r="N2711" s="4"/>
      <c r="O2711" s="1">
        <f t="shared" si="747"/>
        <v>173.1</v>
      </c>
      <c r="P2711" s="1">
        <f t="shared" si="748"/>
        <v>0</v>
      </c>
      <c r="Q2711" s="1" t="str">
        <f t="shared" si="745"/>
        <v/>
      </c>
      <c r="R2711" s="1" t="str">
        <f t="shared" si="749"/>
        <v/>
      </c>
      <c r="S2711" s="1">
        <f t="shared" si="750"/>
        <v>630.90240000000244</v>
      </c>
      <c r="T2711" s="1">
        <f t="shared" si="751"/>
        <v>0</v>
      </c>
      <c r="U2711" s="1">
        <f t="shared" si="752"/>
        <v>0</v>
      </c>
      <c r="V2711" s="1">
        <f t="shared" si="753"/>
        <v>0</v>
      </c>
    </row>
    <row r="2712" spans="5:22" x14ac:dyDescent="0.25">
      <c r="E2712" s="4"/>
      <c r="M2712" s="4">
        <f t="shared" si="746"/>
        <v>173.1</v>
      </c>
      <c r="N2712" s="4"/>
      <c r="O2712" s="1">
        <f t="shared" si="747"/>
        <v>173.1</v>
      </c>
      <c r="P2712" s="1">
        <f t="shared" si="748"/>
        <v>0</v>
      </c>
      <c r="Q2712" s="1" t="str">
        <f t="shared" si="745"/>
        <v/>
      </c>
      <c r="R2712" s="1" t="str">
        <f t="shared" si="749"/>
        <v/>
      </c>
      <c r="S2712" s="1">
        <f t="shared" si="750"/>
        <v>630.90240000000244</v>
      </c>
      <c r="T2712" s="1">
        <f t="shared" si="751"/>
        <v>0</v>
      </c>
      <c r="U2712" s="1">
        <f t="shared" si="752"/>
        <v>0</v>
      </c>
      <c r="V2712" s="1">
        <f t="shared" si="753"/>
        <v>0</v>
      </c>
    </row>
    <row r="2713" spans="5:22" x14ac:dyDescent="0.25">
      <c r="E2713" s="4"/>
      <c r="M2713" s="4">
        <f t="shared" si="746"/>
        <v>173.1</v>
      </c>
      <c r="N2713" s="4"/>
      <c r="O2713" s="1">
        <f t="shared" si="747"/>
        <v>173.1</v>
      </c>
      <c r="P2713" s="1">
        <f t="shared" si="748"/>
        <v>0</v>
      </c>
      <c r="Q2713" s="1" t="str">
        <f t="shared" si="745"/>
        <v/>
      </c>
      <c r="R2713" s="1" t="str">
        <f t="shared" si="749"/>
        <v/>
      </c>
      <c r="S2713" s="1">
        <f t="shared" si="750"/>
        <v>630.90240000000244</v>
      </c>
      <c r="T2713" s="1">
        <f t="shared" si="751"/>
        <v>0</v>
      </c>
      <c r="U2713" s="1">
        <f t="shared" si="752"/>
        <v>0</v>
      </c>
      <c r="V2713" s="1">
        <f t="shared" si="753"/>
        <v>0</v>
      </c>
    </row>
    <row r="2714" spans="5:22" x14ac:dyDescent="0.25">
      <c r="E2714" s="4"/>
      <c r="M2714" s="4">
        <f t="shared" si="746"/>
        <v>173.1</v>
      </c>
      <c r="N2714" s="4"/>
      <c r="O2714" s="1">
        <f t="shared" si="747"/>
        <v>173.1</v>
      </c>
      <c r="P2714" s="1">
        <f t="shared" si="748"/>
        <v>0</v>
      </c>
      <c r="Q2714" s="1" t="str">
        <f t="shared" si="745"/>
        <v/>
      </c>
      <c r="R2714" s="1" t="str">
        <f t="shared" si="749"/>
        <v/>
      </c>
      <c r="S2714" s="1">
        <f t="shared" si="750"/>
        <v>630.90240000000244</v>
      </c>
      <c r="T2714" s="1">
        <f t="shared" si="751"/>
        <v>0</v>
      </c>
      <c r="U2714" s="1">
        <f t="shared" si="752"/>
        <v>0</v>
      </c>
      <c r="V2714" s="1">
        <f t="shared" si="753"/>
        <v>0</v>
      </c>
    </row>
    <row r="2715" spans="5:22" x14ac:dyDescent="0.25">
      <c r="E2715" s="4"/>
      <c r="M2715" s="4">
        <f t="shared" si="746"/>
        <v>173.1</v>
      </c>
      <c r="N2715" s="4"/>
      <c r="O2715" s="1">
        <f t="shared" si="747"/>
        <v>173.1</v>
      </c>
      <c r="P2715" s="1">
        <f t="shared" si="748"/>
        <v>0</v>
      </c>
      <c r="Q2715" s="1" t="str">
        <f t="shared" si="745"/>
        <v/>
      </c>
      <c r="R2715" s="1" t="str">
        <f t="shared" si="749"/>
        <v/>
      </c>
      <c r="S2715" s="1">
        <f t="shared" si="750"/>
        <v>630.90240000000244</v>
      </c>
      <c r="T2715" s="1">
        <f t="shared" si="751"/>
        <v>0</v>
      </c>
      <c r="U2715" s="1">
        <f t="shared" si="752"/>
        <v>0</v>
      </c>
      <c r="V2715" s="1">
        <f t="shared" si="753"/>
        <v>0</v>
      </c>
    </row>
    <row r="2716" spans="5:22" x14ac:dyDescent="0.25">
      <c r="E2716" s="4"/>
      <c r="M2716" s="4">
        <f t="shared" si="746"/>
        <v>173.1</v>
      </c>
      <c r="N2716" s="4"/>
      <c r="O2716" s="1">
        <f t="shared" si="747"/>
        <v>173.1</v>
      </c>
      <c r="P2716" s="1">
        <f t="shared" si="748"/>
        <v>0</v>
      </c>
      <c r="Q2716" s="1" t="str">
        <f t="shared" si="745"/>
        <v/>
      </c>
      <c r="R2716" s="1" t="str">
        <f t="shared" si="749"/>
        <v/>
      </c>
      <c r="S2716" s="1">
        <f t="shared" si="750"/>
        <v>630.90240000000244</v>
      </c>
      <c r="T2716" s="1">
        <f t="shared" si="751"/>
        <v>0</v>
      </c>
      <c r="U2716" s="1">
        <f t="shared" si="752"/>
        <v>0</v>
      </c>
      <c r="V2716" s="1">
        <f t="shared" si="753"/>
        <v>0</v>
      </c>
    </row>
    <row r="2717" spans="5:22" x14ac:dyDescent="0.25">
      <c r="E2717" s="4"/>
      <c r="M2717" s="4">
        <f t="shared" si="746"/>
        <v>173.1</v>
      </c>
      <c r="N2717" s="4"/>
      <c r="O2717" s="1">
        <f t="shared" si="747"/>
        <v>173.1</v>
      </c>
      <c r="P2717" s="1">
        <f t="shared" si="748"/>
        <v>0</v>
      </c>
      <c r="Q2717" s="1" t="str">
        <f t="shared" si="745"/>
        <v/>
      </c>
      <c r="R2717" s="1" t="str">
        <f t="shared" si="749"/>
        <v/>
      </c>
      <c r="S2717" s="1">
        <f t="shared" si="750"/>
        <v>630.90240000000244</v>
      </c>
      <c r="T2717" s="1">
        <f t="shared" si="751"/>
        <v>0</v>
      </c>
      <c r="U2717" s="1">
        <f t="shared" si="752"/>
        <v>0</v>
      </c>
      <c r="V2717" s="1">
        <f t="shared" si="753"/>
        <v>0</v>
      </c>
    </row>
    <row r="2718" spans="5:22" x14ac:dyDescent="0.25">
      <c r="E2718" s="4"/>
      <c r="M2718" s="4">
        <f t="shared" si="746"/>
        <v>173.1</v>
      </c>
      <c r="N2718" s="4"/>
      <c r="O2718" s="1">
        <f t="shared" si="747"/>
        <v>173.1</v>
      </c>
      <c r="P2718" s="1">
        <f t="shared" si="748"/>
        <v>0</v>
      </c>
      <c r="Q2718" s="1" t="str">
        <f t="shared" si="745"/>
        <v/>
      </c>
      <c r="R2718" s="1" t="str">
        <f t="shared" si="749"/>
        <v/>
      </c>
      <c r="S2718" s="1">
        <f t="shared" si="750"/>
        <v>630.90240000000244</v>
      </c>
      <c r="T2718" s="1">
        <f t="shared" si="751"/>
        <v>0</v>
      </c>
      <c r="U2718" s="1">
        <f t="shared" si="752"/>
        <v>0</v>
      </c>
      <c r="V2718" s="1">
        <f t="shared" si="753"/>
        <v>0</v>
      </c>
    </row>
    <row r="2719" spans="5:22" x14ac:dyDescent="0.25">
      <c r="E2719" s="4"/>
      <c r="M2719" s="4">
        <f t="shared" si="746"/>
        <v>173.1</v>
      </c>
      <c r="N2719" s="4"/>
      <c r="O2719" s="1">
        <f t="shared" si="747"/>
        <v>173.1</v>
      </c>
      <c r="P2719" s="1">
        <f t="shared" si="748"/>
        <v>0</v>
      </c>
      <c r="Q2719" s="1" t="str">
        <f t="shared" si="745"/>
        <v/>
      </c>
      <c r="R2719" s="1" t="str">
        <f t="shared" si="749"/>
        <v/>
      </c>
      <c r="S2719" s="1">
        <f t="shared" si="750"/>
        <v>630.90240000000244</v>
      </c>
      <c r="T2719" s="1">
        <f t="shared" si="751"/>
        <v>0</v>
      </c>
      <c r="U2719" s="1">
        <f t="shared" si="752"/>
        <v>0</v>
      </c>
      <c r="V2719" s="1">
        <f t="shared" si="753"/>
        <v>0</v>
      </c>
    </row>
    <row r="2720" spans="5:22" x14ac:dyDescent="0.25">
      <c r="E2720" s="4"/>
      <c r="M2720" s="4">
        <f t="shared" si="746"/>
        <v>173.1</v>
      </c>
      <c r="N2720" s="4"/>
      <c r="O2720" s="1">
        <f t="shared" si="747"/>
        <v>173.1</v>
      </c>
      <c r="P2720" s="1">
        <f t="shared" si="748"/>
        <v>0</v>
      </c>
      <c r="Q2720" s="1" t="str">
        <f t="shared" si="745"/>
        <v/>
      </c>
      <c r="R2720" s="1" t="str">
        <f t="shared" si="749"/>
        <v/>
      </c>
      <c r="S2720" s="1">
        <f t="shared" si="750"/>
        <v>630.90240000000244</v>
      </c>
      <c r="T2720" s="1">
        <f t="shared" si="751"/>
        <v>0</v>
      </c>
      <c r="U2720" s="1">
        <f t="shared" si="752"/>
        <v>0</v>
      </c>
      <c r="V2720" s="1">
        <f t="shared" si="753"/>
        <v>0</v>
      </c>
    </row>
    <row r="2721" spans="5:22" x14ac:dyDescent="0.25">
      <c r="E2721" s="4"/>
      <c r="M2721" s="4">
        <f t="shared" si="746"/>
        <v>173.1</v>
      </c>
      <c r="N2721" s="4"/>
      <c r="O2721" s="1">
        <f t="shared" si="747"/>
        <v>173.1</v>
      </c>
      <c r="P2721" s="1">
        <f t="shared" si="748"/>
        <v>0</v>
      </c>
      <c r="Q2721" s="1" t="str">
        <f t="shared" si="745"/>
        <v/>
      </c>
      <c r="R2721" s="1" t="str">
        <f t="shared" si="749"/>
        <v/>
      </c>
      <c r="S2721" s="1">
        <f t="shared" si="750"/>
        <v>630.90240000000244</v>
      </c>
      <c r="T2721" s="1">
        <f t="shared" si="751"/>
        <v>0</v>
      </c>
      <c r="U2721" s="1">
        <f t="shared" si="752"/>
        <v>0</v>
      </c>
      <c r="V2721" s="1">
        <f t="shared" si="753"/>
        <v>0</v>
      </c>
    </row>
    <row r="2722" spans="5:22" x14ac:dyDescent="0.25">
      <c r="E2722" s="4"/>
      <c r="M2722" s="4">
        <f t="shared" si="746"/>
        <v>173.1</v>
      </c>
      <c r="N2722" s="4"/>
      <c r="O2722" s="1">
        <f t="shared" si="747"/>
        <v>173.1</v>
      </c>
      <c r="P2722" s="1">
        <f t="shared" si="748"/>
        <v>0</v>
      </c>
      <c r="Q2722" s="1" t="str">
        <f t="shared" si="745"/>
        <v/>
      </c>
      <c r="R2722" s="1" t="str">
        <f t="shared" si="749"/>
        <v/>
      </c>
      <c r="S2722" s="1">
        <f t="shared" si="750"/>
        <v>630.90240000000244</v>
      </c>
      <c r="T2722" s="1">
        <f t="shared" si="751"/>
        <v>0</v>
      </c>
      <c r="U2722" s="1">
        <f t="shared" si="752"/>
        <v>0</v>
      </c>
      <c r="V2722" s="1">
        <f t="shared" si="753"/>
        <v>0</v>
      </c>
    </row>
    <row r="2723" spans="5:22" x14ac:dyDescent="0.25">
      <c r="E2723" s="4"/>
      <c r="M2723" s="4">
        <f t="shared" si="746"/>
        <v>173.1</v>
      </c>
      <c r="N2723" s="4"/>
      <c r="O2723" s="1">
        <f t="shared" si="747"/>
        <v>173.1</v>
      </c>
      <c r="P2723" s="1">
        <f t="shared" si="748"/>
        <v>0</v>
      </c>
      <c r="Q2723" s="1" t="str">
        <f t="shared" si="745"/>
        <v/>
      </c>
      <c r="R2723" s="1" t="str">
        <f t="shared" si="749"/>
        <v/>
      </c>
      <c r="S2723" s="1">
        <f t="shared" si="750"/>
        <v>630.90240000000244</v>
      </c>
      <c r="T2723" s="1">
        <f t="shared" si="751"/>
        <v>0</v>
      </c>
      <c r="U2723" s="1">
        <f t="shared" si="752"/>
        <v>0</v>
      </c>
      <c r="V2723" s="1">
        <f t="shared" si="753"/>
        <v>0</v>
      </c>
    </row>
    <row r="2724" spans="5:22" x14ac:dyDescent="0.25">
      <c r="E2724" s="4"/>
      <c r="M2724" s="4">
        <f t="shared" si="746"/>
        <v>173.1</v>
      </c>
      <c r="N2724" s="4"/>
      <c r="O2724" s="1">
        <f t="shared" si="747"/>
        <v>173.1</v>
      </c>
      <c r="P2724" s="1">
        <f t="shared" si="748"/>
        <v>0</v>
      </c>
      <c r="Q2724" s="1" t="str">
        <f t="shared" si="745"/>
        <v/>
      </c>
      <c r="R2724" s="1" t="str">
        <f t="shared" si="749"/>
        <v/>
      </c>
      <c r="S2724" s="1">
        <f t="shared" si="750"/>
        <v>630.90240000000244</v>
      </c>
      <c r="T2724" s="1">
        <f t="shared" si="751"/>
        <v>0</v>
      </c>
      <c r="U2724" s="1">
        <f t="shared" si="752"/>
        <v>0</v>
      </c>
      <c r="V2724" s="1">
        <f t="shared" si="753"/>
        <v>0</v>
      </c>
    </row>
    <row r="2725" spans="5:22" x14ac:dyDescent="0.25">
      <c r="E2725" s="4"/>
      <c r="M2725" s="4">
        <f t="shared" si="746"/>
        <v>173.1</v>
      </c>
      <c r="N2725" s="4"/>
      <c r="O2725" s="1">
        <f t="shared" si="747"/>
        <v>173.1</v>
      </c>
      <c r="P2725" s="1">
        <f t="shared" si="748"/>
        <v>0</v>
      </c>
      <c r="Q2725" s="1" t="str">
        <f t="shared" si="745"/>
        <v/>
      </c>
      <c r="R2725" s="1" t="str">
        <f t="shared" si="749"/>
        <v/>
      </c>
      <c r="S2725" s="1">
        <f t="shared" si="750"/>
        <v>630.90240000000244</v>
      </c>
      <c r="T2725" s="1">
        <f t="shared" si="751"/>
        <v>0</v>
      </c>
      <c r="U2725" s="1">
        <f t="shared" si="752"/>
        <v>0</v>
      </c>
      <c r="V2725" s="1">
        <f t="shared" si="753"/>
        <v>0</v>
      </c>
    </row>
    <row r="2726" spans="5:22" x14ac:dyDescent="0.25">
      <c r="E2726" s="4"/>
      <c r="M2726" s="4">
        <f t="shared" si="746"/>
        <v>173.1</v>
      </c>
      <c r="N2726" s="4"/>
      <c r="O2726" s="1">
        <f t="shared" si="747"/>
        <v>173.1</v>
      </c>
      <c r="P2726" s="1">
        <f t="shared" si="748"/>
        <v>0</v>
      </c>
      <c r="Q2726" s="1" t="str">
        <f t="shared" si="745"/>
        <v/>
      </c>
      <c r="R2726" s="1" t="str">
        <f t="shared" si="749"/>
        <v/>
      </c>
      <c r="S2726" s="1">
        <f t="shared" si="750"/>
        <v>630.90240000000244</v>
      </c>
      <c r="T2726" s="1">
        <f t="shared" si="751"/>
        <v>0</v>
      </c>
      <c r="U2726" s="1">
        <f t="shared" si="752"/>
        <v>0</v>
      </c>
      <c r="V2726" s="1">
        <f t="shared" si="753"/>
        <v>0</v>
      </c>
    </row>
    <row r="2727" spans="5:22" x14ac:dyDescent="0.25">
      <c r="E2727" s="4"/>
      <c r="M2727" s="4">
        <f t="shared" si="746"/>
        <v>173.1</v>
      </c>
      <c r="N2727" s="4"/>
      <c r="O2727" s="1">
        <f t="shared" si="747"/>
        <v>173.1</v>
      </c>
      <c r="P2727" s="1">
        <f t="shared" si="748"/>
        <v>0</v>
      </c>
      <c r="Q2727" s="1" t="str">
        <f t="shared" si="745"/>
        <v/>
      </c>
      <c r="R2727" s="1" t="str">
        <f t="shared" si="749"/>
        <v/>
      </c>
      <c r="S2727" s="1">
        <f t="shared" si="750"/>
        <v>630.90240000000244</v>
      </c>
      <c r="T2727" s="1">
        <f t="shared" si="751"/>
        <v>0</v>
      </c>
      <c r="U2727" s="1">
        <f t="shared" si="752"/>
        <v>0</v>
      </c>
      <c r="V2727" s="1">
        <f t="shared" si="753"/>
        <v>0</v>
      </c>
    </row>
    <row r="2728" spans="5:22" x14ac:dyDescent="0.25">
      <c r="E2728" s="4"/>
      <c r="M2728" s="4">
        <f t="shared" si="746"/>
        <v>173.1</v>
      </c>
      <c r="N2728" s="4"/>
      <c r="O2728" s="1">
        <f t="shared" si="747"/>
        <v>173.1</v>
      </c>
      <c r="P2728" s="1">
        <f t="shared" si="748"/>
        <v>0</v>
      </c>
      <c r="Q2728" s="1" t="str">
        <f t="shared" si="745"/>
        <v/>
      </c>
      <c r="R2728" s="1" t="str">
        <f t="shared" si="749"/>
        <v/>
      </c>
      <c r="S2728" s="1">
        <f t="shared" si="750"/>
        <v>630.90240000000244</v>
      </c>
      <c r="T2728" s="1">
        <f t="shared" si="751"/>
        <v>0</v>
      </c>
      <c r="U2728" s="1">
        <f t="shared" si="752"/>
        <v>0</v>
      </c>
      <c r="V2728" s="1">
        <f t="shared" si="753"/>
        <v>0</v>
      </c>
    </row>
    <row r="2729" spans="5:22" x14ac:dyDescent="0.25">
      <c r="E2729" s="4"/>
      <c r="M2729" s="4">
        <f t="shared" si="746"/>
        <v>173.1</v>
      </c>
      <c r="N2729" s="4"/>
      <c r="O2729" s="1">
        <f t="shared" si="747"/>
        <v>173.1</v>
      </c>
      <c r="P2729" s="1">
        <f t="shared" si="748"/>
        <v>0</v>
      </c>
      <c r="Q2729" s="1" t="str">
        <f t="shared" si="745"/>
        <v/>
      </c>
      <c r="R2729" s="1" t="str">
        <f t="shared" si="749"/>
        <v/>
      </c>
      <c r="S2729" s="1">
        <f t="shared" si="750"/>
        <v>630.90240000000244</v>
      </c>
      <c r="T2729" s="1">
        <f t="shared" si="751"/>
        <v>0</v>
      </c>
      <c r="U2729" s="1">
        <f t="shared" si="752"/>
        <v>0</v>
      </c>
      <c r="V2729" s="1">
        <f t="shared" si="753"/>
        <v>0</v>
      </c>
    </row>
    <row r="2730" spans="5:22" x14ac:dyDescent="0.25">
      <c r="E2730" s="4"/>
      <c r="M2730" s="4">
        <f t="shared" si="746"/>
        <v>173.1</v>
      </c>
      <c r="N2730" s="4"/>
      <c r="O2730" s="1">
        <f t="shared" si="747"/>
        <v>173.1</v>
      </c>
      <c r="P2730" s="1">
        <f t="shared" si="748"/>
        <v>0</v>
      </c>
      <c r="Q2730" s="1" t="str">
        <f t="shared" si="745"/>
        <v/>
      </c>
      <c r="R2730" s="1" t="str">
        <f t="shared" si="749"/>
        <v/>
      </c>
      <c r="S2730" s="1">
        <f t="shared" si="750"/>
        <v>630.90240000000244</v>
      </c>
      <c r="T2730" s="1">
        <f t="shared" si="751"/>
        <v>0</v>
      </c>
      <c r="U2730" s="1">
        <f t="shared" si="752"/>
        <v>0</v>
      </c>
      <c r="V2730" s="1">
        <f t="shared" si="753"/>
        <v>0</v>
      </c>
    </row>
    <row r="2731" spans="5:22" x14ac:dyDescent="0.25">
      <c r="E2731" s="4"/>
      <c r="M2731" s="4">
        <f t="shared" si="746"/>
        <v>173.1</v>
      </c>
      <c r="N2731" s="4"/>
      <c r="O2731" s="1">
        <f t="shared" si="747"/>
        <v>173.1</v>
      </c>
      <c r="P2731" s="1">
        <f t="shared" si="748"/>
        <v>0</v>
      </c>
      <c r="Q2731" s="1" t="str">
        <f t="shared" si="745"/>
        <v/>
      </c>
      <c r="R2731" s="1" t="str">
        <f t="shared" si="749"/>
        <v/>
      </c>
      <c r="S2731" s="1">
        <f t="shared" si="750"/>
        <v>630.90240000000244</v>
      </c>
      <c r="T2731" s="1">
        <f t="shared" si="751"/>
        <v>0</v>
      </c>
      <c r="U2731" s="1">
        <f t="shared" si="752"/>
        <v>0</v>
      </c>
      <c r="V2731" s="1">
        <f t="shared" si="753"/>
        <v>0</v>
      </c>
    </row>
    <row r="2732" spans="5:22" x14ac:dyDescent="0.25">
      <c r="E2732" s="4"/>
      <c r="M2732" s="4">
        <f t="shared" si="746"/>
        <v>173.1</v>
      </c>
      <c r="N2732" s="4"/>
      <c r="O2732" s="1">
        <f t="shared" si="747"/>
        <v>173.1</v>
      </c>
      <c r="P2732" s="1">
        <f t="shared" si="748"/>
        <v>0</v>
      </c>
      <c r="Q2732" s="1" t="str">
        <f t="shared" si="745"/>
        <v/>
      </c>
      <c r="R2732" s="1" t="str">
        <f t="shared" si="749"/>
        <v/>
      </c>
      <c r="S2732" s="1">
        <f t="shared" si="750"/>
        <v>630.90240000000244</v>
      </c>
      <c r="T2732" s="1">
        <f t="shared" si="751"/>
        <v>0</v>
      </c>
      <c r="U2732" s="1">
        <f t="shared" si="752"/>
        <v>0</v>
      </c>
      <c r="V2732" s="1">
        <f t="shared" si="753"/>
        <v>0</v>
      </c>
    </row>
    <row r="2733" spans="5:22" x14ac:dyDescent="0.25">
      <c r="E2733" s="4"/>
      <c r="M2733" s="4">
        <f t="shared" si="746"/>
        <v>173.1</v>
      </c>
      <c r="N2733" s="4"/>
      <c r="O2733" s="1">
        <f t="shared" si="747"/>
        <v>173.1</v>
      </c>
      <c r="P2733" s="1">
        <f t="shared" si="748"/>
        <v>0</v>
      </c>
      <c r="Q2733" s="1" t="str">
        <f t="shared" si="745"/>
        <v/>
      </c>
      <c r="R2733" s="1" t="str">
        <f t="shared" si="749"/>
        <v/>
      </c>
      <c r="S2733" s="1">
        <f t="shared" si="750"/>
        <v>630.90240000000244</v>
      </c>
      <c r="T2733" s="1">
        <f t="shared" si="751"/>
        <v>0</v>
      </c>
      <c r="U2733" s="1">
        <f t="shared" si="752"/>
        <v>0</v>
      </c>
      <c r="V2733" s="1">
        <f t="shared" si="753"/>
        <v>0</v>
      </c>
    </row>
    <row r="2734" spans="5:22" x14ac:dyDescent="0.25">
      <c r="E2734" s="4"/>
      <c r="M2734" s="4">
        <f t="shared" si="746"/>
        <v>173.1</v>
      </c>
      <c r="N2734" s="4"/>
      <c r="O2734" s="1">
        <f t="shared" si="747"/>
        <v>173.1</v>
      </c>
      <c r="P2734" s="1">
        <f t="shared" si="748"/>
        <v>0</v>
      </c>
      <c r="Q2734" s="1" t="str">
        <f t="shared" si="745"/>
        <v/>
      </c>
      <c r="R2734" s="1" t="str">
        <f t="shared" si="749"/>
        <v/>
      </c>
      <c r="S2734" s="1">
        <f t="shared" si="750"/>
        <v>630.90240000000244</v>
      </c>
      <c r="T2734" s="1">
        <f t="shared" si="751"/>
        <v>0</v>
      </c>
      <c r="U2734" s="1">
        <f t="shared" si="752"/>
        <v>0</v>
      </c>
      <c r="V2734" s="1">
        <f t="shared" si="753"/>
        <v>0</v>
      </c>
    </row>
    <row r="2735" spans="5:22" x14ac:dyDescent="0.25">
      <c r="E2735" s="4"/>
      <c r="M2735" s="4">
        <f t="shared" si="746"/>
        <v>173.1</v>
      </c>
      <c r="N2735" s="4"/>
      <c r="O2735" s="1">
        <f t="shared" si="747"/>
        <v>173.1</v>
      </c>
      <c r="P2735" s="1">
        <f t="shared" si="748"/>
        <v>0</v>
      </c>
      <c r="Q2735" s="1" t="str">
        <f t="shared" si="745"/>
        <v/>
      </c>
      <c r="R2735" s="1" t="str">
        <f t="shared" si="749"/>
        <v/>
      </c>
      <c r="S2735" s="1">
        <f t="shared" si="750"/>
        <v>630.90240000000244</v>
      </c>
      <c r="T2735" s="1">
        <f t="shared" si="751"/>
        <v>0</v>
      </c>
      <c r="U2735" s="1">
        <f t="shared" si="752"/>
        <v>0</v>
      </c>
      <c r="V2735" s="1">
        <f t="shared" si="753"/>
        <v>0</v>
      </c>
    </row>
    <row r="2736" spans="5:22" x14ac:dyDescent="0.25">
      <c r="E2736" s="4"/>
      <c r="M2736" s="4">
        <f t="shared" si="746"/>
        <v>173.1</v>
      </c>
      <c r="N2736" s="4"/>
      <c r="O2736" s="1">
        <f t="shared" si="747"/>
        <v>173.1</v>
      </c>
      <c r="P2736" s="1">
        <f t="shared" si="748"/>
        <v>0</v>
      </c>
      <c r="Q2736" s="1" t="str">
        <f t="shared" si="745"/>
        <v/>
      </c>
      <c r="R2736" s="1" t="str">
        <f t="shared" si="749"/>
        <v/>
      </c>
      <c r="S2736" s="1">
        <f t="shared" si="750"/>
        <v>630.90240000000244</v>
      </c>
      <c r="T2736" s="1">
        <f t="shared" si="751"/>
        <v>0</v>
      </c>
      <c r="U2736" s="1">
        <f t="shared" si="752"/>
        <v>0</v>
      </c>
      <c r="V2736" s="1">
        <f t="shared" si="753"/>
        <v>0</v>
      </c>
    </row>
    <row r="2737" spans="5:22" x14ac:dyDescent="0.25">
      <c r="E2737" s="4"/>
      <c r="M2737" s="4">
        <f t="shared" si="746"/>
        <v>173.1</v>
      </c>
      <c r="N2737" s="4"/>
      <c r="O2737" s="1">
        <f t="shared" si="747"/>
        <v>173.1</v>
      </c>
      <c r="P2737" s="1">
        <f t="shared" si="748"/>
        <v>0</v>
      </c>
      <c r="Q2737" s="1" t="str">
        <f t="shared" si="745"/>
        <v/>
      </c>
      <c r="R2737" s="1" t="str">
        <f t="shared" si="749"/>
        <v/>
      </c>
      <c r="S2737" s="1">
        <f t="shared" si="750"/>
        <v>630.90240000000244</v>
      </c>
      <c r="T2737" s="1">
        <f t="shared" si="751"/>
        <v>0</v>
      </c>
      <c r="U2737" s="1">
        <f t="shared" si="752"/>
        <v>0</v>
      </c>
      <c r="V2737" s="1">
        <f t="shared" si="753"/>
        <v>0</v>
      </c>
    </row>
    <row r="2738" spans="5:22" x14ac:dyDescent="0.25">
      <c r="E2738" s="4"/>
      <c r="M2738" s="4">
        <f t="shared" si="746"/>
        <v>173.1</v>
      </c>
      <c r="N2738" s="4"/>
      <c r="O2738" s="1">
        <f t="shared" si="747"/>
        <v>173.1</v>
      </c>
      <c r="P2738" s="1">
        <f t="shared" si="748"/>
        <v>0</v>
      </c>
      <c r="Q2738" s="1" t="str">
        <f t="shared" ref="Q2738:Q2801" si="754">IF(H2738&lt;&gt;"",IF(H2738=H2737,"",H2738),IF(H2736="","",MAX(H2737,Q2737)))</f>
        <v/>
      </c>
      <c r="R2738" s="1" t="str">
        <f t="shared" si="749"/>
        <v/>
      </c>
      <c r="S2738" s="1">
        <f t="shared" si="750"/>
        <v>630.90240000000244</v>
      </c>
      <c r="T2738" s="1">
        <f t="shared" si="751"/>
        <v>0</v>
      </c>
      <c r="U2738" s="1">
        <f t="shared" si="752"/>
        <v>0</v>
      </c>
      <c r="V2738" s="1">
        <f t="shared" si="753"/>
        <v>0</v>
      </c>
    </row>
    <row r="2739" spans="5:22" x14ac:dyDescent="0.25">
      <c r="E2739" s="4"/>
      <c r="M2739" s="4">
        <f t="shared" si="746"/>
        <v>173.1</v>
      </c>
      <c r="N2739" s="4"/>
      <c r="O2739" s="1">
        <f t="shared" si="747"/>
        <v>173.1</v>
      </c>
      <c r="P2739" s="1">
        <f t="shared" si="748"/>
        <v>0</v>
      </c>
      <c r="Q2739" s="1" t="str">
        <f t="shared" si="754"/>
        <v/>
      </c>
      <c r="R2739" s="1" t="str">
        <f t="shared" si="749"/>
        <v/>
      </c>
      <c r="S2739" s="1">
        <f t="shared" si="750"/>
        <v>630.90240000000244</v>
      </c>
      <c r="T2739" s="1">
        <f t="shared" si="751"/>
        <v>0</v>
      </c>
      <c r="U2739" s="1">
        <f t="shared" si="752"/>
        <v>0</v>
      </c>
      <c r="V2739" s="1">
        <f t="shared" si="753"/>
        <v>0</v>
      </c>
    </row>
    <row r="2740" spans="5:22" x14ac:dyDescent="0.25">
      <c r="E2740" s="4"/>
      <c r="M2740" s="4">
        <f t="shared" si="746"/>
        <v>173.1</v>
      </c>
      <c r="N2740" s="4"/>
      <c r="O2740" s="1">
        <f t="shared" si="747"/>
        <v>173.1</v>
      </c>
      <c r="P2740" s="1">
        <f t="shared" si="748"/>
        <v>0</v>
      </c>
      <c r="Q2740" s="1" t="str">
        <f t="shared" si="754"/>
        <v/>
      </c>
      <c r="R2740" s="1" t="str">
        <f t="shared" si="749"/>
        <v/>
      </c>
      <c r="S2740" s="1">
        <f t="shared" si="750"/>
        <v>630.90240000000244</v>
      </c>
      <c r="T2740" s="1">
        <f t="shared" si="751"/>
        <v>0</v>
      </c>
      <c r="U2740" s="1">
        <f t="shared" si="752"/>
        <v>0</v>
      </c>
      <c r="V2740" s="1">
        <f t="shared" si="753"/>
        <v>0</v>
      </c>
    </row>
    <row r="2741" spans="5:22" x14ac:dyDescent="0.25">
      <c r="E2741" s="4"/>
      <c r="M2741" s="4">
        <f t="shared" si="746"/>
        <v>173.1</v>
      </c>
      <c r="N2741" s="4"/>
      <c r="O2741" s="1">
        <f t="shared" si="747"/>
        <v>173.1</v>
      </c>
      <c r="P2741" s="1">
        <f t="shared" si="748"/>
        <v>0</v>
      </c>
      <c r="Q2741" s="1" t="str">
        <f t="shared" si="754"/>
        <v/>
      </c>
      <c r="R2741" s="1" t="str">
        <f t="shared" si="749"/>
        <v/>
      </c>
      <c r="S2741" s="1">
        <f t="shared" si="750"/>
        <v>630.90240000000244</v>
      </c>
      <c r="T2741" s="1">
        <f t="shared" si="751"/>
        <v>0</v>
      </c>
      <c r="U2741" s="1">
        <f t="shared" si="752"/>
        <v>0</v>
      </c>
      <c r="V2741" s="1">
        <f t="shared" si="753"/>
        <v>0</v>
      </c>
    </row>
    <row r="2742" spans="5:22" x14ac:dyDescent="0.25">
      <c r="E2742" s="4"/>
      <c r="M2742" s="4">
        <f t="shared" si="746"/>
        <v>173.1</v>
      </c>
      <c r="N2742" s="4"/>
      <c r="O2742" s="1">
        <f t="shared" si="747"/>
        <v>173.1</v>
      </c>
      <c r="P2742" s="1">
        <f t="shared" si="748"/>
        <v>0</v>
      </c>
      <c r="Q2742" s="1" t="str">
        <f t="shared" si="754"/>
        <v/>
      </c>
      <c r="R2742" s="1" t="str">
        <f t="shared" si="749"/>
        <v/>
      </c>
      <c r="S2742" s="1">
        <f t="shared" si="750"/>
        <v>630.90240000000244</v>
      </c>
      <c r="T2742" s="1">
        <f t="shared" si="751"/>
        <v>0</v>
      </c>
      <c r="U2742" s="1">
        <f t="shared" si="752"/>
        <v>0</v>
      </c>
      <c r="V2742" s="1">
        <f t="shared" si="753"/>
        <v>0</v>
      </c>
    </row>
    <row r="2743" spans="5:22" x14ac:dyDescent="0.25">
      <c r="E2743" s="4"/>
      <c r="M2743" s="4">
        <f t="shared" si="746"/>
        <v>173.1</v>
      </c>
      <c r="N2743" s="4"/>
      <c r="O2743" s="1">
        <f t="shared" si="747"/>
        <v>173.1</v>
      </c>
      <c r="P2743" s="1">
        <f t="shared" si="748"/>
        <v>0</v>
      </c>
      <c r="Q2743" s="1" t="str">
        <f t="shared" si="754"/>
        <v/>
      </c>
      <c r="R2743" s="1" t="str">
        <f t="shared" si="749"/>
        <v/>
      </c>
      <c r="S2743" s="1">
        <f t="shared" si="750"/>
        <v>630.90240000000244</v>
      </c>
      <c r="T2743" s="1">
        <f t="shared" si="751"/>
        <v>0</v>
      </c>
      <c r="U2743" s="1">
        <f t="shared" si="752"/>
        <v>0</v>
      </c>
      <c r="V2743" s="1">
        <f t="shared" si="753"/>
        <v>0</v>
      </c>
    </row>
    <row r="2744" spans="5:22" x14ac:dyDescent="0.25">
      <c r="E2744" s="4"/>
      <c r="M2744" s="4">
        <f t="shared" si="746"/>
        <v>173.1</v>
      </c>
      <c r="N2744" s="4"/>
      <c r="O2744" s="1">
        <f t="shared" si="747"/>
        <v>173.1</v>
      </c>
      <c r="P2744" s="1">
        <f t="shared" si="748"/>
        <v>0</v>
      </c>
      <c r="Q2744" s="1" t="str">
        <f t="shared" si="754"/>
        <v/>
      </c>
      <c r="R2744" s="1" t="str">
        <f t="shared" si="749"/>
        <v/>
      </c>
      <c r="S2744" s="1">
        <f t="shared" si="750"/>
        <v>630.90240000000244</v>
      </c>
      <c r="T2744" s="1">
        <f t="shared" si="751"/>
        <v>0</v>
      </c>
      <c r="U2744" s="1">
        <f t="shared" si="752"/>
        <v>0</v>
      </c>
      <c r="V2744" s="1">
        <f t="shared" si="753"/>
        <v>0</v>
      </c>
    </row>
    <row r="2745" spans="5:22" x14ac:dyDescent="0.25">
      <c r="E2745" s="4"/>
      <c r="M2745" s="4">
        <f t="shared" si="746"/>
        <v>173.1</v>
      </c>
      <c r="N2745" s="4"/>
      <c r="O2745" s="1">
        <f t="shared" si="747"/>
        <v>173.1</v>
      </c>
      <c r="P2745" s="1">
        <f t="shared" si="748"/>
        <v>0</v>
      </c>
      <c r="Q2745" s="1" t="str">
        <f t="shared" si="754"/>
        <v/>
      </c>
      <c r="R2745" s="1" t="str">
        <f t="shared" si="749"/>
        <v/>
      </c>
      <c r="S2745" s="1">
        <f t="shared" si="750"/>
        <v>630.90240000000244</v>
      </c>
      <c r="T2745" s="1">
        <f t="shared" si="751"/>
        <v>0</v>
      </c>
      <c r="U2745" s="1">
        <f t="shared" si="752"/>
        <v>0</v>
      </c>
      <c r="V2745" s="1">
        <f t="shared" si="753"/>
        <v>0</v>
      </c>
    </row>
    <row r="2746" spans="5:22" x14ac:dyDescent="0.25">
      <c r="E2746" s="4"/>
      <c r="M2746" s="4">
        <f t="shared" si="746"/>
        <v>173.1</v>
      </c>
      <c r="N2746" s="4"/>
      <c r="O2746" s="1">
        <f t="shared" si="747"/>
        <v>173.1</v>
      </c>
      <c r="P2746" s="1">
        <f t="shared" si="748"/>
        <v>0</v>
      </c>
      <c r="Q2746" s="1" t="str">
        <f t="shared" si="754"/>
        <v/>
      </c>
      <c r="R2746" s="1" t="str">
        <f t="shared" si="749"/>
        <v/>
      </c>
      <c r="S2746" s="1">
        <f t="shared" si="750"/>
        <v>630.90240000000244</v>
      </c>
      <c r="T2746" s="1">
        <f t="shared" si="751"/>
        <v>0</v>
      </c>
      <c r="U2746" s="1">
        <f t="shared" si="752"/>
        <v>0</v>
      </c>
      <c r="V2746" s="1">
        <f t="shared" si="753"/>
        <v>0</v>
      </c>
    </row>
    <row r="2747" spans="5:22" x14ac:dyDescent="0.25">
      <c r="E2747" s="4"/>
      <c r="M2747" s="4">
        <f t="shared" si="746"/>
        <v>173.1</v>
      </c>
      <c r="N2747" s="4"/>
      <c r="O2747" s="1">
        <f t="shared" si="747"/>
        <v>173.1</v>
      </c>
      <c r="P2747" s="1">
        <f t="shared" si="748"/>
        <v>0</v>
      </c>
      <c r="Q2747" s="1" t="str">
        <f t="shared" si="754"/>
        <v/>
      </c>
      <c r="R2747" s="1" t="str">
        <f t="shared" si="749"/>
        <v/>
      </c>
      <c r="S2747" s="1">
        <f t="shared" si="750"/>
        <v>630.90240000000244</v>
      </c>
      <c r="T2747" s="1">
        <f t="shared" si="751"/>
        <v>0</v>
      </c>
      <c r="U2747" s="1">
        <f t="shared" si="752"/>
        <v>0</v>
      </c>
      <c r="V2747" s="1">
        <f t="shared" si="753"/>
        <v>0</v>
      </c>
    </row>
    <row r="2748" spans="5:22" x14ac:dyDescent="0.25">
      <c r="E2748" s="4"/>
      <c r="M2748" s="4">
        <f t="shared" si="746"/>
        <v>173.1</v>
      </c>
      <c r="N2748" s="4"/>
      <c r="O2748" s="1">
        <f t="shared" si="747"/>
        <v>173.1</v>
      </c>
      <c r="P2748" s="1">
        <f t="shared" si="748"/>
        <v>0</v>
      </c>
      <c r="Q2748" s="1" t="str">
        <f t="shared" si="754"/>
        <v/>
      </c>
      <c r="R2748" s="1" t="str">
        <f t="shared" si="749"/>
        <v/>
      </c>
      <c r="S2748" s="1">
        <f t="shared" si="750"/>
        <v>630.90240000000244</v>
      </c>
      <c r="T2748" s="1">
        <f t="shared" si="751"/>
        <v>0</v>
      </c>
      <c r="U2748" s="1">
        <f t="shared" si="752"/>
        <v>0</v>
      </c>
      <c r="V2748" s="1">
        <f t="shared" si="753"/>
        <v>0</v>
      </c>
    </row>
    <row r="2749" spans="5:22" x14ac:dyDescent="0.25">
      <c r="E2749" s="4"/>
      <c r="M2749" s="4">
        <f t="shared" si="746"/>
        <v>173.1</v>
      </c>
      <c r="N2749" s="4"/>
      <c r="O2749" s="1">
        <f t="shared" si="747"/>
        <v>173.1</v>
      </c>
      <c r="P2749" s="1">
        <f t="shared" si="748"/>
        <v>0</v>
      </c>
      <c r="Q2749" s="1" t="str">
        <f t="shared" si="754"/>
        <v/>
      </c>
      <c r="R2749" s="1" t="str">
        <f t="shared" si="749"/>
        <v/>
      </c>
      <c r="S2749" s="1">
        <f t="shared" si="750"/>
        <v>630.90240000000244</v>
      </c>
      <c r="T2749" s="1">
        <f t="shared" si="751"/>
        <v>0</v>
      </c>
      <c r="U2749" s="1">
        <f t="shared" si="752"/>
        <v>0</v>
      </c>
      <c r="V2749" s="1">
        <f t="shared" si="753"/>
        <v>0</v>
      </c>
    </row>
    <row r="2750" spans="5:22" x14ac:dyDescent="0.25">
      <c r="E2750" s="4"/>
      <c r="M2750" s="4">
        <f t="shared" si="746"/>
        <v>173.1</v>
      </c>
      <c r="N2750" s="4"/>
      <c r="O2750" s="1">
        <f t="shared" si="747"/>
        <v>173.1</v>
      </c>
      <c r="P2750" s="1">
        <f t="shared" si="748"/>
        <v>0</v>
      </c>
      <c r="Q2750" s="1" t="str">
        <f t="shared" si="754"/>
        <v/>
      </c>
      <c r="R2750" s="1" t="str">
        <f t="shared" si="749"/>
        <v/>
      </c>
      <c r="S2750" s="1">
        <f t="shared" si="750"/>
        <v>630.90240000000244</v>
      </c>
      <c r="T2750" s="1">
        <f t="shared" si="751"/>
        <v>0</v>
      </c>
      <c r="U2750" s="1">
        <f t="shared" si="752"/>
        <v>0</v>
      </c>
      <c r="V2750" s="1">
        <f t="shared" si="753"/>
        <v>0</v>
      </c>
    </row>
    <row r="2751" spans="5:22" x14ac:dyDescent="0.25">
      <c r="E2751" s="4"/>
      <c r="M2751" s="4">
        <f t="shared" si="746"/>
        <v>173.1</v>
      </c>
      <c r="N2751" s="4"/>
      <c r="O2751" s="1">
        <f t="shared" si="747"/>
        <v>173.1</v>
      </c>
      <c r="P2751" s="1">
        <f t="shared" si="748"/>
        <v>0</v>
      </c>
      <c r="Q2751" s="1" t="str">
        <f t="shared" si="754"/>
        <v/>
      </c>
      <c r="R2751" s="1" t="str">
        <f t="shared" si="749"/>
        <v/>
      </c>
      <c r="S2751" s="1">
        <f t="shared" si="750"/>
        <v>630.90240000000244</v>
      </c>
      <c r="T2751" s="1">
        <f t="shared" si="751"/>
        <v>0</v>
      </c>
      <c r="U2751" s="1">
        <f t="shared" si="752"/>
        <v>0</v>
      </c>
      <c r="V2751" s="1">
        <f t="shared" si="753"/>
        <v>0</v>
      </c>
    </row>
    <row r="2752" spans="5:22" x14ac:dyDescent="0.25">
      <c r="E2752" s="4"/>
      <c r="M2752" s="4">
        <f t="shared" si="746"/>
        <v>173.1</v>
      </c>
      <c r="N2752" s="4"/>
      <c r="O2752" s="1">
        <f t="shared" si="747"/>
        <v>173.1</v>
      </c>
      <c r="P2752" s="1">
        <f t="shared" si="748"/>
        <v>0</v>
      </c>
      <c r="Q2752" s="1" t="str">
        <f t="shared" si="754"/>
        <v/>
      </c>
      <c r="R2752" s="1" t="str">
        <f t="shared" si="749"/>
        <v/>
      </c>
      <c r="S2752" s="1">
        <f t="shared" si="750"/>
        <v>630.90240000000244</v>
      </c>
      <c r="T2752" s="1">
        <f t="shared" si="751"/>
        <v>0</v>
      </c>
      <c r="U2752" s="1">
        <f t="shared" si="752"/>
        <v>0</v>
      </c>
      <c r="V2752" s="1">
        <f t="shared" si="753"/>
        <v>0</v>
      </c>
    </row>
    <row r="2753" spans="5:22" x14ac:dyDescent="0.25">
      <c r="E2753" s="4"/>
      <c r="M2753" s="4">
        <f t="shared" si="746"/>
        <v>173.1</v>
      </c>
      <c r="N2753" s="4"/>
      <c r="O2753" s="1">
        <f t="shared" si="747"/>
        <v>173.1</v>
      </c>
      <c r="P2753" s="1">
        <f t="shared" si="748"/>
        <v>0</v>
      </c>
      <c r="Q2753" s="1" t="str">
        <f t="shared" si="754"/>
        <v/>
      </c>
      <c r="R2753" s="1" t="str">
        <f t="shared" si="749"/>
        <v/>
      </c>
      <c r="S2753" s="1">
        <f t="shared" si="750"/>
        <v>630.90240000000244</v>
      </c>
      <c r="T2753" s="1">
        <f t="shared" si="751"/>
        <v>0</v>
      </c>
      <c r="U2753" s="1">
        <f t="shared" si="752"/>
        <v>0</v>
      </c>
      <c r="V2753" s="1">
        <f t="shared" si="753"/>
        <v>0</v>
      </c>
    </row>
    <row r="2754" spans="5:22" x14ac:dyDescent="0.25">
      <c r="E2754" s="4"/>
      <c r="M2754" s="4">
        <f t="shared" si="746"/>
        <v>173.1</v>
      </c>
      <c r="N2754" s="4"/>
      <c r="O2754" s="1">
        <f t="shared" si="747"/>
        <v>173.1</v>
      </c>
      <c r="P2754" s="1">
        <f t="shared" si="748"/>
        <v>0</v>
      </c>
      <c r="Q2754" s="1" t="str">
        <f t="shared" si="754"/>
        <v/>
      </c>
      <c r="R2754" s="1" t="str">
        <f t="shared" si="749"/>
        <v/>
      </c>
      <c r="S2754" s="1">
        <f t="shared" si="750"/>
        <v>630.90240000000244</v>
      </c>
      <c r="T2754" s="1">
        <f t="shared" si="751"/>
        <v>0</v>
      </c>
      <c r="U2754" s="1">
        <f t="shared" si="752"/>
        <v>0</v>
      </c>
      <c r="V2754" s="1">
        <f t="shared" si="753"/>
        <v>0</v>
      </c>
    </row>
    <row r="2755" spans="5:22" x14ac:dyDescent="0.25">
      <c r="E2755" s="4"/>
      <c r="M2755" s="4">
        <f t="shared" si="746"/>
        <v>173.1</v>
      </c>
      <c r="N2755" s="4"/>
      <c r="O2755" s="1">
        <f t="shared" si="747"/>
        <v>173.1</v>
      </c>
      <c r="P2755" s="1">
        <f t="shared" si="748"/>
        <v>0</v>
      </c>
      <c r="Q2755" s="1" t="str">
        <f t="shared" si="754"/>
        <v/>
      </c>
      <c r="R2755" s="1" t="str">
        <f t="shared" si="749"/>
        <v/>
      </c>
      <c r="S2755" s="1">
        <f t="shared" si="750"/>
        <v>630.90240000000244</v>
      </c>
      <c r="T2755" s="1">
        <f t="shared" si="751"/>
        <v>0</v>
      </c>
      <c r="U2755" s="1">
        <f t="shared" si="752"/>
        <v>0</v>
      </c>
      <c r="V2755" s="1">
        <f t="shared" si="753"/>
        <v>0</v>
      </c>
    </row>
    <row r="2756" spans="5:22" x14ac:dyDescent="0.25">
      <c r="E2756" s="4"/>
      <c r="M2756" s="4">
        <f t="shared" si="746"/>
        <v>173.1</v>
      </c>
      <c r="N2756" s="4"/>
      <c r="O2756" s="1">
        <f t="shared" si="747"/>
        <v>173.1</v>
      </c>
      <c r="P2756" s="1">
        <f t="shared" si="748"/>
        <v>0</v>
      </c>
      <c r="Q2756" s="1" t="str">
        <f t="shared" si="754"/>
        <v/>
      </c>
      <c r="R2756" s="1" t="str">
        <f t="shared" si="749"/>
        <v/>
      </c>
      <c r="S2756" s="1">
        <f t="shared" si="750"/>
        <v>630.90240000000244</v>
      </c>
      <c r="T2756" s="1">
        <f t="shared" si="751"/>
        <v>0</v>
      </c>
      <c r="U2756" s="1">
        <f t="shared" si="752"/>
        <v>0</v>
      </c>
      <c r="V2756" s="1">
        <f t="shared" si="753"/>
        <v>0</v>
      </c>
    </row>
    <row r="2757" spans="5:22" x14ac:dyDescent="0.25">
      <c r="E2757" s="4"/>
      <c r="M2757" s="4">
        <f t="shared" si="746"/>
        <v>173.1</v>
      </c>
      <c r="N2757" s="4"/>
      <c r="O2757" s="1">
        <f t="shared" si="747"/>
        <v>173.1</v>
      </c>
      <c r="P2757" s="1">
        <f t="shared" si="748"/>
        <v>0</v>
      </c>
      <c r="Q2757" s="1" t="str">
        <f t="shared" si="754"/>
        <v/>
      </c>
      <c r="R2757" s="1" t="str">
        <f t="shared" si="749"/>
        <v/>
      </c>
      <c r="S2757" s="1">
        <f t="shared" si="750"/>
        <v>630.90240000000244</v>
      </c>
      <c r="T2757" s="1">
        <f t="shared" si="751"/>
        <v>0</v>
      </c>
      <c r="U2757" s="1">
        <f t="shared" si="752"/>
        <v>0</v>
      </c>
      <c r="V2757" s="1">
        <f t="shared" si="753"/>
        <v>0</v>
      </c>
    </row>
    <row r="2758" spans="5:22" x14ac:dyDescent="0.25">
      <c r="E2758" s="4"/>
      <c r="M2758" s="4">
        <f t="shared" si="746"/>
        <v>173.1</v>
      </c>
      <c r="N2758" s="4"/>
      <c r="O2758" s="1">
        <f t="shared" si="747"/>
        <v>173.1</v>
      </c>
      <c r="P2758" s="1">
        <f t="shared" si="748"/>
        <v>0</v>
      </c>
      <c r="Q2758" s="1" t="str">
        <f t="shared" si="754"/>
        <v/>
      </c>
      <c r="R2758" s="1" t="str">
        <f t="shared" si="749"/>
        <v/>
      </c>
      <c r="S2758" s="1">
        <f t="shared" si="750"/>
        <v>630.90240000000244</v>
      </c>
      <c r="T2758" s="1">
        <f t="shared" si="751"/>
        <v>0</v>
      </c>
      <c r="U2758" s="1">
        <f t="shared" si="752"/>
        <v>0</v>
      </c>
      <c r="V2758" s="1">
        <f t="shared" si="753"/>
        <v>0</v>
      </c>
    </row>
    <row r="2759" spans="5:22" x14ac:dyDescent="0.25">
      <c r="E2759" s="4"/>
      <c r="M2759" s="4">
        <f t="shared" si="746"/>
        <v>173.1</v>
      </c>
      <c r="N2759" s="4"/>
      <c r="O2759" s="1">
        <f t="shared" si="747"/>
        <v>173.1</v>
      </c>
      <c r="P2759" s="1">
        <f t="shared" si="748"/>
        <v>0</v>
      </c>
      <c r="Q2759" s="1" t="str">
        <f t="shared" si="754"/>
        <v/>
      </c>
      <c r="R2759" s="1" t="str">
        <f t="shared" si="749"/>
        <v/>
      </c>
      <c r="S2759" s="1">
        <f t="shared" si="750"/>
        <v>630.90240000000244</v>
      </c>
      <c r="T2759" s="1">
        <f t="shared" si="751"/>
        <v>0</v>
      </c>
      <c r="U2759" s="1">
        <f t="shared" si="752"/>
        <v>0</v>
      </c>
      <c r="V2759" s="1">
        <f t="shared" si="753"/>
        <v>0</v>
      </c>
    </row>
    <row r="2760" spans="5:22" x14ac:dyDescent="0.25">
      <c r="E2760" s="4"/>
      <c r="M2760" s="4">
        <f t="shared" ref="M2760:M2823" si="755">E2760+M2759</f>
        <v>173.1</v>
      </c>
      <c r="N2760" s="4"/>
      <c r="O2760" s="1">
        <f t="shared" ref="O2760:O2823" si="756">E2759+O2759</f>
        <v>173.1</v>
      </c>
      <c r="P2760" s="1">
        <f t="shared" ref="P2760:P2823" si="757">F2760*52.8*E2760</f>
        <v>0</v>
      </c>
      <c r="Q2760" s="1" t="str">
        <f t="shared" si="754"/>
        <v/>
      </c>
      <c r="R2760" s="1" t="str">
        <f t="shared" ref="R2760:R2823" si="758">IF(I2760="",Q2760,IF(AND(H2760=H2759,I2760=I2759),"",I2760))</f>
        <v/>
      </c>
      <c r="S2760" s="1">
        <f t="shared" ref="S2760:S2823" si="759">S2759+U2759*T2759/100</f>
        <v>630.90240000000244</v>
      </c>
      <c r="T2760" s="1">
        <f t="shared" ref="T2760:T2823" si="760">IF(G2760="UNK",0,G2760)</f>
        <v>0</v>
      </c>
      <c r="U2760" s="1">
        <f t="shared" ref="U2760:U2823" si="761">E2760*5280</f>
        <v>0</v>
      </c>
      <c r="V2760" s="1">
        <f t="shared" ref="V2760:V2823" si="762">ABS(T2760*U2760)</f>
        <v>0</v>
      </c>
    </row>
    <row r="2761" spans="5:22" x14ac:dyDescent="0.25">
      <c r="E2761" s="4"/>
      <c r="M2761" s="4">
        <f t="shared" si="755"/>
        <v>173.1</v>
      </c>
      <c r="N2761" s="4"/>
      <c r="O2761" s="1">
        <f t="shared" si="756"/>
        <v>173.1</v>
      </c>
      <c r="P2761" s="1">
        <f t="shared" si="757"/>
        <v>0</v>
      </c>
      <c r="Q2761" s="1" t="str">
        <f t="shared" si="754"/>
        <v/>
      </c>
      <c r="R2761" s="1" t="str">
        <f t="shared" si="758"/>
        <v/>
      </c>
      <c r="S2761" s="1">
        <f t="shared" si="759"/>
        <v>630.90240000000244</v>
      </c>
      <c r="T2761" s="1">
        <f t="shared" si="760"/>
        <v>0</v>
      </c>
      <c r="U2761" s="1">
        <f t="shared" si="761"/>
        <v>0</v>
      </c>
      <c r="V2761" s="1">
        <f t="shared" si="762"/>
        <v>0</v>
      </c>
    </row>
    <row r="2762" spans="5:22" x14ac:dyDescent="0.25">
      <c r="E2762" s="4"/>
      <c r="M2762" s="4">
        <f t="shared" si="755"/>
        <v>173.1</v>
      </c>
      <c r="N2762" s="4"/>
      <c r="O2762" s="1">
        <f t="shared" si="756"/>
        <v>173.1</v>
      </c>
      <c r="P2762" s="1">
        <f t="shared" si="757"/>
        <v>0</v>
      </c>
      <c r="Q2762" s="1" t="str">
        <f t="shared" si="754"/>
        <v/>
      </c>
      <c r="R2762" s="1" t="str">
        <f t="shared" si="758"/>
        <v/>
      </c>
      <c r="S2762" s="1">
        <f t="shared" si="759"/>
        <v>630.90240000000244</v>
      </c>
      <c r="T2762" s="1">
        <f t="shared" si="760"/>
        <v>0</v>
      </c>
      <c r="U2762" s="1">
        <f t="shared" si="761"/>
        <v>0</v>
      </c>
      <c r="V2762" s="1">
        <f t="shared" si="762"/>
        <v>0</v>
      </c>
    </row>
    <row r="2763" spans="5:22" x14ac:dyDescent="0.25">
      <c r="E2763" s="4"/>
      <c r="M2763" s="4">
        <f t="shared" si="755"/>
        <v>173.1</v>
      </c>
      <c r="N2763" s="4"/>
      <c r="O2763" s="1">
        <f t="shared" si="756"/>
        <v>173.1</v>
      </c>
      <c r="P2763" s="1">
        <f t="shared" si="757"/>
        <v>0</v>
      </c>
      <c r="Q2763" s="1" t="str">
        <f t="shared" si="754"/>
        <v/>
      </c>
      <c r="R2763" s="1" t="str">
        <f t="shared" si="758"/>
        <v/>
      </c>
      <c r="S2763" s="1">
        <f t="shared" si="759"/>
        <v>630.90240000000244</v>
      </c>
      <c r="T2763" s="1">
        <f t="shared" si="760"/>
        <v>0</v>
      </c>
      <c r="U2763" s="1">
        <f t="shared" si="761"/>
        <v>0</v>
      </c>
      <c r="V2763" s="1">
        <f t="shared" si="762"/>
        <v>0</v>
      </c>
    </row>
    <row r="2764" spans="5:22" x14ac:dyDescent="0.25">
      <c r="E2764" s="4"/>
      <c r="M2764" s="4">
        <f t="shared" si="755"/>
        <v>173.1</v>
      </c>
      <c r="N2764" s="4"/>
      <c r="O2764" s="1">
        <f t="shared" si="756"/>
        <v>173.1</v>
      </c>
      <c r="P2764" s="1">
        <f t="shared" si="757"/>
        <v>0</v>
      </c>
      <c r="Q2764" s="1" t="str">
        <f t="shared" si="754"/>
        <v/>
      </c>
      <c r="R2764" s="1" t="str">
        <f t="shared" si="758"/>
        <v/>
      </c>
      <c r="S2764" s="1">
        <f t="shared" si="759"/>
        <v>630.90240000000244</v>
      </c>
      <c r="T2764" s="1">
        <f t="shared" si="760"/>
        <v>0</v>
      </c>
      <c r="U2764" s="1">
        <f t="shared" si="761"/>
        <v>0</v>
      </c>
      <c r="V2764" s="1">
        <f t="shared" si="762"/>
        <v>0</v>
      </c>
    </row>
    <row r="2765" spans="5:22" x14ac:dyDescent="0.25">
      <c r="E2765" s="4"/>
      <c r="M2765" s="4">
        <f t="shared" si="755"/>
        <v>173.1</v>
      </c>
      <c r="N2765" s="4"/>
      <c r="O2765" s="1">
        <f t="shared" si="756"/>
        <v>173.1</v>
      </c>
      <c r="P2765" s="1">
        <f t="shared" si="757"/>
        <v>0</v>
      </c>
      <c r="Q2765" s="1" t="str">
        <f t="shared" si="754"/>
        <v/>
      </c>
      <c r="R2765" s="1" t="str">
        <f t="shared" si="758"/>
        <v/>
      </c>
      <c r="S2765" s="1">
        <f t="shared" si="759"/>
        <v>630.90240000000244</v>
      </c>
      <c r="T2765" s="1">
        <f t="shared" si="760"/>
        <v>0</v>
      </c>
      <c r="U2765" s="1">
        <f t="shared" si="761"/>
        <v>0</v>
      </c>
      <c r="V2765" s="1">
        <f t="shared" si="762"/>
        <v>0</v>
      </c>
    </row>
    <row r="2766" spans="5:22" x14ac:dyDescent="0.25">
      <c r="E2766" s="4"/>
      <c r="M2766" s="4">
        <f t="shared" si="755"/>
        <v>173.1</v>
      </c>
      <c r="N2766" s="4"/>
      <c r="O2766" s="1">
        <f t="shared" si="756"/>
        <v>173.1</v>
      </c>
      <c r="P2766" s="1">
        <f t="shared" si="757"/>
        <v>0</v>
      </c>
      <c r="Q2766" s="1" t="str">
        <f t="shared" si="754"/>
        <v/>
      </c>
      <c r="R2766" s="1" t="str">
        <f t="shared" si="758"/>
        <v/>
      </c>
      <c r="S2766" s="1">
        <f t="shared" si="759"/>
        <v>630.90240000000244</v>
      </c>
      <c r="T2766" s="1">
        <f t="shared" si="760"/>
        <v>0</v>
      </c>
      <c r="U2766" s="1">
        <f t="shared" si="761"/>
        <v>0</v>
      </c>
      <c r="V2766" s="1">
        <f t="shared" si="762"/>
        <v>0</v>
      </c>
    </row>
    <row r="2767" spans="5:22" x14ac:dyDescent="0.25">
      <c r="E2767" s="4"/>
      <c r="M2767" s="4">
        <f t="shared" si="755"/>
        <v>173.1</v>
      </c>
      <c r="N2767" s="4"/>
      <c r="O2767" s="1">
        <f t="shared" si="756"/>
        <v>173.1</v>
      </c>
      <c r="P2767" s="1">
        <f t="shared" si="757"/>
        <v>0</v>
      </c>
      <c r="Q2767" s="1" t="str">
        <f t="shared" si="754"/>
        <v/>
      </c>
      <c r="R2767" s="1" t="str">
        <f t="shared" si="758"/>
        <v/>
      </c>
      <c r="S2767" s="1">
        <f t="shared" si="759"/>
        <v>630.90240000000244</v>
      </c>
      <c r="T2767" s="1">
        <f t="shared" si="760"/>
        <v>0</v>
      </c>
      <c r="U2767" s="1">
        <f t="shared" si="761"/>
        <v>0</v>
      </c>
      <c r="V2767" s="1">
        <f t="shared" si="762"/>
        <v>0</v>
      </c>
    </row>
    <row r="2768" spans="5:22" x14ac:dyDescent="0.25">
      <c r="E2768" s="4"/>
      <c r="M2768" s="4">
        <f t="shared" si="755"/>
        <v>173.1</v>
      </c>
      <c r="N2768" s="4"/>
      <c r="O2768" s="1">
        <f t="shared" si="756"/>
        <v>173.1</v>
      </c>
      <c r="P2768" s="1">
        <f t="shared" si="757"/>
        <v>0</v>
      </c>
      <c r="Q2768" s="1" t="str">
        <f t="shared" si="754"/>
        <v/>
      </c>
      <c r="R2768" s="1" t="str">
        <f t="shared" si="758"/>
        <v/>
      </c>
      <c r="S2768" s="1">
        <f t="shared" si="759"/>
        <v>630.90240000000244</v>
      </c>
      <c r="T2768" s="1">
        <f t="shared" si="760"/>
        <v>0</v>
      </c>
      <c r="U2768" s="1">
        <f t="shared" si="761"/>
        <v>0</v>
      </c>
      <c r="V2768" s="1">
        <f t="shared" si="762"/>
        <v>0</v>
      </c>
    </row>
    <row r="2769" spans="5:22" x14ac:dyDescent="0.25">
      <c r="E2769" s="4"/>
      <c r="M2769" s="4">
        <f t="shared" si="755"/>
        <v>173.1</v>
      </c>
      <c r="N2769" s="4"/>
      <c r="O2769" s="1">
        <f t="shared" si="756"/>
        <v>173.1</v>
      </c>
      <c r="P2769" s="1">
        <f t="shared" si="757"/>
        <v>0</v>
      </c>
      <c r="Q2769" s="1" t="str">
        <f t="shared" si="754"/>
        <v/>
      </c>
      <c r="R2769" s="1" t="str">
        <f t="shared" si="758"/>
        <v/>
      </c>
      <c r="S2769" s="1">
        <f t="shared" si="759"/>
        <v>630.90240000000244</v>
      </c>
      <c r="T2769" s="1">
        <f t="shared" si="760"/>
        <v>0</v>
      </c>
      <c r="U2769" s="1">
        <f t="shared" si="761"/>
        <v>0</v>
      </c>
      <c r="V2769" s="1">
        <f t="shared" si="762"/>
        <v>0</v>
      </c>
    </row>
    <row r="2770" spans="5:22" x14ac:dyDescent="0.25">
      <c r="E2770" s="4"/>
      <c r="M2770" s="4">
        <f t="shared" si="755"/>
        <v>173.1</v>
      </c>
      <c r="N2770" s="4"/>
      <c r="O2770" s="1">
        <f t="shared" si="756"/>
        <v>173.1</v>
      </c>
      <c r="P2770" s="1">
        <f t="shared" si="757"/>
        <v>0</v>
      </c>
      <c r="Q2770" s="1" t="str">
        <f t="shared" si="754"/>
        <v/>
      </c>
      <c r="R2770" s="1" t="str">
        <f t="shared" si="758"/>
        <v/>
      </c>
      <c r="S2770" s="1">
        <f t="shared" si="759"/>
        <v>630.90240000000244</v>
      </c>
      <c r="T2770" s="1">
        <f t="shared" si="760"/>
        <v>0</v>
      </c>
      <c r="U2770" s="1">
        <f t="shared" si="761"/>
        <v>0</v>
      </c>
      <c r="V2770" s="1">
        <f t="shared" si="762"/>
        <v>0</v>
      </c>
    </row>
    <row r="2771" spans="5:22" x14ac:dyDescent="0.25">
      <c r="E2771" s="4"/>
      <c r="M2771" s="4">
        <f t="shared" si="755"/>
        <v>173.1</v>
      </c>
      <c r="N2771" s="4"/>
      <c r="O2771" s="1">
        <f t="shared" si="756"/>
        <v>173.1</v>
      </c>
      <c r="P2771" s="1">
        <f t="shared" si="757"/>
        <v>0</v>
      </c>
      <c r="Q2771" s="1" t="str">
        <f t="shared" si="754"/>
        <v/>
      </c>
      <c r="R2771" s="1" t="str">
        <f t="shared" si="758"/>
        <v/>
      </c>
      <c r="S2771" s="1">
        <f t="shared" si="759"/>
        <v>630.90240000000244</v>
      </c>
      <c r="T2771" s="1">
        <f t="shared" si="760"/>
        <v>0</v>
      </c>
      <c r="U2771" s="1">
        <f t="shared" si="761"/>
        <v>0</v>
      </c>
      <c r="V2771" s="1">
        <f t="shared" si="762"/>
        <v>0</v>
      </c>
    </row>
    <row r="2772" spans="5:22" x14ac:dyDescent="0.25">
      <c r="E2772" s="4"/>
      <c r="M2772" s="4">
        <f t="shared" si="755"/>
        <v>173.1</v>
      </c>
      <c r="N2772" s="4"/>
      <c r="O2772" s="1">
        <f t="shared" si="756"/>
        <v>173.1</v>
      </c>
      <c r="P2772" s="1">
        <f t="shared" si="757"/>
        <v>0</v>
      </c>
      <c r="Q2772" s="1" t="str">
        <f t="shared" si="754"/>
        <v/>
      </c>
      <c r="R2772" s="1" t="str">
        <f t="shared" si="758"/>
        <v/>
      </c>
      <c r="S2772" s="1">
        <f t="shared" si="759"/>
        <v>630.90240000000244</v>
      </c>
      <c r="T2772" s="1">
        <f t="shared" si="760"/>
        <v>0</v>
      </c>
      <c r="U2772" s="1">
        <f t="shared" si="761"/>
        <v>0</v>
      </c>
      <c r="V2772" s="1">
        <f t="shared" si="762"/>
        <v>0</v>
      </c>
    </row>
    <row r="2773" spans="5:22" x14ac:dyDescent="0.25">
      <c r="E2773" s="4"/>
      <c r="M2773" s="4">
        <f t="shared" si="755"/>
        <v>173.1</v>
      </c>
      <c r="N2773" s="4"/>
      <c r="O2773" s="1">
        <f t="shared" si="756"/>
        <v>173.1</v>
      </c>
      <c r="P2773" s="1">
        <f t="shared" si="757"/>
        <v>0</v>
      </c>
      <c r="Q2773" s="1" t="str">
        <f t="shared" si="754"/>
        <v/>
      </c>
      <c r="R2773" s="1" t="str">
        <f t="shared" si="758"/>
        <v/>
      </c>
      <c r="S2773" s="1">
        <f t="shared" si="759"/>
        <v>630.90240000000244</v>
      </c>
      <c r="T2773" s="1">
        <f t="shared" si="760"/>
        <v>0</v>
      </c>
      <c r="U2773" s="1">
        <f t="shared" si="761"/>
        <v>0</v>
      </c>
      <c r="V2773" s="1">
        <f t="shared" si="762"/>
        <v>0</v>
      </c>
    </row>
    <row r="2774" spans="5:22" x14ac:dyDescent="0.25">
      <c r="E2774" s="4"/>
      <c r="M2774" s="4">
        <f t="shared" si="755"/>
        <v>173.1</v>
      </c>
      <c r="N2774" s="4"/>
      <c r="O2774" s="1">
        <f t="shared" si="756"/>
        <v>173.1</v>
      </c>
      <c r="P2774" s="1">
        <f t="shared" si="757"/>
        <v>0</v>
      </c>
      <c r="Q2774" s="1" t="str">
        <f t="shared" si="754"/>
        <v/>
      </c>
      <c r="R2774" s="1" t="str">
        <f t="shared" si="758"/>
        <v/>
      </c>
      <c r="S2774" s="1">
        <f t="shared" si="759"/>
        <v>630.90240000000244</v>
      </c>
      <c r="T2774" s="1">
        <f t="shared" si="760"/>
        <v>0</v>
      </c>
      <c r="U2774" s="1">
        <f t="shared" si="761"/>
        <v>0</v>
      </c>
      <c r="V2774" s="1">
        <f t="shared" si="762"/>
        <v>0</v>
      </c>
    </row>
    <row r="2775" spans="5:22" x14ac:dyDescent="0.25">
      <c r="E2775" s="4"/>
      <c r="M2775" s="4">
        <f t="shared" si="755"/>
        <v>173.1</v>
      </c>
      <c r="N2775" s="4"/>
      <c r="O2775" s="1">
        <f t="shared" si="756"/>
        <v>173.1</v>
      </c>
      <c r="P2775" s="1">
        <f t="shared" si="757"/>
        <v>0</v>
      </c>
      <c r="Q2775" s="1" t="str">
        <f t="shared" si="754"/>
        <v/>
      </c>
      <c r="R2775" s="1" t="str">
        <f t="shared" si="758"/>
        <v/>
      </c>
      <c r="S2775" s="1">
        <f t="shared" si="759"/>
        <v>630.90240000000244</v>
      </c>
      <c r="T2775" s="1">
        <f t="shared" si="760"/>
        <v>0</v>
      </c>
      <c r="U2775" s="1">
        <f t="shared" si="761"/>
        <v>0</v>
      </c>
      <c r="V2775" s="1">
        <f t="shared" si="762"/>
        <v>0</v>
      </c>
    </row>
    <row r="2776" spans="5:22" x14ac:dyDescent="0.25">
      <c r="E2776" s="4"/>
      <c r="M2776" s="4">
        <f t="shared" si="755"/>
        <v>173.1</v>
      </c>
      <c r="N2776" s="4"/>
      <c r="O2776" s="1">
        <f t="shared" si="756"/>
        <v>173.1</v>
      </c>
      <c r="P2776" s="1">
        <f t="shared" si="757"/>
        <v>0</v>
      </c>
      <c r="Q2776" s="1" t="str">
        <f t="shared" si="754"/>
        <v/>
      </c>
      <c r="R2776" s="1" t="str">
        <f t="shared" si="758"/>
        <v/>
      </c>
      <c r="S2776" s="1">
        <f t="shared" si="759"/>
        <v>630.90240000000244</v>
      </c>
      <c r="T2776" s="1">
        <f t="shared" si="760"/>
        <v>0</v>
      </c>
      <c r="U2776" s="1">
        <f t="shared" si="761"/>
        <v>0</v>
      </c>
      <c r="V2776" s="1">
        <f t="shared" si="762"/>
        <v>0</v>
      </c>
    </row>
    <row r="2777" spans="5:22" x14ac:dyDescent="0.25">
      <c r="E2777" s="4"/>
      <c r="M2777" s="4">
        <f t="shared" si="755"/>
        <v>173.1</v>
      </c>
      <c r="N2777" s="4"/>
      <c r="O2777" s="1">
        <f t="shared" si="756"/>
        <v>173.1</v>
      </c>
      <c r="P2777" s="1">
        <f t="shared" si="757"/>
        <v>0</v>
      </c>
      <c r="Q2777" s="1" t="str">
        <f t="shared" si="754"/>
        <v/>
      </c>
      <c r="R2777" s="1" t="str">
        <f t="shared" si="758"/>
        <v/>
      </c>
      <c r="S2777" s="1">
        <f t="shared" si="759"/>
        <v>630.90240000000244</v>
      </c>
      <c r="T2777" s="1">
        <f t="shared" si="760"/>
        <v>0</v>
      </c>
      <c r="U2777" s="1">
        <f t="shared" si="761"/>
        <v>0</v>
      </c>
      <c r="V2777" s="1">
        <f t="shared" si="762"/>
        <v>0</v>
      </c>
    </row>
    <row r="2778" spans="5:22" x14ac:dyDescent="0.25">
      <c r="E2778" s="4"/>
      <c r="M2778" s="4">
        <f t="shared" si="755"/>
        <v>173.1</v>
      </c>
      <c r="N2778" s="4"/>
      <c r="O2778" s="1">
        <f t="shared" si="756"/>
        <v>173.1</v>
      </c>
      <c r="P2778" s="1">
        <f t="shared" si="757"/>
        <v>0</v>
      </c>
      <c r="Q2778" s="1" t="str">
        <f t="shared" si="754"/>
        <v/>
      </c>
      <c r="R2778" s="1" t="str">
        <f t="shared" si="758"/>
        <v/>
      </c>
      <c r="S2778" s="1">
        <f t="shared" si="759"/>
        <v>630.90240000000244</v>
      </c>
      <c r="T2778" s="1">
        <f t="shared" si="760"/>
        <v>0</v>
      </c>
      <c r="U2778" s="1">
        <f t="shared" si="761"/>
        <v>0</v>
      </c>
      <c r="V2778" s="1">
        <f t="shared" si="762"/>
        <v>0</v>
      </c>
    </row>
    <row r="2779" spans="5:22" x14ac:dyDescent="0.25">
      <c r="E2779" s="4"/>
      <c r="M2779" s="4">
        <f t="shared" si="755"/>
        <v>173.1</v>
      </c>
      <c r="N2779" s="4"/>
      <c r="O2779" s="1">
        <f t="shared" si="756"/>
        <v>173.1</v>
      </c>
      <c r="P2779" s="1">
        <f t="shared" si="757"/>
        <v>0</v>
      </c>
      <c r="Q2779" s="1" t="str">
        <f t="shared" si="754"/>
        <v/>
      </c>
      <c r="R2779" s="1" t="str">
        <f t="shared" si="758"/>
        <v/>
      </c>
      <c r="S2779" s="1">
        <f t="shared" si="759"/>
        <v>630.90240000000244</v>
      </c>
      <c r="T2779" s="1">
        <f t="shared" si="760"/>
        <v>0</v>
      </c>
      <c r="U2779" s="1">
        <f t="shared" si="761"/>
        <v>0</v>
      </c>
      <c r="V2779" s="1">
        <f t="shared" si="762"/>
        <v>0</v>
      </c>
    </row>
    <row r="2780" spans="5:22" x14ac:dyDescent="0.25">
      <c r="E2780" s="4"/>
      <c r="M2780" s="4">
        <f t="shared" si="755"/>
        <v>173.1</v>
      </c>
      <c r="N2780" s="4"/>
      <c r="O2780" s="1">
        <f t="shared" si="756"/>
        <v>173.1</v>
      </c>
      <c r="P2780" s="1">
        <f t="shared" si="757"/>
        <v>0</v>
      </c>
      <c r="Q2780" s="1" t="str">
        <f t="shared" si="754"/>
        <v/>
      </c>
      <c r="R2780" s="1" t="str">
        <f t="shared" si="758"/>
        <v/>
      </c>
      <c r="S2780" s="1">
        <f t="shared" si="759"/>
        <v>630.90240000000244</v>
      </c>
      <c r="T2780" s="1">
        <f t="shared" si="760"/>
        <v>0</v>
      </c>
      <c r="U2780" s="1">
        <f t="shared" si="761"/>
        <v>0</v>
      </c>
      <c r="V2780" s="1">
        <f t="shared" si="762"/>
        <v>0</v>
      </c>
    </row>
    <row r="2781" spans="5:22" x14ac:dyDescent="0.25">
      <c r="E2781" s="4"/>
      <c r="M2781" s="4">
        <f t="shared" si="755"/>
        <v>173.1</v>
      </c>
      <c r="N2781" s="4"/>
      <c r="O2781" s="1">
        <f t="shared" si="756"/>
        <v>173.1</v>
      </c>
      <c r="P2781" s="1">
        <f t="shared" si="757"/>
        <v>0</v>
      </c>
      <c r="Q2781" s="1" t="str">
        <f t="shared" si="754"/>
        <v/>
      </c>
      <c r="R2781" s="1" t="str">
        <f t="shared" si="758"/>
        <v/>
      </c>
      <c r="S2781" s="1">
        <f t="shared" si="759"/>
        <v>630.90240000000244</v>
      </c>
      <c r="T2781" s="1">
        <f t="shared" si="760"/>
        <v>0</v>
      </c>
      <c r="U2781" s="1">
        <f t="shared" si="761"/>
        <v>0</v>
      </c>
      <c r="V2781" s="1">
        <f t="shared" si="762"/>
        <v>0</v>
      </c>
    </row>
    <row r="2782" spans="5:22" x14ac:dyDescent="0.25">
      <c r="E2782" s="4"/>
      <c r="M2782" s="4">
        <f t="shared" si="755"/>
        <v>173.1</v>
      </c>
      <c r="N2782" s="4"/>
      <c r="O2782" s="1">
        <f t="shared" si="756"/>
        <v>173.1</v>
      </c>
      <c r="P2782" s="1">
        <f t="shared" si="757"/>
        <v>0</v>
      </c>
      <c r="Q2782" s="1" t="str">
        <f t="shared" si="754"/>
        <v/>
      </c>
      <c r="R2782" s="1" t="str">
        <f t="shared" si="758"/>
        <v/>
      </c>
      <c r="S2782" s="1">
        <f t="shared" si="759"/>
        <v>630.90240000000244</v>
      </c>
      <c r="T2782" s="1">
        <f t="shared" si="760"/>
        <v>0</v>
      </c>
      <c r="U2782" s="1">
        <f t="shared" si="761"/>
        <v>0</v>
      </c>
      <c r="V2782" s="1">
        <f t="shared" si="762"/>
        <v>0</v>
      </c>
    </row>
    <row r="2783" spans="5:22" x14ac:dyDescent="0.25">
      <c r="E2783" s="4"/>
      <c r="M2783" s="4">
        <f t="shared" si="755"/>
        <v>173.1</v>
      </c>
      <c r="N2783" s="4"/>
      <c r="O2783" s="1">
        <f t="shared" si="756"/>
        <v>173.1</v>
      </c>
      <c r="P2783" s="1">
        <f t="shared" si="757"/>
        <v>0</v>
      </c>
      <c r="Q2783" s="1" t="str">
        <f t="shared" si="754"/>
        <v/>
      </c>
      <c r="R2783" s="1" t="str">
        <f t="shared" si="758"/>
        <v/>
      </c>
      <c r="S2783" s="1">
        <f t="shared" si="759"/>
        <v>630.90240000000244</v>
      </c>
      <c r="T2783" s="1">
        <f t="shared" si="760"/>
        <v>0</v>
      </c>
      <c r="U2783" s="1">
        <f t="shared" si="761"/>
        <v>0</v>
      </c>
      <c r="V2783" s="1">
        <f t="shared" si="762"/>
        <v>0</v>
      </c>
    </row>
    <row r="2784" spans="5:22" x14ac:dyDescent="0.25">
      <c r="E2784" s="4"/>
      <c r="M2784" s="4">
        <f t="shared" si="755"/>
        <v>173.1</v>
      </c>
      <c r="N2784" s="4"/>
      <c r="O2784" s="1">
        <f t="shared" si="756"/>
        <v>173.1</v>
      </c>
      <c r="P2784" s="1">
        <f t="shared" si="757"/>
        <v>0</v>
      </c>
      <c r="Q2784" s="1" t="str">
        <f t="shared" si="754"/>
        <v/>
      </c>
      <c r="R2784" s="1" t="str">
        <f t="shared" si="758"/>
        <v/>
      </c>
      <c r="S2784" s="1">
        <f t="shared" si="759"/>
        <v>630.90240000000244</v>
      </c>
      <c r="T2784" s="1">
        <f t="shared" si="760"/>
        <v>0</v>
      </c>
      <c r="U2784" s="1">
        <f t="shared" si="761"/>
        <v>0</v>
      </c>
      <c r="V2784" s="1">
        <f t="shared" si="762"/>
        <v>0</v>
      </c>
    </row>
    <row r="2785" spans="5:22" x14ac:dyDescent="0.25">
      <c r="E2785" s="4"/>
      <c r="M2785" s="4">
        <f t="shared" si="755"/>
        <v>173.1</v>
      </c>
      <c r="N2785" s="4"/>
      <c r="O2785" s="1">
        <f t="shared" si="756"/>
        <v>173.1</v>
      </c>
      <c r="P2785" s="1">
        <f t="shared" si="757"/>
        <v>0</v>
      </c>
      <c r="Q2785" s="1" t="str">
        <f t="shared" si="754"/>
        <v/>
      </c>
      <c r="R2785" s="1" t="str">
        <f t="shared" si="758"/>
        <v/>
      </c>
      <c r="S2785" s="1">
        <f t="shared" si="759"/>
        <v>630.90240000000244</v>
      </c>
      <c r="T2785" s="1">
        <f t="shared" si="760"/>
        <v>0</v>
      </c>
      <c r="U2785" s="1">
        <f t="shared" si="761"/>
        <v>0</v>
      </c>
      <c r="V2785" s="1">
        <f t="shared" si="762"/>
        <v>0</v>
      </c>
    </row>
    <row r="2786" spans="5:22" x14ac:dyDescent="0.25">
      <c r="E2786" s="4"/>
      <c r="M2786" s="4">
        <f t="shared" si="755"/>
        <v>173.1</v>
      </c>
      <c r="N2786" s="4"/>
      <c r="O2786" s="1">
        <f t="shared" si="756"/>
        <v>173.1</v>
      </c>
      <c r="P2786" s="1">
        <f t="shared" si="757"/>
        <v>0</v>
      </c>
      <c r="Q2786" s="1" t="str">
        <f t="shared" si="754"/>
        <v/>
      </c>
      <c r="R2786" s="1" t="str">
        <f t="shared" si="758"/>
        <v/>
      </c>
      <c r="S2786" s="1">
        <f t="shared" si="759"/>
        <v>630.90240000000244</v>
      </c>
      <c r="T2786" s="1">
        <f t="shared" si="760"/>
        <v>0</v>
      </c>
      <c r="U2786" s="1">
        <f t="shared" si="761"/>
        <v>0</v>
      </c>
      <c r="V2786" s="1">
        <f t="shared" si="762"/>
        <v>0</v>
      </c>
    </row>
    <row r="2787" spans="5:22" x14ac:dyDescent="0.25">
      <c r="E2787" s="4"/>
      <c r="M2787" s="4">
        <f t="shared" si="755"/>
        <v>173.1</v>
      </c>
      <c r="N2787" s="4"/>
      <c r="O2787" s="1">
        <f t="shared" si="756"/>
        <v>173.1</v>
      </c>
      <c r="P2787" s="1">
        <f t="shared" si="757"/>
        <v>0</v>
      </c>
      <c r="Q2787" s="1" t="str">
        <f t="shared" si="754"/>
        <v/>
      </c>
      <c r="R2787" s="1" t="str">
        <f t="shared" si="758"/>
        <v/>
      </c>
      <c r="S2787" s="1">
        <f t="shared" si="759"/>
        <v>630.90240000000244</v>
      </c>
      <c r="T2787" s="1">
        <f t="shared" si="760"/>
        <v>0</v>
      </c>
      <c r="U2787" s="1">
        <f t="shared" si="761"/>
        <v>0</v>
      </c>
      <c r="V2787" s="1">
        <f t="shared" si="762"/>
        <v>0</v>
      </c>
    </row>
    <row r="2788" spans="5:22" x14ac:dyDescent="0.25">
      <c r="E2788" s="4"/>
      <c r="M2788" s="4">
        <f t="shared" si="755"/>
        <v>173.1</v>
      </c>
      <c r="N2788" s="4"/>
      <c r="O2788" s="1">
        <f t="shared" si="756"/>
        <v>173.1</v>
      </c>
      <c r="P2788" s="1">
        <f t="shared" si="757"/>
        <v>0</v>
      </c>
      <c r="Q2788" s="1" t="str">
        <f t="shared" si="754"/>
        <v/>
      </c>
      <c r="R2788" s="1" t="str">
        <f t="shared" si="758"/>
        <v/>
      </c>
      <c r="S2788" s="1">
        <f t="shared" si="759"/>
        <v>630.90240000000244</v>
      </c>
      <c r="T2788" s="1">
        <f t="shared" si="760"/>
        <v>0</v>
      </c>
      <c r="U2788" s="1">
        <f t="shared" si="761"/>
        <v>0</v>
      </c>
      <c r="V2788" s="1">
        <f t="shared" si="762"/>
        <v>0</v>
      </c>
    </row>
    <row r="2789" spans="5:22" x14ac:dyDescent="0.25">
      <c r="E2789" s="4"/>
      <c r="M2789" s="4">
        <f t="shared" si="755"/>
        <v>173.1</v>
      </c>
      <c r="N2789" s="4"/>
      <c r="O2789" s="1">
        <f t="shared" si="756"/>
        <v>173.1</v>
      </c>
      <c r="P2789" s="1">
        <f t="shared" si="757"/>
        <v>0</v>
      </c>
      <c r="Q2789" s="1" t="str">
        <f t="shared" si="754"/>
        <v/>
      </c>
      <c r="R2789" s="1" t="str">
        <f t="shared" si="758"/>
        <v/>
      </c>
      <c r="S2789" s="1">
        <f t="shared" si="759"/>
        <v>630.90240000000244</v>
      </c>
      <c r="T2789" s="1">
        <f t="shared" si="760"/>
        <v>0</v>
      </c>
      <c r="U2789" s="1">
        <f t="shared" si="761"/>
        <v>0</v>
      </c>
      <c r="V2789" s="1">
        <f t="shared" si="762"/>
        <v>0</v>
      </c>
    </row>
    <row r="2790" spans="5:22" x14ac:dyDescent="0.25">
      <c r="E2790" s="4"/>
      <c r="M2790" s="4">
        <f t="shared" si="755"/>
        <v>173.1</v>
      </c>
      <c r="N2790" s="4"/>
      <c r="O2790" s="1">
        <f t="shared" si="756"/>
        <v>173.1</v>
      </c>
      <c r="P2790" s="1">
        <f t="shared" si="757"/>
        <v>0</v>
      </c>
      <c r="Q2790" s="1" t="str">
        <f t="shared" si="754"/>
        <v/>
      </c>
      <c r="R2790" s="1" t="str">
        <f t="shared" si="758"/>
        <v/>
      </c>
      <c r="S2790" s="1">
        <f t="shared" si="759"/>
        <v>630.90240000000244</v>
      </c>
      <c r="T2790" s="1">
        <f t="shared" si="760"/>
        <v>0</v>
      </c>
      <c r="U2790" s="1">
        <f t="shared" si="761"/>
        <v>0</v>
      </c>
      <c r="V2790" s="1">
        <f t="shared" si="762"/>
        <v>0</v>
      </c>
    </row>
    <row r="2791" spans="5:22" x14ac:dyDescent="0.25">
      <c r="E2791" s="4"/>
      <c r="M2791" s="4">
        <f t="shared" si="755"/>
        <v>173.1</v>
      </c>
      <c r="N2791" s="4"/>
      <c r="O2791" s="1">
        <f t="shared" si="756"/>
        <v>173.1</v>
      </c>
      <c r="P2791" s="1">
        <f t="shared" si="757"/>
        <v>0</v>
      </c>
      <c r="Q2791" s="1" t="str">
        <f t="shared" si="754"/>
        <v/>
      </c>
      <c r="R2791" s="1" t="str">
        <f t="shared" si="758"/>
        <v/>
      </c>
      <c r="S2791" s="1">
        <f t="shared" si="759"/>
        <v>630.90240000000244</v>
      </c>
      <c r="T2791" s="1">
        <f t="shared" si="760"/>
        <v>0</v>
      </c>
      <c r="U2791" s="1">
        <f t="shared" si="761"/>
        <v>0</v>
      </c>
      <c r="V2791" s="1">
        <f t="shared" si="762"/>
        <v>0</v>
      </c>
    </row>
    <row r="2792" spans="5:22" x14ac:dyDescent="0.25">
      <c r="E2792" s="4"/>
      <c r="M2792" s="4">
        <f t="shared" si="755"/>
        <v>173.1</v>
      </c>
      <c r="N2792" s="4"/>
      <c r="O2792" s="1">
        <f t="shared" si="756"/>
        <v>173.1</v>
      </c>
      <c r="P2792" s="1">
        <f t="shared" si="757"/>
        <v>0</v>
      </c>
      <c r="Q2792" s="1" t="str">
        <f t="shared" si="754"/>
        <v/>
      </c>
      <c r="R2792" s="1" t="str">
        <f t="shared" si="758"/>
        <v/>
      </c>
      <c r="S2792" s="1">
        <f t="shared" si="759"/>
        <v>630.90240000000244</v>
      </c>
      <c r="T2792" s="1">
        <f t="shared" si="760"/>
        <v>0</v>
      </c>
      <c r="U2792" s="1">
        <f t="shared" si="761"/>
        <v>0</v>
      </c>
      <c r="V2792" s="1">
        <f t="shared" si="762"/>
        <v>0</v>
      </c>
    </row>
    <row r="2793" spans="5:22" x14ac:dyDescent="0.25">
      <c r="E2793" s="4"/>
      <c r="M2793" s="4">
        <f t="shared" si="755"/>
        <v>173.1</v>
      </c>
      <c r="N2793" s="4"/>
      <c r="O2793" s="1">
        <f t="shared" si="756"/>
        <v>173.1</v>
      </c>
      <c r="P2793" s="1">
        <f t="shared" si="757"/>
        <v>0</v>
      </c>
      <c r="Q2793" s="1" t="str">
        <f t="shared" si="754"/>
        <v/>
      </c>
      <c r="R2793" s="1" t="str">
        <f t="shared" si="758"/>
        <v/>
      </c>
      <c r="S2793" s="1">
        <f t="shared" si="759"/>
        <v>630.90240000000244</v>
      </c>
      <c r="T2793" s="1">
        <f t="shared" si="760"/>
        <v>0</v>
      </c>
      <c r="U2793" s="1">
        <f t="shared" si="761"/>
        <v>0</v>
      </c>
      <c r="V2793" s="1">
        <f t="shared" si="762"/>
        <v>0</v>
      </c>
    </row>
    <row r="2794" spans="5:22" x14ac:dyDescent="0.25">
      <c r="E2794" s="4"/>
      <c r="M2794" s="4">
        <f t="shared" si="755"/>
        <v>173.1</v>
      </c>
      <c r="N2794" s="4"/>
      <c r="O2794" s="1">
        <f t="shared" si="756"/>
        <v>173.1</v>
      </c>
      <c r="P2794" s="1">
        <f t="shared" si="757"/>
        <v>0</v>
      </c>
      <c r="Q2794" s="1" t="str">
        <f t="shared" si="754"/>
        <v/>
      </c>
      <c r="R2794" s="1" t="str">
        <f t="shared" si="758"/>
        <v/>
      </c>
      <c r="S2794" s="1">
        <f t="shared" si="759"/>
        <v>630.90240000000244</v>
      </c>
      <c r="T2794" s="1">
        <f t="shared" si="760"/>
        <v>0</v>
      </c>
      <c r="U2794" s="1">
        <f t="shared" si="761"/>
        <v>0</v>
      </c>
      <c r="V2794" s="1">
        <f t="shared" si="762"/>
        <v>0</v>
      </c>
    </row>
    <row r="2795" spans="5:22" x14ac:dyDescent="0.25">
      <c r="E2795" s="4"/>
      <c r="M2795" s="4">
        <f t="shared" si="755"/>
        <v>173.1</v>
      </c>
      <c r="N2795" s="4"/>
      <c r="O2795" s="1">
        <f t="shared" si="756"/>
        <v>173.1</v>
      </c>
      <c r="P2795" s="1">
        <f t="shared" si="757"/>
        <v>0</v>
      </c>
      <c r="Q2795" s="1" t="str">
        <f t="shared" si="754"/>
        <v/>
      </c>
      <c r="R2795" s="1" t="str">
        <f t="shared" si="758"/>
        <v/>
      </c>
      <c r="S2795" s="1">
        <f t="shared" si="759"/>
        <v>630.90240000000244</v>
      </c>
      <c r="T2795" s="1">
        <f t="shared" si="760"/>
        <v>0</v>
      </c>
      <c r="U2795" s="1">
        <f t="shared" si="761"/>
        <v>0</v>
      </c>
      <c r="V2795" s="1">
        <f t="shared" si="762"/>
        <v>0</v>
      </c>
    </row>
    <row r="2796" spans="5:22" x14ac:dyDescent="0.25">
      <c r="E2796" s="4"/>
      <c r="M2796" s="4">
        <f t="shared" si="755"/>
        <v>173.1</v>
      </c>
      <c r="N2796" s="4"/>
      <c r="O2796" s="1">
        <f t="shared" si="756"/>
        <v>173.1</v>
      </c>
      <c r="P2796" s="1">
        <f t="shared" si="757"/>
        <v>0</v>
      </c>
      <c r="Q2796" s="1" t="str">
        <f t="shared" si="754"/>
        <v/>
      </c>
      <c r="R2796" s="1" t="str">
        <f t="shared" si="758"/>
        <v/>
      </c>
      <c r="S2796" s="1">
        <f t="shared" si="759"/>
        <v>630.90240000000244</v>
      </c>
      <c r="T2796" s="1">
        <f t="shared" si="760"/>
        <v>0</v>
      </c>
      <c r="U2796" s="1">
        <f t="shared" si="761"/>
        <v>0</v>
      </c>
      <c r="V2796" s="1">
        <f t="shared" si="762"/>
        <v>0</v>
      </c>
    </row>
    <row r="2797" spans="5:22" x14ac:dyDescent="0.25">
      <c r="E2797" s="4"/>
      <c r="M2797" s="4">
        <f t="shared" si="755"/>
        <v>173.1</v>
      </c>
      <c r="N2797" s="4"/>
      <c r="O2797" s="1">
        <f t="shared" si="756"/>
        <v>173.1</v>
      </c>
      <c r="P2797" s="1">
        <f t="shared" si="757"/>
        <v>0</v>
      </c>
      <c r="Q2797" s="1" t="str">
        <f t="shared" si="754"/>
        <v/>
      </c>
      <c r="R2797" s="1" t="str">
        <f t="shared" si="758"/>
        <v/>
      </c>
      <c r="S2797" s="1">
        <f t="shared" si="759"/>
        <v>630.90240000000244</v>
      </c>
      <c r="T2797" s="1">
        <f t="shared" si="760"/>
        <v>0</v>
      </c>
      <c r="U2797" s="1">
        <f t="shared" si="761"/>
        <v>0</v>
      </c>
      <c r="V2797" s="1">
        <f t="shared" si="762"/>
        <v>0</v>
      </c>
    </row>
    <row r="2798" spans="5:22" x14ac:dyDescent="0.25">
      <c r="E2798" s="4"/>
      <c r="M2798" s="4">
        <f t="shared" si="755"/>
        <v>173.1</v>
      </c>
      <c r="N2798" s="4"/>
      <c r="O2798" s="1">
        <f t="shared" si="756"/>
        <v>173.1</v>
      </c>
      <c r="P2798" s="1">
        <f t="shared" si="757"/>
        <v>0</v>
      </c>
      <c r="Q2798" s="1" t="str">
        <f t="shared" si="754"/>
        <v/>
      </c>
      <c r="R2798" s="1" t="str">
        <f t="shared" si="758"/>
        <v/>
      </c>
      <c r="S2798" s="1">
        <f t="shared" si="759"/>
        <v>630.90240000000244</v>
      </c>
      <c r="T2798" s="1">
        <f t="shared" si="760"/>
        <v>0</v>
      </c>
      <c r="U2798" s="1">
        <f t="shared" si="761"/>
        <v>0</v>
      </c>
      <c r="V2798" s="1">
        <f t="shared" si="762"/>
        <v>0</v>
      </c>
    </row>
    <row r="2799" spans="5:22" x14ac:dyDescent="0.25">
      <c r="E2799" s="4"/>
      <c r="M2799" s="4">
        <f t="shared" si="755"/>
        <v>173.1</v>
      </c>
      <c r="N2799" s="4"/>
      <c r="O2799" s="1">
        <f t="shared" si="756"/>
        <v>173.1</v>
      </c>
      <c r="P2799" s="1">
        <f t="shared" si="757"/>
        <v>0</v>
      </c>
      <c r="Q2799" s="1" t="str">
        <f t="shared" si="754"/>
        <v/>
      </c>
      <c r="R2799" s="1" t="str">
        <f t="shared" si="758"/>
        <v/>
      </c>
      <c r="S2799" s="1">
        <f t="shared" si="759"/>
        <v>630.90240000000244</v>
      </c>
      <c r="T2799" s="1">
        <f t="shared" si="760"/>
        <v>0</v>
      </c>
      <c r="U2799" s="1">
        <f t="shared" si="761"/>
        <v>0</v>
      </c>
      <c r="V2799" s="1">
        <f t="shared" si="762"/>
        <v>0</v>
      </c>
    </row>
    <row r="2800" spans="5:22" x14ac:dyDescent="0.25">
      <c r="E2800" s="4"/>
      <c r="M2800" s="4">
        <f t="shared" si="755"/>
        <v>173.1</v>
      </c>
      <c r="N2800" s="4"/>
      <c r="O2800" s="1">
        <f t="shared" si="756"/>
        <v>173.1</v>
      </c>
      <c r="P2800" s="1">
        <f t="shared" si="757"/>
        <v>0</v>
      </c>
      <c r="Q2800" s="1" t="str">
        <f t="shared" si="754"/>
        <v/>
      </c>
      <c r="R2800" s="1" t="str">
        <f t="shared" si="758"/>
        <v/>
      </c>
      <c r="S2800" s="1">
        <f t="shared" si="759"/>
        <v>630.90240000000244</v>
      </c>
      <c r="T2800" s="1">
        <f t="shared" si="760"/>
        <v>0</v>
      </c>
      <c r="U2800" s="1">
        <f t="shared" si="761"/>
        <v>0</v>
      </c>
      <c r="V2800" s="1">
        <f t="shared" si="762"/>
        <v>0</v>
      </c>
    </row>
    <row r="2801" spans="5:22" x14ac:dyDescent="0.25">
      <c r="E2801" s="4"/>
      <c r="M2801" s="4">
        <f t="shared" si="755"/>
        <v>173.1</v>
      </c>
      <c r="N2801" s="4"/>
      <c r="O2801" s="1">
        <f t="shared" si="756"/>
        <v>173.1</v>
      </c>
      <c r="P2801" s="1">
        <f t="shared" si="757"/>
        <v>0</v>
      </c>
      <c r="Q2801" s="1" t="str">
        <f t="shared" si="754"/>
        <v/>
      </c>
      <c r="R2801" s="1" t="str">
        <f t="shared" si="758"/>
        <v/>
      </c>
      <c r="S2801" s="1">
        <f t="shared" si="759"/>
        <v>630.90240000000244</v>
      </c>
      <c r="T2801" s="1">
        <f t="shared" si="760"/>
        <v>0</v>
      </c>
      <c r="U2801" s="1">
        <f t="shared" si="761"/>
        <v>0</v>
      </c>
      <c r="V2801" s="1">
        <f t="shared" si="762"/>
        <v>0</v>
      </c>
    </row>
    <row r="2802" spans="5:22" x14ac:dyDescent="0.25">
      <c r="E2802" s="4"/>
      <c r="M2802" s="4">
        <f t="shared" si="755"/>
        <v>173.1</v>
      </c>
      <c r="N2802" s="4"/>
      <c r="O2802" s="1">
        <f t="shared" si="756"/>
        <v>173.1</v>
      </c>
      <c r="P2802" s="1">
        <f t="shared" si="757"/>
        <v>0</v>
      </c>
      <c r="Q2802" s="1" t="str">
        <f t="shared" ref="Q2802:Q2865" si="763">IF(H2802&lt;&gt;"",IF(H2802=H2801,"",H2802),IF(H2800="","",MAX(H2801,Q2801)))</f>
        <v/>
      </c>
      <c r="R2802" s="1" t="str">
        <f t="shared" si="758"/>
        <v/>
      </c>
      <c r="S2802" s="1">
        <f t="shared" si="759"/>
        <v>630.90240000000244</v>
      </c>
      <c r="T2802" s="1">
        <f t="shared" si="760"/>
        <v>0</v>
      </c>
      <c r="U2802" s="1">
        <f t="shared" si="761"/>
        <v>0</v>
      </c>
      <c r="V2802" s="1">
        <f t="shared" si="762"/>
        <v>0</v>
      </c>
    </row>
    <row r="2803" spans="5:22" x14ac:dyDescent="0.25">
      <c r="E2803" s="4"/>
      <c r="M2803" s="4">
        <f t="shared" si="755"/>
        <v>173.1</v>
      </c>
      <c r="N2803" s="4"/>
      <c r="O2803" s="1">
        <f t="shared" si="756"/>
        <v>173.1</v>
      </c>
      <c r="P2803" s="1">
        <f t="shared" si="757"/>
        <v>0</v>
      </c>
      <c r="Q2803" s="1" t="str">
        <f t="shared" si="763"/>
        <v/>
      </c>
      <c r="R2803" s="1" t="str">
        <f t="shared" si="758"/>
        <v/>
      </c>
      <c r="S2803" s="1">
        <f t="shared" si="759"/>
        <v>630.90240000000244</v>
      </c>
      <c r="T2803" s="1">
        <f t="shared" si="760"/>
        <v>0</v>
      </c>
      <c r="U2803" s="1">
        <f t="shared" si="761"/>
        <v>0</v>
      </c>
      <c r="V2803" s="1">
        <f t="shared" si="762"/>
        <v>0</v>
      </c>
    </row>
    <row r="2804" spans="5:22" x14ac:dyDescent="0.25">
      <c r="E2804" s="4"/>
      <c r="M2804" s="4">
        <f t="shared" si="755"/>
        <v>173.1</v>
      </c>
      <c r="N2804" s="4"/>
      <c r="O2804" s="1">
        <f t="shared" si="756"/>
        <v>173.1</v>
      </c>
      <c r="P2804" s="1">
        <f t="shared" si="757"/>
        <v>0</v>
      </c>
      <c r="Q2804" s="1" t="str">
        <f t="shared" si="763"/>
        <v/>
      </c>
      <c r="R2804" s="1" t="str">
        <f t="shared" si="758"/>
        <v/>
      </c>
      <c r="S2804" s="1">
        <f t="shared" si="759"/>
        <v>630.90240000000244</v>
      </c>
      <c r="T2804" s="1">
        <f t="shared" si="760"/>
        <v>0</v>
      </c>
      <c r="U2804" s="1">
        <f t="shared" si="761"/>
        <v>0</v>
      </c>
      <c r="V2804" s="1">
        <f t="shared" si="762"/>
        <v>0</v>
      </c>
    </row>
    <row r="2805" spans="5:22" x14ac:dyDescent="0.25">
      <c r="E2805" s="4"/>
      <c r="M2805" s="4">
        <f t="shared" si="755"/>
        <v>173.1</v>
      </c>
      <c r="N2805" s="4"/>
      <c r="O2805" s="1">
        <f t="shared" si="756"/>
        <v>173.1</v>
      </c>
      <c r="P2805" s="1">
        <f t="shared" si="757"/>
        <v>0</v>
      </c>
      <c r="Q2805" s="1" t="str">
        <f t="shared" si="763"/>
        <v/>
      </c>
      <c r="R2805" s="1" t="str">
        <f t="shared" si="758"/>
        <v/>
      </c>
      <c r="S2805" s="1">
        <f t="shared" si="759"/>
        <v>630.90240000000244</v>
      </c>
      <c r="T2805" s="1">
        <f t="shared" si="760"/>
        <v>0</v>
      </c>
      <c r="U2805" s="1">
        <f t="shared" si="761"/>
        <v>0</v>
      </c>
      <c r="V2805" s="1">
        <f t="shared" si="762"/>
        <v>0</v>
      </c>
    </row>
    <row r="2806" spans="5:22" x14ac:dyDescent="0.25">
      <c r="E2806" s="4"/>
      <c r="M2806" s="4">
        <f t="shared" si="755"/>
        <v>173.1</v>
      </c>
      <c r="N2806" s="4"/>
      <c r="O2806" s="1">
        <f t="shared" si="756"/>
        <v>173.1</v>
      </c>
      <c r="P2806" s="1">
        <f t="shared" si="757"/>
        <v>0</v>
      </c>
      <c r="Q2806" s="1" t="str">
        <f t="shared" si="763"/>
        <v/>
      </c>
      <c r="R2806" s="1" t="str">
        <f t="shared" si="758"/>
        <v/>
      </c>
      <c r="S2806" s="1">
        <f t="shared" si="759"/>
        <v>630.90240000000244</v>
      </c>
      <c r="T2806" s="1">
        <f t="shared" si="760"/>
        <v>0</v>
      </c>
      <c r="U2806" s="1">
        <f t="shared" si="761"/>
        <v>0</v>
      </c>
      <c r="V2806" s="1">
        <f t="shared" si="762"/>
        <v>0</v>
      </c>
    </row>
    <row r="2807" spans="5:22" x14ac:dyDescent="0.25">
      <c r="E2807" s="4"/>
      <c r="M2807" s="4">
        <f t="shared" si="755"/>
        <v>173.1</v>
      </c>
      <c r="N2807" s="4"/>
      <c r="O2807" s="1">
        <f t="shared" si="756"/>
        <v>173.1</v>
      </c>
      <c r="P2807" s="1">
        <f t="shared" si="757"/>
        <v>0</v>
      </c>
      <c r="Q2807" s="1" t="str">
        <f t="shared" si="763"/>
        <v/>
      </c>
      <c r="R2807" s="1" t="str">
        <f t="shared" si="758"/>
        <v/>
      </c>
      <c r="S2807" s="1">
        <f t="shared" si="759"/>
        <v>630.90240000000244</v>
      </c>
      <c r="T2807" s="1">
        <f t="shared" si="760"/>
        <v>0</v>
      </c>
      <c r="U2807" s="1">
        <f t="shared" si="761"/>
        <v>0</v>
      </c>
      <c r="V2807" s="1">
        <f t="shared" si="762"/>
        <v>0</v>
      </c>
    </row>
    <row r="2808" spans="5:22" x14ac:dyDescent="0.25">
      <c r="E2808" s="4"/>
      <c r="M2808" s="4">
        <f t="shared" si="755"/>
        <v>173.1</v>
      </c>
      <c r="N2808" s="4"/>
      <c r="O2808" s="1">
        <f t="shared" si="756"/>
        <v>173.1</v>
      </c>
      <c r="P2808" s="1">
        <f t="shared" si="757"/>
        <v>0</v>
      </c>
      <c r="Q2808" s="1" t="str">
        <f t="shared" si="763"/>
        <v/>
      </c>
      <c r="R2808" s="1" t="str">
        <f t="shared" si="758"/>
        <v/>
      </c>
      <c r="S2808" s="1">
        <f t="shared" si="759"/>
        <v>630.90240000000244</v>
      </c>
      <c r="T2808" s="1">
        <f t="shared" si="760"/>
        <v>0</v>
      </c>
      <c r="U2808" s="1">
        <f t="shared" si="761"/>
        <v>0</v>
      </c>
      <c r="V2808" s="1">
        <f t="shared" si="762"/>
        <v>0</v>
      </c>
    </row>
    <row r="2809" spans="5:22" x14ac:dyDescent="0.25">
      <c r="E2809" s="4"/>
      <c r="M2809" s="4">
        <f t="shared" si="755"/>
        <v>173.1</v>
      </c>
      <c r="N2809" s="4"/>
      <c r="O2809" s="1">
        <f t="shared" si="756"/>
        <v>173.1</v>
      </c>
      <c r="P2809" s="1">
        <f t="shared" si="757"/>
        <v>0</v>
      </c>
      <c r="Q2809" s="1" t="str">
        <f t="shared" si="763"/>
        <v/>
      </c>
      <c r="R2809" s="1" t="str">
        <f t="shared" si="758"/>
        <v/>
      </c>
      <c r="S2809" s="1">
        <f t="shared" si="759"/>
        <v>630.90240000000244</v>
      </c>
      <c r="T2809" s="1">
        <f t="shared" si="760"/>
        <v>0</v>
      </c>
      <c r="U2809" s="1">
        <f t="shared" si="761"/>
        <v>0</v>
      </c>
      <c r="V2809" s="1">
        <f t="shared" si="762"/>
        <v>0</v>
      </c>
    </row>
    <row r="2810" spans="5:22" x14ac:dyDescent="0.25">
      <c r="E2810" s="4"/>
      <c r="M2810" s="4">
        <f t="shared" si="755"/>
        <v>173.1</v>
      </c>
      <c r="N2810" s="4"/>
      <c r="O2810" s="1">
        <f t="shared" si="756"/>
        <v>173.1</v>
      </c>
      <c r="P2810" s="1">
        <f t="shared" si="757"/>
        <v>0</v>
      </c>
      <c r="Q2810" s="1" t="str">
        <f t="shared" si="763"/>
        <v/>
      </c>
      <c r="R2810" s="1" t="str">
        <f t="shared" si="758"/>
        <v/>
      </c>
      <c r="S2810" s="1">
        <f t="shared" si="759"/>
        <v>630.90240000000244</v>
      </c>
      <c r="T2810" s="1">
        <f t="shared" si="760"/>
        <v>0</v>
      </c>
      <c r="U2810" s="1">
        <f t="shared" si="761"/>
        <v>0</v>
      </c>
      <c r="V2810" s="1">
        <f t="shared" si="762"/>
        <v>0</v>
      </c>
    </row>
    <row r="2811" spans="5:22" x14ac:dyDescent="0.25">
      <c r="E2811" s="4"/>
      <c r="M2811" s="4">
        <f t="shared" si="755"/>
        <v>173.1</v>
      </c>
      <c r="N2811" s="4"/>
      <c r="O2811" s="1">
        <f t="shared" si="756"/>
        <v>173.1</v>
      </c>
      <c r="P2811" s="1">
        <f t="shared" si="757"/>
        <v>0</v>
      </c>
      <c r="Q2811" s="1" t="str">
        <f t="shared" si="763"/>
        <v/>
      </c>
      <c r="R2811" s="1" t="str">
        <f t="shared" si="758"/>
        <v/>
      </c>
      <c r="S2811" s="1">
        <f t="shared" si="759"/>
        <v>630.90240000000244</v>
      </c>
      <c r="T2811" s="1">
        <f t="shared" si="760"/>
        <v>0</v>
      </c>
      <c r="U2811" s="1">
        <f t="shared" si="761"/>
        <v>0</v>
      </c>
      <c r="V2811" s="1">
        <f t="shared" si="762"/>
        <v>0</v>
      </c>
    </row>
    <row r="2812" spans="5:22" x14ac:dyDescent="0.25">
      <c r="E2812" s="4"/>
      <c r="M2812" s="4">
        <f t="shared" si="755"/>
        <v>173.1</v>
      </c>
      <c r="N2812" s="4"/>
      <c r="O2812" s="1">
        <f t="shared" si="756"/>
        <v>173.1</v>
      </c>
      <c r="P2812" s="1">
        <f t="shared" si="757"/>
        <v>0</v>
      </c>
      <c r="Q2812" s="1" t="str">
        <f t="shared" si="763"/>
        <v/>
      </c>
      <c r="R2812" s="1" t="str">
        <f t="shared" si="758"/>
        <v/>
      </c>
      <c r="S2812" s="1">
        <f t="shared" si="759"/>
        <v>630.90240000000244</v>
      </c>
      <c r="T2812" s="1">
        <f t="shared" si="760"/>
        <v>0</v>
      </c>
      <c r="U2812" s="1">
        <f t="shared" si="761"/>
        <v>0</v>
      </c>
      <c r="V2812" s="1">
        <f t="shared" si="762"/>
        <v>0</v>
      </c>
    </row>
    <row r="2813" spans="5:22" x14ac:dyDescent="0.25">
      <c r="E2813" s="4"/>
      <c r="M2813" s="4">
        <f t="shared" si="755"/>
        <v>173.1</v>
      </c>
      <c r="N2813" s="4"/>
      <c r="O2813" s="1">
        <f t="shared" si="756"/>
        <v>173.1</v>
      </c>
      <c r="P2813" s="1">
        <f t="shared" si="757"/>
        <v>0</v>
      </c>
      <c r="Q2813" s="1" t="str">
        <f t="shared" si="763"/>
        <v/>
      </c>
      <c r="R2813" s="1" t="str">
        <f t="shared" si="758"/>
        <v/>
      </c>
      <c r="S2813" s="1">
        <f t="shared" si="759"/>
        <v>630.90240000000244</v>
      </c>
      <c r="T2813" s="1">
        <f t="shared" si="760"/>
        <v>0</v>
      </c>
      <c r="U2813" s="1">
        <f t="shared" si="761"/>
        <v>0</v>
      </c>
      <c r="V2813" s="1">
        <f t="shared" si="762"/>
        <v>0</v>
      </c>
    </row>
    <row r="2814" spans="5:22" x14ac:dyDescent="0.25">
      <c r="E2814" s="4"/>
      <c r="M2814" s="4">
        <f t="shared" si="755"/>
        <v>173.1</v>
      </c>
      <c r="N2814" s="4"/>
      <c r="O2814" s="1">
        <f t="shared" si="756"/>
        <v>173.1</v>
      </c>
      <c r="P2814" s="1">
        <f t="shared" si="757"/>
        <v>0</v>
      </c>
      <c r="Q2814" s="1" t="str">
        <f t="shared" si="763"/>
        <v/>
      </c>
      <c r="R2814" s="1" t="str">
        <f t="shared" si="758"/>
        <v/>
      </c>
      <c r="S2814" s="1">
        <f t="shared" si="759"/>
        <v>630.90240000000244</v>
      </c>
      <c r="T2814" s="1">
        <f t="shared" si="760"/>
        <v>0</v>
      </c>
      <c r="U2814" s="1">
        <f t="shared" si="761"/>
        <v>0</v>
      </c>
      <c r="V2814" s="1">
        <f t="shared" si="762"/>
        <v>0</v>
      </c>
    </row>
    <row r="2815" spans="5:22" x14ac:dyDescent="0.25">
      <c r="E2815" s="4"/>
      <c r="M2815" s="4">
        <f t="shared" si="755"/>
        <v>173.1</v>
      </c>
      <c r="N2815" s="4"/>
      <c r="O2815" s="1">
        <f t="shared" si="756"/>
        <v>173.1</v>
      </c>
      <c r="P2815" s="1">
        <f t="shared" si="757"/>
        <v>0</v>
      </c>
      <c r="Q2815" s="1" t="str">
        <f t="shared" si="763"/>
        <v/>
      </c>
      <c r="R2815" s="1" t="str">
        <f t="shared" si="758"/>
        <v/>
      </c>
      <c r="S2815" s="1">
        <f t="shared" si="759"/>
        <v>630.90240000000244</v>
      </c>
      <c r="T2815" s="1">
        <f t="shared" si="760"/>
        <v>0</v>
      </c>
      <c r="U2815" s="1">
        <f t="shared" si="761"/>
        <v>0</v>
      </c>
      <c r="V2815" s="1">
        <f t="shared" si="762"/>
        <v>0</v>
      </c>
    </row>
    <row r="2816" spans="5:22" x14ac:dyDescent="0.25">
      <c r="E2816" s="4"/>
      <c r="M2816" s="4">
        <f t="shared" si="755"/>
        <v>173.1</v>
      </c>
      <c r="N2816" s="4"/>
      <c r="O2816" s="1">
        <f t="shared" si="756"/>
        <v>173.1</v>
      </c>
      <c r="P2816" s="1">
        <f t="shared" si="757"/>
        <v>0</v>
      </c>
      <c r="Q2816" s="1" t="str">
        <f t="shared" si="763"/>
        <v/>
      </c>
      <c r="R2816" s="1" t="str">
        <f t="shared" si="758"/>
        <v/>
      </c>
      <c r="S2816" s="1">
        <f t="shared" si="759"/>
        <v>630.90240000000244</v>
      </c>
      <c r="T2816" s="1">
        <f t="shared" si="760"/>
        <v>0</v>
      </c>
      <c r="U2816" s="1">
        <f t="shared" si="761"/>
        <v>0</v>
      </c>
      <c r="V2816" s="1">
        <f t="shared" si="762"/>
        <v>0</v>
      </c>
    </row>
    <row r="2817" spans="5:22" x14ac:dyDescent="0.25">
      <c r="E2817" s="4"/>
      <c r="M2817" s="4">
        <f t="shared" si="755"/>
        <v>173.1</v>
      </c>
      <c r="N2817" s="4"/>
      <c r="O2817" s="1">
        <f t="shared" si="756"/>
        <v>173.1</v>
      </c>
      <c r="P2817" s="1">
        <f t="shared" si="757"/>
        <v>0</v>
      </c>
      <c r="Q2817" s="1" t="str">
        <f t="shared" si="763"/>
        <v/>
      </c>
      <c r="R2817" s="1" t="str">
        <f t="shared" si="758"/>
        <v/>
      </c>
      <c r="S2817" s="1">
        <f t="shared" si="759"/>
        <v>630.90240000000244</v>
      </c>
      <c r="T2817" s="1">
        <f t="shared" si="760"/>
        <v>0</v>
      </c>
      <c r="U2817" s="1">
        <f t="shared" si="761"/>
        <v>0</v>
      </c>
      <c r="V2817" s="1">
        <f t="shared" si="762"/>
        <v>0</v>
      </c>
    </row>
    <row r="2818" spans="5:22" x14ac:dyDescent="0.25">
      <c r="E2818" s="4"/>
      <c r="M2818" s="4">
        <f t="shared" si="755"/>
        <v>173.1</v>
      </c>
      <c r="N2818" s="4"/>
      <c r="O2818" s="1">
        <f t="shared" si="756"/>
        <v>173.1</v>
      </c>
      <c r="P2818" s="1">
        <f t="shared" si="757"/>
        <v>0</v>
      </c>
      <c r="Q2818" s="1" t="str">
        <f t="shared" si="763"/>
        <v/>
      </c>
      <c r="R2818" s="1" t="str">
        <f t="shared" si="758"/>
        <v/>
      </c>
      <c r="S2818" s="1">
        <f t="shared" si="759"/>
        <v>630.90240000000244</v>
      </c>
      <c r="T2818" s="1">
        <f t="shared" si="760"/>
        <v>0</v>
      </c>
      <c r="U2818" s="1">
        <f t="shared" si="761"/>
        <v>0</v>
      </c>
      <c r="V2818" s="1">
        <f t="shared" si="762"/>
        <v>0</v>
      </c>
    </row>
    <row r="2819" spans="5:22" x14ac:dyDescent="0.25">
      <c r="E2819" s="4"/>
      <c r="M2819" s="4">
        <f t="shared" si="755"/>
        <v>173.1</v>
      </c>
      <c r="N2819" s="4"/>
      <c r="O2819" s="1">
        <f t="shared" si="756"/>
        <v>173.1</v>
      </c>
      <c r="P2819" s="1">
        <f t="shared" si="757"/>
        <v>0</v>
      </c>
      <c r="Q2819" s="1" t="str">
        <f t="shared" si="763"/>
        <v/>
      </c>
      <c r="R2819" s="1" t="str">
        <f t="shared" si="758"/>
        <v/>
      </c>
      <c r="S2819" s="1">
        <f t="shared" si="759"/>
        <v>630.90240000000244</v>
      </c>
      <c r="T2819" s="1">
        <f t="shared" si="760"/>
        <v>0</v>
      </c>
      <c r="U2819" s="1">
        <f t="shared" si="761"/>
        <v>0</v>
      </c>
      <c r="V2819" s="1">
        <f t="shared" si="762"/>
        <v>0</v>
      </c>
    </row>
    <row r="2820" spans="5:22" x14ac:dyDescent="0.25">
      <c r="E2820" s="4"/>
      <c r="M2820" s="4">
        <f t="shared" si="755"/>
        <v>173.1</v>
      </c>
      <c r="N2820" s="4"/>
      <c r="O2820" s="1">
        <f t="shared" si="756"/>
        <v>173.1</v>
      </c>
      <c r="P2820" s="1">
        <f t="shared" si="757"/>
        <v>0</v>
      </c>
      <c r="Q2820" s="1" t="str">
        <f t="shared" si="763"/>
        <v/>
      </c>
      <c r="R2820" s="1" t="str">
        <f t="shared" si="758"/>
        <v/>
      </c>
      <c r="S2820" s="1">
        <f t="shared" si="759"/>
        <v>630.90240000000244</v>
      </c>
      <c r="T2820" s="1">
        <f t="shared" si="760"/>
        <v>0</v>
      </c>
      <c r="U2820" s="1">
        <f t="shared" si="761"/>
        <v>0</v>
      </c>
      <c r="V2820" s="1">
        <f t="shared" si="762"/>
        <v>0</v>
      </c>
    </row>
    <row r="2821" spans="5:22" x14ac:dyDescent="0.25">
      <c r="E2821" s="4"/>
      <c r="M2821" s="4">
        <f t="shared" si="755"/>
        <v>173.1</v>
      </c>
      <c r="N2821" s="4"/>
      <c r="O2821" s="1">
        <f t="shared" si="756"/>
        <v>173.1</v>
      </c>
      <c r="P2821" s="1">
        <f t="shared" si="757"/>
        <v>0</v>
      </c>
      <c r="Q2821" s="1" t="str">
        <f t="shared" si="763"/>
        <v/>
      </c>
      <c r="R2821" s="1" t="str">
        <f t="shared" si="758"/>
        <v/>
      </c>
      <c r="S2821" s="1">
        <f t="shared" si="759"/>
        <v>630.90240000000244</v>
      </c>
      <c r="T2821" s="1">
        <f t="shared" si="760"/>
        <v>0</v>
      </c>
      <c r="U2821" s="1">
        <f t="shared" si="761"/>
        <v>0</v>
      </c>
      <c r="V2821" s="1">
        <f t="shared" si="762"/>
        <v>0</v>
      </c>
    </row>
    <row r="2822" spans="5:22" x14ac:dyDescent="0.25">
      <c r="E2822" s="4"/>
      <c r="M2822" s="4">
        <f t="shared" si="755"/>
        <v>173.1</v>
      </c>
      <c r="N2822" s="4"/>
      <c r="O2822" s="1">
        <f t="shared" si="756"/>
        <v>173.1</v>
      </c>
      <c r="P2822" s="1">
        <f t="shared" si="757"/>
        <v>0</v>
      </c>
      <c r="Q2822" s="1" t="str">
        <f t="shared" si="763"/>
        <v/>
      </c>
      <c r="R2822" s="1" t="str">
        <f t="shared" si="758"/>
        <v/>
      </c>
      <c r="S2822" s="1">
        <f t="shared" si="759"/>
        <v>630.90240000000244</v>
      </c>
      <c r="T2822" s="1">
        <f t="shared" si="760"/>
        <v>0</v>
      </c>
      <c r="U2822" s="1">
        <f t="shared" si="761"/>
        <v>0</v>
      </c>
      <c r="V2822" s="1">
        <f t="shared" si="762"/>
        <v>0</v>
      </c>
    </row>
    <row r="2823" spans="5:22" x14ac:dyDescent="0.25">
      <c r="E2823" s="4"/>
      <c r="M2823" s="4">
        <f t="shared" si="755"/>
        <v>173.1</v>
      </c>
      <c r="N2823" s="4"/>
      <c r="O2823" s="1">
        <f t="shared" si="756"/>
        <v>173.1</v>
      </c>
      <c r="P2823" s="1">
        <f t="shared" si="757"/>
        <v>0</v>
      </c>
      <c r="Q2823" s="1" t="str">
        <f t="shared" si="763"/>
        <v/>
      </c>
      <c r="R2823" s="1" t="str">
        <f t="shared" si="758"/>
        <v/>
      </c>
      <c r="S2823" s="1">
        <f t="shared" si="759"/>
        <v>630.90240000000244</v>
      </c>
      <c r="T2823" s="1">
        <f t="shared" si="760"/>
        <v>0</v>
      </c>
      <c r="U2823" s="1">
        <f t="shared" si="761"/>
        <v>0</v>
      </c>
      <c r="V2823" s="1">
        <f t="shared" si="762"/>
        <v>0</v>
      </c>
    </row>
    <row r="2824" spans="5:22" x14ac:dyDescent="0.25">
      <c r="E2824" s="4"/>
      <c r="M2824" s="4">
        <f t="shared" ref="M2824:M2887" si="764">E2824+M2823</f>
        <v>173.1</v>
      </c>
      <c r="N2824" s="4"/>
      <c r="O2824" s="1">
        <f t="shared" ref="O2824:O2887" si="765">E2823+O2823</f>
        <v>173.1</v>
      </c>
      <c r="P2824" s="1">
        <f t="shared" ref="P2824:P2887" si="766">F2824*52.8*E2824</f>
        <v>0</v>
      </c>
      <c r="Q2824" s="1" t="str">
        <f t="shared" si="763"/>
        <v/>
      </c>
      <c r="R2824" s="1" t="str">
        <f t="shared" ref="R2824:R2887" si="767">IF(I2824="",Q2824,IF(AND(H2824=H2823,I2824=I2823),"",I2824))</f>
        <v/>
      </c>
      <c r="S2824" s="1">
        <f t="shared" ref="S2824:S2887" si="768">S2823+U2823*T2823/100</f>
        <v>630.90240000000244</v>
      </c>
      <c r="T2824" s="1">
        <f t="shared" ref="T2824:T2887" si="769">IF(G2824="UNK",0,G2824)</f>
        <v>0</v>
      </c>
      <c r="U2824" s="1">
        <f t="shared" ref="U2824:U2887" si="770">E2824*5280</f>
        <v>0</v>
      </c>
      <c r="V2824" s="1">
        <f t="shared" ref="V2824:V2887" si="771">ABS(T2824*U2824)</f>
        <v>0</v>
      </c>
    </row>
    <row r="2825" spans="5:22" x14ac:dyDescent="0.25">
      <c r="E2825" s="4"/>
      <c r="M2825" s="4">
        <f t="shared" si="764"/>
        <v>173.1</v>
      </c>
      <c r="N2825" s="4"/>
      <c r="O2825" s="1">
        <f t="shared" si="765"/>
        <v>173.1</v>
      </c>
      <c r="P2825" s="1">
        <f t="shared" si="766"/>
        <v>0</v>
      </c>
      <c r="Q2825" s="1" t="str">
        <f t="shared" si="763"/>
        <v/>
      </c>
      <c r="R2825" s="1" t="str">
        <f t="shared" si="767"/>
        <v/>
      </c>
      <c r="S2825" s="1">
        <f t="shared" si="768"/>
        <v>630.90240000000244</v>
      </c>
      <c r="T2825" s="1">
        <f t="shared" si="769"/>
        <v>0</v>
      </c>
      <c r="U2825" s="1">
        <f t="shared" si="770"/>
        <v>0</v>
      </c>
      <c r="V2825" s="1">
        <f t="shared" si="771"/>
        <v>0</v>
      </c>
    </row>
    <row r="2826" spans="5:22" x14ac:dyDescent="0.25">
      <c r="E2826" s="4"/>
      <c r="M2826" s="4">
        <f t="shared" si="764"/>
        <v>173.1</v>
      </c>
      <c r="N2826" s="4"/>
      <c r="O2826" s="1">
        <f t="shared" si="765"/>
        <v>173.1</v>
      </c>
      <c r="P2826" s="1">
        <f t="shared" si="766"/>
        <v>0</v>
      </c>
      <c r="Q2826" s="1" t="str">
        <f t="shared" si="763"/>
        <v/>
      </c>
      <c r="R2826" s="1" t="str">
        <f t="shared" si="767"/>
        <v/>
      </c>
      <c r="S2826" s="1">
        <f t="shared" si="768"/>
        <v>630.90240000000244</v>
      </c>
      <c r="T2826" s="1">
        <f t="shared" si="769"/>
        <v>0</v>
      </c>
      <c r="U2826" s="1">
        <f t="shared" si="770"/>
        <v>0</v>
      </c>
      <c r="V2826" s="1">
        <f t="shared" si="771"/>
        <v>0</v>
      </c>
    </row>
    <row r="2827" spans="5:22" x14ac:dyDescent="0.25">
      <c r="E2827" s="4"/>
      <c r="M2827" s="4">
        <f t="shared" si="764"/>
        <v>173.1</v>
      </c>
      <c r="N2827" s="4"/>
      <c r="O2827" s="1">
        <f t="shared" si="765"/>
        <v>173.1</v>
      </c>
      <c r="P2827" s="1">
        <f t="shared" si="766"/>
        <v>0</v>
      </c>
      <c r="Q2827" s="1" t="str">
        <f t="shared" si="763"/>
        <v/>
      </c>
      <c r="R2827" s="1" t="str">
        <f t="shared" si="767"/>
        <v/>
      </c>
      <c r="S2827" s="1">
        <f t="shared" si="768"/>
        <v>630.90240000000244</v>
      </c>
      <c r="T2827" s="1">
        <f t="shared" si="769"/>
        <v>0</v>
      </c>
      <c r="U2827" s="1">
        <f t="shared" si="770"/>
        <v>0</v>
      </c>
      <c r="V2827" s="1">
        <f t="shared" si="771"/>
        <v>0</v>
      </c>
    </row>
    <row r="2828" spans="5:22" x14ac:dyDescent="0.25">
      <c r="E2828" s="4"/>
      <c r="M2828" s="4">
        <f t="shared" si="764"/>
        <v>173.1</v>
      </c>
      <c r="N2828" s="4"/>
      <c r="O2828" s="1">
        <f t="shared" si="765"/>
        <v>173.1</v>
      </c>
      <c r="P2828" s="1">
        <f t="shared" si="766"/>
        <v>0</v>
      </c>
      <c r="Q2828" s="1" t="str">
        <f t="shared" si="763"/>
        <v/>
      </c>
      <c r="R2828" s="1" t="str">
        <f t="shared" si="767"/>
        <v/>
      </c>
      <c r="S2828" s="1">
        <f t="shared" si="768"/>
        <v>630.90240000000244</v>
      </c>
      <c r="T2828" s="1">
        <f t="shared" si="769"/>
        <v>0</v>
      </c>
      <c r="U2828" s="1">
        <f t="shared" si="770"/>
        <v>0</v>
      </c>
      <c r="V2828" s="1">
        <f t="shared" si="771"/>
        <v>0</v>
      </c>
    </row>
    <row r="2829" spans="5:22" x14ac:dyDescent="0.25">
      <c r="E2829" s="4"/>
      <c r="M2829" s="4">
        <f t="shared" si="764"/>
        <v>173.1</v>
      </c>
      <c r="N2829" s="4"/>
      <c r="O2829" s="1">
        <f t="shared" si="765"/>
        <v>173.1</v>
      </c>
      <c r="P2829" s="1">
        <f t="shared" si="766"/>
        <v>0</v>
      </c>
      <c r="Q2829" s="1" t="str">
        <f t="shared" si="763"/>
        <v/>
      </c>
      <c r="R2829" s="1" t="str">
        <f t="shared" si="767"/>
        <v/>
      </c>
      <c r="S2829" s="1">
        <f t="shared" si="768"/>
        <v>630.90240000000244</v>
      </c>
      <c r="T2829" s="1">
        <f t="shared" si="769"/>
        <v>0</v>
      </c>
      <c r="U2829" s="1">
        <f t="shared" si="770"/>
        <v>0</v>
      </c>
      <c r="V2829" s="1">
        <f t="shared" si="771"/>
        <v>0</v>
      </c>
    </row>
    <row r="2830" spans="5:22" x14ac:dyDescent="0.25">
      <c r="E2830" s="4"/>
      <c r="M2830" s="4">
        <f t="shared" si="764"/>
        <v>173.1</v>
      </c>
      <c r="N2830" s="4"/>
      <c r="O2830" s="1">
        <f t="shared" si="765"/>
        <v>173.1</v>
      </c>
      <c r="P2830" s="1">
        <f t="shared" si="766"/>
        <v>0</v>
      </c>
      <c r="Q2830" s="1" t="str">
        <f t="shared" si="763"/>
        <v/>
      </c>
      <c r="R2830" s="1" t="str">
        <f t="shared" si="767"/>
        <v/>
      </c>
      <c r="S2830" s="1">
        <f t="shared" si="768"/>
        <v>630.90240000000244</v>
      </c>
      <c r="T2830" s="1">
        <f t="shared" si="769"/>
        <v>0</v>
      </c>
      <c r="U2830" s="1">
        <f t="shared" si="770"/>
        <v>0</v>
      </c>
      <c r="V2830" s="1">
        <f t="shared" si="771"/>
        <v>0</v>
      </c>
    </row>
    <row r="2831" spans="5:22" x14ac:dyDescent="0.25">
      <c r="E2831" s="4"/>
      <c r="M2831" s="4">
        <f t="shared" si="764"/>
        <v>173.1</v>
      </c>
      <c r="N2831" s="4"/>
      <c r="O2831" s="1">
        <f t="shared" si="765"/>
        <v>173.1</v>
      </c>
      <c r="P2831" s="1">
        <f t="shared" si="766"/>
        <v>0</v>
      </c>
      <c r="Q2831" s="1" t="str">
        <f t="shared" si="763"/>
        <v/>
      </c>
      <c r="R2831" s="1" t="str">
        <f t="shared" si="767"/>
        <v/>
      </c>
      <c r="S2831" s="1">
        <f t="shared" si="768"/>
        <v>630.90240000000244</v>
      </c>
      <c r="T2831" s="1">
        <f t="shared" si="769"/>
        <v>0</v>
      </c>
      <c r="U2831" s="1">
        <f t="shared" si="770"/>
        <v>0</v>
      </c>
      <c r="V2831" s="1">
        <f t="shared" si="771"/>
        <v>0</v>
      </c>
    </row>
    <row r="2832" spans="5:22" x14ac:dyDescent="0.25">
      <c r="E2832" s="4"/>
      <c r="M2832" s="4">
        <f t="shared" si="764"/>
        <v>173.1</v>
      </c>
      <c r="N2832" s="4"/>
      <c r="O2832" s="1">
        <f t="shared" si="765"/>
        <v>173.1</v>
      </c>
      <c r="P2832" s="1">
        <f t="shared" si="766"/>
        <v>0</v>
      </c>
      <c r="Q2832" s="1" t="str">
        <f t="shared" si="763"/>
        <v/>
      </c>
      <c r="R2832" s="1" t="str">
        <f t="shared" si="767"/>
        <v/>
      </c>
      <c r="S2832" s="1">
        <f t="shared" si="768"/>
        <v>630.90240000000244</v>
      </c>
      <c r="T2832" s="1">
        <f t="shared" si="769"/>
        <v>0</v>
      </c>
      <c r="U2832" s="1">
        <f t="shared" si="770"/>
        <v>0</v>
      </c>
      <c r="V2832" s="1">
        <f t="shared" si="771"/>
        <v>0</v>
      </c>
    </row>
    <row r="2833" spans="5:22" x14ac:dyDescent="0.25">
      <c r="E2833" s="4"/>
      <c r="M2833" s="4">
        <f t="shared" si="764"/>
        <v>173.1</v>
      </c>
      <c r="N2833" s="4"/>
      <c r="O2833" s="1">
        <f t="shared" si="765"/>
        <v>173.1</v>
      </c>
      <c r="P2833" s="1">
        <f t="shared" si="766"/>
        <v>0</v>
      </c>
      <c r="Q2833" s="1" t="str">
        <f t="shared" si="763"/>
        <v/>
      </c>
      <c r="R2833" s="1" t="str">
        <f t="shared" si="767"/>
        <v/>
      </c>
      <c r="S2833" s="1">
        <f t="shared" si="768"/>
        <v>630.90240000000244</v>
      </c>
      <c r="T2833" s="1">
        <f t="shared" si="769"/>
        <v>0</v>
      </c>
      <c r="U2833" s="1">
        <f t="shared" si="770"/>
        <v>0</v>
      </c>
      <c r="V2833" s="1">
        <f t="shared" si="771"/>
        <v>0</v>
      </c>
    </row>
    <row r="2834" spans="5:22" x14ac:dyDescent="0.25">
      <c r="E2834" s="4"/>
      <c r="M2834" s="4">
        <f t="shared" si="764"/>
        <v>173.1</v>
      </c>
      <c r="N2834" s="4"/>
      <c r="O2834" s="1">
        <f t="shared" si="765"/>
        <v>173.1</v>
      </c>
      <c r="P2834" s="1">
        <f t="shared" si="766"/>
        <v>0</v>
      </c>
      <c r="Q2834" s="1" t="str">
        <f t="shared" si="763"/>
        <v/>
      </c>
      <c r="R2834" s="1" t="str">
        <f t="shared" si="767"/>
        <v/>
      </c>
      <c r="S2834" s="1">
        <f t="shared" si="768"/>
        <v>630.90240000000244</v>
      </c>
      <c r="T2834" s="1">
        <f t="shared" si="769"/>
        <v>0</v>
      </c>
      <c r="U2834" s="1">
        <f t="shared" si="770"/>
        <v>0</v>
      </c>
      <c r="V2834" s="1">
        <f t="shared" si="771"/>
        <v>0</v>
      </c>
    </row>
    <row r="2835" spans="5:22" x14ac:dyDescent="0.25">
      <c r="E2835" s="4"/>
      <c r="M2835" s="4">
        <f t="shared" si="764"/>
        <v>173.1</v>
      </c>
      <c r="N2835" s="4"/>
      <c r="O2835" s="1">
        <f t="shared" si="765"/>
        <v>173.1</v>
      </c>
      <c r="P2835" s="1">
        <f t="shared" si="766"/>
        <v>0</v>
      </c>
      <c r="Q2835" s="1" t="str">
        <f t="shared" si="763"/>
        <v/>
      </c>
      <c r="R2835" s="1" t="str">
        <f t="shared" si="767"/>
        <v/>
      </c>
      <c r="S2835" s="1">
        <f t="shared" si="768"/>
        <v>630.90240000000244</v>
      </c>
      <c r="T2835" s="1">
        <f t="shared" si="769"/>
        <v>0</v>
      </c>
      <c r="U2835" s="1">
        <f t="shared" si="770"/>
        <v>0</v>
      </c>
      <c r="V2835" s="1">
        <f t="shared" si="771"/>
        <v>0</v>
      </c>
    </row>
    <row r="2836" spans="5:22" x14ac:dyDescent="0.25">
      <c r="E2836" s="4"/>
      <c r="M2836" s="4">
        <f t="shared" si="764"/>
        <v>173.1</v>
      </c>
      <c r="N2836" s="4"/>
      <c r="O2836" s="1">
        <f t="shared" si="765"/>
        <v>173.1</v>
      </c>
      <c r="P2836" s="1">
        <f t="shared" si="766"/>
        <v>0</v>
      </c>
      <c r="Q2836" s="1" t="str">
        <f t="shared" si="763"/>
        <v/>
      </c>
      <c r="R2836" s="1" t="str">
        <f t="shared" si="767"/>
        <v/>
      </c>
      <c r="S2836" s="1">
        <f t="shared" si="768"/>
        <v>630.90240000000244</v>
      </c>
      <c r="T2836" s="1">
        <f t="shared" si="769"/>
        <v>0</v>
      </c>
      <c r="U2836" s="1">
        <f t="shared" si="770"/>
        <v>0</v>
      </c>
      <c r="V2836" s="1">
        <f t="shared" si="771"/>
        <v>0</v>
      </c>
    </row>
    <row r="2837" spans="5:22" x14ac:dyDescent="0.25">
      <c r="E2837" s="4"/>
      <c r="M2837" s="4">
        <f t="shared" si="764"/>
        <v>173.1</v>
      </c>
      <c r="N2837" s="4"/>
      <c r="O2837" s="1">
        <f t="shared" si="765"/>
        <v>173.1</v>
      </c>
      <c r="P2837" s="1">
        <f t="shared" si="766"/>
        <v>0</v>
      </c>
      <c r="Q2837" s="1" t="str">
        <f t="shared" si="763"/>
        <v/>
      </c>
      <c r="R2837" s="1" t="str">
        <f t="shared" si="767"/>
        <v/>
      </c>
      <c r="S2837" s="1">
        <f t="shared" si="768"/>
        <v>630.90240000000244</v>
      </c>
      <c r="T2837" s="1">
        <f t="shared" si="769"/>
        <v>0</v>
      </c>
      <c r="U2837" s="1">
        <f t="shared" si="770"/>
        <v>0</v>
      </c>
      <c r="V2837" s="1">
        <f t="shared" si="771"/>
        <v>0</v>
      </c>
    </row>
    <row r="2838" spans="5:22" x14ac:dyDescent="0.25">
      <c r="E2838" s="4"/>
      <c r="M2838" s="4">
        <f t="shared" si="764"/>
        <v>173.1</v>
      </c>
      <c r="N2838" s="4"/>
      <c r="O2838" s="1">
        <f t="shared" si="765"/>
        <v>173.1</v>
      </c>
      <c r="P2838" s="1">
        <f t="shared" si="766"/>
        <v>0</v>
      </c>
      <c r="Q2838" s="1" t="str">
        <f t="shared" si="763"/>
        <v/>
      </c>
      <c r="R2838" s="1" t="str">
        <f t="shared" si="767"/>
        <v/>
      </c>
      <c r="S2838" s="1">
        <f t="shared" si="768"/>
        <v>630.90240000000244</v>
      </c>
      <c r="T2838" s="1">
        <f t="shared" si="769"/>
        <v>0</v>
      </c>
      <c r="U2838" s="1">
        <f t="shared" si="770"/>
        <v>0</v>
      </c>
      <c r="V2838" s="1">
        <f t="shared" si="771"/>
        <v>0</v>
      </c>
    </row>
    <row r="2839" spans="5:22" x14ac:dyDescent="0.25">
      <c r="E2839" s="4"/>
      <c r="M2839" s="4">
        <f t="shared" si="764"/>
        <v>173.1</v>
      </c>
      <c r="N2839" s="4"/>
      <c r="O2839" s="1">
        <f t="shared" si="765"/>
        <v>173.1</v>
      </c>
      <c r="P2839" s="1">
        <f t="shared" si="766"/>
        <v>0</v>
      </c>
      <c r="Q2839" s="1" t="str">
        <f t="shared" si="763"/>
        <v/>
      </c>
      <c r="R2839" s="1" t="str">
        <f t="shared" si="767"/>
        <v/>
      </c>
      <c r="S2839" s="1">
        <f t="shared" si="768"/>
        <v>630.90240000000244</v>
      </c>
      <c r="T2839" s="1">
        <f t="shared" si="769"/>
        <v>0</v>
      </c>
      <c r="U2839" s="1">
        <f t="shared" si="770"/>
        <v>0</v>
      </c>
      <c r="V2839" s="1">
        <f t="shared" si="771"/>
        <v>0</v>
      </c>
    </row>
    <row r="2840" spans="5:22" x14ac:dyDescent="0.25">
      <c r="E2840" s="4"/>
      <c r="M2840" s="4">
        <f t="shared" si="764"/>
        <v>173.1</v>
      </c>
      <c r="N2840" s="4"/>
      <c r="O2840" s="1">
        <f t="shared" si="765"/>
        <v>173.1</v>
      </c>
      <c r="P2840" s="1">
        <f t="shared" si="766"/>
        <v>0</v>
      </c>
      <c r="Q2840" s="1" t="str">
        <f t="shared" si="763"/>
        <v/>
      </c>
      <c r="R2840" s="1" t="str">
        <f t="shared" si="767"/>
        <v/>
      </c>
      <c r="S2840" s="1">
        <f t="shared" si="768"/>
        <v>630.90240000000244</v>
      </c>
      <c r="T2840" s="1">
        <f t="shared" si="769"/>
        <v>0</v>
      </c>
      <c r="U2840" s="1">
        <f t="shared" si="770"/>
        <v>0</v>
      </c>
      <c r="V2840" s="1">
        <f t="shared" si="771"/>
        <v>0</v>
      </c>
    </row>
    <row r="2841" spans="5:22" x14ac:dyDescent="0.25">
      <c r="E2841" s="4"/>
      <c r="M2841" s="4">
        <f t="shared" si="764"/>
        <v>173.1</v>
      </c>
      <c r="N2841" s="4"/>
      <c r="O2841" s="1">
        <f t="shared" si="765"/>
        <v>173.1</v>
      </c>
      <c r="P2841" s="1">
        <f t="shared" si="766"/>
        <v>0</v>
      </c>
      <c r="Q2841" s="1" t="str">
        <f t="shared" si="763"/>
        <v/>
      </c>
      <c r="R2841" s="1" t="str">
        <f t="shared" si="767"/>
        <v/>
      </c>
      <c r="S2841" s="1">
        <f t="shared" si="768"/>
        <v>630.90240000000244</v>
      </c>
      <c r="T2841" s="1">
        <f t="shared" si="769"/>
        <v>0</v>
      </c>
      <c r="U2841" s="1">
        <f t="shared" si="770"/>
        <v>0</v>
      </c>
      <c r="V2841" s="1">
        <f t="shared" si="771"/>
        <v>0</v>
      </c>
    </row>
    <row r="2842" spans="5:22" x14ac:dyDescent="0.25">
      <c r="E2842" s="4"/>
      <c r="M2842" s="4">
        <f t="shared" si="764"/>
        <v>173.1</v>
      </c>
      <c r="N2842" s="4"/>
      <c r="O2842" s="1">
        <f t="shared" si="765"/>
        <v>173.1</v>
      </c>
      <c r="P2842" s="1">
        <f t="shared" si="766"/>
        <v>0</v>
      </c>
      <c r="Q2842" s="1" t="str">
        <f t="shared" si="763"/>
        <v/>
      </c>
      <c r="R2842" s="1" t="str">
        <f t="shared" si="767"/>
        <v/>
      </c>
      <c r="S2842" s="1">
        <f t="shared" si="768"/>
        <v>630.90240000000244</v>
      </c>
      <c r="T2842" s="1">
        <f t="shared" si="769"/>
        <v>0</v>
      </c>
      <c r="U2842" s="1">
        <f t="shared" si="770"/>
        <v>0</v>
      </c>
      <c r="V2842" s="1">
        <f t="shared" si="771"/>
        <v>0</v>
      </c>
    </row>
    <row r="2843" spans="5:22" x14ac:dyDescent="0.25">
      <c r="E2843" s="4"/>
      <c r="M2843" s="4">
        <f t="shared" si="764"/>
        <v>173.1</v>
      </c>
      <c r="N2843" s="4"/>
      <c r="O2843" s="1">
        <f t="shared" si="765"/>
        <v>173.1</v>
      </c>
      <c r="P2843" s="1">
        <f t="shared" si="766"/>
        <v>0</v>
      </c>
      <c r="Q2843" s="1" t="str">
        <f t="shared" si="763"/>
        <v/>
      </c>
      <c r="R2843" s="1" t="str">
        <f t="shared" si="767"/>
        <v/>
      </c>
      <c r="S2843" s="1">
        <f t="shared" si="768"/>
        <v>630.90240000000244</v>
      </c>
      <c r="T2843" s="1">
        <f t="shared" si="769"/>
        <v>0</v>
      </c>
      <c r="U2843" s="1">
        <f t="shared" si="770"/>
        <v>0</v>
      </c>
      <c r="V2843" s="1">
        <f t="shared" si="771"/>
        <v>0</v>
      </c>
    </row>
    <row r="2844" spans="5:22" x14ac:dyDescent="0.25">
      <c r="E2844" s="4"/>
      <c r="M2844" s="4">
        <f t="shared" si="764"/>
        <v>173.1</v>
      </c>
      <c r="N2844" s="4"/>
      <c r="O2844" s="1">
        <f t="shared" si="765"/>
        <v>173.1</v>
      </c>
      <c r="P2844" s="1">
        <f t="shared" si="766"/>
        <v>0</v>
      </c>
      <c r="Q2844" s="1" t="str">
        <f t="shared" si="763"/>
        <v/>
      </c>
      <c r="R2844" s="1" t="str">
        <f t="shared" si="767"/>
        <v/>
      </c>
      <c r="S2844" s="1">
        <f t="shared" si="768"/>
        <v>630.90240000000244</v>
      </c>
      <c r="T2844" s="1">
        <f t="shared" si="769"/>
        <v>0</v>
      </c>
      <c r="U2844" s="1">
        <f t="shared" si="770"/>
        <v>0</v>
      </c>
      <c r="V2844" s="1">
        <f t="shared" si="771"/>
        <v>0</v>
      </c>
    </row>
    <row r="2845" spans="5:22" x14ac:dyDescent="0.25">
      <c r="E2845" s="4"/>
      <c r="M2845" s="4">
        <f t="shared" si="764"/>
        <v>173.1</v>
      </c>
      <c r="N2845" s="4"/>
      <c r="O2845" s="1">
        <f t="shared" si="765"/>
        <v>173.1</v>
      </c>
      <c r="P2845" s="1">
        <f t="shared" si="766"/>
        <v>0</v>
      </c>
      <c r="Q2845" s="1" t="str">
        <f t="shared" si="763"/>
        <v/>
      </c>
      <c r="R2845" s="1" t="str">
        <f t="shared" si="767"/>
        <v/>
      </c>
      <c r="S2845" s="1">
        <f t="shared" si="768"/>
        <v>630.90240000000244</v>
      </c>
      <c r="T2845" s="1">
        <f t="shared" si="769"/>
        <v>0</v>
      </c>
      <c r="U2845" s="1">
        <f t="shared" si="770"/>
        <v>0</v>
      </c>
      <c r="V2845" s="1">
        <f t="shared" si="771"/>
        <v>0</v>
      </c>
    </row>
    <row r="2846" spans="5:22" x14ac:dyDescent="0.25">
      <c r="E2846" s="4"/>
      <c r="M2846" s="4">
        <f t="shared" si="764"/>
        <v>173.1</v>
      </c>
      <c r="N2846" s="4"/>
      <c r="O2846" s="1">
        <f t="shared" si="765"/>
        <v>173.1</v>
      </c>
      <c r="P2846" s="1">
        <f t="shared" si="766"/>
        <v>0</v>
      </c>
      <c r="Q2846" s="1" t="str">
        <f t="shared" si="763"/>
        <v/>
      </c>
      <c r="R2846" s="1" t="str">
        <f t="shared" si="767"/>
        <v/>
      </c>
      <c r="S2846" s="1">
        <f t="shared" si="768"/>
        <v>630.90240000000244</v>
      </c>
      <c r="T2846" s="1">
        <f t="shared" si="769"/>
        <v>0</v>
      </c>
      <c r="U2846" s="1">
        <f t="shared" si="770"/>
        <v>0</v>
      </c>
      <c r="V2846" s="1">
        <f t="shared" si="771"/>
        <v>0</v>
      </c>
    </row>
    <row r="2847" spans="5:22" x14ac:dyDescent="0.25">
      <c r="E2847" s="4"/>
      <c r="M2847" s="4">
        <f t="shared" si="764"/>
        <v>173.1</v>
      </c>
      <c r="N2847" s="4"/>
      <c r="O2847" s="1">
        <f t="shared" si="765"/>
        <v>173.1</v>
      </c>
      <c r="P2847" s="1">
        <f t="shared" si="766"/>
        <v>0</v>
      </c>
      <c r="Q2847" s="1" t="str">
        <f t="shared" si="763"/>
        <v/>
      </c>
      <c r="R2847" s="1" t="str">
        <f t="shared" si="767"/>
        <v/>
      </c>
      <c r="S2847" s="1">
        <f t="shared" si="768"/>
        <v>630.90240000000244</v>
      </c>
      <c r="T2847" s="1">
        <f t="shared" si="769"/>
        <v>0</v>
      </c>
      <c r="U2847" s="1">
        <f t="shared" si="770"/>
        <v>0</v>
      </c>
      <c r="V2847" s="1">
        <f t="shared" si="771"/>
        <v>0</v>
      </c>
    </row>
    <row r="2848" spans="5:22" x14ac:dyDescent="0.25">
      <c r="E2848" s="4"/>
      <c r="M2848" s="4">
        <f t="shared" si="764"/>
        <v>173.1</v>
      </c>
      <c r="N2848" s="4"/>
      <c r="O2848" s="1">
        <f t="shared" si="765"/>
        <v>173.1</v>
      </c>
      <c r="P2848" s="1">
        <f t="shared" si="766"/>
        <v>0</v>
      </c>
      <c r="Q2848" s="1" t="str">
        <f t="shared" si="763"/>
        <v/>
      </c>
      <c r="R2848" s="1" t="str">
        <f t="shared" si="767"/>
        <v/>
      </c>
      <c r="S2848" s="1">
        <f t="shared" si="768"/>
        <v>630.90240000000244</v>
      </c>
      <c r="T2848" s="1">
        <f t="shared" si="769"/>
        <v>0</v>
      </c>
      <c r="U2848" s="1">
        <f t="shared" si="770"/>
        <v>0</v>
      </c>
      <c r="V2848" s="1">
        <f t="shared" si="771"/>
        <v>0</v>
      </c>
    </row>
    <row r="2849" spans="5:22" x14ac:dyDescent="0.25">
      <c r="E2849" s="4"/>
      <c r="M2849" s="4">
        <f t="shared" si="764"/>
        <v>173.1</v>
      </c>
      <c r="N2849" s="4"/>
      <c r="O2849" s="1">
        <f t="shared" si="765"/>
        <v>173.1</v>
      </c>
      <c r="P2849" s="1">
        <f t="shared" si="766"/>
        <v>0</v>
      </c>
      <c r="Q2849" s="1" t="str">
        <f t="shared" si="763"/>
        <v/>
      </c>
      <c r="R2849" s="1" t="str">
        <f t="shared" si="767"/>
        <v/>
      </c>
      <c r="S2849" s="1">
        <f t="shared" si="768"/>
        <v>630.90240000000244</v>
      </c>
      <c r="T2849" s="1">
        <f t="shared" si="769"/>
        <v>0</v>
      </c>
      <c r="U2849" s="1">
        <f t="shared" si="770"/>
        <v>0</v>
      </c>
      <c r="V2849" s="1">
        <f t="shared" si="771"/>
        <v>0</v>
      </c>
    </row>
    <row r="2850" spans="5:22" x14ac:dyDescent="0.25">
      <c r="E2850" s="4"/>
      <c r="M2850" s="4">
        <f t="shared" si="764"/>
        <v>173.1</v>
      </c>
      <c r="N2850" s="4"/>
      <c r="O2850" s="1">
        <f t="shared" si="765"/>
        <v>173.1</v>
      </c>
      <c r="P2850" s="1">
        <f t="shared" si="766"/>
        <v>0</v>
      </c>
      <c r="Q2850" s="1" t="str">
        <f t="shared" si="763"/>
        <v/>
      </c>
      <c r="R2850" s="1" t="str">
        <f t="shared" si="767"/>
        <v/>
      </c>
      <c r="S2850" s="1">
        <f t="shared" si="768"/>
        <v>630.90240000000244</v>
      </c>
      <c r="T2850" s="1">
        <f t="shared" si="769"/>
        <v>0</v>
      </c>
      <c r="U2850" s="1">
        <f t="shared" si="770"/>
        <v>0</v>
      </c>
      <c r="V2850" s="1">
        <f t="shared" si="771"/>
        <v>0</v>
      </c>
    </row>
    <row r="2851" spans="5:22" x14ac:dyDescent="0.25">
      <c r="E2851" s="4"/>
      <c r="M2851" s="4">
        <f t="shared" si="764"/>
        <v>173.1</v>
      </c>
      <c r="N2851" s="4"/>
      <c r="O2851" s="1">
        <f t="shared" si="765"/>
        <v>173.1</v>
      </c>
      <c r="P2851" s="1">
        <f t="shared" si="766"/>
        <v>0</v>
      </c>
      <c r="Q2851" s="1" t="str">
        <f t="shared" si="763"/>
        <v/>
      </c>
      <c r="R2851" s="1" t="str">
        <f t="shared" si="767"/>
        <v/>
      </c>
      <c r="S2851" s="1">
        <f t="shared" si="768"/>
        <v>630.90240000000244</v>
      </c>
      <c r="T2851" s="1">
        <f t="shared" si="769"/>
        <v>0</v>
      </c>
      <c r="U2851" s="1">
        <f t="shared" si="770"/>
        <v>0</v>
      </c>
      <c r="V2851" s="1">
        <f t="shared" si="771"/>
        <v>0</v>
      </c>
    </row>
    <row r="2852" spans="5:22" x14ac:dyDescent="0.25">
      <c r="E2852" s="4"/>
      <c r="M2852" s="4">
        <f t="shared" si="764"/>
        <v>173.1</v>
      </c>
      <c r="N2852" s="4"/>
      <c r="O2852" s="1">
        <f t="shared" si="765"/>
        <v>173.1</v>
      </c>
      <c r="P2852" s="1">
        <f t="shared" si="766"/>
        <v>0</v>
      </c>
      <c r="Q2852" s="1" t="str">
        <f t="shared" si="763"/>
        <v/>
      </c>
      <c r="R2852" s="1" t="str">
        <f t="shared" si="767"/>
        <v/>
      </c>
      <c r="S2852" s="1">
        <f t="shared" si="768"/>
        <v>630.90240000000244</v>
      </c>
      <c r="T2852" s="1">
        <f t="shared" si="769"/>
        <v>0</v>
      </c>
      <c r="U2852" s="1">
        <f t="shared" si="770"/>
        <v>0</v>
      </c>
      <c r="V2852" s="1">
        <f t="shared" si="771"/>
        <v>0</v>
      </c>
    </row>
    <row r="2853" spans="5:22" x14ac:dyDescent="0.25">
      <c r="E2853" s="4"/>
      <c r="M2853" s="4">
        <f t="shared" si="764"/>
        <v>173.1</v>
      </c>
      <c r="N2853" s="4"/>
      <c r="O2853" s="1">
        <f t="shared" si="765"/>
        <v>173.1</v>
      </c>
      <c r="P2853" s="1">
        <f t="shared" si="766"/>
        <v>0</v>
      </c>
      <c r="Q2853" s="1" t="str">
        <f t="shared" si="763"/>
        <v/>
      </c>
      <c r="R2853" s="1" t="str">
        <f t="shared" si="767"/>
        <v/>
      </c>
      <c r="S2853" s="1">
        <f t="shared" si="768"/>
        <v>630.90240000000244</v>
      </c>
      <c r="T2853" s="1">
        <f t="shared" si="769"/>
        <v>0</v>
      </c>
      <c r="U2853" s="1">
        <f t="shared" si="770"/>
        <v>0</v>
      </c>
      <c r="V2853" s="1">
        <f t="shared" si="771"/>
        <v>0</v>
      </c>
    </row>
    <row r="2854" spans="5:22" x14ac:dyDescent="0.25">
      <c r="E2854" s="4"/>
      <c r="M2854" s="4">
        <f t="shared" si="764"/>
        <v>173.1</v>
      </c>
      <c r="N2854" s="4"/>
      <c r="O2854" s="1">
        <f t="shared" si="765"/>
        <v>173.1</v>
      </c>
      <c r="P2854" s="1">
        <f t="shared" si="766"/>
        <v>0</v>
      </c>
      <c r="Q2854" s="1" t="str">
        <f t="shared" si="763"/>
        <v/>
      </c>
      <c r="R2854" s="1" t="str">
        <f t="shared" si="767"/>
        <v/>
      </c>
      <c r="S2854" s="1">
        <f t="shared" si="768"/>
        <v>630.90240000000244</v>
      </c>
      <c r="T2854" s="1">
        <f t="shared" si="769"/>
        <v>0</v>
      </c>
      <c r="U2854" s="1">
        <f t="shared" si="770"/>
        <v>0</v>
      </c>
      <c r="V2854" s="1">
        <f t="shared" si="771"/>
        <v>0</v>
      </c>
    </row>
    <row r="2855" spans="5:22" x14ac:dyDescent="0.25">
      <c r="E2855" s="4"/>
      <c r="M2855" s="4">
        <f t="shared" si="764"/>
        <v>173.1</v>
      </c>
      <c r="N2855" s="4"/>
      <c r="O2855" s="1">
        <f t="shared" si="765"/>
        <v>173.1</v>
      </c>
      <c r="P2855" s="1">
        <f t="shared" si="766"/>
        <v>0</v>
      </c>
      <c r="Q2855" s="1" t="str">
        <f t="shared" si="763"/>
        <v/>
      </c>
      <c r="R2855" s="1" t="str">
        <f t="shared" si="767"/>
        <v/>
      </c>
      <c r="S2855" s="1">
        <f t="shared" si="768"/>
        <v>630.90240000000244</v>
      </c>
      <c r="T2855" s="1">
        <f t="shared" si="769"/>
        <v>0</v>
      </c>
      <c r="U2855" s="1">
        <f t="shared" si="770"/>
        <v>0</v>
      </c>
      <c r="V2855" s="1">
        <f t="shared" si="771"/>
        <v>0</v>
      </c>
    </row>
    <row r="2856" spans="5:22" x14ac:dyDescent="0.25">
      <c r="E2856" s="4"/>
      <c r="M2856" s="4">
        <f t="shared" si="764"/>
        <v>173.1</v>
      </c>
      <c r="N2856" s="4"/>
      <c r="O2856" s="1">
        <f t="shared" si="765"/>
        <v>173.1</v>
      </c>
      <c r="P2856" s="1">
        <f t="shared" si="766"/>
        <v>0</v>
      </c>
      <c r="Q2856" s="1" t="str">
        <f t="shared" si="763"/>
        <v/>
      </c>
      <c r="R2856" s="1" t="str">
        <f t="shared" si="767"/>
        <v/>
      </c>
      <c r="S2856" s="1">
        <f t="shared" si="768"/>
        <v>630.90240000000244</v>
      </c>
      <c r="T2856" s="1">
        <f t="shared" si="769"/>
        <v>0</v>
      </c>
      <c r="U2856" s="1">
        <f t="shared" si="770"/>
        <v>0</v>
      </c>
      <c r="V2856" s="1">
        <f t="shared" si="771"/>
        <v>0</v>
      </c>
    </row>
    <row r="2857" spans="5:22" x14ac:dyDescent="0.25">
      <c r="E2857" s="4"/>
      <c r="M2857" s="4">
        <f t="shared" si="764"/>
        <v>173.1</v>
      </c>
      <c r="N2857" s="4"/>
      <c r="O2857" s="1">
        <f t="shared" si="765"/>
        <v>173.1</v>
      </c>
      <c r="P2857" s="1">
        <f t="shared" si="766"/>
        <v>0</v>
      </c>
      <c r="Q2857" s="1" t="str">
        <f t="shared" si="763"/>
        <v/>
      </c>
      <c r="R2857" s="1" t="str">
        <f t="shared" si="767"/>
        <v/>
      </c>
      <c r="S2857" s="1">
        <f t="shared" si="768"/>
        <v>630.90240000000244</v>
      </c>
      <c r="T2857" s="1">
        <f t="shared" si="769"/>
        <v>0</v>
      </c>
      <c r="U2857" s="1">
        <f t="shared" si="770"/>
        <v>0</v>
      </c>
      <c r="V2857" s="1">
        <f t="shared" si="771"/>
        <v>0</v>
      </c>
    </row>
    <row r="2858" spans="5:22" x14ac:dyDescent="0.25">
      <c r="E2858" s="4"/>
      <c r="M2858" s="4">
        <f t="shared" si="764"/>
        <v>173.1</v>
      </c>
      <c r="N2858" s="4"/>
      <c r="O2858" s="1">
        <f t="shared" si="765"/>
        <v>173.1</v>
      </c>
      <c r="P2858" s="1">
        <f t="shared" si="766"/>
        <v>0</v>
      </c>
      <c r="Q2858" s="1" t="str">
        <f t="shared" si="763"/>
        <v/>
      </c>
      <c r="R2858" s="1" t="str">
        <f t="shared" si="767"/>
        <v/>
      </c>
      <c r="S2858" s="1">
        <f t="shared" si="768"/>
        <v>630.90240000000244</v>
      </c>
      <c r="T2858" s="1">
        <f t="shared" si="769"/>
        <v>0</v>
      </c>
      <c r="U2858" s="1">
        <f t="shared" si="770"/>
        <v>0</v>
      </c>
      <c r="V2858" s="1">
        <f t="shared" si="771"/>
        <v>0</v>
      </c>
    </row>
    <row r="2859" spans="5:22" x14ac:dyDescent="0.25">
      <c r="E2859" s="4"/>
      <c r="M2859" s="4">
        <f t="shared" si="764"/>
        <v>173.1</v>
      </c>
      <c r="N2859" s="4"/>
      <c r="O2859" s="1">
        <f t="shared" si="765"/>
        <v>173.1</v>
      </c>
      <c r="P2859" s="1">
        <f t="shared" si="766"/>
        <v>0</v>
      </c>
      <c r="Q2859" s="1" t="str">
        <f t="shared" si="763"/>
        <v/>
      </c>
      <c r="R2859" s="1" t="str">
        <f t="shared" si="767"/>
        <v/>
      </c>
      <c r="S2859" s="1">
        <f t="shared" si="768"/>
        <v>630.90240000000244</v>
      </c>
      <c r="T2859" s="1">
        <f t="shared" si="769"/>
        <v>0</v>
      </c>
      <c r="U2859" s="1">
        <f t="shared" si="770"/>
        <v>0</v>
      </c>
      <c r="V2859" s="1">
        <f t="shared" si="771"/>
        <v>0</v>
      </c>
    </row>
    <row r="2860" spans="5:22" x14ac:dyDescent="0.25">
      <c r="E2860" s="4"/>
      <c r="M2860" s="4">
        <f t="shared" si="764"/>
        <v>173.1</v>
      </c>
      <c r="N2860" s="4"/>
      <c r="O2860" s="1">
        <f t="shared" si="765"/>
        <v>173.1</v>
      </c>
      <c r="P2860" s="1">
        <f t="shared" si="766"/>
        <v>0</v>
      </c>
      <c r="Q2860" s="1" t="str">
        <f t="shared" si="763"/>
        <v/>
      </c>
      <c r="R2860" s="1" t="str">
        <f t="shared" si="767"/>
        <v/>
      </c>
      <c r="S2860" s="1">
        <f t="shared" si="768"/>
        <v>630.90240000000244</v>
      </c>
      <c r="T2860" s="1">
        <f t="shared" si="769"/>
        <v>0</v>
      </c>
      <c r="U2860" s="1">
        <f t="shared" si="770"/>
        <v>0</v>
      </c>
      <c r="V2860" s="1">
        <f t="shared" si="771"/>
        <v>0</v>
      </c>
    </row>
    <row r="2861" spans="5:22" x14ac:dyDescent="0.25">
      <c r="E2861" s="4"/>
      <c r="M2861" s="4">
        <f t="shared" si="764"/>
        <v>173.1</v>
      </c>
      <c r="N2861" s="4"/>
      <c r="O2861" s="1">
        <f t="shared" si="765"/>
        <v>173.1</v>
      </c>
      <c r="P2861" s="1">
        <f t="shared" si="766"/>
        <v>0</v>
      </c>
      <c r="Q2861" s="1" t="str">
        <f t="shared" si="763"/>
        <v/>
      </c>
      <c r="R2861" s="1" t="str">
        <f t="shared" si="767"/>
        <v/>
      </c>
      <c r="S2861" s="1">
        <f t="shared" si="768"/>
        <v>630.90240000000244</v>
      </c>
      <c r="T2861" s="1">
        <f t="shared" si="769"/>
        <v>0</v>
      </c>
      <c r="U2861" s="1">
        <f t="shared" si="770"/>
        <v>0</v>
      </c>
      <c r="V2861" s="1">
        <f t="shared" si="771"/>
        <v>0</v>
      </c>
    </row>
    <row r="2862" spans="5:22" x14ac:dyDescent="0.25">
      <c r="E2862" s="4"/>
      <c r="M2862" s="4">
        <f t="shared" si="764"/>
        <v>173.1</v>
      </c>
      <c r="N2862" s="4"/>
      <c r="O2862" s="1">
        <f t="shared" si="765"/>
        <v>173.1</v>
      </c>
      <c r="P2862" s="1">
        <f t="shared" si="766"/>
        <v>0</v>
      </c>
      <c r="Q2862" s="1" t="str">
        <f t="shared" si="763"/>
        <v/>
      </c>
      <c r="R2862" s="1" t="str">
        <f t="shared" si="767"/>
        <v/>
      </c>
      <c r="S2862" s="1">
        <f t="shared" si="768"/>
        <v>630.90240000000244</v>
      </c>
      <c r="T2862" s="1">
        <f t="shared" si="769"/>
        <v>0</v>
      </c>
      <c r="U2862" s="1">
        <f t="shared" si="770"/>
        <v>0</v>
      </c>
      <c r="V2862" s="1">
        <f t="shared" si="771"/>
        <v>0</v>
      </c>
    </row>
    <row r="2863" spans="5:22" x14ac:dyDescent="0.25">
      <c r="E2863" s="4"/>
      <c r="M2863" s="4">
        <f t="shared" si="764"/>
        <v>173.1</v>
      </c>
      <c r="N2863" s="4"/>
      <c r="O2863" s="1">
        <f t="shared" si="765"/>
        <v>173.1</v>
      </c>
      <c r="P2863" s="1">
        <f t="shared" si="766"/>
        <v>0</v>
      </c>
      <c r="Q2863" s="1" t="str">
        <f t="shared" si="763"/>
        <v/>
      </c>
      <c r="R2863" s="1" t="str">
        <f t="shared" si="767"/>
        <v/>
      </c>
      <c r="S2863" s="1">
        <f t="shared" si="768"/>
        <v>630.90240000000244</v>
      </c>
      <c r="T2863" s="1">
        <f t="shared" si="769"/>
        <v>0</v>
      </c>
      <c r="U2863" s="1">
        <f t="shared" si="770"/>
        <v>0</v>
      </c>
      <c r="V2863" s="1">
        <f t="shared" si="771"/>
        <v>0</v>
      </c>
    </row>
    <row r="2864" spans="5:22" x14ac:dyDescent="0.25">
      <c r="E2864" s="4"/>
      <c r="M2864" s="4">
        <f t="shared" si="764"/>
        <v>173.1</v>
      </c>
      <c r="N2864" s="4"/>
      <c r="O2864" s="1">
        <f t="shared" si="765"/>
        <v>173.1</v>
      </c>
      <c r="P2864" s="1">
        <f t="shared" si="766"/>
        <v>0</v>
      </c>
      <c r="Q2864" s="1" t="str">
        <f t="shared" si="763"/>
        <v/>
      </c>
      <c r="R2864" s="1" t="str">
        <f t="shared" si="767"/>
        <v/>
      </c>
      <c r="S2864" s="1">
        <f t="shared" si="768"/>
        <v>630.90240000000244</v>
      </c>
      <c r="T2864" s="1">
        <f t="shared" si="769"/>
        <v>0</v>
      </c>
      <c r="U2864" s="1">
        <f t="shared" si="770"/>
        <v>0</v>
      </c>
      <c r="V2864" s="1">
        <f t="shared" si="771"/>
        <v>0</v>
      </c>
    </row>
    <row r="2865" spans="5:22" x14ac:dyDescent="0.25">
      <c r="E2865" s="4"/>
      <c r="M2865" s="4">
        <f t="shared" si="764"/>
        <v>173.1</v>
      </c>
      <c r="N2865" s="4"/>
      <c r="O2865" s="1">
        <f t="shared" si="765"/>
        <v>173.1</v>
      </c>
      <c r="P2865" s="1">
        <f t="shared" si="766"/>
        <v>0</v>
      </c>
      <c r="Q2865" s="1" t="str">
        <f t="shared" si="763"/>
        <v/>
      </c>
      <c r="R2865" s="1" t="str">
        <f t="shared" si="767"/>
        <v/>
      </c>
      <c r="S2865" s="1">
        <f t="shared" si="768"/>
        <v>630.90240000000244</v>
      </c>
      <c r="T2865" s="1">
        <f t="shared" si="769"/>
        <v>0</v>
      </c>
      <c r="U2865" s="1">
        <f t="shared" si="770"/>
        <v>0</v>
      </c>
      <c r="V2865" s="1">
        <f t="shared" si="771"/>
        <v>0</v>
      </c>
    </row>
    <row r="2866" spans="5:22" x14ac:dyDescent="0.25">
      <c r="E2866" s="4"/>
      <c r="M2866" s="4">
        <f t="shared" si="764"/>
        <v>173.1</v>
      </c>
      <c r="N2866" s="4"/>
      <c r="O2866" s="1">
        <f t="shared" si="765"/>
        <v>173.1</v>
      </c>
      <c r="P2866" s="1">
        <f t="shared" si="766"/>
        <v>0</v>
      </c>
      <c r="Q2866" s="1" t="str">
        <f t="shared" ref="Q2866:Q2929" si="772">IF(H2866&lt;&gt;"",IF(H2866=H2865,"",H2866),IF(H2864="","",MAX(H2865,Q2865)))</f>
        <v/>
      </c>
      <c r="R2866" s="1" t="str">
        <f t="shared" si="767"/>
        <v/>
      </c>
      <c r="S2866" s="1">
        <f t="shared" si="768"/>
        <v>630.90240000000244</v>
      </c>
      <c r="T2866" s="1">
        <f t="shared" si="769"/>
        <v>0</v>
      </c>
      <c r="U2866" s="1">
        <f t="shared" si="770"/>
        <v>0</v>
      </c>
      <c r="V2866" s="1">
        <f t="shared" si="771"/>
        <v>0</v>
      </c>
    </row>
    <row r="2867" spans="5:22" x14ac:dyDescent="0.25">
      <c r="E2867" s="4"/>
      <c r="M2867" s="4">
        <f t="shared" si="764"/>
        <v>173.1</v>
      </c>
      <c r="N2867" s="4"/>
      <c r="O2867" s="1">
        <f t="shared" si="765"/>
        <v>173.1</v>
      </c>
      <c r="P2867" s="1">
        <f t="shared" si="766"/>
        <v>0</v>
      </c>
      <c r="Q2867" s="1" t="str">
        <f t="shared" si="772"/>
        <v/>
      </c>
      <c r="R2867" s="1" t="str">
        <f t="shared" si="767"/>
        <v/>
      </c>
      <c r="S2867" s="1">
        <f t="shared" si="768"/>
        <v>630.90240000000244</v>
      </c>
      <c r="T2867" s="1">
        <f t="shared" si="769"/>
        <v>0</v>
      </c>
      <c r="U2867" s="1">
        <f t="shared" si="770"/>
        <v>0</v>
      </c>
      <c r="V2867" s="1">
        <f t="shared" si="771"/>
        <v>0</v>
      </c>
    </row>
    <row r="2868" spans="5:22" x14ac:dyDescent="0.25">
      <c r="E2868" s="4"/>
      <c r="M2868" s="4">
        <f t="shared" si="764"/>
        <v>173.1</v>
      </c>
      <c r="N2868" s="4"/>
      <c r="O2868" s="1">
        <f t="shared" si="765"/>
        <v>173.1</v>
      </c>
      <c r="P2868" s="1">
        <f t="shared" si="766"/>
        <v>0</v>
      </c>
      <c r="Q2868" s="1" t="str">
        <f t="shared" si="772"/>
        <v/>
      </c>
      <c r="R2868" s="1" t="str">
        <f t="shared" si="767"/>
        <v/>
      </c>
      <c r="S2868" s="1">
        <f t="shared" si="768"/>
        <v>630.90240000000244</v>
      </c>
      <c r="T2868" s="1">
        <f t="shared" si="769"/>
        <v>0</v>
      </c>
      <c r="U2868" s="1">
        <f t="shared" si="770"/>
        <v>0</v>
      </c>
      <c r="V2868" s="1">
        <f t="shared" si="771"/>
        <v>0</v>
      </c>
    </row>
    <row r="2869" spans="5:22" x14ac:dyDescent="0.25">
      <c r="E2869" s="4"/>
      <c r="M2869" s="4">
        <f t="shared" si="764"/>
        <v>173.1</v>
      </c>
      <c r="N2869" s="4"/>
      <c r="O2869" s="1">
        <f t="shared" si="765"/>
        <v>173.1</v>
      </c>
      <c r="P2869" s="1">
        <f t="shared" si="766"/>
        <v>0</v>
      </c>
      <c r="Q2869" s="1" t="str">
        <f t="shared" si="772"/>
        <v/>
      </c>
      <c r="R2869" s="1" t="str">
        <f t="shared" si="767"/>
        <v/>
      </c>
      <c r="S2869" s="1">
        <f t="shared" si="768"/>
        <v>630.90240000000244</v>
      </c>
      <c r="T2869" s="1">
        <f t="shared" si="769"/>
        <v>0</v>
      </c>
      <c r="U2869" s="1">
        <f t="shared" si="770"/>
        <v>0</v>
      </c>
      <c r="V2869" s="1">
        <f t="shared" si="771"/>
        <v>0</v>
      </c>
    </row>
    <row r="2870" spans="5:22" x14ac:dyDescent="0.25">
      <c r="E2870" s="4"/>
      <c r="M2870" s="4">
        <f t="shared" si="764"/>
        <v>173.1</v>
      </c>
      <c r="N2870" s="4"/>
      <c r="O2870" s="1">
        <f t="shared" si="765"/>
        <v>173.1</v>
      </c>
      <c r="P2870" s="1">
        <f t="shared" si="766"/>
        <v>0</v>
      </c>
      <c r="Q2870" s="1" t="str">
        <f t="shared" si="772"/>
        <v/>
      </c>
      <c r="R2870" s="1" t="str">
        <f t="shared" si="767"/>
        <v/>
      </c>
      <c r="S2870" s="1">
        <f t="shared" si="768"/>
        <v>630.90240000000244</v>
      </c>
      <c r="T2870" s="1">
        <f t="shared" si="769"/>
        <v>0</v>
      </c>
      <c r="U2870" s="1">
        <f t="shared" si="770"/>
        <v>0</v>
      </c>
      <c r="V2870" s="1">
        <f t="shared" si="771"/>
        <v>0</v>
      </c>
    </row>
    <row r="2871" spans="5:22" x14ac:dyDescent="0.25">
      <c r="E2871" s="4"/>
      <c r="M2871" s="4">
        <f t="shared" si="764"/>
        <v>173.1</v>
      </c>
      <c r="N2871" s="4"/>
      <c r="O2871" s="1">
        <f t="shared" si="765"/>
        <v>173.1</v>
      </c>
      <c r="P2871" s="1">
        <f t="shared" si="766"/>
        <v>0</v>
      </c>
      <c r="Q2871" s="1" t="str">
        <f t="shared" si="772"/>
        <v/>
      </c>
      <c r="R2871" s="1" t="str">
        <f t="shared" si="767"/>
        <v/>
      </c>
      <c r="S2871" s="1">
        <f t="shared" si="768"/>
        <v>630.90240000000244</v>
      </c>
      <c r="T2871" s="1">
        <f t="shared" si="769"/>
        <v>0</v>
      </c>
      <c r="U2871" s="1">
        <f t="shared" si="770"/>
        <v>0</v>
      </c>
      <c r="V2871" s="1">
        <f t="shared" si="771"/>
        <v>0</v>
      </c>
    </row>
    <row r="2872" spans="5:22" x14ac:dyDescent="0.25">
      <c r="E2872" s="4"/>
      <c r="M2872" s="4">
        <f t="shared" si="764"/>
        <v>173.1</v>
      </c>
      <c r="N2872" s="4"/>
      <c r="O2872" s="1">
        <f t="shared" si="765"/>
        <v>173.1</v>
      </c>
      <c r="P2872" s="1">
        <f t="shared" si="766"/>
        <v>0</v>
      </c>
      <c r="Q2872" s="1" t="str">
        <f t="shared" si="772"/>
        <v/>
      </c>
      <c r="R2872" s="1" t="str">
        <f t="shared" si="767"/>
        <v/>
      </c>
      <c r="S2872" s="1">
        <f t="shared" si="768"/>
        <v>630.90240000000244</v>
      </c>
      <c r="T2872" s="1">
        <f t="shared" si="769"/>
        <v>0</v>
      </c>
      <c r="U2872" s="1">
        <f t="shared" si="770"/>
        <v>0</v>
      </c>
      <c r="V2872" s="1">
        <f t="shared" si="771"/>
        <v>0</v>
      </c>
    </row>
    <row r="2873" spans="5:22" x14ac:dyDescent="0.25">
      <c r="E2873" s="4"/>
      <c r="M2873" s="4">
        <f t="shared" si="764"/>
        <v>173.1</v>
      </c>
      <c r="N2873" s="4"/>
      <c r="O2873" s="1">
        <f t="shared" si="765"/>
        <v>173.1</v>
      </c>
      <c r="P2873" s="1">
        <f t="shared" si="766"/>
        <v>0</v>
      </c>
      <c r="Q2873" s="1" t="str">
        <f t="shared" si="772"/>
        <v/>
      </c>
      <c r="R2873" s="1" t="str">
        <f t="shared" si="767"/>
        <v/>
      </c>
      <c r="S2873" s="1">
        <f t="shared" si="768"/>
        <v>630.90240000000244</v>
      </c>
      <c r="T2873" s="1">
        <f t="shared" si="769"/>
        <v>0</v>
      </c>
      <c r="U2873" s="1">
        <f t="shared" si="770"/>
        <v>0</v>
      </c>
      <c r="V2873" s="1">
        <f t="shared" si="771"/>
        <v>0</v>
      </c>
    </row>
    <row r="2874" spans="5:22" x14ac:dyDescent="0.25">
      <c r="E2874" s="4"/>
      <c r="M2874" s="4">
        <f t="shared" si="764"/>
        <v>173.1</v>
      </c>
      <c r="N2874" s="4"/>
      <c r="O2874" s="1">
        <f t="shared" si="765"/>
        <v>173.1</v>
      </c>
      <c r="P2874" s="1">
        <f t="shared" si="766"/>
        <v>0</v>
      </c>
      <c r="Q2874" s="1" t="str">
        <f t="shared" si="772"/>
        <v/>
      </c>
      <c r="R2874" s="1" t="str">
        <f t="shared" si="767"/>
        <v/>
      </c>
      <c r="S2874" s="1">
        <f t="shared" si="768"/>
        <v>630.90240000000244</v>
      </c>
      <c r="T2874" s="1">
        <f t="shared" si="769"/>
        <v>0</v>
      </c>
      <c r="U2874" s="1">
        <f t="shared" si="770"/>
        <v>0</v>
      </c>
      <c r="V2874" s="1">
        <f t="shared" si="771"/>
        <v>0</v>
      </c>
    </row>
    <row r="2875" spans="5:22" x14ac:dyDescent="0.25">
      <c r="E2875" s="4"/>
      <c r="M2875" s="4">
        <f t="shared" si="764"/>
        <v>173.1</v>
      </c>
      <c r="N2875" s="4"/>
      <c r="O2875" s="1">
        <f t="shared" si="765"/>
        <v>173.1</v>
      </c>
      <c r="P2875" s="1">
        <f t="shared" si="766"/>
        <v>0</v>
      </c>
      <c r="Q2875" s="1" t="str">
        <f t="shared" si="772"/>
        <v/>
      </c>
      <c r="R2875" s="1" t="str">
        <f t="shared" si="767"/>
        <v/>
      </c>
      <c r="S2875" s="1">
        <f t="shared" si="768"/>
        <v>630.90240000000244</v>
      </c>
      <c r="T2875" s="1">
        <f t="shared" si="769"/>
        <v>0</v>
      </c>
      <c r="U2875" s="1">
        <f t="shared" si="770"/>
        <v>0</v>
      </c>
      <c r="V2875" s="1">
        <f t="shared" si="771"/>
        <v>0</v>
      </c>
    </row>
    <row r="2876" spans="5:22" x14ac:dyDescent="0.25">
      <c r="E2876" s="4"/>
      <c r="M2876" s="4">
        <f t="shared" si="764"/>
        <v>173.1</v>
      </c>
      <c r="N2876" s="4"/>
      <c r="O2876" s="1">
        <f t="shared" si="765"/>
        <v>173.1</v>
      </c>
      <c r="P2876" s="1">
        <f t="shared" si="766"/>
        <v>0</v>
      </c>
      <c r="Q2876" s="1" t="str">
        <f t="shared" si="772"/>
        <v/>
      </c>
      <c r="R2876" s="1" t="str">
        <f t="shared" si="767"/>
        <v/>
      </c>
      <c r="S2876" s="1">
        <f t="shared" si="768"/>
        <v>630.90240000000244</v>
      </c>
      <c r="T2876" s="1">
        <f t="shared" si="769"/>
        <v>0</v>
      </c>
      <c r="U2876" s="1">
        <f t="shared" si="770"/>
        <v>0</v>
      </c>
      <c r="V2876" s="1">
        <f t="shared" si="771"/>
        <v>0</v>
      </c>
    </row>
    <row r="2877" spans="5:22" x14ac:dyDescent="0.25">
      <c r="E2877" s="4"/>
      <c r="M2877" s="4">
        <f t="shared" si="764"/>
        <v>173.1</v>
      </c>
      <c r="N2877" s="4"/>
      <c r="O2877" s="1">
        <f t="shared" si="765"/>
        <v>173.1</v>
      </c>
      <c r="P2877" s="1">
        <f t="shared" si="766"/>
        <v>0</v>
      </c>
      <c r="Q2877" s="1" t="str">
        <f t="shared" si="772"/>
        <v/>
      </c>
      <c r="R2877" s="1" t="str">
        <f t="shared" si="767"/>
        <v/>
      </c>
      <c r="S2877" s="1">
        <f t="shared" si="768"/>
        <v>630.90240000000244</v>
      </c>
      <c r="T2877" s="1">
        <f t="shared" si="769"/>
        <v>0</v>
      </c>
      <c r="U2877" s="1">
        <f t="shared" si="770"/>
        <v>0</v>
      </c>
      <c r="V2877" s="1">
        <f t="shared" si="771"/>
        <v>0</v>
      </c>
    </row>
    <row r="2878" spans="5:22" x14ac:dyDescent="0.25">
      <c r="E2878" s="4"/>
      <c r="M2878" s="4">
        <f t="shared" si="764"/>
        <v>173.1</v>
      </c>
      <c r="N2878" s="4"/>
      <c r="O2878" s="1">
        <f t="shared" si="765"/>
        <v>173.1</v>
      </c>
      <c r="P2878" s="1">
        <f t="shared" si="766"/>
        <v>0</v>
      </c>
      <c r="Q2878" s="1" t="str">
        <f t="shared" si="772"/>
        <v/>
      </c>
      <c r="R2878" s="1" t="str">
        <f t="shared" si="767"/>
        <v/>
      </c>
      <c r="S2878" s="1">
        <f t="shared" si="768"/>
        <v>630.90240000000244</v>
      </c>
      <c r="T2878" s="1">
        <f t="shared" si="769"/>
        <v>0</v>
      </c>
      <c r="U2878" s="1">
        <f t="shared" si="770"/>
        <v>0</v>
      </c>
      <c r="V2878" s="1">
        <f t="shared" si="771"/>
        <v>0</v>
      </c>
    </row>
    <row r="2879" spans="5:22" x14ac:dyDescent="0.25">
      <c r="E2879" s="4"/>
      <c r="M2879" s="4">
        <f t="shared" si="764"/>
        <v>173.1</v>
      </c>
      <c r="N2879" s="4"/>
      <c r="O2879" s="1">
        <f t="shared" si="765"/>
        <v>173.1</v>
      </c>
      <c r="P2879" s="1">
        <f t="shared" si="766"/>
        <v>0</v>
      </c>
      <c r="Q2879" s="1" t="str">
        <f t="shared" si="772"/>
        <v/>
      </c>
      <c r="R2879" s="1" t="str">
        <f t="shared" si="767"/>
        <v/>
      </c>
      <c r="S2879" s="1">
        <f t="shared" si="768"/>
        <v>630.90240000000244</v>
      </c>
      <c r="T2879" s="1">
        <f t="shared" si="769"/>
        <v>0</v>
      </c>
      <c r="U2879" s="1">
        <f t="shared" si="770"/>
        <v>0</v>
      </c>
      <c r="V2879" s="1">
        <f t="shared" si="771"/>
        <v>0</v>
      </c>
    </row>
    <row r="2880" spans="5:22" x14ac:dyDescent="0.25">
      <c r="E2880" s="4"/>
      <c r="M2880" s="4">
        <f t="shared" si="764"/>
        <v>173.1</v>
      </c>
      <c r="N2880" s="4"/>
      <c r="O2880" s="1">
        <f t="shared" si="765"/>
        <v>173.1</v>
      </c>
      <c r="P2880" s="1">
        <f t="shared" si="766"/>
        <v>0</v>
      </c>
      <c r="Q2880" s="1" t="str">
        <f t="shared" si="772"/>
        <v/>
      </c>
      <c r="R2880" s="1" t="str">
        <f t="shared" si="767"/>
        <v/>
      </c>
      <c r="S2880" s="1">
        <f t="shared" si="768"/>
        <v>630.90240000000244</v>
      </c>
      <c r="T2880" s="1">
        <f t="shared" si="769"/>
        <v>0</v>
      </c>
      <c r="U2880" s="1">
        <f t="shared" si="770"/>
        <v>0</v>
      </c>
      <c r="V2880" s="1">
        <f t="shared" si="771"/>
        <v>0</v>
      </c>
    </row>
    <row r="2881" spans="5:22" x14ac:dyDescent="0.25">
      <c r="E2881" s="4"/>
      <c r="M2881" s="4">
        <f t="shared" si="764"/>
        <v>173.1</v>
      </c>
      <c r="N2881" s="4"/>
      <c r="O2881" s="1">
        <f t="shared" si="765"/>
        <v>173.1</v>
      </c>
      <c r="P2881" s="1">
        <f t="shared" si="766"/>
        <v>0</v>
      </c>
      <c r="Q2881" s="1" t="str">
        <f t="shared" si="772"/>
        <v/>
      </c>
      <c r="R2881" s="1" t="str">
        <f t="shared" si="767"/>
        <v/>
      </c>
      <c r="S2881" s="1">
        <f t="shared" si="768"/>
        <v>630.90240000000244</v>
      </c>
      <c r="T2881" s="1">
        <f t="shared" si="769"/>
        <v>0</v>
      </c>
      <c r="U2881" s="1">
        <f t="shared" si="770"/>
        <v>0</v>
      </c>
      <c r="V2881" s="1">
        <f t="shared" si="771"/>
        <v>0</v>
      </c>
    </row>
    <row r="2882" spans="5:22" x14ac:dyDescent="0.25">
      <c r="E2882" s="4"/>
      <c r="M2882" s="4">
        <f t="shared" si="764"/>
        <v>173.1</v>
      </c>
      <c r="N2882" s="4"/>
      <c r="O2882" s="1">
        <f t="shared" si="765"/>
        <v>173.1</v>
      </c>
      <c r="P2882" s="1">
        <f t="shared" si="766"/>
        <v>0</v>
      </c>
      <c r="Q2882" s="1" t="str">
        <f t="shared" si="772"/>
        <v/>
      </c>
      <c r="R2882" s="1" t="str">
        <f t="shared" si="767"/>
        <v/>
      </c>
      <c r="S2882" s="1">
        <f t="shared" si="768"/>
        <v>630.90240000000244</v>
      </c>
      <c r="T2882" s="1">
        <f t="shared" si="769"/>
        <v>0</v>
      </c>
      <c r="U2882" s="1">
        <f t="shared" si="770"/>
        <v>0</v>
      </c>
      <c r="V2882" s="1">
        <f t="shared" si="771"/>
        <v>0</v>
      </c>
    </row>
    <row r="2883" spans="5:22" x14ac:dyDescent="0.25">
      <c r="E2883" s="4"/>
      <c r="M2883" s="4">
        <f t="shared" si="764"/>
        <v>173.1</v>
      </c>
      <c r="N2883" s="4"/>
      <c r="O2883" s="1">
        <f t="shared" si="765"/>
        <v>173.1</v>
      </c>
      <c r="P2883" s="1">
        <f t="shared" si="766"/>
        <v>0</v>
      </c>
      <c r="Q2883" s="1" t="str">
        <f t="shared" si="772"/>
        <v/>
      </c>
      <c r="R2883" s="1" t="str">
        <f t="shared" si="767"/>
        <v/>
      </c>
      <c r="S2883" s="1">
        <f t="shared" si="768"/>
        <v>630.90240000000244</v>
      </c>
      <c r="T2883" s="1">
        <f t="shared" si="769"/>
        <v>0</v>
      </c>
      <c r="U2883" s="1">
        <f t="shared" si="770"/>
        <v>0</v>
      </c>
      <c r="V2883" s="1">
        <f t="shared" si="771"/>
        <v>0</v>
      </c>
    </row>
    <row r="2884" spans="5:22" x14ac:dyDescent="0.25">
      <c r="E2884" s="4"/>
      <c r="M2884" s="4">
        <f t="shared" si="764"/>
        <v>173.1</v>
      </c>
      <c r="N2884" s="4"/>
      <c r="O2884" s="1">
        <f t="shared" si="765"/>
        <v>173.1</v>
      </c>
      <c r="P2884" s="1">
        <f t="shared" si="766"/>
        <v>0</v>
      </c>
      <c r="Q2884" s="1" t="str">
        <f t="shared" si="772"/>
        <v/>
      </c>
      <c r="R2884" s="1" t="str">
        <f t="shared" si="767"/>
        <v/>
      </c>
      <c r="S2884" s="1">
        <f t="shared" si="768"/>
        <v>630.90240000000244</v>
      </c>
      <c r="T2884" s="1">
        <f t="shared" si="769"/>
        <v>0</v>
      </c>
      <c r="U2884" s="1">
        <f t="shared" si="770"/>
        <v>0</v>
      </c>
      <c r="V2884" s="1">
        <f t="shared" si="771"/>
        <v>0</v>
      </c>
    </row>
    <row r="2885" spans="5:22" x14ac:dyDescent="0.25">
      <c r="E2885" s="4"/>
      <c r="M2885" s="4">
        <f t="shared" si="764"/>
        <v>173.1</v>
      </c>
      <c r="N2885" s="4"/>
      <c r="O2885" s="1">
        <f t="shared" si="765"/>
        <v>173.1</v>
      </c>
      <c r="P2885" s="1">
        <f t="shared" si="766"/>
        <v>0</v>
      </c>
      <c r="Q2885" s="1" t="str">
        <f t="shared" si="772"/>
        <v/>
      </c>
      <c r="R2885" s="1" t="str">
        <f t="shared" si="767"/>
        <v/>
      </c>
      <c r="S2885" s="1">
        <f t="shared" si="768"/>
        <v>630.90240000000244</v>
      </c>
      <c r="T2885" s="1">
        <f t="shared" si="769"/>
        <v>0</v>
      </c>
      <c r="U2885" s="1">
        <f t="shared" si="770"/>
        <v>0</v>
      </c>
      <c r="V2885" s="1">
        <f t="shared" si="771"/>
        <v>0</v>
      </c>
    </row>
    <row r="2886" spans="5:22" x14ac:dyDescent="0.25">
      <c r="E2886" s="4"/>
      <c r="M2886" s="4">
        <f t="shared" si="764"/>
        <v>173.1</v>
      </c>
      <c r="N2886" s="4"/>
      <c r="O2886" s="1">
        <f t="shared" si="765"/>
        <v>173.1</v>
      </c>
      <c r="P2886" s="1">
        <f t="shared" si="766"/>
        <v>0</v>
      </c>
      <c r="Q2886" s="1" t="str">
        <f t="shared" si="772"/>
        <v/>
      </c>
      <c r="R2886" s="1" t="str">
        <f t="shared" si="767"/>
        <v/>
      </c>
      <c r="S2886" s="1">
        <f t="shared" si="768"/>
        <v>630.90240000000244</v>
      </c>
      <c r="T2886" s="1">
        <f t="shared" si="769"/>
        <v>0</v>
      </c>
      <c r="U2886" s="1">
        <f t="shared" si="770"/>
        <v>0</v>
      </c>
      <c r="V2886" s="1">
        <f t="shared" si="771"/>
        <v>0</v>
      </c>
    </row>
    <row r="2887" spans="5:22" x14ac:dyDescent="0.25">
      <c r="E2887" s="4"/>
      <c r="M2887" s="4">
        <f t="shared" si="764"/>
        <v>173.1</v>
      </c>
      <c r="N2887" s="4"/>
      <c r="O2887" s="1">
        <f t="shared" si="765"/>
        <v>173.1</v>
      </c>
      <c r="P2887" s="1">
        <f t="shared" si="766"/>
        <v>0</v>
      </c>
      <c r="Q2887" s="1" t="str">
        <f t="shared" si="772"/>
        <v/>
      </c>
      <c r="R2887" s="1" t="str">
        <f t="shared" si="767"/>
        <v/>
      </c>
      <c r="S2887" s="1">
        <f t="shared" si="768"/>
        <v>630.90240000000244</v>
      </c>
      <c r="T2887" s="1">
        <f t="shared" si="769"/>
        <v>0</v>
      </c>
      <c r="U2887" s="1">
        <f t="shared" si="770"/>
        <v>0</v>
      </c>
      <c r="V2887" s="1">
        <f t="shared" si="771"/>
        <v>0</v>
      </c>
    </row>
    <row r="2888" spans="5:22" x14ac:dyDescent="0.25">
      <c r="E2888" s="4"/>
      <c r="M2888" s="4">
        <f t="shared" ref="M2888:M2951" si="773">E2888+M2887</f>
        <v>173.1</v>
      </c>
      <c r="N2888" s="4"/>
      <c r="O2888" s="1">
        <f t="shared" ref="O2888:O2951" si="774">E2887+O2887</f>
        <v>173.1</v>
      </c>
      <c r="P2888" s="1">
        <f t="shared" ref="P2888:P2951" si="775">F2888*52.8*E2888</f>
        <v>0</v>
      </c>
      <c r="Q2888" s="1" t="str">
        <f t="shared" si="772"/>
        <v/>
      </c>
      <c r="R2888" s="1" t="str">
        <f t="shared" ref="R2888:R2951" si="776">IF(I2888="",Q2888,IF(AND(H2888=H2887,I2888=I2887),"",I2888))</f>
        <v/>
      </c>
      <c r="S2888" s="1">
        <f t="shared" ref="S2888:S2951" si="777">S2887+U2887*T2887/100</f>
        <v>630.90240000000244</v>
      </c>
      <c r="T2888" s="1">
        <f t="shared" ref="T2888:T2951" si="778">IF(G2888="UNK",0,G2888)</f>
        <v>0</v>
      </c>
      <c r="U2888" s="1">
        <f t="shared" ref="U2888:U2951" si="779">E2888*5280</f>
        <v>0</v>
      </c>
      <c r="V2888" s="1">
        <f t="shared" ref="V2888:V2951" si="780">ABS(T2888*U2888)</f>
        <v>0</v>
      </c>
    </row>
    <row r="2889" spans="5:22" x14ac:dyDescent="0.25">
      <c r="E2889" s="4"/>
      <c r="M2889" s="4">
        <f t="shared" si="773"/>
        <v>173.1</v>
      </c>
      <c r="N2889" s="4"/>
      <c r="O2889" s="1">
        <f t="shared" si="774"/>
        <v>173.1</v>
      </c>
      <c r="P2889" s="1">
        <f t="shared" si="775"/>
        <v>0</v>
      </c>
      <c r="Q2889" s="1" t="str">
        <f t="shared" si="772"/>
        <v/>
      </c>
      <c r="R2889" s="1" t="str">
        <f t="shared" si="776"/>
        <v/>
      </c>
      <c r="S2889" s="1">
        <f t="shared" si="777"/>
        <v>630.90240000000244</v>
      </c>
      <c r="T2889" s="1">
        <f t="shared" si="778"/>
        <v>0</v>
      </c>
      <c r="U2889" s="1">
        <f t="shared" si="779"/>
        <v>0</v>
      </c>
      <c r="V2889" s="1">
        <f t="shared" si="780"/>
        <v>0</v>
      </c>
    </row>
    <row r="2890" spans="5:22" x14ac:dyDescent="0.25">
      <c r="E2890" s="4"/>
      <c r="M2890" s="4">
        <f t="shared" si="773"/>
        <v>173.1</v>
      </c>
      <c r="N2890" s="4"/>
      <c r="O2890" s="1">
        <f t="shared" si="774"/>
        <v>173.1</v>
      </c>
      <c r="P2890" s="1">
        <f t="shared" si="775"/>
        <v>0</v>
      </c>
      <c r="Q2890" s="1" t="str">
        <f t="shared" si="772"/>
        <v/>
      </c>
      <c r="R2890" s="1" t="str">
        <f t="shared" si="776"/>
        <v/>
      </c>
      <c r="S2890" s="1">
        <f t="shared" si="777"/>
        <v>630.90240000000244</v>
      </c>
      <c r="T2890" s="1">
        <f t="shared" si="778"/>
        <v>0</v>
      </c>
      <c r="U2890" s="1">
        <f t="shared" si="779"/>
        <v>0</v>
      </c>
      <c r="V2890" s="1">
        <f t="shared" si="780"/>
        <v>0</v>
      </c>
    </row>
    <row r="2891" spans="5:22" x14ac:dyDescent="0.25">
      <c r="E2891" s="4"/>
      <c r="M2891" s="4">
        <f t="shared" si="773"/>
        <v>173.1</v>
      </c>
      <c r="N2891" s="4"/>
      <c r="O2891" s="1">
        <f t="shared" si="774"/>
        <v>173.1</v>
      </c>
      <c r="P2891" s="1">
        <f t="shared" si="775"/>
        <v>0</v>
      </c>
      <c r="Q2891" s="1" t="str">
        <f t="shared" si="772"/>
        <v/>
      </c>
      <c r="R2891" s="1" t="str">
        <f t="shared" si="776"/>
        <v/>
      </c>
      <c r="S2891" s="1">
        <f t="shared" si="777"/>
        <v>630.90240000000244</v>
      </c>
      <c r="T2891" s="1">
        <f t="shared" si="778"/>
        <v>0</v>
      </c>
      <c r="U2891" s="1">
        <f t="shared" si="779"/>
        <v>0</v>
      </c>
      <c r="V2891" s="1">
        <f t="shared" si="780"/>
        <v>0</v>
      </c>
    </row>
    <row r="2892" spans="5:22" x14ac:dyDescent="0.25">
      <c r="E2892" s="4"/>
      <c r="M2892" s="4">
        <f t="shared" si="773"/>
        <v>173.1</v>
      </c>
      <c r="N2892" s="4"/>
      <c r="O2892" s="1">
        <f t="shared" si="774"/>
        <v>173.1</v>
      </c>
      <c r="P2892" s="1">
        <f t="shared" si="775"/>
        <v>0</v>
      </c>
      <c r="Q2892" s="1" t="str">
        <f t="shared" si="772"/>
        <v/>
      </c>
      <c r="R2892" s="1" t="str">
        <f t="shared" si="776"/>
        <v/>
      </c>
      <c r="S2892" s="1">
        <f t="shared" si="777"/>
        <v>630.90240000000244</v>
      </c>
      <c r="T2892" s="1">
        <f t="shared" si="778"/>
        <v>0</v>
      </c>
      <c r="U2892" s="1">
        <f t="shared" si="779"/>
        <v>0</v>
      </c>
      <c r="V2892" s="1">
        <f t="shared" si="780"/>
        <v>0</v>
      </c>
    </row>
    <row r="2893" spans="5:22" x14ac:dyDescent="0.25">
      <c r="E2893" s="4"/>
      <c r="M2893" s="4">
        <f t="shared" si="773"/>
        <v>173.1</v>
      </c>
      <c r="N2893" s="4"/>
      <c r="O2893" s="1">
        <f t="shared" si="774"/>
        <v>173.1</v>
      </c>
      <c r="P2893" s="1">
        <f t="shared" si="775"/>
        <v>0</v>
      </c>
      <c r="Q2893" s="1" t="str">
        <f t="shared" si="772"/>
        <v/>
      </c>
      <c r="R2893" s="1" t="str">
        <f t="shared" si="776"/>
        <v/>
      </c>
      <c r="S2893" s="1">
        <f t="shared" si="777"/>
        <v>630.90240000000244</v>
      </c>
      <c r="T2893" s="1">
        <f t="shared" si="778"/>
        <v>0</v>
      </c>
      <c r="U2893" s="1">
        <f t="shared" si="779"/>
        <v>0</v>
      </c>
      <c r="V2893" s="1">
        <f t="shared" si="780"/>
        <v>0</v>
      </c>
    </row>
    <row r="2894" spans="5:22" x14ac:dyDescent="0.25">
      <c r="E2894" s="4"/>
      <c r="M2894" s="4">
        <f t="shared" si="773"/>
        <v>173.1</v>
      </c>
      <c r="N2894" s="4"/>
      <c r="O2894" s="1">
        <f t="shared" si="774"/>
        <v>173.1</v>
      </c>
      <c r="P2894" s="1">
        <f t="shared" si="775"/>
        <v>0</v>
      </c>
      <c r="Q2894" s="1" t="str">
        <f t="shared" si="772"/>
        <v/>
      </c>
      <c r="R2894" s="1" t="str">
        <f t="shared" si="776"/>
        <v/>
      </c>
      <c r="S2894" s="1">
        <f t="shared" si="777"/>
        <v>630.90240000000244</v>
      </c>
      <c r="T2894" s="1">
        <f t="shared" si="778"/>
        <v>0</v>
      </c>
      <c r="U2894" s="1">
        <f t="shared" si="779"/>
        <v>0</v>
      </c>
      <c r="V2894" s="1">
        <f t="shared" si="780"/>
        <v>0</v>
      </c>
    </row>
    <row r="2895" spans="5:22" x14ac:dyDescent="0.25">
      <c r="E2895" s="4"/>
      <c r="M2895" s="4">
        <f t="shared" si="773"/>
        <v>173.1</v>
      </c>
      <c r="N2895" s="4"/>
      <c r="O2895" s="1">
        <f t="shared" si="774"/>
        <v>173.1</v>
      </c>
      <c r="P2895" s="1">
        <f t="shared" si="775"/>
        <v>0</v>
      </c>
      <c r="Q2895" s="1" t="str">
        <f t="shared" si="772"/>
        <v/>
      </c>
      <c r="R2895" s="1" t="str">
        <f t="shared" si="776"/>
        <v/>
      </c>
      <c r="S2895" s="1">
        <f t="shared" si="777"/>
        <v>630.90240000000244</v>
      </c>
      <c r="T2895" s="1">
        <f t="shared" si="778"/>
        <v>0</v>
      </c>
      <c r="U2895" s="1">
        <f t="shared" si="779"/>
        <v>0</v>
      </c>
      <c r="V2895" s="1">
        <f t="shared" si="780"/>
        <v>0</v>
      </c>
    </row>
    <row r="2896" spans="5:22" x14ac:dyDescent="0.25">
      <c r="E2896" s="4"/>
      <c r="M2896" s="4">
        <f t="shared" si="773"/>
        <v>173.1</v>
      </c>
      <c r="N2896" s="4"/>
      <c r="O2896" s="1">
        <f t="shared" si="774"/>
        <v>173.1</v>
      </c>
      <c r="P2896" s="1">
        <f t="shared" si="775"/>
        <v>0</v>
      </c>
      <c r="Q2896" s="1" t="str">
        <f t="shared" si="772"/>
        <v/>
      </c>
      <c r="R2896" s="1" t="str">
        <f t="shared" si="776"/>
        <v/>
      </c>
      <c r="S2896" s="1">
        <f t="shared" si="777"/>
        <v>630.90240000000244</v>
      </c>
      <c r="T2896" s="1">
        <f t="shared" si="778"/>
        <v>0</v>
      </c>
      <c r="U2896" s="1">
        <f t="shared" si="779"/>
        <v>0</v>
      </c>
      <c r="V2896" s="1">
        <f t="shared" si="780"/>
        <v>0</v>
      </c>
    </row>
    <row r="2897" spans="5:22" x14ac:dyDescent="0.25">
      <c r="E2897" s="4"/>
      <c r="M2897" s="4">
        <f t="shared" si="773"/>
        <v>173.1</v>
      </c>
      <c r="N2897" s="4"/>
      <c r="O2897" s="1">
        <f t="shared" si="774"/>
        <v>173.1</v>
      </c>
      <c r="P2897" s="1">
        <f t="shared" si="775"/>
        <v>0</v>
      </c>
      <c r="Q2897" s="1" t="str">
        <f t="shared" si="772"/>
        <v/>
      </c>
      <c r="R2897" s="1" t="str">
        <f t="shared" si="776"/>
        <v/>
      </c>
      <c r="S2897" s="1">
        <f t="shared" si="777"/>
        <v>630.90240000000244</v>
      </c>
      <c r="T2897" s="1">
        <f t="shared" si="778"/>
        <v>0</v>
      </c>
      <c r="U2897" s="1">
        <f t="shared" si="779"/>
        <v>0</v>
      </c>
      <c r="V2897" s="1">
        <f t="shared" si="780"/>
        <v>0</v>
      </c>
    </row>
    <row r="2898" spans="5:22" x14ac:dyDescent="0.25">
      <c r="E2898" s="4"/>
      <c r="M2898" s="4">
        <f t="shared" si="773"/>
        <v>173.1</v>
      </c>
      <c r="N2898" s="4"/>
      <c r="O2898" s="1">
        <f t="shared" si="774"/>
        <v>173.1</v>
      </c>
      <c r="P2898" s="1">
        <f t="shared" si="775"/>
        <v>0</v>
      </c>
      <c r="Q2898" s="1" t="str">
        <f t="shared" si="772"/>
        <v/>
      </c>
      <c r="R2898" s="1" t="str">
        <f t="shared" si="776"/>
        <v/>
      </c>
      <c r="S2898" s="1">
        <f t="shared" si="777"/>
        <v>630.90240000000244</v>
      </c>
      <c r="T2898" s="1">
        <f t="shared" si="778"/>
        <v>0</v>
      </c>
      <c r="U2898" s="1">
        <f t="shared" si="779"/>
        <v>0</v>
      </c>
      <c r="V2898" s="1">
        <f t="shared" si="780"/>
        <v>0</v>
      </c>
    </row>
    <row r="2899" spans="5:22" x14ac:dyDescent="0.25">
      <c r="E2899" s="4"/>
      <c r="M2899" s="4">
        <f t="shared" si="773"/>
        <v>173.1</v>
      </c>
      <c r="N2899" s="4"/>
      <c r="O2899" s="1">
        <f t="shared" si="774"/>
        <v>173.1</v>
      </c>
      <c r="P2899" s="1">
        <f t="shared" si="775"/>
        <v>0</v>
      </c>
      <c r="Q2899" s="1" t="str">
        <f t="shared" si="772"/>
        <v/>
      </c>
      <c r="R2899" s="1" t="str">
        <f t="shared" si="776"/>
        <v/>
      </c>
      <c r="S2899" s="1">
        <f t="shared" si="777"/>
        <v>630.90240000000244</v>
      </c>
      <c r="T2899" s="1">
        <f t="shared" si="778"/>
        <v>0</v>
      </c>
      <c r="U2899" s="1">
        <f t="shared" si="779"/>
        <v>0</v>
      </c>
      <c r="V2899" s="1">
        <f t="shared" si="780"/>
        <v>0</v>
      </c>
    </row>
    <row r="2900" spans="5:22" x14ac:dyDescent="0.25">
      <c r="E2900" s="4"/>
      <c r="M2900" s="4">
        <f t="shared" si="773"/>
        <v>173.1</v>
      </c>
      <c r="N2900" s="4"/>
      <c r="O2900" s="1">
        <f t="shared" si="774"/>
        <v>173.1</v>
      </c>
      <c r="P2900" s="1">
        <f t="shared" si="775"/>
        <v>0</v>
      </c>
      <c r="Q2900" s="1" t="str">
        <f t="shared" si="772"/>
        <v/>
      </c>
      <c r="R2900" s="1" t="str">
        <f t="shared" si="776"/>
        <v/>
      </c>
      <c r="S2900" s="1">
        <f t="shared" si="777"/>
        <v>630.90240000000244</v>
      </c>
      <c r="T2900" s="1">
        <f t="shared" si="778"/>
        <v>0</v>
      </c>
      <c r="U2900" s="1">
        <f t="shared" si="779"/>
        <v>0</v>
      </c>
      <c r="V2900" s="1">
        <f t="shared" si="780"/>
        <v>0</v>
      </c>
    </row>
    <row r="2901" spans="5:22" x14ac:dyDescent="0.25">
      <c r="E2901" s="4"/>
      <c r="M2901" s="4">
        <f t="shared" si="773"/>
        <v>173.1</v>
      </c>
      <c r="N2901" s="4"/>
      <c r="O2901" s="1">
        <f t="shared" si="774"/>
        <v>173.1</v>
      </c>
      <c r="P2901" s="1">
        <f t="shared" si="775"/>
        <v>0</v>
      </c>
      <c r="Q2901" s="1" t="str">
        <f t="shared" si="772"/>
        <v/>
      </c>
      <c r="R2901" s="1" t="str">
        <f t="shared" si="776"/>
        <v/>
      </c>
      <c r="S2901" s="1">
        <f t="shared" si="777"/>
        <v>630.90240000000244</v>
      </c>
      <c r="T2901" s="1">
        <f t="shared" si="778"/>
        <v>0</v>
      </c>
      <c r="U2901" s="1">
        <f t="shared" si="779"/>
        <v>0</v>
      </c>
      <c r="V2901" s="1">
        <f t="shared" si="780"/>
        <v>0</v>
      </c>
    </row>
    <row r="2902" spans="5:22" x14ac:dyDescent="0.25">
      <c r="E2902" s="4"/>
      <c r="M2902" s="4">
        <f t="shared" si="773"/>
        <v>173.1</v>
      </c>
      <c r="N2902" s="4"/>
      <c r="O2902" s="1">
        <f t="shared" si="774"/>
        <v>173.1</v>
      </c>
      <c r="P2902" s="1">
        <f t="shared" si="775"/>
        <v>0</v>
      </c>
      <c r="Q2902" s="1" t="str">
        <f t="shared" si="772"/>
        <v/>
      </c>
      <c r="R2902" s="1" t="str">
        <f t="shared" si="776"/>
        <v/>
      </c>
      <c r="S2902" s="1">
        <f t="shared" si="777"/>
        <v>630.90240000000244</v>
      </c>
      <c r="T2902" s="1">
        <f t="shared" si="778"/>
        <v>0</v>
      </c>
      <c r="U2902" s="1">
        <f t="shared" si="779"/>
        <v>0</v>
      </c>
      <c r="V2902" s="1">
        <f t="shared" si="780"/>
        <v>0</v>
      </c>
    </row>
    <row r="2903" spans="5:22" x14ac:dyDescent="0.25">
      <c r="E2903" s="4"/>
      <c r="M2903" s="4">
        <f t="shared" si="773"/>
        <v>173.1</v>
      </c>
      <c r="N2903" s="4"/>
      <c r="O2903" s="1">
        <f t="shared" si="774"/>
        <v>173.1</v>
      </c>
      <c r="P2903" s="1">
        <f t="shared" si="775"/>
        <v>0</v>
      </c>
      <c r="Q2903" s="1" t="str">
        <f t="shared" si="772"/>
        <v/>
      </c>
      <c r="R2903" s="1" t="str">
        <f t="shared" si="776"/>
        <v/>
      </c>
      <c r="S2903" s="1">
        <f t="shared" si="777"/>
        <v>630.90240000000244</v>
      </c>
      <c r="T2903" s="1">
        <f t="shared" si="778"/>
        <v>0</v>
      </c>
      <c r="U2903" s="1">
        <f t="shared" si="779"/>
        <v>0</v>
      </c>
      <c r="V2903" s="1">
        <f t="shared" si="780"/>
        <v>0</v>
      </c>
    </row>
    <row r="2904" spans="5:22" x14ac:dyDescent="0.25">
      <c r="E2904" s="4"/>
      <c r="M2904" s="4">
        <f t="shared" si="773"/>
        <v>173.1</v>
      </c>
      <c r="N2904" s="4"/>
      <c r="O2904" s="1">
        <f t="shared" si="774"/>
        <v>173.1</v>
      </c>
      <c r="P2904" s="1">
        <f t="shared" si="775"/>
        <v>0</v>
      </c>
      <c r="Q2904" s="1" t="str">
        <f t="shared" si="772"/>
        <v/>
      </c>
      <c r="R2904" s="1" t="str">
        <f t="shared" si="776"/>
        <v/>
      </c>
      <c r="S2904" s="1">
        <f t="shared" si="777"/>
        <v>630.90240000000244</v>
      </c>
      <c r="T2904" s="1">
        <f t="shared" si="778"/>
        <v>0</v>
      </c>
      <c r="U2904" s="1">
        <f t="shared" si="779"/>
        <v>0</v>
      </c>
      <c r="V2904" s="1">
        <f t="shared" si="780"/>
        <v>0</v>
      </c>
    </row>
    <row r="2905" spans="5:22" x14ac:dyDescent="0.25">
      <c r="E2905" s="4"/>
      <c r="M2905" s="4">
        <f t="shared" si="773"/>
        <v>173.1</v>
      </c>
      <c r="N2905" s="4"/>
      <c r="O2905" s="1">
        <f t="shared" si="774"/>
        <v>173.1</v>
      </c>
      <c r="P2905" s="1">
        <f t="shared" si="775"/>
        <v>0</v>
      </c>
      <c r="Q2905" s="1" t="str">
        <f t="shared" si="772"/>
        <v/>
      </c>
      <c r="R2905" s="1" t="str">
        <f t="shared" si="776"/>
        <v/>
      </c>
      <c r="S2905" s="1">
        <f t="shared" si="777"/>
        <v>630.90240000000244</v>
      </c>
      <c r="T2905" s="1">
        <f t="shared" si="778"/>
        <v>0</v>
      </c>
      <c r="U2905" s="1">
        <f t="shared" si="779"/>
        <v>0</v>
      </c>
      <c r="V2905" s="1">
        <f t="shared" si="780"/>
        <v>0</v>
      </c>
    </row>
    <row r="2906" spans="5:22" x14ac:dyDescent="0.25">
      <c r="E2906" s="4"/>
      <c r="M2906" s="4">
        <f t="shared" si="773"/>
        <v>173.1</v>
      </c>
      <c r="N2906" s="4"/>
      <c r="O2906" s="1">
        <f t="shared" si="774"/>
        <v>173.1</v>
      </c>
      <c r="P2906" s="1">
        <f t="shared" si="775"/>
        <v>0</v>
      </c>
      <c r="Q2906" s="1" t="str">
        <f t="shared" si="772"/>
        <v/>
      </c>
      <c r="R2906" s="1" t="str">
        <f t="shared" si="776"/>
        <v/>
      </c>
      <c r="S2906" s="1">
        <f t="shared" si="777"/>
        <v>630.90240000000244</v>
      </c>
      <c r="T2906" s="1">
        <f t="shared" si="778"/>
        <v>0</v>
      </c>
      <c r="U2906" s="1">
        <f t="shared" si="779"/>
        <v>0</v>
      </c>
      <c r="V2906" s="1">
        <f t="shared" si="780"/>
        <v>0</v>
      </c>
    </row>
    <row r="2907" spans="5:22" x14ac:dyDescent="0.25">
      <c r="E2907" s="4"/>
      <c r="M2907" s="4">
        <f t="shared" si="773"/>
        <v>173.1</v>
      </c>
      <c r="N2907" s="4"/>
      <c r="O2907" s="1">
        <f t="shared" si="774"/>
        <v>173.1</v>
      </c>
      <c r="P2907" s="1">
        <f t="shared" si="775"/>
        <v>0</v>
      </c>
      <c r="Q2907" s="1" t="str">
        <f t="shared" si="772"/>
        <v/>
      </c>
      <c r="R2907" s="1" t="str">
        <f t="shared" si="776"/>
        <v/>
      </c>
      <c r="S2907" s="1">
        <f t="shared" si="777"/>
        <v>630.90240000000244</v>
      </c>
      <c r="T2907" s="1">
        <f t="shared" si="778"/>
        <v>0</v>
      </c>
      <c r="U2907" s="1">
        <f t="shared" si="779"/>
        <v>0</v>
      </c>
      <c r="V2907" s="1">
        <f t="shared" si="780"/>
        <v>0</v>
      </c>
    </row>
    <row r="2908" spans="5:22" x14ac:dyDescent="0.25">
      <c r="E2908" s="4"/>
      <c r="M2908" s="4">
        <f t="shared" si="773"/>
        <v>173.1</v>
      </c>
      <c r="N2908" s="4"/>
      <c r="O2908" s="1">
        <f t="shared" si="774"/>
        <v>173.1</v>
      </c>
      <c r="P2908" s="1">
        <f t="shared" si="775"/>
        <v>0</v>
      </c>
      <c r="Q2908" s="1" t="str">
        <f t="shared" si="772"/>
        <v/>
      </c>
      <c r="R2908" s="1" t="str">
        <f t="shared" si="776"/>
        <v/>
      </c>
      <c r="S2908" s="1">
        <f t="shared" si="777"/>
        <v>630.90240000000244</v>
      </c>
      <c r="T2908" s="1">
        <f t="shared" si="778"/>
        <v>0</v>
      </c>
      <c r="U2908" s="1">
        <f t="shared" si="779"/>
        <v>0</v>
      </c>
      <c r="V2908" s="1">
        <f t="shared" si="780"/>
        <v>0</v>
      </c>
    </row>
    <row r="2909" spans="5:22" x14ac:dyDescent="0.25">
      <c r="E2909" s="4"/>
      <c r="M2909" s="4">
        <f t="shared" si="773"/>
        <v>173.1</v>
      </c>
      <c r="N2909" s="4"/>
      <c r="O2909" s="1">
        <f t="shared" si="774"/>
        <v>173.1</v>
      </c>
      <c r="P2909" s="1">
        <f t="shared" si="775"/>
        <v>0</v>
      </c>
      <c r="Q2909" s="1" t="str">
        <f t="shared" si="772"/>
        <v/>
      </c>
      <c r="R2909" s="1" t="str">
        <f t="shared" si="776"/>
        <v/>
      </c>
      <c r="S2909" s="1">
        <f t="shared" si="777"/>
        <v>630.90240000000244</v>
      </c>
      <c r="T2909" s="1">
        <f t="shared" si="778"/>
        <v>0</v>
      </c>
      <c r="U2909" s="1">
        <f t="shared" si="779"/>
        <v>0</v>
      </c>
      <c r="V2909" s="1">
        <f t="shared" si="780"/>
        <v>0</v>
      </c>
    </row>
    <row r="2910" spans="5:22" x14ac:dyDescent="0.25">
      <c r="E2910" s="4"/>
      <c r="M2910" s="4">
        <f t="shared" si="773"/>
        <v>173.1</v>
      </c>
      <c r="N2910" s="4"/>
      <c r="O2910" s="1">
        <f t="shared" si="774"/>
        <v>173.1</v>
      </c>
      <c r="P2910" s="1">
        <f t="shared" si="775"/>
        <v>0</v>
      </c>
      <c r="Q2910" s="1" t="str">
        <f t="shared" si="772"/>
        <v/>
      </c>
      <c r="R2910" s="1" t="str">
        <f t="shared" si="776"/>
        <v/>
      </c>
      <c r="S2910" s="1">
        <f t="shared" si="777"/>
        <v>630.90240000000244</v>
      </c>
      <c r="T2910" s="1">
        <f t="shared" si="778"/>
        <v>0</v>
      </c>
      <c r="U2910" s="1">
        <f t="shared" si="779"/>
        <v>0</v>
      </c>
      <c r="V2910" s="1">
        <f t="shared" si="780"/>
        <v>0</v>
      </c>
    </row>
    <row r="2911" spans="5:22" x14ac:dyDescent="0.25">
      <c r="E2911" s="4"/>
      <c r="M2911" s="4">
        <f t="shared" si="773"/>
        <v>173.1</v>
      </c>
      <c r="N2911" s="4"/>
      <c r="O2911" s="1">
        <f t="shared" si="774"/>
        <v>173.1</v>
      </c>
      <c r="P2911" s="1">
        <f t="shared" si="775"/>
        <v>0</v>
      </c>
      <c r="Q2911" s="1" t="str">
        <f t="shared" si="772"/>
        <v/>
      </c>
      <c r="R2911" s="1" t="str">
        <f t="shared" si="776"/>
        <v/>
      </c>
      <c r="S2911" s="1">
        <f t="shared" si="777"/>
        <v>630.90240000000244</v>
      </c>
      <c r="T2911" s="1">
        <f t="shared" si="778"/>
        <v>0</v>
      </c>
      <c r="U2911" s="1">
        <f t="shared" si="779"/>
        <v>0</v>
      </c>
      <c r="V2911" s="1">
        <f t="shared" si="780"/>
        <v>0</v>
      </c>
    </row>
    <row r="2912" spans="5:22" x14ac:dyDescent="0.25">
      <c r="E2912" s="4"/>
      <c r="M2912" s="4">
        <f t="shared" si="773"/>
        <v>173.1</v>
      </c>
      <c r="N2912" s="4"/>
      <c r="O2912" s="1">
        <f t="shared" si="774"/>
        <v>173.1</v>
      </c>
      <c r="P2912" s="1">
        <f t="shared" si="775"/>
        <v>0</v>
      </c>
      <c r="Q2912" s="1" t="str">
        <f t="shared" si="772"/>
        <v/>
      </c>
      <c r="R2912" s="1" t="str">
        <f t="shared" si="776"/>
        <v/>
      </c>
      <c r="S2912" s="1">
        <f t="shared" si="777"/>
        <v>630.90240000000244</v>
      </c>
      <c r="T2912" s="1">
        <f t="shared" si="778"/>
        <v>0</v>
      </c>
      <c r="U2912" s="1">
        <f t="shared" si="779"/>
        <v>0</v>
      </c>
      <c r="V2912" s="1">
        <f t="shared" si="780"/>
        <v>0</v>
      </c>
    </row>
    <row r="2913" spans="5:22" x14ac:dyDescent="0.25">
      <c r="E2913" s="4"/>
      <c r="M2913" s="4">
        <f t="shared" si="773"/>
        <v>173.1</v>
      </c>
      <c r="N2913" s="4"/>
      <c r="O2913" s="1">
        <f t="shared" si="774"/>
        <v>173.1</v>
      </c>
      <c r="P2913" s="1">
        <f t="shared" si="775"/>
        <v>0</v>
      </c>
      <c r="Q2913" s="1" t="str">
        <f t="shared" si="772"/>
        <v/>
      </c>
      <c r="R2913" s="1" t="str">
        <f t="shared" si="776"/>
        <v/>
      </c>
      <c r="S2913" s="1">
        <f t="shared" si="777"/>
        <v>630.90240000000244</v>
      </c>
      <c r="T2913" s="1">
        <f t="shared" si="778"/>
        <v>0</v>
      </c>
      <c r="U2913" s="1">
        <f t="shared" si="779"/>
        <v>0</v>
      </c>
      <c r="V2913" s="1">
        <f t="shared" si="780"/>
        <v>0</v>
      </c>
    </row>
    <row r="2914" spans="5:22" x14ac:dyDescent="0.25">
      <c r="E2914" s="4"/>
      <c r="M2914" s="4">
        <f t="shared" si="773"/>
        <v>173.1</v>
      </c>
      <c r="N2914" s="4"/>
      <c r="O2914" s="1">
        <f t="shared" si="774"/>
        <v>173.1</v>
      </c>
      <c r="P2914" s="1">
        <f t="shared" si="775"/>
        <v>0</v>
      </c>
      <c r="Q2914" s="1" t="str">
        <f t="shared" si="772"/>
        <v/>
      </c>
      <c r="R2914" s="1" t="str">
        <f t="shared" si="776"/>
        <v/>
      </c>
      <c r="S2914" s="1">
        <f t="shared" si="777"/>
        <v>630.90240000000244</v>
      </c>
      <c r="T2914" s="1">
        <f t="shared" si="778"/>
        <v>0</v>
      </c>
      <c r="U2914" s="1">
        <f t="shared" si="779"/>
        <v>0</v>
      </c>
      <c r="V2914" s="1">
        <f t="shared" si="780"/>
        <v>0</v>
      </c>
    </row>
    <row r="2915" spans="5:22" x14ac:dyDescent="0.25">
      <c r="E2915" s="4"/>
      <c r="M2915" s="4">
        <f t="shared" si="773"/>
        <v>173.1</v>
      </c>
      <c r="N2915" s="4"/>
      <c r="O2915" s="1">
        <f t="shared" si="774"/>
        <v>173.1</v>
      </c>
      <c r="P2915" s="1">
        <f t="shared" si="775"/>
        <v>0</v>
      </c>
      <c r="Q2915" s="1" t="str">
        <f t="shared" si="772"/>
        <v/>
      </c>
      <c r="R2915" s="1" t="str">
        <f t="shared" si="776"/>
        <v/>
      </c>
      <c r="S2915" s="1">
        <f t="shared" si="777"/>
        <v>630.90240000000244</v>
      </c>
      <c r="T2915" s="1">
        <f t="shared" si="778"/>
        <v>0</v>
      </c>
      <c r="U2915" s="1">
        <f t="shared" si="779"/>
        <v>0</v>
      </c>
      <c r="V2915" s="1">
        <f t="shared" si="780"/>
        <v>0</v>
      </c>
    </row>
    <row r="2916" spans="5:22" x14ac:dyDescent="0.25">
      <c r="E2916" s="4"/>
      <c r="M2916" s="4">
        <f t="shared" si="773"/>
        <v>173.1</v>
      </c>
      <c r="N2916" s="4"/>
      <c r="O2916" s="1">
        <f t="shared" si="774"/>
        <v>173.1</v>
      </c>
      <c r="P2916" s="1">
        <f t="shared" si="775"/>
        <v>0</v>
      </c>
      <c r="Q2916" s="1" t="str">
        <f t="shared" si="772"/>
        <v/>
      </c>
      <c r="R2916" s="1" t="str">
        <f t="shared" si="776"/>
        <v/>
      </c>
      <c r="S2916" s="1">
        <f t="shared" si="777"/>
        <v>630.90240000000244</v>
      </c>
      <c r="T2916" s="1">
        <f t="shared" si="778"/>
        <v>0</v>
      </c>
      <c r="U2916" s="1">
        <f t="shared" si="779"/>
        <v>0</v>
      </c>
      <c r="V2916" s="1">
        <f t="shared" si="780"/>
        <v>0</v>
      </c>
    </row>
    <row r="2917" spans="5:22" x14ac:dyDescent="0.25">
      <c r="E2917" s="4"/>
      <c r="M2917" s="4">
        <f t="shared" si="773"/>
        <v>173.1</v>
      </c>
      <c r="N2917" s="4"/>
      <c r="O2917" s="1">
        <f t="shared" si="774"/>
        <v>173.1</v>
      </c>
      <c r="P2917" s="1">
        <f t="shared" si="775"/>
        <v>0</v>
      </c>
      <c r="Q2917" s="1" t="str">
        <f t="shared" si="772"/>
        <v/>
      </c>
      <c r="R2917" s="1" t="str">
        <f t="shared" si="776"/>
        <v/>
      </c>
      <c r="S2917" s="1">
        <f t="shared" si="777"/>
        <v>630.90240000000244</v>
      </c>
      <c r="T2917" s="1">
        <f t="shared" si="778"/>
        <v>0</v>
      </c>
      <c r="U2917" s="1">
        <f t="shared" si="779"/>
        <v>0</v>
      </c>
      <c r="V2917" s="1">
        <f t="shared" si="780"/>
        <v>0</v>
      </c>
    </row>
    <row r="2918" spans="5:22" x14ac:dyDescent="0.25">
      <c r="E2918" s="4"/>
      <c r="M2918" s="4">
        <f t="shared" si="773"/>
        <v>173.1</v>
      </c>
      <c r="N2918" s="4"/>
      <c r="O2918" s="1">
        <f t="shared" si="774"/>
        <v>173.1</v>
      </c>
      <c r="P2918" s="1">
        <f t="shared" si="775"/>
        <v>0</v>
      </c>
      <c r="Q2918" s="1" t="str">
        <f t="shared" si="772"/>
        <v/>
      </c>
      <c r="R2918" s="1" t="str">
        <f t="shared" si="776"/>
        <v/>
      </c>
      <c r="S2918" s="1">
        <f t="shared" si="777"/>
        <v>630.90240000000244</v>
      </c>
      <c r="T2918" s="1">
        <f t="shared" si="778"/>
        <v>0</v>
      </c>
      <c r="U2918" s="1">
        <f t="shared" si="779"/>
        <v>0</v>
      </c>
      <c r="V2918" s="1">
        <f t="shared" si="780"/>
        <v>0</v>
      </c>
    </row>
    <row r="2919" spans="5:22" x14ac:dyDescent="0.25">
      <c r="E2919" s="4"/>
      <c r="M2919" s="4">
        <f t="shared" si="773"/>
        <v>173.1</v>
      </c>
      <c r="N2919" s="4"/>
      <c r="O2919" s="1">
        <f t="shared" si="774"/>
        <v>173.1</v>
      </c>
      <c r="P2919" s="1">
        <f t="shared" si="775"/>
        <v>0</v>
      </c>
      <c r="Q2919" s="1" t="str">
        <f t="shared" si="772"/>
        <v/>
      </c>
      <c r="R2919" s="1" t="str">
        <f t="shared" si="776"/>
        <v/>
      </c>
      <c r="S2919" s="1">
        <f t="shared" si="777"/>
        <v>630.90240000000244</v>
      </c>
      <c r="T2919" s="1">
        <f t="shared" si="778"/>
        <v>0</v>
      </c>
      <c r="U2919" s="1">
        <f t="shared" si="779"/>
        <v>0</v>
      </c>
      <c r="V2919" s="1">
        <f t="shared" si="780"/>
        <v>0</v>
      </c>
    </row>
    <row r="2920" spans="5:22" x14ac:dyDescent="0.25">
      <c r="E2920" s="4"/>
      <c r="M2920" s="4">
        <f t="shared" si="773"/>
        <v>173.1</v>
      </c>
      <c r="N2920" s="4"/>
      <c r="O2920" s="1">
        <f t="shared" si="774"/>
        <v>173.1</v>
      </c>
      <c r="P2920" s="1">
        <f t="shared" si="775"/>
        <v>0</v>
      </c>
      <c r="Q2920" s="1" t="str">
        <f t="shared" si="772"/>
        <v/>
      </c>
      <c r="R2920" s="1" t="str">
        <f t="shared" si="776"/>
        <v/>
      </c>
      <c r="S2920" s="1">
        <f t="shared" si="777"/>
        <v>630.90240000000244</v>
      </c>
      <c r="T2920" s="1">
        <f t="shared" si="778"/>
        <v>0</v>
      </c>
      <c r="U2920" s="1">
        <f t="shared" si="779"/>
        <v>0</v>
      </c>
      <c r="V2920" s="1">
        <f t="shared" si="780"/>
        <v>0</v>
      </c>
    </row>
    <row r="2921" spans="5:22" x14ac:dyDescent="0.25">
      <c r="E2921" s="4"/>
      <c r="M2921" s="4">
        <f t="shared" si="773"/>
        <v>173.1</v>
      </c>
      <c r="N2921" s="4"/>
      <c r="O2921" s="1">
        <f t="shared" si="774"/>
        <v>173.1</v>
      </c>
      <c r="P2921" s="1">
        <f t="shared" si="775"/>
        <v>0</v>
      </c>
      <c r="Q2921" s="1" t="str">
        <f t="shared" si="772"/>
        <v/>
      </c>
      <c r="R2921" s="1" t="str">
        <f t="shared" si="776"/>
        <v/>
      </c>
      <c r="S2921" s="1">
        <f t="shared" si="777"/>
        <v>630.90240000000244</v>
      </c>
      <c r="T2921" s="1">
        <f t="shared" si="778"/>
        <v>0</v>
      </c>
      <c r="U2921" s="1">
        <f t="shared" si="779"/>
        <v>0</v>
      </c>
      <c r="V2921" s="1">
        <f t="shared" si="780"/>
        <v>0</v>
      </c>
    </row>
    <row r="2922" spans="5:22" x14ac:dyDescent="0.25">
      <c r="E2922" s="4"/>
      <c r="M2922" s="4">
        <f t="shared" si="773"/>
        <v>173.1</v>
      </c>
      <c r="N2922" s="4"/>
      <c r="O2922" s="1">
        <f t="shared" si="774"/>
        <v>173.1</v>
      </c>
      <c r="P2922" s="1">
        <f t="shared" si="775"/>
        <v>0</v>
      </c>
      <c r="Q2922" s="1" t="str">
        <f t="shared" si="772"/>
        <v/>
      </c>
      <c r="R2922" s="1" t="str">
        <f t="shared" si="776"/>
        <v/>
      </c>
      <c r="S2922" s="1">
        <f t="shared" si="777"/>
        <v>630.90240000000244</v>
      </c>
      <c r="T2922" s="1">
        <f t="shared" si="778"/>
        <v>0</v>
      </c>
      <c r="U2922" s="1">
        <f t="shared" si="779"/>
        <v>0</v>
      </c>
      <c r="V2922" s="1">
        <f t="shared" si="780"/>
        <v>0</v>
      </c>
    </row>
    <row r="2923" spans="5:22" x14ac:dyDescent="0.25">
      <c r="E2923" s="4"/>
      <c r="M2923" s="4">
        <f t="shared" si="773"/>
        <v>173.1</v>
      </c>
      <c r="N2923" s="4"/>
      <c r="O2923" s="1">
        <f t="shared" si="774"/>
        <v>173.1</v>
      </c>
      <c r="P2923" s="1">
        <f t="shared" si="775"/>
        <v>0</v>
      </c>
      <c r="Q2923" s="1" t="str">
        <f t="shared" si="772"/>
        <v/>
      </c>
      <c r="R2923" s="1" t="str">
        <f t="shared" si="776"/>
        <v/>
      </c>
      <c r="S2923" s="1">
        <f t="shared" si="777"/>
        <v>630.90240000000244</v>
      </c>
      <c r="T2923" s="1">
        <f t="shared" si="778"/>
        <v>0</v>
      </c>
      <c r="U2923" s="1">
        <f t="shared" si="779"/>
        <v>0</v>
      </c>
      <c r="V2923" s="1">
        <f t="shared" si="780"/>
        <v>0</v>
      </c>
    </row>
    <row r="2924" spans="5:22" x14ac:dyDescent="0.25">
      <c r="E2924" s="4"/>
      <c r="M2924" s="4">
        <f t="shared" si="773"/>
        <v>173.1</v>
      </c>
      <c r="N2924" s="4"/>
      <c r="O2924" s="1">
        <f t="shared" si="774"/>
        <v>173.1</v>
      </c>
      <c r="P2924" s="1">
        <f t="shared" si="775"/>
        <v>0</v>
      </c>
      <c r="Q2924" s="1" t="str">
        <f t="shared" si="772"/>
        <v/>
      </c>
      <c r="R2924" s="1" t="str">
        <f t="shared" si="776"/>
        <v/>
      </c>
      <c r="S2924" s="1">
        <f t="shared" si="777"/>
        <v>630.90240000000244</v>
      </c>
      <c r="T2924" s="1">
        <f t="shared" si="778"/>
        <v>0</v>
      </c>
      <c r="U2924" s="1">
        <f t="shared" si="779"/>
        <v>0</v>
      </c>
      <c r="V2924" s="1">
        <f t="shared" si="780"/>
        <v>0</v>
      </c>
    </row>
    <row r="2925" spans="5:22" x14ac:dyDescent="0.25">
      <c r="E2925" s="4"/>
      <c r="M2925" s="4">
        <f t="shared" si="773"/>
        <v>173.1</v>
      </c>
      <c r="N2925" s="4"/>
      <c r="O2925" s="1">
        <f t="shared" si="774"/>
        <v>173.1</v>
      </c>
      <c r="P2925" s="1">
        <f t="shared" si="775"/>
        <v>0</v>
      </c>
      <c r="Q2925" s="1" t="str">
        <f t="shared" si="772"/>
        <v/>
      </c>
      <c r="R2925" s="1" t="str">
        <f t="shared" si="776"/>
        <v/>
      </c>
      <c r="S2925" s="1">
        <f t="shared" si="777"/>
        <v>630.90240000000244</v>
      </c>
      <c r="T2925" s="1">
        <f t="shared" si="778"/>
        <v>0</v>
      </c>
      <c r="U2925" s="1">
        <f t="shared" si="779"/>
        <v>0</v>
      </c>
      <c r="V2925" s="1">
        <f t="shared" si="780"/>
        <v>0</v>
      </c>
    </row>
    <row r="2926" spans="5:22" x14ac:dyDescent="0.25">
      <c r="E2926" s="4"/>
      <c r="M2926" s="4">
        <f t="shared" si="773"/>
        <v>173.1</v>
      </c>
      <c r="N2926" s="4"/>
      <c r="O2926" s="1">
        <f t="shared" si="774"/>
        <v>173.1</v>
      </c>
      <c r="P2926" s="1">
        <f t="shared" si="775"/>
        <v>0</v>
      </c>
      <c r="Q2926" s="1" t="str">
        <f t="shared" si="772"/>
        <v/>
      </c>
      <c r="R2926" s="1" t="str">
        <f t="shared" si="776"/>
        <v/>
      </c>
      <c r="S2926" s="1">
        <f t="shared" si="777"/>
        <v>630.90240000000244</v>
      </c>
      <c r="T2926" s="1">
        <f t="shared" si="778"/>
        <v>0</v>
      </c>
      <c r="U2926" s="1">
        <f t="shared" si="779"/>
        <v>0</v>
      </c>
      <c r="V2926" s="1">
        <f t="shared" si="780"/>
        <v>0</v>
      </c>
    </row>
    <row r="2927" spans="5:22" x14ac:dyDescent="0.25">
      <c r="E2927" s="4"/>
      <c r="M2927" s="4">
        <f t="shared" si="773"/>
        <v>173.1</v>
      </c>
      <c r="N2927" s="4"/>
      <c r="O2927" s="1">
        <f t="shared" si="774"/>
        <v>173.1</v>
      </c>
      <c r="P2927" s="1">
        <f t="shared" si="775"/>
        <v>0</v>
      </c>
      <c r="Q2927" s="1" t="str">
        <f t="shared" si="772"/>
        <v/>
      </c>
      <c r="R2927" s="1" t="str">
        <f t="shared" si="776"/>
        <v/>
      </c>
      <c r="S2927" s="1">
        <f t="shared" si="777"/>
        <v>630.90240000000244</v>
      </c>
      <c r="T2927" s="1">
        <f t="shared" si="778"/>
        <v>0</v>
      </c>
      <c r="U2927" s="1">
        <f t="shared" si="779"/>
        <v>0</v>
      </c>
      <c r="V2927" s="1">
        <f t="shared" si="780"/>
        <v>0</v>
      </c>
    </row>
    <row r="2928" spans="5:22" x14ac:dyDescent="0.25">
      <c r="E2928" s="4"/>
      <c r="M2928" s="4">
        <f t="shared" si="773"/>
        <v>173.1</v>
      </c>
      <c r="N2928" s="4"/>
      <c r="O2928" s="1">
        <f t="shared" si="774"/>
        <v>173.1</v>
      </c>
      <c r="P2928" s="1">
        <f t="shared" si="775"/>
        <v>0</v>
      </c>
      <c r="Q2928" s="1" t="str">
        <f t="shared" si="772"/>
        <v/>
      </c>
      <c r="R2928" s="1" t="str">
        <f t="shared" si="776"/>
        <v/>
      </c>
      <c r="S2928" s="1">
        <f t="shared" si="777"/>
        <v>630.90240000000244</v>
      </c>
      <c r="T2928" s="1">
        <f t="shared" si="778"/>
        <v>0</v>
      </c>
      <c r="U2928" s="1">
        <f t="shared" si="779"/>
        <v>0</v>
      </c>
      <c r="V2928" s="1">
        <f t="shared" si="780"/>
        <v>0</v>
      </c>
    </row>
    <row r="2929" spans="5:22" x14ac:dyDescent="0.25">
      <c r="E2929" s="4"/>
      <c r="M2929" s="4">
        <f t="shared" si="773"/>
        <v>173.1</v>
      </c>
      <c r="N2929" s="4"/>
      <c r="O2929" s="1">
        <f t="shared" si="774"/>
        <v>173.1</v>
      </c>
      <c r="P2929" s="1">
        <f t="shared" si="775"/>
        <v>0</v>
      </c>
      <c r="Q2929" s="1" t="str">
        <f t="shared" si="772"/>
        <v/>
      </c>
      <c r="R2929" s="1" t="str">
        <f t="shared" si="776"/>
        <v/>
      </c>
      <c r="S2929" s="1">
        <f t="shared" si="777"/>
        <v>630.90240000000244</v>
      </c>
      <c r="T2929" s="1">
        <f t="shared" si="778"/>
        <v>0</v>
      </c>
      <c r="U2929" s="1">
        <f t="shared" si="779"/>
        <v>0</v>
      </c>
      <c r="V2929" s="1">
        <f t="shared" si="780"/>
        <v>0</v>
      </c>
    </row>
    <row r="2930" spans="5:22" x14ac:dyDescent="0.25">
      <c r="E2930" s="4"/>
      <c r="M2930" s="4">
        <f t="shared" si="773"/>
        <v>173.1</v>
      </c>
      <c r="N2930" s="4"/>
      <c r="O2930" s="1">
        <f t="shared" si="774"/>
        <v>173.1</v>
      </c>
      <c r="P2930" s="1">
        <f t="shared" si="775"/>
        <v>0</v>
      </c>
      <c r="Q2930" s="1" t="str">
        <f t="shared" ref="Q2930:Q2993" si="781">IF(H2930&lt;&gt;"",IF(H2930=H2929,"",H2930),IF(H2928="","",MAX(H2929,Q2929)))</f>
        <v/>
      </c>
      <c r="R2930" s="1" t="str">
        <f t="shared" si="776"/>
        <v/>
      </c>
      <c r="S2930" s="1">
        <f t="shared" si="777"/>
        <v>630.90240000000244</v>
      </c>
      <c r="T2930" s="1">
        <f t="shared" si="778"/>
        <v>0</v>
      </c>
      <c r="U2930" s="1">
        <f t="shared" si="779"/>
        <v>0</v>
      </c>
      <c r="V2930" s="1">
        <f t="shared" si="780"/>
        <v>0</v>
      </c>
    </row>
    <row r="2931" spans="5:22" x14ac:dyDescent="0.25">
      <c r="E2931" s="4"/>
      <c r="M2931" s="4">
        <f t="shared" si="773"/>
        <v>173.1</v>
      </c>
      <c r="N2931" s="4"/>
      <c r="O2931" s="1">
        <f t="shared" si="774"/>
        <v>173.1</v>
      </c>
      <c r="P2931" s="1">
        <f t="shared" si="775"/>
        <v>0</v>
      </c>
      <c r="Q2931" s="1" t="str">
        <f t="shared" si="781"/>
        <v/>
      </c>
      <c r="R2931" s="1" t="str">
        <f t="shared" si="776"/>
        <v/>
      </c>
      <c r="S2931" s="1">
        <f t="shared" si="777"/>
        <v>630.90240000000244</v>
      </c>
      <c r="T2931" s="1">
        <f t="shared" si="778"/>
        <v>0</v>
      </c>
      <c r="U2931" s="1">
        <f t="shared" si="779"/>
        <v>0</v>
      </c>
      <c r="V2931" s="1">
        <f t="shared" si="780"/>
        <v>0</v>
      </c>
    </row>
    <row r="2932" spans="5:22" x14ac:dyDescent="0.25">
      <c r="E2932" s="4"/>
      <c r="M2932" s="4">
        <f t="shared" si="773"/>
        <v>173.1</v>
      </c>
      <c r="N2932" s="4"/>
      <c r="O2932" s="1">
        <f t="shared" si="774"/>
        <v>173.1</v>
      </c>
      <c r="P2932" s="1">
        <f t="shared" si="775"/>
        <v>0</v>
      </c>
      <c r="Q2932" s="1" t="str">
        <f t="shared" si="781"/>
        <v/>
      </c>
      <c r="R2932" s="1" t="str">
        <f t="shared" si="776"/>
        <v/>
      </c>
      <c r="S2932" s="1">
        <f t="shared" si="777"/>
        <v>630.90240000000244</v>
      </c>
      <c r="T2932" s="1">
        <f t="shared" si="778"/>
        <v>0</v>
      </c>
      <c r="U2932" s="1">
        <f t="shared" si="779"/>
        <v>0</v>
      </c>
      <c r="V2932" s="1">
        <f t="shared" si="780"/>
        <v>0</v>
      </c>
    </row>
    <row r="2933" spans="5:22" x14ac:dyDescent="0.25">
      <c r="E2933" s="4"/>
      <c r="M2933" s="4">
        <f t="shared" si="773"/>
        <v>173.1</v>
      </c>
      <c r="N2933" s="4"/>
      <c r="O2933" s="1">
        <f t="shared" si="774"/>
        <v>173.1</v>
      </c>
      <c r="P2933" s="1">
        <f t="shared" si="775"/>
        <v>0</v>
      </c>
      <c r="Q2933" s="1" t="str">
        <f t="shared" si="781"/>
        <v/>
      </c>
      <c r="R2933" s="1" t="str">
        <f t="shared" si="776"/>
        <v/>
      </c>
      <c r="S2933" s="1">
        <f t="shared" si="777"/>
        <v>630.90240000000244</v>
      </c>
      <c r="T2933" s="1">
        <f t="shared" si="778"/>
        <v>0</v>
      </c>
      <c r="U2933" s="1">
        <f t="shared" si="779"/>
        <v>0</v>
      </c>
      <c r="V2933" s="1">
        <f t="shared" si="780"/>
        <v>0</v>
      </c>
    </row>
    <row r="2934" spans="5:22" x14ac:dyDescent="0.25">
      <c r="E2934" s="4"/>
      <c r="M2934" s="4">
        <f t="shared" si="773"/>
        <v>173.1</v>
      </c>
      <c r="N2934" s="4"/>
      <c r="O2934" s="1">
        <f t="shared" si="774"/>
        <v>173.1</v>
      </c>
      <c r="P2934" s="1">
        <f t="shared" si="775"/>
        <v>0</v>
      </c>
      <c r="Q2934" s="1" t="str">
        <f t="shared" si="781"/>
        <v/>
      </c>
      <c r="R2934" s="1" t="str">
        <f t="shared" si="776"/>
        <v/>
      </c>
      <c r="S2934" s="1">
        <f t="shared" si="777"/>
        <v>630.90240000000244</v>
      </c>
      <c r="T2934" s="1">
        <f t="shared" si="778"/>
        <v>0</v>
      </c>
      <c r="U2934" s="1">
        <f t="shared" si="779"/>
        <v>0</v>
      </c>
      <c r="V2934" s="1">
        <f t="shared" si="780"/>
        <v>0</v>
      </c>
    </row>
    <row r="2935" spans="5:22" x14ac:dyDescent="0.25">
      <c r="E2935" s="4"/>
      <c r="M2935" s="4">
        <f t="shared" si="773"/>
        <v>173.1</v>
      </c>
      <c r="N2935" s="4"/>
      <c r="O2935" s="1">
        <f t="shared" si="774"/>
        <v>173.1</v>
      </c>
      <c r="P2935" s="1">
        <f t="shared" si="775"/>
        <v>0</v>
      </c>
      <c r="Q2935" s="1" t="str">
        <f t="shared" si="781"/>
        <v/>
      </c>
      <c r="R2935" s="1" t="str">
        <f t="shared" si="776"/>
        <v/>
      </c>
      <c r="S2935" s="1">
        <f t="shared" si="777"/>
        <v>630.90240000000244</v>
      </c>
      <c r="T2935" s="1">
        <f t="shared" si="778"/>
        <v>0</v>
      </c>
      <c r="U2935" s="1">
        <f t="shared" si="779"/>
        <v>0</v>
      </c>
      <c r="V2935" s="1">
        <f t="shared" si="780"/>
        <v>0</v>
      </c>
    </row>
    <row r="2936" spans="5:22" x14ac:dyDescent="0.25">
      <c r="E2936" s="4"/>
      <c r="M2936" s="4">
        <f t="shared" si="773"/>
        <v>173.1</v>
      </c>
      <c r="N2936" s="4"/>
      <c r="O2936" s="1">
        <f t="shared" si="774"/>
        <v>173.1</v>
      </c>
      <c r="P2936" s="1">
        <f t="shared" si="775"/>
        <v>0</v>
      </c>
      <c r="Q2936" s="1" t="str">
        <f t="shared" si="781"/>
        <v/>
      </c>
      <c r="R2936" s="1" t="str">
        <f t="shared" si="776"/>
        <v/>
      </c>
      <c r="S2936" s="1">
        <f t="shared" si="777"/>
        <v>630.90240000000244</v>
      </c>
      <c r="T2936" s="1">
        <f t="shared" si="778"/>
        <v>0</v>
      </c>
      <c r="U2936" s="1">
        <f t="shared" si="779"/>
        <v>0</v>
      </c>
      <c r="V2936" s="1">
        <f t="shared" si="780"/>
        <v>0</v>
      </c>
    </row>
    <row r="2937" spans="5:22" x14ac:dyDescent="0.25">
      <c r="E2937" s="4"/>
      <c r="M2937" s="4">
        <f t="shared" si="773"/>
        <v>173.1</v>
      </c>
      <c r="N2937" s="4"/>
      <c r="O2937" s="1">
        <f t="shared" si="774"/>
        <v>173.1</v>
      </c>
      <c r="P2937" s="1">
        <f t="shared" si="775"/>
        <v>0</v>
      </c>
      <c r="Q2937" s="1" t="str">
        <f t="shared" si="781"/>
        <v/>
      </c>
      <c r="R2937" s="1" t="str">
        <f t="shared" si="776"/>
        <v/>
      </c>
      <c r="S2937" s="1">
        <f t="shared" si="777"/>
        <v>630.90240000000244</v>
      </c>
      <c r="T2937" s="1">
        <f t="shared" si="778"/>
        <v>0</v>
      </c>
      <c r="U2937" s="1">
        <f t="shared" si="779"/>
        <v>0</v>
      </c>
      <c r="V2937" s="1">
        <f t="shared" si="780"/>
        <v>0</v>
      </c>
    </row>
    <row r="2938" spans="5:22" x14ac:dyDescent="0.25">
      <c r="E2938" s="4"/>
      <c r="M2938" s="4">
        <f t="shared" si="773"/>
        <v>173.1</v>
      </c>
      <c r="N2938" s="4"/>
      <c r="O2938" s="1">
        <f t="shared" si="774"/>
        <v>173.1</v>
      </c>
      <c r="P2938" s="1">
        <f t="shared" si="775"/>
        <v>0</v>
      </c>
      <c r="Q2938" s="1" t="str">
        <f t="shared" si="781"/>
        <v/>
      </c>
      <c r="R2938" s="1" t="str">
        <f t="shared" si="776"/>
        <v/>
      </c>
      <c r="S2938" s="1">
        <f t="shared" si="777"/>
        <v>630.90240000000244</v>
      </c>
      <c r="T2938" s="1">
        <f t="shared" si="778"/>
        <v>0</v>
      </c>
      <c r="U2938" s="1">
        <f t="shared" si="779"/>
        <v>0</v>
      </c>
      <c r="V2938" s="1">
        <f t="shared" si="780"/>
        <v>0</v>
      </c>
    </row>
    <row r="2939" spans="5:22" x14ac:dyDescent="0.25">
      <c r="E2939" s="4"/>
      <c r="M2939" s="4">
        <f t="shared" si="773"/>
        <v>173.1</v>
      </c>
      <c r="N2939" s="4"/>
      <c r="O2939" s="1">
        <f t="shared" si="774"/>
        <v>173.1</v>
      </c>
      <c r="P2939" s="1">
        <f t="shared" si="775"/>
        <v>0</v>
      </c>
      <c r="Q2939" s="1" t="str">
        <f t="shared" si="781"/>
        <v/>
      </c>
      <c r="R2939" s="1" t="str">
        <f t="shared" si="776"/>
        <v/>
      </c>
      <c r="S2939" s="1">
        <f t="shared" si="777"/>
        <v>630.90240000000244</v>
      </c>
      <c r="T2939" s="1">
        <f t="shared" si="778"/>
        <v>0</v>
      </c>
      <c r="U2939" s="1">
        <f t="shared" si="779"/>
        <v>0</v>
      </c>
      <c r="V2939" s="1">
        <f t="shared" si="780"/>
        <v>0</v>
      </c>
    </row>
    <row r="2940" spans="5:22" x14ac:dyDescent="0.25">
      <c r="E2940" s="4"/>
      <c r="M2940" s="4">
        <f t="shared" si="773"/>
        <v>173.1</v>
      </c>
      <c r="N2940" s="4"/>
      <c r="O2940" s="1">
        <f t="shared" si="774"/>
        <v>173.1</v>
      </c>
      <c r="P2940" s="1">
        <f t="shared" si="775"/>
        <v>0</v>
      </c>
      <c r="Q2940" s="1" t="str">
        <f t="shared" si="781"/>
        <v/>
      </c>
      <c r="R2940" s="1" t="str">
        <f t="shared" si="776"/>
        <v/>
      </c>
      <c r="S2940" s="1">
        <f t="shared" si="777"/>
        <v>630.90240000000244</v>
      </c>
      <c r="T2940" s="1">
        <f t="shared" si="778"/>
        <v>0</v>
      </c>
      <c r="U2940" s="1">
        <f t="shared" si="779"/>
        <v>0</v>
      </c>
      <c r="V2940" s="1">
        <f t="shared" si="780"/>
        <v>0</v>
      </c>
    </row>
    <row r="2941" spans="5:22" x14ac:dyDescent="0.25">
      <c r="E2941" s="4"/>
      <c r="M2941" s="4">
        <f t="shared" si="773"/>
        <v>173.1</v>
      </c>
      <c r="N2941" s="4"/>
      <c r="O2941" s="1">
        <f t="shared" si="774"/>
        <v>173.1</v>
      </c>
      <c r="P2941" s="1">
        <f t="shared" si="775"/>
        <v>0</v>
      </c>
      <c r="Q2941" s="1" t="str">
        <f t="shared" si="781"/>
        <v/>
      </c>
      <c r="R2941" s="1" t="str">
        <f t="shared" si="776"/>
        <v/>
      </c>
      <c r="S2941" s="1">
        <f t="shared" si="777"/>
        <v>630.90240000000244</v>
      </c>
      <c r="T2941" s="1">
        <f t="shared" si="778"/>
        <v>0</v>
      </c>
      <c r="U2941" s="1">
        <f t="shared" si="779"/>
        <v>0</v>
      </c>
      <c r="V2941" s="1">
        <f t="shared" si="780"/>
        <v>0</v>
      </c>
    </row>
    <row r="2942" spans="5:22" x14ac:dyDescent="0.25">
      <c r="E2942" s="4"/>
      <c r="M2942" s="4">
        <f t="shared" si="773"/>
        <v>173.1</v>
      </c>
      <c r="N2942" s="4"/>
      <c r="O2942" s="1">
        <f t="shared" si="774"/>
        <v>173.1</v>
      </c>
      <c r="P2942" s="1">
        <f t="shared" si="775"/>
        <v>0</v>
      </c>
      <c r="Q2942" s="1" t="str">
        <f t="shared" si="781"/>
        <v/>
      </c>
      <c r="R2942" s="1" t="str">
        <f t="shared" si="776"/>
        <v/>
      </c>
      <c r="S2942" s="1">
        <f t="shared" si="777"/>
        <v>630.90240000000244</v>
      </c>
      <c r="T2942" s="1">
        <f t="shared" si="778"/>
        <v>0</v>
      </c>
      <c r="U2942" s="1">
        <f t="shared" si="779"/>
        <v>0</v>
      </c>
      <c r="V2942" s="1">
        <f t="shared" si="780"/>
        <v>0</v>
      </c>
    </row>
    <row r="2943" spans="5:22" x14ac:dyDescent="0.25">
      <c r="E2943" s="4"/>
      <c r="M2943" s="4">
        <f t="shared" si="773"/>
        <v>173.1</v>
      </c>
      <c r="N2943" s="4"/>
      <c r="O2943" s="1">
        <f t="shared" si="774"/>
        <v>173.1</v>
      </c>
      <c r="P2943" s="1">
        <f t="shared" si="775"/>
        <v>0</v>
      </c>
      <c r="Q2943" s="1" t="str">
        <f t="shared" si="781"/>
        <v/>
      </c>
      <c r="R2943" s="1" t="str">
        <f t="shared" si="776"/>
        <v/>
      </c>
      <c r="S2943" s="1">
        <f t="shared" si="777"/>
        <v>630.90240000000244</v>
      </c>
      <c r="T2943" s="1">
        <f t="shared" si="778"/>
        <v>0</v>
      </c>
      <c r="U2943" s="1">
        <f t="shared" si="779"/>
        <v>0</v>
      </c>
      <c r="V2943" s="1">
        <f t="shared" si="780"/>
        <v>0</v>
      </c>
    </row>
    <row r="2944" spans="5:22" x14ac:dyDescent="0.25">
      <c r="E2944" s="4"/>
      <c r="M2944" s="4">
        <f t="shared" si="773"/>
        <v>173.1</v>
      </c>
      <c r="N2944" s="4"/>
      <c r="O2944" s="1">
        <f t="shared" si="774"/>
        <v>173.1</v>
      </c>
      <c r="P2944" s="1">
        <f t="shared" si="775"/>
        <v>0</v>
      </c>
      <c r="Q2944" s="1" t="str">
        <f t="shared" si="781"/>
        <v/>
      </c>
      <c r="R2944" s="1" t="str">
        <f t="shared" si="776"/>
        <v/>
      </c>
      <c r="S2944" s="1">
        <f t="shared" si="777"/>
        <v>630.90240000000244</v>
      </c>
      <c r="T2944" s="1">
        <f t="shared" si="778"/>
        <v>0</v>
      </c>
      <c r="U2944" s="1">
        <f t="shared" si="779"/>
        <v>0</v>
      </c>
      <c r="V2944" s="1">
        <f t="shared" si="780"/>
        <v>0</v>
      </c>
    </row>
    <row r="2945" spans="5:22" x14ac:dyDescent="0.25">
      <c r="E2945" s="4"/>
      <c r="M2945" s="4">
        <f t="shared" si="773"/>
        <v>173.1</v>
      </c>
      <c r="N2945" s="4"/>
      <c r="O2945" s="1">
        <f t="shared" si="774"/>
        <v>173.1</v>
      </c>
      <c r="P2945" s="1">
        <f t="shared" si="775"/>
        <v>0</v>
      </c>
      <c r="Q2945" s="1" t="str">
        <f t="shared" si="781"/>
        <v/>
      </c>
      <c r="R2945" s="1" t="str">
        <f t="shared" si="776"/>
        <v/>
      </c>
      <c r="S2945" s="1">
        <f t="shared" si="777"/>
        <v>630.90240000000244</v>
      </c>
      <c r="T2945" s="1">
        <f t="shared" si="778"/>
        <v>0</v>
      </c>
      <c r="U2945" s="1">
        <f t="shared" si="779"/>
        <v>0</v>
      </c>
      <c r="V2945" s="1">
        <f t="shared" si="780"/>
        <v>0</v>
      </c>
    </row>
    <row r="2946" spans="5:22" x14ac:dyDescent="0.25">
      <c r="E2946" s="4"/>
      <c r="M2946" s="4">
        <f t="shared" si="773"/>
        <v>173.1</v>
      </c>
      <c r="N2946" s="4"/>
      <c r="O2946" s="1">
        <f t="shared" si="774"/>
        <v>173.1</v>
      </c>
      <c r="P2946" s="1">
        <f t="shared" si="775"/>
        <v>0</v>
      </c>
      <c r="Q2946" s="1" t="str">
        <f t="shared" si="781"/>
        <v/>
      </c>
      <c r="R2946" s="1" t="str">
        <f t="shared" si="776"/>
        <v/>
      </c>
      <c r="S2946" s="1">
        <f t="shared" si="777"/>
        <v>630.90240000000244</v>
      </c>
      <c r="T2946" s="1">
        <f t="shared" si="778"/>
        <v>0</v>
      </c>
      <c r="U2946" s="1">
        <f t="shared" si="779"/>
        <v>0</v>
      </c>
      <c r="V2946" s="1">
        <f t="shared" si="780"/>
        <v>0</v>
      </c>
    </row>
    <row r="2947" spans="5:22" x14ac:dyDescent="0.25">
      <c r="E2947" s="4"/>
      <c r="M2947" s="4">
        <f t="shared" si="773"/>
        <v>173.1</v>
      </c>
      <c r="N2947" s="4"/>
      <c r="O2947" s="1">
        <f t="shared" si="774"/>
        <v>173.1</v>
      </c>
      <c r="P2947" s="1">
        <f t="shared" si="775"/>
        <v>0</v>
      </c>
      <c r="Q2947" s="1" t="str">
        <f t="shared" si="781"/>
        <v/>
      </c>
      <c r="R2947" s="1" t="str">
        <f t="shared" si="776"/>
        <v/>
      </c>
      <c r="S2947" s="1">
        <f t="shared" si="777"/>
        <v>630.90240000000244</v>
      </c>
      <c r="T2947" s="1">
        <f t="shared" si="778"/>
        <v>0</v>
      </c>
      <c r="U2947" s="1">
        <f t="shared" si="779"/>
        <v>0</v>
      </c>
      <c r="V2947" s="1">
        <f t="shared" si="780"/>
        <v>0</v>
      </c>
    </row>
    <row r="2948" spans="5:22" x14ac:dyDescent="0.25">
      <c r="E2948" s="4"/>
      <c r="M2948" s="4">
        <f t="shared" si="773"/>
        <v>173.1</v>
      </c>
      <c r="N2948" s="4"/>
      <c r="O2948" s="1">
        <f t="shared" si="774"/>
        <v>173.1</v>
      </c>
      <c r="P2948" s="1">
        <f t="shared" si="775"/>
        <v>0</v>
      </c>
      <c r="Q2948" s="1" t="str">
        <f t="shared" si="781"/>
        <v/>
      </c>
      <c r="R2948" s="1" t="str">
        <f t="shared" si="776"/>
        <v/>
      </c>
      <c r="S2948" s="1">
        <f t="shared" si="777"/>
        <v>630.90240000000244</v>
      </c>
      <c r="T2948" s="1">
        <f t="shared" si="778"/>
        <v>0</v>
      </c>
      <c r="U2948" s="1">
        <f t="shared" si="779"/>
        <v>0</v>
      </c>
      <c r="V2948" s="1">
        <f t="shared" si="780"/>
        <v>0</v>
      </c>
    </row>
    <row r="2949" spans="5:22" x14ac:dyDescent="0.25">
      <c r="E2949" s="4"/>
      <c r="M2949" s="4">
        <f t="shared" si="773"/>
        <v>173.1</v>
      </c>
      <c r="N2949" s="4"/>
      <c r="O2949" s="1">
        <f t="shared" si="774"/>
        <v>173.1</v>
      </c>
      <c r="P2949" s="1">
        <f t="shared" si="775"/>
        <v>0</v>
      </c>
      <c r="Q2949" s="1" t="str">
        <f t="shared" si="781"/>
        <v/>
      </c>
      <c r="R2949" s="1" t="str">
        <f t="shared" si="776"/>
        <v/>
      </c>
      <c r="S2949" s="1">
        <f t="shared" si="777"/>
        <v>630.90240000000244</v>
      </c>
      <c r="T2949" s="1">
        <f t="shared" si="778"/>
        <v>0</v>
      </c>
      <c r="U2949" s="1">
        <f t="shared" si="779"/>
        <v>0</v>
      </c>
      <c r="V2949" s="1">
        <f t="shared" si="780"/>
        <v>0</v>
      </c>
    </row>
    <row r="2950" spans="5:22" x14ac:dyDescent="0.25">
      <c r="E2950" s="4"/>
      <c r="M2950" s="4">
        <f t="shared" si="773"/>
        <v>173.1</v>
      </c>
      <c r="N2950" s="4"/>
      <c r="O2950" s="1">
        <f t="shared" si="774"/>
        <v>173.1</v>
      </c>
      <c r="P2950" s="1">
        <f t="shared" si="775"/>
        <v>0</v>
      </c>
      <c r="Q2950" s="1" t="str">
        <f t="shared" si="781"/>
        <v/>
      </c>
      <c r="R2950" s="1" t="str">
        <f t="shared" si="776"/>
        <v/>
      </c>
      <c r="S2950" s="1">
        <f t="shared" si="777"/>
        <v>630.90240000000244</v>
      </c>
      <c r="T2950" s="1">
        <f t="shared" si="778"/>
        <v>0</v>
      </c>
      <c r="U2950" s="1">
        <f t="shared" si="779"/>
        <v>0</v>
      </c>
      <c r="V2950" s="1">
        <f t="shared" si="780"/>
        <v>0</v>
      </c>
    </row>
    <row r="2951" spans="5:22" x14ac:dyDescent="0.25">
      <c r="E2951" s="4"/>
      <c r="M2951" s="4">
        <f t="shared" si="773"/>
        <v>173.1</v>
      </c>
      <c r="N2951" s="4"/>
      <c r="O2951" s="1">
        <f t="shared" si="774"/>
        <v>173.1</v>
      </c>
      <c r="P2951" s="1">
        <f t="shared" si="775"/>
        <v>0</v>
      </c>
      <c r="Q2951" s="1" t="str">
        <f t="shared" si="781"/>
        <v/>
      </c>
      <c r="R2951" s="1" t="str">
        <f t="shared" si="776"/>
        <v/>
      </c>
      <c r="S2951" s="1">
        <f t="shared" si="777"/>
        <v>630.90240000000244</v>
      </c>
      <c r="T2951" s="1">
        <f t="shared" si="778"/>
        <v>0</v>
      </c>
      <c r="U2951" s="1">
        <f t="shared" si="779"/>
        <v>0</v>
      </c>
      <c r="V2951" s="1">
        <f t="shared" si="780"/>
        <v>0</v>
      </c>
    </row>
    <row r="2952" spans="5:22" x14ac:dyDescent="0.25">
      <c r="E2952" s="4"/>
      <c r="M2952" s="4">
        <f t="shared" ref="M2952:M3015" si="782">E2952+M2951</f>
        <v>173.1</v>
      </c>
      <c r="N2952" s="4"/>
      <c r="O2952" s="1">
        <f t="shared" ref="O2952:O3015" si="783">E2951+O2951</f>
        <v>173.1</v>
      </c>
      <c r="P2952" s="1">
        <f t="shared" ref="P2952:P3015" si="784">F2952*52.8*E2952</f>
        <v>0</v>
      </c>
      <c r="Q2952" s="1" t="str">
        <f t="shared" si="781"/>
        <v/>
      </c>
      <c r="R2952" s="1" t="str">
        <f t="shared" ref="R2952:R3015" si="785">IF(I2952="",Q2952,IF(AND(H2952=H2951,I2952=I2951),"",I2952))</f>
        <v/>
      </c>
      <c r="S2952" s="1">
        <f t="shared" ref="S2952:S3015" si="786">S2951+U2951*T2951/100</f>
        <v>630.90240000000244</v>
      </c>
      <c r="T2952" s="1">
        <f t="shared" ref="T2952:T3015" si="787">IF(G2952="UNK",0,G2952)</f>
        <v>0</v>
      </c>
      <c r="U2952" s="1">
        <f t="shared" ref="U2952:U3015" si="788">E2952*5280</f>
        <v>0</v>
      </c>
      <c r="V2952" s="1">
        <f t="shared" ref="V2952:V3015" si="789">ABS(T2952*U2952)</f>
        <v>0</v>
      </c>
    </row>
    <row r="2953" spans="5:22" x14ac:dyDescent="0.25">
      <c r="E2953" s="4"/>
      <c r="M2953" s="4">
        <f t="shared" si="782"/>
        <v>173.1</v>
      </c>
      <c r="N2953" s="4"/>
      <c r="O2953" s="1">
        <f t="shared" si="783"/>
        <v>173.1</v>
      </c>
      <c r="P2953" s="1">
        <f t="shared" si="784"/>
        <v>0</v>
      </c>
      <c r="Q2953" s="1" t="str">
        <f t="shared" si="781"/>
        <v/>
      </c>
      <c r="R2953" s="1" t="str">
        <f t="shared" si="785"/>
        <v/>
      </c>
      <c r="S2953" s="1">
        <f t="shared" si="786"/>
        <v>630.90240000000244</v>
      </c>
      <c r="T2953" s="1">
        <f t="shared" si="787"/>
        <v>0</v>
      </c>
      <c r="U2953" s="1">
        <f t="shared" si="788"/>
        <v>0</v>
      </c>
      <c r="V2953" s="1">
        <f t="shared" si="789"/>
        <v>0</v>
      </c>
    </row>
    <row r="2954" spans="5:22" x14ac:dyDescent="0.25">
      <c r="E2954" s="4"/>
      <c r="M2954" s="4">
        <f t="shared" si="782"/>
        <v>173.1</v>
      </c>
      <c r="N2954" s="4"/>
      <c r="O2954" s="1">
        <f t="shared" si="783"/>
        <v>173.1</v>
      </c>
      <c r="P2954" s="1">
        <f t="shared" si="784"/>
        <v>0</v>
      </c>
      <c r="Q2954" s="1" t="str">
        <f t="shared" si="781"/>
        <v/>
      </c>
      <c r="R2954" s="1" t="str">
        <f t="shared" si="785"/>
        <v/>
      </c>
      <c r="S2954" s="1">
        <f t="shared" si="786"/>
        <v>630.90240000000244</v>
      </c>
      <c r="T2954" s="1">
        <f t="shared" si="787"/>
        <v>0</v>
      </c>
      <c r="U2954" s="1">
        <f t="shared" si="788"/>
        <v>0</v>
      </c>
      <c r="V2954" s="1">
        <f t="shared" si="789"/>
        <v>0</v>
      </c>
    </row>
    <row r="2955" spans="5:22" x14ac:dyDescent="0.25">
      <c r="E2955" s="4"/>
      <c r="M2955" s="4">
        <f t="shared" si="782"/>
        <v>173.1</v>
      </c>
      <c r="N2955" s="4"/>
      <c r="O2955" s="1">
        <f t="shared" si="783"/>
        <v>173.1</v>
      </c>
      <c r="P2955" s="1">
        <f t="shared" si="784"/>
        <v>0</v>
      </c>
      <c r="Q2955" s="1" t="str">
        <f t="shared" si="781"/>
        <v/>
      </c>
      <c r="R2955" s="1" t="str">
        <f t="shared" si="785"/>
        <v/>
      </c>
      <c r="S2955" s="1">
        <f t="shared" si="786"/>
        <v>630.90240000000244</v>
      </c>
      <c r="T2955" s="1">
        <f t="shared" si="787"/>
        <v>0</v>
      </c>
      <c r="U2955" s="1">
        <f t="shared" si="788"/>
        <v>0</v>
      </c>
      <c r="V2955" s="1">
        <f t="shared" si="789"/>
        <v>0</v>
      </c>
    </row>
    <row r="2956" spans="5:22" x14ac:dyDescent="0.25">
      <c r="E2956" s="4"/>
      <c r="M2956" s="4">
        <f t="shared" si="782"/>
        <v>173.1</v>
      </c>
      <c r="N2956" s="4"/>
      <c r="O2956" s="1">
        <f t="shared" si="783"/>
        <v>173.1</v>
      </c>
      <c r="P2956" s="1">
        <f t="shared" si="784"/>
        <v>0</v>
      </c>
      <c r="Q2956" s="1" t="str">
        <f t="shared" si="781"/>
        <v/>
      </c>
      <c r="R2956" s="1" t="str">
        <f t="shared" si="785"/>
        <v/>
      </c>
      <c r="S2956" s="1">
        <f t="shared" si="786"/>
        <v>630.90240000000244</v>
      </c>
      <c r="T2956" s="1">
        <f t="shared" si="787"/>
        <v>0</v>
      </c>
      <c r="U2956" s="1">
        <f t="shared" si="788"/>
        <v>0</v>
      </c>
      <c r="V2956" s="1">
        <f t="shared" si="789"/>
        <v>0</v>
      </c>
    </row>
    <row r="2957" spans="5:22" x14ac:dyDescent="0.25">
      <c r="E2957" s="4"/>
      <c r="M2957" s="4">
        <f t="shared" si="782"/>
        <v>173.1</v>
      </c>
      <c r="N2957" s="4"/>
      <c r="O2957" s="1">
        <f t="shared" si="783"/>
        <v>173.1</v>
      </c>
      <c r="P2957" s="1">
        <f t="shared" si="784"/>
        <v>0</v>
      </c>
      <c r="Q2957" s="1" t="str">
        <f t="shared" si="781"/>
        <v/>
      </c>
      <c r="R2957" s="1" t="str">
        <f t="shared" si="785"/>
        <v/>
      </c>
      <c r="S2957" s="1">
        <f t="shared" si="786"/>
        <v>630.90240000000244</v>
      </c>
      <c r="T2957" s="1">
        <f t="shared" si="787"/>
        <v>0</v>
      </c>
      <c r="U2957" s="1">
        <f t="shared" si="788"/>
        <v>0</v>
      </c>
      <c r="V2957" s="1">
        <f t="shared" si="789"/>
        <v>0</v>
      </c>
    </row>
    <row r="2958" spans="5:22" x14ac:dyDescent="0.25">
      <c r="E2958" s="4"/>
      <c r="M2958" s="4">
        <f t="shared" si="782"/>
        <v>173.1</v>
      </c>
      <c r="N2958" s="4"/>
      <c r="O2958" s="1">
        <f t="shared" si="783"/>
        <v>173.1</v>
      </c>
      <c r="P2958" s="1">
        <f t="shared" si="784"/>
        <v>0</v>
      </c>
      <c r="Q2958" s="1" t="str">
        <f t="shared" si="781"/>
        <v/>
      </c>
      <c r="R2958" s="1" t="str">
        <f t="shared" si="785"/>
        <v/>
      </c>
      <c r="S2958" s="1">
        <f t="shared" si="786"/>
        <v>630.90240000000244</v>
      </c>
      <c r="T2958" s="1">
        <f t="shared" si="787"/>
        <v>0</v>
      </c>
      <c r="U2958" s="1">
        <f t="shared" si="788"/>
        <v>0</v>
      </c>
      <c r="V2958" s="1">
        <f t="shared" si="789"/>
        <v>0</v>
      </c>
    </row>
    <row r="2959" spans="5:22" x14ac:dyDescent="0.25">
      <c r="E2959" s="4"/>
      <c r="M2959" s="4">
        <f t="shared" si="782"/>
        <v>173.1</v>
      </c>
      <c r="N2959" s="4"/>
      <c r="O2959" s="1">
        <f t="shared" si="783"/>
        <v>173.1</v>
      </c>
      <c r="P2959" s="1">
        <f t="shared" si="784"/>
        <v>0</v>
      </c>
      <c r="Q2959" s="1" t="str">
        <f t="shared" si="781"/>
        <v/>
      </c>
      <c r="R2959" s="1" t="str">
        <f t="shared" si="785"/>
        <v/>
      </c>
      <c r="S2959" s="1">
        <f t="shared" si="786"/>
        <v>630.90240000000244</v>
      </c>
      <c r="T2959" s="1">
        <f t="shared" si="787"/>
        <v>0</v>
      </c>
      <c r="U2959" s="1">
        <f t="shared" si="788"/>
        <v>0</v>
      </c>
      <c r="V2959" s="1">
        <f t="shared" si="789"/>
        <v>0</v>
      </c>
    </row>
    <row r="2960" spans="5:22" x14ac:dyDescent="0.25">
      <c r="E2960" s="4"/>
      <c r="M2960" s="4">
        <f t="shared" si="782"/>
        <v>173.1</v>
      </c>
      <c r="N2960" s="4"/>
      <c r="O2960" s="1">
        <f t="shared" si="783"/>
        <v>173.1</v>
      </c>
      <c r="P2960" s="1">
        <f t="shared" si="784"/>
        <v>0</v>
      </c>
      <c r="Q2960" s="1" t="str">
        <f t="shared" si="781"/>
        <v/>
      </c>
      <c r="R2960" s="1" t="str">
        <f t="shared" si="785"/>
        <v/>
      </c>
      <c r="S2960" s="1">
        <f t="shared" si="786"/>
        <v>630.90240000000244</v>
      </c>
      <c r="T2960" s="1">
        <f t="shared" si="787"/>
        <v>0</v>
      </c>
      <c r="U2960" s="1">
        <f t="shared" si="788"/>
        <v>0</v>
      </c>
      <c r="V2960" s="1">
        <f t="shared" si="789"/>
        <v>0</v>
      </c>
    </row>
    <row r="2961" spans="5:22" x14ac:dyDescent="0.25">
      <c r="E2961" s="4"/>
      <c r="M2961" s="4">
        <f t="shared" si="782"/>
        <v>173.1</v>
      </c>
      <c r="N2961" s="4"/>
      <c r="O2961" s="1">
        <f t="shared" si="783"/>
        <v>173.1</v>
      </c>
      <c r="P2961" s="1">
        <f t="shared" si="784"/>
        <v>0</v>
      </c>
      <c r="Q2961" s="1" t="str">
        <f t="shared" si="781"/>
        <v/>
      </c>
      <c r="R2961" s="1" t="str">
        <f t="shared" si="785"/>
        <v/>
      </c>
      <c r="S2961" s="1">
        <f t="shared" si="786"/>
        <v>630.90240000000244</v>
      </c>
      <c r="T2961" s="1">
        <f t="shared" si="787"/>
        <v>0</v>
      </c>
      <c r="U2961" s="1">
        <f t="shared" si="788"/>
        <v>0</v>
      </c>
      <c r="V2961" s="1">
        <f t="shared" si="789"/>
        <v>0</v>
      </c>
    </row>
    <row r="2962" spans="5:22" x14ac:dyDescent="0.25">
      <c r="E2962" s="4"/>
      <c r="M2962" s="4">
        <f t="shared" si="782"/>
        <v>173.1</v>
      </c>
      <c r="N2962" s="4"/>
      <c r="O2962" s="1">
        <f t="shared" si="783"/>
        <v>173.1</v>
      </c>
      <c r="P2962" s="1">
        <f t="shared" si="784"/>
        <v>0</v>
      </c>
      <c r="Q2962" s="1" t="str">
        <f t="shared" si="781"/>
        <v/>
      </c>
      <c r="R2962" s="1" t="str">
        <f t="shared" si="785"/>
        <v/>
      </c>
      <c r="S2962" s="1">
        <f t="shared" si="786"/>
        <v>630.90240000000244</v>
      </c>
      <c r="T2962" s="1">
        <f t="shared" si="787"/>
        <v>0</v>
      </c>
      <c r="U2962" s="1">
        <f t="shared" si="788"/>
        <v>0</v>
      </c>
      <c r="V2962" s="1">
        <f t="shared" si="789"/>
        <v>0</v>
      </c>
    </row>
    <row r="2963" spans="5:22" x14ac:dyDescent="0.25">
      <c r="E2963" s="4"/>
      <c r="M2963" s="4">
        <f t="shared" si="782"/>
        <v>173.1</v>
      </c>
      <c r="N2963" s="4"/>
      <c r="O2963" s="1">
        <f t="shared" si="783"/>
        <v>173.1</v>
      </c>
      <c r="P2963" s="1">
        <f t="shared" si="784"/>
        <v>0</v>
      </c>
      <c r="Q2963" s="1" t="str">
        <f t="shared" si="781"/>
        <v/>
      </c>
      <c r="R2963" s="1" t="str">
        <f t="shared" si="785"/>
        <v/>
      </c>
      <c r="S2963" s="1">
        <f t="shared" si="786"/>
        <v>630.90240000000244</v>
      </c>
      <c r="T2963" s="1">
        <f t="shared" si="787"/>
        <v>0</v>
      </c>
      <c r="U2963" s="1">
        <f t="shared" si="788"/>
        <v>0</v>
      </c>
      <c r="V2963" s="1">
        <f t="shared" si="789"/>
        <v>0</v>
      </c>
    </row>
    <row r="2964" spans="5:22" x14ac:dyDescent="0.25">
      <c r="E2964" s="4"/>
      <c r="M2964" s="4">
        <f t="shared" si="782"/>
        <v>173.1</v>
      </c>
      <c r="N2964" s="4"/>
      <c r="O2964" s="1">
        <f t="shared" si="783"/>
        <v>173.1</v>
      </c>
      <c r="P2964" s="1">
        <f t="shared" si="784"/>
        <v>0</v>
      </c>
      <c r="Q2964" s="1" t="str">
        <f t="shared" si="781"/>
        <v/>
      </c>
      <c r="R2964" s="1" t="str">
        <f t="shared" si="785"/>
        <v/>
      </c>
      <c r="S2964" s="1">
        <f t="shared" si="786"/>
        <v>630.90240000000244</v>
      </c>
      <c r="T2964" s="1">
        <f t="shared" si="787"/>
        <v>0</v>
      </c>
      <c r="U2964" s="1">
        <f t="shared" si="788"/>
        <v>0</v>
      </c>
      <c r="V2964" s="1">
        <f t="shared" si="789"/>
        <v>0</v>
      </c>
    </row>
    <row r="2965" spans="5:22" x14ac:dyDescent="0.25">
      <c r="E2965" s="4"/>
      <c r="M2965" s="4">
        <f t="shared" si="782"/>
        <v>173.1</v>
      </c>
      <c r="N2965" s="4"/>
      <c r="O2965" s="1">
        <f t="shared" si="783"/>
        <v>173.1</v>
      </c>
      <c r="P2965" s="1">
        <f t="shared" si="784"/>
        <v>0</v>
      </c>
      <c r="Q2965" s="1" t="str">
        <f t="shared" si="781"/>
        <v/>
      </c>
      <c r="R2965" s="1" t="str">
        <f t="shared" si="785"/>
        <v/>
      </c>
      <c r="S2965" s="1">
        <f t="shared" si="786"/>
        <v>630.90240000000244</v>
      </c>
      <c r="T2965" s="1">
        <f t="shared" si="787"/>
        <v>0</v>
      </c>
      <c r="U2965" s="1">
        <f t="shared" si="788"/>
        <v>0</v>
      </c>
      <c r="V2965" s="1">
        <f t="shared" si="789"/>
        <v>0</v>
      </c>
    </row>
    <row r="2966" spans="5:22" x14ac:dyDescent="0.25">
      <c r="E2966" s="4"/>
      <c r="M2966" s="4">
        <f t="shared" si="782"/>
        <v>173.1</v>
      </c>
      <c r="N2966" s="4"/>
      <c r="O2966" s="1">
        <f t="shared" si="783"/>
        <v>173.1</v>
      </c>
      <c r="P2966" s="1">
        <f t="shared" si="784"/>
        <v>0</v>
      </c>
      <c r="Q2966" s="1" t="str">
        <f t="shared" si="781"/>
        <v/>
      </c>
      <c r="R2966" s="1" t="str">
        <f t="shared" si="785"/>
        <v/>
      </c>
      <c r="S2966" s="1">
        <f t="shared" si="786"/>
        <v>630.90240000000244</v>
      </c>
      <c r="T2966" s="1">
        <f t="shared" si="787"/>
        <v>0</v>
      </c>
      <c r="U2966" s="1">
        <f t="shared" si="788"/>
        <v>0</v>
      </c>
      <c r="V2966" s="1">
        <f t="shared" si="789"/>
        <v>0</v>
      </c>
    </row>
    <row r="2967" spans="5:22" x14ac:dyDescent="0.25">
      <c r="E2967" s="4"/>
      <c r="M2967" s="4">
        <f t="shared" si="782"/>
        <v>173.1</v>
      </c>
      <c r="N2967" s="4"/>
      <c r="O2967" s="1">
        <f t="shared" si="783"/>
        <v>173.1</v>
      </c>
      <c r="P2967" s="1">
        <f t="shared" si="784"/>
        <v>0</v>
      </c>
      <c r="Q2967" s="1" t="str">
        <f t="shared" si="781"/>
        <v/>
      </c>
      <c r="R2967" s="1" t="str">
        <f t="shared" si="785"/>
        <v/>
      </c>
      <c r="S2967" s="1">
        <f t="shared" si="786"/>
        <v>630.90240000000244</v>
      </c>
      <c r="T2967" s="1">
        <f t="shared" si="787"/>
        <v>0</v>
      </c>
      <c r="U2967" s="1">
        <f t="shared" si="788"/>
        <v>0</v>
      </c>
      <c r="V2967" s="1">
        <f t="shared" si="789"/>
        <v>0</v>
      </c>
    </row>
    <row r="2968" spans="5:22" x14ac:dyDescent="0.25">
      <c r="E2968" s="4"/>
      <c r="M2968" s="4">
        <f t="shared" si="782"/>
        <v>173.1</v>
      </c>
      <c r="N2968" s="4"/>
      <c r="O2968" s="1">
        <f t="shared" si="783"/>
        <v>173.1</v>
      </c>
      <c r="P2968" s="1">
        <f t="shared" si="784"/>
        <v>0</v>
      </c>
      <c r="Q2968" s="1" t="str">
        <f t="shared" si="781"/>
        <v/>
      </c>
      <c r="R2968" s="1" t="str">
        <f t="shared" si="785"/>
        <v/>
      </c>
      <c r="S2968" s="1">
        <f t="shared" si="786"/>
        <v>630.90240000000244</v>
      </c>
      <c r="T2968" s="1">
        <f t="shared" si="787"/>
        <v>0</v>
      </c>
      <c r="U2968" s="1">
        <f t="shared" si="788"/>
        <v>0</v>
      </c>
      <c r="V2968" s="1">
        <f t="shared" si="789"/>
        <v>0</v>
      </c>
    </row>
    <row r="2969" spans="5:22" x14ac:dyDescent="0.25">
      <c r="E2969" s="4"/>
      <c r="M2969" s="4">
        <f t="shared" si="782"/>
        <v>173.1</v>
      </c>
      <c r="N2969" s="4"/>
      <c r="O2969" s="1">
        <f t="shared" si="783"/>
        <v>173.1</v>
      </c>
      <c r="P2969" s="1">
        <f t="shared" si="784"/>
        <v>0</v>
      </c>
      <c r="Q2969" s="1" t="str">
        <f t="shared" si="781"/>
        <v/>
      </c>
      <c r="R2969" s="1" t="str">
        <f t="shared" si="785"/>
        <v/>
      </c>
      <c r="S2969" s="1">
        <f t="shared" si="786"/>
        <v>630.90240000000244</v>
      </c>
      <c r="T2969" s="1">
        <f t="shared" si="787"/>
        <v>0</v>
      </c>
      <c r="U2969" s="1">
        <f t="shared" si="788"/>
        <v>0</v>
      </c>
      <c r="V2969" s="1">
        <f t="shared" si="789"/>
        <v>0</v>
      </c>
    </row>
    <row r="2970" spans="5:22" x14ac:dyDescent="0.25">
      <c r="E2970" s="4"/>
      <c r="M2970" s="4">
        <f t="shared" si="782"/>
        <v>173.1</v>
      </c>
      <c r="N2970" s="4"/>
      <c r="O2970" s="1">
        <f t="shared" si="783"/>
        <v>173.1</v>
      </c>
      <c r="P2970" s="1">
        <f t="shared" si="784"/>
        <v>0</v>
      </c>
      <c r="Q2970" s="1" t="str">
        <f t="shared" si="781"/>
        <v/>
      </c>
      <c r="R2970" s="1" t="str">
        <f t="shared" si="785"/>
        <v/>
      </c>
      <c r="S2970" s="1">
        <f t="shared" si="786"/>
        <v>630.90240000000244</v>
      </c>
      <c r="T2970" s="1">
        <f t="shared" si="787"/>
        <v>0</v>
      </c>
      <c r="U2970" s="1">
        <f t="shared" si="788"/>
        <v>0</v>
      </c>
      <c r="V2970" s="1">
        <f t="shared" si="789"/>
        <v>0</v>
      </c>
    </row>
    <row r="2971" spans="5:22" x14ac:dyDescent="0.25">
      <c r="E2971" s="4"/>
      <c r="M2971" s="4">
        <f t="shared" si="782"/>
        <v>173.1</v>
      </c>
      <c r="N2971" s="4"/>
      <c r="O2971" s="1">
        <f t="shared" si="783"/>
        <v>173.1</v>
      </c>
      <c r="P2971" s="1">
        <f t="shared" si="784"/>
        <v>0</v>
      </c>
      <c r="Q2971" s="1" t="str">
        <f t="shared" si="781"/>
        <v/>
      </c>
      <c r="R2971" s="1" t="str">
        <f t="shared" si="785"/>
        <v/>
      </c>
      <c r="S2971" s="1">
        <f t="shared" si="786"/>
        <v>630.90240000000244</v>
      </c>
      <c r="T2971" s="1">
        <f t="shared" si="787"/>
        <v>0</v>
      </c>
      <c r="U2971" s="1">
        <f t="shared" si="788"/>
        <v>0</v>
      </c>
      <c r="V2971" s="1">
        <f t="shared" si="789"/>
        <v>0</v>
      </c>
    </row>
    <row r="2972" spans="5:22" x14ac:dyDescent="0.25">
      <c r="E2972" s="4"/>
      <c r="M2972" s="4">
        <f t="shared" si="782"/>
        <v>173.1</v>
      </c>
      <c r="N2972" s="4"/>
      <c r="O2972" s="1">
        <f t="shared" si="783"/>
        <v>173.1</v>
      </c>
      <c r="P2972" s="1">
        <f t="shared" si="784"/>
        <v>0</v>
      </c>
      <c r="Q2972" s="1" t="str">
        <f t="shared" si="781"/>
        <v/>
      </c>
      <c r="R2972" s="1" t="str">
        <f t="shared" si="785"/>
        <v/>
      </c>
      <c r="S2972" s="1">
        <f t="shared" si="786"/>
        <v>630.90240000000244</v>
      </c>
      <c r="T2972" s="1">
        <f t="shared" si="787"/>
        <v>0</v>
      </c>
      <c r="U2972" s="1">
        <f t="shared" si="788"/>
        <v>0</v>
      </c>
      <c r="V2972" s="1">
        <f t="shared" si="789"/>
        <v>0</v>
      </c>
    </row>
    <row r="2973" spans="5:22" x14ac:dyDescent="0.25">
      <c r="E2973" s="4"/>
      <c r="M2973" s="4">
        <f t="shared" si="782"/>
        <v>173.1</v>
      </c>
      <c r="N2973" s="4"/>
      <c r="O2973" s="1">
        <f t="shared" si="783"/>
        <v>173.1</v>
      </c>
      <c r="P2973" s="1">
        <f t="shared" si="784"/>
        <v>0</v>
      </c>
      <c r="Q2973" s="1" t="str">
        <f t="shared" si="781"/>
        <v/>
      </c>
      <c r="R2973" s="1" t="str">
        <f t="shared" si="785"/>
        <v/>
      </c>
      <c r="S2973" s="1">
        <f t="shared" si="786"/>
        <v>630.90240000000244</v>
      </c>
      <c r="T2973" s="1">
        <f t="shared" si="787"/>
        <v>0</v>
      </c>
      <c r="U2973" s="1">
        <f t="shared" si="788"/>
        <v>0</v>
      </c>
      <c r="V2973" s="1">
        <f t="shared" si="789"/>
        <v>0</v>
      </c>
    </row>
    <row r="2974" spans="5:22" x14ac:dyDescent="0.25">
      <c r="E2974" s="4"/>
      <c r="M2974" s="4">
        <f t="shared" si="782"/>
        <v>173.1</v>
      </c>
      <c r="N2974" s="4"/>
      <c r="O2974" s="1">
        <f t="shared" si="783"/>
        <v>173.1</v>
      </c>
      <c r="P2974" s="1">
        <f t="shared" si="784"/>
        <v>0</v>
      </c>
      <c r="Q2974" s="1" t="str">
        <f t="shared" si="781"/>
        <v/>
      </c>
      <c r="R2974" s="1" t="str">
        <f t="shared" si="785"/>
        <v/>
      </c>
      <c r="S2974" s="1">
        <f t="shared" si="786"/>
        <v>630.90240000000244</v>
      </c>
      <c r="T2974" s="1">
        <f t="shared" si="787"/>
        <v>0</v>
      </c>
      <c r="U2974" s="1">
        <f t="shared" si="788"/>
        <v>0</v>
      </c>
      <c r="V2974" s="1">
        <f t="shared" si="789"/>
        <v>0</v>
      </c>
    </row>
    <row r="2975" spans="5:22" x14ac:dyDescent="0.25">
      <c r="E2975" s="4"/>
      <c r="M2975" s="4">
        <f t="shared" si="782"/>
        <v>173.1</v>
      </c>
      <c r="N2975" s="4"/>
      <c r="O2975" s="1">
        <f t="shared" si="783"/>
        <v>173.1</v>
      </c>
      <c r="P2975" s="1">
        <f t="shared" si="784"/>
        <v>0</v>
      </c>
      <c r="Q2975" s="1" t="str">
        <f t="shared" si="781"/>
        <v/>
      </c>
      <c r="R2975" s="1" t="str">
        <f t="shared" si="785"/>
        <v/>
      </c>
      <c r="S2975" s="1">
        <f t="shared" si="786"/>
        <v>630.90240000000244</v>
      </c>
      <c r="T2975" s="1">
        <f t="shared" si="787"/>
        <v>0</v>
      </c>
      <c r="U2975" s="1">
        <f t="shared" si="788"/>
        <v>0</v>
      </c>
      <c r="V2975" s="1">
        <f t="shared" si="789"/>
        <v>0</v>
      </c>
    </row>
    <row r="2976" spans="5:22" x14ac:dyDescent="0.25">
      <c r="E2976" s="4"/>
      <c r="M2976" s="4">
        <f t="shared" si="782"/>
        <v>173.1</v>
      </c>
      <c r="N2976" s="4"/>
      <c r="O2976" s="1">
        <f t="shared" si="783"/>
        <v>173.1</v>
      </c>
      <c r="P2976" s="1">
        <f t="shared" si="784"/>
        <v>0</v>
      </c>
      <c r="Q2976" s="1" t="str">
        <f t="shared" si="781"/>
        <v/>
      </c>
      <c r="R2976" s="1" t="str">
        <f t="shared" si="785"/>
        <v/>
      </c>
      <c r="S2976" s="1">
        <f t="shared" si="786"/>
        <v>630.90240000000244</v>
      </c>
      <c r="T2976" s="1">
        <f t="shared" si="787"/>
        <v>0</v>
      </c>
      <c r="U2976" s="1">
        <f t="shared" si="788"/>
        <v>0</v>
      </c>
      <c r="V2976" s="1">
        <f t="shared" si="789"/>
        <v>0</v>
      </c>
    </row>
    <row r="2977" spans="5:22" x14ac:dyDescent="0.25">
      <c r="E2977" s="4"/>
      <c r="M2977" s="4">
        <f t="shared" si="782"/>
        <v>173.1</v>
      </c>
      <c r="N2977" s="4"/>
      <c r="O2977" s="1">
        <f t="shared" si="783"/>
        <v>173.1</v>
      </c>
      <c r="P2977" s="1">
        <f t="shared" si="784"/>
        <v>0</v>
      </c>
      <c r="Q2977" s="1" t="str">
        <f t="shared" si="781"/>
        <v/>
      </c>
      <c r="R2977" s="1" t="str">
        <f t="shared" si="785"/>
        <v/>
      </c>
      <c r="S2977" s="1">
        <f t="shared" si="786"/>
        <v>630.90240000000244</v>
      </c>
      <c r="T2977" s="1">
        <f t="shared" si="787"/>
        <v>0</v>
      </c>
      <c r="U2977" s="1">
        <f t="shared" si="788"/>
        <v>0</v>
      </c>
      <c r="V2977" s="1">
        <f t="shared" si="789"/>
        <v>0</v>
      </c>
    </row>
    <row r="2978" spans="5:22" x14ac:dyDescent="0.25">
      <c r="E2978" s="4"/>
      <c r="M2978" s="4">
        <f t="shared" si="782"/>
        <v>173.1</v>
      </c>
      <c r="N2978" s="4"/>
      <c r="O2978" s="1">
        <f t="shared" si="783"/>
        <v>173.1</v>
      </c>
      <c r="P2978" s="1">
        <f t="shared" si="784"/>
        <v>0</v>
      </c>
      <c r="Q2978" s="1" t="str">
        <f t="shared" si="781"/>
        <v/>
      </c>
      <c r="R2978" s="1" t="str">
        <f t="shared" si="785"/>
        <v/>
      </c>
      <c r="S2978" s="1">
        <f t="shared" si="786"/>
        <v>630.90240000000244</v>
      </c>
      <c r="T2978" s="1">
        <f t="shared" si="787"/>
        <v>0</v>
      </c>
      <c r="U2978" s="1">
        <f t="shared" si="788"/>
        <v>0</v>
      </c>
      <c r="V2978" s="1">
        <f t="shared" si="789"/>
        <v>0</v>
      </c>
    </row>
    <row r="2979" spans="5:22" x14ac:dyDescent="0.25">
      <c r="E2979" s="4"/>
      <c r="M2979" s="4">
        <f t="shared" si="782"/>
        <v>173.1</v>
      </c>
      <c r="N2979" s="4"/>
      <c r="O2979" s="1">
        <f t="shared" si="783"/>
        <v>173.1</v>
      </c>
      <c r="P2979" s="1">
        <f t="shared" si="784"/>
        <v>0</v>
      </c>
      <c r="Q2979" s="1" t="str">
        <f t="shared" si="781"/>
        <v/>
      </c>
      <c r="R2979" s="1" t="str">
        <f t="shared" si="785"/>
        <v/>
      </c>
      <c r="S2979" s="1">
        <f t="shared" si="786"/>
        <v>630.90240000000244</v>
      </c>
      <c r="T2979" s="1">
        <f t="shared" si="787"/>
        <v>0</v>
      </c>
      <c r="U2979" s="1">
        <f t="shared" si="788"/>
        <v>0</v>
      </c>
      <c r="V2979" s="1">
        <f t="shared" si="789"/>
        <v>0</v>
      </c>
    </row>
    <row r="2980" spans="5:22" x14ac:dyDescent="0.25">
      <c r="E2980" s="4"/>
      <c r="M2980" s="4">
        <f t="shared" si="782"/>
        <v>173.1</v>
      </c>
      <c r="N2980" s="4"/>
      <c r="O2980" s="1">
        <f t="shared" si="783"/>
        <v>173.1</v>
      </c>
      <c r="P2980" s="1">
        <f t="shared" si="784"/>
        <v>0</v>
      </c>
      <c r="Q2980" s="1" t="str">
        <f t="shared" si="781"/>
        <v/>
      </c>
      <c r="R2980" s="1" t="str">
        <f t="shared" si="785"/>
        <v/>
      </c>
      <c r="S2980" s="1">
        <f t="shared" si="786"/>
        <v>630.90240000000244</v>
      </c>
      <c r="T2980" s="1">
        <f t="shared" si="787"/>
        <v>0</v>
      </c>
      <c r="U2980" s="1">
        <f t="shared" si="788"/>
        <v>0</v>
      </c>
      <c r="V2980" s="1">
        <f t="shared" si="789"/>
        <v>0</v>
      </c>
    </row>
    <row r="2981" spans="5:22" x14ac:dyDescent="0.25">
      <c r="E2981" s="4"/>
      <c r="M2981" s="4">
        <f t="shared" si="782"/>
        <v>173.1</v>
      </c>
      <c r="N2981" s="4"/>
      <c r="O2981" s="1">
        <f t="shared" si="783"/>
        <v>173.1</v>
      </c>
      <c r="P2981" s="1">
        <f t="shared" si="784"/>
        <v>0</v>
      </c>
      <c r="Q2981" s="1" t="str">
        <f t="shared" si="781"/>
        <v/>
      </c>
      <c r="R2981" s="1" t="str">
        <f t="shared" si="785"/>
        <v/>
      </c>
      <c r="S2981" s="1">
        <f t="shared" si="786"/>
        <v>630.90240000000244</v>
      </c>
      <c r="T2981" s="1">
        <f t="shared" si="787"/>
        <v>0</v>
      </c>
      <c r="U2981" s="1">
        <f t="shared" si="788"/>
        <v>0</v>
      </c>
      <c r="V2981" s="1">
        <f t="shared" si="789"/>
        <v>0</v>
      </c>
    </row>
    <row r="2982" spans="5:22" x14ac:dyDescent="0.25">
      <c r="E2982" s="4"/>
      <c r="M2982" s="4">
        <f t="shared" si="782"/>
        <v>173.1</v>
      </c>
      <c r="N2982" s="4"/>
      <c r="O2982" s="1">
        <f t="shared" si="783"/>
        <v>173.1</v>
      </c>
      <c r="P2982" s="1">
        <f t="shared" si="784"/>
        <v>0</v>
      </c>
      <c r="Q2982" s="1" t="str">
        <f t="shared" si="781"/>
        <v/>
      </c>
      <c r="R2982" s="1" t="str">
        <f t="shared" si="785"/>
        <v/>
      </c>
      <c r="S2982" s="1">
        <f t="shared" si="786"/>
        <v>630.90240000000244</v>
      </c>
      <c r="T2982" s="1">
        <f t="shared" si="787"/>
        <v>0</v>
      </c>
      <c r="U2982" s="1">
        <f t="shared" si="788"/>
        <v>0</v>
      </c>
      <c r="V2982" s="1">
        <f t="shared" si="789"/>
        <v>0</v>
      </c>
    </row>
    <row r="2983" spans="5:22" x14ac:dyDescent="0.25">
      <c r="E2983" s="4"/>
      <c r="M2983" s="4">
        <f t="shared" si="782"/>
        <v>173.1</v>
      </c>
      <c r="N2983" s="4"/>
      <c r="O2983" s="1">
        <f t="shared" si="783"/>
        <v>173.1</v>
      </c>
      <c r="P2983" s="1">
        <f t="shared" si="784"/>
        <v>0</v>
      </c>
      <c r="Q2983" s="1" t="str">
        <f t="shared" si="781"/>
        <v/>
      </c>
      <c r="R2983" s="1" t="str">
        <f t="shared" si="785"/>
        <v/>
      </c>
      <c r="S2983" s="1">
        <f t="shared" si="786"/>
        <v>630.90240000000244</v>
      </c>
      <c r="T2983" s="1">
        <f t="shared" si="787"/>
        <v>0</v>
      </c>
      <c r="U2983" s="1">
        <f t="shared" si="788"/>
        <v>0</v>
      </c>
      <c r="V2983" s="1">
        <f t="shared" si="789"/>
        <v>0</v>
      </c>
    </row>
    <row r="2984" spans="5:22" x14ac:dyDescent="0.25">
      <c r="E2984" s="4"/>
      <c r="M2984" s="4">
        <f t="shared" si="782"/>
        <v>173.1</v>
      </c>
      <c r="N2984" s="4"/>
      <c r="O2984" s="1">
        <f t="shared" si="783"/>
        <v>173.1</v>
      </c>
      <c r="P2984" s="1">
        <f t="shared" si="784"/>
        <v>0</v>
      </c>
      <c r="Q2984" s="1" t="str">
        <f t="shared" si="781"/>
        <v/>
      </c>
      <c r="R2984" s="1" t="str">
        <f t="shared" si="785"/>
        <v/>
      </c>
      <c r="S2984" s="1">
        <f t="shared" si="786"/>
        <v>630.90240000000244</v>
      </c>
      <c r="T2984" s="1">
        <f t="shared" si="787"/>
        <v>0</v>
      </c>
      <c r="U2984" s="1">
        <f t="shared" si="788"/>
        <v>0</v>
      </c>
      <c r="V2984" s="1">
        <f t="shared" si="789"/>
        <v>0</v>
      </c>
    </row>
    <row r="2985" spans="5:22" x14ac:dyDescent="0.25">
      <c r="E2985" s="4"/>
      <c r="M2985" s="4">
        <f t="shared" si="782"/>
        <v>173.1</v>
      </c>
      <c r="N2985" s="4"/>
      <c r="O2985" s="1">
        <f t="shared" si="783"/>
        <v>173.1</v>
      </c>
      <c r="P2985" s="1">
        <f t="shared" si="784"/>
        <v>0</v>
      </c>
      <c r="Q2985" s="1" t="str">
        <f t="shared" si="781"/>
        <v/>
      </c>
      <c r="R2985" s="1" t="str">
        <f t="shared" si="785"/>
        <v/>
      </c>
      <c r="S2985" s="1">
        <f t="shared" si="786"/>
        <v>630.90240000000244</v>
      </c>
      <c r="T2985" s="1">
        <f t="shared" si="787"/>
        <v>0</v>
      </c>
      <c r="U2985" s="1">
        <f t="shared" si="788"/>
        <v>0</v>
      </c>
      <c r="V2985" s="1">
        <f t="shared" si="789"/>
        <v>0</v>
      </c>
    </row>
    <row r="2986" spans="5:22" x14ac:dyDescent="0.25">
      <c r="E2986" s="4"/>
      <c r="M2986" s="4">
        <f t="shared" si="782"/>
        <v>173.1</v>
      </c>
      <c r="N2986" s="4"/>
      <c r="O2986" s="1">
        <f t="shared" si="783"/>
        <v>173.1</v>
      </c>
      <c r="P2986" s="1">
        <f t="shared" si="784"/>
        <v>0</v>
      </c>
      <c r="Q2986" s="1" t="str">
        <f t="shared" si="781"/>
        <v/>
      </c>
      <c r="R2986" s="1" t="str">
        <f t="shared" si="785"/>
        <v/>
      </c>
      <c r="S2986" s="1">
        <f t="shared" si="786"/>
        <v>630.90240000000244</v>
      </c>
      <c r="T2986" s="1">
        <f t="shared" si="787"/>
        <v>0</v>
      </c>
      <c r="U2986" s="1">
        <f t="shared" si="788"/>
        <v>0</v>
      </c>
      <c r="V2986" s="1">
        <f t="shared" si="789"/>
        <v>0</v>
      </c>
    </row>
    <row r="2987" spans="5:22" x14ac:dyDescent="0.25">
      <c r="E2987" s="4"/>
      <c r="M2987" s="4">
        <f t="shared" si="782"/>
        <v>173.1</v>
      </c>
      <c r="N2987" s="4"/>
      <c r="O2987" s="1">
        <f t="shared" si="783"/>
        <v>173.1</v>
      </c>
      <c r="P2987" s="1">
        <f t="shared" si="784"/>
        <v>0</v>
      </c>
      <c r="Q2987" s="1" t="str">
        <f t="shared" si="781"/>
        <v/>
      </c>
      <c r="R2987" s="1" t="str">
        <f t="shared" si="785"/>
        <v/>
      </c>
      <c r="S2987" s="1">
        <f t="shared" si="786"/>
        <v>630.90240000000244</v>
      </c>
      <c r="T2987" s="1">
        <f t="shared" si="787"/>
        <v>0</v>
      </c>
      <c r="U2987" s="1">
        <f t="shared" si="788"/>
        <v>0</v>
      </c>
      <c r="V2987" s="1">
        <f t="shared" si="789"/>
        <v>0</v>
      </c>
    </row>
    <row r="2988" spans="5:22" x14ac:dyDescent="0.25">
      <c r="E2988" s="4"/>
      <c r="M2988" s="4">
        <f t="shared" si="782"/>
        <v>173.1</v>
      </c>
      <c r="N2988" s="4"/>
      <c r="O2988" s="1">
        <f t="shared" si="783"/>
        <v>173.1</v>
      </c>
      <c r="P2988" s="1">
        <f t="shared" si="784"/>
        <v>0</v>
      </c>
      <c r="Q2988" s="1" t="str">
        <f t="shared" si="781"/>
        <v/>
      </c>
      <c r="R2988" s="1" t="str">
        <f t="shared" si="785"/>
        <v/>
      </c>
      <c r="S2988" s="1">
        <f t="shared" si="786"/>
        <v>630.90240000000244</v>
      </c>
      <c r="T2988" s="1">
        <f t="shared" si="787"/>
        <v>0</v>
      </c>
      <c r="U2988" s="1">
        <f t="shared" si="788"/>
        <v>0</v>
      </c>
      <c r="V2988" s="1">
        <f t="shared" si="789"/>
        <v>0</v>
      </c>
    </row>
    <row r="2989" spans="5:22" x14ac:dyDescent="0.25">
      <c r="E2989" s="4"/>
      <c r="M2989" s="4">
        <f t="shared" si="782"/>
        <v>173.1</v>
      </c>
      <c r="N2989" s="4"/>
      <c r="O2989" s="1">
        <f t="shared" si="783"/>
        <v>173.1</v>
      </c>
      <c r="P2989" s="1">
        <f t="shared" si="784"/>
        <v>0</v>
      </c>
      <c r="Q2989" s="1" t="str">
        <f t="shared" si="781"/>
        <v/>
      </c>
      <c r="R2989" s="1" t="str">
        <f t="shared" si="785"/>
        <v/>
      </c>
      <c r="S2989" s="1">
        <f t="shared" si="786"/>
        <v>630.90240000000244</v>
      </c>
      <c r="T2989" s="1">
        <f t="shared" si="787"/>
        <v>0</v>
      </c>
      <c r="U2989" s="1">
        <f t="shared" si="788"/>
        <v>0</v>
      </c>
      <c r="V2989" s="1">
        <f t="shared" si="789"/>
        <v>0</v>
      </c>
    </row>
    <row r="2990" spans="5:22" x14ac:dyDescent="0.25">
      <c r="E2990" s="4"/>
      <c r="M2990" s="4">
        <f t="shared" si="782"/>
        <v>173.1</v>
      </c>
      <c r="N2990" s="4"/>
      <c r="O2990" s="1">
        <f t="shared" si="783"/>
        <v>173.1</v>
      </c>
      <c r="P2990" s="1">
        <f t="shared" si="784"/>
        <v>0</v>
      </c>
      <c r="Q2990" s="1" t="str">
        <f t="shared" si="781"/>
        <v/>
      </c>
      <c r="R2990" s="1" t="str">
        <f t="shared" si="785"/>
        <v/>
      </c>
      <c r="S2990" s="1">
        <f t="shared" si="786"/>
        <v>630.90240000000244</v>
      </c>
      <c r="T2990" s="1">
        <f t="shared" si="787"/>
        <v>0</v>
      </c>
      <c r="U2990" s="1">
        <f t="shared" si="788"/>
        <v>0</v>
      </c>
      <c r="V2990" s="1">
        <f t="shared" si="789"/>
        <v>0</v>
      </c>
    </row>
    <row r="2991" spans="5:22" x14ac:dyDescent="0.25">
      <c r="E2991" s="4"/>
      <c r="M2991" s="4">
        <f t="shared" si="782"/>
        <v>173.1</v>
      </c>
      <c r="N2991" s="4"/>
      <c r="O2991" s="1">
        <f t="shared" si="783"/>
        <v>173.1</v>
      </c>
      <c r="P2991" s="1">
        <f t="shared" si="784"/>
        <v>0</v>
      </c>
      <c r="Q2991" s="1" t="str">
        <f t="shared" si="781"/>
        <v/>
      </c>
      <c r="R2991" s="1" t="str">
        <f t="shared" si="785"/>
        <v/>
      </c>
      <c r="S2991" s="1">
        <f t="shared" si="786"/>
        <v>630.90240000000244</v>
      </c>
      <c r="T2991" s="1">
        <f t="shared" si="787"/>
        <v>0</v>
      </c>
      <c r="U2991" s="1">
        <f t="shared" si="788"/>
        <v>0</v>
      </c>
      <c r="V2991" s="1">
        <f t="shared" si="789"/>
        <v>0</v>
      </c>
    </row>
    <row r="2992" spans="5:22" x14ac:dyDescent="0.25">
      <c r="E2992" s="4"/>
      <c r="M2992" s="4">
        <f t="shared" si="782"/>
        <v>173.1</v>
      </c>
      <c r="N2992" s="4"/>
      <c r="O2992" s="1">
        <f t="shared" si="783"/>
        <v>173.1</v>
      </c>
      <c r="P2992" s="1">
        <f t="shared" si="784"/>
        <v>0</v>
      </c>
      <c r="Q2992" s="1" t="str">
        <f t="shared" si="781"/>
        <v/>
      </c>
      <c r="R2992" s="1" t="str">
        <f t="shared" si="785"/>
        <v/>
      </c>
      <c r="S2992" s="1">
        <f t="shared" si="786"/>
        <v>630.90240000000244</v>
      </c>
      <c r="T2992" s="1">
        <f t="shared" si="787"/>
        <v>0</v>
      </c>
      <c r="U2992" s="1">
        <f t="shared" si="788"/>
        <v>0</v>
      </c>
      <c r="V2992" s="1">
        <f t="shared" si="789"/>
        <v>0</v>
      </c>
    </row>
    <row r="2993" spans="5:22" x14ac:dyDescent="0.25">
      <c r="E2993" s="4"/>
      <c r="M2993" s="4">
        <f t="shared" si="782"/>
        <v>173.1</v>
      </c>
      <c r="N2993" s="4"/>
      <c r="O2993" s="1">
        <f t="shared" si="783"/>
        <v>173.1</v>
      </c>
      <c r="P2993" s="1">
        <f t="shared" si="784"/>
        <v>0</v>
      </c>
      <c r="Q2993" s="1" t="str">
        <f t="shared" si="781"/>
        <v/>
      </c>
      <c r="R2993" s="1" t="str">
        <f t="shared" si="785"/>
        <v/>
      </c>
      <c r="S2993" s="1">
        <f t="shared" si="786"/>
        <v>630.90240000000244</v>
      </c>
      <c r="T2993" s="1">
        <f t="shared" si="787"/>
        <v>0</v>
      </c>
      <c r="U2993" s="1">
        <f t="shared" si="788"/>
        <v>0</v>
      </c>
      <c r="V2993" s="1">
        <f t="shared" si="789"/>
        <v>0</v>
      </c>
    </row>
    <row r="2994" spans="5:22" x14ac:dyDescent="0.25">
      <c r="E2994" s="4"/>
      <c r="M2994" s="4">
        <f t="shared" si="782"/>
        <v>173.1</v>
      </c>
      <c r="N2994" s="4"/>
      <c r="O2994" s="1">
        <f t="shared" si="783"/>
        <v>173.1</v>
      </c>
      <c r="P2994" s="1">
        <f t="shared" si="784"/>
        <v>0</v>
      </c>
      <c r="Q2994" s="1" t="str">
        <f t="shared" ref="Q2994:Q3057" si="790">IF(H2994&lt;&gt;"",IF(H2994=H2993,"",H2994),IF(H2992="","",MAX(H2993,Q2993)))</f>
        <v/>
      </c>
      <c r="R2994" s="1" t="str">
        <f t="shared" si="785"/>
        <v/>
      </c>
      <c r="S2994" s="1">
        <f t="shared" si="786"/>
        <v>630.90240000000244</v>
      </c>
      <c r="T2994" s="1">
        <f t="shared" si="787"/>
        <v>0</v>
      </c>
      <c r="U2994" s="1">
        <f t="shared" si="788"/>
        <v>0</v>
      </c>
      <c r="V2994" s="1">
        <f t="shared" si="789"/>
        <v>0</v>
      </c>
    </row>
    <row r="2995" spans="5:22" x14ac:dyDescent="0.25">
      <c r="E2995" s="4"/>
      <c r="M2995" s="4">
        <f t="shared" si="782"/>
        <v>173.1</v>
      </c>
      <c r="N2995" s="4"/>
      <c r="O2995" s="1">
        <f t="shared" si="783"/>
        <v>173.1</v>
      </c>
      <c r="P2995" s="1">
        <f t="shared" si="784"/>
        <v>0</v>
      </c>
      <c r="Q2995" s="1" t="str">
        <f t="shared" si="790"/>
        <v/>
      </c>
      <c r="R2995" s="1" t="str">
        <f t="shared" si="785"/>
        <v/>
      </c>
      <c r="S2995" s="1">
        <f t="shared" si="786"/>
        <v>630.90240000000244</v>
      </c>
      <c r="T2995" s="1">
        <f t="shared" si="787"/>
        <v>0</v>
      </c>
      <c r="U2995" s="1">
        <f t="shared" si="788"/>
        <v>0</v>
      </c>
      <c r="V2995" s="1">
        <f t="shared" si="789"/>
        <v>0</v>
      </c>
    </row>
    <row r="2996" spans="5:22" x14ac:dyDescent="0.25">
      <c r="E2996" s="4"/>
      <c r="M2996" s="4">
        <f t="shared" si="782"/>
        <v>173.1</v>
      </c>
      <c r="N2996" s="4"/>
      <c r="O2996" s="1">
        <f t="shared" si="783"/>
        <v>173.1</v>
      </c>
      <c r="P2996" s="1">
        <f t="shared" si="784"/>
        <v>0</v>
      </c>
      <c r="Q2996" s="1" t="str">
        <f t="shared" si="790"/>
        <v/>
      </c>
      <c r="R2996" s="1" t="str">
        <f t="shared" si="785"/>
        <v/>
      </c>
      <c r="S2996" s="1">
        <f t="shared" si="786"/>
        <v>630.90240000000244</v>
      </c>
      <c r="T2996" s="1">
        <f t="shared" si="787"/>
        <v>0</v>
      </c>
      <c r="U2996" s="1">
        <f t="shared" si="788"/>
        <v>0</v>
      </c>
      <c r="V2996" s="1">
        <f t="shared" si="789"/>
        <v>0</v>
      </c>
    </row>
    <row r="2997" spans="5:22" x14ac:dyDescent="0.25">
      <c r="E2997" s="4"/>
      <c r="M2997" s="4">
        <f t="shared" si="782"/>
        <v>173.1</v>
      </c>
      <c r="N2997" s="4"/>
      <c r="O2997" s="1">
        <f t="shared" si="783"/>
        <v>173.1</v>
      </c>
      <c r="P2997" s="1">
        <f t="shared" si="784"/>
        <v>0</v>
      </c>
      <c r="Q2997" s="1" t="str">
        <f t="shared" si="790"/>
        <v/>
      </c>
      <c r="R2997" s="1" t="str">
        <f t="shared" si="785"/>
        <v/>
      </c>
      <c r="S2997" s="1">
        <f t="shared" si="786"/>
        <v>630.90240000000244</v>
      </c>
      <c r="T2997" s="1">
        <f t="shared" si="787"/>
        <v>0</v>
      </c>
      <c r="U2997" s="1">
        <f t="shared" si="788"/>
        <v>0</v>
      </c>
      <c r="V2997" s="1">
        <f t="shared" si="789"/>
        <v>0</v>
      </c>
    </row>
    <row r="2998" spans="5:22" x14ac:dyDescent="0.25">
      <c r="E2998" s="4"/>
      <c r="M2998" s="4">
        <f t="shared" si="782"/>
        <v>173.1</v>
      </c>
      <c r="N2998" s="4"/>
      <c r="O2998" s="1">
        <f t="shared" si="783"/>
        <v>173.1</v>
      </c>
      <c r="P2998" s="1">
        <f t="shared" si="784"/>
        <v>0</v>
      </c>
      <c r="Q2998" s="1" t="str">
        <f t="shared" si="790"/>
        <v/>
      </c>
      <c r="R2998" s="1" t="str">
        <f t="shared" si="785"/>
        <v/>
      </c>
      <c r="S2998" s="1">
        <f t="shared" si="786"/>
        <v>630.90240000000244</v>
      </c>
      <c r="T2998" s="1">
        <f t="shared" si="787"/>
        <v>0</v>
      </c>
      <c r="U2998" s="1">
        <f t="shared" si="788"/>
        <v>0</v>
      </c>
      <c r="V2998" s="1">
        <f t="shared" si="789"/>
        <v>0</v>
      </c>
    </row>
    <row r="2999" spans="5:22" x14ac:dyDescent="0.25">
      <c r="E2999" s="4"/>
      <c r="M2999" s="4">
        <f t="shared" si="782"/>
        <v>173.1</v>
      </c>
      <c r="N2999" s="4"/>
      <c r="O2999" s="1">
        <f t="shared" si="783"/>
        <v>173.1</v>
      </c>
      <c r="P2999" s="1">
        <f t="shared" si="784"/>
        <v>0</v>
      </c>
      <c r="Q2999" s="1" t="str">
        <f t="shared" si="790"/>
        <v/>
      </c>
      <c r="R2999" s="1" t="str">
        <f t="shared" si="785"/>
        <v/>
      </c>
      <c r="S2999" s="1">
        <f t="shared" si="786"/>
        <v>630.90240000000244</v>
      </c>
      <c r="T2999" s="1">
        <f t="shared" si="787"/>
        <v>0</v>
      </c>
      <c r="U2999" s="1">
        <f t="shared" si="788"/>
        <v>0</v>
      </c>
      <c r="V2999" s="1">
        <f t="shared" si="789"/>
        <v>0</v>
      </c>
    </row>
    <row r="3000" spans="5:22" x14ac:dyDescent="0.25">
      <c r="E3000" s="4"/>
      <c r="M3000" s="4">
        <f t="shared" si="782"/>
        <v>173.1</v>
      </c>
      <c r="N3000" s="4"/>
      <c r="O3000" s="1">
        <f t="shared" si="783"/>
        <v>173.1</v>
      </c>
      <c r="P3000" s="1">
        <f t="shared" si="784"/>
        <v>0</v>
      </c>
      <c r="Q3000" s="1" t="str">
        <f t="shared" si="790"/>
        <v/>
      </c>
      <c r="R3000" s="1" t="str">
        <f t="shared" si="785"/>
        <v/>
      </c>
      <c r="S3000" s="1">
        <f t="shared" si="786"/>
        <v>630.90240000000244</v>
      </c>
      <c r="T3000" s="1">
        <f t="shared" si="787"/>
        <v>0</v>
      </c>
      <c r="U3000" s="1">
        <f t="shared" si="788"/>
        <v>0</v>
      </c>
      <c r="V3000" s="1">
        <f t="shared" si="789"/>
        <v>0</v>
      </c>
    </row>
    <row r="3001" spans="5:22" x14ac:dyDescent="0.25">
      <c r="E3001" s="4"/>
      <c r="M3001" s="4">
        <f t="shared" si="782"/>
        <v>173.1</v>
      </c>
      <c r="N3001" s="4"/>
      <c r="O3001" s="1">
        <f t="shared" si="783"/>
        <v>173.1</v>
      </c>
      <c r="P3001" s="1">
        <f t="shared" si="784"/>
        <v>0</v>
      </c>
      <c r="Q3001" s="1" t="str">
        <f t="shared" si="790"/>
        <v/>
      </c>
      <c r="R3001" s="1" t="str">
        <f t="shared" si="785"/>
        <v/>
      </c>
      <c r="S3001" s="1">
        <f t="shared" si="786"/>
        <v>630.90240000000244</v>
      </c>
      <c r="T3001" s="1">
        <f t="shared" si="787"/>
        <v>0</v>
      </c>
      <c r="U3001" s="1">
        <f t="shared" si="788"/>
        <v>0</v>
      </c>
      <c r="V3001" s="1">
        <f t="shared" si="789"/>
        <v>0</v>
      </c>
    </row>
    <row r="3002" spans="5:22" x14ac:dyDescent="0.25">
      <c r="E3002" s="4"/>
      <c r="M3002" s="4">
        <f t="shared" si="782"/>
        <v>173.1</v>
      </c>
      <c r="N3002" s="4"/>
      <c r="O3002" s="1">
        <f t="shared" si="783"/>
        <v>173.1</v>
      </c>
      <c r="P3002" s="1">
        <f t="shared" si="784"/>
        <v>0</v>
      </c>
      <c r="Q3002" s="1" t="str">
        <f t="shared" si="790"/>
        <v/>
      </c>
      <c r="R3002" s="1" t="str">
        <f t="shared" si="785"/>
        <v/>
      </c>
      <c r="S3002" s="1">
        <f t="shared" si="786"/>
        <v>630.90240000000244</v>
      </c>
      <c r="T3002" s="1">
        <f t="shared" si="787"/>
        <v>0</v>
      </c>
      <c r="U3002" s="1">
        <f t="shared" si="788"/>
        <v>0</v>
      </c>
      <c r="V3002" s="1">
        <f t="shared" si="789"/>
        <v>0</v>
      </c>
    </row>
    <row r="3003" spans="5:22" x14ac:dyDescent="0.25">
      <c r="E3003" s="4"/>
      <c r="M3003" s="4">
        <f t="shared" si="782"/>
        <v>173.1</v>
      </c>
      <c r="N3003" s="4"/>
      <c r="O3003" s="1">
        <f t="shared" si="783"/>
        <v>173.1</v>
      </c>
      <c r="P3003" s="1">
        <f t="shared" si="784"/>
        <v>0</v>
      </c>
      <c r="Q3003" s="1" t="str">
        <f t="shared" si="790"/>
        <v/>
      </c>
      <c r="R3003" s="1" t="str">
        <f t="shared" si="785"/>
        <v/>
      </c>
      <c r="S3003" s="1">
        <f t="shared" si="786"/>
        <v>630.90240000000244</v>
      </c>
      <c r="T3003" s="1">
        <f t="shared" si="787"/>
        <v>0</v>
      </c>
      <c r="U3003" s="1">
        <f t="shared" si="788"/>
        <v>0</v>
      </c>
      <c r="V3003" s="1">
        <f t="shared" si="789"/>
        <v>0</v>
      </c>
    </row>
    <row r="3004" spans="5:22" x14ac:dyDescent="0.25">
      <c r="E3004" s="4"/>
      <c r="M3004" s="4">
        <f t="shared" si="782"/>
        <v>173.1</v>
      </c>
      <c r="N3004" s="4"/>
      <c r="O3004" s="1">
        <f t="shared" si="783"/>
        <v>173.1</v>
      </c>
      <c r="P3004" s="1">
        <f t="shared" si="784"/>
        <v>0</v>
      </c>
      <c r="Q3004" s="1" t="str">
        <f t="shared" si="790"/>
        <v/>
      </c>
      <c r="R3004" s="1" t="str">
        <f t="shared" si="785"/>
        <v/>
      </c>
      <c r="S3004" s="1">
        <f t="shared" si="786"/>
        <v>630.90240000000244</v>
      </c>
      <c r="T3004" s="1">
        <f t="shared" si="787"/>
        <v>0</v>
      </c>
      <c r="U3004" s="1">
        <f t="shared" si="788"/>
        <v>0</v>
      </c>
      <c r="V3004" s="1">
        <f t="shared" si="789"/>
        <v>0</v>
      </c>
    </row>
    <row r="3005" spans="5:22" x14ac:dyDescent="0.25">
      <c r="E3005" s="4"/>
      <c r="M3005" s="4">
        <f t="shared" si="782"/>
        <v>173.1</v>
      </c>
      <c r="N3005" s="4"/>
      <c r="O3005" s="1">
        <f t="shared" si="783"/>
        <v>173.1</v>
      </c>
      <c r="P3005" s="1">
        <f t="shared" si="784"/>
        <v>0</v>
      </c>
      <c r="Q3005" s="1" t="str">
        <f t="shared" si="790"/>
        <v/>
      </c>
      <c r="R3005" s="1" t="str">
        <f t="shared" si="785"/>
        <v/>
      </c>
      <c r="S3005" s="1">
        <f t="shared" si="786"/>
        <v>630.90240000000244</v>
      </c>
      <c r="T3005" s="1">
        <f t="shared" si="787"/>
        <v>0</v>
      </c>
      <c r="U3005" s="1">
        <f t="shared" si="788"/>
        <v>0</v>
      </c>
      <c r="V3005" s="1">
        <f t="shared" si="789"/>
        <v>0</v>
      </c>
    </row>
    <row r="3006" spans="5:22" x14ac:dyDescent="0.25">
      <c r="E3006" s="4"/>
      <c r="M3006" s="4">
        <f t="shared" si="782"/>
        <v>173.1</v>
      </c>
      <c r="N3006" s="4"/>
      <c r="O3006" s="1">
        <f t="shared" si="783"/>
        <v>173.1</v>
      </c>
      <c r="P3006" s="1">
        <f t="shared" si="784"/>
        <v>0</v>
      </c>
      <c r="Q3006" s="1" t="str">
        <f t="shared" si="790"/>
        <v/>
      </c>
      <c r="R3006" s="1" t="str">
        <f t="shared" si="785"/>
        <v/>
      </c>
      <c r="S3006" s="1">
        <f t="shared" si="786"/>
        <v>630.90240000000244</v>
      </c>
      <c r="T3006" s="1">
        <f t="shared" si="787"/>
        <v>0</v>
      </c>
      <c r="U3006" s="1">
        <f t="shared" si="788"/>
        <v>0</v>
      </c>
      <c r="V3006" s="1">
        <f t="shared" si="789"/>
        <v>0</v>
      </c>
    </row>
    <row r="3007" spans="5:22" x14ac:dyDescent="0.25">
      <c r="E3007" s="4"/>
      <c r="M3007" s="4">
        <f t="shared" si="782"/>
        <v>173.1</v>
      </c>
      <c r="N3007" s="4"/>
      <c r="O3007" s="1">
        <f t="shared" si="783"/>
        <v>173.1</v>
      </c>
      <c r="P3007" s="1">
        <f t="shared" si="784"/>
        <v>0</v>
      </c>
      <c r="Q3007" s="1" t="str">
        <f t="shared" si="790"/>
        <v/>
      </c>
      <c r="R3007" s="1" t="str">
        <f t="shared" si="785"/>
        <v/>
      </c>
      <c r="S3007" s="1">
        <f t="shared" si="786"/>
        <v>630.90240000000244</v>
      </c>
      <c r="T3007" s="1">
        <f t="shared" si="787"/>
        <v>0</v>
      </c>
      <c r="U3007" s="1">
        <f t="shared" si="788"/>
        <v>0</v>
      </c>
      <c r="V3007" s="1">
        <f t="shared" si="789"/>
        <v>0</v>
      </c>
    </row>
    <row r="3008" spans="5:22" x14ac:dyDescent="0.25">
      <c r="E3008" s="4"/>
      <c r="M3008" s="4">
        <f t="shared" si="782"/>
        <v>173.1</v>
      </c>
      <c r="N3008" s="4"/>
      <c r="O3008" s="1">
        <f t="shared" si="783"/>
        <v>173.1</v>
      </c>
      <c r="P3008" s="1">
        <f t="shared" si="784"/>
        <v>0</v>
      </c>
      <c r="Q3008" s="1" t="str">
        <f t="shared" si="790"/>
        <v/>
      </c>
      <c r="R3008" s="1" t="str">
        <f t="shared" si="785"/>
        <v/>
      </c>
      <c r="S3008" s="1">
        <f t="shared" si="786"/>
        <v>630.90240000000244</v>
      </c>
      <c r="T3008" s="1">
        <f t="shared" si="787"/>
        <v>0</v>
      </c>
      <c r="U3008" s="1">
        <f t="shared" si="788"/>
        <v>0</v>
      </c>
      <c r="V3008" s="1">
        <f t="shared" si="789"/>
        <v>0</v>
      </c>
    </row>
    <row r="3009" spans="5:22" x14ac:dyDescent="0.25">
      <c r="E3009" s="4"/>
      <c r="M3009" s="4">
        <f t="shared" si="782"/>
        <v>173.1</v>
      </c>
      <c r="N3009" s="4"/>
      <c r="O3009" s="1">
        <f t="shared" si="783"/>
        <v>173.1</v>
      </c>
      <c r="P3009" s="1">
        <f t="shared" si="784"/>
        <v>0</v>
      </c>
      <c r="Q3009" s="1" t="str">
        <f t="shared" si="790"/>
        <v/>
      </c>
      <c r="R3009" s="1" t="str">
        <f t="shared" si="785"/>
        <v/>
      </c>
      <c r="S3009" s="1">
        <f t="shared" si="786"/>
        <v>630.90240000000244</v>
      </c>
      <c r="T3009" s="1">
        <f t="shared" si="787"/>
        <v>0</v>
      </c>
      <c r="U3009" s="1">
        <f t="shared" si="788"/>
        <v>0</v>
      </c>
      <c r="V3009" s="1">
        <f t="shared" si="789"/>
        <v>0</v>
      </c>
    </row>
    <row r="3010" spans="5:22" x14ac:dyDescent="0.25">
      <c r="E3010" s="4"/>
      <c r="M3010" s="4">
        <f t="shared" si="782"/>
        <v>173.1</v>
      </c>
      <c r="N3010" s="4"/>
      <c r="O3010" s="1">
        <f t="shared" si="783"/>
        <v>173.1</v>
      </c>
      <c r="P3010" s="1">
        <f t="shared" si="784"/>
        <v>0</v>
      </c>
      <c r="Q3010" s="1" t="str">
        <f t="shared" si="790"/>
        <v/>
      </c>
      <c r="R3010" s="1" t="str">
        <f t="shared" si="785"/>
        <v/>
      </c>
      <c r="S3010" s="1">
        <f t="shared" si="786"/>
        <v>630.90240000000244</v>
      </c>
      <c r="T3010" s="1">
        <f t="shared" si="787"/>
        <v>0</v>
      </c>
      <c r="U3010" s="1">
        <f t="shared" si="788"/>
        <v>0</v>
      </c>
      <c r="V3010" s="1">
        <f t="shared" si="789"/>
        <v>0</v>
      </c>
    </row>
    <row r="3011" spans="5:22" x14ac:dyDescent="0.25">
      <c r="E3011" s="4"/>
      <c r="M3011" s="4">
        <f t="shared" si="782"/>
        <v>173.1</v>
      </c>
      <c r="N3011" s="4"/>
      <c r="O3011" s="1">
        <f t="shared" si="783"/>
        <v>173.1</v>
      </c>
      <c r="P3011" s="1">
        <f t="shared" si="784"/>
        <v>0</v>
      </c>
      <c r="Q3011" s="1" t="str">
        <f t="shared" si="790"/>
        <v/>
      </c>
      <c r="R3011" s="1" t="str">
        <f t="shared" si="785"/>
        <v/>
      </c>
      <c r="S3011" s="1">
        <f t="shared" si="786"/>
        <v>630.90240000000244</v>
      </c>
      <c r="T3011" s="1">
        <f t="shared" si="787"/>
        <v>0</v>
      </c>
      <c r="U3011" s="1">
        <f t="shared" si="788"/>
        <v>0</v>
      </c>
      <c r="V3011" s="1">
        <f t="shared" si="789"/>
        <v>0</v>
      </c>
    </row>
    <row r="3012" spans="5:22" x14ac:dyDescent="0.25">
      <c r="E3012" s="4"/>
      <c r="M3012" s="4">
        <f t="shared" si="782"/>
        <v>173.1</v>
      </c>
      <c r="N3012" s="4"/>
      <c r="O3012" s="1">
        <f t="shared" si="783"/>
        <v>173.1</v>
      </c>
      <c r="P3012" s="1">
        <f t="shared" si="784"/>
        <v>0</v>
      </c>
      <c r="Q3012" s="1" t="str">
        <f t="shared" si="790"/>
        <v/>
      </c>
      <c r="R3012" s="1" t="str">
        <f t="shared" si="785"/>
        <v/>
      </c>
      <c r="S3012" s="1">
        <f t="shared" si="786"/>
        <v>630.90240000000244</v>
      </c>
      <c r="T3012" s="1">
        <f t="shared" si="787"/>
        <v>0</v>
      </c>
      <c r="U3012" s="1">
        <f t="shared" si="788"/>
        <v>0</v>
      </c>
      <c r="V3012" s="1">
        <f t="shared" si="789"/>
        <v>0</v>
      </c>
    </row>
    <row r="3013" spans="5:22" x14ac:dyDescent="0.25">
      <c r="E3013" s="4"/>
      <c r="M3013" s="4">
        <f t="shared" si="782"/>
        <v>173.1</v>
      </c>
      <c r="N3013" s="4"/>
      <c r="O3013" s="1">
        <f t="shared" si="783"/>
        <v>173.1</v>
      </c>
      <c r="P3013" s="1">
        <f t="shared" si="784"/>
        <v>0</v>
      </c>
      <c r="Q3013" s="1" t="str">
        <f t="shared" si="790"/>
        <v/>
      </c>
      <c r="R3013" s="1" t="str">
        <f t="shared" si="785"/>
        <v/>
      </c>
      <c r="S3013" s="1">
        <f t="shared" si="786"/>
        <v>630.90240000000244</v>
      </c>
      <c r="T3013" s="1">
        <f t="shared" si="787"/>
        <v>0</v>
      </c>
      <c r="U3013" s="1">
        <f t="shared" si="788"/>
        <v>0</v>
      </c>
      <c r="V3013" s="1">
        <f t="shared" si="789"/>
        <v>0</v>
      </c>
    </row>
    <row r="3014" spans="5:22" x14ac:dyDescent="0.25">
      <c r="E3014" s="4"/>
      <c r="M3014" s="4">
        <f t="shared" si="782"/>
        <v>173.1</v>
      </c>
      <c r="N3014" s="4"/>
      <c r="O3014" s="1">
        <f t="shared" si="783"/>
        <v>173.1</v>
      </c>
      <c r="P3014" s="1">
        <f t="shared" si="784"/>
        <v>0</v>
      </c>
      <c r="Q3014" s="1" t="str">
        <f t="shared" si="790"/>
        <v/>
      </c>
      <c r="R3014" s="1" t="str">
        <f t="shared" si="785"/>
        <v/>
      </c>
      <c r="S3014" s="1">
        <f t="shared" si="786"/>
        <v>630.90240000000244</v>
      </c>
      <c r="T3014" s="1">
        <f t="shared" si="787"/>
        <v>0</v>
      </c>
      <c r="U3014" s="1">
        <f t="shared" si="788"/>
        <v>0</v>
      </c>
      <c r="V3014" s="1">
        <f t="shared" si="789"/>
        <v>0</v>
      </c>
    </row>
    <row r="3015" spans="5:22" x14ac:dyDescent="0.25">
      <c r="E3015" s="4"/>
      <c r="M3015" s="4">
        <f t="shared" si="782"/>
        <v>173.1</v>
      </c>
      <c r="N3015" s="4"/>
      <c r="O3015" s="1">
        <f t="shared" si="783"/>
        <v>173.1</v>
      </c>
      <c r="P3015" s="1">
        <f t="shared" si="784"/>
        <v>0</v>
      </c>
      <c r="Q3015" s="1" t="str">
        <f t="shared" si="790"/>
        <v/>
      </c>
      <c r="R3015" s="1" t="str">
        <f t="shared" si="785"/>
        <v/>
      </c>
      <c r="S3015" s="1">
        <f t="shared" si="786"/>
        <v>630.90240000000244</v>
      </c>
      <c r="T3015" s="1">
        <f t="shared" si="787"/>
        <v>0</v>
      </c>
      <c r="U3015" s="1">
        <f t="shared" si="788"/>
        <v>0</v>
      </c>
      <c r="V3015" s="1">
        <f t="shared" si="789"/>
        <v>0</v>
      </c>
    </row>
    <row r="3016" spans="5:22" x14ac:dyDescent="0.25">
      <c r="E3016" s="4"/>
      <c r="M3016" s="4">
        <f t="shared" ref="M3016:M3079" si="791">E3016+M3015</f>
        <v>173.1</v>
      </c>
      <c r="N3016" s="4"/>
      <c r="O3016" s="1">
        <f t="shared" ref="O3016:O3079" si="792">E3015+O3015</f>
        <v>173.1</v>
      </c>
      <c r="P3016" s="1">
        <f t="shared" ref="P3016:P3079" si="793">F3016*52.8*E3016</f>
        <v>0</v>
      </c>
      <c r="Q3016" s="1" t="str">
        <f t="shared" si="790"/>
        <v/>
      </c>
      <c r="R3016" s="1" t="str">
        <f t="shared" ref="R3016:R3079" si="794">IF(I3016="",Q3016,IF(AND(H3016=H3015,I3016=I3015),"",I3016))</f>
        <v/>
      </c>
      <c r="S3016" s="1">
        <f t="shared" ref="S3016:S3079" si="795">S3015+U3015*T3015/100</f>
        <v>630.90240000000244</v>
      </c>
      <c r="T3016" s="1">
        <f t="shared" ref="T3016:T3079" si="796">IF(G3016="UNK",0,G3016)</f>
        <v>0</v>
      </c>
      <c r="U3016" s="1">
        <f t="shared" ref="U3016:U3079" si="797">E3016*5280</f>
        <v>0</v>
      </c>
      <c r="V3016" s="1">
        <f t="shared" ref="V3016:V3079" si="798">ABS(T3016*U3016)</f>
        <v>0</v>
      </c>
    </row>
    <row r="3017" spans="5:22" x14ac:dyDescent="0.25">
      <c r="E3017" s="4"/>
      <c r="M3017" s="4">
        <f t="shared" si="791"/>
        <v>173.1</v>
      </c>
      <c r="N3017" s="4"/>
      <c r="O3017" s="1">
        <f t="shared" si="792"/>
        <v>173.1</v>
      </c>
      <c r="P3017" s="1">
        <f t="shared" si="793"/>
        <v>0</v>
      </c>
      <c r="Q3017" s="1" t="str">
        <f t="shared" si="790"/>
        <v/>
      </c>
      <c r="R3017" s="1" t="str">
        <f t="shared" si="794"/>
        <v/>
      </c>
      <c r="S3017" s="1">
        <f t="shared" si="795"/>
        <v>630.90240000000244</v>
      </c>
      <c r="T3017" s="1">
        <f t="shared" si="796"/>
        <v>0</v>
      </c>
      <c r="U3017" s="1">
        <f t="shared" si="797"/>
        <v>0</v>
      </c>
      <c r="V3017" s="1">
        <f t="shared" si="798"/>
        <v>0</v>
      </c>
    </row>
    <row r="3018" spans="5:22" x14ac:dyDescent="0.25">
      <c r="E3018" s="4"/>
      <c r="M3018" s="4">
        <f t="shared" si="791"/>
        <v>173.1</v>
      </c>
      <c r="N3018" s="4"/>
      <c r="O3018" s="1">
        <f t="shared" si="792"/>
        <v>173.1</v>
      </c>
      <c r="P3018" s="1">
        <f t="shared" si="793"/>
        <v>0</v>
      </c>
      <c r="Q3018" s="1" t="str">
        <f t="shared" si="790"/>
        <v/>
      </c>
      <c r="R3018" s="1" t="str">
        <f t="shared" si="794"/>
        <v/>
      </c>
      <c r="S3018" s="1">
        <f t="shared" si="795"/>
        <v>630.90240000000244</v>
      </c>
      <c r="T3018" s="1">
        <f t="shared" si="796"/>
        <v>0</v>
      </c>
      <c r="U3018" s="1">
        <f t="shared" si="797"/>
        <v>0</v>
      </c>
      <c r="V3018" s="1">
        <f t="shared" si="798"/>
        <v>0</v>
      </c>
    </row>
    <row r="3019" spans="5:22" x14ac:dyDescent="0.25">
      <c r="E3019" s="4"/>
      <c r="M3019" s="4">
        <f t="shared" si="791"/>
        <v>173.1</v>
      </c>
      <c r="N3019" s="4"/>
      <c r="O3019" s="1">
        <f t="shared" si="792"/>
        <v>173.1</v>
      </c>
      <c r="P3019" s="1">
        <f t="shared" si="793"/>
        <v>0</v>
      </c>
      <c r="Q3019" s="1" t="str">
        <f t="shared" si="790"/>
        <v/>
      </c>
      <c r="R3019" s="1" t="str">
        <f t="shared" si="794"/>
        <v/>
      </c>
      <c r="S3019" s="1">
        <f t="shared" si="795"/>
        <v>630.90240000000244</v>
      </c>
      <c r="T3019" s="1">
        <f t="shared" si="796"/>
        <v>0</v>
      </c>
      <c r="U3019" s="1">
        <f t="shared" si="797"/>
        <v>0</v>
      </c>
      <c r="V3019" s="1">
        <f t="shared" si="798"/>
        <v>0</v>
      </c>
    </row>
    <row r="3020" spans="5:22" x14ac:dyDescent="0.25">
      <c r="E3020" s="4"/>
      <c r="M3020" s="4">
        <f t="shared" si="791"/>
        <v>173.1</v>
      </c>
      <c r="N3020" s="4"/>
      <c r="O3020" s="1">
        <f t="shared" si="792"/>
        <v>173.1</v>
      </c>
      <c r="P3020" s="1">
        <f t="shared" si="793"/>
        <v>0</v>
      </c>
      <c r="Q3020" s="1" t="str">
        <f t="shared" si="790"/>
        <v/>
      </c>
      <c r="R3020" s="1" t="str">
        <f t="shared" si="794"/>
        <v/>
      </c>
      <c r="S3020" s="1">
        <f t="shared" si="795"/>
        <v>630.90240000000244</v>
      </c>
      <c r="T3020" s="1">
        <f t="shared" si="796"/>
        <v>0</v>
      </c>
      <c r="U3020" s="1">
        <f t="shared" si="797"/>
        <v>0</v>
      </c>
      <c r="V3020" s="1">
        <f t="shared" si="798"/>
        <v>0</v>
      </c>
    </row>
    <row r="3021" spans="5:22" x14ac:dyDescent="0.25">
      <c r="E3021" s="4"/>
      <c r="M3021" s="4">
        <f t="shared" si="791"/>
        <v>173.1</v>
      </c>
      <c r="N3021" s="4"/>
      <c r="O3021" s="1">
        <f t="shared" si="792"/>
        <v>173.1</v>
      </c>
      <c r="P3021" s="1">
        <f t="shared" si="793"/>
        <v>0</v>
      </c>
      <c r="Q3021" s="1" t="str">
        <f t="shared" si="790"/>
        <v/>
      </c>
      <c r="R3021" s="1" t="str">
        <f t="shared" si="794"/>
        <v/>
      </c>
      <c r="S3021" s="1">
        <f t="shared" si="795"/>
        <v>630.90240000000244</v>
      </c>
      <c r="T3021" s="1">
        <f t="shared" si="796"/>
        <v>0</v>
      </c>
      <c r="U3021" s="1">
        <f t="shared" si="797"/>
        <v>0</v>
      </c>
      <c r="V3021" s="1">
        <f t="shared" si="798"/>
        <v>0</v>
      </c>
    </row>
    <row r="3022" spans="5:22" x14ac:dyDescent="0.25">
      <c r="E3022" s="4"/>
      <c r="M3022" s="4">
        <f t="shared" si="791"/>
        <v>173.1</v>
      </c>
      <c r="N3022" s="4"/>
      <c r="O3022" s="1">
        <f t="shared" si="792"/>
        <v>173.1</v>
      </c>
      <c r="P3022" s="1">
        <f t="shared" si="793"/>
        <v>0</v>
      </c>
      <c r="Q3022" s="1" t="str">
        <f t="shared" si="790"/>
        <v/>
      </c>
      <c r="R3022" s="1" t="str">
        <f t="shared" si="794"/>
        <v/>
      </c>
      <c r="S3022" s="1">
        <f t="shared" si="795"/>
        <v>630.90240000000244</v>
      </c>
      <c r="T3022" s="1">
        <f t="shared" si="796"/>
        <v>0</v>
      </c>
      <c r="U3022" s="1">
        <f t="shared" si="797"/>
        <v>0</v>
      </c>
      <c r="V3022" s="1">
        <f t="shared" si="798"/>
        <v>0</v>
      </c>
    </row>
    <row r="3023" spans="5:22" x14ac:dyDescent="0.25">
      <c r="E3023" s="4"/>
      <c r="M3023" s="4">
        <f t="shared" si="791"/>
        <v>173.1</v>
      </c>
      <c r="N3023" s="4"/>
      <c r="O3023" s="1">
        <f t="shared" si="792"/>
        <v>173.1</v>
      </c>
      <c r="P3023" s="1">
        <f t="shared" si="793"/>
        <v>0</v>
      </c>
      <c r="Q3023" s="1" t="str">
        <f t="shared" si="790"/>
        <v/>
      </c>
      <c r="R3023" s="1" t="str">
        <f t="shared" si="794"/>
        <v/>
      </c>
      <c r="S3023" s="1">
        <f t="shared" si="795"/>
        <v>630.90240000000244</v>
      </c>
      <c r="T3023" s="1">
        <f t="shared" si="796"/>
        <v>0</v>
      </c>
      <c r="U3023" s="1">
        <f t="shared" si="797"/>
        <v>0</v>
      </c>
      <c r="V3023" s="1">
        <f t="shared" si="798"/>
        <v>0</v>
      </c>
    </row>
    <row r="3024" spans="5:22" x14ac:dyDescent="0.25">
      <c r="E3024" s="4"/>
      <c r="M3024" s="4">
        <f t="shared" si="791"/>
        <v>173.1</v>
      </c>
      <c r="N3024" s="4"/>
      <c r="O3024" s="1">
        <f t="shared" si="792"/>
        <v>173.1</v>
      </c>
      <c r="P3024" s="1">
        <f t="shared" si="793"/>
        <v>0</v>
      </c>
      <c r="Q3024" s="1" t="str">
        <f t="shared" si="790"/>
        <v/>
      </c>
      <c r="R3024" s="1" t="str">
        <f t="shared" si="794"/>
        <v/>
      </c>
      <c r="S3024" s="1">
        <f t="shared" si="795"/>
        <v>630.90240000000244</v>
      </c>
      <c r="T3024" s="1">
        <f t="shared" si="796"/>
        <v>0</v>
      </c>
      <c r="U3024" s="1">
        <f t="shared" si="797"/>
        <v>0</v>
      </c>
      <c r="V3024" s="1">
        <f t="shared" si="798"/>
        <v>0</v>
      </c>
    </row>
    <row r="3025" spans="5:22" x14ac:dyDescent="0.25">
      <c r="E3025" s="4"/>
      <c r="M3025" s="4">
        <f t="shared" si="791"/>
        <v>173.1</v>
      </c>
      <c r="N3025" s="4"/>
      <c r="O3025" s="1">
        <f t="shared" si="792"/>
        <v>173.1</v>
      </c>
      <c r="P3025" s="1">
        <f t="shared" si="793"/>
        <v>0</v>
      </c>
      <c r="Q3025" s="1" t="str">
        <f t="shared" si="790"/>
        <v/>
      </c>
      <c r="R3025" s="1" t="str">
        <f t="shared" si="794"/>
        <v/>
      </c>
      <c r="S3025" s="1">
        <f t="shared" si="795"/>
        <v>630.90240000000244</v>
      </c>
      <c r="T3025" s="1">
        <f t="shared" si="796"/>
        <v>0</v>
      </c>
      <c r="U3025" s="1">
        <f t="shared" si="797"/>
        <v>0</v>
      </c>
      <c r="V3025" s="1">
        <f t="shared" si="798"/>
        <v>0</v>
      </c>
    </row>
    <row r="3026" spans="5:22" x14ac:dyDescent="0.25">
      <c r="E3026" s="4"/>
      <c r="M3026" s="4">
        <f t="shared" si="791"/>
        <v>173.1</v>
      </c>
      <c r="N3026" s="4"/>
      <c r="O3026" s="1">
        <f t="shared" si="792"/>
        <v>173.1</v>
      </c>
      <c r="P3026" s="1">
        <f t="shared" si="793"/>
        <v>0</v>
      </c>
      <c r="Q3026" s="1" t="str">
        <f t="shared" si="790"/>
        <v/>
      </c>
      <c r="R3026" s="1" t="str">
        <f t="shared" si="794"/>
        <v/>
      </c>
      <c r="S3026" s="1">
        <f t="shared" si="795"/>
        <v>630.90240000000244</v>
      </c>
      <c r="T3026" s="1">
        <f t="shared" si="796"/>
        <v>0</v>
      </c>
      <c r="U3026" s="1">
        <f t="shared" si="797"/>
        <v>0</v>
      </c>
      <c r="V3026" s="1">
        <f t="shared" si="798"/>
        <v>0</v>
      </c>
    </row>
    <row r="3027" spans="5:22" x14ac:dyDescent="0.25">
      <c r="E3027" s="4"/>
      <c r="M3027" s="4">
        <f t="shared" si="791"/>
        <v>173.1</v>
      </c>
      <c r="N3027" s="4"/>
      <c r="O3027" s="1">
        <f t="shared" si="792"/>
        <v>173.1</v>
      </c>
      <c r="P3027" s="1">
        <f t="shared" si="793"/>
        <v>0</v>
      </c>
      <c r="Q3027" s="1" t="str">
        <f t="shared" si="790"/>
        <v/>
      </c>
      <c r="R3027" s="1" t="str">
        <f t="shared" si="794"/>
        <v/>
      </c>
      <c r="S3027" s="1">
        <f t="shared" si="795"/>
        <v>630.90240000000244</v>
      </c>
      <c r="T3027" s="1">
        <f t="shared" si="796"/>
        <v>0</v>
      </c>
      <c r="U3027" s="1">
        <f t="shared" si="797"/>
        <v>0</v>
      </c>
      <c r="V3027" s="1">
        <f t="shared" si="798"/>
        <v>0</v>
      </c>
    </row>
    <row r="3028" spans="5:22" x14ac:dyDescent="0.25">
      <c r="E3028" s="4"/>
      <c r="M3028" s="4">
        <f t="shared" si="791"/>
        <v>173.1</v>
      </c>
      <c r="N3028" s="4"/>
      <c r="O3028" s="1">
        <f t="shared" si="792"/>
        <v>173.1</v>
      </c>
      <c r="P3028" s="1">
        <f t="shared" si="793"/>
        <v>0</v>
      </c>
      <c r="Q3028" s="1" t="str">
        <f t="shared" si="790"/>
        <v/>
      </c>
      <c r="R3028" s="1" t="str">
        <f t="shared" si="794"/>
        <v/>
      </c>
      <c r="S3028" s="1">
        <f t="shared" si="795"/>
        <v>630.90240000000244</v>
      </c>
      <c r="T3028" s="1">
        <f t="shared" si="796"/>
        <v>0</v>
      </c>
      <c r="U3028" s="1">
        <f t="shared" si="797"/>
        <v>0</v>
      </c>
      <c r="V3028" s="1">
        <f t="shared" si="798"/>
        <v>0</v>
      </c>
    </row>
    <row r="3029" spans="5:22" x14ac:dyDescent="0.25">
      <c r="E3029" s="4"/>
      <c r="M3029" s="4">
        <f t="shared" si="791"/>
        <v>173.1</v>
      </c>
      <c r="N3029" s="4"/>
      <c r="O3029" s="1">
        <f t="shared" si="792"/>
        <v>173.1</v>
      </c>
      <c r="P3029" s="1">
        <f t="shared" si="793"/>
        <v>0</v>
      </c>
      <c r="Q3029" s="1" t="str">
        <f t="shared" si="790"/>
        <v/>
      </c>
      <c r="R3029" s="1" t="str">
        <f t="shared" si="794"/>
        <v/>
      </c>
      <c r="S3029" s="1">
        <f t="shared" si="795"/>
        <v>630.90240000000244</v>
      </c>
      <c r="T3029" s="1">
        <f t="shared" si="796"/>
        <v>0</v>
      </c>
      <c r="U3029" s="1">
        <f t="shared" si="797"/>
        <v>0</v>
      </c>
      <c r="V3029" s="1">
        <f t="shared" si="798"/>
        <v>0</v>
      </c>
    </row>
    <row r="3030" spans="5:22" x14ac:dyDescent="0.25">
      <c r="E3030" s="4"/>
      <c r="M3030" s="4">
        <f t="shared" si="791"/>
        <v>173.1</v>
      </c>
      <c r="N3030" s="4"/>
      <c r="O3030" s="1">
        <f t="shared" si="792"/>
        <v>173.1</v>
      </c>
      <c r="P3030" s="1">
        <f t="shared" si="793"/>
        <v>0</v>
      </c>
      <c r="Q3030" s="1" t="str">
        <f t="shared" si="790"/>
        <v/>
      </c>
      <c r="R3030" s="1" t="str">
        <f t="shared" si="794"/>
        <v/>
      </c>
      <c r="S3030" s="1">
        <f t="shared" si="795"/>
        <v>630.90240000000244</v>
      </c>
      <c r="T3030" s="1">
        <f t="shared" si="796"/>
        <v>0</v>
      </c>
      <c r="U3030" s="1">
        <f t="shared" si="797"/>
        <v>0</v>
      </c>
      <c r="V3030" s="1">
        <f t="shared" si="798"/>
        <v>0</v>
      </c>
    </row>
    <row r="3031" spans="5:22" x14ac:dyDescent="0.25">
      <c r="E3031" s="4"/>
      <c r="M3031" s="4">
        <f t="shared" si="791"/>
        <v>173.1</v>
      </c>
      <c r="N3031" s="4"/>
      <c r="O3031" s="1">
        <f t="shared" si="792"/>
        <v>173.1</v>
      </c>
      <c r="P3031" s="1">
        <f t="shared" si="793"/>
        <v>0</v>
      </c>
      <c r="Q3031" s="1" t="str">
        <f t="shared" si="790"/>
        <v/>
      </c>
      <c r="R3031" s="1" t="str">
        <f t="shared" si="794"/>
        <v/>
      </c>
      <c r="S3031" s="1">
        <f t="shared" si="795"/>
        <v>630.90240000000244</v>
      </c>
      <c r="T3031" s="1">
        <f t="shared" si="796"/>
        <v>0</v>
      </c>
      <c r="U3031" s="1">
        <f t="shared" si="797"/>
        <v>0</v>
      </c>
      <c r="V3031" s="1">
        <f t="shared" si="798"/>
        <v>0</v>
      </c>
    </row>
    <row r="3032" spans="5:22" x14ac:dyDescent="0.25">
      <c r="E3032" s="4"/>
      <c r="M3032" s="4">
        <f t="shared" si="791"/>
        <v>173.1</v>
      </c>
      <c r="N3032" s="4"/>
      <c r="O3032" s="1">
        <f t="shared" si="792"/>
        <v>173.1</v>
      </c>
      <c r="P3032" s="1">
        <f t="shared" si="793"/>
        <v>0</v>
      </c>
      <c r="Q3032" s="1" t="str">
        <f t="shared" si="790"/>
        <v/>
      </c>
      <c r="R3032" s="1" t="str">
        <f t="shared" si="794"/>
        <v/>
      </c>
      <c r="S3032" s="1">
        <f t="shared" si="795"/>
        <v>630.90240000000244</v>
      </c>
      <c r="T3032" s="1">
        <f t="shared" si="796"/>
        <v>0</v>
      </c>
      <c r="U3032" s="1">
        <f t="shared" si="797"/>
        <v>0</v>
      </c>
      <c r="V3032" s="1">
        <f t="shared" si="798"/>
        <v>0</v>
      </c>
    </row>
    <row r="3033" spans="5:22" x14ac:dyDescent="0.25">
      <c r="E3033" s="4"/>
      <c r="M3033" s="4">
        <f t="shared" si="791"/>
        <v>173.1</v>
      </c>
      <c r="N3033" s="4"/>
      <c r="O3033" s="1">
        <f t="shared" si="792"/>
        <v>173.1</v>
      </c>
      <c r="P3033" s="1">
        <f t="shared" si="793"/>
        <v>0</v>
      </c>
      <c r="Q3033" s="1" t="str">
        <f t="shared" si="790"/>
        <v/>
      </c>
      <c r="R3033" s="1" t="str">
        <f t="shared" si="794"/>
        <v/>
      </c>
      <c r="S3033" s="1">
        <f t="shared" si="795"/>
        <v>630.90240000000244</v>
      </c>
      <c r="T3033" s="1">
        <f t="shared" si="796"/>
        <v>0</v>
      </c>
      <c r="U3033" s="1">
        <f t="shared" si="797"/>
        <v>0</v>
      </c>
      <c r="V3033" s="1">
        <f t="shared" si="798"/>
        <v>0</v>
      </c>
    </row>
    <row r="3034" spans="5:22" x14ac:dyDescent="0.25">
      <c r="E3034" s="4"/>
      <c r="M3034" s="4">
        <f t="shared" si="791"/>
        <v>173.1</v>
      </c>
      <c r="N3034" s="4"/>
      <c r="O3034" s="1">
        <f t="shared" si="792"/>
        <v>173.1</v>
      </c>
      <c r="P3034" s="1">
        <f t="shared" si="793"/>
        <v>0</v>
      </c>
      <c r="Q3034" s="1" t="str">
        <f t="shared" si="790"/>
        <v/>
      </c>
      <c r="R3034" s="1" t="str">
        <f t="shared" si="794"/>
        <v/>
      </c>
      <c r="S3034" s="1">
        <f t="shared" si="795"/>
        <v>630.90240000000244</v>
      </c>
      <c r="T3034" s="1">
        <f t="shared" si="796"/>
        <v>0</v>
      </c>
      <c r="U3034" s="1">
        <f t="shared" si="797"/>
        <v>0</v>
      </c>
      <c r="V3034" s="1">
        <f t="shared" si="798"/>
        <v>0</v>
      </c>
    </row>
    <row r="3035" spans="5:22" x14ac:dyDescent="0.25">
      <c r="E3035" s="4"/>
      <c r="M3035" s="4">
        <f t="shared" si="791"/>
        <v>173.1</v>
      </c>
      <c r="N3035" s="4"/>
      <c r="O3035" s="1">
        <f t="shared" si="792"/>
        <v>173.1</v>
      </c>
      <c r="P3035" s="1">
        <f t="shared" si="793"/>
        <v>0</v>
      </c>
      <c r="Q3035" s="1" t="str">
        <f t="shared" si="790"/>
        <v/>
      </c>
      <c r="R3035" s="1" t="str">
        <f t="shared" si="794"/>
        <v/>
      </c>
      <c r="S3035" s="1">
        <f t="shared" si="795"/>
        <v>630.90240000000244</v>
      </c>
      <c r="T3035" s="1">
        <f t="shared" si="796"/>
        <v>0</v>
      </c>
      <c r="U3035" s="1">
        <f t="shared" si="797"/>
        <v>0</v>
      </c>
      <c r="V3035" s="1">
        <f t="shared" si="798"/>
        <v>0</v>
      </c>
    </row>
    <row r="3036" spans="5:22" x14ac:dyDescent="0.25">
      <c r="E3036" s="4"/>
      <c r="M3036" s="4">
        <f t="shared" si="791"/>
        <v>173.1</v>
      </c>
      <c r="N3036" s="4"/>
      <c r="O3036" s="1">
        <f t="shared" si="792"/>
        <v>173.1</v>
      </c>
      <c r="P3036" s="1">
        <f t="shared" si="793"/>
        <v>0</v>
      </c>
      <c r="Q3036" s="1" t="str">
        <f t="shared" si="790"/>
        <v/>
      </c>
      <c r="R3036" s="1" t="str">
        <f t="shared" si="794"/>
        <v/>
      </c>
      <c r="S3036" s="1">
        <f t="shared" si="795"/>
        <v>630.90240000000244</v>
      </c>
      <c r="T3036" s="1">
        <f t="shared" si="796"/>
        <v>0</v>
      </c>
      <c r="U3036" s="1">
        <f t="shared" si="797"/>
        <v>0</v>
      </c>
      <c r="V3036" s="1">
        <f t="shared" si="798"/>
        <v>0</v>
      </c>
    </row>
    <row r="3037" spans="5:22" x14ac:dyDescent="0.25">
      <c r="E3037" s="4"/>
      <c r="M3037" s="4">
        <f t="shared" si="791"/>
        <v>173.1</v>
      </c>
      <c r="N3037" s="4"/>
      <c r="O3037" s="1">
        <f t="shared" si="792"/>
        <v>173.1</v>
      </c>
      <c r="P3037" s="1">
        <f t="shared" si="793"/>
        <v>0</v>
      </c>
      <c r="Q3037" s="1" t="str">
        <f t="shared" si="790"/>
        <v/>
      </c>
      <c r="R3037" s="1" t="str">
        <f t="shared" si="794"/>
        <v/>
      </c>
      <c r="S3037" s="1">
        <f t="shared" si="795"/>
        <v>630.90240000000244</v>
      </c>
      <c r="T3037" s="1">
        <f t="shared" si="796"/>
        <v>0</v>
      </c>
      <c r="U3037" s="1">
        <f t="shared" si="797"/>
        <v>0</v>
      </c>
      <c r="V3037" s="1">
        <f t="shared" si="798"/>
        <v>0</v>
      </c>
    </row>
    <row r="3038" spans="5:22" x14ac:dyDescent="0.25">
      <c r="E3038" s="4"/>
      <c r="M3038" s="4">
        <f t="shared" si="791"/>
        <v>173.1</v>
      </c>
      <c r="N3038" s="4"/>
      <c r="O3038" s="1">
        <f t="shared" si="792"/>
        <v>173.1</v>
      </c>
      <c r="P3038" s="1">
        <f t="shared" si="793"/>
        <v>0</v>
      </c>
      <c r="Q3038" s="1" t="str">
        <f t="shared" si="790"/>
        <v/>
      </c>
      <c r="R3038" s="1" t="str">
        <f t="shared" si="794"/>
        <v/>
      </c>
      <c r="S3038" s="1">
        <f t="shared" si="795"/>
        <v>630.90240000000244</v>
      </c>
      <c r="T3038" s="1">
        <f t="shared" si="796"/>
        <v>0</v>
      </c>
      <c r="U3038" s="1">
        <f t="shared" si="797"/>
        <v>0</v>
      </c>
      <c r="V3038" s="1">
        <f t="shared" si="798"/>
        <v>0</v>
      </c>
    </row>
    <row r="3039" spans="5:22" x14ac:dyDescent="0.25">
      <c r="E3039" s="4"/>
      <c r="M3039" s="4">
        <f t="shared" si="791"/>
        <v>173.1</v>
      </c>
      <c r="N3039" s="4"/>
      <c r="O3039" s="1">
        <f t="shared" si="792"/>
        <v>173.1</v>
      </c>
      <c r="P3039" s="1">
        <f t="shared" si="793"/>
        <v>0</v>
      </c>
      <c r="Q3039" s="1" t="str">
        <f t="shared" si="790"/>
        <v/>
      </c>
      <c r="R3039" s="1" t="str">
        <f t="shared" si="794"/>
        <v/>
      </c>
      <c r="S3039" s="1">
        <f t="shared" si="795"/>
        <v>630.90240000000244</v>
      </c>
      <c r="T3039" s="1">
        <f t="shared" si="796"/>
        <v>0</v>
      </c>
      <c r="U3039" s="1">
        <f t="shared" si="797"/>
        <v>0</v>
      </c>
      <c r="V3039" s="1">
        <f t="shared" si="798"/>
        <v>0</v>
      </c>
    </row>
    <row r="3040" spans="5:22" x14ac:dyDescent="0.25">
      <c r="E3040" s="4"/>
      <c r="M3040" s="4">
        <f t="shared" si="791"/>
        <v>173.1</v>
      </c>
      <c r="N3040" s="4"/>
      <c r="O3040" s="1">
        <f t="shared" si="792"/>
        <v>173.1</v>
      </c>
      <c r="P3040" s="1">
        <f t="shared" si="793"/>
        <v>0</v>
      </c>
      <c r="Q3040" s="1" t="str">
        <f t="shared" si="790"/>
        <v/>
      </c>
      <c r="R3040" s="1" t="str">
        <f t="shared" si="794"/>
        <v/>
      </c>
      <c r="S3040" s="1">
        <f t="shared" si="795"/>
        <v>630.90240000000244</v>
      </c>
      <c r="T3040" s="1">
        <f t="shared" si="796"/>
        <v>0</v>
      </c>
      <c r="U3040" s="1">
        <f t="shared" si="797"/>
        <v>0</v>
      </c>
      <c r="V3040" s="1">
        <f t="shared" si="798"/>
        <v>0</v>
      </c>
    </row>
    <row r="3041" spans="5:22" x14ac:dyDescent="0.25">
      <c r="E3041" s="4"/>
      <c r="M3041" s="4">
        <f t="shared" si="791"/>
        <v>173.1</v>
      </c>
      <c r="N3041" s="4"/>
      <c r="O3041" s="1">
        <f t="shared" si="792"/>
        <v>173.1</v>
      </c>
      <c r="P3041" s="1">
        <f t="shared" si="793"/>
        <v>0</v>
      </c>
      <c r="Q3041" s="1" t="str">
        <f t="shared" si="790"/>
        <v/>
      </c>
      <c r="R3041" s="1" t="str">
        <f t="shared" si="794"/>
        <v/>
      </c>
      <c r="S3041" s="1">
        <f t="shared" si="795"/>
        <v>630.90240000000244</v>
      </c>
      <c r="T3041" s="1">
        <f t="shared" si="796"/>
        <v>0</v>
      </c>
      <c r="U3041" s="1">
        <f t="shared" si="797"/>
        <v>0</v>
      </c>
      <c r="V3041" s="1">
        <f t="shared" si="798"/>
        <v>0</v>
      </c>
    </row>
    <row r="3042" spans="5:22" x14ac:dyDescent="0.25">
      <c r="E3042" s="4"/>
      <c r="M3042" s="4">
        <f t="shared" si="791"/>
        <v>173.1</v>
      </c>
      <c r="N3042" s="4"/>
      <c r="O3042" s="1">
        <f t="shared" si="792"/>
        <v>173.1</v>
      </c>
      <c r="P3042" s="1">
        <f t="shared" si="793"/>
        <v>0</v>
      </c>
      <c r="Q3042" s="1" t="str">
        <f t="shared" si="790"/>
        <v/>
      </c>
      <c r="R3042" s="1" t="str">
        <f t="shared" si="794"/>
        <v/>
      </c>
      <c r="S3042" s="1">
        <f t="shared" si="795"/>
        <v>630.90240000000244</v>
      </c>
      <c r="T3042" s="1">
        <f t="shared" si="796"/>
        <v>0</v>
      </c>
      <c r="U3042" s="1">
        <f t="shared" si="797"/>
        <v>0</v>
      </c>
      <c r="V3042" s="1">
        <f t="shared" si="798"/>
        <v>0</v>
      </c>
    </row>
    <row r="3043" spans="5:22" x14ac:dyDescent="0.25">
      <c r="E3043" s="4"/>
      <c r="M3043" s="4">
        <f t="shared" si="791"/>
        <v>173.1</v>
      </c>
      <c r="N3043" s="4"/>
      <c r="O3043" s="1">
        <f t="shared" si="792"/>
        <v>173.1</v>
      </c>
      <c r="P3043" s="1">
        <f t="shared" si="793"/>
        <v>0</v>
      </c>
      <c r="Q3043" s="1" t="str">
        <f t="shared" si="790"/>
        <v/>
      </c>
      <c r="R3043" s="1" t="str">
        <f t="shared" si="794"/>
        <v/>
      </c>
      <c r="S3043" s="1">
        <f t="shared" si="795"/>
        <v>630.90240000000244</v>
      </c>
      <c r="T3043" s="1">
        <f t="shared" si="796"/>
        <v>0</v>
      </c>
      <c r="U3043" s="1">
        <f t="shared" si="797"/>
        <v>0</v>
      </c>
      <c r="V3043" s="1">
        <f t="shared" si="798"/>
        <v>0</v>
      </c>
    </row>
    <row r="3044" spans="5:22" x14ac:dyDescent="0.25">
      <c r="E3044" s="4"/>
      <c r="M3044" s="4">
        <f t="shared" si="791"/>
        <v>173.1</v>
      </c>
      <c r="N3044" s="4"/>
      <c r="O3044" s="1">
        <f t="shared" si="792"/>
        <v>173.1</v>
      </c>
      <c r="P3044" s="1">
        <f t="shared" si="793"/>
        <v>0</v>
      </c>
      <c r="Q3044" s="1" t="str">
        <f t="shared" si="790"/>
        <v/>
      </c>
      <c r="R3044" s="1" t="str">
        <f t="shared" si="794"/>
        <v/>
      </c>
      <c r="S3044" s="1">
        <f t="shared" si="795"/>
        <v>630.90240000000244</v>
      </c>
      <c r="T3044" s="1">
        <f t="shared" si="796"/>
        <v>0</v>
      </c>
      <c r="U3044" s="1">
        <f t="shared" si="797"/>
        <v>0</v>
      </c>
      <c r="V3044" s="1">
        <f t="shared" si="798"/>
        <v>0</v>
      </c>
    </row>
    <row r="3045" spans="5:22" x14ac:dyDescent="0.25">
      <c r="E3045" s="4"/>
      <c r="M3045" s="4">
        <f t="shared" si="791"/>
        <v>173.1</v>
      </c>
      <c r="N3045" s="4"/>
      <c r="O3045" s="1">
        <f t="shared" si="792"/>
        <v>173.1</v>
      </c>
      <c r="P3045" s="1">
        <f t="shared" si="793"/>
        <v>0</v>
      </c>
      <c r="Q3045" s="1" t="str">
        <f t="shared" si="790"/>
        <v/>
      </c>
      <c r="R3045" s="1" t="str">
        <f t="shared" si="794"/>
        <v/>
      </c>
      <c r="S3045" s="1">
        <f t="shared" si="795"/>
        <v>630.90240000000244</v>
      </c>
      <c r="T3045" s="1">
        <f t="shared" si="796"/>
        <v>0</v>
      </c>
      <c r="U3045" s="1">
        <f t="shared" si="797"/>
        <v>0</v>
      </c>
      <c r="V3045" s="1">
        <f t="shared" si="798"/>
        <v>0</v>
      </c>
    </row>
    <row r="3046" spans="5:22" x14ac:dyDescent="0.25">
      <c r="E3046" s="4"/>
      <c r="M3046" s="4">
        <f t="shared" si="791"/>
        <v>173.1</v>
      </c>
      <c r="N3046" s="4"/>
      <c r="O3046" s="1">
        <f t="shared" si="792"/>
        <v>173.1</v>
      </c>
      <c r="P3046" s="1">
        <f t="shared" si="793"/>
        <v>0</v>
      </c>
      <c r="Q3046" s="1" t="str">
        <f t="shared" si="790"/>
        <v/>
      </c>
      <c r="R3046" s="1" t="str">
        <f t="shared" si="794"/>
        <v/>
      </c>
      <c r="S3046" s="1">
        <f t="shared" si="795"/>
        <v>630.90240000000244</v>
      </c>
      <c r="T3046" s="1">
        <f t="shared" si="796"/>
        <v>0</v>
      </c>
      <c r="U3046" s="1">
        <f t="shared" si="797"/>
        <v>0</v>
      </c>
      <c r="V3046" s="1">
        <f t="shared" si="798"/>
        <v>0</v>
      </c>
    </row>
    <row r="3047" spans="5:22" x14ac:dyDescent="0.25">
      <c r="E3047" s="4"/>
      <c r="M3047" s="4">
        <f t="shared" si="791"/>
        <v>173.1</v>
      </c>
      <c r="N3047" s="4"/>
      <c r="O3047" s="1">
        <f t="shared" si="792"/>
        <v>173.1</v>
      </c>
      <c r="P3047" s="1">
        <f t="shared" si="793"/>
        <v>0</v>
      </c>
      <c r="Q3047" s="1" t="str">
        <f t="shared" si="790"/>
        <v/>
      </c>
      <c r="R3047" s="1" t="str">
        <f t="shared" si="794"/>
        <v/>
      </c>
      <c r="S3047" s="1">
        <f t="shared" si="795"/>
        <v>630.90240000000244</v>
      </c>
      <c r="T3047" s="1">
        <f t="shared" si="796"/>
        <v>0</v>
      </c>
      <c r="U3047" s="1">
        <f t="shared" si="797"/>
        <v>0</v>
      </c>
      <c r="V3047" s="1">
        <f t="shared" si="798"/>
        <v>0</v>
      </c>
    </row>
    <row r="3048" spans="5:22" x14ac:dyDescent="0.25">
      <c r="E3048" s="4"/>
      <c r="M3048" s="4">
        <f t="shared" si="791"/>
        <v>173.1</v>
      </c>
      <c r="N3048" s="4"/>
      <c r="O3048" s="1">
        <f t="shared" si="792"/>
        <v>173.1</v>
      </c>
      <c r="P3048" s="1">
        <f t="shared" si="793"/>
        <v>0</v>
      </c>
      <c r="Q3048" s="1" t="str">
        <f t="shared" si="790"/>
        <v/>
      </c>
      <c r="R3048" s="1" t="str">
        <f t="shared" si="794"/>
        <v/>
      </c>
      <c r="S3048" s="1">
        <f t="shared" si="795"/>
        <v>630.90240000000244</v>
      </c>
      <c r="T3048" s="1">
        <f t="shared" si="796"/>
        <v>0</v>
      </c>
      <c r="U3048" s="1">
        <f t="shared" si="797"/>
        <v>0</v>
      </c>
      <c r="V3048" s="1">
        <f t="shared" si="798"/>
        <v>0</v>
      </c>
    </row>
    <row r="3049" spans="5:22" x14ac:dyDescent="0.25">
      <c r="E3049" s="4"/>
      <c r="M3049" s="4">
        <f t="shared" si="791"/>
        <v>173.1</v>
      </c>
      <c r="N3049" s="4"/>
      <c r="O3049" s="1">
        <f t="shared" si="792"/>
        <v>173.1</v>
      </c>
      <c r="P3049" s="1">
        <f t="shared" si="793"/>
        <v>0</v>
      </c>
      <c r="Q3049" s="1" t="str">
        <f t="shared" si="790"/>
        <v/>
      </c>
      <c r="R3049" s="1" t="str">
        <f t="shared" si="794"/>
        <v/>
      </c>
      <c r="S3049" s="1">
        <f t="shared" si="795"/>
        <v>630.90240000000244</v>
      </c>
      <c r="T3049" s="1">
        <f t="shared" si="796"/>
        <v>0</v>
      </c>
      <c r="U3049" s="1">
        <f t="shared" si="797"/>
        <v>0</v>
      </c>
      <c r="V3049" s="1">
        <f t="shared" si="798"/>
        <v>0</v>
      </c>
    </row>
    <row r="3050" spans="5:22" x14ac:dyDescent="0.25">
      <c r="E3050" s="4"/>
      <c r="M3050" s="4">
        <f t="shared" si="791"/>
        <v>173.1</v>
      </c>
      <c r="N3050" s="4"/>
      <c r="O3050" s="1">
        <f t="shared" si="792"/>
        <v>173.1</v>
      </c>
      <c r="P3050" s="1">
        <f t="shared" si="793"/>
        <v>0</v>
      </c>
      <c r="Q3050" s="1" t="str">
        <f t="shared" si="790"/>
        <v/>
      </c>
      <c r="R3050" s="1" t="str">
        <f t="shared" si="794"/>
        <v/>
      </c>
      <c r="S3050" s="1">
        <f t="shared" si="795"/>
        <v>630.90240000000244</v>
      </c>
      <c r="T3050" s="1">
        <f t="shared" si="796"/>
        <v>0</v>
      </c>
      <c r="U3050" s="1">
        <f t="shared" si="797"/>
        <v>0</v>
      </c>
      <c r="V3050" s="1">
        <f t="shared" si="798"/>
        <v>0</v>
      </c>
    </row>
    <row r="3051" spans="5:22" x14ac:dyDescent="0.25">
      <c r="E3051" s="4"/>
      <c r="M3051" s="4">
        <f t="shared" si="791"/>
        <v>173.1</v>
      </c>
      <c r="N3051" s="4"/>
      <c r="O3051" s="1">
        <f t="shared" si="792"/>
        <v>173.1</v>
      </c>
      <c r="P3051" s="1">
        <f t="shared" si="793"/>
        <v>0</v>
      </c>
      <c r="Q3051" s="1" t="str">
        <f t="shared" si="790"/>
        <v/>
      </c>
      <c r="R3051" s="1" t="str">
        <f t="shared" si="794"/>
        <v/>
      </c>
      <c r="S3051" s="1">
        <f t="shared" si="795"/>
        <v>630.90240000000244</v>
      </c>
      <c r="T3051" s="1">
        <f t="shared" si="796"/>
        <v>0</v>
      </c>
      <c r="U3051" s="1">
        <f t="shared" si="797"/>
        <v>0</v>
      </c>
      <c r="V3051" s="1">
        <f t="shared" si="798"/>
        <v>0</v>
      </c>
    </row>
    <row r="3052" spans="5:22" x14ac:dyDescent="0.25">
      <c r="E3052" s="4"/>
      <c r="M3052" s="4">
        <f t="shared" si="791"/>
        <v>173.1</v>
      </c>
      <c r="N3052" s="4"/>
      <c r="O3052" s="1">
        <f t="shared" si="792"/>
        <v>173.1</v>
      </c>
      <c r="P3052" s="1">
        <f t="shared" si="793"/>
        <v>0</v>
      </c>
      <c r="Q3052" s="1" t="str">
        <f t="shared" si="790"/>
        <v/>
      </c>
      <c r="R3052" s="1" t="str">
        <f t="shared" si="794"/>
        <v/>
      </c>
      <c r="S3052" s="1">
        <f t="shared" si="795"/>
        <v>630.90240000000244</v>
      </c>
      <c r="T3052" s="1">
        <f t="shared" si="796"/>
        <v>0</v>
      </c>
      <c r="U3052" s="1">
        <f t="shared" si="797"/>
        <v>0</v>
      </c>
      <c r="V3052" s="1">
        <f t="shared" si="798"/>
        <v>0</v>
      </c>
    </row>
    <row r="3053" spans="5:22" x14ac:dyDescent="0.25">
      <c r="E3053" s="4"/>
      <c r="M3053" s="4">
        <f t="shared" si="791"/>
        <v>173.1</v>
      </c>
      <c r="N3053" s="4"/>
      <c r="O3053" s="1">
        <f t="shared" si="792"/>
        <v>173.1</v>
      </c>
      <c r="P3053" s="1">
        <f t="shared" si="793"/>
        <v>0</v>
      </c>
      <c r="Q3053" s="1" t="str">
        <f t="shared" si="790"/>
        <v/>
      </c>
      <c r="R3053" s="1" t="str">
        <f t="shared" si="794"/>
        <v/>
      </c>
      <c r="S3053" s="1">
        <f t="shared" si="795"/>
        <v>630.90240000000244</v>
      </c>
      <c r="T3053" s="1">
        <f t="shared" si="796"/>
        <v>0</v>
      </c>
      <c r="U3053" s="1">
        <f t="shared" si="797"/>
        <v>0</v>
      </c>
      <c r="V3053" s="1">
        <f t="shared" si="798"/>
        <v>0</v>
      </c>
    </row>
    <row r="3054" spans="5:22" x14ac:dyDescent="0.25">
      <c r="E3054" s="4"/>
      <c r="M3054" s="4">
        <f t="shared" si="791"/>
        <v>173.1</v>
      </c>
      <c r="N3054" s="4"/>
      <c r="O3054" s="1">
        <f t="shared" si="792"/>
        <v>173.1</v>
      </c>
      <c r="P3054" s="1">
        <f t="shared" si="793"/>
        <v>0</v>
      </c>
      <c r="Q3054" s="1" t="str">
        <f t="shared" si="790"/>
        <v/>
      </c>
      <c r="R3054" s="1" t="str">
        <f t="shared" si="794"/>
        <v/>
      </c>
      <c r="S3054" s="1">
        <f t="shared" si="795"/>
        <v>630.90240000000244</v>
      </c>
      <c r="T3054" s="1">
        <f t="shared" si="796"/>
        <v>0</v>
      </c>
      <c r="U3054" s="1">
        <f t="shared" si="797"/>
        <v>0</v>
      </c>
      <c r="V3054" s="1">
        <f t="shared" si="798"/>
        <v>0</v>
      </c>
    </row>
    <row r="3055" spans="5:22" x14ac:dyDescent="0.25">
      <c r="E3055" s="4"/>
      <c r="M3055" s="4">
        <f t="shared" si="791"/>
        <v>173.1</v>
      </c>
      <c r="N3055" s="4"/>
      <c r="O3055" s="1">
        <f t="shared" si="792"/>
        <v>173.1</v>
      </c>
      <c r="P3055" s="1">
        <f t="shared" si="793"/>
        <v>0</v>
      </c>
      <c r="Q3055" s="1" t="str">
        <f t="shared" si="790"/>
        <v/>
      </c>
      <c r="R3055" s="1" t="str">
        <f t="shared" si="794"/>
        <v/>
      </c>
      <c r="S3055" s="1">
        <f t="shared" si="795"/>
        <v>630.90240000000244</v>
      </c>
      <c r="T3055" s="1">
        <f t="shared" si="796"/>
        <v>0</v>
      </c>
      <c r="U3055" s="1">
        <f t="shared" si="797"/>
        <v>0</v>
      </c>
      <c r="V3055" s="1">
        <f t="shared" si="798"/>
        <v>0</v>
      </c>
    </row>
    <row r="3056" spans="5:22" x14ac:dyDescent="0.25">
      <c r="E3056" s="4"/>
      <c r="M3056" s="4">
        <f t="shared" si="791"/>
        <v>173.1</v>
      </c>
      <c r="N3056" s="4"/>
      <c r="O3056" s="1">
        <f t="shared" si="792"/>
        <v>173.1</v>
      </c>
      <c r="P3056" s="1">
        <f t="shared" si="793"/>
        <v>0</v>
      </c>
      <c r="Q3056" s="1" t="str">
        <f t="shared" si="790"/>
        <v/>
      </c>
      <c r="R3056" s="1" t="str">
        <f t="shared" si="794"/>
        <v/>
      </c>
      <c r="S3056" s="1">
        <f t="shared" si="795"/>
        <v>630.90240000000244</v>
      </c>
      <c r="T3056" s="1">
        <f t="shared" si="796"/>
        <v>0</v>
      </c>
      <c r="U3056" s="1">
        <f t="shared" si="797"/>
        <v>0</v>
      </c>
      <c r="V3056" s="1">
        <f t="shared" si="798"/>
        <v>0</v>
      </c>
    </row>
    <row r="3057" spans="5:22" x14ac:dyDescent="0.25">
      <c r="E3057" s="4"/>
      <c r="M3057" s="4">
        <f t="shared" si="791"/>
        <v>173.1</v>
      </c>
      <c r="N3057" s="4"/>
      <c r="O3057" s="1">
        <f t="shared" si="792"/>
        <v>173.1</v>
      </c>
      <c r="P3057" s="1">
        <f t="shared" si="793"/>
        <v>0</v>
      </c>
      <c r="Q3057" s="1" t="str">
        <f t="shared" si="790"/>
        <v/>
      </c>
      <c r="R3057" s="1" t="str">
        <f t="shared" si="794"/>
        <v/>
      </c>
      <c r="S3057" s="1">
        <f t="shared" si="795"/>
        <v>630.90240000000244</v>
      </c>
      <c r="T3057" s="1">
        <f t="shared" si="796"/>
        <v>0</v>
      </c>
      <c r="U3057" s="1">
        <f t="shared" si="797"/>
        <v>0</v>
      </c>
      <c r="V3057" s="1">
        <f t="shared" si="798"/>
        <v>0</v>
      </c>
    </row>
    <row r="3058" spans="5:22" x14ac:dyDescent="0.25">
      <c r="E3058" s="4"/>
      <c r="M3058" s="4">
        <f t="shared" si="791"/>
        <v>173.1</v>
      </c>
      <c r="N3058" s="4"/>
      <c r="O3058" s="1">
        <f t="shared" si="792"/>
        <v>173.1</v>
      </c>
      <c r="P3058" s="1">
        <f t="shared" si="793"/>
        <v>0</v>
      </c>
      <c r="Q3058" s="1" t="str">
        <f t="shared" ref="Q3058:Q3121" si="799">IF(H3058&lt;&gt;"",IF(H3058=H3057,"",H3058),IF(H3056="","",MAX(H3057,Q3057)))</f>
        <v/>
      </c>
      <c r="R3058" s="1" t="str">
        <f t="shared" si="794"/>
        <v/>
      </c>
      <c r="S3058" s="1">
        <f t="shared" si="795"/>
        <v>630.90240000000244</v>
      </c>
      <c r="T3058" s="1">
        <f t="shared" si="796"/>
        <v>0</v>
      </c>
      <c r="U3058" s="1">
        <f t="shared" si="797"/>
        <v>0</v>
      </c>
      <c r="V3058" s="1">
        <f t="shared" si="798"/>
        <v>0</v>
      </c>
    </row>
    <row r="3059" spans="5:22" x14ac:dyDescent="0.25">
      <c r="E3059" s="4"/>
      <c r="M3059" s="4">
        <f t="shared" si="791"/>
        <v>173.1</v>
      </c>
      <c r="N3059" s="4"/>
      <c r="O3059" s="1">
        <f t="shared" si="792"/>
        <v>173.1</v>
      </c>
      <c r="P3059" s="1">
        <f t="shared" si="793"/>
        <v>0</v>
      </c>
      <c r="Q3059" s="1" t="str">
        <f t="shared" si="799"/>
        <v/>
      </c>
      <c r="R3059" s="1" t="str">
        <f t="shared" si="794"/>
        <v/>
      </c>
      <c r="S3059" s="1">
        <f t="shared" si="795"/>
        <v>630.90240000000244</v>
      </c>
      <c r="T3059" s="1">
        <f t="shared" si="796"/>
        <v>0</v>
      </c>
      <c r="U3059" s="1">
        <f t="shared" si="797"/>
        <v>0</v>
      </c>
      <c r="V3059" s="1">
        <f t="shared" si="798"/>
        <v>0</v>
      </c>
    </row>
    <row r="3060" spans="5:22" x14ac:dyDescent="0.25">
      <c r="E3060" s="4"/>
      <c r="M3060" s="4">
        <f t="shared" si="791"/>
        <v>173.1</v>
      </c>
      <c r="N3060" s="4"/>
      <c r="O3060" s="1">
        <f t="shared" si="792"/>
        <v>173.1</v>
      </c>
      <c r="P3060" s="1">
        <f t="shared" si="793"/>
        <v>0</v>
      </c>
      <c r="Q3060" s="1" t="str">
        <f t="shared" si="799"/>
        <v/>
      </c>
      <c r="R3060" s="1" t="str">
        <f t="shared" si="794"/>
        <v/>
      </c>
      <c r="S3060" s="1">
        <f t="shared" si="795"/>
        <v>630.90240000000244</v>
      </c>
      <c r="T3060" s="1">
        <f t="shared" si="796"/>
        <v>0</v>
      </c>
      <c r="U3060" s="1">
        <f t="shared" si="797"/>
        <v>0</v>
      </c>
      <c r="V3060" s="1">
        <f t="shared" si="798"/>
        <v>0</v>
      </c>
    </row>
    <row r="3061" spans="5:22" x14ac:dyDescent="0.25">
      <c r="E3061" s="4"/>
      <c r="M3061" s="4">
        <f t="shared" si="791"/>
        <v>173.1</v>
      </c>
      <c r="N3061" s="4"/>
      <c r="O3061" s="1">
        <f t="shared" si="792"/>
        <v>173.1</v>
      </c>
      <c r="P3061" s="1">
        <f t="shared" si="793"/>
        <v>0</v>
      </c>
      <c r="Q3061" s="1" t="str">
        <f t="shared" si="799"/>
        <v/>
      </c>
      <c r="R3061" s="1" t="str">
        <f t="shared" si="794"/>
        <v/>
      </c>
      <c r="S3061" s="1">
        <f t="shared" si="795"/>
        <v>630.90240000000244</v>
      </c>
      <c r="T3061" s="1">
        <f t="shared" si="796"/>
        <v>0</v>
      </c>
      <c r="U3061" s="1">
        <f t="shared" si="797"/>
        <v>0</v>
      </c>
      <c r="V3061" s="1">
        <f t="shared" si="798"/>
        <v>0</v>
      </c>
    </row>
    <row r="3062" spans="5:22" x14ac:dyDescent="0.25">
      <c r="E3062" s="4"/>
      <c r="M3062" s="4">
        <f t="shared" si="791"/>
        <v>173.1</v>
      </c>
      <c r="N3062" s="4"/>
      <c r="O3062" s="1">
        <f t="shared" si="792"/>
        <v>173.1</v>
      </c>
      <c r="P3062" s="1">
        <f t="shared" si="793"/>
        <v>0</v>
      </c>
      <c r="Q3062" s="1" t="str">
        <f t="shared" si="799"/>
        <v/>
      </c>
      <c r="R3062" s="1" t="str">
        <f t="shared" si="794"/>
        <v/>
      </c>
      <c r="S3062" s="1">
        <f t="shared" si="795"/>
        <v>630.90240000000244</v>
      </c>
      <c r="T3062" s="1">
        <f t="shared" si="796"/>
        <v>0</v>
      </c>
      <c r="U3062" s="1">
        <f t="shared" si="797"/>
        <v>0</v>
      </c>
      <c r="V3062" s="1">
        <f t="shared" si="798"/>
        <v>0</v>
      </c>
    </row>
    <row r="3063" spans="5:22" x14ac:dyDescent="0.25">
      <c r="E3063" s="4"/>
      <c r="M3063" s="4">
        <f t="shared" si="791"/>
        <v>173.1</v>
      </c>
      <c r="N3063" s="4"/>
      <c r="O3063" s="1">
        <f t="shared" si="792"/>
        <v>173.1</v>
      </c>
      <c r="P3063" s="1">
        <f t="shared" si="793"/>
        <v>0</v>
      </c>
      <c r="Q3063" s="1" t="str">
        <f t="shared" si="799"/>
        <v/>
      </c>
      <c r="R3063" s="1" t="str">
        <f t="shared" si="794"/>
        <v/>
      </c>
      <c r="S3063" s="1">
        <f t="shared" si="795"/>
        <v>630.90240000000244</v>
      </c>
      <c r="T3063" s="1">
        <f t="shared" si="796"/>
        <v>0</v>
      </c>
      <c r="U3063" s="1">
        <f t="shared" si="797"/>
        <v>0</v>
      </c>
      <c r="V3063" s="1">
        <f t="shared" si="798"/>
        <v>0</v>
      </c>
    </row>
    <row r="3064" spans="5:22" x14ac:dyDescent="0.25">
      <c r="E3064" s="4"/>
      <c r="M3064" s="4">
        <f t="shared" si="791"/>
        <v>173.1</v>
      </c>
      <c r="N3064" s="4"/>
      <c r="O3064" s="1">
        <f t="shared" si="792"/>
        <v>173.1</v>
      </c>
      <c r="P3064" s="1">
        <f t="shared" si="793"/>
        <v>0</v>
      </c>
      <c r="Q3064" s="1" t="str">
        <f t="shared" si="799"/>
        <v/>
      </c>
      <c r="R3064" s="1" t="str">
        <f t="shared" si="794"/>
        <v/>
      </c>
      <c r="S3064" s="1">
        <f t="shared" si="795"/>
        <v>630.90240000000244</v>
      </c>
      <c r="T3064" s="1">
        <f t="shared" si="796"/>
        <v>0</v>
      </c>
      <c r="U3064" s="1">
        <f t="shared" si="797"/>
        <v>0</v>
      </c>
      <c r="V3064" s="1">
        <f t="shared" si="798"/>
        <v>0</v>
      </c>
    </row>
    <row r="3065" spans="5:22" x14ac:dyDescent="0.25">
      <c r="E3065" s="4"/>
      <c r="M3065" s="4">
        <f t="shared" si="791"/>
        <v>173.1</v>
      </c>
      <c r="N3065" s="4"/>
      <c r="O3065" s="1">
        <f t="shared" si="792"/>
        <v>173.1</v>
      </c>
      <c r="P3065" s="1">
        <f t="shared" si="793"/>
        <v>0</v>
      </c>
      <c r="Q3065" s="1" t="str">
        <f t="shared" si="799"/>
        <v/>
      </c>
      <c r="R3065" s="1" t="str">
        <f t="shared" si="794"/>
        <v/>
      </c>
      <c r="S3065" s="1">
        <f t="shared" si="795"/>
        <v>630.90240000000244</v>
      </c>
      <c r="T3065" s="1">
        <f t="shared" si="796"/>
        <v>0</v>
      </c>
      <c r="U3065" s="1">
        <f t="shared" si="797"/>
        <v>0</v>
      </c>
      <c r="V3065" s="1">
        <f t="shared" si="798"/>
        <v>0</v>
      </c>
    </row>
    <row r="3066" spans="5:22" x14ac:dyDescent="0.25">
      <c r="E3066" s="4"/>
      <c r="M3066" s="4">
        <f t="shared" si="791"/>
        <v>173.1</v>
      </c>
      <c r="N3066" s="4"/>
      <c r="O3066" s="1">
        <f t="shared" si="792"/>
        <v>173.1</v>
      </c>
      <c r="P3066" s="1">
        <f t="shared" si="793"/>
        <v>0</v>
      </c>
      <c r="Q3066" s="1" t="str">
        <f t="shared" si="799"/>
        <v/>
      </c>
      <c r="R3066" s="1" t="str">
        <f t="shared" si="794"/>
        <v/>
      </c>
      <c r="S3066" s="1">
        <f t="shared" si="795"/>
        <v>630.90240000000244</v>
      </c>
      <c r="T3066" s="1">
        <f t="shared" si="796"/>
        <v>0</v>
      </c>
      <c r="U3066" s="1">
        <f t="shared" si="797"/>
        <v>0</v>
      </c>
      <c r="V3066" s="1">
        <f t="shared" si="798"/>
        <v>0</v>
      </c>
    </row>
    <row r="3067" spans="5:22" x14ac:dyDescent="0.25">
      <c r="E3067" s="4"/>
      <c r="M3067" s="4">
        <f t="shared" si="791"/>
        <v>173.1</v>
      </c>
      <c r="N3067" s="4"/>
      <c r="O3067" s="1">
        <f t="shared" si="792"/>
        <v>173.1</v>
      </c>
      <c r="P3067" s="1">
        <f t="shared" si="793"/>
        <v>0</v>
      </c>
      <c r="Q3067" s="1" t="str">
        <f t="shared" si="799"/>
        <v/>
      </c>
      <c r="R3067" s="1" t="str">
        <f t="shared" si="794"/>
        <v/>
      </c>
      <c r="S3067" s="1">
        <f t="shared" si="795"/>
        <v>630.90240000000244</v>
      </c>
      <c r="T3067" s="1">
        <f t="shared" si="796"/>
        <v>0</v>
      </c>
      <c r="U3067" s="1">
        <f t="shared" si="797"/>
        <v>0</v>
      </c>
      <c r="V3067" s="1">
        <f t="shared" si="798"/>
        <v>0</v>
      </c>
    </row>
    <row r="3068" spans="5:22" x14ac:dyDescent="0.25">
      <c r="E3068" s="4"/>
      <c r="M3068" s="4">
        <f t="shared" si="791"/>
        <v>173.1</v>
      </c>
      <c r="N3068" s="4"/>
      <c r="O3068" s="1">
        <f t="shared" si="792"/>
        <v>173.1</v>
      </c>
      <c r="P3068" s="1">
        <f t="shared" si="793"/>
        <v>0</v>
      </c>
      <c r="Q3068" s="1" t="str">
        <f t="shared" si="799"/>
        <v/>
      </c>
      <c r="R3068" s="1" t="str">
        <f t="shared" si="794"/>
        <v/>
      </c>
      <c r="S3068" s="1">
        <f t="shared" si="795"/>
        <v>630.90240000000244</v>
      </c>
      <c r="T3068" s="1">
        <f t="shared" si="796"/>
        <v>0</v>
      </c>
      <c r="U3068" s="1">
        <f t="shared" si="797"/>
        <v>0</v>
      </c>
      <c r="V3068" s="1">
        <f t="shared" si="798"/>
        <v>0</v>
      </c>
    </row>
    <row r="3069" spans="5:22" x14ac:dyDescent="0.25">
      <c r="E3069" s="4"/>
      <c r="M3069" s="4">
        <f t="shared" si="791"/>
        <v>173.1</v>
      </c>
      <c r="N3069" s="4"/>
      <c r="O3069" s="1">
        <f t="shared" si="792"/>
        <v>173.1</v>
      </c>
      <c r="P3069" s="1">
        <f t="shared" si="793"/>
        <v>0</v>
      </c>
      <c r="Q3069" s="1" t="str">
        <f t="shared" si="799"/>
        <v/>
      </c>
      <c r="R3069" s="1" t="str">
        <f t="shared" si="794"/>
        <v/>
      </c>
      <c r="S3069" s="1">
        <f t="shared" si="795"/>
        <v>630.90240000000244</v>
      </c>
      <c r="T3069" s="1">
        <f t="shared" si="796"/>
        <v>0</v>
      </c>
      <c r="U3069" s="1">
        <f t="shared" si="797"/>
        <v>0</v>
      </c>
      <c r="V3069" s="1">
        <f t="shared" si="798"/>
        <v>0</v>
      </c>
    </row>
    <row r="3070" spans="5:22" x14ac:dyDescent="0.25">
      <c r="E3070" s="4"/>
      <c r="M3070" s="4">
        <f t="shared" si="791"/>
        <v>173.1</v>
      </c>
      <c r="N3070" s="4"/>
      <c r="O3070" s="1">
        <f t="shared" si="792"/>
        <v>173.1</v>
      </c>
      <c r="P3070" s="1">
        <f t="shared" si="793"/>
        <v>0</v>
      </c>
      <c r="Q3070" s="1" t="str">
        <f t="shared" si="799"/>
        <v/>
      </c>
      <c r="R3070" s="1" t="str">
        <f t="shared" si="794"/>
        <v/>
      </c>
      <c r="S3070" s="1">
        <f t="shared" si="795"/>
        <v>630.90240000000244</v>
      </c>
      <c r="T3070" s="1">
        <f t="shared" si="796"/>
        <v>0</v>
      </c>
      <c r="U3070" s="1">
        <f t="shared" si="797"/>
        <v>0</v>
      </c>
      <c r="V3070" s="1">
        <f t="shared" si="798"/>
        <v>0</v>
      </c>
    </row>
    <row r="3071" spans="5:22" x14ac:dyDescent="0.25">
      <c r="E3071" s="4"/>
      <c r="M3071" s="4">
        <f t="shared" si="791"/>
        <v>173.1</v>
      </c>
      <c r="N3071" s="4"/>
      <c r="O3071" s="1">
        <f t="shared" si="792"/>
        <v>173.1</v>
      </c>
      <c r="P3071" s="1">
        <f t="shared" si="793"/>
        <v>0</v>
      </c>
      <c r="Q3071" s="1" t="str">
        <f t="shared" si="799"/>
        <v/>
      </c>
      <c r="R3071" s="1" t="str">
        <f t="shared" si="794"/>
        <v/>
      </c>
      <c r="S3071" s="1">
        <f t="shared" si="795"/>
        <v>630.90240000000244</v>
      </c>
      <c r="T3071" s="1">
        <f t="shared" si="796"/>
        <v>0</v>
      </c>
      <c r="U3071" s="1">
        <f t="shared" si="797"/>
        <v>0</v>
      </c>
      <c r="V3071" s="1">
        <f t="shared" si="798"/>
        <v>0</v>
      </c>
    </row>
    <row r="3072" spans="5:22" x14ac:dyDescent="0.25">
      <c r="E3072" s="4"/>
      <c r="M3072" s="4">
        <f t="shared" si="791"/>
        <v>173.1</v>
      </c>
      <c r="N3072" s="4"/>
      <c r="O3072" s="1">
        <f t="shared" si="792"/>
        <v>173.1</v>
      </c>
      <c r="P3072" s="1">
        <f t="shared" si="793"/>
        <v>0</v>
      </c>
      <c r="Q3072" s="1" t="str">
        <f t="shared" si="799"/>
        <v/>
      </c>
      <c r="R3072" s="1" t="str">
        <f t="shared" si="794"/>
        <v/>
      </c>
      <c r="S3072" s="1">
        <f t="shared" si="795"/>
        <v>630.90240000000244</v>
      </c>
      <c r="T3072" s="1">
        <f t="shared" si="796"/>
        <v>0</v>
      </c>
      <c r="U3072" s="1">
        <f t="shared" si="797"/>
        <v>0</v>
      </c>
      <c r="V3072" s="1">
        <f t="shared" si="798"/>
        <v>0</v>
      </c>
    </row>
    <row r="3073" spans="5:22" x14ac:dyDescent="0.25">
      <c r="E3073" s="4"/>
      <c r="M3073" s="4">
        <f t="shared" si="791"/>
        <v>173.1</v>
      </c>
      <c r="N3073" s="4"/>
      <c r="O3073" s="1">
        <f t="shared" si="792"/>
        <v>173.1</v>
      </c>
      <c r="P3073" s="1">
        <f t="shared" si="793"/>
        <v>0</v>
      </c>
      <c r="Q3073" s="1" t="str">
        <f t="shared" si="799"/>
        <v/>
      </c>
      <c r="R3073" s="1" t="str">
        <f t="shared" si="794"/>
        <v/>
      </c>
      <c r="S3073" s="1">
        <f t="shared" si="795"/>
        <v>630.90240000000244</v>
      </c>
      <c r="T3073" s="1">
        <f t="shared" si="796"/>
        <v>0</v>
      </c>
      <c r="U3073" s="1">
        <f t="shared" si="797"/>
        <v>0</v>
      </c>
      <c r="V3073" s="1">
        <f t="shared" si="798"/>
        <v>0</v>
      </c>
    </row>
    <row r="3074" spans="5:22" x14ac:dyDescent="0.25">
      <c r="E3074" s="4"/>
      <c r="M3074" s="4">
        <f t="shared" si="791"/>
        <v>173.1</v>
      </c>
      <c r="N3074" s="4"/>
      <c r="O3074" s="1">
        <f t="shared" si="792"/>
        <v>173.1</v>
      </c>
      <c r="P3074" s="1">
        <f t="shared" si="793"/>
        <v>0</v>
      </c>
      <c r="Q3074" s="1" t="str">
        <f t="shared" si="799"/>
        <v/>
      </c>
      <c r="R3074" s="1" t="str">
        <f t="shared" si="794"/>
        <v/>
      </c>
      <c r="S3074" s="1">
        <f t="shared" si="795"/>
        <v>630.90240000000244</v>
      </c>
      <c r="T3074" s="1">
        <f t="shared" si="796"/>
        <v>0</v>
      </c>
      <c r="U3074" s="1">
        <f t="shared" si="797"/>
        <v>0</v>
      </c>
      <c r="V3074" s="1">
        <f t="shared" si="798"/>
        <v>0</v>
      </c>
    </row>
    <row r="3075" spans="5:22" x14ac:dyDescent="0.25">
      <c r="E3075" s="4"/>
      <c r="M3075" s="4">
        <f t="shared" si="791"/>
        <v>173.1</v>
      </c>
      <c r="N3075" s="4"/>
      <c r="O3075" s="1">
        <f t="shared" si="792"/>
        <v>173.1</v>
      </c>
      <c r="P3075" s="1">
        <f t="shared" si="793"/>
        <v>0</v>
      </c>
      <c r="Q3075" s="1" t="str">
        <f t="shared" si="799"/>
        <v/>
      </c>
      <c r="R3075" s="1" t="str">
        <f t="shared" si="794"/>
        <v/>
      </c>
      <c r="S3075" s="1">
        <f t="shared" si="795"/>
        <v>630.90240000000244</v>
      </c>
      <c r="T3075" s="1">
        <f t="shared" si="796"/>
        <v>0</v>
      </c>
      <c r="U3075" s="1">
        <f t="shared" si="797"/>
        <v>0</v>
      </c>
      <c r="V3075" s="1">
        <f t="shared" si="798"/>
        <v>0</v>
      </c>
    </row>
    <row r="3076" spans="5:22" x14ac:dyDescent="0.25">
      <c r="E3076" s="4"/>
      <c r="M3076" s="4">
        <f t="shared" si="791"/>
        <v>173.1</v>
      </c>
      <c r="N3076" s="4"/>
      <c r="O3076" s="1">
        <f t="shared" si="792"/>
        <v>173.1</v>
      </c>
      <c r="P3076" s="1">
        <f t="shared" si="793"/>
        <v>0</v>
      </c>
      <c r="Q3076" s="1" t="str">
        <f t="shared" si="799"/>
        <v/>
      </c>
      <c r="R3076" s="1" t="str">
        <f t="shared" si="794"/>
        <v/>
      </c>
      <c r="S3076" s="1">
        <f t="shared" si="795"/>
        <v>630.90240000000244</v>
      </c>
      <c r="T3076" s="1">
        <f t="shared" si="796"/>
        <v>0</v>
      </c>
      <c r="U3076" s="1">
        <f t="shared" si="797"/>
        <v>0</v>
      </c>
      <c r="V3076" s="1">
        <f t="shared" si="798"/>
        <v>0</v>
      </c>
    </row>
    <row r="3077" spans="5:22" x14ac:dyDescent="0.25">
      <c r="E3077" s="4"/>
      <c r="M3077" s="4">
        <f t="shared" si="791"/>
        <v>173.1</v>
      </c>
      <c r="N3077" s="4"/>
      <c r="O3077" s="1">
        <f t="shared" si="792"/>
        <v>173.1</v>
      </c>
      <c r="P3077" s="1">
        <f t="shared" si="793"/>
        <v>0</v>
      </c>
      <c r="Q3077" s="1" t="str">
        <f t="shared" si="799"/>
        <v/>
      </c>
      <c r="R3077" s="1" t="str">
        <f t="shared" si="794"/>
        <v/>
      </c>
      <c r="S3077" s="1">
        <f t="shared" si="795"/>
        <v>630.90240000000244</v>
      </c>
      <c r="T3077" s="1">
        <f t="shared" si="796"/>
        <v>0</v>
      </c>
      <c r="U3077" s="1">
        <f t="shared" si="797"/>
        <v>0</v>
      </c>
      <c r="V3077" s="1">
        <f t="shared" si="798"/>
        <v>0</v>
      </c>
    </row>
    <row r="3078" spans="5:22" x14ac:dyDescent="0.25">
      <c r="E3078" s="4"/>
      <c r="M3078" s="4">
        <f t="shared" si="791"/>
        <v>173.1</v>
      </c>
      <c r="N3078" s="4"/>
      <c r="O3078" s="1">
        <f t="shared" si="792"/>
        <v>173.1</v>
      </c>
      <c r="P3078" s="1">
        <f t="shared" si="793"/>
        <v>0</v>
      </c>
      <c r="Q3078" s="1" t="str">
        <f t="shared" si="799"/>
        <v/>
      </c>
      <c r="R3078" s="1" t="str">
        <f t="shared" si="794"/>
        <v/>
      </c>
      <c r="S3078" s="1">
        <f t="shared" si="795"/>
        <v>630.90240000000244</v>
      </c>
      <c r="T3078" s="1">
        <f t="shared" si="796"/>
        <v>0</v>
      </c>
      <c r="U3078" s="1">
        <f t="shared" si="797"/>
        <v>0</v>
      </c>
      <c r="V3078" s="1">
        <f t="shared" si="798"/>
        <v>0</v>
      </c>
    </row>
    <row r="3079" spans="5:22" x14ac:dyDescent="0.25">
      <c r="E3079" s="4"/>
      <c r="M3079" s="4">
        <f t="shared" si="791"/>
        <v>173.1</v>
      </c>
      <c r="N3079" s="4"/>
      <c r="O3079" s="1">
        <f t="shared" si="792"/>
        <v>173.1</v>
      </c>
      <c r="P3079" s="1">
        <f t="shared" si="793"/>
        <v>0</v>
      </c>
      <c r="Q3079" s="1" t="str">
        <f t="shared" si="799"/>
        <v/>
      </c>
      <c r="R3079" s="1" t="str">
        <f t="shared" si="794"/>
        <v/>
      </c>
      <c r="S3079" s="1">
        <f t="shared" si="795"/>
        <v>630.90240000000244</v>
      </c>
      <c r="T3079" s="1">
        <f t="shared" si="796"/>
        <v>0</v>
      </c>
      <c r="U3079" s="1">
        <f t="shared" si="797"/>
        <v>0</v>
      </c>
      <c r="V3079" s="1">
        <f t="shared" si="798"/>
        <v>0</v>
      </c>
    </row>
    <row r="3080" spans="5:22" x14ac:dyDescent="0.25">
      <c r="E3080" s="4"/>
      <c r="M3080" s="4">
        <f t="shared" ref="M3080:M3143" si="800">E3080+M3079</f>
        <v>173.1</v>
      </c>
      <c r="N3080" s="4"/>
      <c r="O3080" s="1">
        <f t="shared" ref="O3080:O3143" si="801">E3079+O3079</f>
        <v>173.1</v>
      </c>
      <c r="P3080" s="1">
        <f t="shared" ref="P3080:P3143" si="802">F3080*52.8*E3080</f>
        <v>0</v>
      </c>
      <c r="Q3080" s="1" t="str">
        <f t="shared" si="799"/>
        <v/>
      </c>
      <c r="R3080" s="1" t="str">
        <f t="shared" ref="R3080:R3143" si="803">IF(I3080="",Q3080,IF(AND(H3080=H3079,I3080=I3079),"",I3080))</f>
        <v/>
      </c>
      <c r="S3080" s="1">
        <f t="shared" ref="S3080:S3143" si="804">S3079+U3079*T3079/100</f>
        <v>630.90240000000244</v>
      </c>
      <c r="T3080" s="1">
        <f t="shared" ref="T3080:T3143" si="805">IF(G3080="UNK",0,G3080)</f>
        <v>0</v>
      </c>
      <c r="U3080" s="1">
        <f t="shared" ref="U3080:U3143" si="806">E3080*5280</f>
        <v>0</v>
      </c>
      <c r="V3080" s="1">
        <f t="shared" ref="V3080:V3143" si="807">ABS(T3080*U3080)</f>
        <v>0</v>
      </c>
    </row>
    <row r="3081" spans="5:22" x14ac:dyDescent="0.25">
      <c r="E3081" s="4"/>
      <c r="M3081" s="4">
        <f t="shared" si="800"/>
        <v>173.1</v>
      </c>
      <c r="N3081" s="4"/>
      <c r="O3081" s="1">
        <f t="shared" si="801"/>
        <v>173.1</v>
      </c>
      <c r="P3081" s="1">
        <f t="shared" si="802"/>
        <v>0</v>
      </c>
      <c r="Q3081" s="1" t="str">
        <f t="shared" si="799"/>
        <v/>
      </c>
      <c r="R3081" s="1" t="str">
        <f t="shared" si="803"/>
        <v/>
      </c>
      <c r="S3081" s="1">
        <f t="shared" si="804"/>
        <v>630.90240000000244</v>
      </c>
      <c r="T3081" s="1">
        <f t="shared" si="805"/>
        <v>0</v>
      </c>
      <c r="U3081" s="1">
        <f t="shared" si="806"/>
        <v>0</v>
      </c>
      <c r="V3081" s="1">
        <f t="shared" si="807"/>
        <v>0</v>
      </c>
    </row>
    <row r="3082" spans="5:22" x14ac:dyDescent="0.25">
      <c r="E3082" s="4"/>
      <c r="M3082" s="4">
        <f t="shared" si="800"/>
        <v>173.1</v>
      </c>
      <c r="N3082" s="4"/>
      <c r="O3082" s="1">
        <f t="shared" si="801"/>
        <v>173.1</v>
      </c>
      <c r="P3082" s="1">
        <f t="shared" si="802"/>
        <v>0</v>
      </c>
      <c r="Q3082" s="1" t="str">
        <f t="shared" si="799"/>
        <v/>
      </c>
      <c r="R3082" s="1" t="str">
        <f t="shared" si="803"/>
        <v/>
      </c>
      <c r="S3082" s="1">
        <f t="shared" si="804"/>
        <v>630.90240000000244</v>
      </c>
      <c r="T3082" s="1">
        <f t="shared" si="805"/>
        <v>0</v>
      </c>
      <c r="U3082" s="1">
        <f t="shared" si="806"/>
        <v>0</v>
      </c>
      <c r="V3082" s="1">
        <f t="shared" si="807"/>
        <v>0</v>
      </c>
    </row>
    <row r="3083" spans="5:22" x14ac:dyDescent="0.25">
      <c r="E3083" s="4"/>
      <c r="M3083" s="4">
        <f t="shared" si="800"/>
        <v>173.1</v>
      </c>
      <c r="N3083" s="4"/>
      <c r="O3083" s="1">
        <f t="shared" si="801"/>
        <v>173.1</v>
      </c>
      <c r="P3083" s="1">
        <f t="shared" si="802"/>
        <v>0</v>
      </c>
      <c r="Q3083" s="1" t="str">
        <f t="shared" si="799"/>
        <v/>
      </c>
      <c r="R3083" s="1" t="str">
        <f t="shared" si="803"/>
        <v/>
      </c>
      <c r="S3083" s="1">
        <f t="shared" si="804"/>
        <v>630.90240000000244</v>
      </c>
      <c r="T3083" s="1">
        <f t="shared" si="805"/>
        <v>0</v>
      </c>
      <c r="U3083" s="1">
        <f t="shared" si="806"/>
        <v>0</v>
      </c>
      <c r="V3083" s="1">
        <f t="shared" si="807"/>
        <v>0</v>
      </c>
    </row>
    <row r="3084" spans="5:22" x14ac:dyDescent="0.25">
      <c r="E3084" s="4"/>
      <c r="M3084" s="4">
        <f t="shared" si="800"/>
        <v>173.1</v>
      </c>
      <c r="N3084" s="4"/>
      <c r="O3084" s="1">
        <f t="shared" si="801"/>
        <v>173.1</v>
      </c>
      <c r="P3084" s="1">
        <f t="shared" si="802"/>
        <v>0</v>
      </c>
      <c r="Q3084" s="1" t="str">
        <f t="shared" si="799"/>
        <v/>
      </c>
      <c r="R3084" s="1" t="str">
        <f t="shared" si="803"/>
        <v/>
      </c>
      <c r="S3084" s="1">
        <f t="shared" si="804"/>
        <v>630.90240000000244</v>
      </c>
      <c r="T3084" s="1">
        <f t="shared" si="805"/>
        <v>0</v>
      </c>
      <c r="U3084" s="1">
        <f t="shared" si="806"/>
        <v>0</v>
      </c>
      <c r="V3084" s="1">
        <f t="shared" si="807"/>
        <v>0</v>
      </c>
    </row>
    <row r="3085" spans="5:22" x14ac:dyDescent="0.25">
      <c r="E3085" s="4"/>
      <c r="M3085" s="4">
        <f t="shared" si="800"/>
        <v>173.1</v>
      </c>
      <c r="N3085" s="4"/>
      <c r="O3085" s="1">
        <f t="shared" si="801"/>
        <v>173.1</v>
      </c>
      <c r="P3085" s="1">
        <f t="shared" si="802"/>
        <v>0</v>
      </c>
      <c r="Q3085" s="1" t="str">
        <f t="shared" si="799"/>
        <v/>
      </c>
      <c r="R3085" s="1" t="str">
        <f t="shared" si="803"/>
        <v/>
      </c>
      <c r="S3085" s="1">
        <f t="shared" si="804"/>
        <v>630.90240000000244</v>
      </c>
      <c r="T3085" s="1">
        <f t="shared" si="805"/>
        <v>0</v>
      </c>
      <c r="U3085" s="1">
        <f t="shared" si="806"/>
        <v>0</v>
      </c>
      <c r="V3085" s="1">
        <f t="shared" si="807"/>
        <v>0</v>
      </c>
    </row>
    <row r="3086" spans="5:22" x14ac:dyDescent="0.25">
      <c r="E3086" s="4"/>
      <c r="M3086" s="4">
        <f t="shared" si="800"/>
        <v>173.1</v>
      </c>
      <c r="N3086" s="4"/>
      <c r="O3086" s="1">
        <f t="shared" si="801"/>
        <v>173.1</v>
      </c>
      <c r="P3086" s="1">
        <f t="shared" si="802"/>
        <v>0</v>
      </c>
      <c r="Q3086" s="1" t="str">
        <f t="shared" si="799"/>
        <v/>
      </c>
      <c r="R3086" s="1" t="str">
        <f t="shared" si="803"/>
        <v/>
      </c>
      <c r="S3086" s="1">
        <f t="shared" si="804"/>
        <v>630.90240000000244</v>
      </c>
      <c r="T3086" s="1">
        <f t="shared" si="805"/>
        <v>0</v>
      </c>
      <c r="U3086" s="1">
        <f t="shared" si="806"/>
        <v>0</v>
      </c>
      <c r="V3086" s="1">
        <f t="shared" si="807"/>
        <v>0</v>
      </c>
    </row>
    <row r="3087" spans="5:22" x14ac:dyDescent="0.25">
      <c r="E3087" s="4"/>
      <c r="M3087" s="4">
        <f t="shared" si="800"/>
        <v>173.1</v>
      </c>
      <c r="N3087" s="4"/>
      <c r="O3087" s="1">
        <f t="shared" si="801"/>
        <v>173.1</v>
      </c>
      <c r="P3087" s="1">
        <f t="shared" si="802"/>
        <v>0</v>
      </c>
      <c r="Q3087" s="1" t="str">
        <f t="shared" si="799"/>
        <v/>
      </c>
      <c r="R3087" s="1" t="str">
        <f t="shared" si="803"/>
        <v/>
      </c>
      <c r="S3087" s="1">
        <f t="shared" si="804"/>
        <v>630.90240000000244</v>
      </c>
      <c r="T3087" s="1">
        <f t="shared" si="805"/>
        <v>0</v>
      </c>
      <c r="U3087" s="1">
        <f t="shared" si="806"/>
        <v>0</v>
      </c>
      <c r="V3087" s="1">
        <f t="shared" si="807"/>
        <v>0</v>
      </c>
    </row>
    <row r="3088" spans="5:22" x14ac:dyDescent="0.25">
      <c r="E3088" s="4"/>
      <c r="M3088" s="4">
        <f t="shared" si="800"/>
        <v>173.1</v>
      </c>
      <c r="N3088" s="4"/>
      <c r="O3088" s="1">
        <f t="shared" si="801"/>
        <v>173.1</v>
      </c>
      <c r="P3088" s="1">
        <f t="shared" si="802"/>
        <v>0</v>
      </c>
      <c r="Q3088" s="1" t="str">
        <f t="shared" si="799"/>
        <v/>
      </c>
      <c r="R3088" s="1" t="str">
        <f t="shared" si="803"/>
        <v/>
      </c>
      <c r="S3088" s="1">
        <f t="shared" si="804"/>
        <v>630.90240000000244</v>
      </c>
      <c r="T3088" s="1">
        <f t="shared" si="805"/>
        <v>0</v>
      </c>
      <c r="U3088" s="1">
        <f t="shared" si="806"/>
        <v>0</v>
      </c>
      <c r="V3088" s="1">
        <f t="shared" si="807"/>
        <v>0</v>
      </c>
    </row>
    <row r="3089" spans="5:22" x14ac:dyDescent="0.25">
      <c r="E3089" s="4"/>
      <c r="M3089" s="4">
        <f t="shared" si="800"/>
        <v>173.1</v>
      </c>
      <c r="N3089" s="4"/>
      <c r="O3089" s="1">
        <f t="shared" si="801"/>
        <v>173.1</v>
      </c>
      <c r="P3089" s="1">
        <f t="shared" si="802"/>
        <v>0</v>
      </c>
      <c r="Q3089" s="1" t="str">
        <f t="shared" si="799"/>
        <v/>
      </c>
      <c r="R3089" s="1" t="str">
        <f t="shared" si="803"/>
        <v/>
      </c>
      <c r="S3089" s="1">
        <f t="shared" si="804"/>
        <v>630.90240000000244</v>
      </c>
      <c r="T3089" s="1">
        <f t="shared" si="805"/>
        <v>0</v>
      </c>
      <c r="U3089" s="1">
        <f t="shared" si="806"/>
        <v>0</v>
      </c>
      <c r="V3089" s="1">
        <f t="shared" si="807"/>
        <v>0</v>
      </c>
    </row>
    <row r="3090" spans="5:22" x14ac:dyDescent="0.25">
      <c r="E3090" s="4"/>
      <c r="M3090" s="4">
        <f t="shared" si="800"/>
        <v>173.1</v>
      </c>
      <c r="N3090" s="4"/>
      <c r="O3090" s="1">
        <f t="shared" si="801"/>
        <v>173.1</v>
      </c>
      <c r="P3090" s="1">
        <f t="shared" si="802"/>
        <v>0</v>
      </c>
      <c r="Q3090" s="1" t="str">
        <f t="shared" si="799"/>
        <v/>
      </c>
      <c r="R3090" s="1" t="str">
        <f t="shared" si="803"/>
        <v/>
      </c>
      <c r="S3090" s="1">
        <f t="shared" si="804"/>
        <v>630.90240000000244</v>
      </c>
      <c r="T3090" s="1">
        <f t="shared" si="805"/>
        <v>0</v>
      </c>
      <c r="U3090" s="1">
        <f t="shared" si="806"/>
        <v>0</v>
      </c>
      <c r="V3090" s="1">
        <f t="shared" si="807"/>
        <v>0</v>
      </c>
    </row>
    <row r="3091" spans="5:22" x14ac:dyDescent="0.25">
      <c r="E3091" s="4"/>
      <c r="M3091" s="4">
        <f t="shared" si="800"/>
        <v>173.1</v>
      </c>
      <c r="N3091" s="4"/>
      <c r="O3091" s="1">
        <f t="shared" si="801"/>
        <v>173.1</v>
      </c>
      <c r="P3091" s="1">
        <f t="shared" si="802"/>
        <v>0</v>
      </c>
      <c r="Q3091" s="1" t="str">
        <f t="shared" si="799"/>
        <v/>
      </c>
      <c r="R3091" s="1" t="str">
        <f t="shared" si="803"/>
        <v/>
      </c>
      <c r="S3091" s="1">
        <f t="shared" si="804"/>
        <v>630.90240000000244</v>
      </c>
      <c r="T3091" s="1">
        <f t="shared" si="805"/>
        <v>0</v>
      </c>
      <c r="U3091" s="1">
        <f t="shared" si="806"/>
        <v>0</v>
      </c>
      <c r="V3091" s="1">
        <f t="shared" si="807"/>
        <v>0</v>
      </c>
    </row>
    <row r="3092" spans="5:22" x14ac:dyDescent="0.25">
      <c r="E3092" s="4"/>
      <c r="M3092" s="4">
        <f t="shared" si="800"/>
        <v>173.1</v>
      </c>
      <c r="N3092" s="4"/>
      <c r="O3092" s="1">
        <f t="shared" si="801"/>
        <v>173.1</v>
      </c>
      <c r="P3092" s="1">
        <f t="shared" si="802"/>
        <v>0</v>
      </c>
      <c r="Q3092" s="1" t="str">
        <f t="shared" si="799"/>
        <v/>
      </c>
      <c r="R3092" s="1" t="str">
        <f t="shared" si="803"/>
        <v/>
      </c>
      <c r="S3092" s="1">
        <f t="shared" si="804"/>
        <v>630.90240000000244</v>
      </c>
      <c r="T3092" s="1">
        <f t="shared" si="805"/>
        <v>0</v>
      </c>
      <c r="U3092" s="1">
        <f t="shared" si="806"/>
        <v>0</v>
      </c>
      <c r="V3092" s="1">
        <f t="shared" si="807"/>
        <v>0</v>
      </c>
    </row>
    <row r="3093" spans="5:22" x14ac:dyDescent="0.25">
      <c r="E3093" s="4"/>
      <c r="M3093" s="4">
        <f t="shared" si="800"/>
        <v>173.1</v>
      </c>
      <c r="N3093" s="4"/>
      <c r="O3093" s="1">
        <f t="shared" si="801"/>
        <v>173.1</v>
      </c>
      <c r="P3093" s="1">
        <f t="shared" si="802"/>
        <v>0</v>
      </c>
      <c r="Q3093" s="1" t="str">
        <f t="shared" si="799"/>
        <v/>
      </c>
      <c r="R3093" s="1" t="str">
        <f t="shared" si="803"/>
        <v/>
      </c>
      <c r="S3093" s="1">
        <f t="shared" si="804"/>
        <v>630.90240000000244</v>
      </c>
      <c r="T3093" s="1">
        <f t="shared" si="805"/>
        <v>0</v>
      </c>
      <c r="U3093" s="1">
        <f t="shared" si="806"/>
        <v>0</v>
      </c>
      <c r="V3093" s="1">
        <f t="shared" si="807"/>
        <v>0</v>
      </c>
    </row>
    <row r="3094" spans="5:22" x14ac:dyDescent="0.25">
      <c r="E3094" s="4"/>
      <c r="M3094" s="4">
        <f t="shared" si="800"/>
        <v>173.1</v>
      </c>
      <c r="N3094" s="4"/>
      <c r="O3094" s="1">
        <f t="shared" si="801"/>
        <v>173.1</v>
      </c>
      <c r="P3094" s="1">
        <f t="shared" si="802"/>
        <v>0</v>
      </c>
      <c r="Q3094" s="1" t="str">
        <f t="shared" si="799"/>
        <v/>
      </c>
      <c r="R3094" s="1" t="str">
        <f t="shared" si="803"/>
        <v/>
      </c>
      <c r="S3094" s="1">
        <f t="shared" si="804"/>
        <v>630.90240000000244</v>
      </c>
      <c r="T3094" s="1">
        <f t="shared" si="805"/>
        <v>0</v>
      </c>
      <c r="U3094" s="1">
        <f t="shared" si="806"/>
        <v>0</v>
      </c>
      <c r="V3094" s="1">
        <f t="shared" si="807"/>
        <v>0</v>
      </c>
    </row>
    <row r="3095" spans="5:22" x14ac:dyDescent="0.25">
      <c r="E3095" s="4"/>
      <c r="M3095" s="4">
        <f t="shared" si="800"/>
        <v>173.1</v>
      </c>
      <c r="N3095" s="4"/>
      <c r="O3095" s="1">
        <f t="shared" si="801"/>
        <v>173.1</v>
      </c>
      <c r="P3095" s="1">
        <f t="shared" si="802"/>
        <v>0</v>
      </c>
      <c r="Q3095" s="1" t="str">
        <f t="shared" si="799"/>
        <v/>
      </c>
      <c r="R3095" s="1" t="str">
        <f t="shared" si="803"/>
        <v/>
      </c>
      <c r="S3095" s="1">
        <f t="shared" si="804"/>
        <v>630.90240000000244</v>
      </c>
      <c r="T3095" s="1">
        <f t="shared" si="805"/>
        <v>0</v>
      </c>
      <c r="U3095" s="1">
        <f t="shared" si="806"/>
        <v>0</v>
      </c>
      <c r="V3095" s="1">
        <f t="shared" si="807"/>
        <v>0</v>
      </c>
    </row>
    <row r="3096" spans="5:22" x14ac:dyDescent="0.25">
      <c r="E3096" s="4"/>
      <c r="M3096" s="4">
        <f t="shared" si="800"/>
        <v>173.1</v>
      </c>
      <c r="N3096" s="4"/>
      <c r="O3096" s="1">
        <f t="shared" si="801"/>
        <v>173.1</v>
      </c>
      <c r="P3096" s="1">
        <f t="shared" si="802"/>
        <v>0</v>
      </c>
      <c r="Q3096" s="1" t="str">
        <f t="shared" si="799"/>
        <v/>
      </c>
      <c r="R3096" s="1" t="str">
        <f t="shared" si="803"/>
        <v/>
      </c>
      <c r="S3096" s="1">
        <f t="shared" si="804"/>
        <v>630.90240000000244</v>
      </c>
      <c r="T3096" s="1">
        <f t="shared" si="805"/>
        <v>0</v>
      </c>
      <c r="U3096" s="1">
        <f t="shared" si="806"/>
        <v>0</v>
      </c>
      <c r="V3096" s="1">
        <f t="shared" si="807"/>
        <v>0</v>
      </c>
    </row>
    <row r="3097" spans="5:22" x14ac:dyDescent="0.25">
      <c r="E3097" s="4"/>
      <c r="M3097" s="4">
        <f t="shared" si="800"/>
        <v>173.1</v>
      </c>
      <c r="N3097" s="4"/>
      <c r="O3097" s="1">
        <f t="shared" si="801"/>
        <v>173.1</v>
      </c>
      <c r="P3097" s="1">
        <f t="shared" si="802"/>
        <v>0</v>
      </c>
      <c r="Q3097" s="1" t="str">
        <f t="shared" si="799"/>
        <v/>
      </c>
      <c r="R3097" s="1" t="str">
        <f t="shared" si="803"/>
        <v/>
      </c>
      <c r="S3097" s="1">
        <f t="shared" si="804"/>
        <v>630.90240000000244</v>
      </c>
      <c r="T3097" s="1">
        <f t="shared" si="805"/>
        <v>0</v>
      </c>
      <c r="U3097" s="1">
        <f t="shared" si="806"/>
        <v>0</v>
      </c>
      <c r="V3097" s="1">
        <f t="shared" si="807"/>
        <v>0</v>
      </c>
    </row>
    <row r="3098" spans="5:22" x14ac:dyDescent="0.25">
      <c r="E3098" s="4"/>
      <c r="M3098" s="4">
        <f t="shared" si="800"/>
        <v>173.1</v>
      </c>
      <c r="N3098" s="4"/>
      <c r="O3098" s="1">
        <f t="shared" si="801"/>
        <v>173.1</v>
      </c>
      <c r="P3098" s="1">
        <f t="shared" si="802"/>
        <v>0</v>
      </c>
      <c r="Q3098" s="1" t="str">
        <f t="shared" si="799"/>
        <v/>
      </c>
      <c r="R3098" s="1" t="str">
        <f t="shared" si="803"/>
        <v/>
      </c>
      <c r="S3098" s="1">
        <f t="shared" si="804"/>
        <v>630.90240000000244</v>
      </c>
      <c r="T3098" s="1">
        <f t="shared" si="805"/>
        <v>0</v>
      </c>
      <c r="U3098" s="1">
        <f t="shared" si="806"/>
        <v>0</v>
      </c>
      <c r="V3098" s="1">
        <f t="shared" si="807"/>
        <v>0</v>
      </c>
    </row>
    <row r="3099" spans="5:22" x14ac:dyDescent="0.25">
      <c r="E3099" s="4"/>
      <c r="M3099" s="4">
        <f t="shared" si="800"/>
        <v>173.1</v>
      </c>
      <c r="N3099" s="4"/>
      <c r="O3099" s="1">
        <f t="shared" si="801"/>
        <v>173.1</v>
      </c>
      <c r="P3099" s="1">
        <f t="shared" si="802"/>
        <v>0</v>
      </c>
      <c r="Q3099" s="1" t="str">
        <f t="shared" si="799"/>
        <v/>
      </c>
      <c r="R3099" s="1" t="str">
        <f t="shared" si="803"/>
        <v/>
      </c>
      <c r="S3099" s="1">
        <f t="shared" si="804"/>
        <v>630.90240000000244</v>
      </c>
      <c r="T3099" s="1">
        <f t="shared" si="805"/>
        <v>0</v>
      </c>
      <c r="U3099" s="1">
        <f t="shared" si="806"/>
        <v>0</v>
      </c>
      <c r="V3099" s="1">
        <f t="shared" si="807"/>
        <v>0</v>
      </c>
    </row>
    <row r="3100" spans="5:22" x14ac:dyDescent="0.25">
      <c r="E3100" s="4"/>
      <c r="M3100" s="4">
        <f t="shared" si="800"/>
        <v>173.1</v>
      </c>
      <c r="N3100" s="4"/>
      <c r="O3100" s="1">
        <f t="shared" si="801"/>
        <v>173.1</v>
      </c>
      <c r="P3100" s="1">
        <f t="shared" si="802"/>
        <v>0</v>
      </c>
      <c r="Q3100" s="1" t="str">
        <f t="shared" si="799"/>
        <v/>
      </c>
      <c r="R3100" s="1" t="str">
        <f t="shared" si="803"/>
        <v/>
      </c>
      <c r="S3100" s="1">
        <f t="shared" si="804"/>
        <v>630.90240000000244</v>
      </c>
      <c r="T3100" s="1">
        <f t="shared" si="805"/>
        <v>0</v>
      </c>
      <c r="U3100" s="1">
        <f t="shared" si="806"/>
        <v>0</v>
      </c>
      <c r="V3100" s="1">
        <f t="shared" si="807"/>
        <v>0</v>
      </c>
    </row>
    <row r="3101" spans="5:22" x14ac:dyDescent="0.25">
      <c r="E3101" s="4"/>
      <c r="M3101" s="4">
        <f t="shared" si="800"/>
        <v>173.1</v>
      </c>
      <c r="N3101" s="4"/>
      <c r="O3101" s="1">
        <f t="shared" si="801"/>
        <v>173.1</v>
      </c>
      <c r="P3101" s="1">
        <f t="shared" si="802"/>
        <v>0</v>
      </c>
      <c r="Q3101" s="1" t="str">
        <f t="shared" si="799"/>
        <v/>
      </c>
      <c r="R3101" s="1" t="str">
        <f t="shared" si="803"/>
        <v/>
      </c>
      <c r="S3101" s="1">
        <f t="shared" si="804"/>
        <v>630.90240000000244</v>
      </c>
      <c r="T3101" s="1">
        <f t="shared" si="805"/>
        <v>0</v>
      </c>
      <c r="U3101" s="1">
        <f t="shared" si="806"/>
        <v>0</v>
      </c>
      <c r="V3101" s="1">
        <f t="shared" si="807"/>
        <v>0</v>
      </c>
    </row>
    <row r="3102" spans="5:22" x14ac:dyDescent="0.25">
      <c r="E3102" s="4"/>
      <c r="M3102" s="4">
        <f t="shared" si="800"/>
        <v>173.1</v>
      </c>
      <c r="N3102" s="4"/>
      <c r="O3102" s="1">
        <f t="shared" si="801"/>
        <v>173.1</v>
      </c>
      <c r="P3102" s="1">
        <f t="shared" si="802"/>
        <v>0</v>
      </c>
      <c r="Q3102" s="1" t="str">
        <f t="shared" si="799"/>
        <v/>
      </c>
      <c r="R3102" s="1" t="str">
        <f t="shared" si="803"/>
        <v/>
      </c>
      <c r="S3102" s="1">
        <f t="shared" si="804"/>
        <v>630.90240000000244</v>
      </c>
      <c r="T3102" s="1">
        <f t="shared" si="805"/>
        <v>0</v>
      </c>
      <c r="U3102" s="1">
        <f t="shared" si="806"/>
        <v>0</v>
      </c>
      <c r="V3102" s="1">
        <f t="shared" si="807"/>
        <v>0</v>
      </c>
    </row>
    <row r="3103" spans="5:22" x14ac:dyDescent="0.25">
      <c r="E3103" s="4"/>
      <c r="M3103" s="4">
        <f t="shared" si="800"/>
        <v>173.1</v>
      </c>
      <c r="N3103" s="4"/>
      <c r="O3103" s="1">
        <f t="shared" si="801"/>
        <v>173.1</v>
      </c>
      <c r="P3103" s="1">
        <f t="shared" si="802"/>
        <v>0</v>
      </c>
      <c r="Q3103" s="1" t="str">
        <f t="shared" si="799"/>
        <v/>
      </c>
      <c r="R3103" s="1" t="str">
        <f t="shared" si="803"/>
        <v/>
      </c>
      <c r="S3103" s="1">
        <f t="shared" si="804"/>
        <v>630.90240000000244</v>
      </c>
      <c r="T3103" s="1">
        <f t="shared" si="805"/>
        <v>0</v>
      </c>
      <c r="U3103" s="1">
        <f t="shared" si="806"/>
        <v>0</v>
      </c>
      <c r="V3103" s="1">
        <f t="shared" si="807"/>
        <v>0</v>
      </c>
    </row>
    <row r="3104" spans="5:22" x14ac:dyDescent="0.25">
      <c r="E3104" s="4"/>
      <c r="M3104" s="4">
        <f t="shared" si="800"/>
        <v>173.1</v>
      </c>
      <c r="N3104" s="4"/>
      <c r="O3104" s="1">
        <f t="shared" si="801"/>
        <v>173.1</v>
      </c>
      <c r="P3104" s="1">
        <f t="shared" si="802"/>
        <v>0</v>
      </c>
      <c r="Q3104" s="1" t="str">
        <f t="shared" si="799"/>
        <v/>
      </c>
      <c r="R3104" s="1" t="str">
        <f t="shared" si="803"/>
        <v/>
      </c>
      <c r="S3104" s="1">
        <f t="shared" si="804"/>
        <v>630.90240000000244</v>
      </c>
      <c r="T3104" s="1">
        <f t="shared" si="805"/>
        <v>0</v>
      </c>
      <c r="U3104" s="1">
        <f t="shared" si="806"/>
        <v>0</v>
      </c>
      <c r="V3104" s="1">
        <f t="shared" si="807"/>
        <v>0</v>
      </c>
    </row>
    <row r="3105" spans="5:22" x14ac:dyDescent="0.25">
      <c r="E3105" s="4"/>
      <c r="M3105" s="4">
        <f t="shared" si="800"/>
        <v>173.1</v>
      </c>
      <c r="N3105" s="4"/>
      <c r="O3105" s="1">
        <f t="shared" si="801"/>
        <v>173.1</v>
      </c>
      <c r="P3105" s="1">
        <f t="shared" si="802"/>
        <v>0</v>
      </c>
      <c r="Q3105" s="1" t="str">
        <f t="shared" si="799"/>
        <v/>
      </c>
      <c r="R3105" s="1" t="str">
        <f t="shared" si="803"/>
        <v/>
      </c>
      <c r="S3105" s="1">
        <f t="shared" si="804"/>
        <v>630.90240000000244</v>
      </c>
      <c r="T3105" s="1">
        <f t="shared" si="805"/>
        <v>0</v>
      </c>
      <c r="U3105" s="1">
        <f t="shared" si="806"/>
        <v>0</v>
      </c>
      <c r="V3105" s="1">
        <f t="shared" si="807"/>
        <v>0</v>
      </c>
    </row>
    <row r="3106" spans="5:22" x14ac:dyDescent="0.25">
      <c r="E3106" s="4"/>
      <c r="M3106" s="4">
        <f t="shared" si="800"/>
        <v>173.1</v>
      </c>
      <c r="N3106" s="4"/>
      <c r="O3106" s="1">
        <f t="shared" si="801"/>
        <v>173.1</v>
      </c>
      <c r="P3106" s="1">
        <f t="shared" si="802"/>
        <v>0</v>
      </c>
      <c r="Q3106" s="1" t="str">
        <f t="shared" si="799"/>
        <v/>
      </c>
      <c r="R3106" s="1" t="str">
        <f t="shared" si="803"/>
        <v/>
      </c>
      <c r="S3106" s="1">
        <f t="shared" si="804"/>
        <v>630.90240000000244</v>
      </c>
      <c r="T3106" s="1">
        <f t="shared" si="805"/>
        <v>0</v>
      </c>
      <c r="U3106" s="1">
        <f t="shared" si="806"/>
        <v>0</v>
      </c>
      <c r="V3106" s="1">
        <f t="shared" si="807"/>
        <v>0</v>
      </c>
    </row>
    <row r="3107" spans="5:22" x14ac:dyDescent="0.25">
      <c r="E3107" s="4"/>
      <c r="M3107" s="4">
        <f t="shared" si="800"/>
        <v>173.1</v>
      </c>
      <c r="N3107" s="4"/>
      <c r="O3107" s="1">
        <f t="shared" si="801"/>
        <v>173.1</v>
      </c>
      <c r="P3107" s="1">
        <f t="shared" si="802"/>
        <v>0</v>
      </c>
      <c r="Q3107" s="1" t="str">
        <f t="shared" si="799"/>
        <v/>
      </c>
      <c r="R3107" s="1" t="str">
        <f t="shared" si="803"/>
        <v/>
      </c>
      <c r="S3107" s="1">
        <f t="shared" si="804"/>
        <v>630.90240000000244</v>
      </c>
      <c r="T3107" s="1">
        <f t="shared" si="805"/>
        <v>0</v>
      </c>
      <c r="U3107" s="1">
        <f t="shared" si="806"/>
        <v>0</v>
      </c>
      <c r="V3107" s="1">
        <f t="shared" si="807"/>
        <v>0</v>
      </c>
    </row>
    <row r="3108" spans="5:22" x14ac:dyDescent="0.25">
      <c r="E3108" s="4"/>
      <c r="M3108" s="4">
        <f t="shared" si="800"/>
        <v>173.1</v>
      </c>
      <c r="N3108" s="4"/>
      <c r="O3108" s="1">
        <f t="shared" si="801"/>
        <v>173.1</v>
      </c>
      <c r="P3108" s="1">
        <f t="shared" si="802"/>
        <v>0</v>
      </c>
      <c r="Q3108" s="1" t="str">
        <f t="shared" si="799"/>
        <v/>
      </c>
      <c r="R3108" s="1" t="str">
        <f t="shared" si="803"/>
        <v/>
      </c>
      <c r="S3108" s="1">
        <f t="shared" si="804"/>
        <v>630.90240000000244</v>
      </c>
      <c r="T3108" s="1">
        <f t="shared" si="805"/>
        <v>0</v>
      </c>
      <c r="U3108" s="1">
        <f t="shared" si="806"/>
        <v>0</v>
      </c>
      <c r="V3108" s="1">
        <f t="shared" si="807"/>
        <v>0</v>
      </c>
    </row>
    <row r="3109" spans="5:22" x14ac:dyDescent="0.25">
      <c r="E3109" s="4"/>
      <c r="M3109" s="4">
        <f t="shared" si="800"/>
        <v>173.1</v>
      </c>
      <c r="N3109" s="4"/>
      <c r="O3109" s="1">
        <f t="shared" si="801"/>
        <v>173.1</v>
      </c>
      <c r="P3109" s="1">
        <f t="shared" si="802"/>
        <v>0</v>
      </c>
      <c r="Q3109" s="1" t="str">
        <f t="shared" si="799"/>
        <v/>
      </c>
      <c r="R3109" s="1" t="str">
        <f t="shared" si="803"/>
        <v/>
      </c>
      <c r="S3109" s="1">
        <f t="shared" si="804"/>
        <v>630.90240000000244</v>
      </c>
      <c r="T3109" s="1">
        <f t="shared" si="805"/>
        <v>0</v>
      </c>
      <c r="U3109" s="1">
        <f t="shared" si="806"/>
        <v>0</v>
      </c>
      <c r="V3109" s="1">
        <f t="shared" si="807"/>
        <v>0</v>
      </c>
    </row>
    <row r="3110" spans="5:22" x14ac:dyDescent="0.25">
      <c r="E3110" s="4"/>
      <c r="M3110" s="4">
        <f t="shared" si="800"/>
        <v>173.1</v>
      </c>
      <c r="N3110" s="4"/>
      <c r="O3110" s="1">
        <f t="shared" si="801"/>
        <v>173.1</v>
      </c>
      <c r="P3110" s="1">
        <f t="shared" si="802"/>
        <v>0</v>
      </c>
      <c r="Q3110" s="1" t="str">
        <f t="shared" si="799"/>
        <v/>
      </c>
      <c r="R3110" s="1" t="str">
        <f t="shared" si="803"/>
        <v/>
      </c>
      <c r="S3110" s="1">
        <f t="shared" si="804"/>
        <v>630.90240000000244</v>
      </c>
      <c r="T3110" s="1">
        <f t="shared" si="805"/>
        <v>0</v>
      </c>
      <c r="U3110" s="1">
        <f t="shared" si="806"/>
        <v>0</v>
      </c>
      <c r="V3110" s="1">
        <f t="shared" si="807"/>
        <v>0</v>
      </c>
    </row>
    <row r="3111" spans="5:22" x14ac:dyDescent="0.25">
      <c r="E3111" s="4"/>
      <c r="M3111" s="4">
        <f t="shared" si="800"/>
        <v>173.1</v>
      </c>
      <c r="N3111" s="4"/>
      <c r="O3111" s="1">
        <f t="shared" si="801"/>
        <v>173.1</v>
      </c>
      <c r="P3111" s="1">
        <f t="shared" si="802"/>
        <v>0</v>
      </c>
      <c r="Q3111" s="1" t="str">
        <f t="shared" si="799"/>
        <v/>
      </c>
      <c r="R3111" s="1" t="str">
        <f t="shared" si="803"/>
        <v/>
      </c>
      <c r="S3111" s="1">
        <f t="shared" si="804"/>
        <v>630.90240000000244</v>
      </c>
      <c r="T3111" s="1">
        <f t="shared" si="805"/>
        <v>0</v>
      </c>
      <c r="U3111" s="1">
        <f t="shared" si="806"/>
        <v>0</v>
      </c>
      <c r="V3111" s="1">
        <f t="shared" si="807"/>
        <v>0</v>
      </c>
    </row>
    <row r="3112" spans="5:22" x14ac:dyDescent="0.25">
      <c r="E3112" s="4"/>
      <c r="M3112" s="4">
        <f t="shared" si="800"/>
        <v>173.1</v>
      </c>
      <c r="N3112" s="4"/>
      <c r="O3112" s="1">
        <f t="shared" si="801"/>
        <v>173.1</v>
      </c>
      <c r="P3112" s="1">
        <f t="shared" si="802"/>
        <v>0</v>
      </c>
      <c r="Q3112" s="1" t="str">
        <f t="shared" si="799"/>
        <v/>
      </c>
      <c r="R3112" s="1" t="str">
        <f t="shared" si="803"/>
        <v/>
      </c>
      <c r="S3112" s="1">
        <f t="shared" si="804"/>
        <v>630.90240000000244</v>
      </c>
      <c r="T3112" s="1">
        <f t="shared" si="805"/>
        <v>0</v>
      </c>
      <c r="U3112" s="1">
        <f t="shared" si="806"/>
        <v>0</v>
      </c>
      <c r="V3112" s="1">
        <f t="shared" si="807"/>
        <v>0</v>
      </c>
    </row>
    <row r="3113" spans="5:22" x14ac:dyDescent="0.25">
      <c r="E3113" s="4"/>
      <c r="M3113" s="4">
        <f t="shared" si="800"/>
        <v>173.1</v>
      </c>
      <c r="N3113" s="4"/>
      <c r="O3113" s="1">
        <f t="shared" si="801"/>
        <v>173.1</v>
      </c>
      <c r="P3113" s="1">
        <f t="shared" si="802"/>
        <v>0</v>
      </c>
      <c r="Q3113" s="1" t="str">
        <f t="shared" si="799"/>
        <v/>
      </c>
      <c r="R3113" s="1" t="str">
        <f t="shared" si="803"/>
        <v/>
      </c>
      <c r="S3113" s="1">
        <f t="shared" si="804"/>
        <v>630.90240000000244</v>
      </c>
      <c r="T3113" s="1">
        <f t="shared" si="805"/>
        <v>0</v>
      </c>
      <c r="U3113" s="1">
        <f t="shared" si="806"/>
        <v>0</v>
      </c>
      <c r="V3113" s="1">
        <f t="shared" si="807"/>
        <v>0</v>
      </c>
    </row>
    <row r="3114" spans="5:22" x14ac:dyDescent="0.25">
      <c r="E3114" s="4"/>
      <c r="M3114" s="4">
        <f t="shared" si="800"/>
        <v>173.1</v>
      </c>
      <c r="N3114" s="4"/>
      <c r="O3114" s="1">
        <f t="shared" si="801"/>
        <v>173.1</v>
      </c>
      <c r="P3114" s="1">
        <f t="shared" si="802"/>
        <v>0</v>
      </c>
      <c r="Q3114" s="1" t="str">
        <f t="shared" si="799"/>
        <v/>
      </c>
      <c r="R3114" s="1" t="str">
        <f t="shared" si="803"/>
        <v/>
      </c>
      <c r="S3114" s="1">
        <f t="shared" si="804"/>
        <v>630.90240000000244</v>
      </c>
      <c r="T3114" s="1">
        <f t="shared" si="805"/>
        <v>0</v>
      </c>
      <c r="U3114" s="1">
        <f t="shared" si="806"/>
        <v>0</v>
      </c>
      <c r="V3114" s="1">
        <f t="shared" si="807"/>
        <v>0</v>
      </c>
    </row>
    <row r="3115" spans="5:22" x14ac:dyDescent="0.25">
      <c r="E3115" s="4"/>
      <c r="M3115" s="4">
        <f t="shared" si="800"/>
        <v>173.1</v>
      </c>
      <c r="N3115" s="4"/>
      <c r="O3115" s="1">
        <f t="shared" si="801"/>
        <v>173.1</v>
      </c>
      <c r="P3115" s="1">
        <f t="shared" si="802"/>
        <v>0</v>
      </c>
      <c r="Q3115" s="1" t="str">
        <f t="shared" si="799"/>
        <v/>
      </c>
      <c r="R3115" s="1" t="str">
        <f t="shared" si="803"/>
        <v/>
      </c>
      <c r="S3115" s="1">
        <f t="shared" si="804"/>
        <v>630.90240000000244</v>
      </c>
      <c r="T3115" s="1">
        <f t="shared" si="805"/>
        <v>0</v>
      </c>
      <c r="U3115" s="1">
        <f t="shared" si="806"/>
        <v>0</v>
      </c>
      <c r="V3115" s="1">
        <f t="shared" si="807"/>
        <v>0</v>
      </c>
    </row>
    <row r="3116" spans="5:22" x14ac:dyDescent="0.25">
      <c r="E3116" s="4"/>
      <c r="M3116" s="4">
        <f t="shared" si="800"/>
        <v>173.1</v>
      </c>
      <c r="N3116" s="4"/>
      <c r="O3116" s="1">
        <f t="shared" si="801"/>
        <v>173.1</v>
      </c>
      <c r="P3116" s="1">
        <f t="shared" si="802"/>
        <v>0</v>
      </c>
      <c r="Q3116" s="1" t="str">
        <f t="shared" si="799"/>
        <v/>
      </c>
      <c r="R3116" s="1" t="str">
        <f t="shared" si="803"/>
        <v/>
      </c>
      <c r="S3116" s="1">
        <f t="shared" si="804"/>
        <v>630.90240000000244</v>
      </c>
      <c r="T3116" s="1">
        <f t="shared" si="805"/>
        <v>0</v>
      </c>
      <c r="U3116" s="1">
        <f t="shared" si="806"/>
        <v>0</v>
      </c>
      <c r="V3116" s="1">
        <f t="shared" si="807"/>
        <v>0</v>
      </c>
    </row>
    <row r="3117" spans="5:22" x14ac:dyDescent="0.25">
      <c r="E3117" s="4"/>
      <c r="M3117" s="4">
        <f t="shared" si="800"/>
        <v>173.1</v>
      </c>
      <c r="N3117" s="4"/>
      <c r="O3117" s="1">
        <f t="shared" si="801"/>
        <v>173.1</v>
      </c>
      <c r="P3117" s="1">
        <f t="shared" si="802"/>
        <v>0</v>
      </c>
      <c r="Q3117" s="1" t="str">
        <f t="shared" si="799"/>
        <v/>
      </c>
      <c r="R3117" s="1" t="str">
        <f t="shared" si="803"/>
        <v/>
      </c>
      <c r="S3117" s="1">
        <f t="shared" si="804"/>
        <v>630.90240000000244</v>
      </c>
      <c r="T3117" s="1">
        <f t="shared" si="805"/>
        <v>0</v>
      </c>
      <c r="U3117" s="1">
        <f t="shared" si="806"/>
        <v>0</v>
      </c>
      <c r="V3117" s="1">
        <f t="shared" si="807"/>
        <v>0</v>
      </c>
    </row>
    <row r="3118" spans="5:22" x14ac:dyDescent="0.25">
      <c r="E3118" s="4"/>
      <c r="M3118" s="4">
        <f t="shared" si="800"/>
        <v>173.1</v>
      </c>
      <c r="N3118" s="4"/>
      <c r="O3118" s="1">
        <f t="shared" si="801"/>
        <v>173.1</v>
      </c>
      <c r="P3118" s="1">
        <f t="shared" si="802"/>
        <v>0</v>
      </c>
      <c r="Q3118" s="1" t="str">
        <f t="shared" si="799"/>
        <v/>
      </c>
      <c r="R3118" s="1" t="str">
        <f t="shared" si="803"/>
        <v/>
      </c>
      <c r="S3118" s="1">
        <f t="shared" si="804"/>
        <v>630.90240000000244</v>
      </c>
      <c r="T3118" s="1">
        <f t="shared" si="805"/>
        <v>0</v>
      </c>
      <c r="U3118" s="1">
        <f t="shared" si="806"/>
        <v>0</v>
      </c>
      <c r="V3118" s="1">
        <f t="shared" si="807"/>
        <v>0</v>
      </c>
    </row>
    <row r="3119" spans="5:22" x14ac:dyDescent="0.25">
      <c r="E3119" s="4"/>
      <c r="M3119" s="4">
        <f t="shared" si="800"/>
        <v>173.1</v>
      </c>
      <c r="N3119" s="4"/>
      <c r="O3119" s="1">
        <f t="shared" si="801"/>
        <v>173.1</v>
      </c>
      <c r="P3119" s="1">
        <f t="shared" si="802"/>
        <v>0</v>
      </c>
      <c r="Q3119" s="1" t="str">
        <f t="shared" si="799"/>
        <v/>
      </c>
      <c r="R3119" s="1" t="str">
        <f t="shared" si="803"/>
        <v/>
      </c>
      <c r="S3119" s="1">
        <f t="shared" si="804"/>
        <v>630.90240000000244</v>
      </c>
      <c r="T3119" s="1">
        <f t="shared" si="805"/>
        <v>0</v>
      </c>
      <c r="U3119" s="1">
        <f t="shared" si="806"/>
        <v>0</v>
      </c>
      <c r="V3119" s="1">
        <f t="shared" si="807"/>
        <v>0</v>
      </c>
    </row>
    <row r="3120" spans="5:22" x14ac:dyDescent="0.25">
      <c r="E3120" s="4"/>
      <c r="M3120" s="4">
        <f t="shared" si="800"/>
        <v>173.1</v>
      </c>
      <c r="N3120" s="4"/>
      <c r="O3120" s="1">
        <f t="shared" si="801"/>
        <v>173.1</v>
      </c>
      <c r="P3120" s="1">
        <f t="shared" si="802"/>
        <v>0</v>
      </c>
      <c r="Q3120" s="1" t="str">
        <f t="shared" si="799"/>
        <v/>
      </c>
      <c r="R3120" s="1" t="str">
        <f t="shared" si="803"/>
        <v/>
      </c>
      <c r="S3120" s="1">
        <f t="shared" si="804"/>
        <v>630.90240000000244</v>
      </c>
      <c r="T3120" s="1">
        <f t="shared" si="805"/>
        <v>0</v>
      </c>
      <c r="U3120" s="1">
        <f t="shared" si="806"/>
        <v>0</v>
      </c>
      <c r="V3120" s="1">
        <f t="shared" si="807"/>
        <v>0</v>
      </c>
    </row>
    <row r="3121" spans="5:22" x14ac:dyDescent="0.25">
      <c r="E3121" s="4"/>
      <c r="M3121" s="4">
        <f t="shared" si="800"/>
        <v>173.1</v>
      </c>
      <c r="N3121" s="4"/>
      <c r="O3121" s="1">
        <f t="shared" si="801"/>
        <v>173.1</v>
      </c>
      <c r="P3121" s="1">
        <f t="shared" si="802"/>
        <v>0</v>
      </c>
      <c r="Q3121" s="1" t="str">
        <f t="shared" si="799"/>
        <v/>
      </c>
      <c r="R3121" s="1" t="str">
        <f t="shared" si="803"/>
        <v/>
      </c>
      <c r="S3121" s="1">
        <f t="shared" si="804"/>
        <v>630.90240000000244</v>
      </c>
      <c r="T3121" s="1">
        <f t="shared" si="805"/>
        <v>0</v>
      </c>
      <c r="U3121" s="1">
        <f t="shared" si="806"/>
        <v>0</v>
      </c>
      <c r="V3121" s="1">
        <f t="shared" si="807"/>
        <v>0</v>
      </c>
    </row>
    <row r="3122" spans="5:22" x14ac:dyDescent="0.25">
      <c r="E3122" s="4"/>
      <c r="M3122" s="4">
        <f t="shared" si="800"/>
        <v>173.1</v>
      </c>
      <c r="N3122" s="4"/>
      <c r="O3122" s="1">
        <f t="shared" si="801"/>
        <v>173.1</v>
      </c>
      <c r="P3122" s="1">
        <f t="shared" si="802"/>
        <v>0</v>
      </c>
      <c r="Q3122" s="1" t="str">
        <f t="shared" ref="Q3122:Q3185" si="808">IF(H3122&lt;&gt;"",IF(H3122=H3121,"",H3122),IF(H3120="","",MAX(H3121,Q3121)))</f>
        <v/>
      </c>
      <c r="R3122" s="1" t="str">
        <f t="shared" si="803"/>
        <v/>
      </c>
      <c r="S3122" s="1">
        <f t="shared" si="804"/>
        <v>630.90240000000244</v>
      </c>
      <c r="T3122" s="1">
        <f t="shared" si="805"/>
        <v>0</v>
      </c>
      <c r="U3122" s="1">
        <f t="shared" si="806"/>
        <v>0</v>
      </c>
      <c r="V3122" s="1">
        <f t="shared" si="807"/>
        <v>0</v>
      </c>
    </row>
    <row r="3123" spans="5:22" x14ac:dyDescent="0.25">
      <c r="E3123" s="4"/>
      <c r="M3123" s="4">
        <f t="shared" si="800"/>
        <v>173.1</v>
      </c>
      <c r="N3123" s="4"/>
      <c r="O3123" s="1">
        <f t="shared" si="801"/>
        <v>173.1</v>
      </c>
      <c r="P3123" s="1">
        <f t="shared" si="802"/>
        <v>0</v>
      </c>
      <c r="Q3123" s="1" t="str">
        <f t="shared" si="808"/>
        <v/>
      </c>
      <c r="R3123" s="1" t="str">
        <f t="shared" si="803"/>
        <v/>
      </c>
      <c r="S3123" s="1">
        <f t="shared" si="804"/>
        <v>630.90240000000244</v>
      </c>
      <c r="T3123" s="1">
        <f t="shared" si="805"/>
        <v>0</v>
      </c>
      <c r="U3123" s="1">
        <f t="shared" si="806"/>
        <v>0</v>
      </c>
      <c r="V3123" s="1">
        <f t="shared" si="807"/>
        <v>0</v>
      </c>
    </row>
    <row r="3124" spans="5:22" x14ac:dyDescent="0.25">
      <c r="E3124" s="4"/>
      <c r="M3124" s="4">
        <f t="shared" si="800"/>
        <v>173.1</v>
      </c>
      <c r="N3124" s="4"/>
      <c r="O3124" s="1">
        <f t="shared" si="801"/>
        <v>173.1</v>
      </c>
      <c r="P3124" s="1">
        <f t="shared" si="802"/>
        <v>0</v>
      </c>
      <c r="Q3124" s="1" t="str">
        <f t="shared" si="808"/>
        <v/>
      </c>
      <c r="R3124" s="1" t="str">
        <f t="shared" si="803"/>
        <v/>
      </c>
      <c r="S3124" s="1">
        <f t="shared" si="804"/>
        <v>630.90240000000244</v>
      </c>
      <c r="T3124" s="1">
        <f t="shared" si="805"/>
        <v>0</v>
      </c>
      <c r="U3124" s="1">
        <f t="shared" si="806"/>
        <v>0</v>
      </c>
      <c r="V3124" s="1">
        <f t="shared" si="807"/>
        <v>0</v>
      </c>
    </row>
    <row r="3125" spans="5:22" x14ac:dyDescent="0.25">
      <c r="E3125" s="4"/>
      <c r="M3125" s="4">
        <f t="shared" si="800"/>
        <v>173.1</v>
      </c>
      <c r="N3125" s="4"/>
      <c r="O3125" s="1">
        <f t="shared" si="801"/>
        <v>173.1</v>
      </c>
      <c r="P3125" s="1">
        <f t="shared" si="802"/>
        <v>0</v>
      </c>
      <c r="Q3125" s="1" t="str">
        <f t="shared" si="808"/>
        <v/>
      </c>
      <c r="R3125" s="1" t="str">
        <f t="shared" si="803"/>
        <v/>
      </c>
      <c r="S3125" s="1">
        <f t="shared" si="804"/>
        <v>630.90240000000244</v>
      </c>
      <c r="T3125" s="1">
        <f t="shared" si="805"/>
        <v>0</v>
      </c>
      <c r="U3125" s="1">
        <f t="shared" si="806"/>
        <v>0</v>
      </c>
      <c r="V3125" s="1">
        <f t="shared" si="807"/>
        <v>0</v>
      </c>
    </row>
    <row r="3126" spans="5:22" x14ac:dyDescent="0.25">
      <c r="E3126" s="4"/>
      <c r="M3126" s="4">
        <f t="shared" si="800"/>
        <v>173.1</v>
      </c>
      <c r="N3126" s="4"/>
      <c r="O3126" s="1">
        <f t="shared" si="801"/>
        <v>173.1</v>
      </c>
      <c r="P3126" s="1">
        <f t="shared" si="802"/>
        <v>0</v>
      </c>
      <c r="Q3126" s="1" t="str">
        <f t="shared" si="808"/>
        <v/>
      </c>
      <c r="R3126" s="1" t="str">
        <f t="shared" si="803"/>
        <v/>
      </c>
      <c r="S3126" s="1">
        <f t="shared" si="804"/>
        <v>630.90240000000244</v>
      </c>
      <c r="T3126" s="1">
        <f t="shared" si="805"/>
        <v>0</v>
      </c>
      <c r="U3126" s="1">
        <f t="shared" si="806"/>
        <v>0</v>
      </c>
      <c r="V3126" s="1">
        <f t="shared" si="807"/>
        <v>0</v>
      </c>
    </row>
    <row r="3127" spans="5:22" x14ac:dyDescent="0.25">
      <c r="E3127" s="4"/>
      <c r="M3127" s="4">
        <f t="shared" si="800"/>
        <v>173.1</v>
      </c>
      <c r="N3127" s="4"/>
      <c r="O3127" s="1">
        <f t="shared" si="801"/>
        <v>173.1</v>
      </c>
      <c r="P3127" s="1">
        <f t="shared" si="802"/>
        <v>0</v>
      </c>
      <c r="Q3127" s="1" t="str">
        <f t="shared" si="808"/>
        <v/>
      </c>
      <c r="R3127" s="1" t="str">
        <f t="shared" si="803"/>
        <v/>
      </c>
      <c r="S3127" s="1">
        <f t="shared" si="804"/>
        <v>630.90240000000244</v>
      </c>
      <c r="T3127" s="1">
        <f t="shared" si="805"/>
        <v>0</v>
      </c>
      <c r="U3127" s="1">
        <f t="shared" si="806"/>
        <v>0</v>
      </c>
      <c r="V3127" s="1">
        <f t="shared" si="807"/>
        <v>0</v>
      </c>
    </row>
    <row r="3128" spans="5:22" x14ac:dyDescent="0.25">
      <c r="E3128" s="4"/>
      <c r="M3128" s="4">
        <f t="shared" si="800"/>
        <v>173.1</v>
      </c>
      <c r="N3128" s="4"/>
      <c r="O3128" s="1">
        <f t="shared" si="801"/>
        <v>173.1</v>
      </c>
      <c r="P3128" s="1">
        <f t="shared" si="802"/>
        <v>0</v>
      </c>
      <c r="Q3128" s="1" t="str">
        <f t="shared" si="808"/>
        <v/>
      </c>
      <c r="R3128" s="1" t="str">
        <f t="shared" si="803"/>
        <v/>
      </c>
      <c r="S3128" s="1">
        <f t="shared" si="804"/>
        <v>630.90240000000244</v>
      </c>
      <c r="T3128" s="1">
        <f t="shared" si="805"/>
        <v>0</v>
      </c>
      <c r="U3128" s="1">
        <f t="shared" si="806"/>
        <v>0</v>
      </c>
      <c r="V3128" s="1">
        <f t="shared" si="807"/>
        <v>0</v>
      </c>
    </row>
    <row r="3129" spans="5:22" x14ac:dyDescent="0.25">
      <c r="E3129" s="4"/>
      <c r="M3129" s="4">
        <f t="shared" si="800"/>
        <v>173.1</v>
      </c>
      <c r="N3129" s="4"/>
      <c r="O3129" s="1">
        <f t="shared" si="801"/>
        <v>173.1</v>
      </c>
      <c r="P3129" s="1">
        <f t="shared" si="802"/>
        <v>0</v>
      </c>
      <c r="Q3129" s="1" t="str">
        <f t="shared" si="808"/>
        <v/>
      </c>
      <c r="R3129" s="1" t="str">
        <f t="shared" si="803"/>
        <v/>
      </c>
      <c r="S3129" s="1">
        <f t="shared" si="804"/>
        <v>630.90240000000244</v>
      </c>
      <c r="T3129" s="1">
        <f t="shared" si="805"/>
        <v>0</v>
      </c>
      <c r="U3129" s="1">
        <f t="shared" si="806"/>
        <v>0</v>
      </c>
      <c r="V3129" s="1">
        <f t="shared" si="807"/>
        <v>0</v>
      </c>
    </row>
    <row r="3130" spans="5:22" x14ac:dyDescent="0.25">
      <c r="E3130" s="4"/>
      <c r="M3130" s="4">
        <f t="shared" si="800"/>
        <v>173.1</v>
      </c>
      <c r="N3130" s="4"/>
      <c r="O3130" s="1">
        <f t="shared" si="801"/>
        <v>173.1</v>
      </c>
      <c r="P3130" s="1">
        <f t="shared" si="802"/>
        <v>0</v>
      </c>
      <c r="Q3130" s="1" t="str">
        <f t="shared" si="808"/>
        <v/>
      </c>
      <c r="R3130" s="1" t="str">
        <f t="shared" si="803"/>
        <v/>
      </c>
      <c r="S3130" s="1">
        <f t="shared" si="804"/>
        <v>630.90240000000244</v>
      </c>
      <c r="T3130" s="1">
        <f t="shared" si="805"/>
        <v>0</v>
      </c>
      <c r="U3130" s="1">
        <f t="shared" si="806"/>
        <v>0</v>
      </c>
      <c r="V3130" s="1">
        <f t="shared" si="807"/>
        <v>0</v>
      </c>
    </row>
    <row r="3131" spans="5:22" x14ac:dyDescent="0.25">
      <c r="E3131" s="4"/>
      <c r="M3131" s="4">
        <f t="shared" si="800"/>
        <v>173.1</v>
      </c>
      <c r="N3131" s="4"/>
      <c r="O3131" s="1">
        <f t="shared" si="801"/>
        <v>173.1</v>
      </c>
      <c r="P3131" s="1">
        <f t="shared" si="802"/>
        <v>0</v>
      </c>
      <c r="Q3131" s="1" t="str">
        <f t="shared" si="808"/>
        <v/>
      </c>
      <c r="R3131" s="1" t="str">
        <f t="shared" si="803"/>
        <v/>
      </c>
      <c r="S3131" s="1">
        <f t="shared" si="804"/>
        <v>630.90240000000244</v>
      </c>
      <c r="T3131" s="1">
        <f t="shared" si="805"/>
        <v>0</v>
      </c>
      <c r="U3131" s="1">
        <f t="shared" si="806"/>
        <v>0</v>
      </c>
      <c r="V3131" s="1">
        <f t="shared" si="807"/>
        <v>0</v>
      </c>
    </row>
    <row r="3132" spans="5:22" x14ac:dyDescent="0.25">
      <c r="E3132" s="4"/>
      <c r="M3132" s="4">
        <f t="shared" si="800"/>
        <v>173.1</v>
      </c>
      <c r="N3132" s="4"/>
      <c r="O3132" s="1">
        <f t="shared" si="801"/>
        <v>173.1</v>
      </c>
      <c r="P3132" s="1">
        <f t="shared" si="802"/>
        <v>0</v>
      </c>
      <c r="Q3132" s="1" t="str">
        <f t="shared" si="808"/>
        <v/>
      </c>
      <c r="R3132" s="1" t="str">
        <f t="shared" si="803"/>
        <v/>
      </c>
      <c r="S3132" s="1">
        <f t="shared" si="804"/>
        <v>630.90240000000244</v>
      </c>
      <c r="T3132" s="1">
        <f t="shared" si="805"/>
        <v>0</v>
      </c>
      <c r="U3132" s="1">
        <f t="shared" si="806"/>
        <v>0</v>
      </c>
      <c r="V3132" s="1">
        <f t="shared" si="807"/>
        <v>0</v>
      </c>
    </row>
    <row r="3133" spans="5:22" x14ac:dyDescent="0.25">
      <c r="E3133" s="4"/>
      <c r="M3133" s="4">
        <f t="shared" si="800"/>
        <v>173.1</v>
      </c>
      <c r="N3133" s="4"/>
      <c r="O3133" s="1">
        <f t="shared" si="801"/>
        <v>173.1</v>
      </c>
      <c r="P3133" s="1">
        <f t="shared" si="802"/>
        <v>0</v>
      </c>
      <c r="Q3133" s="1" t="str">
        <f t="shared" si="808"/>
        <v/>
      </c>
      <c r="R3133" s="1" t="str">
        <f t="shared" si="803"/>
        <v/>
      </c>
      <c r="S3133" s="1">
        <f t="shared" si="804"/>
        <v>630.90240000000244</v>
      </c>
      <c r="T3133" s="1">
        <f t="shared" si="805"/>
        <v>0</v>
      </c>
      <c r="U3133" s="1">
        <f t="shared" si="806"/>
        <v>0</v>
      </c>
      <c r="V3133" s="1">
        <f t="shared" si="807"/>
        <v>0</v>
      </c>
    </row>
    <row r="3134" spans="5:22" x14ac:dyDescent="0.25">
      <c r="E3134" s="4"/>
      <c r="M3134" s="4">
        <f t="shared" si="800"/>
        <v>173.1</v>
      </c>
      <c r="N3134" s="4"/>
      <c r="O3134" s="1">
        <f t="shared" si="801"/>
        <v>173.1</v>
      </c>
      <c r="P3134" s="1">
        <f t="shared" si="802"/>
        <v>0</v>
      </c>
      <c r="Q3134" s="1" t="str">
        <f t="shared" si="808"/>
        <v/>
      </c>
      <c r="R3134" s="1" t="str">
        <f t="shared" si="803"/>
        <v/>
      </c>
      <c r="S3134" s="1">
        <f t="shared" si="804"/>
        <v>630.90240000000244</v>
      </c>
      <c r="T3134" s="1">
        <f t="shared" si="805"/>
        <v>0</v>
      </c>
      <c r="U3134" s="1">
        <f t="shared" si="806"/>
        <v>0</v>
      </c>
      <c r="V3134" s="1">
        <f t="shared" si="807"/>
        <v>0</v>
      </c>
    </row>
    <row r="3135" spans="5:22" x14ac:dyDescent="0.25">
      <c r="E3135" s="4"/>
      <c r="M3135" s="4">
        <f t="shared" si="800"/>
        <v>173.1</v>
      </c>
      <c r="N3135" s="4"/>
      <c r="O3135" s="1">
        <f t="shared" si="801"/>
        <v>173.1</v>
      </c>
      <c r="P3135" s="1">
        <f t="shared" si="802"/>
        <v>0</v>
      </c>
      <c r="Q3135" s="1" t="str">
        <f t="shared" si="808"/>
        <v/>
      </c>
      <c r="R3135" s="1" t="str">
        <f t="shared" si="803"/>
        <v/>
      </c>
      <c r="S3135" s="1">
        <f t="shared" si="804"/>
        <v>630.90240000000244</v>
      </c>
      <c r="T3135" s="1">
        <f t="shared" si="805"/>
        <v>0</v>
      </c>
      <c r="U3135" s="1">
        <f t="shared" si="806"/>
        <v>0</v>
      </c>
      <c r="V3135" s="1">
        <f t="shared" si="807"/>
        <v>0</v>
      </c>
    </row>
    <row r="3136" spans="5:22" x14ac:dyDescent="0.25">
      <c r="E3136" s="4"/>
      <c r="M3136" s="4">
        <f t="shared" si="800"/>
        <v>173.1</v>
      </c>
      <c r="N3136" s="4"/>
      <c r="O3136" s="1">
        <f t="shared" si="801"/>
        <v>173.1</v>
      </c>
      <c r="P3136" s="1">
        <f t="shared" si="802"/>
        <v>0</v>
      </c>
      <c r="Q3136" s="1" t="str">
        <f t="shared" si="808"/>
        <v/>
      </c>
      <c r="R3136" s="1" t="str">
        <f t="shared" si="803"/>
        <v/>
      </c>
      <c r="S3136" s="1">
        <f t="shared" si="804"/>
        <v>630.90240000000244</v>
      </c>
      <c r="T3136" s="1">
        <f t="shared" si="805"/>
        <v>0</v>
      </c>
      <c r="U3136" s="1">
        <f t="shared" si="806"/>
        <v>0</v>
      </c>
      <c r="V3136" s="1">
        <f t="shared" si="807"/>
        <v>0</v>
      </c>
    </row>
    <row r="3137" spans="5:22" x14ac:dyDescent="0.25">
      <c r="E3137" s="4"/>
      <c r="M3137" s="4">
        <f t="shared" si="800"/>
        <v>173.1</v>
      </c>
      <c r="N3137" s="4"/>
      <c r="O3137" s="1">
        <f t="shared" si="801"/>
        <v>173.1</v>
      </c>
      <c r="P3137" s="1">
        <f t="shared" si="802"/>
        <v>0</v>
      </c>
      <c r="Q3137" s="1" t="str">
        <f t="shared" si="808"/>
        <v/>
      </c>
      <c r="R3137" s="1" t="str">
        <f t="shared" si="803"/>
        <v/>
      </c>
      <c r="S3137" s="1">
        <f t="shared" si="804"/>
        <v>630.90240000000244</v>
      </c>
      <c r="T3137" s="1">
        <f t="shared" si="805"/>
        <v>0</v>
      </c>
      <c r="U3137" s="1">
        <f t="shared" si="806"/>
        <v>0</v>
      </c>
      <c r="V3137" s="1">
        <f t="shared" si="807"/>
        <v>0</v>
      </c>
    </row>
    <row r="3138" spans="5:22" x14ac:dyDescent="0.25">
      <c r="E3138" s="4"/>
      <c r="M3138" s="4">
        <f t="shared" si="800"/>
        <v>173.1</v>
      </c>
      <c r="N3138" s="4"/>
      <c r="O3138" s="1">
        <f t="shared" si="801"/>
        <v>173.1</v>
      </c>
      <c r="P3138" s="1">
        <f t="shared" si="802"/>
        <v>0</v>
      </c>
      <c r="Q3138" s="1" t="str">
        <f t="shared" si="808"/>
        <v/>
      </c>
      <c r="R3138" s="1" t="str">
        <f t="shared" si="803"/>
        <v/>
      </c>
      <c r="S3138" s="1">
        <f t="shared" si="804"/>
        <v>630.90240000000244</v>
      </c>
      <c r="T3138" s="1">
        <f t="shared" si="805"/>
        <v>0</v>
      </c>
      <c r="U3138" s="1">
        <f t="shared" si="806"/>
        <v>0</v>
      </c>
      <c r="V3138" s="1">
        <f t="shared" si="807"/>
        <v>0</v>
      </c>
    </row>
    <row r="3139" spans="5:22" x14ac:dyDescent="0.25">
      <c r="E3139" s="4"/>
      <c r="M3139" s="4">
        <f t="shared" si="800"/>
        <v>173.1</v>
      </c>
      <c r="N3139" s="4"/>
      <c r="O3139" s="1">
        <f t="shared" si="801"/>
        <v>173.1</v>
      </c>
      <c r="P3139" s="1">
        <f t="shared" si="802"/>
        <v>0</v>
      </c>
      <c r="Q3139" s="1" t="str">
        <f t="shared" si="808"/>
        <v/>
      </c>
      <c r="R3139" s="1" t="str">
        <f t="shared" si="803"/>
        <v/>
      </c>
      <c r="S3139" s="1">
        <f t="shared" si="804"/>
        <v>630.90240000000244</v>
      </c>
      <c r="T3139" s="1">
        <f t="shared" si="805"/>
        <v>0</v>
      </c>
      <c r="U3139" s="1">
        <f t="shared" si="806"/>
        <v>0</v>
      </c>
      <c r="V3139" s="1">
        <f t="shared" si="807"/>
        <v>0</v>
      </c>
    </row>
    <row r="3140" spans="5:22" x14ac:dyDescent="0.25">
      <c r="E3140" s="4"/>
      <c r="M3140" s="4">
        <f t="shared" si="800"/>
        <v>173.1</v>
      </c>
      <c r="N3140" s="4"/>
      <c r="O3140" s="1">
        <f t="shared" si="801"/>
        <v>173.1</v>
      </c>
      <c r="P3140" s="1">
        <f t="shared" si="802"/>
        <v>0</v>
      </c>
      <c r="Q3140" s="1" t="str">
        <f t="shared" si="808"/>
        <v/>
      </c>
      <c r="R3140" s="1" t="str">
        <f t="shared" si="803"/>
        <v/>
      </c>
      <c r="S3140" s="1">
        <f t="shared" si="804"/>
        <v>630.90240000000244</v>
      </c>
      <c r="T3140" s="1">
        <f t="shared" si="805"/>
        <v>0</v>
      </c>
      <c r="U3140" s="1">
        <f t="shared" si="806"/>
        <v>0</v>
      </c>
      <c r="V3140" s="1">
        <f t="shared" si="807"/>
        <v>0</v>
      </c>
    </row>
    <row r="3141" spans="5:22" x14ac:dyDescent="0.25">
      <c r="E3141" s="4"/>
      <c r="M3141" s="4">
        <f t="shared" si="800"/>
        <v>173.1</v>
      </c>
      <c r="N3141" s="4"/>
      <c r="O3141" s="1">
        <f t="shared" si="801"/>
        <v>173.1</v>
      </c>
      <c r="P3141" s="1">
        <f t="shared" si="802"/>
        <v>0</v>
      </c>
      <c r="Q3141" s="1" t="str">
        <f t="shared" si="808"/>
        <v/>
      </c>
      <c r="R3141" s="1" t="str">
        <f t="shared" si="803"/>
        <v/>
      </c>
      <c r="S3141" s="1">
        <f t="shared" si="804"/>
        <v>630.90240000000244</v>
      </c>
      <c r="T3141" s="1">
        <f t="shared" si="805"/>
        <v>0</v>
      </c>
      <c r="U3141" s="1">
        <f t="shared" si="806"/>
        <v>0</v>
      </c>
      <c r="V3141" s="1">
        <f t="shared" si="807"/>
        <v>0</v>
      </c>
    </row>
    <row r="3142" spans="5:22" x14ac:dyDescent="0.25">
      <c r="E3142" s="4"/>
      <c r="M3142" s="4">
        <f t="shared" si="800"/>
        <v>173.1</v>
      </c>
      <c r="N3142" s="4"/>
      <c r="O3142" s="1">
        <f t="shared" si="801"/>
        <v>173.1</v>
      </c>
      <c r="P3142" s="1">
        <f t="shared" si="802"/>
        <v>0</v>
      </c>
      <c r="Q3142" s="1" t="str">
        <f t="shared" si="808"/>
        <v/>
      </c>
      <c r="R3142" s="1" t="str">
        <f t="shared" si="803"/>
        <v/>
      </c>
      <c r="S3142" s="1">
        <f t="shared" si="804"/>
        <v>630.90240000000244</v>
      </c>
      <c r="T3142" s="1">
        <f t="shared" si="805"/>
        <v>0</v>
      </c>
      <c r="U3142" s="1">
        <f t="shared" si="806"/>
        <v>0</v>
      </c>
      <c r="V3142" s="1">
        <f t="shared" si="807"/>
        <v>0</v>
      </c>
    </row>
    <row r="3143" spans="5:22" x14ac:dyDescent="0.25">
      <c r="E3143" s="4"/>
      <c r="M3143" s="4">
        <f t="shared" si="800"/>
        <v>173.1</v>
      </c>
      <c r="N3143" s="4"/>
      <c r="O3143" s="1">
        <f t="shared" si="801"/>
        <v>173.1</v>
      </c>
      <c r="P3143" s="1">
        <f t="shared" si="802"/>
        <v>0</v>
      </c>
      <c r="Q3143" s="1" t="str">
        <f t="shared" si="808"/>
        <v/>
      </c>
      <c r="R3143" s="1" t="str">
        <f t="shared" si="803"/>
        <v/>
      </c>
      <c r="S3143" s="1">
        <f t="shared" si="804"/>
        <v>630.90240000000244</v>
      </c>
      <c r="T3143" s="1">
        <f t="shared" si="805"/>
        <v>0</v>
      </c>
      <c r="U3143" s="1">
        <f t="shared" si="806"/>
        <v>0</v>
      </c>
      <c r="V3143" s="1">
        <f t="shared" si="807"/>
        <v>0</v>
      </c>
    </row>
    <row r="3144" spans="5:22" x14ac:dyDescent="0.25">
      <c r="E3144" s="4"/>
      <c r="M3144" s="4">
        <f t="shared" ref="M3144:M3207" si="809">E3144+M3143</f>
        <v>173.1</v>
      </c>
      <c r="N3144" s="4"/>
      <c r="O3144" s="1">
        <f t="shared" ref="O3144:O3207" si="810">E3143+O3143</f>
        <v>173.1</v>
      </c>
      <c r="P3144" s="1">
        <f t="shared" ref="P3144:P3207" si="811">F3144*52.8*E3144</f>
        <v>0</v>
      </c>
      <c r="Q3144" s="1" t="str">
        <f t="shared" si="808"/>
        <v/>
      </c>
      <c r="R3144" s="1" t="str">
        <f t="shared" ref="R3144:R3207" si="812">IF(I3144="",Q3144,IF(AND(H3144=H3143,I3144=I3143),"",I3144))</f>
        <v/>
      </c>
      <c r="S3144" s="1">
        <f t="shared" ref="S3144:S3207" si="813">S3143+U3143*T3143/100</f>
        <v>630.90240000000244</v>
      </c>
      <c r="T3144" s="1">
        <f t="shared" ref="T3144:T3207" si="814">IF(G3144="UNK",0,G3144)</f>
        <v>0</v>
      </c>
      <c r="U3144" s="1">
        <f t="shared" ref="U3144:U3207" si="815">E3144*5280</f>
        <v>0</v>
      </c>
      <c r="V3144" s="1">
        <f t="shared" ref="V3144:V3207" si="816">ABS(T3144*U3144)</f>
        <v>0</v>
      </c>
    </row>
    <row r="3145" spans="5:22" x14ac:dyDescent="0.25">
      <c r="E3145" s="4"/>
      <c r="M3145" s="4">
        <f t="shared" si="809"/>
        <v>173.1</v>
      </c>
      <c r="N3145" s="4"/>
      <c r="O3145" s="1">
        <f t="shared" si="810"/>
        <v>173.1</v>
      </c>
      <c r="P3145" s="1">
        <f t="shared" si="811"/>
        <v>0</v>
      </c>
      <c r="Q3145" s="1" t="str">
        <f t="shared" si="808"/>
        <v/>
      </c>
      <c r="R3145" s="1" t="str">
        <f t="shared" si="812"/>
        <v/>
      </c>
      <c r="S3145" s="1">
        <f t="shared" si="813"/>
        <v>630.90240000000244</v>
      </c>
      <c r="T3145" s="1">
        <f t="shared" si="814"/>
        <v>0</v>
      </c>
      <c r="U3145" s="1">
        <f t="shared" si="815"/>
        <v>0</v>
      </c>
      <c r="V3145" s="1">
        <f t="shared" si="816"/>
        <v>0</v>
      </c>
    </row>
    <row r="3146" spans="5:22" x14ac:dyDescent="0.25">
      <c r="E3146" s="4"/>
      <c r="M3146" s="4">
        <f t="shared" si="809"/>
        <v>173.1</v>
      </c>
      <c r="N3146" s="4"/>
      <c r="O3146" s="1">
        <f t="shared" si="810"/>
        <v>173.1</v>
      </c>
      <c r="P3146" s="1">
        <f t="shared" si="811"/>
        <v>0</v>
      </c>
      <c r="Q3146" s="1" t="str">
        <f t="shared" si="808"/>
        <v/>
      </c>
      <c r="R3146" s="1" t="str">
        <f t="shared" si="812"/>
        <v/>
      </c>
      <c r="S3146" s="1">
        <f t="shared" si="813"/>
        <v>630.90240000000244</v>
      </c>
      <c r="T3146" s="1">
        <f t="shared" si="814"/>
        <v>0</v>
      </c>
      <c r="U3146" s="1">
        <f t="shared" si="815"/>
        <v>0</v>
      </c>
      <c r="V3146" s="1">
        <f t="shared" si="816"/>
        <v>0</v>
      </c>
    </row>
    <row r="3147" spans="5:22" x14ac:dyDescent="0.25">
      <c r="E3147" s="4"/>
      <c r="M3147" s="4">
        <f t="shared" si="809"/>
        <v>173.1</v>
      </c>
      <c r="N3147" s="4"/>
      <c r="O3147" s="1">
        <f t="shared" si="810"/>
        <v>173.1</v>
      </c>
      <c r="P3147" s="1">
        <f t="shared" si="811"/>
        <v>0</v>
      </c>
      <c r="Q3147" s="1" t="str">
        <f t="shared" si="808"/>
        <v/>
      </c>
      <c r="R3147" s="1" t="str">
        <f t="shared" si="812"/>
        <v/>
      </c>
      <c r="S3147" s="1">
        <f t="shared" si="813"/>
        <v>630.90240000000244</v>
      </c>
      <c r="T3147" s="1">
        <f t="shared" si="814"/>
        <v>0</v>
      </c>
      <c r="U3147" s="1">
        <f t="shared" si="815"/>
        <v>0</v>
      </c>
      <c r="V3147" s="1">
        <f t="shared" si="816"/>
        <v>0</v>
      </c>
    </row>
    <row r="3148" spans="5:22" x14ac:dyDescent="0.25">
      <c r="E3148" s="4"/>
      <c r="M3148" s="4">
        <f t="shared" si="809"/>
        <v>173.1</v>
      </c>
      <c r="N3148" s="4"/>
      <c r="O3148" s="1">
        <f t="shared" si="810"/>
        <v>173.1</v>
      </c>
      <c r="P3148" s="1">
        <f t="shared" si="811"/>
        <v>0</v>
      </c>
      <c r="Q3148" s="1" t="str">
        <f t="shared" si="808"/>
        <v/>
      </c>
      <c r="R3148" s="1" t="str">
        <f t="shared" si="812"/>
        <v/>
      </c>
      <c r="S3148" s="1">
        <f t="shared" si="813"/>
        <v>630.90240000000244</v>
      </c>
      <c r="T3148" s="1">
        <f t="shared" si="814"/>
        <v>0</v>
      </c>
      <c r="U3148" s="1">
        <f t="shared" si="815"/>
        <v>0</v>
      </c>
      <c r="V3148" s="1">
        <f t="shared" si="816"/>
        <v>0</v>
      </c>
    </row>
    <row r="3149" spans="5:22" x14ac:dyDescent="0.25">
      <c r="E3149" s="4"/>
      <c r="M3149" s="4">
        <f t="shared" si="809"/>
        <v>173.1</v>
      </c>
      <c r="N3149" s="4"/>
      <c r="O3149" s="1">
        <f t="shared" si="810"/>
        <v>173.1</v>
      </c>
      <c r="P3149" s="1">
        <f t="shared" si="811"/>
        <v>0</v>
      </c>
      <c r="Q3149" s="1" t="str">
        <f t="shared" si="808"/>
        <v/>
      </c>
      <c r="R3149" s="1" t="str">
        <f t="shared" si="812"/>
        <v/>
      </c>
      <c r="S3149" s="1">
        <f t="shared" si="813"/>
        <v>630.90240000000244</v>
      </c>
      <c r="T3149" s="1">
        <f t="shared" si="814"/>
        <v>0</v>
      </c>
      <c r="U3149" s="1">
        <f t="shared" si="815"/>
        <v>0</v>
      </c>
      <c r="V3149" s="1">
        <f t="shared" si="816"/>
        <v>0</v>
      </c>
    </row>
    <row r="3150" spans="5:22" x14ac:dyDescent="0.25">
      <c r="E3150" s="4"/>
      <c r="M3150" s="4">
        <f t="shared" si="809"/>
        <v>173.1</v>
      </c>
      <c r="N3150" s="4"/>
      <c r="O3150" s="1">
        <f t="shared" si="810"/>
        <v>173.1</v>
      </c>
      <c r="P3150" s="1">
        <f t="shared" si="811"/>
        <v>0</v>
      </c>
      <c r="Q3150" s="1" t="str">
        <f t="shared" si="808"/>
        <v/>
      </c>
      <c r="R3150" s="1" t="str">
        <f t="shared" si="812"/>
        <v/>
      </c>
      <c r="S3150" s="1">
        <f t="shared" si="813"/>
        <v>630.90240000000244</v>
      </c>
      <c r="T3150" s="1">
        <f t="shared" si="814"/>
        <v>0</v>
      </c>
      <c r="U3150" s="1">
        <f t="shared" si="815"/>
        <v>0</v>
      </c>
      <c r="V3150" s="1">
        <f t="shared" si="816"/>
        <v>0</v>
      </c>
    </row>
    <row r="3151" spans="5:22" x14ac:dyDescent="0.25">
      <c r="E3151" s="4"/>
      <c r="M3151" s="4">
        <f t="shared" si="809"/>
        <v>173.1</v>
      </c>
      <c r="N3151" s="4"/>
      <c r="O3151" s="1">
        <f t="shared" si="810"/>
        <v>173.1</v>
      </c>
      <c r="P3151" s="1">
        <f t="shared" si="811"/>
        <v>0</v>
      </c>
      <c r="Q3151" s="1" t="str">
        <f t="shared" si="808"/>
        <v/>
      </c>
      <c r="R3151" s="1" t="str">
        <f t="shared" si="812"/>
        <v/>
      </c>
      <c r="S3151" s="1">
        <f t="shared" si="813"/>
        <v>630.90240000000244</v>
      </c>
      <c r="T3151" s="1">
        <f t="shared" si="814"/>
        <v>0</v>
      </c>
      <c r="U3151" s="1">
        <f t="shared" si="815"/>
        <v>0</v>
      </c>
      <c r="V3151" s="1">
        <f t="shared" si="816"/>
        <v>0</v>
      </c>
    </row>
    <row r="3152" spans="5:22" x14ac:dyDescent="0.25">
      <c r="E3152" s="4"/>
      <c r="M3152" s="4">
        <f t="shared" si="809"/>
        <v>173.1</v>
      </c>
      <c r="N3152" s="4"/>
      <c r="O3152" s="1">
        <f t="shared" si="810"/>
        <v>173.1</v>
      </c>
      <c r="P3152" s="1">
        <f t="shared" si="811"/>
        <v>0</v>
      </c>
      <c r="Q3152" s="1" t="str">
        <f t="shared" si="808"/>
        <v/>
      </c>
      <c r="R3152" s="1" t="str">
        <f t="shared" si="812"/>
        <v/>
      </c>
      <c r="S3152" s="1">
        <f t="shared" si="813"/>
        <v>630.90240000000244</v>
      </c>
      <c r="T3152" s="1">
        <f t="shared" si="814"/>
        <v>0</v>
      </c>
      <c r="U3152" s="1">
        <f t="shared" si="815"/>
        <v>0</v>
      </c>
      <c r="V3152" s="1">
        <f t="shared" si="816"/>
        <v>0</v>
      </c>
    </row>
    <row r="3153" spans="5:22" x14ac:dyDescent="0.25">
      <c r="E3153" s="4"/>
      <c r="M3153" s="4">
        <f t="shared" si="809"/>
        <v>173.1</v>
      </c>
      <c r="N3153" s="4"/>
      <c r="O3153" s="1">
        <f t="shared" si="810"/>
        <v>173.1</v>
      </c>
      <c r="P3153" s="1">
        <f t="shared" si="811"/>
        <v>0</v>
      </c>
      <c r="Q3153" s="1" t="str">
        <f t="shared" si="808"/>
        <v/>
      </c>
      <c r="R3153" s="1" t="str">
        <f t="shared" si="812"/>
        <v/>
      </c>
      <c r="S3153" s="1">
        <f t="shared" si="813"/>
        <v>630.90240000000244</v>
      </c>
      <c r="T3153" s="1">
        <f t="shared" si="814"/>
        <v>0</v>
      </c>
      <c r="U3153" s="1">
        <f t="shared" si="815"/>
        <v>0</v>
      </c>
      <c r="V3153" s="1">
        <f t="shared" si="816"/>
        <v>0</v>
      </c>
    </row>
    <row r="3154" spans="5:22" x14ac:dyDescent="0.25">
      <c r="E3154" s="4"/>
      <c r="M3154" s="4">
        <f t="shared" si="809"/>
        <v>173.1</v>
      </c>
      <c r="N3154" s="4"/>
      <c r="O3154" s="1">
        <f t="shared" si="810"/>
        <v>173.1</v>
      </c>
      <c r="P3154" s="1">
        <f t="shared" si="811"/>
        <v>0</v>
      </c>
      <c r="Q3154" s="1" t="str">
        <f t="shared" si="808"/>
        <v/>
      </c>
      <c r="R3154" s="1" t="str">
        <f t="shared" si="812"/>
        <v/>
      </c>
      <c r="S3154" s="1">
        <f t="shared" si="813"/>
        <v>630.90240000000244</v>
      </c>
      <c r="T3154" s="1">
        <f t="shared" si="814"/>
        <v>0</v>
      </c>
      <c r="U3154" s="1">
        <f t="shared" si="815"/>
        <v>0</v>
      </c>
      <c r="V3154" s="1">
        <f t="shared" si="816"/>
        <v>0</v>
      </c>
    </row>
    <row r="3155" spans="5:22" x14ac:dyDescent="0.25">
      <c r="E3155" s="4"/>
      <c r="M3155" s="4">
        <f t="shared" si="809"/>
        <v>173.1</v>
      </c>
      <c r="N3155" s="4"/>
      <c r="O3155" s="1">
        <f t="shared" si="810"/>
        <v>173.1</v>
      </c>
      <c r="P3155" s="1">
        <f t="shared" si="811"/>
        <v>0</v>
      </c>
      <c r="Q3155" s="1" t="str">
        <f t="shared" si="808"/>
        <v/>
      </c>
      <c r="R3155" s="1" t="str">
        <f t="shared" si="812"/>
        <v/>
      </c>
      <c r="S3155" s="1">
        <f t="shared" si="813"/>
        <v>630.90240000000244</v>
      </c>
      <c r="T3155" s="1">
        <f t="shared" si="814"/>
        <v>0</v>
      </c>
      <c r="U3155" s="1">
        <f t="shared" si="815"/>
        <v>0</v>
      </c>
      <c r="V3155" s="1">
        <f t="shared" si="816"/>
        <v>0</v>
      </c>
    </row>
    <row r="3156" spans="5:22" x14ac:dyDescent="0.25">
      <c r="E3156" s="4"/>
      <c r="M3156" s="4">
        <f t="shared" si="809"/>
        <v>173.1</v>
      </c>
      <c r="N3156" s="4"/>
      <c r="O3156" s="1">
        <f t="shared" si="810"/>
        <v>173.1</v>
      </c>
      <c r="P3156" s="1">
        <f t="shared" si="811"/>
        <v>0</v>
      </c>
      <c r="Q3156" s="1" t="str">
        <f t="shared" si="808"/>
        <v/>
      </c>
      <c r="R3156" s="1" t="str">
        <f t="shared" si="812"/>
        <v/>
      </c>
      <c r="S3156" s="1">
        <f t="shared" si="813"/>
        <v>630.90240000000244</v>
      </c>
      <c r="T3156" s="1">
        <f t="shared" si="814"/>
        <v>0</v>
      </c>
      <c r="U3156" s="1">
        <f t="shared" si="815"/>
        <v>0</v>
      </c>
      <c r="V3156" s="1">
        <f t="shared" si="816"/>
        <v>0</v>
      </c>
    </row>
    <row r="3157" spans="5:22" x14ac:dyDescent="0.25">
      <c r="E3157" s="4"/>
      <c r="M3157" s="4">
        <f t="shared" si="809"/>
        <v>173.1</v>
      </c>
      <c r="N3157" s="4"/>
      <c r="O3157" s="1">
        <f t="shared" si="810"/>
        <v>173.1</v>
      </c>
      <c r="P3157" s="1">
        <f t="shared" si="811"/>
        <v>0</v>
      </c>
      <c r="Q3157" s="1" t="str">
        <f t="shared" si="808"/>
        <v/>
      </c>
      <c r="R3157" s="1" t="str">
        <f t="shared" si="812"/>
        <v/>
      </c>
      <c r="S3157" s="1">
        <f t="shared" si="813"/>
        <v>630.90240000000244</v>
      </c>
      <c r="T3157" s="1">
        <f t="shared" si="814"/>
        <v>0</v>
      </c>
      <c r="U3157" s="1">
        <f t="shared" si="815"/>
        <v>0</v>
      </c>
      <c r="V3157" s="1">
        <f t="shared" si="816"/>
        <v>0</v>
      </c>
    </row>
    <row r="3158" spans="5:22" x14ac:dyDescent="0.25">
      <c r="E3158" s="4"/>
      <c r="M3158" s="4">
        <f t="shared" si="809"/>
        <v>173.1</v>
      </c>
      <c r="N3158" s="4"/>
      <c r="O3158" s="1">
        <f t="shared" si="810"/>
        <v>173.1</v>
      </c>
      <c r="P3158" s="1">
        <f t="shared" si="811"/>
        <v>0</v>
      </c>
      <c r="Q3158" s="1" t="str">
        <f t="shared" si="808"/>
        <v/>
      </c>
      <c r="R3158" s="1" t="str">
        <f t="shared" si="812"/>
        <v/>
      </c>
      <c r="S3158" s="1">
        <f t="shared" si="813"/>
        <v>630.90240000000244</v>
      </c>
      <c r="T3158" s="1">
        <f t="shared" si="814"/>
        <v>0</v>
      </c>
      <c r="U3158" s="1">
        <f t="shared" si="815"/>
        <v>0</v>
      </c>
      <c r="V3158" s="1">
        <f t="shared" si="816"/>
        <v>0</v>
      </c>
    </row>
    <row r="3159" spans="5:22" x14ac:dyDescent="0.25">
      <c r="E3159" s="4"/>
      <c r="M3159" s="4">
        <f t="shared" si="809"/>
        <v>173.1</v>
      </c>
      <c r="N3159" s="4"/>
      <c r="O3159" s="1">
        <f t="shared" si="810"/>
        <v>173.1</v>
      </c>
      <c r="P3159" s="1">
        <f t="shared" si="811"/>
        <v>0</v>
      </c>
      <c r="Q3159" s="1" t="str">
        <f t="shared" si="808"/>
        <v/>
      </c>
      <c r="R3159" s="1" t="str">
        <f t="shared" si="812"/>
        <v/>
      </c>
      <c r="S3159" s="1">
        <f t="shared" si="813"/>
        <v>630.90240000000244</v>
      </c>
      <c r="T3159" s="1">
        <f t="shared" si="814"/>
        <v>0</v>
      </c>
      <c r="U3159" s="1">
        <f t="shared" si="815"/>
        <v>0</v>
      </c>
      <c r="V3159" s="1">
        <f t="shared" si="816"/>
        <v>0</v>
      </c>
    </row>
    <row r="3160" spans="5:22" x14ac:dyDescent="0.25">
      <c r="E3160" s="4"/>
      <c r="M3160" s="4">
        <f t="shared" si="809"/>
        <v>173.1</v>
      </c>
      <c r="N3160" s="4"/>
      <c r="O3160" s="1">
        <f t="shared" si="810"/>
        <v>173.1</v>
      </c>
      <c r="P3160" s="1">
        <f t="shared" si="811"/>
        <v>0</v>
      </c>
      <c r="Q3160" s="1" t="str">
        <f t="shared" si="808"/>
        <v/>
      </c>
      <c r="R3160" s="1" t="str">
        <f t="shared" si="812"/>
        <v/>
      </c>
      <c r="S3160" s="1">
        <f t="shared" si="813"/>
        <v>630.90240000000244</v>
      </c>
      <c r="T3160" s="1">
        <f t="shared" si="814"/>
        <v>0</v>
      </c>
      <c r="U3160" s="1">
        <f t="shared" si="815"/>
        <v>0</v>
      </c>
      <c r="V3160" s="1">
        <f t="shared" si="816"/>
        <v>0</v>
      </c>
    </row>
    <row r="3161" spans="5:22" x14ac:dyDescent="0.25">
      <c r="E3161" s="4"/>
      <c r="M3161" s="4">
        <f t="shared" si="809"/>
        <v>173.1</v>
      </c>
      <c r="N3161" s="4"/>
      <c r="O3161" s="1">
        <f t="shared" si="810"/>
        <v>173.1</v>
      </c>
      <c r="P3161" s="1">
        <f t="shared" si="811"/>
        <v>0</v>
      </c>
      <c r="Q3161" s="1" t="str">
        <f t="shared" si="808"/>
        <v/>
      </c>
      <c r="R3161" s="1" t="str">
        <f t="shared" si="812"/>
        <v/>
      </c>
      <c r="S3161" s="1">
        <f t="shared" si="813"/>
        <v>630.90240000000244</v>
      </c>
      <c r="T3161" s="1">
        <f t="shared" si="814"/>
        <v>0</v>
      </c>
      <c r="U3161" s="1">
        <f t="shared" si="815"/>
        <v>0</v>
      </c>
      <c r="V3161" s="1">
        <f t="shared" si="816"/>
        <v>0</v>
      </c>
    </row>
    <row r="3162" spans="5:22" x14ac:dyDescent="0.25">
      <c r="E3162" s="4"/>
      <c r="M3162" s="4">
        <f t="shared" si="809"/>
        <v>173.1</v>
      </c>
      <c r="N3162" s="4"/>
      <c r="O3162" s="1">
        <f t="shared" si="810"/>
        <v>173.1</v>
      </c>
      <c r="P3162" s="1">
        <f t="shared" si="811"/>
        <v>0</v>
      </c>
      <c r="Q3162" s="1" t="str">
        <f t="shared" si="808"/>
        <v/>
      </c>
      <c r="R3162" s="1" t="str">
        <f t="shared" si="812"/>
        <v/>
      </c>
      <c r="S3162" s="1">
        <f t="shared" si="813"/>
        <v>630.90240000000244</v>
      </c>
      <c r="T3162" s="1">
        <f t="shared" si="814"/>
        <v>0</v>
      </c>
      <c r="U3162" s="1">
        <f t="shared" si="815"/>
        <v>0</v>
      </c>
      <c r="V3162" s="1">
        <f t="shared" si="816"/>
        <v>0</v>
      </c>
    </row>
    <row r="3163" spans="5:22" x14ac:dyDescent="0.25">
      <c r="E3163" s="4"/>
      <c r="M3163" s="4">
        <f t="shared" si="809"/>
        <v>173.1</v>
      </c>
      <c r="N3163" s="4"/>
      <c r="O3163" s="1">
        <f t="shared" si="810"/>
        <v>173.1</v>
      </c>
      <c r="P3163" s="1">
        <f t="shared" si="811"/>
        <v>0</v>
      </c>
      <c r="Q3163" s="1" t="str">
        <f t="shared" si="808"/>
        <v/>
      </c>
      <c r="R3163" s="1" t="str">
        <f t="shared" si="812"/>
        <v/>
      </c>
      <c r="S3163" s="1">
        <f t="shared" si="813"/>
        <v>630.90240000000244</v>
      </c>
      <c r="T3163" s="1">
        <f t="shared" si="814"/>
        <v>0</v>
      </c>
      <c r="U3163" s="1">
        <f t="shared" si="815"/>
        <v>0</v>
      </c>
      <c r="V3163" s="1">
        <f t="shared" si="816"/>
        <v>0</v>
      </c>
    </row>
    <row r="3164" spans="5:22" x14ac:dyDescent="0.25">
      <c r="E3164" s="4"/>
      <c r="M3164" s="4">
        <f t="shared" si="809"/>
        <v>173.1</v>
      </c>
      <c r="N3164" s="4"/>
      <c r="O3164" s="1">
        <f t="shared" si="810"/>
        <v>173.1</v>
      </c>
      <c r="P3164" s="1">
        <f t="shared" si="811"/>
        <v>0</v>
      </c>
      <c r="Q3164" s="1" t="str">
        <f t="shared" si="808"/>
        <v/>
      </c>
      <c r="R3164" s="1" t="str">
        <f t="shared" si="812"/>
        <v/>
      </c>
      <c r="S3164" s="1">
        <f t="shared" si="813"/>
        <v>630.90240000000244</v>
      </c>
      <c r="T3164" s="1">
        <f t="shared" si="814"/>
        <v>0</v>
      </c>
      <c r="U3164" s="1">
        <f t="shared" si="815"/>
        <v>0</v>
      </c>
      <c r="V3164" s="1">
        <f t="shared" si="816"/>
        <v>0</v>
      </c>
    </row>
    <row r="3165" spans="5:22" x14ac:dyDescent="0.25">
      <c r="E3165" s="4"/>
      <c r="M3165" s="4">
        <f t="shared" si="809"/>
        <v>173.1</v>
      </c>
      <c r="N3165" s="4"/>
      <c r="O3165" s="1">
        <f t="shared" si="810"/>
        <v>173.1</v>
      </c>
      <c r="P3165" s="1">
        <f t="shared" si="811"/>
        <v>0</v>
      </c>
      <c r="Q3165" s="1" t="str">
        <f t="shared" si="808"/>
        <v/>
      </c>
      <c r="R3165" s="1" t="str">
        <f t="shared" si="812"/>
        <v/>
      </c>
      <c r="S3165" s="1">
        <f t="shared" si="813"/>
        <v>630.90240000000244</v>
      </c>
      <c r="T3165" s="1">
        <f t="shared" si="814"/>
        <v>0</v>
      </c>
      <c r="U3165" s="1">
        <f t="shared" si="815"/>
        <v>0</v>
      </c>
      <c r="V3165" s="1">
        <f t="shared" si="816"/>
        <v>0</v>
      </c>
    </row>
    <row r="3166" spans="5:22" x14ac:dyDescent="0.25">
      <c r="E3166" s="4"/>
      <c r="M3166" s="4">
        <f t="shared" si="809"/>
        <v>173.1</v>
      </c>
      <c r="N3166" s="4"/>
      <c r="O3166" s="1">
        <f t="shared" si="810"/>
        <v>173.1</v>
      </c>
      <c r="P3166" s="1">
        <f t="shared" si="811"/>
        <v>0</v>
      </c>
      <c r="Q3166" s="1" t="str">
        <f t="shared" si="808"/>
        <v/>
      </c>
      <c r="R3166" s="1" t="str">
        <f t="shared" si="812"/>
        <v/>
      </c>
      <c r="S3166" s="1">
        <f t="shared" si="813"/>
        <v>630.90240000000244</v>
      </c>
      <c r="T3166" s="1">
        <f t="shared" si="814"/>
        <v>0</v>
      </c>
      <c r="U3166" s="1">
        <f t="shared" si="815"/>
        <v>0</v>
      </c>
      <c r="V3166" s="1">
        <f t="shared" si="816"/>
        <v>0</v>
      </c>
    </row>
    <row r="3167" spans="5:22" x14ac:dyDescent="0.25">
      <c r="E3167" s="4"/>
      <c r="M3167" s="4">
        <f t="shared" si="809"/>
        <v>173.1</v>
      </c>
      <c r="N3167" s="4"/>
      <c r="O3167" s="1">
        <f t="shared" si="810"/>
        <v>173.1</v>
      </c>
      <c r="P3167" s="1">
        <f t="shared" si="811"/>
        <v>0</v>
      </c>
      <c r="Q3167" s="1" t="str">
        <f t="shared" si="808"/>
        <v/>
      </c>
      <c r="R3167" s="1" t="str">
        <f t="shared" si="812"/>
        <v/>
      </c>
      <c r="S3167" s="1">
        <f t="shared" si="813"/>
        <v>630.90240000000244</v>
      </c>
      <c r="T3167" s="1">
        <f t="shared" si="814"/>
        <v>0</v>
      </c>
      <c r="U3167" s="1">
        <f t="shared" si="815"/>
        <v>0</v>
      </c>
      <c r="V3167" s="1">
        <f t="shared" si="816"/>
        <v>0</v>
      </c>
    </row>
    <row r="3168" spans="5:22" x14ac:dyDescent="0.25">
      <c r="E3168" s="4"/>
      <c r="M3168" s="4">
        <f t="shared" si="809"/>
        <v>173.1</v>
      </c>
      <c r="N3168" s="4"/>
      <c r="O3168" s="1">
        <f t="shared" si="810"/>
        <v>173.1</v>
      </c>
      <c r="P3168" s="1">
        <f t="shared" si="811"/>
        <v>0</v>
      </c>
      <c r="Q3168" s="1" t="str">
        <f t="shared" si="808"/>
        <v/>
      </c>
      <c r="R3168" s="1" t="str">
        <f t="shared" si="812"/>
        <v/>
      </c>
      <c r="S3168" s="1">
        <f t="shared" si="813"/>
        <v>630.90240000000244</v>
      </c>
      <c r="T3168" s="1">
        <f t="shared" si="814"/>
        <v>0</v>
      </c>
      <c r="U3168" s="1">
        <f t="shared" si="815"/>
        <v>0</v>
      </c>
      <c r="V3168" s="1">
        <f t="shared" si="816"/>
        <v>0</v>
      </c>
    </row>
    <row r="3169" spans="5:22" x14ac:dyDescent="0.25">
      <c r="E3169" s="4"/>
      <c r="M3169" s="4">
        <f t="shared" si="809"/>
        <v>173.1</v>
      </c>
      <c r="N3169" s="4"/>
      <c r="O3169" s="1">
        <f t="shared" si="810"/>
        <v>173.1</v>
      </c>
      <c r="P3169" s="1">
        <f t="shared" si="811"/>
        <v>0</v>
      </c>
      <c r="Q3169" s="1" t="str">
        <f t="shared" si="808"/>
        <v/>
      </c>
      <c r="R3169" s="1" t="str">
        <f t="shared" si="812"/>
        <v/>
      </c>
      <c r="S3169" s="1">
        <f t="shared" si="813"/>
        <v>630.90240000000244</v>
      </c>
      <c r="T3169" s="1">
        <f t="shared" si="814"/>
        <v>0</v>
      </c>
      <c r="U3169" s="1">
        <f t="shared" si="815"/>
        <v>0</v>
      </c>
      <c r="V3169" s="1">
        <f t="shared" si="816"/>
        <v>0</v>
      </c>
    </row>
    <row r="3170" spans="5:22" x14ac:dyDescent="0.25">
      <c r="E3170" s="4"/>
      <c r="M3170" s="4">
        <f t="shared" si="809"/>
        <v>173.1</v>
      </c>
      <c r="N3170" s="4"/>
      <c r="O3170" s="1">
        <f t="shared" si="810"/>
        <v>173.1</v>
      </c>
      <c r="P3170" s="1">
        <f t="shared" si="811"/>
        <v>0</v>
      </c>
      <c r="Q3170" s="1" t="str">
        <f t="shared" si="808"/>
        <v/>
      </c>
      <c r="R3170" s="1" t="str">
        <f t="shared" si="812"/>
        <v/>
      </c>
      <c r="S3170" s="1">
        <f t="shared" si="813"/>
        <v>630.90240000000244</v>
      </c>
      <c r="T3170" s="1">
        <f t="shared" si="814"/>
        <v>0</v>
      </c>
      <c r="U3170" s="1">
        <f t="shared" si="815"/>
        <v>0</v>
      </c>
      <c r="V3170" s="1">
        <f t="shared" si="816"/>
        <v>0</v>
      </c>
    </row>
    <row r="3171" spans="5:22" x14ac:dyDescent="0.25">
      <c r="E3171" s="4"/>
      <c r="M3171" s="4">
        <f t="shared" si="809"/>
        <v>173.1</v>
      </c>
      <c r="N3171" s="4"/>
      <c r="O3171" s="1">
        <f t="shared" si="810"/>
        <v>173.1</v>
      </c>
      <c r="P3171" s="1">
        <f t="shared" si="811"/>
        <v>0</v>
      </c>
      <c r="Q3171" s="1" t="str">
        <f t="shared" si="808"/>
        <v/>
      </c>
      <c r="R3171" s="1" t="str">
        <f t="shared" si="812"/>
        <v/>
      </c>
      <c r="S3171" s="1">
        <f t="shared" si="813"/>
        <v>630.90240000000244</v>
      </c>
      <c r="T3171" s="1">
        <f t="shared" si="814"/>
        <v>0</v>
      </c>
      <c r="U3171" s="1">
        <f t="shared" si="815"/>
        <v>0</v>
      </c>
      <c r="V3171" s="1">
        <f t="shared" si="816"/>
        <v>0</v>
      </c>
    </row>
    <row r="3172" spans="5:22" x14ac:dyDescent="0.25">
      <c r="E3172" s="4"/>
      <c r="M3172" s="4">
        <f t="shared" si="809"/>
        <v>173.1</v>
      </c>
      <c r="N3172" s="4"/>
      <c r="O3172" s="1">
        <f t="shared" si="810"/>
        <v>173.1</v>
      </c>
      <c r="P3172" s="1">
        <f t="shared" si="811"/>
        <v>0</v>
      </c>
      <c r="Q3172" s="1" t="str">
        <f t="shared" si="808"/>
        <v/>
      </c>
      <c r="R3172" s="1" t="str">
        <f t="shared" si="812"/>
        <v/>
      </c>
      <c r="S3172" s="1">
        <f t="shared" si="813"/>
        <v>630.90240000000244</v>
      </c>
      <c r="T3172" s="1">
        <f t="shared" si="814"/>
        <v>0</v>
      </c>
      <c r="U3172" s="1">
        <f t="shared" si="815"/>
        <v>0</v>
      </c>
      <c r="V3172" s="1">
        <f t="shared" si="816"/>
        <v>0</v>
      </c>
    </row>
    <row r="3173" spans="5:22" x14ac:dyDescent="0.25">
      <c r="E3173" s="4"/>
      <c r="M3173" s="4">
        <f t="shared" si="809"/>
        <v>173.1</v>
      </c>
      <c r="N3173" s="4"/>
      <c r="O3173" s="1">
        <f t="shared" si="810"/>
        <v>173.1</v>
      </c>
      <c r="P3173" s="1">
        <f t="shared" si="811"/>
        <v>0</v>
      </c>
      <c r="Q3173" s="1" t="str">
        <f t="shared" si="808"/>
        <v/>
      </c>
      <c r="R3173" s="1" t="str">
        <f t="shared" si="812"/>
        <v/>
      </c>
      <c r="S3173" s="1">
        <f t="shared" si="813"/>
        <v>630.90240000000244</v>
      </c>
      <c r="T3173" s="1">
        <f t="shared" si="814"/>
        <v>0</v>
      </c>
      <c r="U3173" s="1">
        <f t="shared" si="815"/>
        <v>0</v>
      </c>
      <c r="V3173" s="1">
        <f t="shared" si="816"/>
        <v>0</v>
      </c>
    </row>
    <row r="3174" spans="5:22" x14ac:dyDescent="0.25">
      <c r="E3174" s="4"/>
      <c r="M3174" s="4">
        <f t="shared" si="809"/>
        <v>173.1</v>
      </c>
      <c r="N3174" s="4"/>
      <c r="O3174" s="1">
        <f t="shared" si="810"/>
        <v>173.1</v>
      </c>
      <c r="P3174" s="1">
        <f t="shared" si="811"/>
        <v>0</v>
      </c>
      <c r="Q3174" s="1" t="str">
        <f t="shared" si="808"/>
        <v/>
      </c>
      <c r="R3174" s="1" t="str">
        <f t="shared" si="812"/>
        <v/>
      </c>
      <c r="S3174" s="1">
        <f t="shared" si="813"/>
        <v>630.90240000000244</v>
      </c>
      <c r="T3174" s="1">
        <f t="shared" si="814"/>
        <v>0</v>
      </c>
      <c r="U3174" s="1">
        <f t="shared" si="815"/>
        <v>0</v>
      </c>
      <c r="V3174" s="1">
        <f t="shared" si="816"/>
        <v>0</v>
      </c>
    </row>
    <row r="3175" spans="5:22" x14ac:dyDescent="0.25">
      <c r="E3175" s="4"/>
      <c r="M3175" s="4">
        <f t="shared" si="809"/>
        <v>173.1</v>
      </c>
      <c r="N3175" s="4"/>
      <c r="O3175" s="1">
        <f t="shared" si="810"/>
        <v>173.1</v>
      </c>
      <c r="P3175" s="1">
        <f t="shared" si="811"/>
        <v>0</v>
      </c>
      <c r="Q3175" s="1" t="str">
        <f t="shared" si="808"/>
        <v/>
      </c>
      <c r="R3175" s="1" t="str">
        <f t="shared" si="812"/>
        <v/>
      </c>
      <c r="S3175" s="1">
        <f t="shared" si="813"/>
        <v>630.90240000000244</v>
      </c>
      <c r="T3175" s="1">
        <f t="shared" si="814"/>
        <v>0</v>
      </c>
      <c r="U3175" s="1">
        <f t="shared" si="815"/>
        <v>0</v>
      </c>
      <c r="V3175" s="1">
        <f t="shared" si="816"/>
        <v>0</v>
      </c>
    </row>
    <row r="3176" spans="5:22" x14ac:dyDescent="0.25">
      <c r="E3176" s="4"/>
      <c r="M3176" s="4">
        <f t="shared" si="809"/>
        <v>173.1</v>
      </c>
      <c r="N3176" s="4"/>
      <c r="O3176" s="1">
        <f t="shared" si="810"/>
        <v>173.1</v>
      </c>
      <c r="P3176" s="1">
        <f t="shared" si="811"/>
        <v>0</v>
      </c>
      <c r="Q3176" s="1" t="str">
        <f t="shared" si="808"/>
        <v/>
      </c>
      <c r="R3176" s="1" t="str">
        <f t="shared" si="812"/>
        <v/>
      </c>
      <c r="S3176" s="1">
        <f t="shared" si="813"/>
        <v>630.90240000000244</v>
      </c>
      <c r="T3176" s="1">
        <f t="shared" si="814"/>
        <v>0</v>
      </c>
      <c r="U3176" s="1">
        <f t="shared" si="815"/>
        <v>0</v>
      </c>
      <c r="V3176" s="1">
        <f t="shared" si="816"/>
        <v>0</v>
      </c>
    </row>
    <row r="3177" spans="5:22" x14ac:dyDescent="0.25">
      <c r="E3177" s="4"/>
      <c r="M3177" s="4">
        <f t="shared" si="809"/>
        <v>173.1</v>
      </c>
      <c r="N3177" s="4"/>
      <c r="O3177" s="1">
        <f t="shared" si="810"/>
        <v>173.1</v>
      </c>
      <c r="P3177" s="1">
        <f t="shared" si="811"/>
        <v>0</v>
      </c>
      <c r="Q3177" s="1" t="str">
        <f t="shared" si="808"/>
        <v/>
      </c>
      <c r="R3177" s="1" t="str">
        <f t="shared" si="812"/>
        <v/>
      </c>
      <c r="S3177" s="1">
        <f t="shared" si="813"/>
        <v>630.90240000000244</v>
      </c>
      <c r="T3177" s="1">
        <f t="shared" si="814"/>
        <v>0</v>
      </c>
      <c r="U3177" s="1">
        <f t="shared" si="815"/>
        <v>0</v>
      </c>
      <c r="V3177" s="1">
        <f t="shared" si="816"/>
        <v>0</v>
      </c>
    </row>
    <row r="3178" spans="5:22" x14ac:dyDescent="0.25">
      <c r="E3178" s="4"/>
      <c r="M3178" s="4">
        <f t="shared" si="809"/>
        <v>173.1</v>
      </c>
      <c r="N3178" s="4"/>
      <c r="O3178" s="1">
        <f t="shared" si="810"/>
        <v>173.1</v>
      </c>
      <c r="P3178" s="1">
        <f t="shared" si="811"/>
        <v>0</v>
      </c>
      <c r="Q3178" s="1" t="str">
        <f t="shared" si="808"/>
        <v/>
      </c>
      <c r="R3178" s="1" t="str">
        <f t="shared" si="812"/>
        <v/>
      </c>
      <c r="S3178" s="1">
        <f t="shared" si="813"/>
        <v>630.90240000000244</v>
      </c>
      <c r="T3178" s="1">
        <f t="shared" si="814"/>
        <v>0</v>
      </c>
      <c r="U3178" s="1">
        <f t="shared" si="815"/>
        <v>0</v>
      </c>
      <c r="V3178" s="1">
        <f t="shared" si="816"/>
        <v>0</v>
      </c>
    </row>
    <row r="3179" spans="5:22" x14ac:dyDescent="0.25">
      <c r="E3179" s="4"/>
      <c r="M3179" s="4">
        <f t="shared" si="809"/>
        <v>173.1</v>
      </c>
      <c r="N3179" s="4"/>
      <c r="O3179" s="1">
        <f t="shared" si="810"/>
        <v>173.1</v>
      </c>
      <c r="P3179" s="1">
        <f t="shared" si="811"/>
        <v>0</v>
      </c>
      <c r="Q3179" s="1" t="str">
        <f t="shared" si="808"/>
        <v/>
      </c>
      <c r="R3179" s="1" t="str">
        <f t="shared" si="812"/>
        <v/>
      </c>
      <c r="S3179" s="1">
        <f t="shared" si="813"/>
        <v>630.90240000000244</v>
      </c>
      <c r="T3179" s="1">
        <f t="shared" si="814"/>
        <v>0</v>
      </c>
      <c r="U3179" s="1">
        <f t="shared" si="815"/>
        <v>0</v>
      </c>
      <c r="V3179" s="1">
        <f t="shared" si="816"/>
        <v>0</v>
      </c>
    </row>
    <row r="3180" spans="5:22" x14ac:dyDescent="0.25">
      <c r="E3180" s="4"/>
      <c r="M3180" s="4">
        <f t="shared" si="809"/>
        <v>173.1</v>
      </c>
      <c r="N3180" s="4"/>
      <c r="O3180" s="1">
        <f t="shared" si="810"/>
        <v>173.1</v>
      </c>
      <c r="P3180" s="1">
        <f t="shared" si="811"/>
        <v>0</v>
      </c>
      <c r="Q3180" s="1" t="str">
        <f t="shared" si="808"/>
        <v/>
      </c>
      <c r="R3180" s="1" t="str">
        <f t="shared" si="812"/>
        <v/>
      </c>
      <c r="S3180" s="1">
        <f t="shared" si="813"/>
        <v>630.90240000000244</v>
      </c>
      <c r="T3180" s="1">
        <f t="shared" si="814"/>
        <v>0</v>
      </c>
      <c r="U3180" s="1">
        <f t="shared" si="815"/>
        <v>0</v>
      </c>
      <c r="V3180" s="1">
        <f t="shared" si="816"/>
        <v>0</v>
      </c>
    </row>
    <row r="3181" spans="5:22" x14ac:dyDescent="0.25">
      <c r="E3181" s="4"/>
      <c r="M3181" s="4">
        <f t="shared" si="809"/>
        <v>173.1</v>
      </c>
      <c r="N3181" s="4"/>
      <c r="O3181" s="1">
        <f t="shared" si="810"/>
        <v>173.1</v>
      </c>
      <c r="P3181" s="1">
        <f t="shared" si="811"/>
        <v>0</v>
      </c>
      <c r="Q3181" s="1" t="str">
        <f t="shared" si="808"/>
        <v/>
      </c>
      <c r="R3181" s="1" t="str">
        <f t="shared" si="812"/>
        <v/>
      </c>
      <c r="S3181" s="1">
        <f t="shared" si="813"/>
        <v>630.90240000000244</v>
      </c>
      <c r="T3181" s="1">
        <f t="shared" si="814"/>
        <v>0</v>
      </c>
      <c r="U3181" s="1">
        <f t="shared" si="815"/>
        <v>0</v>
      </c>
      <c r="V3181" s="1">
        <f t="shared" si="816"/>
        <v>0</v>
      </c>
    </row>
    <row r="3182" spans="5:22" x14ac:dyDescent="0.25">
      <c r="E3182" s="4"/>
      <c r="M3182" s="4">
        <f t="shared" si="809"/>
        <v>173.1</v>
      </c>
      <c r="N3182" s="4"/>
      <c r="O3182" s="1">
        <f t="shared" si="810"/>
        <v>173.1</v>
      </c>
      <c r="P3182" s="1">
        <f t="shared" si="811"/>
        <v>0</v>
      </c>
      <c r="Q3182" s="1" t="str">
        <f t="shared" si="808"/>
        <v/>
      </c>
      <c r="R3182" s="1" t="str">
        <f t="shared" si="812"/>
        <v/>
      </c>
      <c r="S3182" s="1">
        <f t="shared" si="813"/>
        <v>630.90240000000244</v>
      </c>
      <c r="T3182" s="1">
        <f t="shared" si="814"/>
        <v>0</v>
      </c>
      <c r="U3182" s="1">
        <f t="shared" si="815"/>
        <v>0</v>
      </c>
      <c r="V3182" s="1">
        <f t="shared" si="816"/>
        <v>0</v>
      </c>
    </row>
    <row r="3183" spans="5:22" x14ac:dyDescent="0.25">
      <c r="E3183" s="4"/>
      <c r="M3183" s="4">
        <f t="shared" si="809"/>
        <v>173.1</v>
      </c>
      <c r="N3183" s="4"/>
      <c r="O3183" s="1">
        <f t="shared" si="810"/>
        <v>173.1</v>
      </c>
      <c r="P3183" s="1">
        <f t="shared" si="811"/>
        <v>0</v>
      </c>
      <c r="Q3183" s="1" t="str">
        <f t="shared" si="808"/>
        <v/>
      </c>
      <c r="R3183" s="1" t="str">
        <f t="shared" si="812"/>
        <v/>
      </c>
      <c r="S3183" s="1">
        <f t="shared" si="813"/>
        <v>630.90240000000244</v>
      </c>
      <c r="T3183" s="1">
        <f t="shared" si="814"/>
        <v>0</v>
      </c>
      <c r="U3183" s="1">
        <f t="shared" si="815"/>
        <v>0</v>
      </c>
      <c r="V3183" s="1">
        <f t="shared" si="816"/>
        <v>0</v>
      </c>
    </row>
    <row r="3184" spans="5:22" x14ac:dyDescent="0.25">
      <c r="E3184" s="4"/>
      <c r="M3184" s="4">
        <f t="shared" si="809"/>
        <v>173.1</v>
      </c>
      <c r="N3184" s="4"/>
      <c r="O3184" s="1">
        <f t="shared" si="810"/>
        <v>173.1</v>
      </c>
      <c r="P3184" s="1">
        <f t="shared" si="811"/>
        <v>0</v>
      </c>
      <c r="Q3184" s="1" t="str">
        <f t="shared" si="808"/>
        <v/>
      </c>
      <c r="R3184" s="1" t="str">
        <f t="shared" si="812"/>
        <v/>
      </c>
      <c r="S3184" s="1">
        <f t="shared" si="813"/>
        <v>630.90240000000244</v>
      </c>
      <c r="T3184" s="1">
        <f t="shared" si="814"/>
        <v>0</v>
      </c>
      <c r="U3184" s="1">
        <f t="shared" si="815"/>
        <v>0</v>
      </c>
      <c r="V3184" s="1">
        <f t="shared" si="816"/>
        <v>0</v>
      </c>
    </row>
    <row r="3185" spans="5:22" x14ac:dyDescent="0.25">
      <c r="E3185" s="4"/>
      <c r="M3185" s="4">
        <f t="shared" si="809"/>
        <v>173.1</v>
      </c>
      <c r="N3185" s="4"/>
      <c r="O3185" s="1">
        <f t="shared" si="810"/>
        <v>173.1</v>
      </c>
      <c r="P3185" s="1">
        <f t="shared" si="811"/>
        <v>0</v>
      </c>
      <c r="Q3185" s="1" t="str">
        <f t="shared" si="808"/>
        <v/>
      </c>
      <c r="R3185" s="1" t="str">
        <f t="shared" si="812"/>
        <v/>
      </c>
      <c r="S3185" s="1">
        <f t="shared" si="813"/>
        <v>630.90240000000244</v>
      </c>
      <c r="T3185" s="1">
        <f t="shared" si="814"/>
        <v>0</v>
      </c>
      <c r="U3185" s="1">
        <f t="shared" si="815"/>
        <v>0</v>
      </c>
      <c r="V3185" s="1">
        <f t="shared" si="816"/>
        <v>0</v>
      </c>
    </row>
    <row r="3186" spans="5:22" x14ac:dyDescent="0.25">
      <c r="E3186" s="4"/>
      <c r="M3186" s="4">
        <f t="shared" si="809"/>
        <v>173.1</v>
      </c>
      <c r="N3186" s="4"/>
      <c r="O3186" s="1">
        <f t="shared" si="810"/>
        <v>173.1</v>
      </c>
      <c r="P3186" s="1">
        <f t="shared" si="811"/>
        <v>0</v>
      </c>
      <c r="Q3186" s="1" t="str">
        <f t="shared" ref="Q3186:Q3249" si="817">IF(H3186&lt;&gt;"",IF(H3186=H3185,"",H3186),IF(H3184="","",MAX(H3185,Q3185)))</f>
        <v/>
      </c>
      <c r="R3186" s="1" t="str">
        <f t="shared" si="812"/>
        <v/>
      </c>
      <c r="S3186" s="1">
        <f t="shared" si="813"/>
        <v>630.90240000000244</v>
      </c>
      <c r="T3186" s="1">
        <f t="shared" si="814"/>
        <v>0</v>
      </c>
      <c r="U3186" s="1">
        <f t="shared" si="815"/>
        <v>0</v>
      </c>
      <c r="V3186" s="1">
        <f t="shared" si="816"/>
        <v>0</v>
      </c>
    </row>
    <row r="3187" spans="5:22" x14ac:dyDescent="0.25">
      <c r="E3187" s="4"/>
      <c r="M3187" s="4">
        <f t="shared" si="809"/>
        <v>173.1</v>
      </c>
      <c r="N3187" s="4"/>
      <c r="O3187" s="1">
        <f t="shared" si="810"/>
        <v>173.1</v>
      </c>
      <c r="P3187" s="1">
        <f t="shared" si="811"/>
        <v>0</v>
      </c>
      <c r="Q3187" s="1" t="str">
        <f t="shared" si="817"/>
        <v/>
      </c>
      <c r="R3187" s="1" t="str">
        <f t="shared" si="812"/>
        <v/>
      </c>
      <c r="S3187" s="1">
        <f t="shared" si="813"/>
        <v>630.90240000000244</v>
      </c>
      <c r="T3187" s="1">
        <f t="shared" si="814"/>
        <v>0</v>
      </c>
      <c r="U3187" s="1">
        <f t="shared" si="815"/>
        <v>0</v>
      </c>
      <c r="V3187" s="1">
        <f t="shared" si="816"/>
        <v>0</v>
      </c>
    </row>
    <row r="3188" spans="5:22" x14ac:dyDescent="0.25">
      <c r="E3188" s="4"/>
      <c r="M3188" s="4">
        <f t="shared" si="809"/>
        <v>173.1</v>
      </c>
      <c r="N3188" s="4"/>
      <c r="O3188" s="1">
        <f t="shared" si="810"/>
        <v>173.1</v>
      </c>
      <c r="P3188" s="1">
        <f t="shared" si="811"/>
        <v>0</v>
      </c>
      <c r="Q3188" s="1" t="str">
        <f t="shared" si="817"/>
        <v/>
      </c>
      <c r="R3188" s="1" t="str">
        <f t="shared" si="812"/>
        <v/>
      </c>
      <c r="S3188" s="1">
        <f t="shared" si="813"/>
        <v>630.90240000000244</v>
      </c>
      <c r="T3188" s="1">
        <f t="shared" si="814"/>
        <v>0</v>
      </c>
      <c r="U3188" s="1">
        <f t="shared" si="815"/>
        <v>0</v>
      </c>
      <c r="V3188" s="1">
        <f t="shared" si="816"/>
        <v>0</v>
      </c>
    </row>
    <row r="3189" spans="5:22" x14ac:dyDescent="0.25">
      <c r="E3189" s="4"/>
      <c r="M3189" s="4">
        <f t="shared" si="809"/>
        <v>173.1</v>
      </c>
      <c r="N3189" s="4"/>
      <c r="O3189" s="1">
        <f t="shared" si="810"/>
        <v>173.1</v>
      </c>
      <c r="P3189" s="1">
        <f t="shared" si="811"/>
        <v>0</v>
      </c>
      <c r="Q3189" s="1" t="str">
        <f t="shared" si="817"/>
        <v/>
      </c>
      <c r="R3189" s="1" t="str">
        <f t="shared" si="812"/>
        <v/>
      </c>
      <c r="S3189" s="1">
        <f t="shared" si="813"/>
        <v>630.90240000000244</v>
      </c>
      <c r="T3189" s="1">
        <f t="shared" si="814"/>
        <v>0</v>
      </c>
      <c r="U3189" s="1">
        <f t="shared" si="815"/>
        <v>0</v>
      </c>
      <c r="V3189" s="1">
        <f t="shared" si="816"/>
        <v>0</v>
      </c>
    </row>
    <row r="3190" spans="5:22" x14ac:dyDescent="0.25">
      <c r="E3190" s="4"/>
      <c r="M3190" s="4">
        <f t="shared" si="809"/>
        <v>173.1</v>
      </c>
      <c r="N3190" s="4"/>
      <c r="O3190" s="1">
        <f t="shared" si="810"/>
        <v>173.1</v>
      </c>
      <c r="P3190" s="1">
        <f t="shared" si="811"/>
        <v>0</v>
      </c>
      <c r="Q3190" s="1" t="str">
        <f t="shared" si="817"/>
        <v/>
      </c>
      <c r="R3190" s="1" t="str">
        <f t="shared" si="812"/>
        <v/>
      </c>
      <c r="S3190" s="1">
        <f t="shared" si="813"/>
        <v>630.90240000000244</v>
      </c>
      <c r="T3190" s="1">
        <f t="shared" si="814"/>
        <v>0</v>
      </c>
      <c r="U3190" s="1">
        <f t="shared" si="815"/>
        <v>0</v>
      </c>
      <c r="V3190" s="1">
        <f t="shared" si="816"/>
        <v>0</v>
      </c>
    </row>
    <row r="3191" spans="5:22" x14ac:dyDescent="0.25">
      <c r="E3191" s="4"/>
      <c r="M3191" s="4">
        <f t="shared" si="809"/>
        <v>173.1</v>
      </c>
      <c r="N3191" s="4"/>
      <c r="O3191" s="1">
        <f t="shared" si="810"/>
        <v>173.1</v>
      </c>
      <c r="P3191" s="1">
        <f t="shared" si="811"/>
        <v>0</v>
      </c>
      <c r="Q3191" s="1" t="str">
        <f t="shared" si="817"/>
        <v/>
      </c>
      <c r="R3191" s="1" t="str">
        <f t="shared" si="812"/>
        <v/>
      </c>
      <c r="S3191" s="1">
        <f t="shared" si="813"/>
        <v>630.90240000000244</v>
      </c>
      <c r="T3191" s="1">
        <f t="shared" si="814"/>
        <v>0</v>
      </c>
      <c r="U3191" s="1">
        <f t="shared" si="815"/>
        <v>0</v>
      </c>
      <c r="V3191" s="1">
        <f t="shared" si="816"/>
        <v>0</v>
      </c>
    </row>
    <row r="3192" spans="5:22" x14ac:dyDescent="0.25">
      <c r="E3192" s="4"/>
      <c r="M3192" s="4">
        <f t="shared" si="809"/>
        <v>173.1</v>
      </c>
      <c r="N3192" s="4"/>
      <c r="O3192" s="1">
        <f t="shared" si="810"/>
        <v>173.1</v>
      </c>
      <c r="P3192" s="1">
        <f t="shared" si="811"/>
        <v>0</v>
      </c>
      <c r="Q3192" s="1" t="str">
        <f t="shared" si="817"/>
        <v/>
      </c>
      <c r="R3192" s="1" t="str">
        <f t="shared" si="812"/>
        <v/>
      </c>
      <c r="S3192" s="1">
        <f t="shared" si="813"/>
        <v>630.90240000000244</v>
      </c>
      <c r="T3192" s="1">
        <f t="shared" si="814"/>
        <v>0</v>
      </c>
      <c r="U3192" s="1">
        <f t="shared" si="815"/>
        <v>0</v>
      </c>
      <c r="V3192" s="1">
        <f t="shared" si="816"/>
        <v>0</v>
      </c>
    </row>
    <row r="3193" spans="5:22" x14ac:dyDescent="0.25">
      <c r="E3193" s="4"/>
      <c r="M3193" s="4">
        <f t="shared" si="809"/>
        <v>173.1</v>
      </c>
      <c r="N3193" s="4"/>
      <c r="O3193" s="1">
        <f t="shared" si="810"/>
        <v>173.1</v>
      </c>
      <c r="P3193" s="1">
        <f t="shared" si="811"/>
        <v>0</v>
      </c>
      <c r="Q3193" s="1" t="str">
        <f t="shared" si="817"/>
        <v/>
      </c>
      <c r="R3193" s="1" t="str">
        <f t="shared" si="812"/>
        <v/>
      </c>
      <c r="S3193" s="1">
        <f t="shared" si="813"/>
        <v>630.90240000000244</v>
      </c>
      <c r="T3193" s="1">
        <f t="shared" si="814"/>
        <v>0</v>
      </c>
      <c r="U3193" s="1">
        <f t="shared" si="815"/>
        <v>0</v>
      </c>
      <c r="V3193" s="1">
        <f t="shared" si="816"/>
        <v>0</v>
      </c>
    </row>
    <row r="3194" spans="5:22" x14ac:dyDescent="0.25">
      <c r="E3194" s="4"/>
      <c r="M3194" s="4">
        <f t="shared" si="809"/>
        <v>173.1</v>
      </c>
      <c r="N3194" s="4"/>
      <c r="O3194" s="1">
        <f t="shared" si="810"/>
        <v>173.1</v>
      </c>
      <c r="P3194" s="1">
        <f t="shared" si="811"/>
        <v>0</v>
      </c>
      <c r="Q3194" s="1" t="str">
        <f t="shared" si="817"/>
        <v/>
      </c>
      <c r="R3194" s="1" t="str">
        <f t="shared" si="812"/>
        <v/>
      </c>
      <c r="S3194" s="1">
        <f t="shared" si="813"/>
        <v>630.90240000000244</v>
      </c>
      <c r="T3194" s="1">
        <f t="shared" si="814"/>
        <v>0</v>
      </c>
      <c r="U3194" s="1">
        <f t="shared" si="815"/>
        <v>0</v>
      </c>
      <c r="V3194" s="1">
        <f t="shared" si="816"/>
        <v>0</v>
      </c>
    </row>
    <row r="3195" spans="5:22" x14ac:dyDescent="0.25">
      <c r="E3195" s="4"/>
      <c r="M3195" s="4">
        <f t="shared" si="809"/>
        <v>173.1</v>
      </c>
      <c r="N3195" s="4"/>
      <c r="O3195" s="1">
        <f t="shared" si="810"/>
        <v>173.1</v>
      </c>
      <c r="P3195" s="1">
        <f t="shared" si="811"/>
        <v>0</v>
      </c>
      <c r="Q3195" s="1" t="str">
        <f t="shared" si="817"/>
        <v/>
      </c>
      <c r="R3195" s="1" t="str">
        <f t="shared" si="812"/>
        <v/>
      </c>
      <c r="S3195" s="1">
        <f t="shared" si="813"/>
        <v>630.90240000000244</v>
      </c>
      <c r="T3195" s="1">
        <f t="shared" si="814"/>
        <v>0</v>
      </c>
      <c r="U3195" s="1">
        <f t="shared" si="815"/>
        <v>0</v>
      </c>
      <c r="V3195" s="1">
        <f t="shared" si="816"/>
        <v>0</v>
      </c>
    </row>
    <row r="3196" spans="5:22" x14ac:dyDescent="0.25">
      <c r="E3196" s="4"/>
      <c r="M3196" s="4">
        <f t="shared" si="809"/>
        <v>173.1</v>
      </c>
      <c r="N3196" s="4"/>
      <c r="O3196" s="1">
        <f t="shared" si="810"/>
        <v>173.1</v>
      </c>
      <c r="P3196" s="1">
        <f t="shared" si="811"/>
        <v>0</v>
      </c>
      <c r="Q3196" s="1" t="str">
        <f t="shared" si="817"/>
        <v/>
      </c>
      <c r="R3196" s="1" t="str">
        <f t="shared" si="812"/>
        <v/>
      </c>
      <c r="S3196" s="1">
        <f t="shared" si="813"/>
        <v>630.90240000000244</v>
      </c>
      <c r="T3196" s="1">
        <f t="shared" si="814"/>
        <v>0</v>
      </c>
      <c r="U3196" s="1">
        <f t="shared" si="815"/>
        <v>0</v>
      </c>
      <c r="V3196" s="1">
        <f t="shared" si="816"/>
        <v>0</v>
      </c>
    </row>
    <row r="3197" spans="5:22" x14ac:dyDescent="0.25">
      <c r="E3197" s="4"/>
      <c r="M3197" s="4">
        <f t="shared" si="809"/>
        <v>173.1</v>
      </c>
      <c r="N3197" s="4"/>
      <c r="O3197" s="1">
        <f t="shared" si="810"/>
        <v>173.1</v>
      </c>
      <c r="P3197" s="1">
        <f t="shared" si="811"/>
        <v>0</v>
      </c>
      <c r="Q3197" s="1" t="str">
        <f t="shared" si="817"/>
        <v/>
      </c>
      <c r="R3197" s="1" t="str">
        <f t="shared" si="812"/>
        <v/>
      </c>
      <c r="S3197" s="1">
        <f t="shared" si="813"/>
        <v>630.90240000000244</v>
      </c>
      <c r="T3197" s="1">
        <f t="shared" si="814"/>
        <v>0</v>
      </c>
      <c r="U3197" s="1">
        <f t="shared" si="815"/>
        <v>0</v>
      </c>
      <c r="V3197" s="1">
        <f t="shared" si="816"/>
        <v>0</v>
      </c>
    </row>
    <row r="3198" spans="5:22" x14ac:dyDescent="0.25">
      <c r="E3198" s="4"/>
      <c r="M3198" s="4">
        <f t="shared" si="809"/>
        <v>173.1</v>
      </c>
      <c r="N3198" s="4"/>
      <c r="O3198" s="1">
        <f t="shared" si="810"/>
        <v>173.1</v>
      </c>
      <c r="P3198" s="1">
        <f t="shared" si="811"/>
        <v>0</v>
      </c>
      <c r="Q3198" s="1" t="str">
        <f t="shared" si="817"/>
        <v/>
      </c>
      <c r="R3198" s="1" t="str">
        <f t="shared" si="812"/>
        <v/>
      </c>
      <c r="S3198" s="1">
        <f t="shared" si="813"/>
        <v>630.90240000000244</v>
      </c>
      <c r="T3198" s="1">
        <f t="shared" si="814"/>
        <v>0</v>
      </c>
      <c r="U3198" s="1">
        <f t="shared" si="815"/>
        <v>0</v>
      </c>
      <c r="V3198" s="1">
        <f t="shared" si="816"/>
        <v>0</v>
      </c>
    </row>
    <row r="3199" spans="5:22" x14ac:dyDescent="0.25">
      <c r="E3199" s="4"/>
      <c r="M3199" s="4">
        <f t="shared" si="809"/>
        <v>173.1</v>
      </c>
      <c r="N3199" s="4"/>
      <c r="O3199" s="1">
        <f t="shared" si="810"/>
        <v>173.1</v>
      </c>
      <c r="P3199" s="1">
        <f t="shared" si="811"/>
        <v>0</v>
      </c>
      <c r="Q3199" s="1" t="str">
        <f t="shared" si="817"/>
        <v/>
      </c>
      <c r="R3199" s="1" t="str">
        <f t="shared" si="812"/>
        <v/>
      </c>
      <c r="S3199" s="1">
        <f t="shared" si="813"/>
        <v>630.90240000000244</v>
      </c>
      <c r="T3199" s="1">
        <f t="shared" si="814"/>
        <v>0</v>
      </c>
      <c r="U3199" s="1">
        <f t="shared" si="815"/>
        <v>0</v>
      </c>
      <c r="V3199" s="1">
        <f t="shared" si="816"/>
        <v>0</v>
      </c>
    </row>
    <row r="3200" spans="5:22" x14ac:dyDescent="0.25">
      <c r="E3200" s="4"/>
      <c r="M3200" s="4">
        <f t="shared" si="809"/>
        <v>173.1</v>
      </c>
      <c r="N3200" s="4"/>
      <c r="O3200" s="1">
        <f t="shared" si="810"/>
        <v>173.1</v>
      </c>
      <c r="P3200" s="1">
        <f t="shared" si="811"/>
        <v>0</v>
      </c>
      <c r="Q3200" s="1" t="str">
        <f t="shared" si="817"/>
        <v/>
      </c>
      <c r="R3200" s="1" t="str">
        <f t="shared" si="812"/>
        <v/>
      </c>
      <c r="S3200" s="1">
        <f t="shared" si="813"/>
        <v>630.90240000000244</v>
      </c>
      <c r="T3200" s="1">
        <f t="shared" si="814"/>
        <v>0</v>
      </c>
      <c r="U3200" s="1">
        <f t="shared" si="815"/>
        <v>0</v>
      </c>
      <c r="V3200" s="1">
        <f t="shared" si="816"/>
        <v>0</v>
      </c>
    </row>
    <row r="3201" spans="5:22" x14ac:dyDescent="0.25">
      <c r="E3201" s="4"/>
      <c r="M3201" s="4">
        <f t="shared" si="809"/>
        <v>173.1</v>
      </c>
      <c r="N3201" s="4"/>
      <c r="O3201" s="1">
        <f t="shared" si="810"/>
        <v>173.1</v>
      </c>
      <c r="P3201" s="1">
        <f t="shared" si="811"/>
        <v>0</v>
      </c>
      <c r="Q3201" s="1" t="str">
        <f t="shared" si="817"/>
        <v/>
      </c>
      <c r="R3201" s="1" t="str">
        <f t="shared" si="812"/>
        <v/>
      </c>
      <c r="S3201" s="1">
        <f t="shared" si="813"/>
        <v>630.90240000000244</v>
      </c>
      <c r="T3201" s="1">
        <f t="shared" si="814"/>
        <v>0</v>
      </c>
      <c r="U3201" s="1">
        <f t="shared" si="815"/>
        <v>0</v>
      </c>
      <c r="V3201" s="1">
        <f t="shared" si="816"/>
        <v>0</v>
      </c>
    </row>
    <row r="3202" spans="5:22" x14ac:dyDescent="0.25">
      <c r="E3202" s="4"/>
      <c r="M3202" s="4">
        <f t="shared" si="809"/>
        <v>173.1</v>
      </c>
      <c r="N3202" s="4"/>
      <c r="O3202" s="1">
        <f t="shared" si="810"/>
        <v>173.1</v>
      </c>
      <c r="P3202" s="1">
        <f t="shared" si="811"/>
        <v>0</v>
      </c>
      <c r="Q3202" s="1" t="str">
        <f t="shared" si="817"/>
        <v/>
      </c>
      <c r="R3202" s="1" t="str">
        <f t="shared" si="812"/>
        <v/>
      </c>
      <c r="S3202" s="1">
        <f t="shared" si="813"/>
        <v>630.90240000000244</v>
      </c>
      <c r="T3202" s="1">
        <f t="shared" si="814"/>
        <v>0</v>
      </c>
      <c r="U3202" s="1">
        <f t="shared" si="815"/>
        <v>0</v>
      </c>
      <c r="V3202" s="1">
        <f t="shared" si="816"/>
        <v>0</v>
      </c>
    </row>
    <row r="3203" spans="5:22" x14ac:dyDescent="0.25">
      <c r="E3203" s="4"/>
      <c r="M3203" s="4">
        <f t="shared" si="809"/>
        <v>173.1</v>
      </c>
      <c r="N3203" s="4"/>
      <c r="O3203" s="1">
        <f t="shared" si="810"/>
        <v>173.1</v>
      </c>
      <c r="P3203" s="1">
        <f t="shared" si="811"/>
        <v>0</v>
      </c>
      <c r="Q3203" s="1" t="str">
        <f t="shared" si="817"/>
        <v/>
      </c>
      <c r="R3203" s="1" t="str">
        <f t="shared" si="812"/>
        <v/>
      </c>
      <c r="S3203" s="1">
        <f t="shared" si="813"/>
        <v>630.90240000000244</v>
      </c>
      <c r="T3203" s="1">
        <f t="shared" si="814"/>
        <v>0</v>
      </c>
      <c r="U3203" s="1">
        <f t="shared" si="815"/>
        <v>0</v>
      </c>
      <c r="V3203" s="1">
        <f t="shared" si="816"/>
        <v>0</v>
      </c>
    </row>
    <row r="3204" spans="5:22" x14ac:dyDescent="0.25">
      <c r="E3204" s="4"/>
      <c r="M3204" s="4">
        <f t="shared" si="809"/>
        <v>173.1</v>
      </c>
      <c r="N3204" s="4"/>
      <c r="O3204" s="1">
        <f t="shared" si="810"/>
        <v>173.1</v>
      </c>
      <c r="P3204" s="1">
        <f t="shared" si="811"/>
        <v>0</v>
      </c>
      <c r="Q3204" s="1" t="str">
        <f t="shared" si="817"/>
        <v/>
      </c>
      <c r="R3204" s="1" t="str">
        <f t="shared" si="812"/>
        <v/>
      </c>
      <c r="S3204" s="1">
        <f t="shared" si="813"/>
        <v>630.90240000000244</v>
      </c>
      <c r="T3204" s="1">
        <f t="shared" si="814"/>
        <v>0</v>
      </c>
      <c r="U3204" s="1">
        <f t="shared" si="815"/>
        <v>0</v>
      </c>
      <c r="V3204" s="1">
        <f t="shared" si="816"/>
        <v>0</v>
      </c>
    </row>
    <row r="3205" spans="5:22" x14ac:dyDescent="0.25">
      <c r="E3205" s="4"/>
      <c r="M3205" s="4">
        <f t="shared" si="809"/>
        <v>173.1</v>
      </c>
      <c r="N3205" s="4"/>
      <c r="O3205" s="1">
        <f t="shared" si="810"/>
        <v>173.1</v>
      </c>
      <c r="P3205" s="1">
        <f t="shared" si="811"/>
        <v>0</v>
      </c>
      <c r="Q3205" s="1" t="str">
        <f t="shared" si="817"/>
        <v/>
      </c>
      <c r="R3205" s="1" t="str">
        <f t="shared" si="812"/>
        <v/>
      </c>
      <c r="S3205" s="1">
        <f t="shared" si="813"/>
        <v>630.90240000000244</v>
      </c>
      <c r="T3205" s="1">
        <f t="shared" si="814"/>
        <v>0</v>
      </c>
      <c r="U3205" s="1">
        <f t="shared" si="815"/>
        <v>0</v>
      </c>
      <c r="V3205" s="1">
        <f t="shared" si="816"/>
        <v>0</v>
      </c>
    </row>
    <row r="3206" spans="5:22" x14ac:dyDescent="0.25">
      <c r="E3206" s="4"/>
      <c r="M3206" s="4">
        <f t="shared" si="809"/>
        <v>173.1</v>
      </c>
      <c r="N3206" s="4"/>
      <c r="O3206" s="1">
        <f t="shared" si="810"/>
        <v>173.1</v>
      </c>
      <c r="P3206" s="1">
        <f t="shared" si="811"/>
        <v>0</v>
      </c>
      <c r="Q3206" s="1" t="str">
        <f t="shared" si="817"/>
        <v/>
      </c>
      <c r="R3206" s="1" t="str">
        <f t="shared" si="812"/>
        <v/>
      </c>
      <c r="S3206" s="1">
        <f t="shared" si="813"/>
        <v>630.90240000000244</v>
      </c>
      <c r="T3206" s="1">
        <f t="shared" si="814"/>
        <v>0</v>
      </c>
      <c r="U3206" s="1">
        <f t="shared" si="815"/>
        <v>0</v>
      </c>
      <c r="V3206" s="1">
        <f t="shared" si="816"/>
        <v>0</v>
      </c>
    </row>
    <row r="3207" spans="5:22" x14ac:dyDescent="0.25">
      <c r="E3207" s="4"/>
      <c r="M3207" s="4">
        <f t="shared" si="809"/>
        <v>173.1</v>
      </c>
      <c r="N3207" s="4"/>
      <c r="O3207" s="1">
        <f t="shared" si="810"/>
        <v>173.1</v>
      </c>
      <c r="P3207" s="1">
        <f t="shared" si="811"/>
        <v>0</v>
      </c>
      <c r="Q3207" s="1" t="str">
        <f t="shared" si="817"/>
        <v/>
      </c>
      <c r="R3207" s="1" t="str">
        <f t="shared" si="812"/>
        <v/>
      </c>
      <c r="S3207" s="1">
        <f t="shared" si="813"/>
        <v>630.90240000000244</v>
      </c>
      <c r="T3207" s="1">
        <f t="shared" si="814"/>
        <v>0</v>
      </c>
      <c r="U3207" s="1">
        <f t="shared" si="815"/>
        <v>0</v>
      </c>
      <c r="V3207" s="1">
        <f t="shared" si="816"/>
        <v>0</v>
      </c>
    </row>
    <row r="3208" spans="5:22" x14ac:dyDescent="0.25">
      <c r="E3208" s="4"/>
      <c r="M3208" s="4">
        <f t="shared" ref="M3208:M3271" si="818">E3208+M3207</f>
        <v>173.1</v>
      </c>
      <c r="N3208" s="4"/>
      <c r="O3208" s="1">
        <f t="shared" ref="O3208:O3271" si="819">E3207+O3207</f>
        <v>173.1</v>
      </c>
      <c r="P3208" s="1">
        <f t="shared" ref="P3208:P3271" si="820">F3208*52.8*E3208</f>
        <v>0</v>
      </c>
      <c r="Q3208" s="1" t="str">
        <f t="shared" si="817"/>
        <v/>
      </c>
      <c r="R3208" s="1" t="str">
        <f t="shared" ref="R3208:R3271" si="821">IF(I3208="",Q3208,IF(AND(H3208=H3207,I3208=I3207),"",I3208))</f>
        <v/>
      </c>
      <c r="S3208" s="1">
        <f t="shared" ref="S3208:S3271" si="822">S3207+U3207*T3207/100</f>
        <v>630.90240000000244</v>
      </c>
      <c r="T3208" s="1">
        <f t="shared" ref="T3208:T3271" si="823">IF(G3208="UNK",0,G3208)</f>
        <v>0</v>
      </c>
      <c r="U3208" s="1">
        <f t="shared" ref="U3208:U3271" si="824">E3208*5280</f>
        <v>0</v>
      </c>
      <c r="V3208" s="1">
        <f t="shared" ref="V3208:V3271" si="825">ABS(T3208*U3208)</f>
        <v>0</v>
      </c>
    </row>
    <row r="3209" spans="5:22" x14ac:dyDescent="0.25">
      <c r="E3209" s="4"/>
      <c r="M3209" s="4">
        <f t="shared" si="818"/>
        <v>173.1</v>
      </c>
      <c r="N3209" s="4"/>
      <c r="O3209" s="1">
        <f t="shared" si="819"/>
        <v>173.1</v>
      </c>
      <c r="P3209" s="1">
        <f t="shared" si="820"/>
        <v>0</v>
      </c>
      <c r="Q3209" s="1" t="str">
        <f t="shared" si="817"/>
        <v/>
      </c>
      <c r="R3209" s="1" t="str">
        <f t="shared" si="821"/>
        <v/>
      </c>
      <c r="S3209" s="1">
        <f t="shared" si="822"/>
        <v>630.90240000000244</v>
      </c>
      <c r="T3209" s="1">
        <f t="shared" si="823"/>
        <v>0</v>
      </c>
      <c r="U3209" s="1">
        <f t="shared" si="824"/>
        <v>0</v>
      </c>
      <c r="V3209" s="1">
        <f t="shared" si="825"/>
        <v>0</v>
      </c>
    </row>
    <row r="3210" spans="5:22" x14ac:dyDescent="0.25">
      <c r="E3210" s="4"/>
      <c r="M3210" s="4">
        <f t="shared" si="818"/>
        <v>173.1</v>
      </c>
      <c r="N3210" s="4"/>
      <c r="O3210" s="1">
        <f t="shared" si="819"/>
        <v>173.1</v>
      </c>
      <c r="P3210" s="1">
        <f t="shared" si="820"/>
        <v>0</v>
      </c>
      <c r="Q3210" s="1" t="str">
        <f t="shared" si="817"/>
        <v/>
      </c>
      <c r="R3210" s="1" t="str">
        <f t="shared" si="821"/>
        <v/>
      </c>
      <c r="S3210" s="1">
        <f t="shared" si="822"/>
        <v>630.90240000000244</v>
      </c>
      <c r="T3210" s="1">
        <f t="shared" si="823"/>
        <v>0</v>
      </c>
      <c r="U3210" s="1">
        <f t="shared" si="824"/>
        <v>0</v>
      </c>
      <c r="V3210" s="1">
        <f t="shared" si="825"/>
        <v>0</v>
      </c>
    </row>
    <row r="3211" spans="5:22" x14ac:dyDescent="0.25">
      <c r="E3211" s="4"/>
      <c r="M3211" s="4">
        <f t="shared" si="818"/>
        <v>173.1</v>
      </c>
      <c r="N3211" s="4"/>
      <c r="O3211" s="1">
        <f t="shared" si="819"/>
        <v>173.1</v>
      </c>
      <c r="P3211" s="1">
        <f t="shared" si="820"/>
        <v>0</v>
      </c>
      <c r="Q3211" s="1" t="str">
        <f t="shared" si="817"/>
        <v/>
      </c>
      <c r="R3211" s="1" t="str">
        <f t="shared" si="821"/>
        <v/>
      </c>
      <c r="S3211" s="1">
        <f t="shared" si="822"/>
        <v>630.90240000000244</v>
      </c>
      <c r="T3211" s="1">
        <f t="shared" si="823"/>
        <v>0</v>
      </c>
      <c r="U3211" s="1">
        <f t="shared" si="824"/>
        <v>0</v>
      </c>
      <c r="V3211" s="1">
        <f t="shared" si="825"/>
        <v>0</v>
      </c>
    </row>
    <row r="3212" spans="5:22" x14ac:dyDescent="0.25">
      <c r="E3212" s="4"/>
      <c r="M3212" s="4">
        <f t="shared" si="818"/>
        <v>173.1</v>
      </c>
      <c r="N3212" s="4"/>
      <c r="O3212" s="1">
        <f t="shared" si="819"/>
        <v>173.1</v>
      </c>
      <c r="P3212" s="1">
        <f t="shared" si="820"/>
        <v>0</v>
      </c>
      <c r="Q3212" s="1" t="str">
        <f t="shared" si="817"/>
        <v/>
      </c>
      <c r="R3212" s="1" t="str">
        <f t="shared" si="821"/>
        <v/>
      </c>
      <c r="S3212" s="1">
        <f t="shared" si="822"/>
        <v>630.90240000000244</v>
      </c>
      <c r="T3212" s="1">
        <f t="shared" si="823"/>
        <v>0</v>
      </c>
      <c r="U3212" s="1">
        <f t="shared" si="824"/>
        <v>0</v>
      </c>
      <c r="V3212" s="1">
        <f t="shared" si="825"/>
        <v>0</v>
      </c>
    </row>
    <row r="3213" spans="5:22" x14ac:dyDescent="0.25">
      <c r="E3213" s="4"/>
      <c r="M3213" s="4">
        <f t="shared" si="818"/>
        <v>173.1</v>
      </c>
      <c r="N3213" s="4"/>
      <c r="O3213" s="1">
        <f t="shared" si="819"/>
        <v>173.1</v>
      </c>
      <c r="P3213" s="1">
        <f t="shared" si="820"/>
        <v>0</v>
      </c>
      <c r="Q3213" s="1" t="str">
        <f t="shared" si="817"/>
        <v/>
      </c>
      <c r="R3213" s="1" t="str">
        <f t="shared" si="821"/>
        <v/>
      </c>
      <c r="S3213" s="1">
        <f t="shared" si="822"/>
        <v>630.90240000000244</v>
      </c>
      <c r="T3213" s="1">
        <f t="shared" si="823"/>
        <v>0</v>
      </c>
      <c r="U3213" s="1">
        <f t="shared" si="824"/>
        <v>0</v>
      </c>
      <c r="V3213" s="1">
        <f t="shared" si="825"/>
        <v>0</v>
      </c>
    </row>
    <row r="3214" spans="5:22" x14ac:dyDescent="0.25">
      <c r="E3214" s="4"/>
      <c r="M3214" s="4">
        <f t="shared" si="818"/>
        <v>173.1</v>
      </c>
      <c r="N3214" s="4"/>
      <c r="O3214" s="1">
        <f t="shared" si="819"/>
        <v>173.1</v>
      </c>
      <c r="P3214" s="1">
        <f t="shared" si="820"/>
        <v>0</v>
      </c>
      <c r="Q3214" s="1" t="str">
        <f t="shared" si="817"/>
        <v/>
      </c>
      <c r="R3214" s="1" t="str">
        <f t="shared" si="821"/>
        <v/>
      </c>
      <c r="S3214" s="1">
        <f t="shared" si="822"/>
        <v>630.90240000000244</v>
      </c>
      <c r="T3214" s="1">
        <f t="shared" si="823"/>
        <v>0</v>
      </c>
      <c r="U3214" s="1">
        <f t="shared" si="824"/>
        <v>0</v>
      </c>
      <c r="V3214" s="1">
        <f t="shared" si="825"/>
        <v>0</v>
      </c>
    </row>
    <row r="3215" spans="5:22" x14ac:dyDescent="0.25">
      <c r="E3215" s="4"/>
      <c r="M3215" s="4">
        <f t="shared" si="818"/>
        <v>173.1</v>
      </c>
      <c r="N3215" s="4"/>
      <c r="O3215" s="1">
        <f t="shared" si="819"/>
        <v>173.1</v>
      </c>
      <c r="P3215" s="1">
        <f t="shared" si="820"/>
        <v>0</v>
      </c>
      <c r="Q3215" s="1" t="str">
        <f t="shared" si="817"/>
        <v/>
      </c>
      <c r="R3215" s="1" t="str">
        <f t="shared" si="821"/>
        <v/>
      </c>
      <c r="S3215" s="1">
        <f t="shared" si="822"/>
        <v>630.90240000000244</v>
      </c>
      <c r="T3215" s="1">
        <f t="shared" si="823"/>
        <v>0</v>
      </c>
      <c r="U3215" s="1">
        <f t="shared" si="824"/>
        <v>0</v>
      </c>
      <c r="V3215" s="1">
        <f t="shared" si="825"/>
        <v>0</v>
      </c>
    </row>
    <row r="3216" spans="5:22" x14ac:dyDescent="0.25">
      <c r="E3216" s="4"/>
      <c r="M3216" s="4">
        <f t="shared" si="818"/>
        <v>173.1</v>
      </c>
      <c r="N3216" s="4"/>
      <c r="O3216" s="1">
        <f t="shared" si="819"/>
        <v>173.1</v>
      </c>
      <c r="P3216" s="1">
        <f t="shared" si="820"/>
        <v>0</v>
      </c>
      <c r="Q3216" s="1" t="str">
        <f t="shared" si="817"/>
        <v/>
      </c>
      <c r="R3216" s="1" t="str">
        <f t="shared" si="821"/>
        <v/>
      </c>
      <c r="S3216" s="1">
        <f t="shared" si="822"/>
        <v>630.90240000000244</v>
      </c>
      <c r="T3216" s="1">
        <f t="shared" si="823"/>
        <v>0</v>
      </c>
      <c r="U3216" s="1">
        <f t="shared" si="824"/>
        <v>0</v>
      </c>
      <c r="V3216" s="1">
        <f t="shared" si="825"/>
        <v>0</v>
      </c>
    </row>
    <row r="3217" spans="5:22" x14ac:dyDescent="0.25">
      <c r="E3217" s="4"/>
      <c r="M3217" s="4">
        <f t="shared" si="818"/>
        <v>173.1</v>
      </c>
      <c r="N3217" s="4"/>
      <c r="O3217" s="1">
        <f t="shared" si="819"/>
        <v>173.1</v>
      </c>
      <c r="P3217" s="1">
        <f t="shared" si="820"/>
        <v>0</v>
      </c>
      <c r="Q3217" s="1" t="str">
        <f t="shared" si="817"/>
        <v/>
      </c>
      <c r="R3217" s="1" t="str">
        <f t="shared" si="821"/>
        <v/>
      </c>
      <c r="S3217" s="1">
        <f t="shared" si="822"/>
        <v>630.90240000000244</v>
      </c>
      <c r="T3217" s="1">
        <f t="shared" si="823"/>
        <v>0</v>
      </c>
      <c r="U3217" s="1">
        <f t="shared" si="824"/>
        <v>0</v>
      </c>
      <c r="V3217" s="1">
        <f t="shared" si="825"/>
        <v>0</v>
      </c>
    </row>
    <row r="3218" spans="5:22" x14ac:dyDescent="0.25">
      <c r="E3218" s="4"/>
      <c r="M3218" s="4">
        <f t="shared" si="818"/>
        <v>173.1</v>
      </c>
      <c r="N3218" s="4"/>
      <c r="O3218" s="1">
        <f t="shared" si="819"/>
        <v>173.1</v>
      </c>
      <c r="P3218" s="1">
        <f t="shared" si="820"/>
        <v>0</v>
      </c>
      <c r="Q3218" s="1" t="str">
        <f t="shared" si="817"/>
        <v/>
      </c>
      <c r="R3218" s="1" t="str">
        <f t="shared" si="821"/>
        <v/>
      </c>
      <c r="S3218" s="1">
        <f t="shared" si="822"/>
        <v>630.90240000000244</v>
      </c>
      <c r="T3218" s="1">
        <f t="shared" si="823"/>
        <v>0</v>
      </c>
      <c r="U3218" s="1">
        <f t="shared" si="824"/>
        <v>0</v>
      </c>
      <c r="V3218" s="1">
        <f t="shared" si="825"/>
        <v>0</v>
      </c>
    </row>
    <row r="3219" spans="5:22" x14ac:dyDescent="0.25">
      <c r="E3219" s="4"/>
      <c r="M3219" s="4">
        <f t="shared" si="818"/>
        <v>173.1</v>
      </c>
      <c r="N3219" s="4"/>
      <c r="O3219" s="1">
        <f t="shared" si="819"/>
        <v>173.1</v>
      </c>
      <c r="P3219" s="1">
        <f t="shared" si="820"/>
        <v>0</v>
      </c>
      <c r="Q3219" s="1" t="str">
        <f t="shared" si="817"/>
        <v/>
      </c>
      <c r="R3219" s="1" t="str">
        <f t="shared" si="821"/>
        <v/>
      </c>
      <c r="S3219" s="1">
        <f t="shared" si="822"/>
        <v>630.90240000000244</v>
      </c>
      <c r="T3219" s="1">
        <f t="shared" si="823"/>
        <v>0</v>
      </c>
      <c r="U3219" s="1">
        <f t="shared" si="824"/>
        <v>0</v>
      </c>
      <c r="V3219" s="1">
        <f t="shared" si="825"/>
        <v>0</v>
      </c>
    </row>
    <row r="3220" spans="5:22" x14ac:dyDescent="0.25">
      <c r="E3220" s="4"/>
      <c r="M3220" s="4">
        <f t="shared" si="818"/>
        <v>173.1</v>
      </c>
      <c r="N3220" s="4"/>
      <c r="O3220" s="1">
        <f t="shared" si="819"/>
        <v>173.1</v>
      </c>
      <c r="P3220" s="1">
        <f t="shared" si="820"/>
        <v>0</v>
      </c>
      <c r="Q3220" s="1" t="str">
        <f t="shared" si="817"/>
        <v/>
      </c>
      <c r="R3220" s="1" t="str">
        <f t="shared" si="821"/>
        <v/>
      </c>
      <c r="S3220" s="1">
        <f t="shared" si="822"/>
        <v>630.90240000000244</v>
      </c>
      <c r="T3220" s="1">
        <f t="shared" si="823"/>
        <v>0</v>
      </c>
      <c r="U3220" s="1">
        <f t="shared" si="824"/>
        <v>0</v>
      </c>
      <c r="V3220" s="1">
        <f t="shared" si="825"/>
        <v>0</v>
      </c>
    </row>
    <row r="3221" spans="5:22" x14ac:dyDescent="0.25">
      <c r="E3221" s="4"/>
      <c r="M3221" s="4">
        <f t="shared" si="818"/>
        <v>173.1</v>
      </c>
      <c r="N3221" s="4"/>
      <c r="O3221" s="1">
        <f t="shared" si="819"/>
        <v>173.1</v>
      </c>
      <c r="P3221" s="1">
        <f t="shared" si="820"/>
        <v>0</v>
      </c>
      <c r="Q3221" s="1" t="str">
        <f t="shared" si="817"/>
        <v/>
      </c>
      <c r="R3221" s="1" t="str">
        <f t="shared" si="821"/>
        <v/>
      </c>
      <c r="S3221" s="1">
        <f t="shared" si="822"/>
        <v>630.90240000000244</v>
      </c>
      <c r="T3221" s="1">
        <f t="shared" si="823"/>
        <v>0</v>
      </c>
      <c r="U3221" s="1">
        <f t="shared" si="824"/>
        <v>0</v>
      </c>
      <c r="V3221" s="1">
        <f t="shared" si="825"/>
        <v>0</v>
      </c>
    </row>
    <row r="3222" spans="5:22" x14ac:dyDescent="0.25">
      <c r="E3222" s="4"/>
      <c r="M3222" s="4">
        <f t="shared" si="818"/>
        <v>173.1</v>
      </c>
      <c r="N3222" s="4"/>
      <c r="O3222" s="1">
        <f t="shared" si="819"/>
        <v>173.1</v>
      </c>
      <c r="P3222" s="1">
        <f t="shared" si="820"/>
        <v>0</v>
      </c>
      <c r="Q3222" s="1" t="str">
        <f t="shared" si="817"/>
        <v/>
      </c>
      <c r="R3222" s="1" t="str">
        <f t="shared" si="821"/>
        <v/>
      </c>
      <c r="S3222" s="1">
        <f t="shared" si="822"/>
        <v>630.90240000000244</v>
      </c>
      <c r="T3222" s="1">
        <f t="shared" si="823"/>
        <v>0</v>
      </c>
      <c r="U3222" s="1">
        <f t="shared" si="824"/>
        <v>0</v>
      </c>
      <c r="V3222" s="1">
        <f t="shared" si="825"/>
        <v>0</v>
      </c>
    </row>
    <row r="3223" spans="5:22" x14ac:dyDescent="0.25">
      <c r="E3223" s="4"/>
      <c r="M3223" s="4">
        <f t="shared" si="818"/>
        <v>173.1</v>
      </c>
      <c r="N3223" s="4"/>
      <c r="O3223" s="1">
        <f t="shared" si="819"/>
        <v>173.1</v>
      </c>
      <c r="P3223" s="1">
        <f t="shared" si="820"/>
        <v>0</v>
      </c>
      <c r="Q3223" s="1" t="str">
        <f t="shared" si="817"/>
        <v/>
      </c>
      <c r="R3223" s="1" t="str">
        <f t="shared" si="821"/>
        <v/>
      </c>
      <c r="S3223" s="1">
        <f t="shared" si="822"/>
        <v>630.90240000000244</v>
      </c>
      <c r="T3223" s="1">
        <f t="shared" si="823"/>
        <v>0</v>
      </c>
      <c r="U3223" s="1">
        <f t="shared" si="824"/>
        <v>0</v>
      </c>
      <c r="V3223" s="1">
        <f t="shared" si="825"/>
        <v>0</v>
      </c>
    </row>
    <row r="3224" spans="5:22" x14ac:dyDescent="0.25">
      <c r="E3224" s="4"/>
      <c r="M3224" s="4">
        <f t="shared" si="818"/>
        <v>173.1</v>
      </c>
      <c r="N3224" s="4"/>
      <c r="O3224" s="1">
        <f t="shared" si="819"/>
        <v>173.1</v>
      </c>
      <c r="P3224" s="1">
        <f t="shared" si="820"/>
        <v>0</v>
      </c>
      <c r="Q3224" s="1" t="str">
        <f t="shared" si="817"/>
        <v/>
      </c>
      <c r="R3224" s="1" t="str">
        <f t="shared" si="821"/>
        <v/>
      </c>
      <c r="S3224" s="1">
        <f t="shared" si="822"/>
        <v>630.90240000000244</v>
      </c>
      <c r="T3224" s="1">
        <f t="shared" si="823"/>
        <v>0</v>
      </c>
      <c r="U3224" s="1">
        <f t="shared" si="824"/>
        <v>0</v>
      </c>
      <c r="V3224" s="1">
        <f t="shared" si="825"/>
        <v>0</v>
      </c>
    </row>
    <row r="3225" spans="5:22" x14ac:dyDescent="0.25">
      <c r="E3225" s="4"/>
      <c r="M3225" s="4">
        <f t="shared" si="818"/>
        <v>173.1</v>
      </c>
      <c r="N3225" s="4"/>
      <c r="O3225" s="1">
        <f t="shared" si="819"/>
        <v>173.1</v>
      </c>
      <c r="P3225" s="1">
        <f t="shared" si="820"/>
        <v>0</v>
      </c>
      <c r="Q3225" s="1" t="str">
        <f t="shared" si="817"/>
        <v/>
      </c>
      <c r="R3225" s="1" t="str">
        <f t="shared" si="821"/>
        <v/>
      </c>
      <c r="S3225" s="1">
        <f t="shared" si="822"/>
        <v>630.90240000000244</v>
      </c>
      <c r="T3225" s="1">
        <f t="shared" si="823"/>
        <v>0</v>
      </c>
      <c r="U3225" s="1">
        <f t="shared" si="824"/>
        <v>0</v>
      </c>
      <c r="V3225" s="1">
        <f t="shared" si="825"/>
        <v>0</v>
      </c>
    </row>
    <row r="3226" spans="5:22" x14ac:dyDescent="0.25">
      <c r="E3226" s="4"/>
      <c r="M3226" s="4">
        <f t="shared" si="818"/>
        <v>173.1</v>
      </c>
      <c r="N3226" s="4"/>
      <c r="O3226" s="1">
        <f t="shared" si="819"/>
        <v>173.1</v>
      </c>
      <c r="P3226" s="1">
        <f t="shared" si="820"/>
        <v>0</v>
      </c>
      <c r="Q3226" s="1" t="str">
        <f t="shared" si="817"/>
        <v/>
      </c>
      <c r="R3226" s="1" t="str">
        <f t="shared" si="821"/>
        <v/>
      </c>
      <c r="S3226" s="1">
        <f t="shared" si="822"/>
        <v>630.90240000000244</v>
      </c>
      <c r="T3226" s="1">
        <f t="shared" si="823"/>
        <v>0</v>
      </c>
      <c r="U3226" s="1">
        <f t="shared" si="824"/>
        <v>0</v>
      </c>
      <c r="V3226" s="1">
        <f t="shared" si="825"/>
        <v>0</v>
      </c>
    </row>
    <row r="3227" spans="5:22" x14ac:dyDescent="0.25">
      <c r="E3227" s="4"/>
      <c r="M3227" s="4">
        <f t="shared" si="818"/>
        <v>173.1</v>
      </c>
      <c r="N3227" s="4"/>
      <c r="O3227" s="1">
        <f t="shared" si="819"/>
        <v>173.1</v>
      </c>
      <c r="P3227" s="1">
        <f t="shared" si="820"/>
        <v>0</v>
      </c>
      <c r="Q3227" s="1" t="str">
        <f t="shared" si="817"/>
        <v/>
      </c>
      <c r="R3227" s="1" t="str">
        <f t="shared" si="821"/>
        <v/>
      </c>
      <c r="S3227" s="1">
        <f t="shared" si="822"/>
        <v>630.90240000000244</v>
      </c>
      <c r="T3227" s="1">
        <f t="shared" si="823"/>
        <v>0</v>
      </c>
      <c r="U3227" s="1">
        <f t="shared" si="824"/>
        <v>0</v>
      </c>
      <c r="V3227" s="1">
        <f t="shared" si="825"/>
        <v>0</v>
      </c>
    </row>
    <row r="3228" spans="5:22" x14ac:dyDescent="0.25">
      <c r="E3228" s="4"/>
      <c r="M3228" s="4">
        <f t="shared" si="818"/>
        <v>173.1</v>
      </c>
      <c r="N3228" s="4"/>
      <c r="O3228" s="1">
        <f t="shared" si="819"/>
        <v>173.1</v>
      </c>
      <c r="P3228" s="1">
        <f t="shared" si="820"/>
        <v>0</v>
      </c>
      <c r="Q3228" s="1" t="str">
        <f t="shared" si="817"/>
        <v/>
      </c>
      <c r="R3228" s="1" t="str">
        <f t="shared" si="821"/>
        <v/>
      </c>
      <c r="S3228" s="1">
        <f t="shared" si="822"/>
        <v>630.90240000000244</v>
      </c>
      <c r="T3228" s="1">
        <f t="shared" si="823"/>
        <v>0</v>
      </c>
      <c r="U3228" s="1">
        <f t="shared" si="824"/>
        <v>0</v>
      </c>
      <c r="V3228" s="1">
        <f t="shared" si="825"/>
        <v>0</v>
      </c>
    </row>
    <row r="3229" spans="5:22" x14ac:dyDescent="0.25">
      <c r="E3229" s="4"/>
      <c r="M3229" s="4">
        <f t="shared" si="818"/>
        <v>173.1</v>
      </c>
      <c r="N3229" s="4"/>
      <c r="O3229" s="1">
        <f t="shared" si="819"/>
        <v>173.1</v>
      </c>
      <c r="P3229" s="1">
        <f t="shared" si="820"/>
        <v>0</v>
      </c>
      <c r="Q3229" s="1" t="str">
        <f t="shared" si="817"/>
        <v/>
      </c>
      <c r="R3229" s="1" t="str">
        <f t="shared" si="821"/>
        <v/>
      </c>
      <c r="S3229" s="1">
        <f t="shared" si="822"/>
        <v>630.90240000000244</v>
      </c>
      <c r="T3229" s="1">
        <f t="shared" si="823"/>
        <v>0</v>
      </c>
      <c r="U3229" s="1">
        <f t="shared" si="824"/>
        <v>0</v>
      </c>
      <c r="V3229" s="1">
        <f t="shared" si="825"/>
        <v>0</v>
      </c>
    </row>
    <row r="3230" spans="5:22" x14ac:dyDescent="0.25">
      <c r="E3230" s="4"/>
      <c r="M3230" s="4">
        <f t="shared" si="818"/>
        <v>173.1</v>
      </c>
      <c r="N3230" s="4"/>
      <c r="O3230" s="1">
        <f t="shared" si="819"/>
        <v>173.1</v>
      </c>
      <c r="P3230" s="1">
        <f t="shared" si="820"/>
        <v>0</v>
      </c>
      <c r="Q3230" s="1" t="str">
        <f t="shared" si="817"/>
        <v/>
      </c>
      <c r="R3230" s="1" t="str">
        <f t="shared" si="821"/>
        <v/>
      </c>
      <c r="S3230" s="1">
        <f t="shared" si="822"/>
        <v>630.90240000000244</v>
      </c>
      <c r="T3230" s="1">
        <f t="shared" si="823"/>
        <v>0</v>
      </c>
      <c r="U3230" s="1">
        <f t="shared" si="824"/>
        <v>0</v>
      </c>
      <c r="V3230" s="1">
        <f t="shared" si="825"/>
        <v>0</v>
      </c>
    </row>
    <row r="3231" spans="5:22" x14ac:dyDescent="0.25">
      <c r="E3231" s="4"/>
      <c r="M3231" s="4">
        <f t="shared" si="818"/>
        <v>173.1</v>
      </c>
      <c r="N3231" s="4"/>
      <c r="O3231" s="1">
        <f t="shared" si="819"/>
        <v>173.1</v>
      </c>
      <c r="P3231" s="1">
        <f t="shared" si="820"/>
        <v>0</v>
      </c>
      <c r="Q3231" s="1" t="str">
        <f t="shared" si="817"/>
        <v/>
      </c>
      <c r="R3231" s="1" t="str">
        <f t="shared" si="821"/>
        <v/>
      </c>
      <c r="S3231" s="1">
        <f t="shared" si="822"/>
        <v>630.90240000000244</v>
      </c>
      <c r="T3231" s="1">
        <f t="shared" si="823"/>
        <v>0</v>
      </c>
      <c r="U3231" s="1">
        <f t="shared" si="824"/>
        <v>0</v>
      </c>
      <c r="V3231" s="1">
        <f t="shared" si="825"/>
        <v>0</v>
      </c>
    </row>
    <row r="3232" spans="5:22" x14ac:dyDescent="0.25">
      <c r="E3232" s="4"/>
      <c r="M3232" s="4">
        <f t="shared" si="818"/>
        <v>173.1</v>
      </c>
      <c r="N3232" s="4"/>
      <c r="O3232" s="1">
        <f t="shared" si="819"/>
        <v>173.1</v>
      </c>
      <c r="P3232" s="1">
        <f t="shared" si="820"/>
        <v>0</v>
      </c>
      <c r="Q3232" s="1" t="str">
        <f t="shared" si="817"/>
        <v/>
      </c>
      <c r="R3232" s="1" t="str">
        <f t="shared" si="821"/>
        <v/>
      </c>
      <c r="S3232" s="1">
        <f t="shared" si="822"/>
        <v>630.90240000000244</v>
      </c>
      <c r="T3232" s="1">
        <f t="shared" si="823"/>
        <v>0</v>
      </c>
      <c r="U3232" s="1">
        <f t="shared" si="824"/>
        <v>0</v>
      </c>
      <c r="V3232" s="1">
        <f t="shared" si="825"/>
        <v>0</v>
      </c>
    </row>
    <row r="3233" spans="5:22" x14ac:dyDescent="0.25">
      <c r="E3233" s="4"/>
      <c r="M3233" s="4">
        <f t="shared" si="818"/>
        <v>173.1</v>
      </c>
      <c r="N3233" s="4"/>
      <c r="O3233" s="1">
        <f t="shared" si="819"/>
        <v>173.1</v>
      </c>
      <c r="P3233" s="1">
        <f t="shared" si="820"/>
        <v>0</v>
      </c>
      <c r="Q3233" s="1" t="str">
        <f t="shared" si="817"/>
        <v/>
      </c>
      <c r="R3233" s="1" t="str">
        <f t="shared" si="821"/>
        <v/>
      </c>
      <c r="S3233" s="1">
        <f t="shared" si="822"/>
        <v>630.90240000000244</v>
      </c>
      <c r="T3233" s="1">
        <f t="shared" si="823"/>
        <v>0</v>
      </c>
      <c r="U3233" s="1">
        <f t="shared" si="824"/>
        <v>0</v>
      </c>
      <c r="V3233" s="1">
        <f t="shared" si="825"/>
        <v>0</v>
      </c>
    </row>
    <row r="3234" spans="5:22" x14ac:dyDescent="0.25">
      <c r="E3234" s="4"/>
      <c r="M3234" s="4">
        <f t="shared" si="818"/>
        <v>173.1</v>
      </c>
      <c r="N3234" s="4"/>
      <c r="O3234" s="1">
        <f t="shared" si="819"/>
        <v>173.1</v>
      </c>
      <c r="P3234" s="1">
        <f t="shared" si="820"/>
        <v>0</v>
      </c>
      <c r="Q3234" s="1" t="str">
        <f t="shared" si="817"/>
        <v/>
      </c>
      <c r="R3234" s="1" t="str">
        <f t="shared" si="821"/>
        <v/>
      </c>
      <c r="S3234" s="1">
        <f t="shared" si="822"/>
        <v>630.90240000000244</v>
      </c>
      <c r="T3234" s="1">
        <f t="shared" si="823"/>
        <v>0</v>
      </c>
      <c r="U3234" s="1">
        <f t="shared" si="824"/>
        <v>0</v>
      </c>
      <c r="V3234" s="1">
        <f t="shared" si="825"/>
        <v>0</v>
      </c>
    </row>
    <row r="3235" spans="5:22" x14ac:dyDescent="0.25">
      <c r="E3235" s="4"/>
      <c r="M3235" s="4">
        <f t="shared" si="818"/>
        <v>173.1</v>
      </c>
      <c r="N3235" s="4"/>
      <c r="O3235" s="1">
        <f t="shared" si="819"/>
        <v>173.1</v>
      </c>
      <c r="P3235" s="1">
        <f t="shared" si="820"/>
        <v>0</v>
      </c>
      <c r="Q3235" s="1" t="str">
        <f t="shared" si="817"/>
        <v/>
      </c>
      <c r="R3235" s="1" t="str">
        <f t="shared" si="821"/>
        <v/>
      </c>
      <c r="S3235" s="1">
        <f t="shared" si="822"/>
        <v>630.90240000000244</v>
      </c>
      <c r="T3235" s="1">
        <f t="shared" si="823"/>
        <v>0</v>
      </c>
      <c r="U3235" s="1">
        <f t="shared" si="824"/>
        <v>0</v>
      </c>
      <c r="V3235" s="1">
        <f t="shared" si="825"/>
        <v>0</v>
      </c>
    </row>
    <row r="3236" spans="5:22" x14ac:dyDescent="0.25">
      <c r="E3236" s="4"/>
      <c r="M3236" s="4">
        <f t="shared" si="818"/>
        <v>173.1</v>
      </c>
      <c r="N3236" s="4"/>
      <c r="O3236" s="1">
        <f t="shared" si="819"/>
        <v>173.1</v>
      </c>
      <c r="P3236" s="1">
        <f t="shared" si="820"/>
        <v>0</v>
      </c>
      <c r="Q3236" s="1" t="str">
        <f t="shared" si="817"/>
        <v/>
      </c>
      <c r="R3236" s="1" t="str">
        <f t="shared" si="821"/>
        <v/>
      </c>
      <c r="S3236" s="1">
        <f t="shared" si="822"/>
        <v>630.90240000000244</v>
      </c>
      <c r="T3236" s="1">
        <f t="shared" si="823"/>
        <v>0</v>
      </c>
      <c r="U3236" s="1">
        <f t="shared" si="824"/>
        <v>0</v>
      </c>
      <c r="V3236" s="1">
        <f t="shared" si="825"/>
        <v>0</v>
      </c>
    </row>
    <row r="3237" spans="5:22" x14ac:dyDescent="0.25">
      <c r="E3237" s="4"/>
      <c r="M3237" s="4">
        <f t="shared" si="818"/>
        <v>173.1</v>
      </c>
      <c r="N3237" s="4"/>
      <c r="O3237" s="1">
        <f t="shared" si="819"/>
        <v>173.1</v>
      </c>
      <c r="P3237" s="1">
        <f t="shared" si="820"/>
        <v>0</v>
      </c>
      <c r="Q3237" s="1" t="str">
        <f t="shared" si="817"/>
        <v/>
      </c>
      <c r="R3237" s="1" t="str">
        <f t="shared" si="821"/>
        <v/>
      </c>
      <c r="S3237" s="1">
        <f t="shared" si="822"/>
        <v>630.90240000000244</v>
      </c>
      <c r="T3237" s="1">
        <f t="shared" si="823"/>
        <v>0</v>
      </c>
      <c r="U3237" s="1">
        <f t="shared" si="824"/>
        <v>0</v>
      </c>
      <c r="V3237" s="1">
        <f t="shared" si="825"/>
        <v>0</v>
      </c>
    </row>
    <row r="3238" spans="5:22" x14ac:dyDescent="0.25">
      <c r="E3238" s="4"/>
      <c r="M3238" s="4">
        <f t="shared" si="818"/>
        <v>173.1</v>
      </c>
      <c r="N3238" s="4"/>
      <c r="O3238" s="1">
        <f t="shared" si="819"/>
        <v>173.1</v>
      </c>
      <c r="P3238" s="1">
        <f t="shared" si="820"/>
        <v>0</v>
      </c>
      <c r="Q3238" s="1" t="str">
        <f t="shared" si="817"/>
        <v/>
      </c>
      <c r="R3238" s="1" t="str">
        <f t="shared" si="821"/>
        <v/>
      </c>
      <c r="S3238" s="1">
        <f t="shared" si="822"/>
        <v>630.90240000000244</v>
      </c>
      <c r="T3238" s="1">
        <f t="shared" si="823"/>
        <v>0</v>
      </c>
      <c r="U3238" s="1">
        <f t="shared" si="824"/>
        <v>0</v>
      </c>
      <c r="V3238" s="1">
        <f t="shared" si="825"/>
        <v>0</v>
      </c>
    </row>
    <row r="3239" spans="5:22" x14ac:dyDescent="0.25">
      <c r="E3239" s="4"/>
      <c r="M3239" s="4">
        <f t="shared" si="818"/>
        <v>173.1</v>
      </c>
      <c r="N3239" s="4"/>
      <c r="O3239" s="1">
        <f t="shared" si="819"/>
        <v>173.1</v>
      </c>
      <c r="P3239" s="1">
        <f t="shared" si="820"/>
        <v>0</v>
      </c>
      <c r="Q3239" s="1" t="str">
        <f t="shared" si="817"/>
        <v/>
      </c>
      <c r="R3239" s="1" t="str">
        <f t="shared" si="821"/>
        <v/>
      </c>
      <c r="S3239" s="1">
        <f t="shared" si="822"/>
        <v>630.90240000000244</v>
      </c>
      <c r="T3239" s="1">
        <f t="shared" si="823"/>
        <v>0</v>
      </c>
      <c r="U3239" s="1">
        <f t="shared" si="824"/>
        <v>0</v>
      </c>
      <c r="V3239" s="1">
        <f t="shared" si="825"/>
        <v>0</v>
      </c>
    </row>
    <row r="3240" spans="5:22" x14ac:dyDescent="0.25">
      <c r="E3240" s="4"/>
      <c r="M3240" s="4">
        <f t="shared" si="818"/>
        <v>173.1</v>
      </c>
      <c r="N3240" s="4"/>
      <c r="O3240" s="1">
        <f t="shared" si="819"/>
        <v>173.1</v>
      </c>
      <c r="P3240" s="1">
        <f t="shared" si="820"/>
        <v>0</v>
      </c>
      <c r="Q3240" s="1" t="str">
        <f t="shared" si="817"/>
        <v/>
      </c>
      <c r="R3240" s="1" t="str">
        <f t="shared" si="821"/>
        <v/>
      </c>
      <c r="S3240" s="1">
        <f t="shared" si="822"/>
        <v>630.90240000000244</v>
      </c>
      <c r="T3240" s="1">
        <f t="shared" si="823"/>
        <v>0</v>
      </c>
      <c r="U3240" s="1">
        <f t="shared" si="824"/>
        <v>0</v>
      </c>
      <c r="V3240" s="1">
        <f t="shared" si="825"/>
        <v>0</v>
      </c>
    </row>
    <row r="3241" spans="5:22" x14ac:dyDescent="0.25">
      <c r="E3241" s="4"/>
      <c r="M3241" s="4">
        <f t="shared" si="818"/>
        <v>173.1</v>
      </c>
      <c r="N3241" s="4"/>
      <c r="O3241" s="1">
        <f t="shared" si="819"/>
        <v>173.1</v>
      </c>
      <c r="P3241" s="1">
        <f t="shared" si="820"/>
        <v>0</v>
      </c>
      <c r="Q3241" s="1" t="str">
        <f t="shared" si="817"/>
        <v/>
      </c>
      <c r="R3241" s="1" t="str">
        <f t="shared" si="821"/>
        <v/>
      </c>
      <c r="S3241" s="1">
        <f t="shared" si="822"/>
        <v>630.90240000000244</v>
      </c>
      <c r="T3241" s="1">
        <f t="shared" si="823"/>
        <v>0</v>
      </c>
      <c r="U3241" s="1">
        <f t="shared" si="824"/>
        <v>0</v>
      </c>
      <c r="V3241" s="1">
        <f t="shared" si="825"/>
        <v>0</v>
      </c>
    </row>
    <row r="3242" spans="5:22" x14ac:dyDescent="0.25">
      <c r="E3242" s="4"/>
      <c r="M3242" s="4">
        <f t="shared" si="818"/>
        <v>173.1</v>
      </c>
      <c r="N3242" s="4"/>
      <c r="O3242" s="1">
        <f t="shared" si="819"/>
        <v>173.1</v>
      </c>
      <c r="P3242" s="1">
        <f t="shared" si="820"/>
        <v>0</v>
      </c>
      <c r="Q3242" s="1" t="str">
        <f t="shared" si="817"/>
        <v/>
      </c>
      <c r="R3242" s="1" t="str">
        <f t="shared" si="821"/>
        <v/>
      </c>
      <c r="S3242" s="1">
        <f t="shared" si="822"/>
        <v>630.90240000000244</v>
      </c>
      <c r="T3242" s="1">
        <f t="shared" si="823"/>
        <v>0</v>
      </c>
      <c r="U3242" s="1">
        <f t="shared" si="824"/>
        <v>0</v>
      </c>
      <c r="V3242" s="1">
        <f t="shared" si="825"/>
        <v>0</v>
      </c>
    </row>
    <row r="3243" spans="5:22" x14ac:dyDescent="0.25">
      <c r="E3243" s="4"/>
      <c r="M3243" s="4">
        <f t="shared" si="818"/>
        <v>173.1</v>
      </c>
      <c r="N3243" s="4"/>
      <c r="O3243" s="1">
        <f t="shared" si="819"/>
        <v>173.1</v>
      </c>
      <c r="P3243" s="1">
        <f t="shared" si="820"/>
        <v>0</v>
      </c>
      <c r="Q3243" s="1" t="str">
        <f t="shared" si="817"/>
        <v/>
      </c>
      <c r="R3243" s="1" t="str">
        <f t="shared" si="821"/>
        <v/>
      </c>
      <c r="S3243" s="1">
        <f t="shared" si="822"/>
        <v>630.90240000000244</v>
      </c>
      <c r="T3243" s="1">
        <f t="shared" si="823"/>
        <v>0</v>
      </c>
      <c r="U3243" s="1">
        <f t="shared" si="824"/>
        <v>0</v>
      </c>
      <c r="V3243" s="1">
        <f t="shared" si="825"/>
        <v>0</v>
      </c>
    </row>
    <row r="3244" spans="5:22" x14ac:dyDescent="0.25">
      <c r="E3244" s="4"/>
      <c r="M3244" s="4">
        <f t="shared" si="818"/>
        <v>173.1</v>
      </c>
      <c r="N3244" s="4"/>
      <c r="O3244" s="1">
        <f t="shared" si="819"/>
        <v>173.1</v>
      </c>
      <c r="P3244" s="1">
        <f t="shared" si="820"/>
        <v>0</v>
      </c>
      <c r="Q3244" s="1" t="str">
        <f t="shared" si="817"/>
        <v/>
      </c>
      <c r="R3244" s="1" t="str">
        <f t="shared" si="821"/>
        <v/>
      </c>
      <c r="S3244" s="1">
        <f t="shared" si="822"/>
        <v>630.90240000000244</v>
      </c>
      <c r="T3244" s="1">
        <f t="shared" si="823"/>
        <v>0</v>
      </c>
      <c r="U3244" s="1">
        <f t="shared" si="824"/>
        <v>0</v>
      </c>
      <c r="V3244" s="1">
        <f t="shared" si="825"/>
        <v>0</v>
      </c>
    </row>
    <row r="3245" spans="5:22" x14ac:dyDescent="0.25">
      <c r="E3245" s="4"/>
      <c r="M3245" s="4">
        <f t="shared" si="818"/>
        <v>173.1</v>
      </c>
      <c r="N3245" s="4"/>
      <c r="O3245" s="1">
        <f t="shared" si="819"/>
        <v>173.1</v>
      </c>
      <c r="P3245" s="1">
        <f t="shared" si="820"/>
        <v>0</v>
      </c>
      <c r="Q3245" s="1" t="str">
        <f t="shared" si="817"/>
        <v/>
      </c>
      <c r="R3245" s="1" t="str">
        <f t="shared" si="821"/>
        <v/>
      </c>
      <c r="S3245" s="1">
        <f t="shared" si="822"/>
        <v>630.90240000000244</v>
      </c>
      <c r="T3245" s="1">
        <f t="shared" si="823"/>
        <v>0</v>
      </c>
      <c r="U3245" s="1">
        <f t="shared" si="824"/>
        <v>0</v>
      </c>
      <c r="V3245" s="1">
        <f t="shared" si="825"/>
        <v>0</v>
      </c>
    </row>
    <row r="3246" spans="5:22" x14ac:dyDescent="0.25">
      <c r="E3246" s="4"/>
      <c r="M3246" s="4">
        <f t="shared" si="818"/>
        <v>173.1</v>
      </c>
      <c r="N3246" s="4"/>
      <c r="O3246" s="1">
        <f t="shared" si="819"/>
        <v>173.1</v>
      </c>
      <c r="P3246" s="1">
        <f t="shared" si="820"/>
        <v>0</v>
      </c>
      <c r="Q3246" s="1" t="str">
        <f t="shared" si="817"/>
        <v/>
      </c>
      <c r="R3246" s="1" t="str">
        <f t="shared" si="821"/>
        <v/>
      </c>
      <c r="S3246" s="1">
        <f t="shared" si="822"/>
        <v>630.90240000000244</v>
      </c>
      <c r="T3246" s="1">
        <f t="shared" si="823"/>
        <v>0</v>
      </c>
      <c r="U3246" s="1">
        <f t="shared" si="824"/>
        <v>0</v>
      </c>
      <c r="V3246" s="1">
        <f t="shared" si="825"/>
        <v>0</v>
      </c>
    </row>
    <row r="3247" spans="5:22" x14ac:dyDescent="0.25">
      <c r="E3247" s="4"/>
      <c r="M3247" s="4">
        <f t="shared" si="818"/>
        <v>173.1</v>
      </c>
      <c r="N3247" s="4"/>
      <c r="O3247" s="1">
        <f t="shared" si="819"/>
        <v>173.1</v>
      </c>
      <c r="P3247" s="1">
        <f t="shared" si="820"/>
        <v>0</v>
      </c>
      <c r="Q3247" s="1" t="str">
        <f t="shared" si="817"/>
        <v/>
      </c>
      <c r="R3247" s="1" t="str">
        <f t="shared" si="821"/>
        <v/>
      </c>
      <c r="S3247" s="1">
        <f t="shared" si="822"/>
        <v>630.90240000000244</v>
      </c>
      <c r="T3247" s="1">
        <f t="shared" si="823"/>
        <v>0</v>
      </c>
      <c r="U3247" s="1">
        <f t="shared" si="824"/>
        <v>0</v>
      </c>
      <c r="V3247" s="1">
        <f t="shared" si="825"/>
        <v>0</v>
      </c>
    </row>
    <row r="3248" spans="5:22" x14ac:dyDescent="0.25">
      <c r="E3248" s="4"/>
      <c r="M3248" s="4">
        <f t="shared" si="818"/>
        <v>173.1</v>
      </c>
      <c r="N3248" s="4"/>
      <c r="O3248" s="1">
        <f t="shared" si="819"/>
        <v>173.1</v>
      </c>
      <c r="P3248" s="1">
        <f t="shared" si="820"/>
        <v>0</v>
      </c>
      <c r="Q3248" s="1" t="str">
        <f t="shared" si="817"/>
        <v/>
      </c>
      <c r="R3248" s="1" t="str">
        <f t="shared" si="821"/>
        <v/>
      </c>
      <c r="S3248" s="1">
        <f t="shared" si="822"/>
        <v>630.90240000000244</v>
      </c>
      <c r="T3248" s="1">
        <f t="shared" si="823"/>
        <v>0</v>
      </c>
      <c r="U3248" s="1">
        <f t="shared" si="824"/>
        <v>0</v>
      </c>
      <c r="V3248" s="1">
        <f t="shared" si="825"/>
        <v>0</v>
      </c>
    </row>
    <row r="3249" spans="5:22" x14ac:dyDescent="0.25">
      <c r="E3249" s="4"/>
      <c r="M3249" s="4">
        <f t="shared" si="818"/>
        <v>173.1</v>
      </c>
      <c r="N3249" s="4"/>
      <c r="O3249" s="1">
        <f t="shared" si="819"/>
        <v>173.1</v>
      </c>
      <c r="P3249" s="1">
        <f t="shared" si="820"/>
        <v>0</v>
      </c>
      <c r="Q3249" s="1" t="str">
        <f t="shared" si="817"/>
        <v/>
      </c>
      <c r="R3249" s="1" t="str">
        <f t="shared" si="821"/>
        <v/>
      </c>
      <c r="S3249" s="1">
        <f t="shared" si="822"/>
        <v>630.90240000000244</v>
      </c>
      <c r="T3249" s="1">
        <f t="shared" si="823"/>
        <v>0</v>
      </c>
      <c r="U3249" s="1">
        <f t="shared" si="824"/>
        <v>0</v>
      </c>
      <c r="V3249" s="1">
        <f t="shared" si="825"/>
        <v>0</v>
      </c>
    </row>
    <row r="3250" spans="5:22" x14ac:dyDescent="0.25">
      <c r="E3250" s="4"/>
      <c r="M3250" s="4">
        <f t="shared" si="818"/>
        <v>173.1</v>
      </c>
      <c r="N3250" s="4"/>
      <c r="O3250" s="1">
        <f t="shared" si="819"/>
        <v>173.1</v>
      </c>
      <c r="P3250" s="1">
        <f t="shared" si="820"/>
        <v>0</v>
      </c>
      <c r="Q3250" s="1" t="str">
        <f t="shared" ref="Q3250:Q3313" si="826">IF(H3250&lt;&gt;"",IF(H3250=H3249,"",H3250),IF(H3248="","",MAX(H3249,Q3249)))</f>
        <v/>
      </c>
      <c r="R3250" s="1" t="str">
        <f t="shared" si="821"/>
        <v/>
      </c>
      <c r="S3250" s="1">
        <f t="shared" si="822"/>
        <v>630.90240000000244</v>
      </c>
      <c r="T3250" s="1">
        <f t="shared" si="823"/>
        <v>0</v>
      </c>
      <c r="U3250" s="1">
        <f t="shared" si="824"/>
        <v>0</v>
      </c>
      <c r="V3250" s="1">
        <f t="shared" si="825"/>
        <v>0</v>
      </c>
    </row>
    <row r="3251" spans="5:22" x14ac:dyDescent="0.25">
      <c r="E3251" s="4"/>
      <c r="M3251" s="4">
        <f t="shared" si="818"/>
        <v>173.1</v>
      </c>
      <c r="N3251" s="4"/>
      <c r="O3251" s="1">
        <f t="shared" si="819"/>
        <v>173.1</v>
      </c>
      <c r="P3251" s="1">
        <f t="shared" si="820"/>
        <v>0</v>
      </c>
      <c r="Q3251" s="1" t="str">
        <f t="shared" si="826"/>
        <v/>
      </c>
      <c r="R3251" s="1" t="str">
        <f t="shared" si="821"/>
        <v/>
      </c>
      <c r="S3251" s="1">
        <f t="shared" si="822"/>
        <v>630.90240000000244</v>
      </c>
      <c r="T3251" s="1">
        <f t="shared" si="823"/>
        <v>0</v>
      </c>
      <c r="U3251" s="1">
        <f t="shared" si="824"/>
        <v>0</v>
      </c>
      <c r="V3251" s="1">
        <f t="shared" si="825"/>
        <v>0</v>
      </c>
    </row>
    <row r="3252" spans="5:22" x14ac:dyDescent="0.25">
      <c r="E3252" s="4"/>
      <c r="M3252" s="4">
        <f t="shared" si="818"/>
        <v>173.1</v>
      </c>
      <c r="N3252" s="4"/>
      <c r="O3252" s="1">
        <f t="shared" si="819"/>
        <v>173.1</v>
      </c>
      <c r="P3252" s="1">
        <f t="shared" si="820"/>
        <v>0</v>
      </c>
      <c r="Q3252" s="1" t="str">
        <f t="shared" si="826"/>
        <v/>
      </c>
      <c r="R3252" s="1" t="str">
        <f t="shared" si="821"/>
        <v/>
      </c>
      <c r="S3252" s="1">
        <f t="shared" si="822"/>
        <v>630.90240000000244</v>
      </c>
      <c r="T3252" s="1">
        <f t="shared" si="823"/>
        <v>0</v>
      </c>
      <c r="U3252" s="1">
        <f t="shared" si="824"/>
        <v>0</v>
      </c>
      <c r="V3252" s="1">
        <f t="shared" si="825"/>
        <v>0</v>
      </c>
    </row>
    <row r="3253" spans="5:22" x14ac:dyDescent="0.25">
      <c r="E3253" s="4"/>
      <c r="M3253" s="4">
        <f t="shared" si="818"/>
        <v>173.1</v>
      </c>
      <c r="N3253" s="4"/>
      <c r="O3253" s="1">
        <f t="shared" si="819"/>
        <v>173.1</v>
      </c>
      <c r="P3253" s="1">
        <f t="shared" si="820"/>
        <v>0</v>
      </c>
      <c r="Q3253" s="1" t="str">
        <f t="shared" si="826"/>
        <v/>
      </c>
      <c r="R3253" s="1" t="str">
        <f t="shared" si="821"/>
        <v/>
      </c>
      <c r="S3253" s="1">
        <f t="shared" si="822"/>
        <v>630.90240000000244</v>
      </c>
      <c r="T3253" s="1">
        <f t="shared" si="823"/>
        <v>0</v>
      </c>
      <c r="U3253" s="1">
        <f t="shared" si="824"/>
        <v>0</v>
      </c>
      <c r="V3253" s="1">
        <f t="shared" si="825"/>
        <v>0</v>
      </c>
    </row>
    <row r="3254" spans="5:22" x14ac:dyDescent="0.25">
      <c r="E3254" s="4"/>
      <c r="M3254" s="4">
        <f t="shared" si="818"/>
        <v>173.1</v>
      </c>
      <c r="N3254" s="4"/>
      <c r="O3254" s="1">
        <f t="shared" si="819"/>
        <v>173.1</v>
      </c>
      <c r="P3254" s="1">
        <f t="shared" si="820"/>
        <v>0</v>
      </c>
      <c r="Q3254" s="1" t="str">
        <f t="shared" si="826"/>
        <v/>
      </c>
      <c r="R3254" s="1" t="str">
        <f t="shared" si="821"/>
        <v/>
      </c>
      <c r="S3254" s="1">
        <f t="shared" si="822"/>
        <v>630.90240000000244</v>
      </c>
      <c r="T3254" s="1">
        <f t="shared" si="823"/>
        <v>0</v>
      </c>
      <c r="U3254" s="1">
        <f t="shared" si="824"/>
        <v>0</v>
      </c>
      <c r="V3254" s="1">
        <f t="shared" si="825"/>
        <v>0</v>
      </c>
    </row>
    <row r="3255" spans="5:22" x14ac:dyDescent="0.25">
      <c r="E3255" s="4"/>
      <c r="M3255" s="4">
        <f t="shared" si="818"/>
        <v>173.1</v>
      </c>
      <c r="N3255" s="4"/>
      <c r="O3255" s="1">
        <f t="shared" si="819"/>
        <v>173.1</v>
      </c>
      <c r="P3255" s="1">
        <f t="shared" si="820"/>
        <v>0</v>
      </c>
      <c r="Q3255" s="1" t="str">
        <f t="shared" si="826"/>
        <v/>
      </c>
      <c r="R3255" s="1" t="str">
        <f t="shared" si="821"/>
        <v/>
      </c>
      <c r="S3255" s="1">
        <f t="shared" si="822"/>
        <v>630.90240000000244</v>
      </c>
      <c r="T3255" s="1">
        <f t="shared" si="823"/>
        <v>0</v>
      </c>
      <c r="U3255" s="1">
        <f t="shared" si="824"/>
        <v>0</v>
      </c>
      <c r="V3255" s="1">
        <f t="shared" si="825"/>
        <v>0</v>
      </c>
    </row>
    <row r="3256" spans="5:22" x14ac:dyDescent="0.25">
      <c r="E3256" s="4"/>
      <c r="M3256" s="4">
        <f t="shared" si="818"/>
        <v>173.1</v>
      </c>
      <c r="N3256" s="4"/>
      <c r="O3256" s="1">
        <f t="shared" si="819"/>
        <v>173.1</v>
      </c>
      <c r="P3256" s="1">
        <f t="shared" si="820"/>
        <v>0</v>
      </c>
      <c r="Q3256" s="1" t="str">
        <f t="shared" si="826"/>
        <v/>
      </c>
      <c r="R3256" s="1" t="str">
        <f t="shared" si="821"/>
        <v/>
      </c>
      <c r="S3256" s="1">
        <f t="shared" si="822"/>
        <v>630.90240000000244</v>
      </c>
      <c r="T3256" s="1">
        <f t="shared" si="823"/>
        <v>0</v>
      </c>
      <c r="U3256" s="1">
        <f t="shared" si="824"/>
        <v>0</v>
      </c>
      <c r="V3256" s="1">
        <f t="shared" si="825"/>
        <v>0</v>
      </c>
    </row>
    <row r="3257" spans="5:22" x14ac:dyDescent="0.25">
      <c r="E3257" s="4"/>
      <c r="M3257" s="4">
        <f t="shared" si="818"/>
        <v>173.1</v>
      </c>
      <c r="N3257" s="4"/>
      <c r="O3257" s="1">
        <f t="shared" si="819"/>
        <v>173.1</v>
      </c>
      <c r="P3257" s="1">
        <f t="shared" si="820"/>
        <v>0</v>
      </c>
      <c r="Q3257" s="1" t="str">
        <f t="shared" si="826"/>
        <v/>
      </c>
      <c r="R3257" s="1" t="str">
        <f t="shared" si="821"/>
        <v/>
      </c>
      <c r="S3257" s="1">
        <f t="shared" si="822"/>
        <v>630.90240000000244</v>
      </c>
      <c r="T3257" s="1">
        <f t="shared" si="823"/>
        <v>0</v>
      </c>
      <c r="U3257" s="1">
        <f t="shared" si="824"/>
        <v>0</v>
      </c>
      <c r="V3257" s="1">
        <f t="shared" si="825"/>
        <v>0</v>
      </c>
    </row>
    <row r="3258" spans="5:22" x14ac:dyDescent="0.25">
      <c r="E3258" s="4"/>
      <c r="M3258" s="4">
        <f t="shared" si="818"/>
        <v>173.1</v>
      </c>
      <c r="N3258" s="4"/>
      <c r="O3258" s="1">
        <f t="shared" si="819"/>
        <v>173.1</v>
      </c>
      <c r="P3258" s="1">
        <f t="shared" si="820"/>
        <v>0</v>
      </c>
      <c r="Q3258" s="1" t="str">
        <f t="shared" si="826"/>
        <v/>
      </c>
      <c r="R3258" s="1" t="str">
        <f t="shared" si="821"/>
        <v/>
      </c>
      <c r="S3258" s="1">
        <f t="shared" si="822"/>
        <v>630.90240000000244</v>
      </c>
      <c r="T3258" s="1">
        <f t="shared" si="823"/>
        <v>0</v>
      </c>
      <c r="U3258" s="1">
        <f t="shared" si="824"/>
        <v>0</v>
      </c>
      <c r="V3258" s="1">
        <f t="shared" si="825"/>
        <v>0</v>
      </c>
    </row>
    <row r="3259" spans="5:22" x14ac:dyDescent="0.25">
      <c r="E3259" s="4"/>
      <c r="M3259" s="4">
        <f t="shared" si="818"/>
        <v>173.1</v>
      </c>
      <c r="N3259" s="4"/>
      <c r="O3259" s="1">
        <f t="shared" si="819"/>
        <v>173.1</v>
      </c>
      <c r="P3259" s="1">
        <f t="shared" si="820"/>
        <v>0</v>
      </c>
      <c r="Q3259" s="1" t="str">
        <f t="shared" si="826"/>
        <v/>
      </c>
      <c r="R3259" s="1" t="str">
        <f t="shared" si="821"/>
        <v/>
      </c>
      <c r="S3259" s="1">
        <f t="shared" si="822"/>
        <v>630.90240000000244</v>
      </c>
      <c r="T3259" s="1">
        <f t="shared" si="823"/>
        <v>0</v>
      </c>
      <c r="U3259" s="1">
        <f t="shared" si="824"/>
        <v>0</v>
      </c>
      <c r="V3259" s="1">
        <f t="shared" si="825"/>
        <v>0</v>
      </c>
    </row>
    <row r="3260" spans="5:22" x14ac:dyDescent="0.25">
      <c r="E3260" s="4"/>
      <c r="M3260" s="4">
        <f t="shared" si="818"/>
        <v>173.1</v>
      </c>
      <c r="N3260" s="4"/>
      <c r="O3260" s="1">
        <f t="shared" si="819"/>
        <v>173.1</v>
      </c>
      <c r="P3260" s="1">
        <f t="shared" si="820"/>
        <v>0</v>
      </c>
      <c r="Q3260" s="1" t="str">
        <f t="shared" si="826"/>
        <v/>
      </c>
      <c r="R3260" s="1" t="str">
        <f t="shared" si="821"/>
        <v/>
      </c>
      <c r="S3260" s="1">
        <f t="shared" si="822"/>
        <v>630.90240000000244</v>
      </c>
      <c r="T3260" s="1">
        <f t="shared" si="823"/>
        <v>0</v>
      </c>
      <c r="U3260" s="1">
        <f t="shared" si="824"/>
        <v>0</v>
      </c>
      <c r="V3260" s="1">
        <f t="shared" si="825"/>
        <v>0</v>
      </c>
    </row>
    <row r="3261" spans="5:22" x14ac:dyDescent="0.25">
      <c r="E3261" s="4"/>
      <c r="M3261" s="4">
        <f t="shared" si="818"/>
        <v>173.1</v>
      </c>
      <c r="N3261" s="4"/>
      <c r="O3261" s="1">
        <f t="shared" si="819"/>
        <v>173.1</v>
      </c>
      <c r="P3261" s="1">
        <f t="shared" si="820"/>
        <v>0</v>
      </c>
      <c r="Q3261" s="1" t="str">
        <f t="shared" si="826"/>
        <v/>
      </c>
      <c r="R3261" s="1" t="str">
        <f t="shared" si="821"/>
        <v/>
      </c>
      <c r="S3261" s="1">
        <f t="shared" si="822"/>
        <v>630.90240000000244</v>
      </c>
      <c r="T3261" s="1">
        <f t="shared" si="823"/>
        <v>0</v>
      </c>
      <c r="U3261" s="1">
        <f t="shared" si="824"/>
        <v>0</v>
      </c>
      <c r="V3261" s="1">
        <f t="shared" si="825"/>
        <v>0</v>
      </c>
    </row>
    <row r="3262" spans="5:22" x14ac:dyDescent="0.25">
      <c r="E3262" s="4"/>
      <c r="M3262" s="4">
        <f t="shared" si="818"/>
        <v>173.1</v>
      </c>
      <c r="N3262" s="4"/>
      <c r="O3262" s="1">
        <f t="shared" si="819"/>
        <v>173.1</v>
      </c>
      <c r="P3262" s="1">
        <f t="shared" si="820"/>
        <v>0</v>
      </c>
      <c r="Q3262" s="1" t="str">
        <f t="shared" si="826"/>
        <v/>
      </c>
      <c r="R3262" s="1" t="str">
        <f t="shared" si="821"/>
        <v/>
      </c>
      <c r="S3262" s="1">
        <f t="shared" si="822"/>
        <v>630.90240000000244</v>
      </c>
      <c r="T3262" s="1">
        <f t="shared" si="823"/>
        <v>0</v>
      </c>
      <c r="U3262" s="1">
        <f t="shared" si="824"/>
        <v>0</v>
      </c>
      <c r="V3262" s="1">
        <f t="shared" si="825"/>
        <v>0</v>
      </c>
    </row>
    <row r="3263" spans="5:22" x14ac:dyDescent="0.25">
      <c r="E3263" s="4"/>
      <c r="M3263" s="4">
        <f t="shared" si="818"/>
        <v>173.1</v>
      </c>
      <c r="N3263" s="4"/>
      <c r="O3263" s="1">
        <f t="shared" si="819"/>
        <v>173.1</v>
      </c>
      <c r="P3263" s="1">
        <f t="shared" si="820"/>
        <v>0</v>
      </c>
      <c r="Q3263" s="1" t="str">
        <f t="shared" si="826"/>
        <v/>
      </c>
      <c r="R3263" s="1" t="str">
        <f t="shared" si="821"/>
        <v/>
      </c>
      <c r="S3263" s="1">
        <f t="shared" si="822"/>
        <v>630.90240000000244</v>
      </c>
      <c r="T3263" s="1">
        <f t="shared" si="823"/>
        <v>0</v>
      </c>
      <c r="U3263" s="1">
        <f t="shared" si="824"/>
        <v>0</v>
      </c>
      <c r="V3263" s="1">
        <f t="shared" si="825"/>
        <v>0</v>
      </c>
    </row>
    <row r="3264" spans="5:22" x14ac:dyDescent="0.25">
      <c r="E3264" s="4"/>
      <c r="M3264" s="4">
        <f t="shared" si="818"/>
        <v>173.1</v>
      </c>
      <c r="N3264" s="4"/>
      <c r="O3264" s="1">
        <f t="shared" si="819"/>
        <v>173.1</v>
      </c>
      <c r="P3264" s="1">
        <f t="shared" si="820"/>
        <v>0</v>
      </c>
      <c r="Q3264" s="1" t="str">
        <f t="shared" si="826"/>
        <v/>
      </c>
      <c r="R3264" s="1" t="str">
        <f t="shared" si="821"/>
        <v/>
      </c>
      <c r="S3264" s="1">
        <f t="shared" si="822"/>
        <v>630.90240000000244</v>
      </c>
      <c r="T3264" s="1">
        <f t="shared" si="823"/>
        <v>0</v>
      </c>
      <c r="U3264" s="1">
        <f t="shared" si="824"/>
        <v>0</v>
      </c>
      <c r="V3264" s="1">
        <f t="shared" si="825"/>
        <v>0</v>
      </c>
    </row>
    <row r="3265" spans="5:22" x14ac:dyDescent="0.25">
      <c r="E3265" s="4"/>
      <c r="M3265" s="4">
        <f t="shared" si="818"/>
        <v>173.1</v>
      </c>
      <c r="N3265" s="4"/>
      <c r="O3265" s="1">
        <f t="shared" si="819"/>
        <v>173.1</v>
      </c>
      <c r="P3265" s="1">
        <f t="shared" si="820"/>
        <v>0</v>
      </c>
      <c r="Q3265" s="1" t="str">
        <f t="shared" si="826"/>
        <v/>
      </c>
      <c r="R3265" s="1" t="str">
        <f t="shared" si="821"/>
        <v/>
      </c>
      <c r="S3265" s="1">
        <f t="shared" si="822"/>
        <v>630.90240000000244</v>
      </c>
      <c r="T3265" s="1">
        <f t="shared" si="823"/>
        <v>0</v>
      </c>
      <c r="U3265" s="1">
        <f t="shared" si="824"/>
        <v>0</v>
      </c>
      <c r="V3265" s="1">
        <f t="shared" si="825"/>
        <v>0</v>
      </c>
    </row>
    <row r="3266" spans="5:22" x14ac:dyDescent="0.25">
      <c r="E3266" s="4"/>
      <c r="M3266" s="4">
        <f t="shared" si="818"/>
        <v>173.1</v>
      </c>
      <c r="N3266" s="4"/>
      <c r="O3266" s="1">
        <f t="shared" si="819"/>
        <v>173.1</v>
      </c>
      <c r="P3266" s="1">
        <f t="shared" si="820"/>
        <v>0</v>
      </c>
      <c r="Q3266" s="1" t="str">
        <f t="shared" si="826"/>
        <v/>
      </c>
      <c r="R3266" s="1" t="str">
        <f t="shared" si="821"/>
        <v/>
      </c>
      <c r="S3266" s="1">
        <f t="shared" si="822"/>
        <v>630.90240000000244</v>
      </c>
      <c r="T3266" s="1">
        <f t="shared" si="823"/>
        <v>0</v>
      </c>
      <c r="U3266" s="1">
        <f t="shared" si="824"/>
        <v>0</v>
      </c>
      <c r="V3266" s="1">
        <f t="shared" si="825"/>
        <v>0</v>
      </c>
    </row>
    <row r="3267" spans="5:22" x14ac:dyDescent="0.25">
      <c r="E3267" s="4"/>
      <c r="M3267" s="4">
        <f t="shared" si="818"/>
        <v>173.1</v>
      </c>
      <c r="N3267" s="4"/>
      <c r="O3267" s="1">
        <f t="shared" si="819"/>
        <v>173.1</v>
      </c>
      <c r="P3267" s="1">
        <f t="shared" si="820"/>
        <v>0</v>
      </c>
      <c r="Q3267" s="1" t="str">
        <f t="shared" si="826"/>
        <v/>
      </c>
      <c r="R3267" s="1" t="str">
        <f t="shared" si="821"/>
        <v/>
      </c>
      <c r="S3267" s="1">
        <f t="shared" si="822"/>
        <v>630.90240000000244</v>
      </c>
      <c r="T3267" s="1">
        <f t="shared" si="823"/>
        <v>0</v>
      </c>
      <c r="U3267" s="1">
        <f t="shared" si="824"/>
        <v>0</v>
      </c>
      <c r="V3267" s="1">
        <f t="shared" si="825"/>
        <v>0</v>
      </c>
    </row>
    <row r="3268" spans="5:22" x14ac:dyDescent="0.25">
      <c r="E3268" s="4"/>
      <c r="M3268" s="4">
        <f t="shared" si="818"/>
        <v>173.1</v>
      </c>
      <c r="N3268" s="4"/>
      <c r="O3268" s="1">
        <f t="shared" si="819"/>
        <v>173.1</v>
      </c>
      <c r="P3268" s="1">
        <f t="shared" si="820"/>
        <v>0</v>
      </c>
      <c r="Q3268" s="1" t="str">
        <f t="shared" si="826"/>
        <v/>
      </c>
      <c r="R3268" s="1" t="str">
        <f t="shared" si="821"/>
        <v/>
      </c>
      <c r="S3268" s="1">
        <f t="shared" si="822"/>
        <v>630.90240000000244</v>
      </c>
      <c r="T3268" s="1">
        <f t="shared" si="823"/>
        <v>0</v>
      </c>
      <c r="U3268" s="1">
        <f t="shared" si="824"/>
        <v>0</v>
      </c>
      <c r="V3268" s="1">
        <f t="shared" si="825"/>
        <v>0</v>
      </c>
    </row>
    <row r="3269" spans="5:22" x14ac:dyDescent="0.25">
      <c r="E3269" s="4"/>
      <c r="M3269" s="4">
        <f t="shared" si="818"/>
        <v>173.1</v>
      </c>
      <c r="N3269" s="4"/>
      <c r="O3269" s="1">
        <f t="shared" si="819"/>
        <v>173.1</v>
      </c>
      <c r="P3269" s="1">
        <f t="shared" si="820"/>
        <v>0</v>
      </c>
      <c r="Q3269" s="1" t="str">
        <f t="shared" si="826"/>
        <v/>
      </c>
      <c r="R3269" s="1" t="str">
        <f t="shared" si="821"/>
        <v/>
      </c>
      <c r="S3269" s="1">
        <f t="shared" si="822"/>
        <v>630.90240000000244</v>
      </c>
      <c r="T3269" s="1">
        <f t="shared" si="823"/>
        <v>0</v>
      </c>
      <c r="U3269" s="1">
        <f t="shared" si="824"/>
        <v>0</v>
      </c>
      <c r="V3269" s="1">
        <f t="shared" si="825"/>
        <v>0</v>
      </c>
    </row>
    <row r="3270" spans="5:22" x14ac:dyDescent="0.25">
      <c r="E3270" s="4"/>
      <c r="M3270" s="4">
        <f t="shared" si="818"/>
        <v>173.1</v>
      </c>
      <c r="N3270" s="4"/>
      <c r="O3270" s="1">
        <f t="shared" si="819"/>
        <v>173.1</v>
      </c>
      <c r="P3270" s="1">
        <f t="shared" si="820"/>
        <v>0</v>
      </c>
      <c r="Q3270" s="1" t="str">
        <f t="shared" si="826"/>
        <v/>
      </c>
      <c r="R3270" s="1" t="str">
        <f t="shared" si="821"/>
        <v/>
      </c>
      <c r="S3270" s="1">
        <f t="shared" si="822"/>
        <v>630.90240000000244</v>
      </c>
      <c r="T3270" s="1">
        <f t="shared" si="823"/>
        <v>0</v>
      </c>
      <c r="U3270" s="1">
        <f t="shared" si="824"/>
        <v>0</v>
      </c>
      <c r="V3270" s="1">
        <f t="shared" si="825"/>
        <v>0</v>
      </c>
    </row>
    <row r="3271" spans="5:22" x14ac:dyDescent="0.25">
      <c r="E3271" s="4"/>
      <c r="M3271" s="4">
        <f t="shared" si="818"/>
        <v>173.1</v>
      </c>
      <c r="N3271" s="4"/>
      <c r="O3271" s="1">
        <f t="shared" si="819"/>
        <v>173.1</v>
      </c>
      <c r="P3271" s="1">
        <f t="shared" si="820"/>
        <v>0</v>
      </c>
      <c r="Q3271" s="1" t="str">
        <f t="shared" si="826"/>
        <v/>
      </c>
      <c r="R3271" s="1" t="str">
        <f t="shared" si="821"/>
        <v/>
      </c>
      <c r="S3271" s="1">
        <f t="shared" si="822"/>
        <v>630.90240000000244</v>
      </c>
      <c r="T3271" s="1">
        <f t="shared" si="823"/>
        <v>0</v>
      </c>
      <c r="U3271" s="1">
        <f t="shared" si="824"/>
        <v>0</v>
      </c>
      <c r="V3271" s="1">
        <f t="shared" si="825"/>
        <v>0</v>
      </c>
    </row>
    <row r="3272" spans="5:22" x14ac:dyDescent="0.25">
      <c r="E3272" s="4"/>
      <c r="M3272" s="4">
        <f t="shared" ref="M3272:M3335" si="827">E3272+M3271</f>
        <v>173.1</v>
      </c>
      <c r="N3272" s="4"/>
      <c r="O3272" s="1">
        <f t="shared" ref="O3272:O3335" si="828">E3271+O3271</f>
        <v>173.1</v>
      </c>
      <c r="P3272" s="1">
        <f t="shared" ref="P3272:P3335" si="829">F3272*52.8*E3272</f>
        <v>0</v>
      </c>
      <c r="Q3272" s="1" t="str">
        <f t="shared" si="826"/>
        <v/>
      </c>
      <c r="R3272" s="1" t="str">
        <f t="shared" ref="R3272:R3335" si="830">IF(I3272="",Q3272,IF(AND(H3272=H3271,I3272=I3271),"",I3272))</f>
        <v/>
      </c>
      <c r="S3272" s="1">
        <f t="shared" ref="S3272:S3335" si="831">S3271+U3271*T3271/100</f>
        <v>630.90240000000244</v>
      </c>
      <c r="T3272" s="1">
        <f t="shared" ref="T3272:T3335" si="832">IF(G3272="UNK",0,G3272)</f>
        <v>0</v>
      </c>
      <c r="U3272" s="1">
        <f t="shared" ref="U3272:U3335" si="833">E3272*5280</f>
        <v>0</v>
      </c>
      <c r="V3272" s="1">
        <f t="shared" ref="V3272:V3335" si="834">ABS(T3272*U3272)</f>
        <v>0</v>
      </c>
    </row>
    <row r="3273" spans="5:22" x14ac:dyDescent="0.25">
      <c r="E3273" s="4"/>
      <c r="M3273" s="4">
        <f t="shared" si="827"/>
        <v>173.1</v>
      </c>
      <c r="N3273" s="4"/>
      <c r="O3273" s="1">
        <f t="shared" si="828"/>
        <v>173.1</v>
      </c>
      <c r="P3273" s="1">
        <f t="shared" si="829"/>
        <v>0</v>
      </c>
      <c r="Q3273" s="1" t="str">
        <f t="shared" si="826"/>
        <v/>
      </c>
      <c r="R3273" s="1" t="str">
        <f t="shared" si="830"/>
        <v/>
      </c>
      <c r="S3273" s="1">
        <f t="shared" si="831"/>
        <v>630.90240000000244</v>
      </c>
      <c r="T3273" s="1">
        <f t="shared" si="832"/>
        <v>0</v>
      </c>
      <c r="U3273" s="1">
        <f t="shared" si="833"/>
        <v>0</v>
      </c>
      <c r="V3273" s="1">
        <f t="shared" si="834"/>
        <v>0</v>
      </c>
    </row>
    <row r="3274" spans="5:22" x14ac:dyDescent="0.25">
      <c r="E3274" s="4"/>
      <c r="M3274" s="4">
        <f t="shared" si="827"/>
        <v>173.1</v>
      </c>
      <c r="N3274" s="4"/>
      <c r="O3274" s="1">
        <f t="shared" si="828"/>
        <v>173.1</v>
      </c>
      <c r="P3274" s="1">
        <f t="shared" si="829"/>
        <v>0</v>
      </c>
      <c r="Q3274" s="1" t="str">
        <f t="shared" si="826"/>
        <v/>
      </c>
      <c r="R3274" s="1" t="str">
        <f t="shared" si="830"/>
        <v/>
      </c>
      <c r="S3274" s="1">
        <f t="shared" si="831"/>
        <v>630.90240000000244</v>
      </c>
      <c r="T3274" s="1">
        <f t="shared" si="832"/>
        <v>0</v>
      </c>
      <c r="U3274" s="1">
        <f t="shared" si="833"/>
        <v>0</v>
      </c>
      <c r="V3274" s="1">
        <f t="shared" si="834"/>
        <v>0</v>
      </c>
    </row>
    <row r="3275" spans="5:22" x14ac:dyDescent="0.25">
      <c r="E3275" s="4"/>
      <c r="M3275" s="4">
        <f t="shared" si="827"/>
        <v>173.1</v>
      </c>
      <c r="N3275" s="4"/>
      <c r="O3275" s="1">
        <f t="shared" si="828"/>
        <v>173.1</v>
      </c>
      <c r="P3275" s="1">
        <f t="shared" si="829"/>
        <v>0</v>
      </c>
      <c r="Q3275" s="1" t="str">
        <f t="shared" si="826"/>
        <v/>
      </c>
      <c r="R3275" s="1" t="str">
        <f t="shared" si="830"/>
        <v/>
      </c>
      <c r="S3275" s="1">
        <f t="shared" si="831"/>
        <v>630.90240000000244</v>
      </c>
      <c r="T3275" s="1">
        <f t="shared" si="832"/>
        <v>0</v>
      </c>
      <c r="U3275" s="1">
        <f t="shared" si="833"/>
        <v>0</v>
      </c>
      <c r="V3275" s="1">
        <f t="shared" si="834"/>
        <v>0</v>
      </c>
    </row>
    <row r="3276" spans="5:22" x14ac:dyDescent="0.25">
      <c r="E3276" s="4"/>
      <c r="M3276" s="4">
        <f t="shared" si="827"/>
        <v>173.1</v>
      </c>
      <c r="N3276" s="4"/>
      <c r="O3276" s="1">
        <f t="shared" si="828"/>
        <v>173.1</v>
      </c>
      <c r="P3276" s="1">
        <f t="shared" si="829"/>
        <v>0</v>
      </c>
      <c r="Q3276" s="1" t="str">
        <f t="shared" si="826"/>
        <v/>
      </c>
      <c r="R3276" s="1" t="str">
        <f t="shared" si="830"/>
        <v/>
      </c>
      <c r="S3276" s="1">
        <f t="shared" si="831"/>
        <v>630.90240000000244</v>
      </c>
      <c r="T3276" s="1">
        <f t="shared" si="832"/>
        <v>0</v>
      </c>
      <c r="U3276" s="1">
        <f t="shared" si="833"/>
        <v>0</v>
      </c>
      <c r="V3276" s="1">
        <f t="shared" si="834"/>
        <v>0</v>
      </c>
    </row>
    <row r="3277" spans="5:22" x14ac:dyDescent="0.25">
      <c r="E3277" s="4"/>
      <c r="M3277" s="4">
        <f t="shared" si="827"/>
        <v>173.1</v>
      </c>
      <c r="N3277" s="4"/>
      <c r="O3277" s="1">
        <f t="shared" si="828"/>
        <v>173.1</v>
      </c>
      <c r="P3277" s="1">
        <f t="shared" si="829"/>
        <v>0</v>
      </c>
      <c r="Q3277" s="1" t="str">
        <f t="shared" si="826"/>
        <v/>
      </c>
      <c r="R3277" s="1" t="str">
        <f t="shared" si="830"/>
        <v/>
      </c>
      <c r="S3277" s="1">
        <f t="shared" si="831"/>
        <v>630.90240000000244</v>
      </c>
      <c r="T3277" s="1">
        <f t="shared" si="832"/>
        <v>0</v>
      </c>
      <c r="U3277" s="1">
        <f t="shared" si="833"/>
        <v>0</v>
      </c>
      <c r="V3277" s="1">
        <f t="shared" si="834"/>
        <v>0</v>
      </c>
    </row>
    <row r="3278" spans="5:22" x14ac:dyDescent="0.25">
      <c r="E3278" s="4"/>
      <c r="M3278" s="4">
        <f t="shared" si="827"/>
        <v>173.1</v>
      </c>
      <c r="N3278" s="4"/>
      <c r="O3278" s="1">
        <f t="shared" si="828"/>
        <v>173.1</v>
      </c>
      <c r="P3278" s="1">
        <f t="shared" si="829"/>
        <v>0</v>
      </c>
      <c r="Q3278" s="1" t="str">
        <f t="shared" si="826"/>
        <v/>
      </c>
      <c r="R3278" s="1" t="str">
        <f t="shared" si="830"/>
        <v/>
      </c>
      <c r="S3278" s="1">
        <f t="shared" si="831"/>
        <v>630.90240000000244</v>
      </c>
      <c r="T3278" s="1">
        <f t="shared" si="832"/>
        <v>0</v>
      </c>
      <c r="U3278" s="1">
        <f t="shared" si="833"/>
        <v>0</v>
      </c>
      <c r="V3278" s="1">
        <f t="shared" si="834"/>
        <v>0</v>
      </c>
    </row>
    <row r="3279" spans="5:22" x14ac:dyDescent="0.25">
      <c r="E3279" s="4"/>
      <c r="M3279" s="4">
        <f t="shared" si="827"/>
        <v>173.1</v>
      </c>
      <c r="N3279" s="4"/>
      <c r="O3279" s="1">
        <f t="shared" si="828"/>
        <v>173.1</v>
      </c>
      <c r="P3279" s="1">
        <f t="shared" si="829"/>
        <v>0</v>
      </c>
      <c r="Q3279" s="1" t="str">
        <f t="shared" si="826"/>
        <v/>
      </c>
      <c r="R3279" s="1" t="str">
        <f t="shared" si="830"/>
        <v/>
      </c>
      <c r="S3279" s="1">
        <f t="shared" si="831"/>
        <v>630.90240000000244</v>
      </c>
      <c r="T3279" s="1">
        <f t="shared" si="832"/>
        <v>0</v>
      </c>
      <c r="U3279" s="1">
        <f t="shared" si="833"/>
        <v>0</v>
      </c>
      <c r="V3279" s="1">
        <f t="shared" si="834"/>
        <v>0</v>
      </c>
    </row>
    <row r="3280" spans="5:22" x14ac:dyDescent="0.25">
      <c r="E3280" s="4"/>
      <c r="M3280" s="4">
        <f t="shared" si="827"/>
        <v>173.1</v>
      </c>
      <c r="N3280" s="4"/>
      <c r="O3280" s="1">
        <f t="shared" si="828"/>
        <v>173.1</v>
      </c>
      <c r="P3280" s="1">
        <f t="shared" si="829"/>
        <v>0</v>
      </c>
      <c r="Q3280" s="1" t="str">
        <f t="shared" si="826"/>
        <v/>
      </c>
      <c r="R3280" s="1" t="str">
        <f t="shared" si="830"/>
        <v/>
      </c>
      <c r="S3280" s="1">
        <f t="shared" si="831"/>
        <v>630.90240000000244</v>
      </c>
      <c r="T3280" s="1">
        <f t="shared" si="832"/>
        <v>0</v>
      </c>
      <c r="U3280" s="1">
        <f t="shared" si="833"/>
        <v>0</v>
      </c>
      <c r="V3280" s="1">
        <f t="shared" si="834"/>
        <v>0</v>
      </c>
    </row>
    <row r="3281" spans="5:22" x14ac:dyDescent="0.25">
      <c r="E3281" s="4"/>
      <c r="M3281" s="4">
        <f t="shared" si="827"/>
        <v>173.1</v>
      </c>
      <c r="N3281" s="4"/>
      <c r="O3281" s="1">
        <f t="shared" si="828"/>
        <v>173.1</v>
      </c>
      <c r="P3281" s="1">
        <f t="shared" si="829"/>
        <v>0</v>
      </c>
      <c r="Q3281" s="1" t="str">
        <f t="shared" si="826"/>
        <v/>
      </c>
      <c r="R3281" s="1" t="str">
        <f t="shared" si="830"/>
        <v/>
      </c>
      <c r="S3281" s="1">
        <f t="shared" si="831"/>
        <v>630.90240000000244</v>
      </c>
      <c r="T3281" s="1">
        <f t="shared" si="832"/>
        <v>0</v>
      </c>
      <c r="U3281" s="1">
        <f t="shared" si="833"/>
        <v>0</v>
      </c>
      <c r="V3281" s="1">
        <f t="shared" si="834"/>
        <v>0</v>
      </c>
    </row>
    <row r="3282" spans="5:22" x14ac:dyDescent="0.25">
      <c r="E3282" s="4"/>
      <c r="M3282" s="4">
        <f t="shared" si="827"/>
        <v>173.1</v>
      </c>
      <c r="N3282" s="4"/>
      <c r="O3282" s="1">
        <f t="shared" si="828"/>
        <v>173.1</v>
      </c>
      <c r="P3282" s="1">
        <f t="shared" si="829"/>
        <v>0</v>
      </c>
      <c r="Q3282" s="1" t="str">
        <f t="shared" si="826"/>
        <v/>
      </c>
      <c r="R3282" s="1" t="str">
        <f t="shared" si="830"/>
        <v/>
      </c>
      <c r="S3282" s="1">
        <f t="shared" si="831"/>
        <v>630.90240000000244</v>
      </c>
      <c r="T3282" s="1">
        <f t="shared" si="832"/>
        <v>0</v>
      </c>
      <c r="U3282" s="1">
        <f t="shared" si="833"/>
        <v>0</v>
      </c>
      <c r="V3282" s="1">
        <f t="shared" si="834"/>
        <v>0</v>
      </c>
    </row>
    <row r="3283" spans="5:22" x14ac:dyDescent="0.25">
      <c r="E3283" s="4"/>
      <c r="M3283" s="4">
        <f t="shared" si="827"/>
        <v>173.1</v>
      </c>
      <c r="N3283" s="4"/>
      <c r="O3283" s="1">
        <f t="shared" si="828"/>
        <v>173.1</v>
      </c>
      <c r="P3283" s="1">
        <f t="shared" si="829"/>
        <v>0</v>
      </c>
      <c r="Q3283" s="1" t="str">
        <f t="shared" si="826"/>
        <v/>
      </c>
      <c r="R3283" s="1" t="str">
        <f t="shared" si="830"/>
        <v/>
      </c>
      <c r="S3283" s="1">
        <f t="shared" si="831"/>
        <v>630.90240000000244</v>
      </c>
      <c r="T3283" s="1">
        <f t="shared" si="832"/>
        <v>0</v>
      </c>
      <c r="U3283" s="1">
        <f t="shared" si="833"/>
        <v>0</v>
      </c>
      <c r="V3283" s="1">
        <f t="shared" si="834"/>
        <v>0</v>
      </c>
    </row>
    <row r="3284" spans="5:22" x14ac:dyDescent="0.25">
      <c r="E3284" s="4"/>
      <c r="M3284" s="4">
        <f t="shared" si="827"/>
        <v>173.1</v>
      </c>
      <c r="N3284" s="4"/>
      <c r="O3284" s="1">
        <f t="shared" si="828"/>
        <v>173.1</v>
      </c>
      <c r="P3284" s="1">
        <f t="shared" si="829"/>
        <v>0</v>
      </c>
      <c r="Q3284" s="1" t="str">
        <f t="shared" si="826"/>
        <v/>
      </c>
      <c r="R3284" s="1" t="str">
        <f t="shared" si="830"/>
        <v/>
      </c>
      <c r="S3284" s="1">
        <f t="shared" si="831"/>
        <v>630.90240000000244</v>
      </c>
      <c r="T3284" s="1">
        <f t="shared" si="832"/>
        <v>0</v>
      </c>
      <c r="U3284" s="1">
        <f t="shared" si="833"/>
        <v>0</v>
      </c>
      <c r="V3284" s="1">
        <f t="shared" si="834"/>
        <v>0</v>
      </c>
    </row>
    <row r="3285" spans="5:22" x14ac:dyDescent="0.25">
      <c r="E3285" s="4"/>
      <c r="M3285" s="4">
        <f t="shared" si="827"/>
        <v>173.1</v>
      </c>
      <c r="N3285" s="4"/>
      <c r="O3285" s="1">
        <f t="shared" si="828"/>
        <v>173.1</v>
      </c>
      <c r="P3285" s="1">
        <f t="shared" si="829"/>
        <v>0</v>
      </c>
      <c r="Q3285" s="1" t="str">
        <f t="shared" si="826"/>
        <v/>
      </c>
      <c r="R3285" s="1" t="str">
        <f t="shared" si="830"/>
        <v/>
      </c>
      <c r="S3285" s="1">
        <f t="shared" si="831"/>
        <v>630.90240000000244</v>
      </c>
      <c r="T3285" s="1">
        <f t="shared" si="832"/>
        <v>0</v>
      </c>
      <c r="U3285" s="1">
        <f t="shared" si="833"/>
        <v>0</v>
      </c>
      <c r="V3285" s="1">
        <f t="shared" si="834"/>
        <v>0</v>
      </c>
    </row>
    <row r="3286" spans="5:22" x14ac:dyDescent="0.25">
      <c r="E3286" s="4"/>
      <c r="M3286" s="4">
        <f t="shared" si="827"/>
        <v>173.1</v>
      </c>
      <c r="N3286" s="4"/>
      <c r="O3286" s="1">
        <f t="shared" si="828"/>
        <v>173.1</v>
      </c>
      <c r="P3286" s="1">
        <f t="shared" si="829"/>
        <v>0</v>
      </c>
      <c r="Q3286" s="1" t="str">
        <f t="shared" si="826"/>
        <v/>
      </c>
      <c r="R3286" s="1" t="str">
        <f t="shared" si="830"/>
        <v/>
      </c>
      <c r="S3286" s="1">
        <f t="shared" si="831"/>
        <v>630.90240000000244</v>
      </c>
      <c r="T3286" s="1">
        <f t="shared" si="832"/>
        <v>0</v>
      </c>
      <c r="U3286" s="1">
        <f t="shared" si="833"/>
        <v>0</v>
      </c>
      <c r="V3286" s="1">
        <f t="shared" si="834"/>
        <v>0</v>
      </c>
    </row>
    <row r="3287" spans="5:22" x14ac:dyDescent="0.25">
      <c r="E3287" s="4"/>
      <c r="M3287" s="4">
        <f t="shared" si="827"/>
        <v>173.1</v>
      </c>
      <c r="N3287" s="4"/>
      <c r="O3287" s="1">
        <f t="shared" si="828"/>
        <v>173.1</v>
      </c>
      <c r="P3287" s="1">
        <f t="shared" si="829"/>
        <v>0</v>
      </c>
      <c r="Q3287" s="1" t="str">
        <f t="shared" si="826"/>
        <v/>
      </c>
      <c r="R3287" s="1" t="str">
        <f t="shared" si="830"/>
        <v/>
      </c>
      <c r="S3287" s="1">
        <f t="shared" si="831"/>
        <v>630.90240000000244</v>
      </c>
      <c r="T3287" s="1">
        <f t="shared" si="832"/>
        <v>0</v>
      </c>
      <c r="U3287" s="1">
        <f t="shared" si="833"/>
        <v>0</v>
      </c>
      <c r="V3287" s="1">
        <f t="shared" si="834"/>
        <v>0</v>
      </c>
    </row>
    <row r="3288" spans="5:22" x14ac:dyDescent="0.25">
      <c r="E3288" s="4"/>
      <c r="M3288" s="4">
        <f t="shared" si="827"/>
        <v>173.1</v>
      </c>
      <c r="N3288" s="4"/>
      <c r="O3288" s="1">
        <f t="shared" si="828"/>
        <v>173.1</v>
      </c>
      <c r="P3288" s="1">
        <f t="shared" si="829"/>
        <v>0</v>
      </c>
      <c r="Q3288" s="1" t="str">
        <f t="shared" si="826"/>
        <v/>
      </c>
      <c r="R3288" s="1" t="str">
        <f t="shared" si="830"/>
        <v/>
      </c>
      <c r="S3288" s="1">
        <f t="shared" si="831"/>
        <v>630.90240000000244</v>
      </c>
      <c r="T3288" s="1">
        <f t="shared" si="832"/>
        <v>0</v>
      </c>
      <c r="U3288" s="1">
        <f t="shared" si="833"/>
        <v>0</v>
      </c>
      <c r="V3288" s="1">
        <f t="shared" si="834"/>
        <v>0</v>
      </c>
    </row>
    <row r="3289" spans="5:22" x14ac:dyDescent="0.25">
      <c r="E3289" s="4"/>
      <c r="M3289" s="4">
        <f t="shared" si="827"/>
        <v>173.1</v>
      </c>
      <c r="N3289" s="4"/>
      <c r="O3289" s="1">
        <f t="shared" si="828"/>
        <v>173.1</v>
      </c>
      <c r="P3289" s="1">
        <f t="shared" si="829"/>
        <v>0</v>
      </c>
      <c r="Q3289" s="1" t="str">
        <f t="shared" si="826"/>
        <v/>
      </c>
      <c r="R3289" s="1" t="str">
        <f t="shared" si="830"/>
        <v/>
      </c>
      <c r="S3289" s="1">
        <f t="shared" si="831"/>
        <v>630.90240000000244</v>
      </c>
      <c r="T3289" s="1">
        <f t="shared" si="832"/>
        <v>0</v>
      </c>
      <c r="U3289" s="1">
        <f t="shared" si="833"/>
        <v>0</v>
      </c>
      <c r="V3289" s="1">
        <f t="shared" si="834"/>
        <v>0</v>
      </c>
    </row>
    <row r="3290" spans="5:22" x14ac:dyDescent="0.25">
      <c r="E3290" s="4"/>
      <c r="M3290" s="4">
        <f t="shared" si="827"/>
        <v>173.1</v>
      </c>
      <c r="N3290" s="4"/>
      <c r="O3290" s="1">
        <f t="shared" si="828"/>
        <v>173.1</v>
      </c>
      <c r="P3290" s="1">
        <f t="shared" si="829"/>
        <v>0</v>
      </c>
      <c r="Q3290" s="1" t="str">
        <f t="shared" si="826"/>
        <v/>
      </c>
      <c r="R3290" s="1" t="str">
        <f t="shared" si="830"/>
        <v/>
      </c>
      <c r="S3290" s="1">
        <f t="shared" si="831"/>
        <v>630.90240000000244</v>
      </c>
      <c r="T3290" s="1">
        <f t="shared" si="832"/>
        <v>0</v>
      </c>
      <c r="U3290" s="1">
        <f t="shared" si="833"/>
        <v>0</v>
      </c>
      <c r="V3290" s="1">
        <f t="shared" si="834"/>
        <v>0</v>
      </c>
    </row>
    <row r="3291" spans="5:22" x14ac:dyDescent="0.25">
      <c r="E3291" s="4"/>
      <c r="M3291" s="4">
        <f t="shared" si="827"/>
        <v>173.1</v>
      </c>
      <c r="N3291" s="4"/>
      <c r="O3291" s="1">
        <f t="shared" si="828"/>
        <v>173.1</v>
      </c>
      <c r="P3291" s="1">
        <f t="shared" si="829"/>
        <v>0</v>
      </c>
      <c r="Q3291" s="1" t="str">
        <f t="shared" si="826"/>
        <v/>
      </c>
      <c r="R3291" s="1" t="str">
        <f t="shared" si="830"/>
        <v/>
      </c>
      <c r="S3291" s="1">
        <f t="shared" si="831"/>
        <v>630.90240000000244</v>
      </c>
      <c r="T3291" s="1">
        <f t="shared" si="832"/>
        <v>0</v>
      </c>
      <c r="U3291" s="1">
        <f t="shared" si="833"/>
        <v>0</v>
      </c>
      <c r="V3291" s="1">
        <f t="shared" si="834"/>
        <v>0</v>
      </c>
    </row>
    <row r="3292" spans="5:22" x14ac:dyDescent="0.25">
      <c r="E3292" s="4"/>
      <c r="M3292" s="4">
        <f t="shared" si="827"/>
        <v>173.1</v>
      </c>
      <c r="N3292" s="4"/>
      <c r="O3292" s="1">
        <f t="shared" si="828"/>
        <v>173.1</v>
      </c>
      <c r="P3292" s="1">
        <f t="shared" si="829"/>
        <v>0</v>
      </c>
      <c r="Q3292" s="1" t="str">
        <f t="shared" si="826"/>
        <v/>
      </c>
      <c r="R3292" s="1" t="str">
        <f t="shared" si="830"/>
        <v/>
      </c>
      <c r="S3292" s="1">
        <f t="shared" si="831"/>
        <v>630.90240000000244</v>
      </c>
      <c r="T3292" s="1">
        <f t="shared" si="832"/>
        <v>0</v>
      </c>
      <c r="U3292" s="1">
        <f t="shared" si="833"/>
        <v>0</v>
      </c>
      <c r="V3292" s="1">
        <f t="shared" si="834"/>
        <v>0</v>
      </c>
    </row>
    <row r="3293" spans="5:22" x14ac:dyDescent="0.25">
      <c r="E3293" s="4"/>
      <c r="M3293" s="4">
        <f t="shared" si="827"/>
        <v>173.1</v>
      </c>
      <c r="N3293" s="4"/>
      <c r="O3293" s="1">
        <f t="shared" si="828"/>
        <v>173.1</v>
      </c>
      <c r="P3293" s="1">
        <f t="shared" si="829"/>
        <v>0</v>
      </c>
      <c r="Q3293" s="1" t="str">
        <f t="shared" si="826"/>
        <v/>
      </c>
      <c r="R3293" s="1" t="str">
        <f t="shared" si="830"/>
        <v/>
      </c>
      <c r="S3293" s="1">
        <f t="shared" si="831"/>
        <v>630.90240000000244</v>
      </c>
      <c r="T3293" s="1">
        <f t="shared" si="832"/>
        <v>0</v>
      </c>
      <c r="U3293" s="1">
        <f t="shared" si="833"/>
        <v>0</v>
      </c>
      <c r="V3293" s="1">
        <f t="shared" si="834"/>
        <v>0</v>
      </c>
    </row>
    <row r="3294" spans="5:22" x14ac:dyDescent="0.25">
      <c r="E3294" s="4"/>
      <c r="M3294" s="4">
        <f t="shared" si="827"/>
        <v>173.1</v>
      </c>
      <c r="N3294" s="4"/>
      <c r="O3294" s="1">
        <f t="shared" si="828"/>
        <v>173.1</v>
      </c>
      <c r="P3294" s="1">
        <f t="shared" si="829"/>
        <v>0</v>
      </c>
      <c r="Q3294" s="1" t="str">
        <f t="shared" si="826"/>
        <v/>
      </c>
      <c r="R3294" s="1" t="str">
        <f t="shared" si="830"/>
        <v/>
      </c>
      <c r="S3294" s="1">
        <f t="shared" si="831"/>
        <v>630.90240000000244</v>
      </c>
      <c r="T3294" s="1">
        <f t="shared" si="832"/>
        <v>0</v>
      </c>
      <c r="U3294" s="1">
        <f t="shared" si="833"/>
        <v>0</v>
      </c>
      <c r="V3294" s="1">
        <f t="shared" si="834"/>
        <v>0</v>
      </c>
    </row>
    <row r="3295" spans="5:22" x14ac:dyDescent="0.25">
      <c r="E3295" s="4"/>
      <c r="M3295" s="4">
        <f t="shared" si="827"/>
        <v>173.1</v>
      </c>
      <c r="N3295" s="4"/>
      <c r="O3295" s="1">
        <f t="shared" si="828"/>
        <v>173.1</v>
      </c>
      <c r="P3295" s="1">
        <f t="shared" si="829"/>
        <v>0</v>
      </c>
      <c r="Q3295" s="1" t="str">
        <f t="shared" si="826"/>
        <v/>
      </c>
      <c r="R3295" s="1" t="str">
        <f t="shared" si="830"/>
        <v/>
      </c>
      <c r="S3295" s="1">
        <f t="shared" si="831"/>
        <v>630.90240000000244</v>
      </c>
      <c r="T3295" s="1">
        <f t="shared" si="832"/>
        <v>0</v>
      </c>
      <c r="U3295" s="1">
        <f t="shared" si="833"/>
        <v>0</v>
      </c>
      <c r="V3295" s="1">
        <f t="shared" si="834"/>
        <v>0</v>
      </c>
    </row>
    <row r="3296" spans="5:22" x14ac:dyDescent="0.25">
      <c r="E3296" s="4"/>
      <c r="M3296" s="4">
        <f t="shared" si="827"/>
        <v>173.1</v>
      </c>
      <c r="N3296" s="4"/>
      <c r="O3296" s="1">
        <f t="shared" si="828"/>
        <v>173.1</v>
      </c>
      <c r="P3296" s="1">
        <f t="shared" si="829"/>
        <v>0</v>
      </c>
      <c r="Q3296" s="1" t="str">
        <f t="shared" si="826"/>
        <v/>
      </c>
      <c r="R3296" s="1" t="str">
        <f t="shared" si="830"/>
        <v/>
      </c>
      <c r="S3296" s="1">
        <f t="shared" si="831"/>
        <v>630.90240000000244</v>
      </c>
      <c r="T3296" s="1">
        <f t="shared" si="832"/>
        <v>0</v>
      </c>
      <c r="U3296" s="1">
        <f t="shared" si="833"/>
        <v>0</v>
      </c>
      <c r="V3296" s="1">
        <f t="shared" si="834"/>
        <v>0</v>
      </c>
    </row>
    <row r="3297" spans="5:22" x14ac:dyDescent="0.25">
      <c r="E3297" s="4"/>
      <c r="M3297" s="4">
        <f t="shared" si="827"/>
        <v>173.1</v>
      </c>
      <c r="N3297" s="4"/>
      <c r="O3297" s="1">
        <f t="shared" si="828"/>
        <v>173.1</v>
      </c>
      <c r="P3297" s="1">
        <f t="shared" si="829"/>
        <v>0</v>
      </c>
      <c r="Q3297" s="1" t="str">
        <f t="shared" si="826"/>
        <v/>
      </c>
      <c r="R3297" s="1" t="str">
        <f t="shared" si="830"/>
        <v/>
      </c>
      <c r="S3297" s="1">
        <f t="shared" si="831"/>
        <v>630.90240000000244</v>
      </c>
      <c r="T3297" s="1">
        <f t="shared" si="832"/>
        <v>0</v>
      </c>
      <c r="U3297" s="1">
        <f t="shared" si="833"/>
        <v>0</v>
      </c>
      <c r="V3297" s="1">
        <f t="shared" si="834"/>
        <v>0</v>
      </c>
    </row>
    <row r="3298" spans="5:22" x14ac:dyDescent="0.25">
      <c r="E3298" s="4"/>
      <c r="M3298" s="4">
        <f t="shared" si="827"/>
        <v>173.1</v>
      </c>
      <c r="N3298" s="4"/>
      <c r="O3298" s="1">
        <f t="shared" si="828"/>
        <v>173.1</v>
      </c>
      <c r="P3298" s="1">
        <f t="shared" si="829"/>
        <v>0</v>
      </c>
      <c r="Q3298" s="1" t="str">
        <f t="shared" si="826"/>
        <v/>
      </c>
      <c r="R3298" s="1" t="str">
        <f t="shared" si="830"/>
        <v/>
      </c>
      <c r="S3298" s="1">
        <f t="shared" si="831"/>
        <v>630.90240000000244</v>
      </c>
      <c r="T3298" s="1">
        <f t="shared" si="832"/>
        <v>0</v>
      </c>
      <c r="U3298" s="1">
        <f t="shared" si="833"/>
        <v>0</v>
      </c>
      <c r="V3298" s="1">
        <f t="shared" si="834"/>
        <v>0</v>
      </c>
    </row>
    <row r="3299" spans="5:22" x14ac:dyDescent="0.25">
      <c r="E3299" s="4"/>
      <c r="M3299" s="4">
        <f t="shared" si="827"/>
        <v>173.1</v>
      </c>
      <c r="N3299" s="4"/>
      <c r="O3299" s="1">
        <f t="shared" si="828"/>
        <v>173.1</v>
      </c>
      <c r="P3299" s="1">
        <f t="shared" si="829"/>
        <v>0</v>
      </c>
      <c r="Q3299" s="1" t="str">
        <f t="shared" si="826"/>
        <v/>
      </c>
      <c r="R3299" s="1" t="str">
        <f t="shared" si="830"/>
        <v/>
      </c>
      <c r="S3299" s="1">
        <f t="shared" si="831"/>
        <v>630.90240000000244</v>
      </c>
      <c r="T3299" s="1">
        <f t="shared" si="832"/>
        <v>0</v>
      </c>
      <c r="U3299" s="1">
        <f t="shared" si="833"/>
        <v>0</v>
      </c>
      <c r="V3299" s="1">
        <f t="shared" si="834"/>
        <v>0</v>
      </c>
    </row>
    <row r="3300" spans="5:22" x14ac:dyDescent="0.25">
      <c r="E3300" s="4"/>
      <c r="M3300" s="4">
        <f t="shared" si="827"/>
        <v>173.1</v>
      </c>
      <c r="N3300" s="4"/>
      <c r="O3300" s="1">
        <f t="shared" si="828"/>
        <v>173.1</v>
      </c>
      <c r="P3300" s="1">
        <f t="shared" si="829"/>
        <v>0</v>
      </c>
      <c r="Q3300" s="1" t="str">
        <f t="shared" si="826"/>
        <v/>
      </c>
      <c r="R3300" s="1" t="str">
        <f t="shared" si="830"/>
        <v/>
      </c>
      <c r="S3300" s="1">
        <f t="shared" si="831"/>
        <v>630.90240000000244</v>
      </c>
      <c r="T3300" s="1">
        <f t="shared" si="832"/>
        <v>0</v>
      </c>
      <c r="U3300" s="1">
        <f t="shared" si="833"/>
        <v>0</v>
      </c>
      <c r="V3300" s="1">
        <f t="shared" si="834"/>
        <v>0</v>
      </c>
    </row>
    <row r="3301" spans="5:22" x14ac:dyDescent="0.25">
      <c r="E3301" s="4"/>
      <c r="M3301" s="4">
        <f t="shared" si="827"/>
        <v>173.1</v>
      </c>
      <c r="N3301" s="4"/>
      <c r="O3301" s="1">
        <f t="shared" si="828"/>
        <v>173.1</v>
      </c>
      <c r="P3301" s="1">
        <f t="shared" si="829"/>
        <v>0</v>
      </c>
      <c r="Q3301" s="1" t="str">
        <f t="shared" si="826"/>
        <v/>
      </c>
      <c r="R3301" s="1" t="str">
        <f t="shared" si="830"/>
        <v/>
      </c>
      <c r="S3301" s="1">
        <f t="shared" si="831"/>
        <v>630.90240000000244</v>
      </c>
      <c r="T3301" s="1">
        <f t="shared" si="832"/>
        <v>0</v>
      </c>
      <c r="U3301" s="1">
        <f t="shared" si="833"/>
        <v>0</v>
      </c>
      <c r="V3301" s="1">
        <f t="shared" si="834"/>
        <v>0</v>
      </c>
    </row>
    <row r="3302" spans="5:22" x14ac:dyDescent="0.25">
      <c r="E3302" s="4"/>
      <c r="M3302" s="4">
        <f t="shared" si="827"/>
        <v>173.1</v>
      </c>
      <c r="N3302" s="4"/>
      <c r="O3302" s="1">
        <f t="shared" si="828"/>
        <v>173.1</v>
      </c>
      <c r="P3302" s="1">
        <f t="shared" si="829"/>
        <v>0</v>
      </c>
      <c r="Q3302" s="1" t="str">
        <f t="shared" si="826"/>
        <v/>
      </c>
      <c r="R3302" s="1" t="str">
        <f t="shared" si="830"/>
        <v/>
      </c>
      <c r="S3302" s="1">
        <f t="shared" si="831"/>
        <v>630.90240000000244</v>
      </c>
      <c r="T3302" s="1">
        <f t="shared" si="832"/>
        <v>0</v>
      </c>
      <c r="U3302" s="1">
        <f t="shared" si="833"/>
        <v>0</v>
      </c>
      <c r="V3302" s="1">
        <f t="shared" si="834"/>
        <v>0</v>
      </c>
    </row>
    <row r="3303" spans="5:22" x14ac:dyDescent="0.25">
      <c r="E3303" s="4"/>
      <c r="M3303" s="4">
        <f t="shared" si="827"/>
        <v>173.1</v>
      </c>
      <c r="N3303" s="4"/>
      <c r="O3303" s="1">
        <f t="shared" si="828"/>
        <v>173.1</v>
      </c>
      <c r="P3303" s="1">
        <f t="shared" si="829"/>
        <v>0</v>
      </c>
      <c r="Q3303" s="1" t="str">
        <f t="shared" si="826"/>
        <v/>
      </c>
      <c r="R3303" s="1" t="str">
        <f t="shared" si="830"/>
        <v/>
      </c>
      <c r="S3303" s="1">
        <f t="shared" si="831"/>
        <v>630.90240000000244</v>
      </c>
      <c r="T3303" s="1">
        <f t="shared" si="832"/>
        <v>0</v>
      </c>
      <c r="U3303" s="1">
        <f t="shared" si="833"/>
        <v>0</v>
      </c>
      <c r="V3303" s="1">
        <f t="shared" si="834"/>
        <v>0</v>
      </c>
    </row>
    <row r="3304" spans="5:22" x14ac:dyDescent="0.25">
      <c r="E3304" s="4"/>
      <c r="M3304" s="4">
        <f t="shared" si="827"/>
        <v>173.1</v>
      </c>
      <c r="N3304" s="4"/>
      <c r="O3304" s="1">
        <f t="shared" si="828"/>
        <v>173.1</v>
      </c>
      <c r="P3304" s="1">
        <f t="shared" si="829"/>
        <v>0</v>
      </c>
      <c r="Q3304" s="1" t="str">
        <f t="shared" si="826"/>
        <v/>
      </c>
      <c r="R3304" s="1" t="str">
        <f t="shared" si="830"/>
        <v/>
      </c>
      <c r="S3304" s="1">
        <f t="shared" si="831"/>
        <v>630.90240000000244</v>
      </c>
      <c r="T3304" s="1">
        <f t="shared" si="832"/>
        <v>0</v>
      </c>
      <c r="U3304" s="1">
        <f t="shared" si="833"/>
        <v>0</v>
      </c>
      <c r="V3304" s="1">
        <f t="shared" si="834"/>
        <v>0</v>
      </c>
    </row>
    <row r="3305" spans="5:22" x14ac:dyDescent="0.25">
      <c r="E3305" s="4"/>
      <c r="M3305" s="4">
        <f t="shared" si="827"/>
        <v>173.1</v>
      </c>
      <c r="N3305" s="4"/>
      <c r="O3305" s="1">
        <f t="shared" si="828"/>
        <v>173.1</v>
      </c>
      <c r="P3305" s="1">
        <f t="shared" si="829"/>
        <v>0</v>
      </c>
      <c r="Q3305" s="1" t="str">
        <f t="shared" si="826"/>
        <v/>
      </c>
      <c r="R3305" s="1" t="str">
        <f t="shared" si="830"/>
        <v/>
      </c>
      <c r="S3305" s="1">
        <f t="shared" si="831"/>
        <v>630.90240000000244</v>
      </c>
      <c r="T3305" s="1">
        <f t="shared" si="832"/>
        <v>0</v>
      </c>
      <c r="U3305" s="1">
        <f t="shared" si="833"/>
        <v>0</v>
      </c>
      <c r="V3305" s="1">
        <f t="shared" si="834"/>
        <v>0</v>
      </c>
    </row>
    <row r="3306" spans="5:22" x14ac:dyDescent="0.25">
      <c r="E3306" s="4"/>
      <c r="M3306" s="4">
        <f t="shared" si="827"/>
        <v>173.1</v>
      </c>
      <c r="N3306" s="4"/>
      <c r="O3306" s="1">
        <f t="shared" si="828"/>
        <v>173.1</v>
      </c>
      <c r="P3306" s="1">
        <f t="shared" si="829"/>
        <v>0</v>
      </c>
      <c r="Q3306" s="1" t="str">
        <f t="shared" si="826"/>
        <v/>
      </c>
      <c r="R3306" s="1" t="str">
        <f t="shared" si="830"/>
        <v/>
      </c>
      <c r="S3306" s="1">
        <f t="shared" si="831"/>
        <v>630.90240000000244</v>
      </c>
      <c r="T3306" s="1">
        <f t="shared" si="832"/>
        <v>0</v>
      </c>
      <c r="U3306" s="1">
        <f t="shared" si="833"/>
        <v>0</v>
      </c>
      <c r="V3306" s="1">
        <f t="shared" si="834"/>
        <v>0</v>
      </c>
    </row>
    <row r="3307" spans="5:22" x14ac:dyDescent="0.25">
      <c r="E3307" s="4"/>
      <c r="M3307" s="4">
        <f t="shared" si="827"/>
        <v>173.1</v>
      </c>
      <c r="N3307" s="4"/>
      <c r="O3307" s="1">
        <f t="shared" si="828"/>
        <v>173.1</v>
      </c>
      <c r="P3307" s="1">
        <f t="shared" si="829"/>
        <v>0</v>
      </c>
      <c r="Q3307" s="1" t="str">
        <f t="shared" si="826"/>
        <v/>
      </c>
      <c r="R3307" s="1" t="str">
        <f t="shared" si="830"/>
        <v/>
      </c>
      <c r="S3307" s="1">
        <f t="shared" si="831"/>
        <v>630.90240000000244</v>
      </c>
      <c r="T3307" s="1">
        <f t="shared" si="832"/>
        <v>0</v>
      </c>
      <c r="U3307" s="1">
        <f t="shared" si="833"/>
        <v>0</v>
      </c>
      <c r="V3307" s="1">
        <f t="shared" si="834"/>
        <v>0</v>
      </c>
    </row>
    <row r="3308" spans="5:22" x14ac:dyDescent="0.25">
      <c r="E3308" s="4"/>
      <c r="M3308" s="4">
        <f t="shared" si="827"/>
        <v>173.1</v>
      </c>
      <c r="N3308" s="4"/>
      <c r="O3308" s="1">
        <f t="shared" si="828"/>
        <v>173.1</v>
      </c>
      <c r="P3308" s="1">
        <f t="shared" si="829"/>
        <v>0</v>
      </c>
      <c r="Q3308" s="1" t="str">
        <f t="shared" si="826"/>
        <v/>
      </c>
      <c r="R3308" s="1" t="str">
        <f t="shared" si="830"/>
        <v/>
      </c>
      <c r="S3308" s="1">
        <f t="shared" si="831"/>
        <v>630.90240000000244</v>
      </c>
      <c r="T3308" s="1">
        <f t="shared" si="832"/>
        <v>0</v>
      </c>
      <c r="U3308" s="1">
        <f t="shared" si="833"/>
        <v>0</v>
      </c>
      <c r="V3308" s="1">
        <f t="shared" si="834"/>
        <v>0</v>
      </c>
    </row>
    <row r="3309" spans="5:22" x14ac:dyDescent="0.25">
      <c r="E3309" s="4"/>
      <c r="M3309" s="4">
        <f t="shared" si="827"/>
        <v>173.1</v>
      </c>
      <c r="N3309" s="4"/>
      <c r="O3309" s="1">
        <f t="shared" si="828"/>
        <v>173.1</v>
      </c>
      <c r="P3309" s="1">
        <f t="shared" si="829"/>
        <v>0</v>
      </c>
      <c r="Q3309" s="1" t="str">
        <f t="shared" si="826"/>
        <v/>
      </c>
      <c r="R3309" s="1" t="str">
        <f t="shared" si="830"/>
        <v/>
      </c>
      <c r="S3309" s="1">
        <f t="shared" si="831"/>
        <v>630.90240000000244</v>
      </c>
      <c r="T3309" s="1">
        <f t="shared" si="832"/>
        <v>0</v>
      </c>
      <c r="U3309" s="1">
        <f t="shared" si="833"/>
        <v>0</v>
      </c>
      <c r="V3309" s="1">
        <f t="shared" si="834"/>
        <v>0</v>
      </c>
    </row>
    <row r="3310" spans="5:22" x14ac:dyDescent="0.25">
      <c r="E3310" s="4"/>
      <c r="M3310" s="4">
        <f t="shared" si="827"/>
        <v>173.1</v>
      </c>
      <c r="N3310" s="4"/>
      <c r="O3310" s="1">
        <f t="shared" si="828"/>
        <v>173.1</v>
      </c>
      <c r="P3310" s="1">
        <f t="shared" si="829"/>
        <v>0</v>
      </c>
      <c r="Q3310" s="1" t="str">
        <f t="shared" si="826"/>
        <v/>
      </c>
      <c r="R3310" s="1" t="str">
        <f t="shared" si="830"/>
        <v/>
      </c>
      <c r="S3310" s="1">
        <f t="shared" si="831"/>
        <v>630.90240000000244</v>
      </c>
      <c r="T3310" s="1">
        <f t="shared" si="832"/>
        <v>0</v>
      </c>
      <c r="U3310" s="1">
        <f t="shared" si="833"/>
        <v>0</v>
      </c>
      <c r="V3310" s="1">
        <f t="shared" si="834"/>
        <v>0</v>
      </c>
    </row>
    <row r="3311" spans="5:22" x14ac:dyDescent="0.25">
      <c r="E3311" s="4"/>
      <c r="M3311" s="4">
        <f t="shared" si="827"/>
        <v>173.1</v>
      </c>
      <c r="N3311" s="4"/>
      <c r="O3311" s="1">
        <f t="shared" si="828"/>
        <v>173.1</v>
      </c>
      <c r="P3311" s="1">
        <f t="shared" si="829"/>
        <v>0</v>
      </c>
      <c r="Q3311" s="1" t="str">
        <f t="shared" si="826"/>
        <v/>
      </c>
      <c r="R3311" s="1" t="str">
        <f t="shared" si="830"/>
        <v/>
      </c>
      <c r="S3311" s="1">
        <f t="shared" si="831"/>
        <v>630.90240000000244</v>
      </c>
      <c r="T3311" s="1">
        <f t="shared" si="832"/>
        <v>0</v>
      </c>
      <c r="U3311" s="1">
        <f t="shared" si="833"/>
        <v>0</v>
      </c>
      <c r="V3311" s="1">
        <f t="shared" si="834"/>
        <v>0</v>
      </c>
    </row>
    <row r="3312" spans="5:22" x14ac:dyDescent="0.25">
      <c r="E3312" s="4"/>
      <c r="M3312" s="4">
        <f t="shared" si="827"/>
        <v>173.1</v>
      </c>
      <c r="N3312" s="4"/>
      <c r="O3312" s="1">
        <f t="shared" si="828"/>
        <v>173.1</v>
      </c>
      <c r="P3312" s="1">
        <f t="shared" si="829"/>
        <v>0</v>
      </c>
      <c r="Q3312" s="1" t="str">
        <f t="shared" si="826"/>
        <v/>
      </c>
      <c r="R3312" s="1" t="str">
        <f t="shared" si="830"/>
        <v/>
      </c>
      <c r="S3312" s="1">
        <f t="shared" si="831"/>
        <v>630.90240000000244</v>
      </c>
      <c r="T3312" s="1">
        <f t="shared" si="832"/>
        <v>0</v>
      </c>
      <c r="U3312" s="1">
        <f t="shared" si="833"/>
        <v>0</v>
      </c>
      <c r="V3312" s="1">
        <f t="shared" si="834"/>
        <v>0</v>
      </c>
    </row>
    <row r="3313" spans="5:22" x14ac:dyDescent="0.25">
      <c r="E3313" s="4"/>
      <c r="M3313" s="4">
        <f t="shared" si="827"/>
        <v>173.1</v>
      </c>
      <c r="N3313" s="4"/>
      <c r="O3313" s="1">
        <f t="shared" si="828"/>
        <v>173.1</v>
      </c>
      <c r="P3313" s="1">
        <f t="shared" si="829"/>
        <v>0</v>
      </c>
      <c r="Q3313" s="1" t="str">
        <f t="shared" si="826"/>
        <v/>
      </c>
      <c r="R3313" s="1" t="str">
        <f t="shared" si="830"/>
        <v/>
      </c>
      <c r="S3313" s="1">
        <f t="shared" si="831"/>
        <v>630.90240000000244</v>
      </c>
      <c r="T3313" s="1">
        <f t="shared" si="832"/>
        <v>0</v>
      </c>
      <c r="U3313" s="1">
        <f t="shared" si="833"/>
        <v>0</v>
      </c>
      <c r="V3313" s="1">
        <f t="shared" si="834"/>
        <v>0</v>
      </c>
    </row>
    <row r="3314" spans="5:22" x14ac:dyDescent="0.25">
      <c r="E3314" s="4"/>
      <c r="M3314" s="4">
        <f t="shared" si="827"/>
        <v>173.1</v>
      </c>
      <c r="N3314" s="4"/>
      <c r="O3314" s="1">
        <f t="shared" si="828"/>
        <v>173.1</v>
      </c>
      <c r="P3314" s="1">
        <f t="shared" si="829"/>
        <v>0</v>
      </c>
      <c r="Q3314" s="1" t="str">
        <f t="shared" ref="Q3314:Q3377" si="835">IF(H3314&lt;&gt;"",IF(H3314=H3313,"",H3314),IF(H3312="","",MAX(H3313,Q3313)))</f>
        <v/>
      </c>
      <c r="R3314" s="1" t="str">
        <f t="shared" si="830"/>
        <v/>
      </c>
      <c r="S3314" s="1">
        <f t="shared" si="831"/>
        <v>630.90240000000244</v>
      </c>
      <c r="T3314" s="1">
        <f t="shared" si="832"/>
        <v>0</v>
      </c>
      <c r="U3314" s="1">
        <f t="shared" si="833"/>
        <v>0</v>
      </c>
      <c r="V3314" s="1">
        <f t="shared" si="834"/>
        <v>0</v>
      </c>
    </row>
    <row r="3315" spans="5:22" x14ac:dyDescent="0.25">
      <c r="E3315" s="4"/>
      <c r="M3315" s="4">
        <f t="shared" si="827"/>
        <v>173.1</v>
      </c>
      <c r="N3315" s="4"/>
      <c r="O3315" s="1">
        <f t="shared" si="828"/>
        <v>173.1</v>
      </c>
      <c r="P3315" s="1">
        <f t="shared" si="829"/>
        <v>0</v>
      </c>
      <c r="Q3315" s="1" t="str">
        <f t="shared" si="835"/>
        <v/>
      </c>
      <c r="R3315" s="1" t="str">
        <f t="shared" si="830"/>
        <v/>
      </c>
      <c r="S3315" s="1">
        <f t="shared" si="831"/>
        <v>630.90240000000244</v>
      </c>
      <c r="T3315" s="1">
        <f t="shared" si="832"/>
        <v>0</v>
      </c>
      <c r="U3315" s="1">
        <f t="shared" si="833"/>
        <v>0</v>
      </c>
      <c r="V3315" s="1">
        <f t="shared" si="834"/>
        <v>0</v>
      </c>
    </row>
    <row r="3316" spans="5:22" x14ac:dyDescent="0.25">
      <c r="E3316" s="4"/>
      <c r="M3316" s="4">
        <f t="shared" si="827"/>
        <v>173.1</v>
      </c>
      <c r="N3316" s="4"/>
      <c r="O3316" s="1">
        <f t="shared" si="828"/>
        <v>173.1</v>
      </c>
      <c r="P3316" s="1">
        <f t="shared" si="829"/>
        <v>0</v>
      </c>
      <c r="Q3316" s="1" t="str">
        <f t="shared" si="835"/>
        <v/>
      </c>
      <c r="R3316" s="1" t="str">
        <f t="shared" si="830"/>
        <v/>
      </c>
      <c r="S3316" s="1">
        <f t="shared" si="831"/>
        <v>630.90240000000244</v>
      </c>
      <c r="T3316" s="1">
        <f t="shared" si="832"/>
        <v>0</v>
      </c>
      <c r="U3316" s="1">
        <f t="shared" si="833"/>
        <v>0</v>
      </c>
      <c r="V3316" s="1">
        <f t="shared" si="834"/>
        <v>0</v>
      </c>
    </row>
    <row r="3317" spans="5:22" x14ac:dyDescent="0.25">
      <c r="E3317" s="4"/>
      <c r="M3317" s="4">
        <f t="shared" si="827"/>
        <v>173.1</v>
      </c>
      <c r="N3317" s="4"/>
      <c r="O3317" s="1">
        <f t="shared" si="828"/>
        <v>173.1</v>
      </c>
      <c r="P3317" s="1">
        <f t="shared" si="829"/>
        <v>0</v>
      </c>
      <c r="Q3317" s="1" t="str">
        <f t="shared" si="835"/>
        <v/>
      </c>
      <c r="R3317" s="1" t="str">
        <f t="shared" si="830"/>
        <v/>
      </c>
      <c r="S3317" s="1">
        <f t="shared" si="831"/>
        <v>630.90240000000244</v>
      </c>
      <c r="T3317" s="1">
        <f t="shared" si="832"/>
        <v>0</v>
      </c>
      <c r="U3317" s="1">
        <f t="shared" si="833"/>
        <v>0</v>
      </c>
      <c r="V3317" s="1">
        <f t="shared" si="834"/>
        <v>0</v>
      </c>
    </row>
    <row r="3318" spans="5:22" x14ac:dyDescent="0.25">
      <c r="E3318" s="4"/>
      <c r="M3318" s="4">
        <f t="shared" si="827"/>
        <v>173.1</v>
      </c>
      <c r="N3318" s="4"/>
      <c r="O3318" s="1">
        <f t="shared" si="828"/>
        <v>173.1</v>
      </c>
      <c r="P3318" s="1">
        <f t="shared" si="829"/>
        <v>0</v>
      </c>
      <c r="Q3318" s="1" t="str">
        <f t="shared" si="835"/>
        <v/>
      </c>
      <c r="R3318" s="1" t="str">
        <f t="shared" si="830"/>
        <v/>
      </c>
      <c r="S3318" s="1">
        <f t="shared" si="831"/>
        <v>630.90240000000244</v>
      </c>
      <c r="T3318" s="1">
        <f t="shared" si="832"/>
        <v>0</v>
      </c>
      <c r="U3318" s="1">
        <f t="shared" si="833"/>
        <v>0</v>
      </c>
      <c r="V3318" s="1">
        <f t="shared" si="834"/>
        <v>0</v>
      </c>
    </row>
    <row r="3319" spans="5:22" x14ac:dyDescent="0.25">
      <c r="E3319" s="4"/>
      <c r="M3319" s="4">
        <f t="shared" si="827"/>
        <v>173.1</v>
      </c>
      <c r="N3319" s="4"/>
      <c r="O3319" s="1">
        <f t="shared" si="828"/>
        <v>173.1</v>
      </c>
      <c r="P3319" s="1">
        <f t="shared" si="829"/>
        <v>0</v>
      </c>
      <c r="Q3319" s="1" t="str">
        <f t="shared" si="835"/>
        <v/>
      </c>
      <c r="R3319" s="1" t="str">
        <f t="shared" si="830"/>
        <v/>
      </c>
      <c r="S3319" s="1">
        <f t="shared" si="831"/>
        <v>630.90240000000244</v>
      </c>
      <c r="T3319" s="1">
        <f t="shared" si="832"/>
        <v>0</v>
      </c>
      <c r="U3319" s="1">
        <f t="shared" si="833"/>
        <v>0</v>
      </c>
      <c r="V3319" s="1">
        <f t="shared" si="834"/>
        <v>0</v>
      </c>
    </row>
    <row r="3320" spans="5:22" x14ac:dyDescent="0.25">
      <c r="E3320" s="4"/>
      <c r="M3320" s="4">
        <f t="shared" si="827"/>
        <v>173.1</v>
      </c>
      <c r="N3320" s="4"/>
      <c r="O3320" s="1">
        <f t="shared" si="828"/>
        <v>173.1</v>
      </c>
      <c r="P3320" s="1">
        <f t="shared" si="829"/>
        <v>0</v>
      </c>
      <c r="Q3320" s="1" t="str">
        <f t="shared" si="835"/>
        <v/>
      </c>
      <c r="R3320" s="1" t="str">
        <f t="shared" si="830"/>
        <v/>
      </c>
      <c r="S3320" s="1">
        <f t="shared" si="831"/>
        <v>630.90240000000244</v>
      </c>
      <c r="T3320" s="1">
        <f t="shared" si="832"/>
        <v>0</v>
      </c>
      <c r="U3320" s="1">
        <f t="shared" si="833"/>
        <v>0</v>
      </c>
      <c r="V3320" s="1">
        <f t="shared" si="834"/>
        <v>0</v>
      </c>
    </row>
    <row r="3321" spans="5:22" x14ac:dyDescent="0.25">
      <c r="E3321" s="4"/>
      <c r="M3321" s="4">
        <f t="shared" si="827"/>
        <v>173.1</v>
      </c>
      <c r="N3321" s="4"/>
      <c r="O3321" s="1">
        <f t="shared" si="828"/>
        <v>173.1</v>
      </c>
      <c r="P3321" s="1">
        <f t="shared" si="829"/>
        <v>0</v>
      </c>
      <c r="Q3321" s="1" t="str">
        <f t="shared" si="835"/>
        <v/>
      </c>
      <c r="R3321" s="1" t="str">
        <f t="shared" si="830"/>
        <v/>
      </c>
      <c r="S3321" s="1">
        <f t="shared" si="831"/>
        <v>630.90240000000244</v>
      </c>
      <c r="T3321" s="1">
        <f t="shared" si="832"/>
        <v>0</v>
      </c>
      <c r="U3321" s="1">
        <f t="shared" si="833"/>
        <v>0</v>
      </c>
      <c r="V3321" s="1">
        <f t="shared" si="834"/>
        <v>0</v>
      </c>
    </row>
    <row r="3322" spans="5:22" x14ac:dyDescent="0.25">
      <c r="E3322" s="4"/>
      <c r="M3322" s="4">
        <f t="shared" si="827"/>
        <v>173.1</v>
      </c>
      <c r="N3322" s="4"/>
      <c r="O3322" s="1">
        <f t="shared" si="828"/>
        <v>173.1</v>
      </c>
      <c r="P3322" s="1">
        <f t="shared" si="829"/>
        <v>0</v>
      </c>
      <c r="Q3322" s="1" t="str">
        <f t="shared" si="835"/>
        <v/>
      </c>
      <c r="R3322" s="1" t="str">
        <f t="shared" si="830"/>
        <v/>
      </c>
      <c r="S3322" s="1">
        <f t="shared" si="831"/>
        <v>630.90240000000244</v>
      </c>
      <c r="T3322" s="1">
        <f t="shared" si="832"/>
        <v>0</v>
      </c>
      <c r="U3322" s="1">
        <f t="shared" si="833"/>
        <v>0</v>
      </c>
      <c r="V3322" s="1">
        <f t="shared" si="834"/>
        <v>0</v>
      </c>
    </row>
    <row r="3323" spans="5:22" x14ac:dyDescent="0.25">
      <c r="E3323" s="4"/>
      <c r="M3323" s="4">
        <f t="shared" si="827"/>
        <v>173.1</v>
      </c>
      <c r="N3323" s="4"/>
      <c r="O3323" s="1">
        <f t="shared" si="828"/>
        <v>173.1</v>
      </c>
      <c r="P3323" s="1">
        <f t="shared" si="829"/>
        <v>0</v>
      </c>
      <c r="Q3323" s="1" t="str">
        <f t="shared" si="835"/>
        <v/>
      </c>
      <c r="R3323" s="1" t="str">
        <f t="shared" si="830"/>
        <v/>
      </c>
      <c r="S3323" s="1">
        <f t="shared" si="831"/>
        <v>630.90240000000244</v>
      </c>
      <c r="T3323" s="1">
        <f t="shared" si="832"/>
        <v>0</v>
      </c>
      <c r="U3323" s="1">
        <f t="shared" si="833"/>
        <v>0</v>
      </c>
      <c r="V3323" s="1">
        <f t="shared" si="834"/>
        <v>0</v>
      </c>
    </row>
    <row r="3324" spans="5:22" x14ac:dyDescent="0.25">
      <c r="E3324" s="4"/>
      <c r="M3324" s="4">
        <f t="shared" si="827"/>
        <v>173.1</v>
      </c>
      <c r="N3324" s="4"/>
      <c r="O3324" s="1">
        <f t="shared" si="828"/>
        <v>173.1</v>
      </c>
      <c r="P3324" s="1">
        <f t="shared" si="829"/>
        <v>0</v>
      </c>
      <c r="Q3324" s="1" t="str">
        <f t="shared" si="835"/>
        <v/>
      </c>
      <c r="R3324" s="1" t="str">
        <f t="shared" si="830"/>
        <v/>
      </c>
      <c r="S3324" s="1">
        <f t="shared" si="831"/>
        <v>630.90240000000244</v>
      </c>
      <c r="T3324" s="1">
        <f t="shared" si="832"/>
        <v>0</v>
      </c>
      <c r="U3324" s="1">
        <f t="shared" si="833"/>
        <v>0</v>
      </c>
      <c r="V3324" s="1">
        <f t="shared" si="834"/>
        <v>0</v>
      </c>
    </row>
    <row r="3325" spans="5:22" x14ac:dyDescent="0.25">
      <c r="E3325" s="4"/>
      <c r="M3325" s="4">
        <f t="shared" si="827"/>
        <v>173.1</v>
      </c>
      <c r="N3325" s="4"/>
      <c r="O3325" s="1">
        <f t="shared" si="828"/>
        <v>173.1</v>
      </c>
      <c r="P3325" s="1">
        <f t="shared" si="829"/>
        <v>0</v>
      </c>
      <c r="Q3325" s="1" t="str">
        <f t="shared" si="835"/>
        <v/>
      </c>
      <c r="R3325" s="1" t="str">
        <f t="shared" si="830"/>
        <v/>
      </c>
      <c r="S3325" s="1">
        <f t="shared" si="831"/>
        <v>630.90240000000244</v>
      </c>
      <c r="T3325" s="1">
        <f t="shared" si="832"/>
        <v>0</v>
      </c>
      <c r="U3325" s="1">
        <f t="shared" si="833"/>
        <v>0</v>
      </c>
      <c r="V3325" s="1">
        <f t="shared" si="834"/>
        <v>0</v>
      </c>
    </row>
    <row r="3326" spans="5:22" x14ac:dyDescent="0.25">
      <c r="E3326" s="4"/>
      <c r="M3326" s="4">
        <f t="shared" si="827"/>
        <v>173.1</v>
      </c>
      <c r="N3326" s="4"/>
      <c r="O3326" s="1">
        <f t="shared" si="828"/>
        <v>173.1</v>
      </c>
      <c r="P3326" s="1">
        <f t="shared" si="829"/>
        <v>0</v>
      </c>
      <c r="Q3326" s="1" t="str">
        <f t="shared" si="835"/>
        <v/>
      </c>
      <c r="R3326" s="1" t="str">
        <f t="shared" si="830"/>
        <v/>
      </c>
      <c r="S3326" s="1">
        <f t="shared" si="831"/>
        <v>630.90240000000244</v>
      </c>
      <c r="T3326" s="1">
        <f t="shared" si="832"/>
        <v>0</v>
      </c>
      <c r="U3326" s="1">
        <f t="shared" si="833"/>
        <v>0</v>
      </c>
      <c r="V3326" s="1">
        <f t="shared" si="834"/>
        <v>0</v>
      </c>
    </row>
    <row r="3327" spans="5:22" x14ac:dyDescent="0.25">
      <c r="E3327" s="4"/>
      <c r="M3327" s="4">
        <f t="shared" si="827"/>
        <v>173.1</v>
      </c>
      <c r="N3327" s="4"/>
      <c r="O3327" s="1">
        <f t="shared" si="828"/>
        <v>173.1</v>
      </c>
      <c r="P3327" s="1">
        <f t="shared" si="829"/>
        <v>0</v>
      </c>
      <c r="Q3327" s="1" t="str">
        <f t="shared" si="835"/>
        <v/>
      </c>
      <c r="R3327" s="1" t="str">
        <f t="shared" si="830"/>
        <v/>
      </c>
      <c r="S3327" s="1">
        <f t="shared" si="831"/>
        <v>630.90240000000244</v>
      </c>
      <c r="T3327" s="1">
        <f t="shared" si="832"/>
        <v>0</v>
      </c>
      <c r="U3327" s="1">
        <f t="shared" si="833"/>
        <v>0</v>
      </c>
      <c r="V3327" s="1">
        <f t="shared" si="834"/>
        <v>0</v>
      </c>
    </row>
    <row r="3328" spans="5:22" x14ac:dyDescent="0.25">
      <c r="E3328" s="4"/>
      <c r="M3328" s="4">
        <f t="shared" si="827"/>
        <v>173.1</v>
      </c>
      <c r="N3328" s="4"/>
      <c r="O3328" s="1">
        <f t="shared" si="828"/>
        <v>173.1</v>
      </c>
      <c r="P3328" s="1">
        <f t="shared" si="829"/>
        <v>0</v>
      </c>
      <c r="Q3328" s="1" t="str">
        <f t="shared" si="835"/>
        <v/>
      </c>
      <c r="R3328" s="1" t="str">
        <f t="shared" si="830"/>
        <v/>
      </c>
      <c r="S3328" s="1">
        <f t="shared" si="831"/>
        <v>630.90240000000244</v>
      </c>
      <c r="T3328" s="1">
        <f t="shared" si="832"/>
        <v>0</v>
      </c>
      <c r="U3328" s="1">
        <f t="shared" si="833"/>
        <v>0</v>
      </c>
      <c r="V3328" s="1">
        <f t="shared" si="834"/>
        <v>0</v>
      </c>
    </row>
    <row r="3329" spans="5:22" x14ac:dyDescent="0.25">
      <c r="E3329" s="4"/>
      <c r="M3329" s="4">
        <f t="shared" si="827"/>
        <v>173.1</v>
      </c>
      <c r="N3329" s="4"/>
      <c r="O3329" s="1">
        <f t="shared" si="828"/>
        <v>173.1</v>
      </c>
      <c r="P3329" s="1">
        <f t="shared" si="829"/>
        <v>0</v>
      </c>
      <c r="Q3329" s="1" t="str">
        <f t="shared" si="835"/>
        <v/>
      </c>
      <c r="R3329" s="1" t="str">
        <f t="shared" si="830"/>
        <v/>
      </c>
      <c r="S3329" s="1">
        <f t="shared" si="831"/>
        <v>630.90240000000244</v>
      </c>
      <c r="T3329" s="1">
        <f t="shared" si="832"/>
        <v>0</v>
      </c>
      <c r="U3329" s="1">
        <f t="shared" si="833"/>
        <v>0</v>
      </c>
      <c r="V3329" s="1">
        <f t="shared" si="834"/>
        <v>0</v>
      </c>
    </row>
    <row r="3330" spans="5:22" x14ac:dyDescent="0.25">
      <c r="E3330" s="4"/>
      <c r="M3330" s="4">
        <f t="shared" si="827"/>
        <v>173.1</v>
      </c>
      <c r="N3330" s="4"/>
      <c r="O3330" s="1">
        <f t="shared" si="828"/>
        <v>173.1</v>
      </c>
      <c r="P3330" s="1">
        <f t="shared" si="829"/>
        <v>0</v>
      </c>
      <c r="Q3330" s="1" t="str">
        <f t="shared" si="835"/>
        <v/>
      </c>
      <c r="R3330" s="1" t="str">
        <f t="shared" si="830"/>
        <v/>
      </c>
      <c r="S3330" s="1">
        <f t="shared" si="831"/>
        <v>630.90240000000244</v>
      </c>
      <c r="T3330" s="1">
        <f t="shared" si="832"/>
        <v>0</v>
      </c>
      <c r="U3330" s="1">
        <f t="shared" si="833"/>
        <v>0</v>
      </c>
      <c r="V3330" s="1">
        <f t="shared" si="834"/>
        <v>0</v>
      </c>
    </row>
    <row r="3331" spans="5:22" x14ac:dyDescent="0.25">
      <c r="E3331" s="4"/>
      <c r="M3331" s="4">
        <f t="shared" si="827"/>
        <v>173.1</v>
      </c>
      <c r="N3331" s="4"/>
      <c r="O3331" s="1">
        <f t="shared" si="828"/>
        <v>173.1</v>
      </c>
      <c r="P3331" s="1">
        <f t="shared" si="829"/>
        <v>0</v>
      </c>
      <c r="Q3331" s="1" t="str">
        <f t="shared" si="835"/>
        <v/>
      </c>
      <c r="R3331" s="1" t="str">
        <f t="shared" si="830"/>
        <v/>
      </c>
      <c r="S3331" s="1">
        <f t="shared" si="831"/>
        <v>630.90240000000244</v>
      </c>
      <c r="T3331" s="1">
        <f t="shared" si="832"/>
        <v>0</v>
      </c>
      <c r="U3331" s="1">
        <f t="shared" si="833"/>
        <v>0</v>
      </c>
      <c r="V3331" s="1">
        <f t="shared" si="834"/>
        <v>0</v>
      </c>
    </row>
    <row r="3332" spans="5:22" x14ac:dyDescent="0.25">
      <c r="E3332" s="4"/>
      <c r="M3332" s="4">
        <f t="shared" si="827"/>
        <v>173.1</v>
      </c>
      <c r="N3332" s="4"/>
      <c r="O3332" s="1">
        <f t="shared" si="828"/>
        <v>173.1</v>
      </c>
      <c r="P3332" s="1">
        <f t="shared" si="829"/>
        <v>0</v>
      </c>
      <c r="Q3332" s="1" t="str">
        <f t="shared" si="835"/>
        <v/>
      </c>
      <c r="R3332" s="1" t="str">
        <f t="shared" si="830"/>
        <v/>
      </c>
      <c r="S3332" s="1">
        <f t="shared" si="831"/>
        <v>630.90240000000244</v>
      </c>
      <c r="T3332" s="1">
        <f t="shared" si="832"/>
        <v>0</v>
      </c>
      <c r="U3332" s="1">
        <f t="shared" si="833"/>
        <v>0</v>
      </c>
      <c r="V3332" s="1">
        <f t="shared" si="834"/>
        <v>0</v>
      </c>
    </row>
    <row r="3333" spans="5:22" x14ac:dyDescent="0.25">
      <c r="E3333" s="4"/>
      <c r="M3333" s="4">
        <f t="shared" si="827"/>
        <v>173.1</v>
      </c>
      <c r="N3333" s="4"/>
      <c r="O3333" s="1">
        <f t="shared" si="828"/>
        <v>173.1</v>
      </c>
      <c r="P3333" s="1">
        <f t="shared" si="829"/>
        <v>0</v>
      </c>
      <c r="Q3333" s="1" t="str">
        <f t="shared" si="835"/>
        <v/>
      </c>
      <c r="R3333" s="1" t="str">
        <f t="shared" si="830"/>
        <v/>
      </c>
      <c r="S3333" s="1">
        <f t="shared" si="831"/>
        <v>630.90240000000244</v>
      </c>
      <c r="T3333" s="1">
        <f t="shared" si="832"/>
        <v>0</v>
      </c>
      <c r="U3333" s="1">
        <f t="shared" si="833"/>
        <v>0</v>
      </c>
      <c r="V3333" s="1">
        <f t="shared" si="834"/>
        <v>0</v>
      </c>
    </row>
    <row r="3334" spans="5:22" x14ac:dyDescent="0.25">
      <c r="E3334" s="4"/>
      <c r="M3334" s="4">
        <f t="shared" si="827"/>
        <v>173.1</v>
      </c>
      <c r="N3334" s="4"/>
      <c r="O3334" s="1">
        <f t="shared" si="828"/>
        <v>173.1</v>
      </c>
      <c r="P3334" s="1">
        <f t="shared" si="829"/>
        <v>0</v>
      </c>
      <c r="Q3334" s="1" t="str">
        <f t="shared" si="835"/>
        <v/>
      </c>
      <c r="R3334" s="1" t="str">
        <f t="shared" si="830"/>
        <v/>
      </c>
      <c r="S3334" s="1">
        <f t="shared" si="831"/>
        <v>630.90240000000244</v>
      </c>
      <c r="T3334" s="1">
        <f t="shared" si="832"/>
        <v>0</v>
      </c>
      <c r="U3334" s="1">
        <f t="shared" si="833"/>
        <v>0</v>
      </c>
      <c r="V3334" s="1">
        <f t="shared" si="834"/>
        <v>0</v>
      </c>
    </row>
    <row r="3335" spans="5:22" x14ac:dyDescent="0.25">
      <c r="E3335" s="4"/>
      <c r="M3335" s="4">
        <f t="shared" si="827"/>
        <v>173.1</v>
      </c>
      <c r="N3335" s="4"/>
      <c r="O3335" s="1">
        <f t="shared" si="828"/>
        <v>173.1</v>
      </c>
      <c r="P3335" s="1">
        <f t="shared" si="829"/>
        <v>0</v>
      </c>
      <c r="Q3335" s="1" t="str">
        <f t="shared" si="835"/>
        <v/>
      </c>
      <c r="R3335" s="1" t="str">
        <f t="shared" si="830"/>
        <v/>
      </c>
      <c r="S3335" s="1">
        <f t="shared" si="831"/>
        <v>630.90240000000244</v>
      </c>
      <c r="T3335" s="1">
        <f t="shared" si="832"/>
        <v>0</v>
      </c>
      <c r="U3335" s="1">
        <f t="shared" si="833"/>
        <v>0</v>
      </c>
      <c r="V3335" s="1">
        <f t="shared" si="834"/>
        <v>0</v>
      </c>
    </row>
    <row r="3336" spans="5:22" x14ac:dyDescent="0.25">
      <c r="E3336" s="4"/>
      <c r="M3336" s="4">
        <f t="shared" ref="M3336:M3399" si="836">E3336+M3335</f>
        <v>173.1</v>
      </c>
      <c r="N3336" s="4"/>
      <c r="O3336" s="1">
        <f t="shared" ref="O3336:O3399" si="837">E3335+O3335</f>
        <v>173.1</v>
      </c>
      <c r="P3336" s="1">
        <f t="shared" ref="P3336:P3399" si="838">F3336*52.8*E3336</f>
        <v>0</v>
      </c>
      <c r="Q3336" s="1" t="str">
        <f t="shared" si="835"/>
        <v/>
      </c>
      <c r="R3336" s="1" t="str">
        <f t="shared" ref="R3336:R3399" si="839">IF(I3336="",Q3336,IF(AND(H3336=H3335,I3336=I3335),"",I3336))</f>
        <v/>
      </c>
      <c r="S3336" s="1">
        <f t="shared" ref="S3336:S3399" si="840">S3335+U3335*T3335/100</f>
        <v>630.90240000000244</v>
      </c>
      <c r="T3336" s="1">
        <f t="shared" ref="T3336:T3399" si="841">IF(G3336="UNK",0,G3336)</f>
        <v>0</v>
      </c>
      <c r="U3336" s="1">
        <f t="shared" ref="U3336:U3399" si="842">E3336*5280</f>
        <v>0</v>
      </c>
      <c r="V3336" s="1">
        <f t="shared" ref="V3336:V3399" si="843">ABS(T3336*U3336)</f>
        <v>0</v>
      </c>
    </row>
    <row r="3337" spans="5:22" x14ac:dyDescent="0.25">
      <c r="E3337" s="4"/>
      <c r="M3337" s="4">
        <f t="shared" si="836"/>
        <v>173.1</v>
      </c>
      <c r="N3337" s="4"/>
      <c r="O3337" s="1">
        <f t="shared" si="837"/>
        <v>173.1</v>
      </c>
      <c r="P3337" s="1">
        <f t="shared" si="838"/>
        <v>0</v>
      </c>
      <c r="Q3337" s="1" t="str">
        <f t="shared" si="835"/>
        <v/>
      </c>
      <c r="R3337" s="1" t="str">
        <f t="shared" si="839"/>
        <v/>
      </c>
      <c r="S3337" s="1">
        <f t="shared" si="840"/>
        <v>630.90240000000244</v>
      </c>
      <c r="T3337" s="1">
        <f t="shared" si="841"/>
        <v>0</v>
      </c>
      <c r="U3337" s="1">
        <f t="shared" si="842"/>
        <v>0</v>
      </c>
      <c r="V3337" s="1">
        <f t="shared" si="843"/>
        <v>0</v>
      </c>
    </row>
    <row r="3338" spans="5:22" x14ac:dyDescent="0.25">
      <c r="E3338" s="4"/>
      <c r="M3338" s="4">
        <f t="shared" si="836"/>
        <v>173.1</v>
      </c>
      <c r="N3338" s="4"/>
      <c r="O3338" s="1">
        <f t="shared" si="837"/>
        <v>173.1</v>
      </c>
      <c r="P3338" s="1">
        <f t="shared" si="838"/>
        <v>0</v>
      </c>
      <c r="Q3338" s="1" t="str">
        <f t="shared" si="835"/>
        <v/>
      </c>
      <c r="R3338" s="1" t="str">
        <f t="shared" si="839"/>
        <v/>
      </c>
      <c r="S3338" s="1">
        <f t="shared" si="840"/>
        <v>630.90240000000244</v>
      </c>
      <c r="T3338" s="1">
        <f t="shared" si="841"/>
        <v>0</v>
      </c>
      <c r="U3338" s="1">
        <f t="shared" si="842"/>
        <v>0</v>
      </c>
      <c r="V3338" s="1">
        <f t="shared" si="843"/>
        <v>0</v>
      </c>
    </row>
    <row r="3339" spans="5:22" x14ac:dyDescent="0.25">
      <c r="E3339" s="4"/>
      <c r="M3339" s="4">
        <f t="shared" si="836"/>
        <v>173.1</v>
      </c>
      <c r="N3339" s="4"/>
      <c r="O3339" s="1">
        <f t="shared" si="837"/>
        <v>173.1</v>
      </c>
      <c r="P3339" s="1">
        <f t="shared" si="838"/>
        <v>0</v>
      </c>
      <c r="Q3339" s="1" t="str">
        <f t="shared" si="835"/>
        <v/>
      </c>
      <c r="R3339" s="1" t="str">
        <f t="shared" si="839"/>
        <v/>
      </c>
      <c r="S3339" s="1">
        <f t="shared" si="840"/>
        <v>630.90240000000244</v>
      </c>
      <c r="T3339" s="1">
        <f t="shared" si="841"/>
        <v>0</v>
      </c>
      <c r="U3339" s="1">
        <f t="shared" si="842"/>
        <v>0</v>
      </c>
      <c r="V3339" s="1">
        <f t="shared" si="843"/>
        <v>0</v>
      </c>
    </row>
    <row r="3340" spans="5:22" x14ac:dyDescent="0.25">
      <c r="E3340" s="4"/>
      <c r="M3340" s="4">
        <f t="shared" si="836"/>
        <v>173.1</v>
      </c>
      <c r="N3340" s="4"/>
      <c r="O3340" s="1">
        <f t="shared" si="837"/>
        <v>173.1</v>
      </c>
      <c r="P3340" s="1">
        <f t="shared" si="838"/>
        <v>0</v>
      </c>
      <c r="Q3340" s="1" t="str">
        <f t="shared" si="835"/>
        <v/>
      </c>
      <c r="R3340" s="1" t="str">
        <f t="shared" si="839"/>
        <v/>
      </c>
      <c r="S3340" s="1">
        <f t="shared" si="840"/>
        <v>630.90240000000244</v>
      </c>
      <c r="T3340" s="1">
        <f t="shared" si="841"/>
        <v>0</v>
      </c>
      <c r="U3340" s="1">
        <f t="shared" si="842"/>
        <v>0</v>
      </c>
      <c r="V3340" s="1">
        <f t="shared" si="843"/>
        <v>0</v>
      </c>
    </row>
    <row r="3341" spans="5:22" x14ac:dyDescent="0.25">
      <c r="E3341" s="4"/>
      <c r="M3341" s="4">
        <f t="shared" si="836"/>
        <v>173.1</v>
      </c>
      <c r="N3341" s="4"/>
      <c r="O3341" s="1">
        <f t="shared" si="837"/>
        <v>173.1</v>
      </c>
      <c r="P3341" s="1">
        <f t="shared" si="838"/>
        <v>0</v>
      </c>
      <c r="Q3341" s="1" t="str">
        <f t="shared" si="835"/>
        <v/>
      </c>
      <c r="R3341" s="1" t="str">
        <f t="shared" si="839"/>
        <v/>
      </c>
      <c r="S3341" s="1">
        <f t="shared" si="840"/>
        <v>630.90240000000244</v>
      </c>
      <c r="T3341" s="1">
        <f t="shared" si="841"/>
        <v>0</v>
      </c>
      <c r="U3341" s="1">
        <f t="shared" si="842"/>
        <v>0</v>
      </c>
      <c r="V3341" s="1">
        <f t="shared" si="843"/>
        <v>0</v>
      </c>
    </row>
    <row r="3342" spans="5:22" x14ac:dyDescent="0.25">
      <c r="E3342" s="4"/>
      <c r="M3342" s="4">
        <f t="shared" si="836"/>
        <v>173.1</v>
      </c>
      <c r="N3342" s="4"/>
      <c r="O3342" s="1">
        <f t="shared" si="837"/>
        <v>173.1</v>
      </c>
      <c r="P3342" s="1">
        <f t="shared" si="838"/>
        <v>0</v>
      </c>
      <c r="Q3342" s="1" t="str">
        <f t="shared" si="835"/>
        <v/>
      </c>
      <c r="R3342" s="1" t="str">
        <f t="shared" si="839"/>
        <v/>
      </c>
      <c r="S3342" s="1">
        <f t="shared" si="840"/>
        <v>630.90240000000244</v>
      </c>
      <c r="T3342" s="1">
        <f t="shared" si="841"/>
        <v>0</v>
      </c>
      <c r="U3342" s="1">
        <f t="shared" si="842"/>
        <v>0</v>
      </c>
      <c r="V3342" s="1">
        <f t="shared" si="843"/>
        <v>0</v>
      </c>
    </row>
    <row r="3343" spans="5:22" x14ac:dyDescent="0.25">
      <c r="E3343" s="4"/>
      <c r="M3343" s="4">
        <f t="shared" si="836"/>
        <v>173.1</v>
      </c>
      <c r="N3343" s="4"/>
      <c r="O3343" s="1">
        <f t="shared" si="837"/>
        <v>173.1</v>
      </c>
      <c r="P3343" s="1">
        <f t="shared" si="838"/>
        <v>0</v>
      </c>
      <c r="Q3343" s="1" t="str">
        <f t="shared" si="835"/>
        <v/>
      </c>
      <c r="R3343" s="1" t="str">
        <f t="shared" si="839"/>
        <v/>
      </c>
      <c r="S3343" s="1">
        <f t="shared" si="840"/>
        <v>630.90240000000244</v>
      </c>
      <c r="T3343" s="1">
        <f t="shared" si="841"/>
        <v>0</v>
      </c>
      <c r="U3343" s="1">
        <f t="shared" si="842"/>
        <v>0</v>
      </c>
      <c r="V3343" s="1">
        <f t="shared" si="843"/>
        <v>0</v>
      </c>
    </row>
    <row r="3344" spans="5:22" x14ac:dyDescent="0.25">
      <c r="E3344" s="4"/>
      <c r="M3344" s="4">
        <f t="shared" si="836"/>
        <v>173.1</v>
      </c>
      <c r="N3344" s="4"/>
      <c r="O3344" s="1">
        <f t="shared" si="837"/>
        <v>173.1</v>
      </c>
      <c r="P3344" s="1">
        <f t="shared" si="838"/>
        <v>0</v>
      </c>
      <c r="Q3344" s="1" t="str">
        <f t="shared" si="835"/>
        <v/>
      </c>
      <c r="R3344" s="1" t="str">
        <f t="shared" si="839"/>
        <v/>
      </c>
      <c r="S3344" s="1">
        <f t="shared" si="840"/>
        <v>630.90240000000244</v>
      </c>
      <c r="T3344" s="1">
        <f t="shared" si="841"/>
        <v>0</v>
      </c>
      <c r="U3344" s="1">
        <f t="shared" si="842"/>
        <v>0</v>
      </c>
      <c r="V3344" s="1">
        <f t="shared" si="843"/>
        <v>0</v>
      </c>
    </row>
    <row r="3345" spans="5:22" x14ac:dyDescent="0.25">
      <c r="E3345" s="4"/>
      <c r="M3345" s="4">
        <f t="shared" si="836"/>
        <v>173.1</v>
      </c>
      <c r="N3345" s="4"/>
      <c r="O3345" s="1">
        <f t="shared" si="837"/>
        <v>173.1</v>
      </c>
      <c r="P3345" s="1">
        <f t="shared" si="838"/>
        <v>0</v>
      </c>
      <c r="Q3345" s="1" t="str">
        <f t="shared" si="835"/>
        <v/>
      </c>
      <c r="R3345" s="1" t="str">
        <f t="shared" si="839"/>
        <v/>
      </c>
      <c r="S3345" s="1">
        <f t="shared" si="840"/>
        <v>630.90240000000244</v>
      </c>
      <c r="T3345" s="1">
        <f t="shared" si="841"/>
        <v>0</v>
      </c>
      <c r="U3345" s="1">
        <f t="shared" si="842"/>
        <v>0</v>
      </c>
      <c r="V3345" s="1">
        <f t="shared" si="843"/>
        <v>0</v>
      </c>
    </row>
    <row r="3346" spans="5:22" x14ac:dyDescent="0.25">
      <c r="E3346" s="4"/>
      <c r="M3346" s="4">
        <f t="shared" si="836"/>
        <v>173.1</v>
      </c>
      <c r="N3346" s="4"/>
      <c r="O3346" s="1">
        <f t="shared" si="837"/>
        <v>173.1</v>
      </c>
      <c r="P3346" s="1">
        <f t="shared" si="838"/>
        <v>0</v>
      </c>
      <c r="Q3346" s="1" t="str">
        <f t="shared" si="835"/>
        <v/>
      </c>
      <c r="R3346" s="1" t="str">
        <f t="shared" si="839"/>
        <v/>
      </c>
      <c r="S3346" s="1">
        <f t="shared" si="840"/>
        <v>630.90240000000244</v>
      </c>
      <c r="T3346" s="1">
        <f t="shared" si="841"/>
        <v>0</v>
      </c>
      <c r="U3346" s="1">
        <f t="shared" si="842"/>
        <v>0</v>
      </c>
      <c r="V3346" s="1">
        <f t="shared" si="843"/>
        <v>0</v>
      </c>
    </row>
    <row r="3347" spans="5:22" x14ac:dyDescent="0.25">
      <c r="E3347" s="4"/>
      <c r="M3347" s="4">
        <f t="shared" si="836"/>
        <v>173.1</v>
      </c>
      <c r="N3347" s="4"/>
      <c r="O3347" s="1">
        <f t="shared" si="837"/>
        <v>173.1</v>
      </c>
      <c r="P3347" s="1">
        <f t="shared" si="838"/>
        <v>0</v>
      </c>
      <c r="Q3347" s="1" t="str">
        <f t="shared" si="835"/>
        <v/>
      </c>
      <c r="R3347" s="1" t="str">
        <f t="shared" si="839"/>
        <v/>
      </c>
      <c r="S3347" s="1">
        <f t="shared" si="840"/>
        <v>630.90240000000244</v>
      </c>
      <c r="T3347" s="1">
        <f t="shared" si="841"/>
        <v>0</v>
      </c>
      <c r="U3347" s="1">
        <f t="shared" si="842"/>
        <v>0</v>
      </c>
      <c r="V3347" s="1">
        <f t="shared" si="843"/>
        <v>0</v>
      </c>
    </row>
    <row r="3348" spans="5:22" x14ac:dyDescent="0.25">
      <c r="E3348" s="4"/>
      <c r="M3348" s="4">
        <f t="shared" si="836"/>
        <v>173.1</v>
      </c>
      <c r="N3348" s="4"/>
      <c r="O3348" s="1">
        <f t="shared" si="837"/>
        <v>173.1</v>
      </c>
      <c r="P3348" s="1">
        <f t="shared" si="838"/>
        <v>0</v>
      </c>
      <c r="Q3348" s="1" t="str">
        <f t="shared" si="835"/>
        <v/>
      </c>
      <c r="R3348" s="1" t="str">
        <f t="shared" si="839"/>
        <v/>
      </c>
      <c r="S3348" s="1">
        <f t="shared" si="840"/>
        <v>630.90240000000244</v>
      </c>
      <c r="T3348" s="1">
        <f t="shared" si="841"/>
        <v>0</v>
      </c>
      <c r="U3348" s="1">
        <f t="shared" si="842"/>
        <v>0</v>
      </c>
      <c r="V3348" s="1">
        <f t="shared" si="843"/>
        <v>0</v>
      </c>
    </row>
    <row r="3349" spans="5:22" x14ac:dyDescent="0.25">
      <c r="E3349" s="4"/>
      <c r="M3349" s="4">
        <f t="shared" si="836"/>
        <v>173.1</v>
      </c>
      <c r="N3349" s="4"/>
      <c r="O3349" s="1">
        <f t="shared" si="837"/>
        <v>173.1</v>
      </c>
      <c r="P3349" s="1">
        <f t="shared" si="838"/>
        <v>0</v>
      </c>
      <c r="Q3349" s="1" t="str">
        <f t="shared" si="835"/>
        <v/>
      </c>
      <c r="R3349" s="1" t="str">
        <f t="shared" si="839"/>
        <v/>
      </c>
      <c r="S3349" s="1">
        <f t="shared" si="840"/>
        <v>630.90240000000244</v>
      </c>
      <c r="T3349" s="1">
        <f t="shared" si="841"/>
        <v>0</v>
      </c>
      <c r="U3349" s="1">
        <f t="shared" si="842"/>
        <v>0</v>
      </c>
      <c r="V3349" s="1">
        <f t="shared" si="843"/>
        <v>0</v>
      </c>
    </row>
    <row r="3350" spans="5:22" x14ac:dyDescent="0.25">
      <c r="E3350" s="4"/>
      <c r="M3350" s="4">
        <f t="shared" si="836"/>
        <v>173.1</v>
      </c>
      <c r="N3350" s="4"/>
      <c r="O3350" s="1">
        <f t="shared" si="837"/>
        <v>173.1</v>
      </c>
      <c r="P3350" s="1">
        <f t="shared" si="838"/>
        <v>0</v>
      </c>
      <c r="Q3350" s="1" t="str">
        <f t="shared" si="835"/>
        <v/>
      </c>
      <c r="R3350" s="1" t="str">
        <f t="shared" si="839"/>
        <v/>
      </c>
      <c r="S3350" s="1">
        <f t="shared" si="840"/>
        <v>630.90240000000244</v>
      </c>
      <c r="T3350" s="1">
        <f t="shared" si="841"/>
        <v>0</v>
      </c>
      <c r="U3350" s="1">
        <f t="shared" si="842"/>
        <v>0</v>
      </c>
      <c r="V3350" s="1">
        <f t="shared" si="843"/>
        <v>0</v>
      </c>
    </row>
    <row r="3351" spans="5:22" x14ac:dyDescent="0.25">
      <c r="E3351" s="4"/>
      <c r="M3351" s="4">
        <f t="shared" si="836"/>
        <v>173.1</v>
      </c>
      <c r="N3351" s="4"/>
      <c r="O3351" s="1">
        <f t="shared" si="837"/>
        <v>173.1</v>
      </c>
      <c r="P3351" s="1">
        <f t="shared" si="838"/>
        <v>0</v>
      </c>
      <c r="Q3351" s="1" t="str">
        <f t="shared" si="835"/>
        <v/>
      </c>
      <c r="R3351" s="1" t="str">
        <f t="shared" si="839"/>
        <v/>
      </c>
      <c r="S3351" s="1">
        <f t="shared" si="840"/>
        <v>630.90240000000244</v>
      </c>
      <c r="T3351" s="1">
        <f t="shared" si="841"/>
        <v>0</v>
      </c>
      <c r="U3351" s="1">
        <f t="shared" si="842"/>
        <v>0</v>
      </c>
      <c r="V3351" s="1">
        <f t="shared" si="843"/>
        <v>0</v>
      </c>
    </row>
    <row r="3352" spans="5:22" x14ac:dyDescent="0.25">
      <c r="E3352" s="4"/>
      <c r="M3352" s="4">
        <f t="shared" si="836"/>
        <v>173.1</v>
      </c>
      <c r="N3352" s="4"/>
      <c r="O3352" s="1">
        <f t="shared" si="837"/>
        <v>173.1</v>
      </c>
      <c r="P3352" s="1">
        <f t="shared" si="838"/>
        <v>0</v>
      </c>
      <c r="Q3352" s="1" t="str">
        <f t="shared" si="835"/>
        <v/>
      </c>
      <c r="R3352" s="1" t="str">
        <f t="shared" si="839"/>
        <v/>
      </c>
      <c r="S3352" s="1">
        <f t="shared" si="840"/>
        <v>630.90240000000244</v>
      </c>
      <c r="T3352" s="1">
        <f t="shared" si="841"/>
        <v>0</v>
      </c>
      <c r="U3352" s="1">
        <f t="shared" si="842"/>
        <v>0</v>
      </c>
      <c r="V3352" s="1">
        <f t="shared" si="843"/>
        <v>0</v>
      </c>
    </row>
    <row r="3353" spans="5:22" x14ac:dyDescent="0.25">
      <c r="E3353" s="4"/>
      <c r="M3353" s="4">
        <f t="shared" si="836"/>
        <v>173.1</v>
      </c>
      <c r="N3353" s="4"/>
      <c r="O3353" s="1">
        <f t="shared" si="837"/>
        <v>173.1</v>
      </c>
      <c r="P3353" s="1">
        <f t="shared" si="838"/>
        <v>0</v>
      </c>
      <c r="Q3353" s="1" t="str">
        <f t="shared" si="835"/>
        <v/>
      </c>
      <c r="R3353" s="1" t="str">
        <f t="shared" si="839"/>
        <v/>
      </c>
      <c r="S3353" s="1">
        <f t="shared" si="840"/>
        <v>630.90240000000244</v>
      </c>
      <c r="T3353" s="1">
        <f t="shared" si="841"/>
        <v>0</v>
      </c>
      <c r="U3353" s="1">
        <f t="shared" si="842"/>
        <v>0</v>
      </c>
      <c r="V3353" s="1">
        <f t="shared" si="843"/>
        <v>0</v>
      </c>
    </row>
    <row r="3354" spans="5:22" x14ac:dyDescent="0.25">
      <c r="E3354" s="4"/>
      <c r="M3354" s="4">
        <f t="shared" si="836"/>
        <v>173.1</v>
      </c>
      <c r="N3354" s="4"/>
      <c r="O3354" s="1">
        <f t="shared" si="837"/>
        <v>173.1</v>
      </c>
      <c r="P3354" s="1">
        <f t="shared" si="838"/>
        <v>0</v>
      </c>
      <c r="Q3354" s="1" t="str">
        <f t="shared" si="835"/>
        <v/>
      </c>
      <c r="R3354" s="1" t="str">
        <f t="shared" si="839"/>
        <v/>
      </c>
      <c r="S3354" s="1">
        <f t="shared" si="840"/>
        <v>630.90240000000244</v>
      </c>
      <c r="T3354" s="1">
        <f t="shared" si="841"/>
        <v>0</v>
      </c>
      <c r="U3354" s="1">
        <f t="shared" si="842"/>
        <v>0</v>
      </c>
      <c r="V3354" s="1">
        <f t="shared" si="843"/>
        <v>0</v>
      </c>
    </row>
    <row r="3355" spans="5:22" x14ac:dyDescent="0.25">
      <c r="E3355" s="4"/>
      <c r="M3355" s="4">
        <f t="shared" si="836"/>
        <v>173.1</v>
      </c>
      <c r="N3355" s="4"/>
      <c r="O3355" s="1">
        <f t="shared" si="837"/>
        <v>173.1</v>
      </c>
      <c r="P3355" s="1">
        <f t="shared" si="838"/>
        <v>0</v>
      </c>
      <c r="Q3355" s="1" t="str">
        <f t="shared" si="835"/>
        <v/>
      </c>
      <c r="R3355" s="1" t="str">
        <f t="shared" si="839"/>
        <v/>
      </c>
      <c r="S3355" s="1">
        <f t="shared" si="840"/>
        <v>630.90240000000244</v>
      </c>
      <c r="T3355" s="1">
        <f t="shared" si="841"/>
        <v>0</v>
      </c>
      <c r="U3355" s="1">
        <f t="shared" si="842"/>
        <v>0</v>
      </c>
      <c r="V3355" s="1">
        <f t="shared" si="843"/>
        <v>0</v>
      </c>
    </row>
    <row r="3356" spans="5:22" x14ac:dyDescent="0.25">
      <c r="E3356" s="4"/>
      <c r="M3356" s="4">
        <f t="shared" si="836"/>
        <v>173.1</v>
      </c>
      <c r="N3356" s="4"/>
      <c r="O3356" s="1">
        <f t="shared" si="837"/>
        <v>173.1</v>
      </c>
      <c r="P3356" s="1">
        <f t="shared" si="838"/>
        <v>0</v>
      </c>
      <c r="Q3356" s="1" t="str">
        <f t="shared" si="835"/>
        <v/>
      </c>
      <c r="R3356" s="1" t="str">
        <f t="shared" si="839"/>
        <v/>
      </c>
      <c r="S3356" s="1">
        <f t="shared" si="840"/>
        <v>630.90240000000244</v>
      </c>
      <c r="T3356" s="1">
        <f t="shared" si="841"/>
        <v>0</v>
      </c>
      <c r="U3356" s="1">
        <f t="shared" si="842"/>
        <v>0</v>
      </c>
      <c r="V3356" s="1">
        <f t="shared" si="843"/>
        <v>0</v>
      </c>
    </row>
    <row r="3357" spans="5:22" x14ac:dyDescent="0.25">
      <c r="E3357" s="4"/>
      <c r="M3357" s="4">
        <f t="shared" si="836"/>
        <v>173.1</v>
      </c>
      <c r="N3357" s="4"/>
      <c r="O3357" s="1">
        <f t="shared" si="837"/>
        <v>173.1</v>
      </c>
      <c r="P3357" s="1">
        <f t="shared" si="838"/>
        <v>0</v>
      </c>
      <c r="Q3357" s="1" t="str">
        <f t="shared" si="835"/>
        <v/>
      </c>
      <c r="R3357" s="1" t="str">
        <f t="shared" si="839"/>
        <v/>
      </c>
      <c r="S3357" s="1">
        <f t="shared" si="840"/>
        <v>630.90240000000244</v>
      </c>
      <c r="T3357" s="1">
        <f t="shared" si="841"/>
        <v>0</v>
      </c>
      <c r="U3357" s="1">
        <f t="shared" si="842"/>
        <v>0</v>
      </c>
      <c r="V3357" s="1">
        <f t="shared" si="843"/>
        <v>0</v>
      </c>
    </row>
    <row r="3358" spans="5:22" x14ac:dyDescent="0.25">
      <c r="E3358" s="4"/>
      <c r="M3358" s="4">
        <f t="shared" si="836"/>
        <v>173.1</v>
      </c>
      <c r="N3358" s="4"/>
      <c r="O3358" s="1">
        <f t="shared" si="837"/>
        <v>173.1</v>
      </c>
      <c r="P3358" s="1">
        <f t="shared" si="838"/>
        <v>0</v>
      </c>
      <c r="Q3358" s="1" t="str">
        <f t="shared" si="835"/>
        <v/>
      </c>
      <c r="R3358" s="1" t="str">
        <f t="shared" si="839"/>
        <v/>
      </c>
      <c r="S3358" s="1">
        <f t="shared" si="840"/>
        <v>630.90240000000244</v>
      </c>
      <c r="T3358" s="1">
        <f t="shared" si="841"/>
        <v>0</v>
      </c>
      <c r="U3358" s="1">
        <f t="shared" si="842"/>
        <v>0</v>
      </c>
      <c r="V3358" s="1">
        <f t="shared" si="843"/>
        <v>0</v>
      </c>
    </row>
    <row r="3359" spans="5:22" x14ac:dyDescent="0.25">
      <c r="E3359" s="4"/>
      <c r="M3359" s="4">
        <f t="shared" si="836"/>
        <v>173.1</v>
      </c>
      <c r="N3359" s="4"/>
      <c r="O3359" s="1">
        <f t="shared" si="837"/>
        <v>173.1</v>
      </c>
      <c r="P3359" s="1">
        <f t="shared" si="838"/>
        <v>0</v>
      </c>
      <c r="Q3359" s="1" t="str">
        <f t="shared" si="835"/>
        <v/>
      </c>
      <c r="R3359" s="1" t="str">
        <f t="shared" si="839"/>
        <v/>
      </c>
      <c r="S3359" s="1">
        <f t="shared" si="840"/>
        <v>630.90240000000244</v>
      </c>
      <c r="T3359" s="1">
        <f t="shared" si="841"/>
        <v>0</v>
      </c>
      <c r="U3359" s="1">
        <f t="shared" si="842"/>
        <v>0</v>
      </c>
      <c r="V3359" s="1">
        <f t="shared" si="843"/>
        <v>0</v>
      </c>
    </row>
    <row r="3360" spans="5:22" x14ac:dyDescent="0.25">
      <c r="E3360" s="4"/>
      <c r="M3360" s="4">
        <f t="shared" si="836"/>
        <v>173.1</v>
      </c>
      <c r="N3360" s="4"/>
      <c r="O3360" s="1">
        <f t="shared" si="837"/>
        <v>173.1</v>
      </c>
      <c r="P3360" s="1">
        <f t="shared" si="838"/>
        <v>0</v>
      </c>
      <c r="Q3360" s="1" t="str">
        <f t="shared" si="835"/>
        <v/>
      </c>
      <c r="R3360" s="1" t="str">
        <f t="shared" si="839"/>
        <v/>
      </c>
      <c r="S3360" s="1">
        <f t="shared" si="840"/>
        <v>630.90240000000244</v>
      </c>
      <c r="T3360" s="1">
        <f t="shared" si="841"/>
        <v>0</v>
      </c>
      <c r="U3360" s="1">
        <f t="shared" si="842"/>
        <v>0</v>
      </c>
      <c r="V3360" s="1">
        <f t="shared" si="843"/>
        <v>0</v>
      </c>
    </row>
    <row r="3361" spans="5:22" x14ac:dyDescent="0.25">
      <c r="E3361" s="4"/>
      <c r="M3361" s="4">
        <f t="shared" si="836"/>
        <v>173.1</v>
      </c>
      <c r="N3361" s="4"/>
      <c r="O3361" s="1">
        <f t="shared" si="837"/>
        <v>173.1</v>
      </c>
      <c r="P3361" s="1">
        <f t="shared" si="838"/>
        <v>0</v>
      </c>
      <c r="Q3361" s="1" t="str">
        <f t="shared" si="835"/>
        <v/>
      </c>
      <c r="R3361" s="1" t="str">
        <f t="shared" si="839"/>
        <v/>
      </c>
      <c r="S3361" s="1">
        <f t="shared" si="840"/>
        <v>630.90240000000244</v>
      </c>
      <c r="T3361" s="1">
        <f t="shared" si="841"/>
        <v>0</v>
      </c>
      <c r="U3361" s="1">
        <f t="shared" si="842"/>
        <v>0</v>
      </c>
      <c r="V3361" s="1">
        <f t="shared" si="843"/>
        <v>0</v>
      </c>
    </row>
    <row r="3362" spans="5:22" x14ac:dyDescent="0.25">
      <c r="E3362" s="4"/>
      <c r="M3362" s="4">
        <f t="shared" si="836"/>
        <v>173.1</v>
      </c>
      <c r="N3362" s="4"/>
      <c r="O3362" s="1">
        <f t="shared" si="837"/>
        <v>173.1</v>
      </c>
      <c r="P3362" s="1">
        <f t="shared" si="838"/>
        <v>0</v>
      </c>
      <c r="Q3362" s="1" t="str">
        <f t="shared" si="835"/>
        <v/>
      </c>
      <c r="R3362" s="1" t="str">
        <f t="shared" si="839"/>
        <v/>
      </c>
      <c r="S3362" s="1">
        <f t="shared" si="840"/>
        <v>630.90240000000244</v>
      </c>
      <c r="T3362" s="1">
        <f t="shared" si="841"/>
        <v>0</v>
      </c>
      <c r="U3362" s="1">
        <f t="shared" si="842"/>
        <v>0</v>
      </c>
      <c r="V3362" s="1">
        <f t="shared" si="843"/>
        <v>0</v>
      </c>
    </row>
    <row r="3363" spans="5:22" x14ac:dyDescent="0.25">
      <c r="E3363" s="4"/>
      <c r="M3363" s="4">
        <f t="shared" si="836"/>
        <v>173.1</v>
      </c>
      <c r="N3363" s="4"/>
      <c r="O3363" s="1">
        <f t="shared" si="837"/>
        <v>173.1</v>
      </c>
      <c r="P3363" s="1">
        <f t="shared" si="838"/>
        <v>0</v>
      </c>
      <c r="Q3363" s="1" t="str">
        <f t="shared" si="835"/>
        <v/>
      </c>
      <c r="R3363" s="1" t="str">
        <f t="shared" si="839"/>
        <v/>
      </c>
      <c r="S3363" s="1">
        <f t="shared" si="840"/>
        <v>630.90240000000244</v>
      </c>
      <c r="T3363" s="1">
        <f t="shared" si="841"/>
        <v>0</v>
      </c>
      <c r="U3363" s="1">
        <f t="shared" si="842"/>
        <v>0</v>
      </c>
      <c r="V3363" s="1">
        <f t="shared" si="843"/>
        <v>0</v>
      </c>
    </row>
    <row r="3364" spans="5:22" x14ac:dyDescent="0.25">
      <c r="E3364" s="4"/>
      <c r="M3364" s="4">
        <f t="shared" si="836"/>
        <v>173.1</v>
      </c>
      <c r="N3364" s="4"/>
      <c r="O3364" s="1">
        <f t="shared" si="837"/>
        <v>173.1</v>
      </c>
      <c r="P3364" s="1">
        <f t="shared" si="838"/>
        <v>0</v>
      </c>
      <c r="Q3364" s="1" t="str">
        <f t="shared" si="835"/>
        <v/>
      </c>
      <c r="R3364" s="1" t="str">
        <f t="shared" si="839"/>
        <v/>
      </c>
      <c r="S3364" s="1">
        <f t="shared" si="840"/>
        <v>630.90240000000244</v>
      </c>
      <c r="T3364" s="1">
        <f t="shared" si="841"/>
        <v>0</v>
      </c>
      <c r="U3364" s="1">
        <f t="shared" si="842"/>
        <v>0</v>
      </c>
      <c r="V3364" s="1">
        <f t="shared" si="843"/>
        <v>0</v>
      </c>
    </row>
    <row r="3365" spans="5:22" x14ac:dyDescent="0.25">
      <c r="E3365" s="4"/>
      <c r="M3365" s="4">
        <f t="shared" si="836"/>
        <v>173.1</v>
      </c>
      <c r="N3365" s="4"/>
      <c r="O3365" s="1">
        <f t="shared" si="837"/>
        <v>173.1</v>
      </c>
      <c r="P3365" s="1">
        <f t="shared" si="838"/>
        <v>0</v>
      </c>
      <c r="Q3365" s="1" t="str">
        <f t="shared" si="835"/>
        <v/>
      </c>
      <c r="R3365" s="1" t="str">
        <f t="shared" si="839"/>
        <v/>
      </c>
      <c r="S3365" s="1">
        <f t="shared" si="840"/>
        <v>630.90240000000244</v>
      </c>
      <c r="T3365" s="1">
        <f t="shared" si="841"/>
        <v>0</v>
      </c>
      <c r="U3365" s="1">
        <f t="shared" si="842"/>
        <v>0</v>
      </c>
      <c r="V3365" s="1">
        <f t="shared" si="843"/>
        <v>0</v>
      </c>
    </row>
    <row r="3366" spans="5:22" x14ac:dyDescent="0.25">
      <c r="E3366" s="4"/>
      <c r="M3366" s="4">
        <f t="shared" si="836"/>
        <v>173.1</v>
      </c>
      <c r="N3366" s="4"/>
      <c r="O3366" s="1">
        <f t="shared" si="837"/>
        <v>173.1</v>
      </c>
      <c r="P3366" s="1">
        <f t="shared" si="838"/>
        <v>0</v>
      </c>
      <c r="Q3366" s="1" t="str">
        <f t="shared" si="835"/>
        <v/>
      </c>
      <c r="R3366" s="1" t="str">
        <f t="shared" si="839"/>
        <v/>
      </c>
      <c r="S3366" s="1">
        <f t="shared" si="840"/>
        <v>630.90240000000244</v>
      </c>
      <c r="T3366" s="1">
        <f t="shared" si="841"/>
        <v>0</v>
      </c>
      <c r="U3366" s="1">
        <f t="shared" si="842"/>
        <v>0</v>
      </c>
      <c r="V3366" s="1">
        <f t="shared" si="843"/>
        <v>0</v>
      </c>
    </row>
    <row r="3367" spans="5:22" x14ac:dyDescent="0.25">
      <c r="E3367" s="4"/>
      <c r="M3367" s="4">
        <f t="shared" si="836"/>
        <v>173.1</v>
      </c>
      <c r="N3367" s="4"/>
      <c r="O3367" s="1">
        <f t="shared" si="837"/>
        <v>173.1</v>
      </c>
      <c r="P3367" s="1">
        <f t="shared" si="838"/>
        <v>0</v>
      </c>
      <c r="Q3367" s="1" t="str">
        <f t="shared" si="835"/>
        <v/>
      </c>
      <c r="R3367" s="1" t="str">
        <f t="shared" si="839"/>
        <v/>
      </c>
      <c r="S3367" s="1">
        <f t="shared" si="840"/>
        <v>630.90240000000244</v>
      </c>
      <c r="T3367" s="1">
        <f t="shared" si="841"/>
        <v>0</v>
      </c>
      <c r="U3367" s="1">
        <f t="shared" si="842"/>
        <v>0</v>
      </c>
      <c r="V3367" s="1">
        <f t="shared" si="843"/>
        <v>0</v>
      </c>
    </row>
    <row r="3368" spans="5:22" x14ac:dyDescent="0.25">
      <c r="E3368" s="4"/>
      <c r="M3368" s="4">
        <f t="shared" si="836"/>
        <v>173.1</v>
      </c>
      <c r="N3368" s="4"/>
      <c r="O3368" s="1">
        <f t="shared" si="837"/>
        <v>173.1</v>
      </c>
      <c r="P3368" s="1">
        <f t="shared" si="838"/>
        <v>0</v>
      </c>
      <c r="Q3368" s="1" t="str">
        <f t="shared" si="835"/>
        <v/>
      </c>
      <c r="R3368" s="1" t="str">
        <f t="shared" si="839"/>
        <v/>
      </c>
      <c r="S3368" s="1">
        <f t="shared" si="840"/>
        <v>630.90240000000244</v>
      </c>
      <c r="T3368" s="1">
        <f t="shared" si="841"/>
        <v>0</v>
      </c>
      <c r="U3368" s="1">
        <f t="shared" si="842"/>
        <v>0</v>
      </c>
      <c r="V3368" s="1">
        <f t="shared" si="843"/>
        <v>0</v>
      </c>
    </row>
    <row r="3369" spans="5:22" x14ac:dyDescent="0.25">
      <c r="E3369" s="4"/>
      <c r="M3369" s="4">
        <f t="shared" si="836"/>
        <v>173.1</v>
      </c>
      <c r="N3369" s="4"/>
      <c r="O3369" s="1">
        <f t="shared" si="837"/>
        <v>173.1</v>
      </c>
      <c r="P3369" s="1">
        <f t="shared" si="838"/>
        <v>0</v>
      </c>
      <c r="Q3369" s="1" t="str">
        <f t="shared" si="835"/>
        <v/>
      </c>
      <c r="R3369" s="1" t="str">
        <f t="shared" si="839"/>
        <v/>
      </c>
      <c r="S3369" s="1">
        <f t="shared" si="840"/>
        <v>630.90240000000244</v>
      </c>
      <c r="T3369" s="1">
        <f t="shared" si="841"/>
        <v>0</v>
      </c>
      <c r="U3369" s="1">
        <f t="shared" si="842"/>
        <v>0</v>
      </c>
      <c r="V3369" s="1">
        <f t="shared" si="843"/>
        <v>0</v>
      </c>
    </row>
    <row r="3370" spans="5:22" x14ac:dyDescent="0.25">
      <c r="E3370" s="4"/>
      <c r="M3370" s="4">
        <f t="shared" si="836"/>
        <v>173.1</v>
      </c>
      <c r="N3370" s="4"/>
      <c r="O3370" s="1">
        <f t="shared" si="837"/>
        <v>173.1</v>
      </c>
      <c r="P3370" s="1">
        <f t="shared" si="838"/>
        <v>0</v>
      </c>
      <c r="Q3370" s="1" t="str">
        <f t="shared" si="835"/>
        <v/>
      </c>
      <c r="R3370" s="1" t="str">
        <f t="shared" si="839"/>
        <v/>
      </c>
      <c r="S3370" s="1">
        <f t="shared" si="840"/>
        <v>630.90240000000244</v>
      </c>
      <c r="T3370" s="1">
        <f t="shared" si="841"/>
        <v>0</v>
      </c>
      <c r="U3370" s="1">
        <f t="shared" si="842"/>
        <v>0</v>
      </c>
      <c r="V3370" s="1">
        <f t="shared" si="843"/>
        <v>0</v>
      </c>
    </row>
    <row r="3371" spans="5:22" x14ac:dyDescent="0.25">
      <c r="E3371" s="4"/>
      <c r="M3371" s="4">
        <f t="shared" si="836"/>
        <v>173.1</v>
      </c>
      <c r="N3371" s="4"/>
      <c r="O3371" s="1">
        <f t="shared" si="837"/>
        <v>173.1</v>
      </c>
      <c r="P3371" s="1">
        <f t="shared" si="838"/>
        <v>0</v>
      </c>
      <c r="Q3371" s="1" t="str">
        <f t="shared" si="835"/>
        <v/>
      </c>
      <c r="R3371" s="1" t="str">
        <f t="shared" si="839"/>
        <v/>
      </c>
      <c r="S3371" s="1">
        <f t="shared" si="840"/>
        <v>630.90240000000244</v>
      </c>
      <c r="T3371" s="1">
        <f t="shared" si="841"/>
        <v>0</v>
      </c>
      <c r="U3371" s="1">
        <f t="shared" si="842"/>
        <v>0</v>
      </c>
      <c r="V3371" s="1">
        <f t="shared" si="843"/>
        <v>0</v>
      </c>
    </row>
    <row r="3372" spans="5:22" x14ac:dyDescent="0.25">
      <c r="E3372" s="4"/>
      <c r="M3372" s="4">
        <f t="shared" si="836"/>
        <v>173.1</v>
      </c>
      <c r="N3372" s="4"/>
      <c r="O3372" s="1">
        <f t="shared" si="837"/>
        <v>173.1</v>
      </c>
      <c r="P3372" s="1">
        <f t="shared" si="838"/>
        <v>0</v>
      </c>
      <c r="Q3372" s="1" t="str">
        <f t="shared" si="835"/>
        <v/>
      </c>
      <c r="R3372" s="1" t="str">
        <f t="shared" si="839"/>
        <v/>
      </c>
      <c r="S3372" s="1">
        <f t="shared" si="840"/>
        <v>630.90240000000244</v>
      </c>
      <c r="T3372" s="1">
        <f t="shared" si="841"/>
        <v>0</v>
      </c>
      <c r="U3372" s="1">
        <f t="shared" si="842"/>
        <v>0</v>
      </c>
      <c r="V3372" s="1">
        <f t="shared" si="843"/>
        <v>0</v>
      </c>
    </row>
    <row r="3373" spans="5:22" x14ac:dyDescent="0.25">
      <c r="E3373" s="4"/>
      <c r="M3373" s="4">
        <f t="shared" si="836"/>
        <v>173.1</v>
      </c>
      <c r="N3373" s="4"/>
      <c r="O3373" s="1">
        <f t="shared" si="837"/>
        <v>173.1</v>
      </c>
      <c r="P3373" s="1">
        <f t="shared" si="838"/>
        <v>0</v>
      </c>
      <c r="Q3373" s="1" t="str">
        <f t="shared" si="835"/>
        <v/>
      </c>
      <c r="R3373" s="1" t="str">
        <f t="shared" si="839"/>
        <v/>
      </c>
      <c r="S3373" s="1">
        <f t="shared" si="840"/>
        <v>630.90240000000244</v>
      </c>
      <c r="T3373" s="1">
        <f t="shared" si="841"/>
        <v>0</v>
      </c>
      <c r="U3373" s="1">
        <f t="shared" si="842"/>
        <v>0</v>
      </c>
      <c r="V3373" s="1">
        <f t="shared" si="843"/>
        <v>0</v>
      </c>
    </row>
    <row r="3374" spans="5:22" x14ac:dyDescent="0.25">
      <c r="E3374" s="4"/>
      <c r="M3374" s="4">
        <f t="shared" si="836"/>
        <v>173.1</v>
      </c>
      <c r="N3374" s="4"/>
      <c r="O3374" s="1">
        <f t="shared" si="837"/>
        <v>173.1</v>
      </c>
      <c r="P3374" s="1">
        <f t="shared" si="838"/>
        <v>0</v>
      </c>
      <c r="Q3374" s="1" t="str">
        <f t="shared" si="835"/>
        <v/>
      </c>
      <c r="R3374" s="1" t="str">
        <f t="shared" si="839"/>
        <v/>
      </c>
      <c r="S3374" s="1">
        <f t="shared" si="840"/>
        <v>630.90240000000244</v>
      </c>
      <c r="T3374" s="1">
        <f t="shared" si="841"/>
        <v>0</v>
      </c>
      <c r="U3374" s="1">
        <f t="shared" si="842"/>
        <v>0</v>
      </c>
      <c r="V3374" s="1">
        <f t="shared" si="843"/>
        <v>0</v>
      </c>
    </row>
    <row r="3375" spans="5:22" x14ac:dyDescent="0.25">
      <c r="E3375" s="4"/>
      <c r="M3375" s="4">
        <f t="shared" si="836"/>
        <v>173.1</v>
      </c>
      <c r="N3375" s="4"/>
      <c r="O3375" s="1">
        <f t="shared" si="837"/>
        <v>173.1</v>
      </c>
      <c r="P3375" s="1">
        <f t="shared" si="838"/>
        <v>0</v>
      </c>
      <c r="Q3375" s="1" t="str">
        <f t="shared" si="835"/>
        <v/>
      </c>
      <c r="R3375" s="1" t="str">
        <f t="shared" si="839"/>
        <v/>
      </c>
      <c r="S3375" s="1">
        <f t="shared" si="840"/>
        <v>630.90240000000244</v>
      </c>
      <c r="T3375" s="1">
        <f t="shared" si="841"/>
        <v>0</v>
      </c>
      <c r="U3375" s="1">
        <f t="shared" si="842"/>
        <v>0</v>
      </c>
      <c r="V3375" s="1">
        <f t="shared" si="843"/>
        <v>0</v>
      </c>
    </row>
    <row r="3376" spans="5:22" x14ac:dyDescent="0.25">
      <c r="E3376" s="4"/>
      <c r="M3376" s="4">
        <f t="shared" si="836"/>
        <v>173.1</v>
      </c>
      <c r="N3376" s="4"/>
      <c r="O3376" s="1">
        <f t="shared" si="837"/>
        <v>173.1</v>
      </c>
      <c r="P3376" s="1">
        <f t="shared" si="838"/>
        <v>0</v>
      </c>
      <c r="Q3376" s="1" t="str">
        <f t="shared" si="835"/>
        <v/>
      </c>
      <c r="R3376" s="1" t="str">
        <f t="shared" si="839"/>
        <v/>
      </c>
      <c r="S3376" s="1">
        <f t="shared" si="840"/>
        <v>630.90240000000244</v>
      </c>
      <c r="T3376" s="1">
        <f t="shared" si="841"/>
        <v>0</v>
      </c>
      <c r="U3376" s="1">
        <f t="shared" si="842"/>
        <v>0</v>
      </c>
      <c r="V3376" s="1">
        <f t="shared" si="843"/>
        <v>0</v>
      </c>
    </row>
    <row r="3377" spans="5:22" x14ac:dyDescent="0.25">
      <c r="E3377" s="4"/>
      <c r="M3377" s="4">
        <f t="shared" si="836"/>
        <v>173.1</v>
      </c>
      <c r="N3377" s="4"/>
      <c r="O3377" s="1">
        <f t="shared" si="837"/>
        <v>173.1</v>
      </c>
      <c r="P3377" s="1">
        <f t="shared" si="838"/>
        <v>0</v>
      </c>
      <c r="Q3377" s="1" t="str">
        <f t="shared" si="835"/>
        <v/>
      </c>
      <c r="R3377" s="1" t="str">
        <f t="shared" si="839"/>
        <v/>
      </c>
      <c r="S3377" s="1">
        <f t="shared" si="840"/>
        <v>630.90240000000244</v>
      </c>
      <c r="T3377" s="1">
        <f t="shared" si="841"/>
        <v>0</v>
      </c>
      <c r="U3377" s="1">
        <f t="shared" si="842"/>
        <v>0</v>
      </c>
      <c r="V3377" s="1">
        <f t="shared" si="843"/>
        <v>0</v>
      </c>
    </row>
    <row r="3378" spans="5:22" x14ac:dyDescent="0.25">
      <c r="E3378" s="4"/>
      <c r="M3378" s="4">
        <f t="shared" si="836"/>
        <v>173.1</v>
      </c>
      <c r="N3378" s="4"/>
      <c r="O3378" s="1">
        <f t="shared" si="837"/>
        <v>173.1</v>
      </c>
      <c r="P3378" s="1">
        <f t="shared" si="838"/>
        <v>0</v>
      </c>
      <c r="Q3378" s="1" t="str">
        <f t="shared" ref="Q3378:Q3441" si="844">IF(H3378&lt;&gt;"",IF(H3378=H3377,"",H3378),IF(H3376="","",MAX(H3377,Q3377)))</f>
        <v/>
      </c>
      <c r="R3378" s="1" t="str">
        <f t="shared" si="839"/>
        <v/>
      </c>
      <c r="S3378" s="1">
        <f t="shared" si="840"/>
        <v>630.90240000000244</v>
      </c>
      <c r="T3378" s="1">
        <f t="shared" si="841"/>
        <v>0</v>
      </c>
      <c r="U3378" s="1">
        <f t="shared" si="842"/>
        <v>0</v>
      </c>
      <c r="V3378" s="1">
        <f t="shared" si="843"/>
        <v>0</v>
      </c>
    </row>
    <row r="3379" spans="5:22" x14ac:dyDescent="0.25">
      <c r="E3379" s="4"/>
      <c r="M3379" s="4">
        <f t="shared" si="836"/>
        <v>173.1</v>
      </c>
      <c r="N3379" s="4"/>
      <c r="O3379" s="1">
        <f t="shared" si="837"/>
        <v>173.1</v>
      </c>
      <c r="P3379" s="1">
        <f t="shared" si="838"/>
        <v>0</v>
      </c>
      <c r="Q3379" s="1" t="str">
        <f t="shared" si="844"/>
        <v/>
      </c>
      <c r="R3379" s="1" t="str">
        <f t="shared" si="839"/>
        <v/>
      </c>
      <c r="S3379" s="1">
        <f t="shared" si="840"/>
        <v>630.90240000000244</v>
      </c>
      <c r="T3379" s="1">
        <f t="shared" si="841"/>
        <v>0</v>
      </c>
      <c r="U3379" s="1">
        <f t="shared" si="842"/>
        <v>0</v>
      </c>
      <c r="V3379" s="1">
        <f t="shared" si="843"/>
        <v>0</v>
      </c>
    </row>
    <row r="3380" spans="5:22" x14ac:dyDescent="0.25">
      <c r="E3380" s="4"/>
      <c r="M3380" s="4">
        <f t="shared" si="836"/>
        <v>173.1</v>
      </c>
      <c r="N3380" s="4"/>
      <c r="O3380" s="1">
        <f t="shared" si="837"/>
        <v>173.1</v>
      </c>
      <c r="P3380" s="1">
        <f t="shared" si="838"/>
        <v>0</v>
      </c>
      <c r="Q3380" s="1" t="str">
        <f t="shared" si="844"/>
        <v/>
      </c>
      <c r="R3380" s="1" t="str">
        <f t="shared" si="839"/>
        <v/>
      </c>
      <c r="S3380" s="1">
        <f t="shared" si="840"/>
        <v>630.90240000000244</v>
      </c>
      <c r="T3380" s="1">
        <f t="shared" si="841"/>
        <v>0</v>
      </c>
      <c r="U3380" s="1">
        <f t="shared" si="842"/>
        <v>0</v>
      </c>
      <c r="V3380" s="1">
        <f t="shared" si="843"/>
        <v>0</v>
      </c>
    </row>
    <row r="3381" spans="5:22" x14ac:dyDescent="0.25">
      <c r="E3381" s="4"/>
      <c r="M3381" s="4">
        <f t="shared" si="836"/>
        <v>173.1</v>
      </c>
      <c r="N3381" s="4"/>
      <c r="O3381" s="1">
        <f t="shared" si="837"/>
        <v>173.1</v>
      </c>
      <c r="P3381" s="1">
        <f t="shared" si="838"/>
        <v>0</v>
      </c>
      <c r="Q3381" s="1" t="str">
        <f t="shared" si="844"/>
        <v/>
      </c>
      <c r="R3381" s="1" t="str">
        <f t="shared" si="839"/>
        <v/>
      </c>
      <c r="S3381" s="1">
        <f t="shared" si="840"/>
        <v>630.90240000000244</v>
      </c>
      <c r="T3381" s="1">
        <f t="shared" si="841"/>
        <v>0</v>
      </c>
      <c r="U3381" s="1">
        <f t="shared" si="842"/>
        <v>0</v>
      </c>
      <c r="V3381" s="1">
        <f t="shared" si="843"/>
        <v>0</v>
      </c>
    </row>
    <row r="3382" spans="5:22" x14ac:dyDescent="0.25">
      <c r="E3382" s="4"/>
      <c r="M3382" s="4">
        <f t="shared" si="836"/>
        <v>173.1</v>
      </c>
      <c r="N3382" s="4"/>
      <c r="O3382" s="1">
        <f t="shared" si="837"/>
        <v>173.1</v>
      </c>
      <c r="P3382" s="1">
        <f t="shared" si="838"/>
        <v>0</v>
      </c>
      <c r="Q3382" s="1" t="str">
        <f t="shared" si="844"/>
        <v/>
      </c>
      <c r="R3382" s="1" t="str">
        <f t="shared" si="839"/>
        <v/>
      </c>
      <c r="S3382" s="1">
        <f t="shared" si="840"/>
        <v>630.90240000000244</v>
      </c>
      <c r="T3382" s="1">
        <f t="shared" si="841"/>
        <v>0</v>
      </c>
      <c r="U3382" s="1">
        <f t="shared" si="842"/>
        <v>0</v>
      </c>
      <c r="V3382" s="1">
        <f t="shared" si="843"/>
        <v>0</v>
      </c>
    </row>
    <row r="3383" spans="5:22" x14ac:dyDescent="0.25">
      <c r="E3383" s="4"/>
      <c r="M3383" s="4">
        <f t="shared" si="836"/>
        <v>173.1</v>
      </c>
      <c r="N3383" s="4"/>
      <c r="O3383" s="1">
        <f t="shared" si="837"/>
        <v>173.1</v>
      </c>
      <c r="P3383" s="1">
        <f t="shared" si="838"/>
        <v>0</v>
      </c>
      <c r="Q3383" s="1" t="str">
        <f t="shared" si="844"/>
        <v/>
      </c>
      <c r="R3383" s="1" t="str">
        <f t="shared" si="839"/>
        <v/>
      </c>
      <c r="S3383" s="1">
        <f t="shared" si="840"/>
        <v>630.90240000000244</v>
      </c>
      <c r="T3383" s="1">
        <f t="shared" si="841"/>
        <v>0</v>
      </c>
      <c r="U3383" s="1">
        <f t="shared" si="842"/>
        <v>0</v>
      </c>
      <c r="V3383" s="1">
        <f t="shared" si="843"/>
        <v>0</v>
      </c>
    </row>
    <row r="3384" spans="5:22" x14ac:dyDescent="0.25">
      <c r="E3384" s="4"/>
      <c r="M3384" s="4">
        <f t="shared" si="836"/>
        <v>173.1</v>
      </c>
      <c r="N3384" s="4"/>
      <c r="O3384" s="1">
        <f t="shared" si="837"/>
        <v>173.1</v>
      </c>
      <c r="P3384" s="1">
        <f t="shared" si="838"/>
        <v>0</v>
      </c>
      <c r="Q3384" s="1" t="str">
        <f t="shared" si="844"/>
        <v/>
      </c>
      <c r="R3384" s="1" t="str">
        <f t="shared" si="839"/>
        <v/>
      </c>
      <c r="S3384" s="1">
        <f t="shared" si="840"/>
        <v>630.90240000000244</v>
      </c>
      <c r="T3384" s="1">
        <f t="shared" si="841"/>
        <v>0</v>
      </c>
      <c r="U3384" s="1">
        <f t="shared" si="842"/>
        <v>0</v>
      </c>
      <c r="V3384" s="1">
        <f t="shared" si="843"/>
        <v>0</v>
      </c>
    </row>
    <row r="3385" spans="5:22" x14ac:dyDescent="0.25">
      <c r="E3385" s="4"/>
      <c r="M3385" s="4">
        <f t="shared" si="836"/>
        <v>173.1</v>
      </c>
      <c r="N3385" s="4"/>
      <c r="O3385" s="1">
        <f t="shared" si="837"/>
        <v>173.1</v>
      </c>
      <c r="P3385" s="1">
        <f t="shared" si="838"/>
        <v>0</v>
      </c>
      <c r="Q3385" s="1" t="str">
        <f t="shared" si="844"/>
        <v/>
      </c>
      <c r="R3385" s="1" t="str">
        <f t="shared" si="839"/>
        <v/>
      </c>
      <c r="S3385" s="1">
        <f t="shared" si="840"/>
        <v>630.90240000000244</v>
      </c>
      <c r="T3385" s="1">
        <f t="shared" si="841"/>
        <v>0</v>
      </c>
      <c r="U3385" s="1">
        <f t="shared" si="842"/>
        <v>0</v>
      </c>
      <c r="V3385" s="1">
        <f t="shared" si="843"/>
        <v>0</v>
      </c>
    </row>
    <row r="3386" spans="5:22" x14ac:dyDescent="0.25">
      <c r="E3386" s="4"/>
      <c r="M3386" s="4">
        <f t="shared" si="836"/>
        <v>173.1</v>
      </c>
      <c r="N3386" s="4"/>
      <c r="O3386" s="1">
        <f t="shared" si="837"/>
        <v>173.1</v>
      </c>
      <c r="P3386" s="1">
        <f t="shared" si="838"/>
        <v>0</v>
      </c>
      <c r="Q3386" s="1" t="str">
        <f t="shared" si="844"/>
        <v/>
      </c>
      <c r="R3386" s="1" t="str">
        <f t="shared" si="839"/>
        <v/>
      </c>
      <c r="S3386" s="1">
        <f t="shared" si="840"/>
        <v>630.90240000000244</v>
      </c>
      <c r="T3386" s="1">
        <f t="shared" si="841"/>
        <v>0</v>
      </c>
      <c r="U3386" s="1">
        <f t="shared" si="842"/>
        <v>0</v>
      </c>
      <c r="V3386" s="1">
        <f t="shared" si="843"/>
        <v>0</v>
      </c>
    </row>
    <row r="3387" spans="5:22" x14ac:dyDescent="0.25">
      <c r="E3387" s="4"/>
      <c r="M3387" s="4">
        <f t="shared" si="836"/>
        <v>173.1</v>
      </c>
      <c r="N3387" s="4"/>
      <c r="O3387" s="1">
        <f t="shared" si="837"/>
        <v>173.1</v>
      </c>
      <c r="P3387" s="1">
        <f t="shared" si="838"/>
        <v>0</v>
      </c>
      <c r="Q3387" s="1" t="str">
        <f t="shared" si="844"/>
        <v/>
      </c>
      <c r="R3387" s="1" t="str">
        <f t="shared" si="839"/>
        <v/>
      </c>
      <c r="S3387" s="1">
        <f t="shared" si="840"/>
        <v>630.90240000000244</v>
      </c>
      <c r="T3387" s="1">
        <f t="shared" si="841"/>
        <v>0</v>
      </c>
      <c r="U3387" s="1">
        <f t="shared" si="842"/>
        <v>0</v>
      </c>
      <c r="V3387" s="1">
        <f t="shared" si="843"/>
        <v>0</v>
      </c>
    </row>
    <row r="3388" spans="5:22" x14ac:dyDescent="0.25">
      <c r="E3388" s="4"/>
      <c r="M3388" s="4">
        <f t="shared" si="836"/>
        <v>173.1</v>
      </c>
      <c r="N3388" s="4"/>
      <c r="O3388" s="1">
        <f t="shared" si="837"/>
        <v>173.1</v>
      </c>
      <c r="P3388" s="1">
        <f t="shared" si="838"/>
        <v>0</v>
      </c>
      <c r="Q3388" s="1" t="str">
        <f t="shared" si="844"/>
        <v/>
      </c>
      <c r="R3388" s="1" t="str">
        <f t="shared" si="839"/>
        <v/>
      </c>
      <c r="S3388" s="1">
        <f t="shared" si="840"/>
        <v>630.90240000000244</v>
      </c>
      <c r="T3388" s="1">
        <f t="shared" si="841"/>
        <v>0</v>
      </c>
      <c r="U3388" s="1">
        <f t="shared" si="842"/>
        <v>0</v>
      </c>
      <c r="V3388" s="1">
        <f t="shared" si="843"/>
        <v>0</v>
      </c>
    </row>
    <row r="3389" spans="5:22" x14ac:dyDescent="0.25">
      <c r="E3389" s="4"/>
      <c r="M3389" s="4">
        <f t="shared" si="836"/>
        <v>173.1</v>
      </c>
      <c r="N3389" s="4"/>
      <c r="O3389" s="1">
        <f t="shared" si="837"/>
        <v>173.1</v>
      </c>
      <c r="P3389" s="1">
        <f t="shared" si="838"/>
        <v>0</v>
      </c>
      <c r="Q3389" s="1" t="str">
        <f t="shared" si="844"/>
        <v/>
      </c>
      <c r="R3389" s="1" t="str">
        <f t="shared" si="839"/>
        <v/>
      </c>
      <c r="S3389" s="1">
        <f t="shared" si="840"/>
        <v>630.90240000000244</v>
      </c>
      <c r="T3389" s="1">
        <f t="shared" si="841"/>
        <v>0</v>
      </c>
      <c r="U3389" s="1">
        <f t="shared" si="842"/>
        <v>0</v>
      </c>
      <c r="V3389" s="1">
        <f t="shared" si="843"/>
        <v>0</v>
      </c>
    </row>
    <row r="3390" spans="5:22" x14ac:dyDescent="0.25">
      <c r="E3390" s="4"/>
      <c r="M3390" s="4">
        <f t="shared" si="836"/>
        <v>173.1</v>
      </c>
      <c r="N3390" s="4"/>
      <c r="O3390" s="1">
        <f t="shared" si="837"/>
        <v>173.1</v>
      </c>
      <c r="P3390" s="1">
        <f t="shared" si="838"/>
        <v>0</v>
      </c>
      <c r="Q3390" s="1" t="str">
        <f t="shared" si="844"/>
        <v/>
      </c>
      <c r="R3390" s="1" t="str">
        <f t="shared" si="839"/>
        <v/>
      </c>
      <c r="S3390" s="1">
        <f t="shared" si="840"/>
        <v>630.90240000000244</v>
      </c>
      <c r="T3390" s="1">
        <f t="shared" si="841"/>
        <v>0</v>
      </c>
      <c r="U3390" s="1">
        <f t="shared" si="842"/>
        <v>0</v>
      </c>
      <c r="V3390" s="1">
        <f t="shared" si="843"/>
        <v>0</v>
      </c>
    </row>
    <row r="3391" spans="5:22" x14ac:dyDescent="0.25">
      <c r="E3391" s="4"/>
      <c r="M3391" s="4">
        <f t="shared" si="836"/>
        <v>173.1</v>
      </c>
      <c r="N3391" s="4"/>
      <c r="O3391" s="1">
        <f t="shared" si="837"/>
        <v>173.1</v>
      </c>
      <c r="P3391" s="1">
        <f t="shared" si="838"/>
        <v>0</v>
      </c>
      <c r="Q3391" s="1" t="str">
        <f t="shared" si="844"/>
        <v/>
      </c>
      <c r="R3391" s="1" t="str">
        <f t="shared" si="839"/>
        <v/>
      </c>
      <c r="S3391" s="1">
        <f t="shared" si="840"/>
        <v>630.90240000000244</v>
      </c>
      <c r="T3391" s="1">
        <f t="shared" si="841"/>
        <v>0</v>
      </c>
      <c r="U3391" s="1">
        <f t="shared" si="842"/>
        <v>0</v>
      </c>
      <c r="V3391" s="1">
        <f t="shared" si="843"/>
        <v>0</v>
      </c>
    </row>
    <row r="3392" spans="5:22" x14ac:dyDescent="0.25">
      <c r="E3392" s="4"/>
      <c r="M3392" s="4">
        <f t="shared" si="836"/>
        <v>173.1</v>
      </c>
      <c r="N3392" s="4"/>
      <c r="O3392" s="1">
        <f t="shared" si="837"/>
        <v>173.1</v>
      </c>
      <c r="P3392" s="1">
        <f t="shared" si="838"/>
        <v>0</v>
      </c>
      <c r="Q3392" s="1" t="str">
        <f t="shared" si="844"/>
        <v/>
      </c>
      <c r="R3392" s="1" t="str">
        <f t="shared" si="839"/>
        <v/>
      </c>
      <c r="S3392" s="1">
        <f t="shared" si="840"/>
        <v>630.90240000000244</v>
      </c>
      <c r="T3392" s="1">
        <f t="shared" si="841"/>
        <v>0</v>
      </c>
      <c r="U3392" s="1">
        <f t="shared" si="842"/>
        <v>0</v>
      </c>
      <c r="V3392" s="1">
        <f t="shared" si="843"/>
        <v>0</v>
      </c>
    </row>
    <row r="3393" spans="5:22" x14ac:dyDescent="0.25">
      <c r="E3393" s="4"/>
      <c r="M3393" s="4">
        <f t="shared" si="836"/>
        <v>173.1</v>
      </c>
      <c r="N3393" s="4"/>
      <c r="O3393" s="1">
        <f t="shared" si="837"/>
        <v>173.1</v>
      </c>
      <c r="P3393" s="1">
        <f t="shared" si="838"/>
        <v>0</v>
      </c>
      <c r="Q3393" s="1" t="str">
        <f t="shared" si="844"/>
        <v/>
      </c>
      <c r="R3393" s="1" t="str">
        <f t="shared" si="839"/>
        <v/>
      </c>
      <c r="S3393" s="1">
        <f t="shared" si="840"/>
        <v>630.90240000000244</v>
      </c>
      <c r="T3393" s="1">
        <f t="shared" si="841"/>
        <v>0</v>
      </c>
      <c r="U3393" s="1">
        <f t="shared" si="842"/>
        <v>0</v>
      </c>
      <c r="V3393" s="1">
        <f t="shared" si="843"/>
        <v>0</v>
      </c>
    </row>
    <row r="3394" spans="5:22" x14ac:dyDescent="0.25">
      <c r="E3394" s="4"/>
      <c r="M3394" s="4">
        <f t="shared" si="836"/>
        <v>173.1</v>
      </c>
      <c r="N3394" s="4"/>
      <c r="O3394" s="1">
        <f t="shared" si="837"/>
        <v>173.1</v>
      </c>
      <c r="P3394" s="1">
        <f t="shared" si="838"/>
        <v>0</v>
      </c>
      <c r="Q3394" s="1" t="str">
        <f t="shared" si="844"/>
        <v/>
      </c>
      <c r="R3394" s="1" t="str">
        <f t="shared" si="839"/>
        <v/>
      </c>
      <c r="S3394" s="1">
        <f t="shared" si="840"/>
        <v>630.90240000000244</v>
      </c>
      <c r="T3394" s="1">
        <f t="shared" si="841"/>
        <v>0</v>
      </c>
      <c r="U3394" s="1">
        <f t="shared" si="842"/>
        <v>0</v>
      </c>
      <c r="V3394" s="1">
        <f t="shared" si="843"/>
        <v>0</v>
      </c>
    </row>
    <row r="3395" spans="5:22" x14ac:dyDescent="0.25">
      <c r="E3395" s="4"/>
      <c r="M3395" s="4">
        <f t="shared" si="836"/>
        <v>173.1</v>
      </c>
      <c r="N3395" s="4"/>
      <c r="O3395" s="1">
        <f t="shared" si="837"/>
        <v>173.1</v>
      </c>
      <c r="P3395" s="1">
        <f t="shared" si="838"/>
        <v>0</v>
      </c>
      <c r="Q3395" s="1" t="str">
        <f t="shared" si="844"/>
        <v/>
      </c>
      <c r="R3395" s="1" t="str">
        <f t="shared" si="839"/>
        <v/>
      </c>
      <c r="S3395" s="1">
        <f t="shared" si="840"/>
        <v>630.90240000000244</v>
      </c>
      <c r="T3395" s="1">
        <f t="shared" si="841"/>
        <v>0</v>
      </c>
      <c r="U3395" s="1">
        <f t="shared" si="842"/>
        <v>0</v>
      </c>
      <c r="V3395" s="1">
        <f t="shared" si="843"/>
        <v>0</v>
      </c>
    </row>
    <row r="3396" spans="5:22" x14ac:dyDescent="0.25">
      <c r="E3396" s="4"/>
      <c r="M3396" s="4">
        <f t="shared" si="836"/>
        <v>173.1</v>
      </c>
      <c r="N3396" s="4"/>
      <c r="O3396" s="1">
        <f t="shared" si="837"/>
        <v>173.1</v>
      </c>
      <c r="P3396" s="1">
        <f t="shared" si="838"/>
        <v>0</v>
      </c>
      <c r="Q3396" s="1" t="str">
        <f t="shared" si="844"/>
        <v/>
      </c>
      <c r="R3396" s="1" t="str">
        <f t="shared" si="839"/>
        <v/>
      </c>
      <c r="S3396" s="1">
        <f t="shared" si="840"/>
        <v>630.90240000000244</v>
      </c>
      <c r="T3396" s="1">
        <f t="shared" si="841"/>
        <v>0</v>
      </c>
      <c r="U3396" s="1">
        <f t="shared" si="842"/>
        <v>0</v>
      </c>
      <c r="V3396" s="1">
        <f t="shared" si="843"/>
        <v>0</v>
      </c>
    </row>
    <row r="3397" spans="5:22" x14ac:dyDescent="0.25">
      <c r="E3397" s="4"/>
      <c r="M3397" s="4">
        <f t="shared" si="836"/>
        <v>173.1</v>
      </c>
      <c r="N3397" s="4"/>
      <c r="O3397" s="1">
        <f t="shared" si="837"/>
        <v>173.1</v>
      </c>
      <c r="P3397" s="1">
        <f t="shared" si="838"/>
        <v>0</v>
      </c>
      <c r="Q3397" s="1" t="str">
        <f t="shared" si="844"/>
        <v/>
      </c>
      <c r="R3397" s="1" t="str">
        <f t="shared" si="839"/>
        <v/>
      </c>
      <c r="S3397" s="1">
        <f t="shared" si="840"/>
        <v>630.90240000000244</v>
      </c>
      <c r="T3397" s="1">
        <f t="shared" si="841"/>
        <v>0</v>
      </c>
      <c r="U3397" s="1">
        <f t="shared" si="842"/>
        <v>0</v>
      </c>
      <c r="V3397" s="1">
        <f t="shared" si="843"/>
        <v>0</v>
      </c>
    </row>
    <row r="3398" spans="5:22" x14ac:dyDescent="0.25">
      <c r="E3398" s="4"/>
      <c r="M3398" s="4">
        <f t="shared" si="836"/>
        <v>173.1</v>
      </c>
      <c r="N3398" s="4"/>
      <c r="O3398" s="1">
        <f t="shared" si="837"/>
        <v>173.1</v>
      </c>
      <c r="P3398" s="1">
        <f t="shared" si="838"/>
        <v>0</v>
      </c>
      <c r="Q3398" s="1" t="str">
        <f t="shared" si="844"/>
        <v/>
      </c>
      <c r="R3398" s="1" t="str">
        <f t="shared" si="839"/>
        <v/>
      </c>
      <c r="S3398" s="1">
        <f t="shared" si="840"/>
        <v>630.90240000000244</v>
      </c>
      <c r="T3398" s="1">
        <f t="shared" si="841"/>
        <v>0</v>
      </c>
      <c r="U3398" s="1">
        <f t="shared" si="842"/>
        <v>0</v>
      </c>
      <c r="V3398" s="1">
        <f t="shared" si="843"/>
        <v>0</v>
      </c>
    </row>
    <row r="3399" spans="5:22" x14ac:dyDescent="0.25">
      <c r="E3399" s="4"/>
      <c r="M3399" s="4">
        <f t="shared" si="836"/>
        <v>173.1</v>
      </c>
      <c r="N3399" s="4"/>
      <c r="O3399" s="1">
        <f t="shared" si="837"/>
        <v>173.1</v>
      </c>
      <c r="P3399" s="1">
        <f t="shared" si="838"/>
        <v>0</v>
      </c>
      <c r="Q3399" s="1" t="str">
        <f t="shared" si="844"/>
        <v/>
      </c>
      <c r="R3399" s="1" t="str">
        <f t="shared" si="839"/>
        <v/>
      </c>
      <c r="S3399" s="1">
        <f t="shared" si="840"/>
        <v>630.90240000000244</v>
      </c>
      <c r="T3399" s="1">
        <f t="shared" si="841"/>
        <v>0</v>
      </c>
      <c r="U3399" s="1">
        <f t="shared" si="842"/>
        <v>0</v>
      </c>
      <c r="V3399" s="1">
        <f t="shared" si="843"/>
        <v>0</v>
      </c>
    </row>
    <row r="3400" spans="5:22" x14ac:dyDescent="0.25">
      <c r="E3400" s="4"/>
      <c r="M3400" s="4">
        <f t="shared" ref="M3400:M3463" si="845">E3400+M3399</f>
        <v>173.1</v>
      </c>
      <c r="N3400" s="4"/>
      <c r="O3400" s="1">
        <f t="shared" ref="O3400:O3463" si="846">E3399+O3399</f>
        <v>173.1</v>
      </c>
      <c r="P3400" s="1">
        <f t="shared" ref="P3400:P3463" si="847">F3400*52.8*E3400</f>
        <v>0</v>
      </c>
      <c r="Q3400" s="1" t="str">
        <f t="shared" si="844"/>
        <v/>
      </c>
      <c r="R3400" s="1" t="str">
        <f t="shared" ref="R3400:R3463" si="848">IF(I3400="",Q3400,IF(AND(H3400=H3399,I3400=I3399),"",I3400))</f>
        <v/>
      </c>
      <c r="S3400" s="1">
        <f t="shared" ref="S3400:S3463" si="849">S3399+U3399*T3399/100</f>
        <v>630.90240000000244</v>
      </c>
      <c r="T3400" s="1">
        <f t="shared" ref="T3400:T3463" si="850">IF(G3400="UNK",0,G3400)</f>
        <v>0</v>
      </c>
      <c r="U3400" s="1">
        <f t="shared" ref="U3400:U3463" si="851">E3400*5280</f>
        <v>0</v>
      </c>
      <c r="V3400" s="1">
        <f t="shared" ref="V3400:V3463" si="852">ABS(T3400*U3400)</f>
        <v>0</v>
      </c>
    </row>
    <row r="3401" spans="5:22" x14ac:dyDescent="0.25">
      <c r="E3401" s="4"/>
      <c r="M3401" s="4">
        <f t="shared" si="845"/>
        <v>173.1</v>
      </c>
      <c r="N3401" s="4"/>
      <c r="O3401" s="1">
        <f t="shared" si="846"/>
        <v>173.1</v>
      </c>
      <c r="P3401" s="1">
        <f t="shared" si="847"/>
        <v>0</v>
      </c>
      <c r="Q3401" s="1" t="str">
        <f t="shared" si="844"/>
        <v/>
      </c>
      <c r="R3401" s="1" t="str">
        <f t="shared" si="848"/>
        <v/>
      </c>
      <c r="S3401" s="1">
        <f t="shared" si="849"/>
        <v>630.90240000000244</v>
      </c>
      <c r="T3401" s="1">
        <f t="shared" si="850"/>
        <v>0</v>
      </c>
      <c r="U3401" s="1">
        <f t="shared" si="851"/>
        <v>0</v>
      </c>
      <c r="V3401" s="1">
        <f t="shared" si="852"/>
        <v>0</v>
      </c>
    </row>
    <row r="3402" spans="5:22" x14ac:dyDescent="0.25">
      <c r="E3402" s="4"/>
      <c r="M3402" s="4">
        <f t="shared" si="845"/>
        <v>173.1</v>
      </c>
      <c r="N3402" s="4"/>
      <c r="O3402" s="1">
        <f t="shared" si="846"/>
        <v>173.1</v>
      </c>
      <c r="P3402" s="1">
        <f t="shared" si="847"/>
        <v>0</v>
      </c>
      <c r="Q3402" s="1" t="str">
        <f t="shared" si="844"/>
        <v/>
      </c>
      <c r="R3402" s="1" t="str">
        <f t="shared" si="848"/>
        <v/>
      </c>
      <c r="S3402" s="1">
        <f t="shared" si="849"/>
        <v>630.90240000000244</v>
      </c>
      <c r="T3402" s="1">
        <f t="shared" si="850"/>
        <v>0</v>
      </c>
      <c r="U3402" s="1">
        <f t="shared" si="851"/>
        <v>0</v>
      </c>
      <c r="V3402" s="1">
        <f t="shared" si="852"/>
        <v>0</v>
      </c>
    </row>
    <row r="3403" spans="5:22" x14ac:dyDescent="0.25">
      <c r="E3403" s="4"/>
      <c r="M3403" s="4">
        <f t="shared" si="845"/>
        <v>173.1</v>
      </c>
      <c r="N3403" s="4"/>
      <c r="O3403" s="1">
        <f t="shared" si="846"/>
        <v>173.1</v>
      </c>
      <c r="P3403" s="1">
        <f t="shared" si="847"/>
        <v>0</v>
      </c>
      <c r="Q3403" s="1" t="str">
        <f t="shared" si="844"/>
        <v/>
      </c>
      <c r="R3403" s="1" t="str">
        <f t="shared" si="848"/>
        <v/>
      </c>
      <c r="S3403" s="1">
        <f t="shared" si="849"/>
        <v>630.90240000000244</v>
      </c>
      <c r="T3403" s="1">
        <f t="shared" si="850"/>
        <v>0</v>
      </c>
      <c r="U3403" s="1">
        <f t="shared" si="851"/>
        <v>0</v>
      </c>
      <c r="V3403" s="1">
        <f t="shared" si="852"/>
        <v>0</v>
      </c>
    </row>
    <row r="3404" spans="5:22" x14ac:dyDescent="0.25">
      <c r="E3404" s="4"/>
      <c r="M3404" s="4">
        <f t="shared" si="845"/>
        <v>173.1</v>
      </c>
      <c r="N3404" s="4"/>
      <c r="O3404" s="1">
        <f t="shared" si="846"/>
        <v>173.1</v>
      </c>
      <c r="P3404" s="1">
        <f t="shared" si="847"/>
        <v>0</v>
      </c>
      <c r="Q3404" s="1" t="str">
        <f t="shared" si="844"/>
        <v/>
      </c>
      <c r="R3404" s="1" t="str">
        <f t="shared" si="848"/>
        <v/>
      </c>
      <c r="S3404" s="1">
        <f t="shared" si="849"/>
        <v>630.90240000000244</v>
      </c>
      <c r="T3404" s="1">
        <f t="shared" si="850"/>
        <v>0</v>
      </c>
      <c r="U3404" s="1">
        <f t="shared" si="851"/>
        <v>0</v>
      </c>
      <c r="V3404" s="1">
        <f t="shared" si="852"/>
        <v>0</v>
      </c>
    </row>
    <row r="3405" spans="5:22" x14ac:dyDescent="0.25">
      <c r="E3405" s="4"/>
      <c r="M3405" s="4">
        <f t="shared" si="845"/>
        <v>173.1</v>
      </c>
      <c r="N3405" s="4"/>
      <c r="O3405" s="1">
        <f t="shared" si="846"/>
        <v>173.1</v>
      </c>
      <c r="P3405" s="1">
        <f t="shared" si="847"/>
        <v>0</v>
      </c>
      <c r="Q3405" s="1" t="str">
        <f t="shared" si="844"/>
        <v/>
      </c>
      <c r="R3405" s="1" t="str">
        <f t="shared" si="848"/>
        <v/>
      </c>
      <c r="S3405" s="1">
        <f t="shared" si="849"/>
        <v>630.90240000000244</v>
      </c>
      <c r="T3405" s="1">
        <f t="shared" si="850"/>
        <v>0</v>
      </c>
      <c r="U3405" s="1">
        <f t="shared" si="851"/>
        <v>0</v>
      </c>
      <c r="V3405" s="1">
        <f t="shared" si="852"/>
        <v>0</v>
      </c>
    </row>
    <row r="3406" spans="5:22" x14ac:dyDescent="0.25">
      <c r="E3406" s="4"/>
      <c r="M3406" s="4">
        <f t="shared" si="845"/>
        <v>173.1</v>
      </c>
      <c r="N3406" s="4"/>
      <c r="O3406" s="1">
        <f t="shared" si="846"/>
        <v>173.1</v>
      </c>
      <c r="P3406" s="1">
        <f t="shared" si="847"/>
        <v>0</v>
      </c>
      <c r="Q3406" s="1" t="str">
        <f t="shared" si="844"/>
        <v/>
      </c>
      <c r="R3406" s="1" t="str">
        <f t="shared" si="848"/>
        <v/>
      </c>
      <c r="S3406" s="1">
        <f t="shared" si="849"/>
        <v>630.90240000000244</v>
      </c>
      <c r="T3406" s="1">
        <f t="shared" si="850"/>
        <v>0</v>
      </c>
      <c r="U3406" s="1">
        <f t="shared" si="851"/>
        <v>0</v>
      </c>
      <c r="V3406" s="1">
        <f t="shared" si="852"/>
        <v>0</v>
      </c>
    </row>
    <row r="3407" spans="5:22" x14ac:dyDescent="0.25">
      <c r="E3407" s="4"/>
      <c r="M3407" s="4">
        <f t="shared" si="845"/>
        <v>173.1</v>
      </c>
      <c r="N3407" s="4"/>
      <c r="O3407" s="1">
        <f t="shared" si="846"/>
        <v>173.1</v>
      </c>
      <c r="P3407" s="1">
        <f t="shared" si="847"/>
        <v>0</v>
      </c>
      <c r="Q3407" s="1" t="str">
        <f t="shared" si="844"/>
        <v/>
      </c>
      <c r="R3407" s="1" t="str">
        <f t="shared" si="848"/>
        <v/>
      </c>
      <c r="S3407" s="1">
        <f t="shared" si="849"/>
        <v>630.90240000000244</v>
      </c>
      <c r="T3407" s="1">
        <f t="shared" si="850"/>
        <v>0</v>
      </c>
      <c r="U3407" s="1">
        <f t="shared" si="851"/>
        <v>0</v>
      </c>
      <c r="V3407" s="1">
        <f t="shared" si="852"/>
        <v>0</v>
      </c>
    </row>
    <row r="3408" spans="5:22" x14ac:dyDescent="0.25">
      <c r="E3408" s="4"/>
      <c r="M3408" s="4">
        <f t="shared" si="845"/>
        <v>173.1</v>
      </c>
      <c r="N3408" s="4"/>
      <c r="O3408" s="1">
        <f t="shared" si="846"/>
        <v>173.1</v>
      </c>
      <c r="P3408" s="1">
        <f t="shared" si="847"/>
        <v>0</v>
      </c>
      <c r="Q3408" s="1" t="str">
        <f t="shared" si="844"/>
        <v/>
      </c>
      <c r="R3408" s="1" t="str">
        <f t="shared" si="848"/>
        <v/>
      </c>
      <c r="S3408" s="1">
        <f t="shared" si="849"/>
        <v>630.90240000000244</v>
      </c>
      <c r="T3408" s="1">
        <f t="shared" si="850"/>
        <v>0</v>
      </c>
      <c r="U3408" s="1">
        <f t="shared" si="851"/>
        <v>0</v>
      </c>
      <c r="V3408" s="1">
        <f t="shared" si="852"/>
        <v>0</v>
      </c>
    </row>
    <row r="3409" spans="5:22" x14ac:dyDescent="0.25">
      <c r="E3409" s="4"/>
      <c r="M3409" s="4">
        <f t="shared" si="845"/>
        <v>173.1</v>
      </c>
      <c r="N3409" s="4"/>
      <c r="O3409" s="1">
        <f t="shared" si="846"/>
        <v>173.1</v>
      </c>
      <c r="P3409" s="1">
        <f t="shared" si="847"/>
        <v>0</v>
      </c>
      <c r="Q3409" s="1" t="str">
        <f t="shared" si="844"/>
        <v/>
      </c>
      <c r="R3409" s="1" t="str">
        <f t="shared" si="848"/>
        <v/>
      </c>
      <c r="S3409" s="1">
        <f t="shared" si="849"/>
        <v>630.90240000000244</v>
      </c>
      <c r="T3409" s="1">
        <f t="shared" si="850"/>
        <v>0</v>
      </c>
      <c r="U3409" s="1">
        <f t="shared" si="851"/>
        <v>0</v>
      </c>
      <c r="V3409" s="1">
        <f t="shared" si="852"/>
        <v>0</v>
      </c>
    </row>
    <row r="3410" spans="5:22" x14ac:dyDescent="0.25">
      <c r="E3410" s="4"/>
      <c r="M3410" s="4">
        <f t="shared" si="845"/>
        <v>173.1</v>
      </c>
      <c r="N3410" s="4"/>
      <c r="O3410" s="1">
        <f t="shared" si="846"/>
        <v>173.1</v>
      </c>
      <c r="P3410" s="1">
        <f t="shared" si="847"/>
        <v>0</v>
      </c>
      <c r="Q3410" s="1" t="str">
        <f t="shared" si="844"/>
        <v/>
      </c>
      <c r="R3410" s="1" t="str">
        <f t="shared" si="848"/>
        <v/>
      </c>
      <c r="S3410" s="1">
        <f t="shared" si="849"/>
        <v>630.90240000000244</v>
      </c>
      <c r="T3410" s="1">
        <f t="shared" si="850"/>
        <v>0</v>
      </c>
      <c r="U3410" s="1">
        <f t="shared" si="851"/>
        <v>0</v>
      </c>
      <c r="V3410" s="1">
        <f t="shared" si="852"/>
        <v>0</v>
      </c>
    </row>
    <row r="3411" spans="5:22" x14ac:dyDescent="0.25">
      <c r="E3411" s="4"/>
      <c r="M3411" s="4">
        <f t="shared" si="845"/>
        <v>173.1</v>
      </c>
      <c r="N3411" s="4"/>
      <c r="O3411" s="1">
        <f t="shared" si="846"/>
        <v>173.1</v>
      </c>
      <c r="P3411" s="1">
        <f t="shared" si="847"/>
        <v>0</v>
      </c>
      <c r="Q3411" s="1" t="str">
        <f t="shared" si="844"/>
        <v/>
      </c>
      <c r="R3411" s="1" t="str">
        <f t="shared" si="848"/>
        <v/>
      </c>
      <c r="S3411" s="1">
        <f t="shared" si="849"/>
        <v>630.90240000000244</v>
      </c>
      <c r="T3411" s="1">
        <f t="shared" si="850"/>
        <v>0</v>
      </c>
      <c r="U3411" s="1">
        <f t="shared" si="851"/>
        <v>0</v>
      </c>
      <c r="V3411" s="1">
        <f t="shared" si="852"/>
        <v>0</v>
      </c>
    </row>
    <row r="3412" spans="5:22" x14ac:dyDescent="0.25">
      <c r="E3412" s="4"/>
      <c r="M3412" s="4">
        <f t="shared" si="845"/>
        <v>173.1</v>
      </c>
      <c r="N3412" s="4"/>
      <c r="O3412" s="1">
        <f t="shared" si="846"/>
        <v>173.1</v>
      </c>
      <c r="P3412" s="1">
        <f t="shared" si="847"/>
        <v>0</v>
      </c>
      <c r="Q3412" s="1" t="str">
        <f t="shared" si="844"/>
        <v/>
      </c>
      <c r="R3412" s="1" t="str">
        <f t="shared" si="848"/>
        <v/>
      </c>
      <c r="S3412" s="1">
        <f t="shared" si="849"/>
        <v>630.90240000000244</v>
      </c>
      <c r="T3412" s="1">
        <f t="shared" si="850"/>
        <v>0</v>
      </c>
      <c r="U3412" s="1">
        <f t="shared" si="851"/>
        <v>0</v>
      </c>
      <c r="V3412" s="1">
        <f t="shared" si="852"/>
        <v>0</v>
      </c>
    </row>
    <row r="3413" spans="5:22" x14ac:dyDescent="0.25">
      <c r="E3413" s="4"/>
      <c r="M3413" s="4">
        <f t="shared" si="845"/>
        <v>173.1</v>
      </c>
      <c r="N3413" s="4"/>
      <c r="O3413" s="1">
        <f t="shared" si="846"/>
        <v>173.1</v>
      </c>
      <c r="P3413" s="1">
        <f t="shared" si="847"/>
        <v>0</v>
      </c>
      <c r="Q3413" s="1" t="str">
        <f t="shared" si="844"/>
        <v/>
      </c>
      <c r="R3413" s="1" t="str">
        <f t="shared" si="848"/>
        <v/>
      </c>
      <c r="S3413" s="1">
        <f t="shared" si="849"/>
        <v>630.90240000000244</v>
      </c>
      <c r="T3413" s="1">
        <f t="shared" si="850"/>
        <v>0</v>
      </c>
      <c r="U3413" s="1">
        <f t="shared" si="851"/>
        <v>0</v>
      </c>
      <c r="V3413" s="1">
        <f t="shared" si="852"/>
        <v>0</v>
      </c>
    </row>
    <row r="3414" spans="5:22" x14ac:dyDescent="0.25">
      <c r="E3414" s="4"/>
      <c r="M3414" s="4">
        <f t="shared" si="845"/>
        <v>173.1</v>
      </c>
      <c r="N3414" s="4"/>
      <c r="O3414" s="1">
        <f t="shared" si="846"/>
        <v>173.1</v>
      </c>
      <c r="P3414" s="1">
        <f t="shared" si="847"/>
        <v>0</v>
      </c>
      <c r="Q3414" s="1" t="str">
        <f t="shared" si="844"/>
        <v/>
      </c>
      <c r="R3414" s="1" t="str">
        <f t="shared" si="848"/>
        <v/>
      </c>
      <c r="S3414" s="1">
        <f t="shared" si="849"/>
        <v>630.90240000000244</v>
      </c>
      <c r="T3414" s="1">
        <f t="shared" si="850"/>
        <v>0</v>
      </c>
      <c r="U3414" s="1">
        <f t="shared" si="851"/>
        <v>0</v>
      </c>
      <c r="V3414" s="1">
        <f t="shared" si="852"/>
        <v>0</v>
      </c>
    </row>
    <row r="3415" spans="5:22" x14ac:dyDescent="0.25">
      <c r="E3415" s="4"/>
      <c r="M3415" s="4">
        <f t="shared" si="845"/>
        <v>173.1</v>
      </c>
      <c r="N3415" s="4"/>
      <c r="O3415" s="1">
        <f t="shared" si="846"/>
        <v>173.1</v>
      </c>
      <c r="P3415" s="1">
        <f t="shared" si="847"/>
        <v>0</v>
      </c>
      <c r="Q3415" s="1" t="str">
        <f t="shared" si="844"/>
        <v/>
      </c>
      <c r="R3415" s="1" t="str">
        <f t="shared" si="848"/>
        <v/>
      </c>
      <c r="S3415" s="1">
        <f t="shared" si="849"/>
        <v>630.90240000000244</v>
      </c>
      <c r="T3415" s="1">
        <f t="shared" si="850"/>
        <v>0</v>
      </c>
      <c r="U3415" s="1">
        <f t="shared" si="851"/>
        <v>0</v>
      </c>
      <c r="V3415" s="1">
        <f t="shared" si="852"/>
        <v>0</v>
      </c>
    </row>
    <row r="3416" spans="5:22" x14ac:dyDescent="0.25">
      <c r="E3416" s="4"/>
      <c r="M3416" s="4">
        <f t="shared" si="845"/>
        <v>173.1</v>
      </c>
      <c r="N3416" s="4"/>
      <c r="O3416" s="1">
        <f t="shared" si="846"/>
        <v>173.1</v>
      </c>
      <c r="P3416" s="1">
        <f t="shared" si="847"/>
        <v>0</v>
      </c>
      <c r="Q3416" s="1" t="str">
        <f t="shared" si="844"/>
        <v/>
      </c>
      <c r="R3416" s="1" t="str">
        <f t="shared" si="848"/>
        <v/>
      </c>
      <c r="S3416" s="1">
        <f t="shared" si="849"/>
        <v>630.90240000000244</v>
      </c>
      <c r="T3416" s="1">
        <f t="shared" si="850"/>
        <v>0</v>
      </c>
      <c r="U3416" s="1">
        <f t="shared" si="851"/>
        <v>0</v>
      </c>
      <c r="V3416" s="1">
        <f t="shared" si="852"/>
        <v>0</v>
      </c>
    </row>
    <row r="3417" spans="5:22" x14ac:dyDescent="0.25">
      <c r="E3417" s="4"/>
      <c r="M3417" s="4">
        <f t="shared" si="845"/>
        <v>173.1</v>
      </c>
      <c r="N3417" s="4"/>
      <c r="O3417" s="1">
        <f t="shared" si="846"/>
        <v>173.1</v>
      </c>
      <c r="P3417" s="1">
        <f t="shared" si="847"/>
        <v>0</v>
      </c>
      <c r="Q3417" s="1" t="str">
        <f t="shared" si="844"/>
        <v/>
      </c>
      <c r="R3417" s="1" t="str">
        <f t="shared" si="848"/>
        <v/>
      </c>
      <c r="S3417" s="1">
        <f t="shared" si="849"/>
        <v>630.90240000000244</v>
      </c>
      <c r="T3417" s="1">
        <f t="shared" si="850"/>
        <v>0</v>
      </c>
      <c r="U3417" s="1">
        <f t="shared" si="851"/>
        <v>0</v>
      </c>
      <c r="V3417" s="1">
        <f t="shared" si="852"/>
        <v>0</v>
      </c>
    </row>
    <row r="3418" spans="5:22" x14ac:dyDescent="0.25">
      <c r="E3418" s="4"/>
      <c r="M3418" s="4">
        <f t="shared" si="845"/>
        <v>173.1</v>
      </c>
      <c r="N3418" s="4"/>
      <c r="O3418" s="1">
        <f t="shared" si="846"/>
        <v>173.1</v>
      </c>
      <c r="P3418" s="1">
        <f t="shared" si="847"/>
        <v>0</v>
      </c>
      <c r="Q3418" s="1" t="str">
        <f t="shared" si="844"/>
        <v/>
      </c>
      <c r="R3418" s="1" t="str">
        <f t="shared" si="848"/>
        <v/>
      </c>
      <c r="S3418" s="1">
        <f t="shared" si="849"/>
        <v>630.90240000000244</v>
      </c>
      <c r="T3418" s="1">
        <f t="shared" si="850"/>
        <v>0</v>
      </c>
      <c r="U3418" s="1">
        <f t="shared" si="851"/>
        <v>0</v>
      </c>
      <c r="V3418" s="1">
        <f t="shared" si="852"/>
        <v>0</v>
      </c>
    </row>
    <row r="3419" spans="5:22" x14ac:dyDescent="0.25">
      <c r="E3419" s="4"/>
      <c r="M3419" s="4">
        <f t="shared" si="845"/>
        <v>173.1</v>
      </c>
      <c r="N3419" s="4"/>
      <c r="O3419" s="1">
        <f t="shared" si="846"/>
        <v>173.1</v>
      </c>
      <c r="P3419" s="1">
        <f t="shared" si="847"/>
        <v>0</v>
      </c>
      <c r="Q3419" s="1" t="str">
        <f t="shared" si="844"/>
        <v/>
      </c>
      <c r="R3419" s="1" t="str">
        <f t="shared" si="848"/>
        <v/>
      </c>
      <c r="S3419" s="1">
        <f t="shared" si="849"/>
        <v>630.90240000000244</v>
      </c>
      <c r="T3419" s="1">
        <f t="shared" si="850"/>
        <v>0</v>
      </c>
      <c r="U3419" s="1">
        <f t="shared" si="851"/>
        <v>0</v>
      </c>
      <c r="V3419" s="1">
        <f t="shared" si="852"/>
        <v>0</v>
      </c>
    </row>
    <row r="3420" spans="5:22" x14ac:dyDescent="0.25">
      <c r="E3420" s="4"/>
      <c r="M3420" s="4">
        <f t="shared" si="845"/>
        <v>173.1</v>
      </c>
      <c r="N3420" s="4"/>
      <c r="O3420" s="1">
        <f t="shared" si="846"/>
        <v>173.1</v>
      </c>
      <c r="P3420" s="1">
        <f t="shared" si="847"/>
        <v>0</v>
      </c>
      <c r="Q3420" s="1" t="str">
        <f t="shared" si="844"/>
        <v/>
      </c>
      <c r="R3420" s="1" t="str">
        <f t="shared" si="848"/>
        <v/>
      </c>
      <c r="S3420" s="1">
        <f t="shared" si="849"/>
        <v>630.90240000000244</v>
      </c>
      <c r="T3420" s="1">
        <f t="shared" si="850"/>
        <v>0</v>
      </c>
      <c r="U3420" s="1">
        <f t="shared" si="851"/>
        <v>0</v>
      </c>
      <c r="V3420" s="1">
        <f t="shared" si="852"/>
        <v>0</v>
      </c>
    </row>
    <row r="3421" spans="5:22" x14ac:dyDescent="0.25">
      <c r="E3421" s="4"/>
      <c r="M3421" s="4">
        <f t="shared" si="845"/>
        <v>173.1</v>
      </c>
      <c r="N3421" s="4"/>
      <c r="O3421" s="1">
        <f t="shared" si="846"/>
        <v>173.1</v>
      </c>
      <c r="P3421" s="1">
        <f t="shared" si="847"/>
        <v>0</v>
      </c>
      <c r="Q3421" s="1" t="str">
        <f t="shared" si="844"/>
        <v/>
      </c>
      <c r="R3421" s="1" t="str">
        <f t="shared" si="848"/>
        <v/>
      </c>
      <c r="S3421" s="1">
        <f t="shared" si="849"/>
        <v>630.90240000000244</v>
      </c>
      <c r="T3421" s="1">
        <f t="shared" si="850"/>
        <v>0</v>
      </c>
      <c r="U3421" s="1">
        <f t="shared" si="851"/>
        <v>0</v>
      </c>
      <c r="V3421" s="1">
        <f t="shared" si="852"/>
        <v>0</v>
      </c>
    </row>
    <row r="3422" spans="5:22" x14ac:dyDescent="0.25">
      <c r="E3422" s="4"/>
      <c r="M3422" s="4">
        <f t="shared" si="845"/>
        <v>173.1</v>
      </c>
      <c r="N3422" s="4"/>
      <c r="O3422" s="1">
        <f t="shared" si="846"/>
        <v>173.1</v>
      </c>
      <c r="P3422" s="1">
        <f t="shared" si="847"/>
        <v>0</v>
      </c>
      <c r="Q3422" s="1" t="str">
        <f t="shared" si="844"/>
        <v/>
      </c>
      <c r="R3422" s="1" t="str">
        <f t="shared" si="848"/>
        <v/>
      </c>
      <c r="S3422" s="1">
        <f t="shared" si="849"/>
        <v>630.90240000000244</v>
      </c>
      <c r="T3422" s="1">
        <f t="shared" si="850"/>
        <v>0</v>
      </c>
      <c r="U3422" s="1">
        <f t="shared" si="851"/>
        <v>0</v>
      </c>
      <c r="V3422" s="1">
        <f t="shared" si="852"/>
        <v>0</v>
      </c>
    </row>
    <row r="3423" spans="5:22" x14ac:dyDescent="0.25">
      <c r="E3423" s="4"/>
      <c r="M3423" s="4">
        <f t="shared" si="845"/>
        <v>173.1</v>
      </c>
      <c r="N3423" s="4"/>
      <c r="O3423" s="1">
        <f t="shared" si="846"/>
        <v>173.1</v>
      </c>
      <c r="P3423" s="1">
        <f t="shared" si="847"/>
        <v>0</v>
      </c>
      <c r="Q3423" s="1" t="str">
        <f t="shared" si="844"/>
        <v/>
      </c>
      <c r="R3423" s="1" t="str">
        <f t="shared" si="848"/>
        <v/>
      </c>
      <c r="S3423" s="1">
        <f t="shared" si="849"/>
        <v>630.90240000000244</v>
      </c>
      <c r="T3423" s="1">
        <f t="shared" si="850"/>
        <v>0</v>
      </c>
      <c r="U3423" s="1">
        <f t="shared" si="851"/>
        <v>0</v>
      </c>
      <c r="V3423" s="1">
        <f t="shared" si="852"/>
        <v>0</v>
      </c>
    </row>
    <row r="3424" spans="5:22" x14ac:dyDescent="0.25">
      <c r="E3424" s="4"/>
      <c r="M3424" s="4">
        <f t="shared" si="845"/>
        <v>173.1</v>
      </c>
      <c r="N3424" s="4"/>
      <c r="O3424" s="1">
        <f t="shared" si="846"/>
        <v>173.1</v>
      </c>
      <c r="P3424" s="1">
        <f t="shared" si="847"/>
        <v>0</v>
      </c>
      <c r="Q3424" s="1" t="str">
        <f t="shared" si="844"/>
        <v/>
      </c>
      <c r="R3424" s="1" t="str">
        <f t="shared" si="848"/>
        <v/>
      </c>
      <c r="S3424" s="1">
        <f t="shared" si="849"/>
        <v>630.90240000000244</v>
      </c>
      <c r="T3424" s="1">
        <f t="shared" si="850"/>
        <v>0</v>
      </c>
      <c r="U3424" s="1">
        <f t="shared" si="851"/>
        <v>0</v>
      </c>
      <c r="V3424" s="1">
        <f t="shared" si="852"/>
        <v>0</v>
      </c>
    </row>
    <row r="3425" spans="5:22" x14ac:dyDescent="0.25">
      <c r="E3425" s="4"/>
      <c r="M3425" s="4">
        <f t="shared" si="845"/>
        <v>173.1</v>
      </c>
      <c r="N3425" s="4"/>
      <c r="O3425" s="1">
        <f t="shared" si="846"/>
        <v>173.1</v>
      </c>
      <c r="P3425" s="1">
        <f t="shared" si="847"/>
        <v>0</v>
      </c>
      <c r="Q3425" s="1" t="str">
        <f t="shared" si="844"/>
        <v/>
      </c>
      <c r="R3425" s="1" t="str">
        <f t="shared" si="848"/>
        <v/>
      </c>
      <c r="S3425" s="1">
        <f t="shared" si="849"/>
        <v>630.90240000000244</v>
      </c>
      <c r="T3425" s="1">
        <f t="shared" si="850"/>
        <v>0</v>
      </c>
      <c r="U3425" s="1">
        <f t="shared" si="851"/>
        <v>0</v>
      </c>
      <c r="V3425" s="1">
        <f t="shared" si="852"/>
        <v>0</v>
      </c>
    </row>
    <row r="3426" spans="5:22" x14ac:dyDescent="0.25">
      <c r="E3426" s="4"/>
      <c r="M3426" s="4">
        <f t="shared" si="845"/>
        <v>173.1</v>
      </c>
      <c r="N3426" s="4"/>
      <c r="O3426" s="1">
        <f t="shared" si="846"/>
        <v>173.1</v>
      </c>
      <c r="P3426" s="1">
        <f t="shared" si="847"/>
        <v>0</v>
      </c>
      <c r="Q3426" s="1" t="str">
        <f t="shared" si="844"/>
        <v/>
      </c>
      <c r="R3426" s="1" t="str">
        <f t="shared" si="848"/>
        <v/>
      </c>
      <c r="S3426" s="1">
        <f t="shared" si="849"/>
        <v>630.90240000000244</v>
      </c>
      <c r="T3426" s="1">
        <f t="shared" si="850"/>
        <v>0</v>
      </c>
      <c r="U3426" s="1">
        <f t="shared" si="851"/>
        <v>0</v>
      </c>
      <c r="V3426" s="1">
        <f t="shared" si="852"/>
        <v>0</v>
      </c>
    </row>
    <row r="3427" spans="5:22" x14ac:dyDescent="0.25">
      <c r="E3427" s="4"/>
      <c r="M3427" s="4">
        <f t="shared" si="845"/>
        <v>173.1</v>
      </c>
      <c r="N3427" s="4"/>
      <c r="O3427" s="1">
        <f t="shared" si="846"/>
        <v>173.1</v>
      </c>
      <c r="P3427" s="1">
        <f t="shared" si="847"/>
        <v>0</v>
      </c>
      <c r="Q3427" s="1" t="str">
        <f t="shared" si="844"/>
        <v/>
      </c>
      <c r="R3427" s="1" t="str">
        <f t="shared" si="848"/>
        <v/>
      </c>
      <c r="S3427" s="1">
        <f t="shared" si="849"/>
        <v>630.90240000000244</v>
      </c>
      <c r="T3427" s="1">
        <f t="shared" si="850"/>
        <v>0</v>
      </c>
      <c r="U3427" s="1">
        <f t="shared" si="851"/>
        <v>0</v>
      </c>
      <c r="V3427" s="1">
        <f t="shared" si="852"/>
        <v>0</v>
      </c>
    </row>
    <row r="3428" spans="5:22" x14ac:dyDescent="0.25">
      <c r="E3428" s="4"/>
      <c r="M3428" s="4">
        <f t="shared" si="845"/>
        <v>173.1</v>
      </c>
      <c r="N3428" s="4"/>
      <c r="O3428" s="1">
        <f t="shared" si="846"/>
        <v>173.1</v>
      </c>
      <c r="P3428" s="1">
        <f t="shared" si="847"/>
        <v>0</v>
      </c>
      <c r="Q3428" s="1" t="str">
        <f t="shared" si="844"/>
        <v/>
      </c>
      <c r="R3428" s="1" t="str">
        <f t="shared" si="848"/>
        <v/>
      </c>
      <c r="S3428" s="1">
        <f t="shared" si="849"/>
        <v>630.90240000000244</v>
      </c>
      <c r="T3428" s="1">
        <f t="shared" si="850"/>
        <v>0</v>
      </c>
      <c r="U3428" s="1">
        <f t="shared" si="851"/>
        <v>0</v>
      </c>
      <c r="V3428" s="1">
        <f t="shared" si="852"/>
        <v>0</v>
      </c>
    </row>
    <row r="3429" spans="5:22" x14ac:dyDescent="0.25">
      <c r="E3429" s="4"/>
      <c r="M3429" s="4">
        <f t="shared" si="845"/>
        <v>173.1</v>
      </c>
      <c r="N3429" s="4"/>
      <c r="O3429" s="1">
        <f t="shared" si="846"/>
        <v>173.1</v>
      </c>
      <c r="P3429" s="1">
        <f t="shared" si="847"/>
        <v>0</v>
      </c>
      <c r="Q3429" s="1" t="str">
        <f t="shared" si="844"/>
        <v/>
      </c>
      <c r="R3429" s="1" t="str">
        <f t="shared" si="848"/>
        <v/>
      </c>
      <c r="S3429" s="1">
        <f t="shared" si="849"/>
        <v>630.90240000000244</v>
      </c>
      <c r="T3429" s="1">
        <f t="shared" si="850"/>
        <v>0</v>
      </c>
      <c r="U3429" s="1">
        <f t="shared" si="851"/>
        <v>0</v>
      </c>
      <c r="V3429" s="1">
        <f t="shared" si="852"/>
        <v>0</v>
      </c>
    </row>
    <row r="3430" spans="5:22" x14ac:dyDescent="0.25">
      <c r="E3430" s="4"/>
      <c r="M3430" s="4">
        <f t="shared" si="845"/>
        <v>173.1</v>
      </c>
      <c r="N3430" s="4"/>
      <c r="O3430" s="1">
        <f t="shared" si="846"/>
        <v>173.1</v>
      </c>
      <c r="P3430" s="1">
        <f t="shared" si="847"/>
        <v>0</v>
      </c>
      <c r="Q3430" s="1" t="str">
        <f t="shared" si="844"/>
        <v/>
      </c>
      <c r="R3430" s="1" t="str">
        <f t="shared" si="848"/>
        <v/>
      </c>
      <c r="S3430" s="1">
        <f t="shared" si="849"/>
        <v>630.90240000000244</v>
      </c>
      <c r="T3430" s="1">
        <f t="shared" si="850"/>
        <v>0</v>
      </c>
      <c r="U3430" s="1">
        <f t="shared" si="851"/>
        <v>0</v>
      </c>
      <c r="V3430" s="1">
        <f t="shared" si="852"/>
        <v>0</v>
      </c>
    </row>
    <row r="3431" spans="5:22" x14ac:dyDescent="0.25">
      <c r="E3431" s="4"/>
      <c r="M3431" s="4">
        <f t="shared" si="845"/>
        <v>173.1</v>
      </c>
      <c r="N3431" s="4"/>
      <c r="O3431" s="1">
        <f t="shared" si="846"/>
        <v>173.1</v>
      </c>
      <c r="P3431" s="1">
        <f t="shared" si="847"/>
        <v>0</v>
      </c>
      <c r="Q3431" s="1" t="str">
        <f t="shared" si="844"/>
        <v/>
      </c>
      <c r="R3431" s="1" t="str">
        <f t="shared" si="848"/>
        <v/>
      </c>
      <c r="S3431" s="1">
        <f t="shared" si="849"/>
        <v>630.90240000000244</v>
      </c>
      <c r="T3431" s="1">
        <f t="shared" si="850"/>
        <v>0</v>
      </c>
      <c r="U3431" s="1">
        <f t="shared" si="851"/>
        <v>0</v>
      </c>
      <c r="V3431" s="1">
        <f t="shared" si="852"/>
        <v>0</v>
      </c>
    </row>
    <row r="3432" spans="5:22" x14ac:dyDescent="0.25">
      <c r="E3432" s="4"/>
      <c r="M3432" s="4">
        <f t="shared" si="845"/>
        <v>173.1</v>
      </c>
      <c r="N3432" s="4"/>
      <c r="O3432" s="1">
        <f t="shared" si="846"/>
        <v>173.1</v>
      </c>
      <c r="P3432" s="1">
        <f t="shared" si="847"/>
        <v>0</v>
      </c>
      <c r="Q3432" s="1" t="str">
        <f t="shared" si="844"/>
        <v/>
      </c>
      <c r="R3432" s="1" t="str">
        <f t="shared" si="848"/>
        <v/>
      </c>
      <c r="S3432" s="1">
        <f t="shared" si="849"/>
        <v>630.90240000000244</v>
      </c>
      <c r="T3432" s="1">
        <f t="shared" si="850"/>
        <v>0</v>
      </c>
      <c r="U3432" s="1">
        <f t="shared" si="851"/>
        <v>0</v>
      </c>
      <c r="V3432" s="1">
        <f t="shared" si="852"/>
        <v>0</v>
      </c>
    </row>
    <row r="3433" spans="5:22" x14ac:dyDescent="0.25">
      <c r="E3433" s="4"/>
      <c r="M3433" s="4">
        <f t="shared" si="845"/>
        <v>173.1</v>
      </c>
      <c r="N3433" s="4"/>
      <c r="O3433" s="1">
        <f t="shared" si="846"/>
        <v>173.1</v>
      </c>
      <c r="P3433" s="1">
        <f t="shared" si="847"/>
        <v>0</v>
      </c>
      <c r="Q3433" s="1" t="str">
        <f t="shared" si="844"/>
        <v/>
      </c>
      <c r="R3433" s="1" t="str">
        <f t="shared" si="848"/>
        <v/>
      </c>
      <c r="S3433" s="1">
        <f t="shared" si="849"/>
        <v>630.90240000000244</v>
      </c>
      <c r="T3433" s="1">
        <f t="shared" si="850"/>
        <v>0</v>
      </c>
      <c r="U3433" s="1">
        <f t="shared" si="851"/>
        <v>0</v>
      </c>
      <c r="V3433" s="1">
        <f t="shared" si="852"/>
        <v>0</v>
      </c>
    </row>
    <row r="3434" spans="5:22" x14ac:dyDescent="0.25">
      <c r="E3434" s="4"/>
      <c r="M3434" s="4">
        <f t="shared" si="845"/>
        <v>173.1</v>
      </c>
      <c r="N3434" s="4"/>
      <c r="O3434" s="1">
        <f t="shared" si="846"/>
        <v>173.1</v>
      </c>
      <c r="P3434" s="1">
        <f t="shared" si="847"/>
        <v>0</v>
      </c>
      <c r="Q3434" s="1" t="str">
        <f t="shared" si="844"/>
        <v/>
      </c>
      <c r="R3434" s="1" t="str">
        <f t="shared" si="848"/>
        <v/>
      </c>
      <c r="S3434" s="1">
        <f t="shared" si="849"/>
        <v>630.90240000000244</v>
      </c>
      <c r="T3434" s="1">
        <f t="shared" si="850"/>
        <v>0</v>
      </c>
      <c r="U3434" s="1">
        <f t="shared" si="851"/>
        <v>0</v>
      </c>
      <c r="V3434" s="1">
        <f t="shared" si="852"/>
        <v>0</v>
      </c>
    </row>
    <row r="3435" spans="5:22" x14ac:dyDescent="0.25">
      <c r="E3435" s="4"/>
      <c r="M3435" s="4">
        <f t="shared" si="845"/>
        <v>173.1</v>
      </c>
      <c r="N3435" s="4"/>
      <c r="O3435" s="1">
        <f t="shared" si="846"/>
        <v>173.1</v>
      </c>
      <c r="P3435" s="1">
        <f t="shared" si="847"/>
        <v>0</v>
      </c>
      <c r="Q3435" s="1" t="str">
        <f t="shared" si="844"/>
        <v/>
      </c>
      <c r="R3435" s="1" t="str">
        <f t="shared" si="848"/>
        <v/>
      </c>
      <c r="S3435" s="1">
        <f t="shared" si="849"/>
        <v>630.90240000000244</v>
      </c>
      <c r="T3435" s="1">
        <f t="shared" si="850"/>
        <v>0</v>
      </c>
      <c r="U3435" s="1">
        <f t="shared" si="851"/>
        <v>0</v>
      </c>
      <c r="V3435" s="1">
        <f t="shared" si="852"/>
        <v>0</v>
      </c>
    </row>
    <row r="3436" spans="5:22" x14ac:dyDescent="0.25">
      <c r="E3436" s="4"/>
      <c r="M3436" s="4">
        <f t="shared" si="845"/>
        <v>173.1</v>
      </c>
      <c r="N3436" s="4"/>
      <c r="O3436" s="1">
        <f t="shared" si="846"/>
        <v>173.1</v>
      </c>
      <c r="P3436" s="1">
        <f t="shared" si="847"/>
        <v>0</v>
      </c>
      <c r="Q3436" s="1" t="str">
        <f t="shared" si="844"/>
        <v/>
      </c>
      <c r="R3436" s="1" t="str">
        <f t="shared" si="848"/>
        <v/>
      </c>
      <c r="S3436" s="1">
        <f t="shared" si="849"/>
        <v>630.90240000000244</v>
      </c>
      <c r="T3436" s="1">
        <f t="shared" si="850"/>
        <v>0</v>
      </c>
      <c r="U3436" s="1">
        <f t="shared" si="851"/>
        <v>0</v>
      </c>
      <c r="V3436" s="1">
        <f t="shared" si="852"/>
        <v>0</v>
      </c>
    </row>
    <row r="3437" spans="5:22" x14ac:dyDescent="0.25">
      <c r="E3437" s="4"/>
      <c r="M3437" s="4">
        <f t="shared" si="845"/>
        <v>173.1</v>
      </c>
      <c r="N3437" s="4"/>
      <c r="O3437" s="1">
        <f t="shared" si="846"/>
        <v>173.1</v>
      </c>
      <c r="P3437" s="1">
        <f t="shared" si="847"/>
        <v>0</v>
      </c>
      <c r="Q3437" s="1" t="str">
        <f t="shared" si="844"/>
        <v/>
      </c>
      <c r="R3437" s="1" t="str">
        <f t="shared" si="848"/>
        <v/>
      </c>
      <c r="S3437" s="1">
        <f t="shared" si="849"/>
        <v>630.90240000000244</v>
      </c>
      <c r="T3437" s="1">
        <f t="shared" si="850"/>
        <v>0</v>
      </c>
      <c r="U3437" s="1">
        <f t="shared" si="851"/>
        <v>0</v>
      </c>
      <c r="V3437" s="1">
        <f t="shared" si="852"/>
        <v>0</v>
      </c>
    </row>
    <row r="3438" spans="5:22" x14ac:dyDescent="0.25">
      <c r="E3438" s="4"/>
      <c r="M3438" s="4">
        <f t="shared" si="845"/>
        <v>173.1</v>
      </c>
      <c r="N3438" s="4"/>
      <c r="O3438" s="1">
        <f t="shared" si="846"/>
        <v>173.1</v>
      </c>
      <c r="P3438" s="1">
        <f t="shared" si="847"/>
        <v>0</v>
      </c>
      <c r="Q3438" s="1" t="str">
        <f t="shared" si="844"/>
        <v/>
      </c>
      <c r="R3438" s="1" t="str">
        <f t="shared" si="848"/>
        <v/>
      </c>
      <c r="S3438" s="1">
        <f t="shared" si="849"/>
        <v>630.90240000000244</v>
      </c>
      <c r="T3438" s="1">
        <f t="shared" si="850"/>
        <v>0</v>
      </c>
      <c r="U3438" s="1">
        <f t="shared" si="851"/>
        <v>0</v>
      </c>
      <c r="V3438" s="1">
        <f t="shared" si="852"/>
        <v>0</v>
      </c>
    </row>
    <row r="3439" spans="5:22" x14ac:dyDescent="0.25">
      <c r="E3439" s="4"/>
      <c r="M3439" s="4">
        <f t="shared" si="845"/>
        <v>173.1</v>
      </c>
      <c r="N3439" s="4"/>
      <c r="O3439" s="1">
        <f t="shared" si="846"/>
        <v>173.1</v>
      </c>
      <c r="P3439" s="1">
        <f t="shared" si="847"/>
        <v>0</v>
      </c>
      <c r="Q3439" s="1" t="str">
        <f t="shared" si="844"/>
        <v/>
      </c>
      <c r="R3439" s="1" t="str">
        <f t="shared" si="848"/>
        <v/>
      </c>
      <c r="S3439" s="1">
        <f t="shared" si="849"/>
        <v>630.90240000000244</v>
      </c>
      <c r="T3439" s="1">
        <f t="shared" si="850"/>
        <v>0</v>
      </c>
      <c r="U3439" s="1">
        <f t="shared" si="851"/>
        <v>0</v>
      </c>
      <c r="V3439" s="1">
        <f t="shared" si="852"/>
        <v>0</v>
      </c>
    </row>
    <row r="3440" spans="5:22" x14ac:dyDescent="0.25">
      <c r="E3440" s="4"/>
      <c r="M3440" s="4">
        <f t="shared" si="845"/>
        <v>173.1</v>
      </c>
      <c r="N3440" s="4"/>
      <c r="O3440" s="1">
        <f t="shared" si="846"/>
        <v>173.1</v>
      </c>
      <c r="P3440" s="1">
        <f t="shared" si="847"/>
        <v>0</v>
      </c>
      <c r="Q3440" s="1" t="str">
        <f t="shared" si="844"/>
        <v/>
      </c>
      <c r="R3440" s="1" t="str">
        <f t="shared" si="848"/>
        <v/>
      </c>
      <c r="S3440" s="1">
        <f t="shared" si="849"/>
        <v>630.90240000000244</v>
      </c>
      <c r="T3440" s="1">
        <f t="shared" si="850"/>
        <v>0</v>
      </c>
      <c r="U3440" s="1">
        <f t="shared" si="851"/>
        <v>0</v>
      </c>
      <c r="V3440" s="1">
        <f t="shared" si="852"/>
        <v>0</v>
      </c>
    </row>
    <row r="3441" spans="5:22" x14ac:dyDescent="0.25">
      <c r="E3441" s="4"/>
      <c r="M3441" s="4">
        <f t="shared" si="845"/>
        <v>173.1</v>
      </c>
      <c r="N3441" s="4"/>
      <c r="O3441" s="1">
        <f t="shared" si="846"/>
        <v>173.1</v>
      </c>
      <c r="P3441" s="1">
        <f t="shared" si="847"/>
        <v>0</v>
      </c>
      <c r="Q3441" s="1" t="str">
        <f t="shared" si="844"/>
        <v/>
      </c>
      <c r="R3441" s="1" t="str">
        <f t="shared" si="848"/>
        <v/>
      </c>
      <c r="S3441" s="1">
        <f t="shared" si="849"/>
        <v>630.90240000000244</v>
      </c>
      <c r="T3441" s="1">
        <f t="shared" si="850"/>
        <v>0</v>
      </c>
      <c r="U3441" s="1">
        <f t="shared" si="851"/>
        <v>0</v>
      </c>
      <c r="V3441" s="1">
        <f t="shared" si="852"/>
        <v>0</v>
      </c>
    </row>
    <row r="3442" spans="5:22" x14ac:dyDescent="0.25">
      <c r="E3442" s="4"/>
      <c r="M3442" s="4">
        <f t="shared" si="845"/>
        <v>173.1</v>
      </c>
      <c r="N3442" s="4"/>
      <c r="O3442" s="1">
        <f t="shared" si="846"/>
        <v>173.1</v>
      </c>
      <c r="P3442" s="1">
        <f t="shared" si="847"/>
        <v>0</v>
      </c>
      <c r="Q3442" s="1" t="str">
        <f t="shared" ref="Q3442:Q3505" si="853">IF(H3442&lt;&gt;"",IF(H3442=H3441,"",H3442),IF(H3440="","",MAX(H3441,Q3441)))</f>
        <v/>
      </c>
      <c r="R3442" s="1" t="str">
        <f t="shared" si="848"/>
        <v/>
      </c>
      <c r="S3442" s="1">
        <f t="shared" si="849"/>
        <v>630.90240000000244</v>
      </c>
      <c r="T3442" s="1">
        <f t="shared" si="850"/>
        <v>0</v>
      </c>
      <c r="U3442" s="1">
        <f t="shared" si="851"/>
        <v>0</v>
      </c>
      <c r="V3442" s="1">
        <f t="shared" si="852"/>
        <v>0</v>
      </c>
    </row>
    <row r="3443" spans="5:22" x14ac:dyDescent="0.25">
      <c r="E3443" s="4"/>
      <c r="M3443" s="4">
        <f t="shared" si="845"/>
        <v>173.1</v>
      </c>
      <c r="N3443" s="4"/>
      <c r="O3443" s="1">
        <f t="shared" si="846"/>
        <v>173.1</v>
      </c>
      <c r="P3443" s="1">
        <f t="shared" si="847"/>
        <v>0</v>
      </c>
      <c r="Q3443" s="1" t="str">
        <f t="shared" si="853"/>
        <v/>
      </c>
      <c r="R3443" s="1" t="str">
        <f t="shared" si="848"/>
        <v/>
      </c>
      <c r="S3443" s="1">
        <f t="shared" si="849"/>
        <v>630.90240000000244</v>
      </c>
      <c r="T3443" s="1">
        <f t="shared" si="850"/>
        <v>0</v>
      </c>
      <c r="U3443" s="1">
        <f t="shared" si="851"/>
        <v>0</v>
      </c>
      <c r="V3443" s="1">
        <f t="shared" si="852"/>
        <v>0</v>
      </c>
    </row>
    <row r="3444" spans="5:22" x14ac:dyDescent="0.25">
      <c r="E3444" s="4"/>
      <c r="M3444" s="4">
        <f t="shared" si="845"/>
        <v>173.1</v>
      </c>
      <c r="N3444" s="4"/>
      <c r="O3444" s="1">
        <f t="shared" si="846"/>
        <v>173.1</v>
      </c>
      <c r="P3444" s="1">
        <f t="shared" si="847"/>
        <v>0</v>
      </c>
      <c r="Q3444" s="1" t="str">
        <f t="shared" si="853"/>
        <v/>
      </c>
      <c r="R3444" s="1" t="str">
        <f t="shared" si="848"/>
        <v/>
      </c>
      <c r="S3444" s="1">
        <f t="shared" si="849"/>
        <v>630.90240000000244</v>
      </c>
      <c r="T3444" s="1">
        <f t="shared" si="850"/>
        <v>0</v>
      </c>
      <c r="U3444" s="1">
        <f t="shared" si="851"/>
        <v>0</v>
      </c>
      <c r="V3444" s="1">
        <f t="shared" si="852"/>
        <v>0</v>
      </c>
    </row>
    <row r="3445" spans="5:22" x14ac:dyDescent="0.25">
      <c r="E3445" s="4"/>
      <c r="M3445" s="4">
        <f t="shared" si="845"/>
        <v>173.1</v>
      </c>
      <c r="N3445" s="4"/>
      <c r="O3445" s="1">
        <f t="shared" si="846"/>
        <v>173.1</v>
      </c>
      <c r="P3445" s="1">
        <f t="shared" si="847"/>
        <v>0</v>
      </c>
      <c r="Q3445" s="1" t="str">
        <f t="shared" si="853"/>
        <v/>
      </c>
      <c r="R3445" s="1" t="str">
        <f t="shared" si="848"/>
        <v/>
      </c>
      <c r="S3445" s="1">
        <f t="shared" si="849"/>
        <v>630.90240000000244</v>
      </c>
      <c r="T3445" s="1">
        <f t="shared" si="850"/>
        <v>0</v>
      </c>
      <c r="U3445" s="1">
        <f t="shared" si="851"/>
        <v>0</v>
      </c>
      <c r="V3445" s="1">
        <f t="shared" si="852"/>
        <v>0</v>
      </c>
    </row>
    <row r="3446" spans="5:22" x14ac:dyDescent="0.25">
      <c r="E3446" s="4"/>
      <c r="M3446" s="4">
        <f t="shared" si="845"/>
        <v>173.1</v>
      </c>
      <c r="N3446" s="4"/>
      <c r="O3446" s="1">
        <f t="shared" si="846"/>
        <v>173.1</v>
      </c>
      <c r="P3446" s="1">
        <f t="shared" si="847"/>
        <v>0</v>
      </c>
      <c r="Q3446" s="1" t="str">
        <f t="shared" si="853"/>
        <v/>
      </c>
      <c r="R3446" s="1" t="str">
        <f t="shared" si="848"/>
        <v/>
      </c>
      <c r="S3446" s="1">
        <f t="shared" si="849"/>
        <v>630.90240000000244</v>
      </c>
      <c r="T3446" s="1">
        <f t="shared" si="850"/>
        <v>0</v>
      </c>
      <c r="U3446" s="1">
        <f t="shared" si="851"/>
        <v>0</v>
      </c>
      <c r="V3446" s="1">
        <f t="shared" si="852"/>
        <v>0</v>
      </c>
    </row>
    <row r="3447" spans="5:22" x14ac:dyDescent="0.25">
      <c r="E3447" s="4"/>
      <c r="M3447" s="4">
        <f t="shared" si="845"/>
        <v>173.1</v>
      </c>
      <c r="N3447" s="4"/>
      <c r="O3447" s="1">
        <f t="shared" si="846"/>
        <v>173.1</v>
      </c>
      <c r="P3447" s="1">
        <f t="shared" si="847"/>
        <v>0</v>
      </c>
      <c r="Q3447" s="1" t="str">
        <f t="shared" si="853"/>
        <v/>
      </c>
      <c r="R3447" s="1" t="str">
        <f t="shared" si="848"/>
        <v/>
      </c>
      <c r="S3447" s="1">
        <f t="shared" si="849"/>
        <v>630.90240000000244</v>
      </c>
      <c r="T3447" s="1">
        <f t="shared" si="850"/>
        <v>0</v>
      </c>
      <c r="U3447" s="1">
        <f t="shared" si="851"/>
        <v>0</v>
      </c>
      <c r="V3447" s="1">
        <f t="shared" si="852"/>
        <v>0</v>
      </c>
    </row>
    <row r="3448" spans="5:22" x14ac:dyDescent="0.25">
      <c r="E3448" s="4"/>
      <c r="M3448" s="4">
        <f t="shared" si="845"/>
        <v>173.1</v>
      </c>
      <c r="N3448" s="4"/>
      <c r="O3448" s="1">
        <f t="shared" si="846"/>
        <v>173.1</v>
      </c>
      <c r="P3448" s="1">
        <f t="shared" si="847"/>
        <v>0</v>
      </c>
      <c r="Q3448" s="1" t="str">
        <f t="shared" si="853"/>
        <v/>
      </c>
      <c r="R3448" s="1" t="str">
        <f t="shared" si="848"/>
        <v/>
      </c>
      <c r="S3448" s="1">
        <f t="shared" si="849"/>
        <v>630.90240000000244</v>
      </c>
      <c r="T3448" s="1">
        <f t="shared" si="850"/>
        <v>0</v>
      </c>
      <c r="U3448" s="1">
        <f t="shared" si="851"/>
        <v>0</v>
      </c>
      <c r="V3448" s="1">
        <f t="shared" si="852"/>
        <v>0</v>
      </c>
    </row>
    <row r="3449" spans="5:22" x14ac:dyDescent="0.25">
      <c r="E3449" s="4"/>
      <c r="M3449" s="4">
        <f t="shared" si="845"/>
        <v>173.1</v>
      </c>
      <c r="N3449" s="4"/>
      <c r="O3449" s="1">
        <f t="shared" si="846"/>
        <v>173.1</v>
      </c>
      <c r="P3449" s="1">
        <f t="shared" si="847"/>
        <v>0</v>
      </c>
      <c r="Q3449" s="1" t="str">
        <f t="shared" si="853"/>
        <v/>
      </c>
      <c r="R3449" s="1" t="str">
        <f t="shared" si="848"/>
        <v/>
      </c>
      <c r="S3449" s="1">
        <f t="shared" si="849"/>
        <v>630.90240000000244</v>
      </c>
      <c r="T3449" s="1">
        <f t="shared" si="850"/>
        <v>0</v>
      </c>
      <c r="U3449" s="1">
        <f t="shared" si="851"/>
        <v>0</v>
      </c>
      <c r="V3449" s="1">
        <f t="shared" si="852"/>
        <v>0</v>
      </c>
    </row>
    <row r="3450" spans="5:22" x14ac:dyDescent="0.25">
      <c r="E3450" s="4"/>
      <c r="M3450" s="4">
        <f t="shared" si="845"/>
        <v>173.1</v>
      </c>
      <c r="N3450" s="4"/>
      <c r="O3450" s="1">
        <f t="shared" si="846"/>
        <v>173.1</v>
      </c>
      <c r="P3450" s="1">
        <f t="shared" si="847"/>
        <v>0</v>
      </c>
      <c r="Q3450" s="1" t="str">
        <f t="shared" si="853"/>
        <v/>
      </c>
      <c r="R3450" s="1" t="str">
        <f t="shared" si="848"/>
        <v/>
      </c>
      <c r="S3450" s="1">
        <f t="shared" si="849"/>
        <v>630.90240000000244</v>
      </c>
      <c r="T3450" s="1">
        <f t="shared" si="850"/>
        <v>0</v>
      </c>
      <c r="U3450" s="1">
        <f t="shared" si="851"/>
        <v>0</v>
      </c>
      <c r="V3450" s="1">
        <f t="shared" si="852"/>
        <v>0</v>
      </c>
    </row>
    <row r="3451" spans="5:22" x14ac:dyDescent="0.25">
      <c r="E3451" s="4"/>
      <c r="M3451" s="4">
        <f t="shared" si="845"/>
        <v>173.1</v>
      </c>
      <c r="N3451" s="4"/>
      <c r="O3451" s="1">
        <f t="shared" si="846"/>
        <v>173.1</v>
      </c>
      <c r="P3451" s="1">
        <f t="shared" si="847"/>
        <v>0</v>
      </c>
      <c r="Q3451" s="1" t="str">
        <f t="shared" si="853"/>
        <v/>
      </c>
      <c r="R3451" s="1" t="str">
        <f t="shared" si="848"/>
        <v/>
      </c>
      <c r="S3451" s="1">
        <f t="shared" si="849"/>
        <v>630.90240000000244</v>
      </c>
      <c r="T3451" s="1">
        <f t="shared" si="850"/>
        <v>0</v>
      </c>
      <c r="U3451" s="1">
        <f t="shared" si="851"/>
        <v>0</v>
      </c>
      <c r="V3451" s="1">
        <f t="shared" si="852"/>
        <v>0</v>
      </c>
    </row>
    <row r="3452" spans="5:22" x14ac:dyDescent="0.25">
      <c r="E3452" s="4"/>
      <c r="M3452" s="4">
        <f t="shared" si="845"/>
        <v>173.1</v>
      </c>
      <c r="N3452" s="4"/>
      <c r="O3452" s="1">
        <f t="shared" si="846"/>
        <v>173.1</v>
      </c>
      <c r="P3452" s="1">
        <f t="shared" si="847"/>
        <v>0</v>
      </c>
      <c r="Q3452" s="1" t="str">
        <f t="shared" si="853"/>
        <v/>
      </c>
      <c r="R3452" s="1" t="str">
        <f t="shared" si="848"/>
        <v/>
      </c>
      <c r="S3452" s="1">
        <f t="shared" si="849"/>
        <v>630.90240000000244</v>
      </c>
      <c r="T3452" s="1">
        <f t="shared" si="850"/>
        <v>0</v>
      </c>
      <c r="U3452" s="1">
        <f t="shared" si="851"/>
        <v>0</v>
      </c>
      <c r="V3452" s="1">
        <f t="shared" si="852"/>
        <v>0</v>
      </c>
    </row>
    <row r="3453" spans="5:22" x14ac:dyDescent="0.25">
      <c r="E3453" s="4"/>
      <c r="M3453" s="4">
        <f t="shared" si="845"/>
        <v>173.1</v>
      </c>
      <c r="N3453" s="4"/>
      <c r="O3453" s="1">
        <f t="shared" si="846"/>
        <v>173.1</v>
      </c>
      <c r="P3453" s="1">
        <f t="shared" si="847"/>
        <v>0</v>
      </c>
      <c r="Q3453" s="1" t="str">
        <f t="shared" si="853"/>
        <v/>
      </c>
      <c r="R3453" s="1" t="str">
        <f t="shared" si="848"/>
        <v/>
      </c>
      <c r="S3453" s="1">
        <f t="shared" si="849"/>
        <v>630.90240000000244</v>
      </c>
      <c r="T3453" s="1">
        <f t="shared" si="850"/>
        <v>0</v>
      </c>
      <c r="U3453" s="1">
        <f t="shared" si="851"/>
        <v>0</v>
      </c>
      <c r="V3453" s="1">
        <f t="shared" si="852"/>
        <v>0</v>
      </c>
    </row>
    <row r="3454" spans="5:22" x14ac:dyDescent="0.25">
      <c r="E3454" s="4"/>
      <c r="M3454" s="4">
        <f t="shared" si="845"/>
        <v>173.1</v>
      </c>
      <c r="N3454" s="4"/>
      <c r="O3454" s="1">
        <f t="shared" si="846"/>
        <v>173.1</v>
      </c>
      <c r="P3454" s="1">
        <f t="shared" si="847"/>
        <v>0</v>
      </c>
      <c r="Q3454" s="1" t="str">
        <f t="shared" si="853"/>
        <v/>
      </c>
      <c r="R3454" s="1" t="str">
        <f t="shared" si="848"/>
        <v/>
      </c>
      <c r="S3454" s="1">
        <f t="shared" si="849"/>
        <v>630.90240000000244</v>
      </c>
      <c r="T3454" s="1">
        <f t="shared" si="850"/>
        <v>0</v>
      </c>
      <c r="U3454" s="1">
        <f t="shared" si="851"/>
        <v>0</v>
      </c>
      <c r="V3454" s="1">
        <f t="shared" si="852"/>
        <v>0</v>
      </c>
    </row>
    <row r="3455" spans="5:22" x14ac:dyDescent="0.25">
      <c r="E3455" s="4"/>
      <c r="M3455" s="4">
        <f t="shared" si="845"/>
        <v>173.1</v>
      </c>
      <c r="N3455" s="4"/>
      <c r="O3455" s="1">
        <f t="shared" si="846"/>
        <v>173.1</v>
      </c>
      <c r="P3455" s="1">
        <f t="shared" si="847"/>
        <v>0</v>
      </c>
      <c r="Q3455" s="1" t="str">
        <f t="shared" si="853"/>
        <v/>
      </c>
      <c r="R3455" s="1" t="str">
        <f t="shared" si="848"/>
        <v/>
      </c>
      <c r="S3455" s="1">
        <f t="shared" si="849"/>
        <v>630.90240000000244</v>
      </c>
      <c r="T3455" s="1">
        <f t="shared" si="850"/>
        <v>0</v>
      </c>
      <c r="U3455" s="1">
        <f t="shared" si="851"/>
        <v>0</v>
      </c>
      <c r="V3455" s="1">
        <f t="shared" si="852"/>
        <v>0</v>
      </c>
    </row>
    <row r="3456" spans="5:22" x14ac:dyDescent="0.25">
      <c r="E3456" s="4"/>
      <c r="M3456" s="4">
        <f t="shared" si="845"/>
        <v>173.1</v>
      </c>
      <c r="N3456" s="4"/>
      <c r="O3456" s="1">
        <f t="shared" si="846"/>
        <v>173.1</v>
      </c>
      <c r="P3456" s="1">
        <f t="shared" si="847"/>
        <v>0</v>
      </c>
      <c r="Q3456" s="1" t="str">
        <f t="shared" si="853"/>
        <v/>
      </c>
      <c r="R3456" s="1" t="str">
        <f t="shared" si="848"/>
        <v/>
      </c>
      <c r="S3456" s="1">
        <f t="shared" si="849"/>
        <v>630.90240000000244</v>
      </c>
      <c r="T3456" s="1">
        <f t="shared" si="850"/>
        <v>0</v>
      </c>
      <c r="U3456" s="1">
        <f t="shared" si="851"/>
        <v>0</v>
      </c>
      <c r="V3456" s="1">
        <f t="shared" si="852"/>
        <v>0</v>
      </c>
    </row>
    <row r="3457" spans="5:22" x14ac:dyDescent="0.25">
      <c r="E3457" s="4"/>
      <c r="M3457" s="4">
        <f t="shared" si="845"/>
        <v>173.1</v>
      </c>
      <c r="N3457" s="4"/>
      <c r="O3457" s="1">
        <f t="shared" si="846"/>
        <v>173.1</v>
      </c>
      <c r="P3457" s="1">
        <f t="shared" si="847"/>
        <v>0</v>
      </c>
      <c r="Q3457" s="1" t="str">
        <f t="shared" si="853"/>
        <v/>
      </c>
      <c r="R3457" s="1" t="str">
        <f t="shared" si="848"/>
        <v/>
      </c>
      <c r="S3457" s="1">
        <f t="shared" si="849"/>
        <v>630.90240000000244</v>
      </c>
      <c r="T3457" s="1">
        <f t="shared" si="850"/>
        <v>0</v>
      </c>
      <c r="U3457" s="1">
        <f t="shared" si="851"/>
        <v>0</v>
      </c>
      <c r="V3457" s="1">
        <f t="shared" si="852"/>
        <v>0</v>
      </c>
    </row>
    <row r="3458" spans="5:22" x14ac:dyDescent="0.25">
      <c r="E3458" s="4"/>
      <c r="M3458" s="4">
        <f t="shared" si="845"/>
        <v>173.1</v>
      </c>
      <c r="N3458" s="4"/>
      <c r="O3458" s="1">
        <f t="shared" si="846"/>
        <v>173.1</v>
      </c>
      <c r="P3458" s="1">
        <f t="shared" si="847"/>
        <v>0</v>
      </c>
      <c r="Q3458" s="1" t="str">
        <f t="shared" si="853"/>
        <v/>
      </c>
      <c r="R3458" s="1" t="str">
        <f t="shared" si="848"/>
        <v/>
      </c>
      <c r="S3458" s="1">
        <f t="shared" si="849"/>
        <v>630.90240000000244</v>
      </c>
      <c r="T3458" s="1">
        <f t="shared" si="850"/>
        <v>0</v>
      </c>
      <c r="U3458" s="1">
        <f t="shared" si="851"/>
        <v>0</v>
      </c>
      <c r="V3458" s="1">
        <f t="shared" si="852"/>
        <v>0</v>
      </c>
    </row>
    <row r="3459" spans="5:22" x14ac:dyDescent="0.25">
      <c r="E3459" s="4"/>
      <c r="M3459" s="4">
        <f t="shared" si="845"/>
        <v>173.1</v>
      </c>
      <c r="N3459" s="4"/>
      <c r="O3459" s="1">
        <f t="shared" si="846"/>
        <v>173.1</v>
      </c>
      <c r="P3459" s="1">
        <f t="shared" si="847"/>
        <v>0</v>
      </c>
      <c r="Q3459" s="1" t="str">
        <f t="shared" si="853"/>
        <v/>
      </c>
      <c r="R3459" s="1" t="str">
        <f t="shared" si="848"/>
        <v/>
      </c>
      <c r="S3459" s="1">
        <f t="shared" si="849"/>
        <v>630.90240000000244</v>
      </c>
      <c r="T3459" s="1">
        <f t="shared" si="850"/>
        <v>0</v>
      </c>
      <c r="U3459" s="1">
        <f t="shared" si="851"/>
        <v>0</v>
      </c>
      <c r="V3459" s="1">
        <f t="shared" si="852"/>
        <v>0</v>
      </c>
    </row>
    <row r="3460" spans="5:22" x14ac:dyDescent="0.25">
      <c r="E3460" s="4"/>
      <c r="M3460" s="4">
        <f t="shared" si="845"/>
        <v>173.1</v>
      </c>
      <c r="N3460" s="4"/>
      <c r="O3460" s="1">
        <f t="shared" si="846"/>
        <v>173.1</v>
      </c>
      <c r="P3460" s="1">
        <f t="shared" si="847"/>
        <v>0</v>
      </c>
      <c r="Q3460" s="1" t="str">
        <f t="shared" si="853"/>
        <v/>
      </c>
      <c r="R3460" s="1" t="str">
        <f t="shared" si="848"/>
        <v/>
      </c>
      <c r="S3460" s="1">
        <f t="shared" si="849"/>
        <v>630.90240000000244</v>
      </c>
      <c r="T3460" s="1">
        <f t="shared" si="850"/>
        <v>0</v>
      </c>
      <c r="U3460" s="1">
        <f t="shared" si="851"/>
        <v>0</v>
      </c>
      <c r="V3460" s="1">
        <f t="shared" si="852"/>
        <v>0</v>
      </c>
    </row>
    <row r="3461" spans="5:22" x14ac:dyDescent="0.25">
      <c r="E3461" s="4"/>
      <c r="M3461" s="4">
        <f t="shared" si="845"/>
        <v>173.1</v>
      </c>
      <c r="N3461" s="4"/>
      <c r="O3461" s="1">
        <f t="shared" si="846"/>
        <v>173.1</v>
      </c>
      <c r="P3461" s="1">
        <f t="shared" si="847"/>
        <v>0</v>
      </c>
      <c r="Q3461" s="1" t="str">
        <f t="shared" si="853"/>
        <v/>
      </c>
      <c r="R3461" s="1" t="str">
        <f t="shared" si="848"/>
        <v/>
      </c>
      <c r="S3461" s="1">
        <f t="shared" si="849"/>
        <v>630.90240000000244</v>
      </c>
      <c r="T3461" s="1">
        <f t="shared" si="850"/>
        <v>0</v>
      </c>
      <c r="U3461" s="1">
        <f t="shared" si="851"/>
        <v>0</v>
      </c>
      <c r="V3461" s="1">
        <f t="shared" si="852"/>
        <v>0</v>
      </c>
    </row>
    <row r="3462" spans="5:22" x14ac:dyDescent="0.25">
      <c r="E3462" s="4"/>
      <c r="M3462" s="4">
        <f t="shared" si="845"/>
        <v>173.1</v>
      </c>
      <c r="N3462" s="4"/>
      <c r="O3462" s="1">
        <f t="shared" si="846"/>
        <v>173.1</v>
      </c>
      <c r="P3462" s="1">
        <f t="shared" si="847"/>
        <v>0</v>
      </c>
      <c r="Q3462" s="1" t="str">
        <f t="shared" si="853"/>
        <v/>
      </c>
      <c r="R3462" s="1" t="str">
        <f t="shared" si="848"/>
        <v/>
      </c>
      <c r="S3462" s="1">
        <f t="shared" si="849"/>
        <v>630.90240000000244</v>
      </c>
      <c r="T3462" s="1">
        <f t="shared" si="850"/>
        <v>0</v>
      </c>
      <c r="U3462" s="1">
        <f t="shared" si="851"/>
        <v>0</v>
      </c>
      <c r="V3462" s="1">
        <f t="shared" si="852"/>
        <v>0</v>
      </c>
    </row>
    <row r="3463" spans="5:22" x14ac:dyDescent="0.25">
      <c r="E3463" s="4"/>
      <c r="M3463" s="4">
        <f t="shared" si="845"/>
        <v>173.1</v>
      </c>
      <c r="N3463" s="4"/>
      <c r="O3463" s="1">
        <f t="shared" si="846"/>
        <v>173.1</v>
      </c>
      <c r="P3463" s="1">
        <f t="shared" si="847"/>
        <v>0</v>
      </c>
      <c r="Q3463" s="1" t="str">
        <f t="shared" si="853"/>
        <v/>
      </c>
      <c r="R3463" s="1" t="str">
        <f t="shared" si="848"/>
        <v/>
      </c>
      <c r="S3463" s="1">
        <f t="shared" si="849"/>
        <v>630.90240000000244</v>
      </c>
      <c r="T3463" s="1">
        <f t="shared" si="850"/>
        <v>0</v>
      </c>
      <c r="U3463" s="1">
        <f t="shared" si="851"/>
        <v>0</v>
      </c>
      <c r="V3463" s="1">
        <f t="shared" si="852"/>
        <v>0</v>
      </c>
    </row>
    <row r="3464" spans="5:22" x14ac:dyDescent="0.25">
      <c r="E3464" s="4"/>
      <c r="M3464" s="4">
        <f t="shared" ref="M3464:M3527" si="854">E3464+M3463</f>
        <v>173.1</v>
      </c>
      <c r="N3464" s="4"/>
      <c r="O3464" s="1">
        <f t="shared" ref="O3464:O3527" si="855">E3463+O3463</f>
        <v>173.1</v>
      </c>
      <c r="P3464" s="1">
        <f t="shared" ref="P3464:P3527" si="856">F3464*52.8*E3464</f>
        <v>0</v>
      </c>
      <c r="Q3464" s="1" t="str">
        <f t="shared" si="853"/>
        <v/>
      </c>
      <c r="R3464" s="1" t="str">
        <f t="shared" ref="R3464:R3527" si="857">IF(I3464="",Q3464,IF(AND(H3464=H3463,I3464=I3463),"",I3464))</f>
        <v/>
      </c>
      <c r="S3464" s="1">
        <f t="shared" ref="S3464:S3527" si="858">S3463+U3463*T3463/100</f>
        <v>630.90240000000244</v>
      </c>
      <c r="T3464" s="1">
        <f t="shared" ref="T3464:T3527" si="859">IF(G3464="UNK",0,G3464)</f>
        <v>0</v>
      </c>
      <c r="U3464" s="1">
        <f t="shared" ref="U3464:U3527" si="860">E3464*5280</f>
        <v>0</v>
      </c>
      <c r="V3464" s="1">
        <f t="shared" ref="V3464:V3527" si="861">ABS(T3464*U3464)</f>
        <v>0</v>
      </c>
    </row>
    <row r="3465" spans="5:22" x14ac:dyDescent="0.25">
      <c r="E3465" s="4"/>
      <c r="M3465" s="4">
        <f t="shared" si="854"/>
        <v>173.1</v>
      </c>
      <c r="N3465" s="4"/>
      <c r="O3465" s="1">
        <f t="shared" si="855"/>
        <v>173.1</v>
      </c>
      <c r="P3465" s="1">
        <f t="shared" si="856"/>
        <v>0</v>
      </c>
      <c r="Q3465" s="1" t="str">
        <f t="shared" si="853"/>
        <v/>
      </c>
      <c r="R3465" s="1" t="str">
        <f t="shared" si="857"/>
        <v/>
      </c>
      <c r="S3465" s="1">
        <f t="shared" si="858"/>
        <v>630.90240000000244</v>
      </c>
      <c r="T3465" s="1">
        <f t="shared" si="859"/>
        <v>0</v>
      </c>
      <c r="U3465" s="1">
        <f t="shared" si="860"/>
        <v>0</v>
      </c>
      <c r="V3465" s="1">
        <f t="shared" si="861"/>
        <v>0</v>
      </c>
    </row>
    <row r="3466" spans="5:22" x14ac:dyDescent="0.25">
      <c r="E3466" s="4"/>
      <c r="M3466" s="4">
        <f t="shared" si="854"/>
        <v>173.1</v>
      </c>
      <c r="N3466" s="4"/>
      <c r="O3466" s="1">
        <f t="shared" si="855"/>
        <v>173.1</v>
      </c>
      <c r="P3466" s="1">
        <f t="shared" si="856"/>
        <v>0</v>
      </c>
      <c r="Q3466" s="1" t="str">
        <f t="shared" si="853"/>
        <v/>
      </c>
      <c r="R3466" s="1" t="str">
        <f t="shared" si="857"/>
        <v/>
      </c>
      <c r="S3466" s="1">
        <f t="shared" si="858"/>
        <v>630.90240000000244</v>
      </c>
      <c r="T3466" s="1">
        <f t="shared" si="859"/>
        <v>0</v>
      </c>
      <c r="U3466" s="1">
        <f t="shared" si="860"/>
        <v>0</v>
      </c>
      <c r="V3466" s="1">
        <f t="shared" si="861"/>
        <v>0</v>
      </c>
    </row>
    <row r="3467" spans="5:22" x14ac:dyDescent="0.25">
      <c r="E3467" s="4"/>
      <c r="M3467" s="4">
        <f t="shared" si="854"/>
        <v>173.1</v>
      </c>
      <c r="N3467" s="4"/>
      <c r="O3467" s="1">
        <f t="shared" si="855"/>
        <v>173.1</v>
      </c>
      <c r="P3467" s="1">
        <f t="shared" si="856"/>
        <v>0</v>
      </c>
      <c r="Q3467" s="1" t="str">
        <f t="shared" si="853"/>
        <v/>
      </c>
      <c r="R3467" s="1" t="str">
        <f t="shared" si="857"/>
        <v/>
      </c>
      <c r="S3467" s="1">
        <f t="shared" si="858"/>
        <v>630.90240000000244</v>
      </c>
      <c r="T3467" s="1">
        <f t="shared" si="859"/>
        <v>0</v>
      </c>
      <c r="U3467" s="1">
        <f t="shared" si="860"/>
        <v>0</v>
      </c>
      <c r="V3467" s="1">
        <f t="shared" si="861"/>
        <v>0</v>
      </c>
    </row>
    <row r="3468" spans="5:22" x14ac:dyDescent="0.25">
      <c r="E3468" s="4"/>
      <c r="M3468" s="4">
        <f t="shared" si="854"/>
        <v>173.1</v>
      </c>
      <c r="N3468" s="4"/>
      <c r="O3468" s="1">
        <f t="shared" si="855"/>
        <v>173.1</v>
      </c>
      <c r="P3468" s="1">
        <f t="shared" si="856"/>
        <v>0</v>
      </c>
      <c r="Q3468" s="1" t="str">
        <f t="shared" si="853"/>
        <v/>
      </c>
      <c r="R3468" s="1" t="str">
        <f t="shared" si="857"/>
        <v/>
      </c>
      <c r="S3468" s="1">
        <f t="shared" si="858"/>
        <v>630.90240000000244</v>
      </c>
      <c r="T3468" s="1">
        <f t="shared" si="859"/>
        <v>0</v>
      </c>
      <c r="U3468" s="1">
        <f t="shared" si="860"/>
        <v>0</v>
      </c>
      <c r="V3468" s="1">
        <f t="shared" si="861"/>
        <v>0</v>
      </c>
    </row>
    <row r="3469" spans="5:22" x14ac:dyDescent="0.25">
      <c r="E3469" s="4"/>
      <c r="M3469" s="4">
        <f t="shared" si="854"/>
        <v>173.1</v>
      </c>
      <c r="N3469" s="4"/>
      <c r="O3469" s="1">
        <f t="shared" si="855"/>
        <v>173.1</v>
      </c>
      <c r="P3469" s="1">
        <f t="shared" si="856"/>
        <v>0</v>
      </c>
      <c r="Q3469" s="1" t="str">
        <f t="shared" si="853"/>
        <v/>
      </c>
      <c r="R3469" s="1" t="str">
        <f t="shared" si="857"/>
        <v/>
      </c>
      <c r="S3469" s="1">
        <f t="shared" si="858"/>
        <v>630.90240000000244</v>
      </c>
      <c r="T3469" s="1">
        <f t="shared" si="859"/>
        <v>0</v>
      </c>
      <c r="U3469" s="1">
        <f t="shared" si="860"/>
        <v>0</v>
      </c>
      <c r="V3469" s="1">
        <f t="shared" si="861"/>
        <v>0</v>
      </c>
    </row>
    <row r="3470" spans="5:22" x14ac:dyDescent="0.25">
      <c r="E3470" s="4"/>
      <c r="M3470" s="4">
        <f t="shared" si="854"/>
        <v>173.1</v>
      </c>
      <c r="N3470" s="4"/>
      <c r="O3470" s="1">
        <f t="shared" si="855"/>
        <v>173.1</v>
      </c>
      <c r="P3470" s="1">
        <f t="shared" si="856"/>
        <v>0</v>
      </c>
      <c r="Q3470" s="1" t="str">
        <f t="shared" si="853"/>
        <v/>
      </c>
      <c r="R3470" s="1" t="str">
        <f t="shared" si="857"/>
        <v/>
      </c>
      <c r="S3470" s="1">
        <f t="shared" si="858"/>
        <v>630.90240000000244</v>
      </c>
      <c r="T3470" s="1">
        <f t="shared" si="859"/>
        <v>0</v>
      </c>
      <c r="U3470" s="1">
        <f t="shared" si="860"/>
        <v>0</v>
      </c>
      <c r="V3470" s="1">
        <f t="shared" si="861"/>
        <v>0</v>
      </c>
    </row>
    <row r="3471" spans="5:22" x14ac:dyDescent="0.25">
      <c r="E3471" s="4"/>
      <c r="M3471" s="4">
        <f t="shared" si="854"/>
        <v>173.1</v>
      </c>
      <c r="N3471" s="4"/>
      <c r="O3471" s="1">
        <f t="shared" si="855"/>
        <v>173.1</v>
      </c>
      <c r="P3471" s="1">
        <f t="shared" si="856"/>
        <v>0</v>
      </c>
      <c r="Q3471" s="1" t="str">
        <f t="shared" si="853"/>
        <v/>
      </c>
      <c r="R3471" s="1" t="str">
        <f t="shared" si="857"/>
        <v/>
      </c>
      <c r="S3471" s="1">
        <f t="shared" si="858"/>
        <v>630.90240000000244</v>
      </c>
      <c r="T3471" s="1">
        <f t="shared" si="859"/>
        <v>0</v>
      </c>
      <c r="U3471" s="1">
        <f t="shared" si="860"/>
        <v>0</v>
      </c>
      <c r="V3471" s="1">
        <f t="shared" si="861"/>
        <v>0</v>
      </c>
    </row>
    <row r="3472" spans="5:22" x14ac:dyDescent="0.25">
      <c r="E3472" s="4"/>
      <c r="M3472" s="4">
        <f t="shared" si="854"/>
        <v>173.1</v>
      </c>
      <c r="N3472" s="4"/>
      <c r="O3472" s="1">
        <f t="shared" si="855"/>
        <v>173.1</v>
      </c>
      <c r="P3472" s="1">
        <f t="shared" si="856"/>
        <v>0</v>
      </c>
      <c r="Q3472" s="1" t="str">
        <f t="shared" si="853"/>
        <v/>
      </c>
      <c r="R3472" s="1" t="str">
        <f t="shared" si="857"/>
        <v/>
      </c>
      <c r="S3472" s="1">
        <f t="shared" si="858"/>
        <v>630.90240000000244</v>
      </c>
      <c r="T3472" s="1">
        <f t="shared" si="859"/>
        <v>0</v>
      </c>
      <c r="U3472" s="1">
        <f t="shared" si="860"/>
        <v>0</v>
      </c>
      <c r="V3472" s="1">
        <f t="shared" si="861"/>
        <v>0</v>
      </c>
    </row>
    <row r="3473" spans="5:22" x14ac:dyDescent="0.25">
      <c r="E3473" s="4"/>
      <c r="M3473" s="4">
        <f t="shared" si="854"/>
        <v>173.1</v>
      </c>
      <c r="N3473" s="4"/>
      <c r="O3473" s="1">
        <f t="shared" si="855"/>
        <v>173.1</v>
      </c>
      <c r="P3473" s="1">
        <f t="shared" si="856"/>
        <v>0</v>
      </c>
      <c r="Q3473" s="1" t="str">
        <f t="shared" si="853"/>
        <v/>
      </c>
      <c r="R3473" s="1" t="str">
        <f t="shared" si="857"/>
        <v/>
      </c>
      <c r="S3473" s="1">
        <f t="shared" si="858"/>
        <v>630.90240000000244</v>
      </c>
      <c r="T3473" s="1">
        <f t="shared" si="859"/>
        <v>0</v>
      </c>
      <c r="U3473" s="1">
        <f t="shared" si="860"/>
        <v>0</v>
      </c>
      <c r="V3473" s="1">
        <f t="shared" si="861"/>
        <v>0</v>
      </c>
    </row>
    <row r="3474" spans="5:22" x14ac:dyDescent="0.25">
      <c r="E3474" s="4"/>
      <c r="M3474" s="4">
        <f t="shared" si="854"/>
        <v>173.1</v>
      </c>
      <c r="N3474" s="4"/>
      <c r="O3474" s="1">
        <f t="shared" si="855"/>
        <v>173.1</v>
      </c>
      <c r="P3474" s="1">
        <f t="shared" si="856"/>
        <v>0</v>
      </c>
      <c r="Q3474" s="1" t="str">
        <f t="shared" si="853"/>
        <v/>
      </c>
      <c r="R3474" s="1" t="str">
        <f t="shared" si="857"/>
        <v/>
      </c>
      <c r="S3474" s="1">
        <f t="shared" si="858"/>
        <v>630.90240000000244</v>
      </c>
      <c r="T3474" s="1">
        <f t="shared" si="859"/>
        <v>0</v>
      </c>
      <c r="U3474" s="1">
        <f t="shared" si="860"/>
        <v>0</v>
      </c>
      <c r="V3474" s="1">
        <f t="shared" si="861"/>
        <v>0</v>
      </c>
    </row>
    <row r="3475" spans="5:22" x14ac:dyDescent="0.25">
      <c r="E3475" s="4"/>
      <c r="M3475" s="4">
        <f t="shared" si="854"/>
        <v>173.1</v>
      </c>
      <c r="N3475" s="4"/>
      <c r="O3475" s="1">
        <f t="shared" si="855"/>
        <v>173.1</v>
      </c>
      <c r="P3475" s="1">
        <f t="shared" si="856"/>
        <v>0</v>
      </c>
      <c r="Q3475" s="1" t="str">
        <f t="shared" si="853"/>
        <v/>
      </c>
      <c r="R3475" s="1" t="str">
        <f t="shared" si="857"/>
        <v/>
      </c>
      <c r="S3475" s="1">
        <f t="shared" si="858"/>
        <v>630.90240000000244</v>
      </c>
      <c r="T3475" s="1">
        <f t="shared" si="859"/>
        <v>0</v>
      </c>
      <c r="U3475" s="1">
        <f t="shared" si="860"/>
        <v>0</v>
      </c>
      <c r="V3475" s="1">
        <f t="shared" si="861"/>
        <v>0</v>
      </c>
    </row>
    <row r="3476" spans="5:22" x14ac:dyDescent="0.25">
      <c r="E3476" s="4"/>
      <c r="M3476" s="4">
        <f t="shared" si="854"/>
        <v>173.1</v>
      </c>
      <c r="N3476" s="4"/>
      <c r="O3476" s="1">
        <f t="shared" si="855"/>
        <v>173.1</v>
      </c>
      <c r="P3476" s="1">
        <f t="shared" si="856"/>
        <v>0</v>
      </c>
      <c r="Q3476" s="1" t="str">
        <f t="shared" si="853"/>
        <v/>
      </c>
      <c r="R3476" s="1" t="str">
        <f t="shared" si="857"/>
        <v/>
      </c>
      <c r="S3476" s="1">
        <f t="shared" si="858"/>
        <v>630.90240000000244</v>
      </c>
      <c r="T3476" s="1">
        <f t="shared" si="859"/>
        <v>0</v>
      </c>
      <c r="U3476" s="1">
        <f t="shared" si="860"/>
        <v>0</v>
      </c>
      <c r="V3476" s="1">
        <f t="shared" si="861"/>
        <v>0</v>
      </c>
    </row>
    <row r="3477" spans="5:22" x14ac:dyDescent="0.25">
      <c r="E3477" s="4"/>
      <c r="M3477" s="4">
        <f t="shared" si="854"/>
        <v>173.1</v>
      </c>
      <c r="N3477" s="4"/>
      <c r="O3477" s="1">
        <f t="shared" si="855"/>
        <v>173.1</v>
      </c>
      <c r="P3477" s="1">
        <f t="shared" si="856"/>
        <v>0</v>
      </c>
      <c r="Q3477" s="1" t="str">
        <f t="shared" si="853"/>
        <v/>
      </c>
      <c r="R3477" s="1" t="str">
        <f t="shared" si="857"/>
        <v/>
      </c>
      <c r="S3477" s="1">
        <f t="shared" si="858"/>
        <v>630.90240000000244</v>
      </c>
      <c r="T3477" s="1">
        <f t="shared" si="859"/>
        <v>0</v>
      </c>
      <c r="U3477" s="1">
        <f t="shared" si="860"/>
        <v>0</v>
      </c>
      <c r="V3477" s="1">
        <f t="shared" si="861"/>
        <v>0</v>
      </c>
    </row>
    <row r="3478" spans="5:22" x14ac:dyDescent="0.25">
      <c r="E3478" s="4"/>
      <c r="M3478" s="4">
        <f t="shared" si="854"/>
        <v>173.1</v>
      </c>
      <c r="N3478" s="4"/>
      <c r="O3478" s="1">
        <f t="shared" si="855"/>
        <v>173.1</v>
      </c>
      <c r="P3478" s="1">
        <f t="shared" si="856"/>
        <v>0</v>
      </c>
      <c r="Q3478" s="1" t="str">
        <f t="shared" si="853"/>
        <v/>
      </c>
      <c r="R3478" s="1" t="str">
        <f t="shared" si="857"/>
        <v/>
      </c>
      <c r="S3478" s="1">
        <f t="shared" si="858"/>
        <v>630.90240000000244</v>
      </c>
      <c r="T3478" s="1">
        <f t="shared" si="859"/>
        <v>0</v>
      </c>
      <c r="U3478" s="1">
        <f t="shared" si="860"/>
        <v>0</v>
      </c>
      <c r="V3478" s="1">
        <f t="shared" si="861"/>
        <v>0</v>
      </c>
    </row>
    <row r="3479" spans="5:22" x14ac:dyDescent="0.25">
      <c r="E3479" s="4"/>
      <c r="M3479" s="4">
        <f t="shared" si="854"/>
        <v>173.1</v>
      </c>
      <c r="N3479" s="4"/>
      <c r="O3479" s="1">
        <f t="shared" si="855"/>
        <v>173.1</v>
      </c>
      <c r="P3479" s="1">
        <f t="shared" si="856"/>
        <v>0</v>
      </c>
      <c r="Q3479" s="1" t="str">
        <f t="shared" si="853"/>
        <v/>
      </c>
      <c r="R3479" s="1" t="str">
        <f t="shared" si="857"/>
        <v/>
      </c>
      <c r="S3479" s="1">
        <f t="shared" si="858"/>
        <v>630.90240000000244</v>
      </c>
      <c r="T3479" s="1">
        <f t="shared" si="859"/>
        <v>0</v>
      </c>
      <c r="U3479" s="1">
        <f t="shared" si="860"/>
        <v>0</v>
      </c>
      <c r="V3479" s="1">
        <f t="shared" si="861"/>
        <v>0</v>
      </c>
    </row>
    <row r="3480" spans="5:22" x14ac:dyDescent="0.25">
      <c r="E3480" s="4"/>
      <c r="M3480" s="4">
        <f t="shared" si="854"/>
        <v>173.1</v>
      </c>
      <c r="N3480" s="4"/>
      <c r="O3480" s="1">
        <f t="shared" si="855"/>
        <v>173.1</v>
      </c>
      <c r="P3480" s="1">
        <f t="shared" si="856"/>
        <v>0</v>
      </c>
      <c r="Q3480" s="1" t="str">
        <f t="shared" si="853"/>
        <v/>
      </c>
      <c r="R3480" s="1" t="str">
        <f t="shared" si="857"/>
        <v/>
      </c>
      <c r="S3480" s="1">
        <f t="shared" si="858"/>
        <v>630.90240000000244</v>
      </c>
      <c r="T3480" s="1">
        <f t="shared" si="859"/>
        <v>0</v>
      </c>
      <c r="U3480" s="1">
        <f t="shared" si="860"/>
        <v>0</v>
      </c>
      <c r="V3480" s="1">
        <f t="shared" si="861"/>
        <v>0</v>
      </c>
    </row>
    <row r="3481" spans="5:22" x14ac:dyDescent="0.25">
      <c r="E3481" s="4"/>
      <c r="M3481" s="4">
        <f t="shared" si="854"/>
        <v>173.1</v>
      </c>
      <c r="N3481" s="4"/>
      <c r="O3481" s="1">
        <f t="shared" si="855"/>
        <v>173.1</v>
      </c>
      <c r="P3481" s="1">
        <f t="shared" si="856"/>
        <v>0</v>
      </c>
      <c r="Q3481" s="1" t="str">
        <f t="shared" si="853"/>
        <v/>
      </c>
      <c r="R3481" s="1" t="str">
        <f t="shared" si="857"/>
        <v/>
      </c>
      <c r="S3481" s="1">
        <f t="shared" si="858"/>
        <v>630.90240000000244</v>
      </c>
      <c r="T3481" s="1">
        <f t="shared" si="859"/>
        <v>0</v>
      </c>
      <c r="U3481" s="1">
        <f t="shared" si="860"/>
        <v>0</v>
      </c>
      <c r="V3481" s="1">
        <f t="shared" si="861"/>
        <v>0</v>
      </c>
    </row>
    <row r="3482" spans="5:22" x14ac:dyDescent="0.25">
      <c r="E3482" s="4"/>
      <c r="M3482" s="4">
        <f t="shared" si="854"/>
        <v>173.1</v>
      </c>
      <c r="N3482" s="4"/>
      <c r="O3482" s="1">
        <f t="shared" si="855"/>
        <v>173.1</v>
      </c>
      <c r="P3482" s="1">
        <f t="shared" si="856"/>
        <v>0</v>
      </c>
      <c r="Q3482" s="1" t="str">
        <f t="shared" si="853"/>
        <v/>
      </c>
      <c r="R3482" s="1" t="str">
        <f t="shared" si="857"/>
        <v/>
      </c>
      <c r="S3482" s="1">
        <f t="shared" si="858"/>
        <v>630.90240000000244</v>
      </c>
      <c r="T3482" s="1">
        <f t="shared" si="859"/>
        <v>0</v>
      </c>
      <c r="U3482" s="1">
        <f t="shared" si="860"/>
        <v>0</v>
      </c>
      <c r="V3482" s="1">
        <f t="shared" si="861"/>
        <v>0</v>
      </c>
    </row>
    <row r="3483" spans="5:22" x14ac:dyDescent="0.25">
      <c r="E3483" s="4"/>
      <c r="M3483" s="4">
        <f t="shared" si="854"/>
        <v>173.1</v>
      </c>
      <c r="N3483" s="4"/>
      <c r="O3483" s="1">
        <f t="shared" si="855"/>
        <v>173.1</v>
      </c>
      <c r="P3483" s="1">
        <f t="shared" si="856"/>
        <v>0</v>
      </c>
      <c r="Q3483" s="1" t="str">
        <f t="shared" si="853"/>
        <v/>
      </c>
      <c r="R3483" s="1" t="str">
        <f t="shared" si="857"/>
        <v/>
      </c>
      <c r="S3483" s="1">
        <f t="shared" si="858"/>
        <v>630.90240000000244</v>
      </c>
      <c r="T3483" s="1">
        <f t="shared" si="859"/>
        <v>0</v>
      </c>
      <c r="U3483" s="1">
        <f t="shared" si="860"/>
        <v>0</v>
      </c>
      <c r="V3483" s="1">
        <f t="shared" si="861"/>
        <v>0</v>
      </c>
    </row>
    <row r="3484" spans="5:22" x14ac:dyDescent="0.25">
      <c r="E3484" s="4"/>
      <c r="M3484" s="4">
        <f t="shared" si="854"/>
        <v>173.1</v>
      </c>
      <c r="N3484" s="4"/>
      <c r="O3484" s="1">
        <f t="shared" si="855"/>
        <v>173.1</v>
      </c>
      <c r="P3484" s="1">
        <f t="shared" si="856"/>
        <v>0</v>
      </c>
      <c r="Q3484" s="1" t="str">
        <f t="shared" si="853"/>
        <v/>
      </c>
      <c r="R3484" s="1" t="str">
        <f t="shared" si="857"/>
        <v/>
      </c>
      <c r="S3484" s="1">
        <f t="shared" si="858"/>
        <v>630.90240000000244</v>
      </c>
      <c r="T3484" s="1">
        <f t="shared" si="859"/>
        <v>0</v>
      </c>
      <c r="U3484" s="1">
        <f t="shared" si="860"/>
        <v>0</v>
      </c>
      <c r="V3484" s="1">
        <f t="shared" si="861"/>
        <v>0</v>
      </c>
    </row>
    <row r="3485" spans="5:22" x14ac:dyDescent="0.25">
      <c r="E3485" s="4"/>
      <c r="M3485" s="4">
        <f t="shared" si="854"/>
        <v>173.1</v>
      </c>
      <c r="N3485" s="4"/>
      <c r="O3485" s="1">
        <f t="shared" si="855"/>
        <v>173.1</v>
      </c>
      <c r="P3485" s="1">
        <f t="shared" si="856"/>
        <v>0</v>
      </c>
      <c r="Q3485" s="1" t="str">
        <f t="shared" si="853"/>
        <v/>
      </c>
      <c r="R3485" s="1" t="str">
        <f t="shared" si="857"/>
        <v/>
      </c>
      <c r="S3485" s="1">
        <f t="shared" si="858"/>
        <v>630.90240000000244</v>
      </c>
      <c r="T3485" s="1">
        <f t="shared" si="859"/>
        <v>0</v>
      </c>
      <c r="U3485" s="1">
        <f t="shared" si="860"/>
        <v>0</v>
      </c>
      <c r="V3485" s="1">
        <f t="shared" si="861"/>
        <v>0</v>
      </c>
    </row>
    <row r="3486" spans="5:22" x14ac:dyDescent="0.25">
      <c r="E3486" s="4"/>
      <c r="M3486" s="4">
        <f t="shared" si="854"/>
        <v>173.1</v>
      </c>
      <c r="N3486" s="4"/>
      <c r="O3486" s="1">
        <f t="shared" si="855"/>
        <v>173.1</v>
      </c>
      <c r="P3486" s="1">
        <f t="shared" si="856"/>
        <v>0</v>
      </c>
      <c r="Q3486" s="1" t="str">
        <f t="shared" si="853"/>
        <v/>
      </c>
      <c r="R3486" s="1" t="str">
        <f t="shared" si="857"/>
        <v/>
      </c>
      <c r="S3486" s="1">
        <f t="shared" si="858"/>
        <v>630.90240000000244</v>
      </c>
      <c r="T3486" s="1">
        <f t="shared" si="859"/>
        <v>0</v>
      </c>
      <c r="U3486" s="1">
        <f t="shared" si="860"/>
        <v>0</v>
      </c>
      <c r="V3486" s="1">
        <f t="shared" si="861"/>
        <v>0</v>
      </c>
    </row>
    <row r="3487" spans="5:22" x14ac:dyDescent="0.25">
      <c r="E3487" s="4"/>
      <c r="M3487" s="4">
        <f t="shared" si="854"/>
        <v>173.1</v>
      </c>
      <c r="N3487" s="4"/>
      <c r="O3487" s="1">
        <f t="shared" si="855"/>
        <v>173.1</v>
      </c>
      <c r="P3487" s="1">
        <f t="shared" si="856"/>
        <v>0</v>
      </c>
      <c r="Q3487" s="1" t="str">
        <f t="shared" si="853"/>
        <v/>
      </c>
      <c r="R3487" s="1" t="str">
        <f t="shared" si="857"/>
        <v/>
      </c>
      <c r="S3487" s="1">
        <f t="shared" si="858"/>
        <v>630.90240000000244</v>
      </c>
      <c r="T3487" s="1">
        <f t="shared" si="859"/>
        <v>0</v>
      </c>
      <c r="U3487" s="1">
        <f t="shared" si="860"/>
        <v>0</v>
      </c>
      <c r="V3487" s="1">
        <f t="shared" si="861"/>
        <v>0</v>
      </c>
    </row>
    <row r="3488" spans="5:22" x14ac:dyDescent="0.25">
      <c r="E3488" s="4"/>
      <c r="M3488" s="4">
        <f t="shared" si="854"/>
        <v>173.1</v>
      </c>
      <c r="N3488" s="4"/>
      <c r="O3488" s="1">
        <f t="shared" si="855"/>
        <v>173.1</v>
      </c>
      <c r="P3488" s="1">
        <f t="shared" si="856"/>
        <v>0</v>
      </c>
      <c r="Q3488" s="1" t="str">
        <f t="shared" si="853"/>
        <v/>
      </c>
      <c r="R3488" s="1" t="str">
        <f t="shared" si="857"/>
        <v/>
      </c>
      <c r="S3488" s="1">
        <f t="shared" si="858"/>
        <v>630.90240000000244</v>
      </c>
      <c r="T3488" s="1">
        <f t="shared" si="859"/>
        <v>0</v>
      </c>
      <c r="U3488" s="1">
        <f t="shared" si="860"/>
        <v>0</v>
      </c>
      <c r="V3488" s="1">
        <f t="shared" si="861"/>
        <v>0</v>
      </c>
    </row>
    <row r="3489" spans="5:22" x14ac:dyDescent="0.25">
      <c r="E3489" s="4"/>
      <c r="M3489" s="4">
        <f t="shared" si="854"/>
        <v>173.1</v>
      </c>
      <c r="N3489" s="4"/>
      <c r="O3489" s="1">
        <f t="shared" si="855"/>
        <v>173.1</v>
      </c>
      <c r="P3489" s="1">
        <f t="shared" si="856"/>
        <v>0</v>
      </c>
      <c r="Q3489" s="1" t="str">
        <f t="shared" si="853"/>
        <v/>
      </c>
      <c r="R3489" s="1" t="str">
        <f t="shared" si="857"/>
        <v/>
      </c>
      <c r="S3489" s="1">
        <f t="shared" si="858"/>
        <v>630.90240000000244</v>
      </c>
      <c r="T3489" s="1">
        <f t="shared" si="859"/>
        <v>0</v>
      </c>
      <c r="U3489" s="1">
        <f t="shared" si="860"/>
        <v>0</v>
      </c>
      <c r="V3489" s="1">
        <f t="shared" si="861"/>
        <v>0</v>
      </c>
    </row>
    <row r="3490" spans="5:22" x14ac:dyDescent="0.25">
      <c r="E3490" s="4"/>
      <c r="M3490" s="4">
        <f t="shared" si="854"/>
        <v>173.1</v>
      </c>
      <c r="N3490" s="4"/>
      <c r="O3490" s="1">
        <f t="shared" si="855"/>
        <v>173.1</v>
      </c>
      <c r="P3490" s="1">
        <f t="shared" si="856"/>
        <v>0</v>
      </c>
      <c r="Q3490" s="1" t="str">
        <f t="shared" si="853"/>
        <v/>
      </c>
      <c r="R3490" s="1" t="str">
        <f t="shared" si="857"/>
        <v/>
      </c>
      <c r="S3490" s="1">
        <f t="shared" si="858"/>
        <v>630.90240000000244</v>
      </c>
      <c r="T3490" s="1">
        <f t="shared" si="859"/>
        <v>0</v>
      </c>
      <c r="U3490" s="1">
        <f t="shared" si="860"/>
        <v>0</v>
      </c>
      <c r="V3490" s="1">
        <f t="shared" si="861"/>
        <v>0</v>
      </c>
    </row>
    <row r="3491" spans="5:22" x14ac:dyDescent="0.25">
      <c r="E3491" s="4"/>
      <c r="M3491" s="4">
        <f t="shared" si="854"/>
        <v>173.1</v>
      </c>
      <c r="N3491" s="4"/>
      <c r="O3491" s="1">
        <f t="shared" si="855"/>
        <v>173.1</v>
      </c>
      <c r="P3491" s="1">
        <f t="shared" si="856"/>
        <v>0</v>
      </c>
      <c r="Q3491" s="1" t="str">
        <f t="shared" si="853"/>
        <v/>
      </c>
      <c r="R3491" s="1" t="str">
        <f t="shared" si="857"/>
        <v/>
      </c>
      <c r="S3491" s="1">
        <f t="shared" si="858"/>
        <v>630.90240000000244</v>
      </c>
      <c r="T3491" s="1">
        <f t="shared" si="859"/>
        <v>0</v>
      </c>
      <c r="U3491" s="1">
        <f t="shared" si="860"/>
        <v>0</v>
      </c>
      <c r="V3491" s="1">
        <f t="shared" si="861"/>
        <v>0</v>
      </c>
    </row>
    <row r="3492" spans="5:22" x14ac:dyDescent="0.25">
      <c r="E3492" s="4"/>
      <c r="M3492" s="4">
        <f t="shared" si="854"/>
        <v>173.1</v>
      </c>
      <c r="N3492" s="4"/>
      <c r="O3492" s="1">
        <f t="shared" si="855"/>
        <v>173.1</v>
      </c>
      <c r="P3492" s="1">
        <f t="shared" si="856"/>
        <v>0</v>
      </c>
      <c r="Q3492" s="1" t="str">
        <f t="shared" si="853"/>
        <v/>
      </c>
      <c r="R3492" s="1" t="str">
        <f t="shared" si="857"/>
        <v/>
      </c>
      <c r="S3492" s="1">
        <f t="shared" si="858"/>
        <v>630.90240000000244</v>
      </c>
      <c r="T3492" s="1">
        <f t="shared" si="859"/>
        <v>0</v>
      </c>
      <c r="U3492" s="1">
        <f t="shared" si="860"/>
        <v>0</v>
      </c>
      <c r="V3492" s="1">
        <f t="shared" si="861"/>
        <v>0</v>
      </c>
    </row>
    <row r="3493" spans="5:22" x14ac:dyDescent="0.25">
      <c r="E3493" s="4"/>
      <c r="M3493" s="4">
        <f t="shared" si="854"/>
        <v>173.1</v>
      </c>
      <c r="N3493" s="4"/>
      <c r="O3493" s="1">
        <f t="shared" si="855"/>
        <v>173.1</v>
      </c>
      <c r="P3493" s="1">
        <f t="shared" si="856"/>
        <v>0</v>
      </c>
      <c r="Q3493" s="1" t="str">
        <f t="shared" si="853"/>
        <v/>
      </c>
      <c r="R3493" s="1" t="str">
        <f t="shared" si="857"/>
        <v/>
      </c>
      <c r="S3493" s="1">
        <f t="shared" si="858"/>
        <v>630.90240000000244</v>
      </c>
      <c r="T3493" s="1">
        <f t="shared" si="859"/>
        <v>0</v>
      </c>
      <c r="U3493" s="1">
        <f t="shared" si="860"/>
        <v>0</v>
      </c>
      <c r="V3493" s="1">
        <f t="shared" si="861"/>
        <v>0</v>
      </c>
    </row>
    <row r="3494" spans="5:22" x14ac:dyDescent="0.25">
      <c r="E3494" s="4"/>
      <c r="M3494" s="4">
        <f t="shared" si="854"/>
        <v>173.1</v>
      </c>
      <c r="N3494" s="4"/>
      <c r="O3494" s="1">
        <f t="shared" si="855"/>
        <v>173.1</v>
      </c>
      <c r="P3494" s="1">
        <f t="shared" si="856"/>
        <v>0</v>
      </c>
      <c r="Q3494" s="1" t="str">
        <f t="shared" si="853"/>
        <v/>
      </c>
      <c r="R3494" s="1" t="str">
        <f t="shared" si="857"/>
        <v/>
      </c>
      <c r="S3494" s="1">
        <f t="shared" si="858"/>
        <v>630.90240000000244</v>
      </c>
      <c r="T3494" s="1">
        <f t="shared" si="859"/>
        <v>0</v>
      </c>
      <c r="U3494" s="1">
        <f t="shared" si="860"/>
        <v>0</v>
      </c>
      <c r="V3494" s="1">
        <f t="shared" si="861"/>
        <v>0</v>
      </c>
    </row>
    <row r="3495" spans="5:22" x14ac:dyDescent="0.25">
      <c r="E3495" s="4"/>
      <c r="M3495" s="4">
        <f t="shared" si="854"/>
        <v>173.1</v>
      </c>
      <c r="N3495" s="4"/>
      <c r="O3495" s="1">
        <f t="shared" si="855"/>
        <v>173.1</v>
      </c>
      <c r="P3495" s="1">
        <f t="shared" si="856"/>
        <v>0</v>
      </c>
      <c r="Q3495" s="1" t="str">
        <f t="shared" si="853"/>
        <v/>
      </c>
      <c r="R3495" s="1" t="str">
        <f t="shared" si="857"/>
        <v/>
      </c>
      <c r="S3495" s="1">
        <f t="shared" si="858"/>
        <v>630.90240000000244</v>
      </c>
      <c r="T3495" s="1">
        <f t="shared" si="859"/>
        <v>0</v>
      </c>
      <c r="U3495" s="1">
        <f t="shared" si="860"/>
        <v>0</v>
      </c>
      <c r="V3495" s="1">
        <f t="shared" si="861"/>
        <v>0</v>
      </c>
    </row>
    <row r="3496" spans="5:22" x14ac:dyDescent="0.25">
      <c r="E3496" s="4"/>
      <c r="M3496" s="4">
        <f t="shared" si="854"/>
        <v>173.1</v>
      </c>
      <c r="N3496" s="4"/>
      <c r="O3496" s="1">
        <f t="shared" si="855"/>
        <v>173.1</v>
      </c>
      <c r="P3496" s="1">
        <f t="shared" si="856"/>
        <v>0</v>
      </c>
      <c r="Q3496" s="1" t="str">
        <f t="shared" si="853"/>
        <v/>
      </c>
      <c r="R3496" s="1" t="str">
        <f t="shared" si="857"/>
        <v/>
      </c>
      <c r="S3496" s="1">
        <f t="shared" si="858"/>
        <v>630.90240000000244</v>
      </c>
      <c r="T3496" s="1">
        <f t="shared" si="859"/>
        <v>0</v>
      </c>
      <c r="U3496" s="1">
        <f t="shared" si="860"/>
        <v>0</v>
      </c>
      <c r="V3496" s="1">
        <f t="shared" si="861"/>
        <v>0</v>
      </c>
    </row>
    <row r="3497" spans="5:22" x14ac:dyDescent="0.25">
      <c r="E3497" s="4"/>
      <c r="M3497" s="4">
        <f t="shared" si="854"/>
        <v>173.1</v>
      </c>
      <c r="N3497" s="4"/>
      <c r="O3497" s="1">
        <f t="shared" si="855"/>
        <v>173.1</v>
      </c>
      <c r="P3497" s="1">
        <f t="shared" si="856"/>
        <v>0</v>
      </c>
      <c r="Q3497" s="1" t="str">
        <f t="shared" si="853"/>
        <v/>
      </c>
      <c r="R3497" s="1" t="str">
        <f t="shared" si="857"/>
        <v/>
      </c>
      <c r="S3497" s="1">
        <f t="shared" si="858"/>
        <v>630.90240000000244</v>
      </c>
      <c r="T3497" s="1">
        <f t="shared" si="859"/>
        <v>0</v>
      </c>
      <c r="U3497" s="1">
        <f t="shared" si="860"/>
        <v>0</v>
      </c>
      <c r="V3497" s="1">
        <f t="shared" si="861"/>
        <v>0</v>
      </c>
    </row>
    <row r="3498" spans="5:22" x14ac:dyDescent="0.25">
      <c r="E3498" s="4"/>
      <c r="M3498" s="4">
        <f t="shared" si="854"/>
        <v>173.1</v>
      </c>
      <c r="N3498" s="4"/>
      <c r="O3498" s="1">
        <f t="shared" si="855"/>
        <v>173.1</v>
      </c>
      <c r="P3498" s="1">
        <f t="shared" si="856"/>
        <v>0</v>
      </c>
      <c r="Q3498" s="1" t="str">
        <f t="shared" si="853"/>
        <v/>
      </c>
      <c r="R3498" s="1" t="str">
        <f t="shared" si="857"/>
        <v/>
      </c>
      <c r="S3498" s="1">
        <f t="shared" si="858"/>
        <v>630.90240000000244</v>
      </c>
      <c r="T3498" s="1">
        <f t="shared" si="859"/>
        <v>0</v>
      </c>
      <c r="U3498" s="1">
        <f t="shared" si="860"/>
        <v>0</v>
      </c>
      <c r="V3498" s="1">
        <f t="shared" si="861"/>
        <v>0</v>
      </c>
    </row>
    <row r="3499" spans="5:22" x14ac:dyDescent="0.25">
      <c r="E3499" s="4"/>
      <c r="M3499" s="4">
        <f t="shared" si="854"/>
        <v>173.1</v>
      </c>
      <c r="N3499" s="4"/>
      <c r="O3499" s="1">
        <f t="shared" si="855"/>
        <v>173.1</v>
      </c>
      <c r="P3499" s="1">
        <f t="shared" si="856"/>
        <v>0</v>
      </c>
      <c r="Q3499" s="1" t="str">
        <f t="shared" si="853"/>
        <v/>
      </c>
      <c r="R3499" s="1" t="str">
        <f t="shared" si="857"/>
        <v/>
      </c>
      <c r="S3499" s="1">
        <f t="shared" si="858"/>
        <v>630.90240000000244</v>
      </c>
      <c r="T3499" s="1">
        <f t="shared" si="859"/>
        <v>0</v>
      </c>
      <c r="U3499" s="1">
        <f t="shared" si="860"/>
        <v>0</v>
      </c>
      <c r="V3499" s="1">
        <f t="shared" si="861"/>
        <v>0</v>
      </c>
    </row>
    <row r="3500" spans="5:22" x14ac:dyDescent="0.25">
      <c r="E3500" s="4"/>
      <c r="M3500" s="4">
        <f t="shared" si="854"/>
        <v>173.1</v>
      </c>
      <c r="N3500" s="4"/>
      <c r="O3500" s="1">
        <f t="shared" si="855"/>
        <v>173.1</v>
      </c>
      <c r="P3500" s="1">
        <f t="shared" si="856"/>
        <v>0</v>
      </c>
      <c r="Q3500" s="1" t="str">
        <f t="shared" si="853"/>
        <v/>
      </c>
      <c r="R3500" s="1" t="str">
        <f t="shared" si="857"/>
        <v/>
      </c>
      <c r="S3500" s="1">
        <f t="shared" si="858"/>
        <v>630.90240000000244</v>
      </c>
      <c r="T3500" s="1">
        <f t="shared" si="859"/>
        <v>0</v>
      </c>
      <c r="U3500" s="1">
        <f t="shared" si="860"/>
        <v>0</v>
      </c>
      <c r="V3500" s="1">
        <f t="shared" si="861"/>
        <v>0</v>
      </c>
    </row>
    <row r="3501" spans="5:22" x14ac:dyDescent="0.25">
      <c r="E3501" s="4"/>
      <c r="M3501" s="4">
        <f t="shared" si="854"/>
        <v>173.1</v>
      </c>
      <c r="N3501" s="4"/>
      <c r="O3501" s="1">
        <f t="shared" si="855"/>
        <v>173.1</v>
      </c>
      <c r="P3501" s="1">
        <f t="shared" si="856"/>
        <v>0</v>
      </c>
      <c r="Q3501" s="1" t="str">
        <f t="shared" si="853"/>
        <v/>
      </c>
      <c r="R3501" s="1" t="str">
        <f t="shared" si="857"/>
        <v/>
      </c>
      <c r="S3501" s="1">
        <f t="shared" si="858"/>
        <v>630.90240000000244</v>
      </c>
      <c r="T3501" s="1">
        <f t="shared" si="859"/>
        <v>0</v>
      </c>
      <c r="U3501" s="1">
        <f t="shared" si="860"/>
        <v>0</v>
      </c>
      <c r="V3501" s="1">
        <f t="shared" si="861"/>
        <v>0</v>
      </c>
    </row>
    <row r="3502" spans="5:22" x14ac:dyDescent="0.25">
      <c r="E3502" s="4"/>
      <c r="M3502" s="4">
        <f t="shared" si="854"/>
        <v>173.1</v>
      </c>
      <c r="N3502" s="4"/>
      <c r="O3502" s="1">
        <f t="shared" si="855"/>
        <v>173.1</v>
      </c>
      <c r="P3502" s="1">
        <f t="shared" si="856"/>
        <v>0</v>
      </c>
      <c r="Q3502" s="1" t="str">
        <f t="shared" si="853"/>
        <v/>
      </c>
      <c r="R3502" s="1" t="str">
        <f t="shared" si="857"/>
        <v/>
      </c>
      <c r="S3502" s="1">
        <f t="shared" si="858"/>
        <v>630.90240000000244</v>
      </c>
      <c r="T3502" s="1">
        <f t="shared" si="859"/>
        <v>0</v>
      </c>
      <c r="U3502" s="1">
        <f t="shared" si="860"/>
        <v>0</v>
      </c>
      <c r="V3502" s="1">
        <f t="shared" si="861"/>
        <v>0</v>
      </c>
    </row>
    <row r="3503" spans="5:22" x14ac:dyDescent="0.25">
      <c r="E3503" s="4"/>
      <c r="M3503" s="4">
        <f t="shared" si="854"/>
        <v>173.1</v>
      </c>
      <c r="N3503" s="4"/>
      <c r="O3503" s="1">
        <f t="shared" si="855"/>
        <v>173.1</v>
      </c>
      <c r="P3503" s="1">
        <f t="shared" si="856"/>
        <v>0</v>
      </c>
      <c r="Q3503" s="1" t="str">
        <f t="shared" si="853"/>
        <v/>
      </c>
      <c r="R3503" s="1" t="str">
        <f t="shared" si="857"/>
        <v/>
      </c>
      <c r="S3503" s="1">
        <f t="shared" si="858"/>
        <v>630.90240000000244</v>
      </c>
      <c r="T3503" s="1">
        <f t="shared" si="859"/>
        <v>0</v>
      </c>
      <c r="U3503" s="1">
        <f t="shared" si="860"/>
        <v>0</v>
      </c>
      <c r="V3503" s="1">
        <f t="shared" si="861"/>
        <v>0</v>
      </c>
    </row>
    <row r="3504" spans="5:22" x14ac:dyDescent="0.25">
      <c r="E3504" s="4"/>
      <c r="M3504" s="4">
        <f t="shared" si="854"/>
        <v>173.1</v>
      </c>
      <c r="N3504" s="4"/>
      <c r="O3504" s="1">
        <f t="shared" si="855"/>
        <v>173.1</v>
      </c>
      <c r="P3504" s="1">
        <f t="shared" si="856"/>
        <v>0</v>
      </c>
      <c r="Q3504" s="1" t="str">
        <f t="shared" si="853"/>
        <v/>
      </c>
      <c r="R3504" s="1" t="str">
        <f t="shared" si="857"/>
        <v/>
      </c>
      <c r="S3504" s="1">
        <f t="shared" si="858"/>
        <v>630.90240000000244</v>
      </c>
      <c r="T3504" s="1">
        <f t="shared" si="859"/>
        <v>0</v>
      </c>
      <c r="U3504" s="1">
        <f t="shared" si="860"/>
        <v>0</v>
      </c>
      <c r="V3504" s="1">
        <f t="shared" si="861"/>
        <v>0</v>
      </c>
    </row>
    <row r="3505" spans="5:22" x14ac:dyDescent="0.25">
      <c r="E3505" s="4"/>
      <c r="M3505" s="4">
        <f t="shared" si="854"/>
        <v>173.1</v>
      </c>
      <c r="N3505" s="4"/>
      <c r="O3505" s="1">
        <f t="shared" si="855"/>
        <v>173.1</v>
      </c>
      <c r="P3505" s="1">
        <f t="shared" si="856"/>
        <v>0</v>
      </c>
      <c r="Q3505" s="1" t="str">
        <f t="shared" si="853"/>
        <v/>
      </c>
      <c r="R3505" s="1" t="str">
        <f t="shared" si="857"/>
        <v/>
      </c>
      <c r="S3505" s="1">
        <f t="shared" si="858"/>
        <v>630.90240000000244</v>
      </c>
      <c r="T3505" s="1">
        <f t="shared" si="859"/>
        <v>0</v>
      </c>
      <c r="U3505" s="1">
        <f t="shared" si="860"/>
        <v>0</v>
      </c>
      <c r="V3505" s="1">
        <f t="shared" si="861"/>
        <v>0</v>
      </c>
    </row>
    <row r="3506" spans="5:22" x14ac:dyDescent="0.25">
      <c r="E3506" s="4"/>
      <c r="M3506" s="4">
        <f t="shared" si="854"/>
        <v>173.1</v>
      </c>
      <c r="N3506" s="4"/>
      <c r="O3506" s="1">
        <f t="shared" si="855"/>
        <v>173.1</v>
      </c>
      <c r="P3506" s="1">
        <f t="shared" si="856"/>
        <v>0</v>
      </c>
      <c r="Q3506" s="1" t="str">
        <f t="shared" ref="Q3506:Q3569" si="862">IF(H3506&lt;&gt;"",IF(H3506=H3505,"",H3506),IF(H3504="","",MAX(H3505,Q3505)))</f>
        <v/>
      </c>
      <c r="R3506" s="1" t="str">
        <f t="shared" si="857"/>
        <v/>
      </c>
      <c r="S3506" s="1">
        <f t="shared" si="858"/>
        <v>630.90240000000244</v>
      </c>
      <c r="T3506" s="1">
        <f t="shared" si="859"/>
        <v>0</v>
      </c>
      <c r="U3506" s="1">
        <f t="shared" si="860"/>
        <v>0</v>
      </c>
      <c r="V3506" s="1">
        <f t="shared" si="861"/>
        <v>0</v>
      </c>
    </row>
    <row r="3507" spans="5:22" x14ac:dyDescent="0.25">
      <c r="E3507" s="4"/>
      <c r="M3507" s="4">
        <f t="shared" si="854"/>
        <v>173.1</v>
      </c>
      <c r="N3507" s="4"/>
      <c r="O3507" s="1">
        <f t="shared" si="855"/>
        <v>173.1</v>
      </c>
      <c r="P3507" s="1">
        <f t="shared" si="856"/>
        <v>0</v>
      </c>
      <c r="Q3507" s="1" t="str">
        <f t="shared" si="862"/>
        <v/>
      </c>
      <c r="R3507" s="1" t="str">
        <f t="shared" si="857"/>
        <v/>
      </c>
      <c r="S3507" s="1">
        <f t="shared" si="858"/>
        <v>630.90240000000244</v>
      </c>
      <c r="T3507" s="1">
        <f t="shared" si="859"/>
        <v>0</v>
      </c>
      <c r="U3507" s="1">
        <f t="shared" si="860"/>
        <v>0</v>
      </c>
      <c r="V3507" s="1">
        <f t="shared" si="861"/>
        <v>0</v>
      </c>
    </row>
    <row r="3508" spans="5:22" x14ac:dyDescent="0.25">
      <c r="E3508" s="4"/>
      <c r="M3508" s="4">
        <f t="shared" si="854"/>
        <v>173.1</v>
      </c>
      <c r="N3508" s="4"/>
      <c r="O3508" s="1">
        <f t="shared" si="855"/>
        <v>173.1</v>
      </c>
      <c r="P3508" s="1">
        <f t="shared" si="856"/>
        <v>0</v>
      </c>
      <c r="Q3508" s="1" t="str">
        <f t="shared" si="862"/>
        <v/>
      </c>
      <c r="R3508" s="1" t="str">
        <f t="shared" si="857"/>
        <v/>
      </c>
      <c r="S3508" s="1">
        <f t="shared" si="858"/>
        <v>630.90240000000244</v>
      </c>
      <c r="T3508" s="1">
        <f t="shared" si="859"/>
        <v>0</v>
      </c>
      <c r="U3508" s="1">
        <f t="shared" si="860"/>
        <v>0</v>
      </c>
      <c r="V3508" s="1">
        <f t="shared" si="861"/>
        <v>0</v>
      </c>
    </row>
    <row r="3509" spans="5:22" x14ac:dyDescent="0.25">
      <c r="E3509" s="4"/>
      <c r="M3509" s="4">
        <f t="shared" si="854"/>
        <v>173.1</v>
      </c>
      <c r="N3509" s="4"/>
      <c r="O3509" s="1">
        <f t="shared" si="855"/>
        <v>173.1</v>
      </c>
      <c r="P3509" s="1">
        <f t="shared" si="856"/>
        <v>0</v>
      </c>
      <c r="Q3509" s="1" t="str">
        <f t="shared" si="862"/>
        <v/>
      </c>
      <c r="R3509" s="1" t="str">
        <f t="shared" si="857"/>
        <v/>
      </c>
      <c r="S3509" s="1">
        <f t="shared" si="858"/>
        <v>630.90240000000244</v>
      </c>
      <c r="T3509" s="1">
        <f t="shared" si="859"/>
        <v>0</v>
      </c>
      <c r="U3509" s="1">
        <f t="shared" si="860"/>
        <v>0</v>
      </c>
      <c r="V3509" s="1">
        <f t="shared" si="861"/>
        <v>0</v>
      </c>
    </row>
    <row r="3510" spans="5:22" x14ac:dyDescent="0.25">
      <c r="E3510" s="4"/>
      <c r="M3510" s="4">
        <f t="shared" si="854"/>
        <v>173.1</v>
      </c>
      <c r="N3510" s="4"/>
      <c r="O3510" s="1">
        <f t="shared" si="855"/>
        <v>173.1</v>
      </c>
      <c r="P3510" s="1">
        <f t="shared" si="856"/>
        <v>0</v>
      </c>
      <c r="Q3510" s="1" t="str">
        <f t="shared" si="862"/>
        <v/>
      </c>
      <c r="R3510" s="1" t="str">
        <f t="shared" si="857"/>
        <v/>
      </c>
      <c r="S3510" s="1">
        <f t="shared" si="858"/>
        <v>630.90240000000244</v>
      </c>
      <c r="T3510" s="1">
        <f t="shared" si="859"/>
        <v>0</v>
      </c>
      <c r="U3510" s="1">
        <f t="shared" si="860"/>
        <v>0</v>
      </c>
      <c r="V3510" s="1">
        <f t="shared" si="861"/>
        <v>0</v>
      </c>
    </row>
    <row r="3511" spans="5:22" x14ac:dyDescent="0.25">
      <c r="E3511" s="4"/>
      <c r="M3511" s="4">
        <f t="shared" si="854"/>
        <v>173.1</v>
      </c>
      <c r="N3511" s="4"/>
      <c r="O3511" s="1">
        <f t="shared" si="855"/>
        <v>173.1</v>
      </c>
      <c r="P3511" s="1">
        <f t="shared" si="856"/>
        <v>0</v>
      </c>
      <c r="Q3511" s="1" t="str">
        <f t="shared" si="862"/>
        <v/>
      </c>
      <c r="R3511" s="1" t="str">
        <f t="shared" si="857"/>
        <v/>
      </c>
      <c r="S3511" s="1">
        <f t="shared" si="858"/>
        <v>630.90240000000244</v>
      </c>
      <c r="T3511" s="1">
        <f t="shared" si="859"/>
        <v>0</v>
      </c>
      <c r="U3511" s="1">
        <f t="shared" si="860"/>
        <v>0</v>
      </c>
      <c r="V3511" s="1">
        <f t="shared" si="861"/>
        <v>0</v>
      </c>
    </row>
    <row r="3512" spans="5:22" x14ac:dyDescent="0.25">
      <c r="E3512" s="4"/>
      <c r="M3512" s="4">
        <f t="shared" si="854"/>
        <v>173.1</v>
      </c>
      <c r="N3512" s="4"/>
      <c r="O3512" s="1">
        <f t="shared" si="855"/>
        <v>173.1</v>
      </c>
      <c r="P3512" s="1">
        <f t="shared" si="856"/>
        <v>0</v>
      </c>
      <c r="Q3512" s="1" t="str">
        <f t="shared" si="862"/>
        <v/>
      </c>
      <c r="R3512" s="1" t="str">
        <f t="shared" si="857"/>
        <v/>
      </c>
      <c r="S3512" s="1">
        <f t="shared" si="858"/>
        <v>630.90240000000244</v>
      </c>
      <c r="T3512" s="1">
        <f t="shared" si="859"/>
        <v>0</v>
      </c>
      <c r="U3512" s="1">
        <f t="shared" si="860"/>
        <v>0</v>
      </c>
      <c r="V3512" s="1">
        <f t="shared" si="861"/>
        <v>0</v>
      </c>
    </row>
    <row r="3513" spans="5:22" x14ac:dyDescent="0.25">
      <c r="E3513" s="4"/>
      <c r="M3513" s="4">
        <f t="shared" si="854"/>
        <v>173.1</v>
      </c>
      <c r="N3513" s="4"/>
      <c r="O3513" s="1">
        <f t="shared" si="855"/>
        <v>173.1</v>
      </c>
      <c r="P3513" s="1">
        <f t="shared" si="856"/>
        <v>0</v>
      </c>
      <c r="Q3513" s="1" t="str">
        <f t="shared" si="862"/>
        <v/>
      </c>
      <c r="R3513" s="1" t="str">
        <f t="shared" si="857"/>
        <v/>
      </c>
      <c r="S3513" s="1">
        <f t="shared" si="858"/>
        <v>630.90240000000244</v>
      </c>
      <c r="T3513" s="1">
        <f t="shared" si="859"/>
        <v>0</v>
      </c>
      <c r="U3513" s="1">
        <f t="shared" si="860"/>
        <v>0</v>
      </c>
      <c r="V3513" s="1">
        <f t="shared" si="861"/>
        <v>0</v>
      </c>
    </row>
    <row r="3514" spans="5:22" x14ac:dyDescent="0.25">
      <c r="E3514" s="4"/>
      <c r="M3514" s="4">
        <f t="shared" si="854"/>
        <v>173.1</v>
      </c>
      <c r="N3514" s="4"/>
      <c r="O3514" s="1">
        <f t="shared" si="855"/>
        <v>173.1</v>
      </c>
      <c r="P3514" s="1">
        <f t="shared" si="856"/>
        <v>0</v>
      </c>
      <c r="Q3514" s="1" t="str">
        <f t="shared" si="862"/>
        <v/>
      </c>
      <c r="R3514" s="1" t="str">
        <f t="shared" si="857"/>
        <v/>
      </c>
      <c r="S3514" s="1">
        <f t="shared" si="858"/>
        <v>630.90240000000244</v>
      </c>
      <c r="T3514" s="1">
        <f t="shared" si="859"/>
        <v>0</v>
      </c>
      <c r="U3514" s="1">
        <f t="shared" si="860"/>
        <v>0</v>
      </c>
      <c r="V3514" s="1">
        <f t="shared" si="861"/>
        <v>0</v>
      </c>
    </row>
    <row r="3515" spans="5:22" x14ac:dyDescent="0.25">
      <c r="E3515" s="4"/>
      <c r="M3515" s="4">
        <f t="shared" si="854"/>
        <v>173.1</v>
      </c>
      <c r="N3515" s="4"/>
      <c r="O3515" s="1">
        <f t="shared" si="855"/>
        <v>173.1</v>
      </c>
      <c r="P3515" s="1">
        <f t="shared" si="856"/>
        <v>0</v>
      </c>
      <c r="Q3515" s="1" t="str">
        <f t="shared" si="862"/>
        <v/>
      </c>
      <c r="R3515" s="1" t="str">
        <f t="shared" si="857"/>
        <v/>
      </c>
      <c r="S3515" s="1">
        <f t="shared" si="858"/>
        <v>630.90240000000244</v>
      </c>
      <c r="T3515" s="1">
        <f t="shared" si="859"/>
        <v>0</v>
      </c>
      <c r="U3515" s="1">
        <f t="shared" si="860"/>
        <v>0</v>
      </c>
      <c r="V3515" s="1">
        <f t="shared" si="861"/>
        <v>0</v>
      </c>
    </row>
    <row r="3516" spans="5:22" x14ac:dyDescent="0.25">
      <c r="E3516" s="4"/>
      <c r="M3516" s="4">
        <f t="shared" si="854"/>
        <v>173.1</v>
      </c>
      <c r="N3516" s="4"/>
      <c r="O3516" s="1">
        <f t="shared" si="855"/>
        <v>173.1</v>
      </c>
      <c r="P3516" s="1">
        <f t="shared" si="856"/>
        <v>0</v>
      </c>
      <c r="Q3516" s="1" t="str">
        <f t="shared" si="862"/>
        <v/>
      </c>
      <c r="R3516" s="1" t="str">
        <f t="shared" si="857"/>
        <v/>
      </c>
      <c r="S3516" s="1">
        <f t="shared" si="858"/>
        <v>630.90240000000244</v>
      </c>
      <c r="T3516" s="1">
        <f t="shared" si="859"/>
        <v>0</v>
      </c>
      <c r="U3516" s="1">
        <f t="shared" si="860"/>
        <v>0</v>
      </c>
      <c r="V3516" s="1">
        <f t="shared" si="861"/>
        <v>0</v>
      </c>
    </row>
    <row r="3517" spans="5:22" x14ac:dyDescent="0.25">
      <c r="E3517" s="4"/>
      <c r="M3517" s="4">
        <f t="shared" si="854"/>
        <v>173.1</v>
      </c>
      <c r="N3517" s="4"/>
      <c r="O3517" s="1">
        <f t="shared" si="855"/>
        <v>173.1</v>
      </c>
      <c r="P3517" s="1">
        <f t="shared" si="856"/>
        <v>0</v>
      </c>
      <c r="Q3517" s="1" t="str">
        <f t="shared" si="862"/>
        <v/>
      </c>
      <c r="R3517" s="1" t="str">
        <f t="shared" si="857"/>
        <v/>
      </c>
      <c r="S3517" s="1">
        <f t="shared" si="858"/>
        <v>630.90240000000244</v>
      </c>
      <c r="T3517" s="1">
        <f t="shared" si="859"/>
        <v>0</v>
      </c>
      <c r="U3517" s="1">
        <f t="shared" si="860"/>
        <v>0</v>
      </c>
      <c r="V3517" s="1">
        <f t="shared" si="861"/>
        <v>0</v>
      </c>
    </row>
    <row r="3518" spans="5:22" x14ac:dyDescent="0.25">
      <c r="E3518" s="4"/>
      <c r="M3518" s="4">
        <f t="shared" si="854"/>
        <v>173.1</v>
      </c>
      <c r="N3518" s="4"/>
      <c r="O3518" s="1">
        <f t="shared" si="855"/>
        <v>173.1</v>
      </c>
      <c r="P3518" s="1">
        <f t="shared" si="856"/>
        <v>0</v>
      </c>
      <c r="Q3518" s="1" t="str">
        <f t="shared" si="862"/>
        <v/>
      </c>
      <c r="R3518" s="1" t="str">
        <f t="shared" si="857"/>
        <v/>
      </c>
      <c r="S3518" s="1">
        <f t="shared" si="858"/>
        <v>630.90240000000244</v>
      </c>
      <c r="T3518" s="1">
        <f t="shared" si="859"/>
        <v>0</v>
      </c>
      <c r="U3518" s="1">
        <f t="shared" si="860"/>
        <v>0</v>
      </c>
      <c r="V3518" s="1">
        <f t="shared" si="861"/>
        <v>0</v>
      </c>
    </row>
    <row r="3519" spans="5:22" x14ac:dyDescent="0.25">
      <c r="E3519" s="4"/>
      <c r="M3519" s="4">
        <f t="shared" si="854"/>
        <v>173.1</v>
      </c>
      <c r="N3519" s="4"/>
      <c r="O3519" s="1">
        <f t="shared" si="855"/>
        <v>173.1</v>
      </c>
      <c r="P3519" s="1">
        <f t="shared" si="856"/>
        <v>0</v>
      </c>
      <c r="Q3519" s="1" t="str">
        <f t="shared" si="862"/>
        <v/>
      </c>
      <c r="R3519" s="1" t="str">
        <f t="shared" si="857"/>
        <v/>
      </c>
      <c r="S3519" s="1">
        <f t="shared" si="858"/>
        <v>630.90240000000244</v>
      </c>
      <c r="T3519" s="1">
        <f t="shared" si="859"/>
        <v>0</v>
      </c>
      <c r="U3519" s="1">
        <f t="shared" si="860"/>
        <v>0</v>
      </c>
      <c r="V3519" s="1">
        <f t="shared" si="861"/>
        <v>0</v>
      </c>
    </row>
    <row r="3520" spans="5:22" x14ac:dyDescent="0.25">
      <c r="E3520" s="4"/>
      <c r="M3520" s="4">
        <f t="shared" si="854"/>
        <v>173.1</v>
      </c>
      <c r="N3520" s="4"/>
      <c r="O3520" s="1">
        <f t="shared" si="855"/>
        <v>173.1</v>
      </c>
      <c r="P3520" s="1">
        <f t="shared" si="856"/>
        <v>0</v>
      </c>
      <c r="Q3520" s="1" t="str">
        <f t="shared" si="862"/>
        <v/>
      </c>
      <c r="R3520" s="1" t="str">
        <f t="shared" si="857"/>
        <v/>
      </c>
      <c r="S3520" s="1">
        <f t="shared" si="858"/>
        <v>630.90240000000244</v>
      </c>
      <c r="T3520" s="1">
        <f t="shared" si="859"/>
        <v>0</v>
      </c>
      <c r="U3520" s="1">
        <f t="shared" si="860"/>
        <v>0</v>
      </c>
      <c r="V3520" s="1">
        <f t="shared" si="861"/>
        <v>0</v>
      </c>
    </row>
    <row r="3521" spans="5:22" x14ac:dyDescent="0.25">
      <c r="E3521" s="4"/>
      <c r="M3521" s="4">
        <f t="shared" si="854"/>
        <v>173.1</v>
      </c>
      <c r="N3521" s="4"/>
      <c r="O3521" s="1">
        <f t="shared" si="855"/>
        <v>173.1</v>
      </c>
      <c r="P3521" s="1">
        <f t="shared" si="856"/>
        <v>0</v>
      </c>
      <c r="Q3521" s="1" t="str">
        <f t="shared" si="862"/>
        <v/>
      </c>
      <c r="R3521" s="1" t="str">
        <f t="shared" si="857"/>
        <v/>
      </c>
      <c r="S3521" s="1">
        <f t="shared" si="858"/>
        <v>630.90240000000244</v>
      </c>
      <c r="T3521" s="1">
        <f t="shared" si="859"/>
        <v>0</v>
      </c>
      <c r="U3521" s="1">
        <f t="shared" si="860"/>
        <v>0</v>
      </c>
      <c r="V3521" s="1">
        <f t="shared" si="861"/>
        <v>0</v>
      </c>
    </row>
    <row r="3522" spans="5:22" x14ac:dyDescent="0.25">
      <c r="E3522" s="4"/>
      <c r="M3522" s="4">
        <f t="shared" si="854"/>
        <v>173.1</v>
      </c>
      <c r="N3522" s="4"/>
      <c r="O3522" s="1">
        <f t="shared" si="855"/>
        <v>173.1</v>
      </c>
      <c r="P3522" s="1">
        <f t="shared" si="856"/>
        <v>0</v>
      </c>
      <c r="Q3522" s="1" t="str">
        <f t="shared" si="862"/>
        <v/>
      </c>
      <c r="R3522" s="1" t="str">
        <f t="shared" si="857"/>
        <v/>
      </c>
      <c r="S3522" s="1">
        <f t="shared" si="858"/>
        <v>630.90240000000244</v>
      </c>
      <c r="T3522" s="1">
        <f t="shared" si="859"/>
        <v>0</v>
      </c>
      <c r="U3522" s="1">
        <f t="shared" si="860"/>
        <v>0</v>
      </c>
      <c r="V3522" s="1">
        <f t="shared" si="861"/>
        <v>0</v>
      </c>
    </row>
    <row r="3523" spans="5:22" x14ac:dyDescent="0.25">
      <c r="E3523" s="4"/>
      <c r="M3523" s="4">
        <f t="shared" si="854"/>
        <v>173.1</v>
      </c>
      <c r="N3523" s="4"/>
      <c r="O3523" s="1">
        <f t="shared" si="855"/>
        <v>173.1</v>
      </c>
      <c r="P3523" s="1">
        <f t="shared" si="856"/>
        <v>0</v>
      </c>
      <c r="Q3523" s="1" t="str">
        <f t="shared" si="862"/>
        <v/>
      </c>
      <c r="R3523" s="1" t="str">
        <f t="shared" si="857"/>
        <v/>
      </c>
      <c r="S3523" s="1">
        <f t="shared" si="858"/>
        <v>630.90240000000244</v>
      </c>
      <c r="T3523" s="1">
        <f t="shared" si="859"/>
        <v>0</v>
      </c>
      <c r="U3523" s="1">
        <f t="shared" si="860"/>
        <v>0</v>
      </c>
      <c r="V3523" s="1">
        <f t="shared" si="861"/>
        <v>0</v>
      </c>
    </row>
    <row r="3524" spans="5:22" x14ac:dyDescent="0.25">
      <c r="E3524" s="4"/>
      <c r="M3524" s="4">
        <f t="shared" si="854"/>
        <v>173.1</v>
      </c>
      <c r="N3524" s="4"/>
      <c r="O3524" s="1">
        <f t="shared" si="855"/>
        <v>173.1</v>
      </c>
      <c r="P3524" s="1">
        <f t="shared" si="856"/>
        <v>0</v>
      </c>
      <c r="Q3524" s="1" t="str">
        <f t="shared" si="862"/>
        <v/>
      </c>
      <c r="R3524" s="1" t="str">
        <f t="shared" si="857"/>
        <v/>
      </c>
      <c r="S3524" s="1">
        <f t="shared" si="858"/>
        <v>630.90240000000244</v>
      </c>
      <c r="T3524" s="1">
        <f t="shared" si="859"/>
        <v>0</v>
      </c>
      <c r="U3524" s="1">
        <f t="shared" si="860"/>
        <v>0</v>
      </c>
      <c r="V3524" s="1">
        <f t="shared" si="861"/>
        <v>0</v>
      </c>
    </row>
    <row r="3525" spans="5:22" x14ac:dyDescent="0.25">
      <c r="E3525" s="4"/>
      <c r="M3525" s="4">
        <f t="shared" si="854"/>
        <v>173.1</v>
      </c>
      <c r="N3525" s="4"/>
      <c r="O3525" s="1">
        <f t="shared" si="855"/>
        <v>173.1</v>
      </c>
      <c r="P3525" s="1">
        <f t="shared" si="856"/>
        <v>0</v>
      </c>
      <c r="Q3525" s="1" t="str">
        <f t="shared" si="862"/>
        <v/>
      </c>
      <c r="R3525" s="1" t="str">
        <f t="shared" si="857"/>
        <v/>
      </c>
      <c r="S3525" s="1">
        <f t="shared" si="858"/>
        <v>630.90240000000244</v>
      </c>
      <c r="T3525" s="1">
        <f t="shared" si="859"/>
        <v>0</v>
      </c>
      <c r="U3525" s="1">
        <f t="shared" si="860"/>
        <v>0</v>
      </c>
      <c r="V3525" s="1">
        <f t="shared" si="861"/>
        <v>0</v>
      </c>
    </row>
    <row r="3526" spans="5:22" x14ac:dyDescent="0.25">
      <c r="E3526" s="4"/>
      <c r="M3526" s="4">
        <f t="shared" si="854"/>
        <v>173.1</v>
      </c>
      <c r="N3526" s="4"/>
      <c r="O3526" s="1">
        <f t="shared" si="855"/>
        <v>173.1</v>
      </c>
      <c r="P3526" s="1">
        <f t="shared" si="856"/>
        <v>0</v>
      </c>
      <c r="Q3526" s="1" t="str">
        <f t="shared" si="862"/>
        <v/>
      </c>
      <c r="R3526" s="1" t="str">
        <f t="shared" si="857"/>
        <v/>
      </c>
      <c r="S3526" s="1">
        <f t="shared" si="858"/>
        <v>630.90240000000244</v>
      </c>
      <c r="T3526" s="1">
        <f t="shared" si="859"/>
        <v>0</v>
      </c>
      <c r="U3526" s="1">
        <f t="shared" si="860"/>
        <v>0</v>
      </c>
      <c r="V3526" s="1">
        <f t="shared" si="861"/>
        <v>0</v>
      </c>
    </row>
    <row r="3527" spans="5:22" x14ac:dyDescent="0.25">
      <c r="E3527" s="4"/>
      <c r="M3527" s="4">
        <f t="shared" si="854"/>
        <v>173.1</v>
      </c>
      <c r="N3527" s="4"/>
      <c r="O3527" s="1">
        <f t="shared" si="855"/>
        <v>173.1</v>
      </c>
      <c r="P3527" s="1">
        <f t="shared" si="856"/>
        <v>0</v>
      </c>
      <c r="Q3527" s="1" t="str">
        <f t="shared" si="862"/>
        <v/>
      </c>
      <c r="R3527" s="1" t="str">
        <f t="shared" si="857"/>
        <v/>
      </c>
      <c r="S3527" s="1">
        <f t="shared" si="858"/>
        <v>630.90240000000244</v>
      </c>
      <c r="T3527" s="1">
        <f t="shared" si="859"/>
        <v>0</v>
      </c>
      <c r="U3527" s="1">
        <f t="shared" si="860"/>
        <v>0</v>
      </c>
      <c r="V3527" s="1">
        <f t="shared" si="861"/>
        <v>0</v>
      </c>
    </row>
    <row r="3528" spans="5:22" x14ac:dyDescent="0.25">
      <c r="E3528" s="4"/>
      <c r="M3528" s="4">
        <f t="shared" ref="M3528:M3591" si="863">E3528+M3527</f>
        <v>173.1</v>
      </c>
      <c r="N3528" s="4"/>
      <c r="O3528" s="1">
        <f t="shared" ref="O3528:O3591" si="864">E3527+O3527</f>
        <v>173.1</v>
      </c>
      <c r="P3528" s="1">
        <f t="shared" ref="P3528:P3591" si="865">F3528*52.8*E3528</f>
        <v>0</v>
      </c>
      <c r="Q3528" s="1" t="str">
        <f t="shared" si="862"/>
        <v/>
      </c>
      <c r="R3528" s="1" t="str">
        <f t="shared" ref="R3528:R3591" si="866">IF(I3528="",Q3528,IF(AND(H3528=H3527,I3528=I3527),"",I3528))</f>
        <v/>
      </c>
      <c r="S3528" s="1">
        <f t="shared" ref="S3528:S3591" si="867">S3527+U3527*T3527/100</f>
        <v>630.90240000000244</v>
      </c>
      <c r="T3528" s="1">
        <f t="shared" ref="T3528:T3591" si="868">IF(G3528="UNK",0,G3528)</f>
        <v>0</v>
      </c>
      <c r="U3528" s="1">
        <f t="shared" ref="U3528:U3591" si="869">E3528*5280</f>
        <v>0</v>
      </c>
      <c r="V3528" s="1">
        <f t="shared" ref="V3528:V3591" si="870">ABS(T3528*U3528)</f>
        <v>0</v>
      </c>
    </row>
    <row r="3529" spans="5:22" x14ac:dyDescent="0.25">
      <c r="E3529" s="4"/>
      <c r="M3529" s="4">
        <f t="shared" si="863"/>
        <v>173.1</v>
      </c>
      <c r="N3529" s="4"/>
      <c r="O3529" s="1">
        <f t="shared" si="864"/>
        <v>173.1</v>
      </c>
      <c r="P3529" s="1">
        <f t="shared" si="865"/>
        <v>0</v>
      </c>
      <c r="Q3529" s="1" t="str">
        <f t="shared" si="862"/>
        <v/>
      </c>
      <c r="R3529" s="1" t="str">
        <f t="shared" si="866"/>
        <v/>
      </c>
      <c r="S3529" s="1">
        <f t="shared" si="867"/>
        <v>630.90240000000244</v>
      </c>
      <c r="T3529" s="1">
        <f t="shared" si="868"/>
        <v>0</v>
      </c>
      <c r="U3529" s="1">
        <f t="shared" si="869"/>
        <v>0</v>
      </c>
      <c r="V3529" s="1">
        <f t="shared" si="870"/>
        <v>0</v>
      </c>
    </row>
    <row r="3530" spans="5:22" x14ac:dyDescent="0.25">
      <c r="E3530" s="4"/>
      <c r="M3530" s="4">
        <f t="shared" si="863"/>
        <v>173.1</v>
      </c>
      <c r="N3530" s="4"/>
      <c r="O3530" s="1">
        <f t="shared" si="864"/>
        <v>173.1</v>
      </c>
      <c r="P3530" s="1">
        <f t="shared" si="865"/>
        <v>0</v>
      </c>
      <c r="Q3530" s="1" t="str">
        <f t="shared" si="862"/>
        <v/>
      </c>
      <c r="R3530" s="1" t="str">
        <f t="shared" si="866"/>
        <v/>
      </c>
      <c r="S3530" s="1">
        <f t="shared" si="867"/>
        <v>630.90240000000244</v>
      </c>
      <c r="T3530" s="1">
        <f t="shared" si="868"/>
        <v>0</v>
      </c>
      <c r="U3530" s="1">
        <f t="shared" si="869"/>
        <v>0</v>
      </c>
      <c r="V3530" s="1">
        <f t="shared" si="870"/>
        <v>0</v>
      </c>
    </row>
    <row r="3531" spans="5:22" x14ac:dyDescent="0.25">
      <c r="E3531" s="4"/>
      <c r="M3531" s="4">
        <f t="shared" si="863"/>
        <v>173.1</v>
      </c>
      <c r="N3531" s="4"/>
      <c r="O3531" s="1">
        <f t="shared" si="864"/>
        <v>173.1</v>
      </c>
      <c r="P3531" s="1">
        <f t="shared" si="865"/>
        <v>0</v>
      </c>
      <c r="Q3531" s="1" t="str">
        <f t="shared" si="862"/>
        <v/>
      </c>
      <c r="R3531" s="1" t="str">
        <f t="shared" si="866"/>
        <v/>
      </c>
      <c r="S3531" s="1">
        <f t="shared" si="867"/>
        <v>630.90240000000244</v>
      </c>
      <c r="T3531" s="1">
        <f t="shared" si="868"/>
        <v>0</v>
      </c>
      <c r="U3531" s="1">
        <f t="shared" si="869"/>
        <v>0</v>
      </c>
      <c r="V3531" s="1">
        <f t="shared" si="870"/>
        <v>0</v>
      </c>
    </row>
    <row r="3532" spans="5:22" x14ac:dyDescent="0.25">
      <c r="E3532" s="4"/>
      <c r="M3532" s="4">
        <f t="shared" si="863"/>
        <v>173.1</v>
      </c>
      <c r="N3532" s="4"/>
      <c r="O3532" s="1">
        <f t="shared" si="864"/>
        <v>173.1</v>
      </c>
      <c r="P3532" s="1">
        <f t="shared" si="865"/>
        <v>0</v>
      </c>
      <c r="Q3532" s="1" t="str">
        <f t="shared" si="862"/>
        <v/>
      </c>
      <c r="R3532" s="1" t="str">
        <f t="shared" si="866"/>
        <v/>
      </c>
      <c r="S3532" s="1">
        <f t="shared" si="867"/>
        <v>630.90240000000244</v>
      </c>
      <c r="T3532" s="1">
        <f t="shared" si="868"/>
        <v>0</v>
      </c>
      <c r="U3532" s="1">
        <f t="shared" si="869"/>
        <v>0</v>
      </c>
      <c r="V3532" s="1">
        <f t="shared" si="870"/>
        <v>0</v>
      </c>
    </row>
    <row r="3533" spans="5:22" x14ac:dyDescent="0.25">
      <c r="E3533" s="4"/>
      <c r="M3533" s="4">
        <f t="shared" si="863"/>
        <v>173.1</v>
      </c>
      <c r="N3533" s="4"/>
      <c r="O3533" s="1">
        <f t="shared" si="864"/>
        <v>173.1</v>
      </c>
      <c r="P3533" s="1">
        <f t="shared" si="865"/>
        <v>0</v>
      </c>
      <c r="Q3533" s="1" t="str">
        <f t="shared" si="862"/>
        <v/>
      </c>
      <c r="R3533" s="1" t="str">
        <f t="shared" si="866"/>
        <v/>
      </c>
      <c r="S3533" s="1">
        <f t="shared" si="867"/>
        <v>630.90240000000244</v>
      </c>
      <c r="T3533" s="1">
        <f t="shared" si="868"/>
        <v>0</v>
      </c>
      <c r="U3533" s="1">
        <f t="shared" si="869"/>
        <v>0</v>
      </c>
      <c r="V3533" s="1">
        <f t="shared" si="870"/>
        <v>0</v>
      </c>
    </row>
    <row r="3534" spans="5:22" x14ac:dyDescent="0.25">
      <c r="E3534" s="4"/>
      <c r="M3534" s="4">
        <f t="shared" si="863"/>
        <v>173.1</v>
      </c>
      <c r="N3534" s="4"/>
      <c r="O3534" s="1">
        <f t="shared" si="864"/>
        <v>173.1</v>
      </c>
      <c r="P3534" s="1">
        <f t="shared" si="865"/>
        <v>0</v>
      </c>
      <c r="Q3534" s="1" t="str">
        <f t="shared" si="862"/>
        <v/>
      </c>
      <c r="R3534" s="1" t="str">
        <f t="shared" si="866"/>
        <v/>
      </c>
      <c r="S3534" s="1">
        <f t="shared" si="867"/>
        <v>630.90240000000244</v>
      </c>
      <c r="T3534" s="1">
        <f t="shared" si="868"/>
        <v>0</v>
      </c>
      <c r="U3534" s="1">
        <f t="shared" si="869"/>
        <v>0</v>
      </c>
      <c r="V3534" s="1">
        <f t="shared" si="870"/>
        <v>0</v>
      </c>
    </row>
    <row r="3535" spans="5:22" x14ac:dyDescent="0.25">
      <c r="E3535" s="4"/>
      <c r="M3535" s="4">
        <f t="shared" si="863"/>
        <v>173.1</v>
      </c>
      <c r="N3535" s="4"/>
      <c r="O3535" s="1">
        <f t="shared" si="864"/>
        <v>173.1</v>
      </c>
      <c r="P3535" s="1">
        <f t="shared" si="865"/>
        <v>0</v>
      </c>
      <c r="Q3535" s="1" t="str">
        <f t="shared" si="862"/>
        <v/>
      </c>
      <c r="R3535" s="1" t="str">
        <f t="shared" si="866"/>
        <v/>
      </c>
      <c r="S3535" s="1">
        <f t="shared" si="867"/>
        <v>630.90240000000244</v>
      </c>
      <c r="T3535" s="1">
        <f t="shared" si="868"/>
        <v>0</v>
      </c>
      <c r="U3535" s="1">
        <f t="shared" si="869"/>
        <v>0</v>
      </c>
      <c r="V3535" s="1">
        <f t="shared" si="870"/>
        <v>0</v>
      </c>
    </row>
    <row r="3536" spans="5:22" x14ac:dyDescent="0.25">
      <c r="E3536" s="4"/>
      <c r="M3536" s="4">
        <f t="shared" si="863"/>
        <v>173.1</v>
      </c>
      <c r="N3536" s="4"/>
      <c r="O3536" s="1">
        <f t="shared" si="864"/>
        <v>173.1</v>
      </c>
      <c r="P3536" s="1">
        <f t="shared" si="865"/>
        <v>0</v>
      </c>
      <c r="Q3536" s="1" t="str">
        <f t="shared" si="862"/>
        <v/>
      </c>
      <c r="R3536" s="1" t="str">
        <f t="shared" si="866"/>
        <v/>
      </c>
      <c r="S3536" s="1">
        <f t="shared" si="867"/>
        <v>630.90240000000244</v>
      </c>
      <c r="T3536" s="1">
        <f t="shared" si="868"/>
        <v>0</v>
      </c>
      <c r="U3536" s="1">
        <f t="shared" si="869"/>
        <v>0</v>
      </c>
      <c r="V3536" s="1">
        <f t="shared" si="870"/>
        <v>0</v>
      </c>
    </row>
    <row r="3537" spans="5:22" x14ac:dyDescent="0.25">
      <c r="E3537" s="4"/>
      <c r="M3537" s="4">
        <f t="shared" si="863"/>
        <v>173.1</v>
      </c>
      <c r="N3537" s="4"/>
      <c r="O3537" s="1">
        <f t="shared" si="864"/>
        <v>173.1</v>
      </c>
      <c r="P3537" s="1">
        <f t="shared" si="865"/>
        <v>0</v>
      </c>
      <c r="Q3537" s="1" t="str">
        <f t="shared" si="862"/>
        <v/>
      </c>
      <c r="R3537" s="1" t="str">
        <f t="shared" si="866"/>
        <v/>
      </c>
      <c r="S3537" s="1">
        <f t="shared" si="867"/>
        <v>630.90240000000244</v>
      </c>
      <c r="T3537" s="1">
        <f t="shared" si="868"/>
        <v>0</v>
      </c>
      <c r="U3537" s="1">
        <f t="shared" si="869"/>
        <v>0</v>
      </c>
      <c r="V3537" s="1">
        <f t="shared" si="870"/>
        <v>0</v>
      </c>
    </row>
    <row r="3538" spans="5:22" x14ac:dyDescent="0.25">
      <c r="E3538" s="4"/>
      <c r="M3538" s="4">
        <f t="shared" si="863"/>
        <v>173.1</v>
      </c>
      <c r="N3538" s="4"/>
      <c r="O3538" s="1">
        <f t="shared" si="864"/>
        <v>173.1</v>
      </c>
      <c r="P3538" s="1">
        <f t="shared" si="865"/>
        <v>0</v>
      </c>
      <c r="Q3538" s="1" t="str">
        <f t="shared" si="862"/>
        <v/>
      </c>
      <c r="R3538" s="1" t="str">
        <f t="shared" si="866"/>
        <v/>
      </c>
      <c r="S3538" s="1">
        <f t="shared" si="867"/>
        <v>630.90240000000244</v>
      </c>
      <c r="T3538" s="1">
        <f t="shared" si="868"/>
        <v>0</v>
      </c>
      <c r="U3538" s="1">
        <f t="shared" si="869"/>
        <v>0</v>
      </c>
      <c r="V3538" s="1">
        <f t="shared" si="870"/>
        <v>0</v>
      </c>
    </row>
    <row r="3539" spans="5:22" x14ac:dyDescent="0.25">
      <c r="E3539" s="4"/>
      <c r="M3539" s="4">
        <f t="shared" si="863"/>
        <v>173.1</v>
      </c>
      <c r="N3539" s="4"/>
      <c r="O3539" s="1">
        <f t="shared" si="864"/>
        <v>173.1</v>
      </c>
      <c r="P3539" s="1">
        <f t="shared" si="865"/>
        <v>0</v>
      </c>
      <c r="Q3539" s="1" t="str">
        <f t="shared" si="862"/>
        <v/>
      </c>
      <c r="R3539" s="1" t="str">
        <f t="shared" si="866"/>
        <v/>
      </c>
      <c r="S3539" s="1">
        <f t="shared" si="867"/>
        <v>630.90240000000244</v>
      </c>
      <c r="T3539" s="1">
        <f t="shared" si="868"/>
        <v>0</v>
      </c>
      <c r="U3539" s="1">
        <f t="shared" si="869"/>
        <v>0</v>
      </c>
      <c r="V3539" s="1">
        <f t="shared" si="870"/>
        <v>0</v>
      </c>
    </row>
    <row r="3540" spans="5:22" x14ac:dyDescent="0.25">
      <c r="E3540" s="4"/>
      <c r="M3540" s="4">
        <f t="shared" si="863"/>
        <v>173.1</v>
      </c>
      <c r="N3540" s="4"/>
      <c r="O3540" s="1">
        <f t="shared" si="864"/>
        <v>173.1</v>
      </c>
      <c r="P3540" s="1">
        <f t="shared" si="865"/>
        <v>0</v>
      </c>
      <c r="Q3540" s="1" t="str">
        <f t="shared" si="862"/>
        <v/>
      </c>
      <c r="R3540" s="1" t="str">
        <f t="shared" si="866"/>
        <v/>
      </c>
      <c r="S3540" s="1">
        <f t="shared" si="867"/>
        <v>630.90240000000244</v>
      </c>
      <c r="T3540" s="1">
        <f t="shared" si="868"/>
        <v>0</v>
      </c>
      <c r="U3540" s="1">
        <f t="shared" si="869"/>
        <v>0</v>
      </c>
      <c r="V3540" s="1">
        <f t="shared" si="870"/>
        <v>0</v>
      </c>
    </row>
    <row r="3541" spans="5:22" x14ac:dyDescent="0.25">
      <c r="E3541" s="4"/>
      <c r="M3541" s="4">
        <f t="shared" si="863"/>
        <v>173.1</v>
      </c>
      <c r="N3541" s="4"/>
      <c r="O3541" s="1">
        <f t="shared" si="864"/>
        <v>173.1</v>
      </c>
      <c r="P3541" s="1">
        <f t="shared" si="865"/>
        <v>0</v>
      </c>
      <c r="Q3541" s="1" t="str">
        <f t="shared" si="862"/>
        <v/>
      </c>
      <c r="R3541" s="1" t="str">
        <f t="shared" si="866"/>
        <v/>
      </c>
      <c r="S3541" s="1">
        <f t="shared" si="867"/>
        <v>630.90240000000244</v>
      </c>
      <c r="T3541" s="1">
        <f t="shared" si="868"/>
        <v>0</v>
      </c>
      <c r="U3541" s="1">
        <f t="shared" si="869"/>
        <v>0</v>
      </c>
      <c r="V3541" s="1">
        <f t="shared" si="870"/>
        <v>0</v>
      </c>
    </row>
    <row r="3542" spans="5:22" x14ac:dyDescent="0.25">
      <c r="E3542" s="4"/>
      <c r="M3542" s="4">
        <f t="shared" si="863"/>
        <v>173.1</v>
      </c>
      <c r="N3542" s="4"/>
      <c r="O3542" s="1">
        <f t="shared" si="864"/>
        <v>173.1</v>
      </c>
      <c r="P3542" s="1">
        <f t="shared" si="865"/>
        <v>0</v>
      </c>
      <c r="Q3542" s="1" t="str">
        <f t="shared" si="862"/>
        <v/>
      </c>
      <c r="R3542" s="1" t="str">
        <f t="shared" si="866"/>
        <v/>
      </c>
      <c r="S3542" s="1">
        <f t="shared" si="867"/>
        <v>630.90240000000244</v>
      </c>
      <c r="T3542" s="1">
        <f t="shared" si="868"/>
        <v>0</v>
      </c>
      <c r="U3542" s="1">
        <f t="shared" si="869"/>
        <v>0</v>
      </c>
      <c r="V3542" s="1">
        <f t="shared" si="870"/>
        <v>0</v>
      </c>
    </row>
    <row r="3543" spans="5:22" x14ac:dyDescent="0.25">
      <c r="E3543" s="4"/>
      <c r="M3543" s="4">
        <f t="shared" si="863"/>
        <v>173.1</v>
      </c>
      <c r="N3543" s="4"/>
      <c r="O3543" s="1">
        <f t="shared" si="864"/>
        <v>173.1</v>
      </c>
      <c r="P3543" s="1">
        <f t="shared" si="865"/>
        <v>0</v>
      </c>
      <c r="Q3543" s="1" t="str">
        <f t="shared" si="862"/>
        <v/>
      </c>
      <c r="R3543" s="1" t="str">
        <f t="shared" si="866"/>
        <v/>
      </c>
      <c r="S3543" s="1">
        <f t="shared" si="867"/>
        <v>630.90240000000244</v>
      </c>
      <c r="T3543" s="1">
        <f t="shared" si="868"/>
        <v>0</v>
      </c>
      <c r="U3543" s="1">
        <f t="shared" si="869"/>
        <v>0</v>
      </c>
      <c r="V3543" s="1">
        <f t="shared" si="870"/>
        <v>0</v>
      </c>
    </row>
    <row r="3544" spans="5:22" x14ac:dyDescent="0.25">
      <c r="E3544" s="4"/>
      <c r="M3544" s="4">
        <f t="shared" si="863"/>
        <v>173.1</v>
      </c>
      <c r="N3544" s="4"/>
      <c r="O3544" s="1">
        <f t="shared" si="864"/>
        <v>173.1</v>
      </c>
      <c r="P3544" s="1">
        <f t="shared" si="865"/>
        <v>0</v>
      </c>
      <c r="Q3544" s="1" t="str">
        <f t="shared" si="862"/>
        <v/>
      </c>
      <c r="R3544" s="1" t="str">
        <f t="shared" si="866"/>
        <v/>
      </c>
      <c r="S3544" s="1">
        <f t="shared" si="867"/>
        <v>630.90240000000244</v>
      </c>
      <c r="T3544" s="1">
        <f t="shared" si="868"/>
        <v>0</v>
      </c>
      <c r="U3544" s="1">
        <f t="shared" si="869"/>
        <v>0</v>
      </c>
      <c r="V3544" s="1">
        <f t="shared" si="870"/>
        <v>0</v>
      </c>
    </row>
    <row r="3545" spans="5:22" x14ac:dyDescent="0.25">
      <c r="E3545" s="4"/>
      <c r="M3545" s="4">
        <f t="shared" si="863"/>
        <v>173.1</v>
      </c>
      <c r="N3545" s="4"/>
      <c r="O3545" s="1">
        <f t="shared" si="864"/>
        <v>173.1</v>
      </c>
      <c r="P3545" s="1">
        <f t="shared" si="865"/>
        <v>0</v>
      </c>
      <c r="Q3545" s="1" t="str">
        <f t="shared" si="862"/>
        <v/>
      </c>
      <c r="R3545" s="1" t="str">
        <f t="shared" si="866"/>
        <v/>
      </c>
      <c r="S3545" s="1">
        <f t="shared" si="867"/>
        <v>630.90240000000244</v>
      </c>
      <c r="T3545" s="1">
        <f t="shared" si="868"/>
        <v>0</v>
      </c>
      <c r="U3545" s="1">
        <f t="shared" si="869"/>
        <v>0</v>
      </c>
      <c r="V3545" s="1">
        <f t="shared" si="870"/>
        <v>0</v>
      </c>
    </row>
    <row r="3546" spans="5:22" x14ac:dyDescent="0.25">
      <c r="E3546" s="4"/>
      <c r="M3546" s="4">
        <f t="shared" si="863"/>
        <v>173.1</v>
      </c>
      <c r="N3546" s="4"/>
      <c r="O3546" s="1">
        <f t="shared" si="864"/>
        <v>173.1</v>
      </c>
      <c r="P3546" s="1">
        <f t="shared" si="865"/>
        <v>0</v>
      </c>
      <c r="Q3546" s="1" t="str">
        <f t="shared" si="862"/>
        <v/>
      </c>
      <c r="R3546" s="1" t="str">
        <f t="shared" si="866"/>
        <v/>
      </c>
      <c r="S3546" s="1">
        <f t="shared" si="867"/>
        <v>630.90240000000244</v>
      </c>
      <c r="T3546" s="1">
        <f t="shared" si="868"/>
        <v>0</v>
      </c>
      <c r="U3546" s="1">
        <f t="shared" si="869"/>
        <v>0</v>
      </c>
      <c r="V3546" s="1">
        <f t="shared" si="870"/>
        <v>0</v>
      </c>
    </row>
    <row r="3547" spans="5:22" x14ac:dyDescent="0.25">
      <c r="E3547" s="4"/>
      <c r="M3547" s="4">
        <f t="shared" si="863"/>
        <v>173.1</v>
      </c>
      <c r="N3547" s="4"/>
      <c r="O3547" s="1">
        <f t="shared" si="864"/>
        <v>173.1</v>
      </c>
      <c r="P3547" s="1">
        <f t="shared" si="865"/>
        <v>0</v>
      </c>
      <c r="Q3547" s="1" t="str">
        <f t="shared" si="862"/>
        <v/>
      </c>
      <c r="R3547" s="1" t="str">
        <f t="shared" si="866"/>
        <v/>
      </c>
      <c r="S3547" s="1">
        <f t="shared" si="867"/>
        <v>630.90240000000244</v>
      </c>
      <c r="T3547" s="1">
        <f t="shared" si="868"/>
        <v>0</v>
      </c>
      <c r="U3547" s="1">
        <f t="shared" si="869"/>
        <v>0</v>
      </c>
      <c r="V3547" s="1">
        <f t="shared" si="870"/>
        <v>0</v>
      </c>
    </row>
    <row r="3548" spans="5:22" x14ac:dyDescent="0.25">
      <c r="E3548" s="4"/>
      <c r="M3548" s="4">
        <f t="shared" si="863"/>
        <v>173.1</v>
      </c>
      <c r="N3548" s="4"/>
      <c r="O3548" s="1">
        <f t="shared" si="864"/>
        <v>173.1</v>
      </c>
      <c r="P3548" s="1">
        <f t="shared" si="865"/>
        <v>0</v>
      </c>
      <c r="Q3548" s="1" t="str">
        <f t="shared" si="862"/>
        <v/>
      </c>
      <c r="R3548" s="1" t="str">
        <f t="shared" si="866"/>
        <v/>
      </c>
      <c r="S3548" s="1">
        <f t="shared" si="867"/>
        <v>630.90240000000244</v>
      </c>
      <c r="T3548" s="1">
        <f t="shared" si="868"/>
        <v>0</v>
      </c>
      <c r="U3548" s="1">
        <f t="shared" si="869"/>
        <v>0</v>
      </c>
      <c r="V3548" s="1">
        <f t="shared" si="870"/>
        <v>0</v>
      </c>
    </row>
    <row r="3549" spans="5:22" x14ac:dyDescent="0.25">
      <c r="E3549" s="4"/>
      <c r="M3549" s="4">
        <f t="shared" si="863"/>
        <v>173.1</v>
      </c>
      <c r="N3549" s="4"/>
      <c r="O3549" s="1">
        <f t="shared" si="864"/>
        <v>173.1</v>
      </c>
      <c r="P3549" s="1">
        <f t="shared" si="865"/>
        <v>0</v>
      </c>
      <c r="Q3549" s="1" t="str">
        <f t="shared" si="862"/>
        <v/>
      </c>
      <c r="R3549" s="1" t="str">
        <f t="shared" si="866"/>
        <v/>
      </c>
      <c r="S3549" s="1">
        <f t="shared" si="867"/>
        <v>630.90240000000244</v>
      </c>
      <c r="T3549" s="1">
        <f t="shared" si="868"/>
        <v>0</v>
      </c>
      <c r="U3549" s="1">
        <f t="shared" si="869"/>
        <v>0</v>
      </c>
      <c r="V3549" s="1">
        <f t="shared" si="870"/>
        <v>0</v>
      </c>
    </row>
    <row r="3550" spans="5:22" x14ac:dyDescent="0.25">
      <c r="E3550" s="4"/>
      <c r="M3550" s="4">
        <f t="shared" si="863"/>
        <v>173.1</v>
      </c>
      <c r="N3550" s="4"/>
      <c r="O3550" s="1">
        <f t="shared" si="864"/>
        <v>173.1</v>
      </c>
      <c r="P3550" s="1">
        <f t="shared" si="865"/>
        <v>0</v>
      </c>
      <c r="Q3550" s="1" t="str">
        <f t="shared" si="862"/>
        <v/>
      </c>
      <c r="R3550" s="1" t="str">
        <f t="shared" si="866"/>
        <v/>
      </c>
      <c r="S3550" s="1">
        <f t="shared" si="867"/>
        <v>630.90240000000244</v>
      </c>
      <c r="T3550" s="1">
        <f t="shared" si="868"/>
        <v>0</v>
      </c>
      <c r="U3550" s="1">
        <f t="shared" si="869"/>
        <v>0</v>
      </c>
      <c r="V3550" s="1">
        <f t="shared" si="870"/>
        <v>0</v>
      </c>
    </row>
    <row r="3551" spans="5:22" x14ac:dyDescent="0.25">
      <c r="E3551" s="4"/>
      <c r="M3551" s="4">
        <f t="shared" si="863"/>
        <v>173.1</v>
      </c>
      <c r="N3551" s="4"/>
      <c r="O3551" s="1">
        <f t="shared" si="864"/>
        <v>173.1</v>
      </c>
      <c r="P3551" s="1">
        <f t="shared" si="865"/>
        <v>0</v>
      </c>
      <c r="Q3551" s="1" t="str">
        <f t="shared" si="862"/>
        <v/>
      </c>
      <c r="R3551" s="1" t="str">
        <f t="shared" si="866"/>
        <v/>
      </c>
      <c r="S3551" s="1">
        <f t="shared" si="867"/>
        <v>630.90240000000244</v>
      </c>
      <c r="T3551" s="1">
        <f t="shared" si="868"/>
        <v>0</v>
      </c>
      <c r="U3551" s="1">
        <f t="shared" si="869"/>
        <v>0</v>
      </c>
      <c r="V3551" s="1">
        <f t="shared" si="870"/>
        <v>0</v>
      </c>
    </row>
    <row r="3552" spans="5:22" x14ac:dyDescent="0.25">
      <c r="E3552" s="4"/>
      <c r="M3552" s="4">
        <f t="shared" si="863"/>
        <v>173.1</v>
      </c>
      <c r="N3552" s="4"/>
      <c r="O3552" s="1">
        <f t="shared" si="864"/>
        <v>173.1</v>
      </c>
      <c r="P3552" s="1">
        <f t="shared" si="865"/>
        <v>0</v>
      </c>
      <c r="Q3552" s="1" t="str">
        <f t="shared" si="862"/>
        <v/>
      </c>
      <c r="R3552" s="1" t="str">
        <f t="shared" si="866"/>
        <v/>
      </c>
      <c r="S3552" s="1">
        <f t="shared" si="867"/>
        <v>630.90240000000244</v>
      </c>
      <c r="T3552" s="1">
        <f t="shared" si="868"/>
        <v>0</v>
      </c>
      <c r="U3552" s="1">
        <f t="shared" si="869"/>
        <v>0</v>
      </c>
      <c r="V3552" s="1">
        <f t="shared" si="870"/>
        <v>0</v>
      </c>
    </row>
    <row r="3553" spans="5:22" x14ac:dyDescent="0.25">
      <c r="E3553" s="4"/>
      <c r="M3553" s="4">
        <f t="shared" si="863"/>
        <v>173.1</v>
      </c>
      <c r="N3553" s="4"/>
      <c r="O3553" s="1">
        <f t="shared" si="864"/>
        <v>173.1</v>
      </c>
      <c r="P3553" s="1">
        <f t="shared" si="865"/>
        <v>0</v>
      </c>
      <c r="Q3553" s="1" t="str">
        <f t="shared" si="862"/>
        <v/>
      </c>
      <c r="R3553" s="1" t="str">
        <f t="shared" si="866"/>
        <v/>
      </c>
      <c r="S3553" s="1">
        <f t="shared" si="867"/>
        <v>630.90240000000244</v>
      </c>
      <c r="T3553" s="1">
        <f t="shared" si="868"/>
        <v>0</v>
      </c>
      <c r="U3553" s="1">
        <f t="shared" si="869"/>
        <v>0</v>
      </c>
      <c r="V3553" s="1">
        <f t="shared" si="870"/>
        <v>0</v>
      </c>
    </row>
    <row r="3554" spans="5:22" x14ac:dyDescent="0.25">
      <c r="E3554" s="4"/>
      <c r="M3554" s="4">
        <f t="shared" si="863"/>
        <v>173.1</v>
      </c>
      <c r="N3554" s="4"/>
      <c r="O3554" s="1">
        <f t="shared" si="864"/>
        <v>173.1</v>
      </c>
      <c r="P3554" s="1">
        <f t="shared" si="865"/>
        <v>0</v>
      </c>
      <c r="Q3554" s="1" t="str">
        <f t="shared" si="862"/>
        <v/>
      </c>
      <c r="R3554" s="1" t="str">
        <f t="shared" si="866"/>
        <v/>
      </c>
      <c r="S3554" s="1">
        <f t="shared" si="867"/>
        <v>630.90240000000244</v>
      </c>
      <c r="T3554" s="1">
        <f t="shared" si="868"/>
        <v>0</v>
      </c>
      <c r="U3554" s="1">
        <f t="shared" si="869"/>
        <v>0</v>
      </c>
      <c r="V3554" s="1">
        <f t="shared" si="870"/>
        <v>0</v>
      </c>
    </row>
    <row r="3555" spans="5:22" x14ac:dyDescent="0.25">
      <c r="E3555" s="4"/>
      <c r="M3555" s="4">
        <f t="shared" si="863"/>
        <v>173.1</v>
      </c>
      <c r="N3555" s="4"/>
      <c r="O3555" s="1">
        <f t="shared" si="864"/>
        <v>173.1</v>
      </c>
      <c r="P3555" s="1">
        <f t="shared" si="865"/>
        <v>0</v>
      </c>
      <c r="Q3555" s="1" t="str">
        <f t="shared" si="862"/>
        <v/>
      </c>
      <c r="R3555" s="1" t="str">
        <f t="shared" si="866"/>
        <v/>
      </c>
      <c r="S3555" s="1">
        <f t="shared" si="867"/>
        <v>630.90240000000244</v>
      </c>
      <c r="T3555" s="1">
        <f t="shared" si="868"/>
        <v>0</v>
      </c>
      <c r="U3555" s="1">
        <f t="shared" si="869"/>
        <v>0</v>
      </c>
      <c r="V3555" s="1">
        <f t="shared" si="870"/>
        <v>0</v>
      </c>
    </row>
    <row r="3556" spans="5:22" x14ac:dyDescent="0.25">
      <c r="E3556" s="4"/>
      <c r="M3556" s="4">
        <f t="shared" si="863"/>
        <v>173.1</v>
      </c>
      <c r="N3556" s="4"/>
      <c r="O3556" s="1">
        <f t="shared" si="864"/>
        <v>173.1</v>
      </c>
      <c r="P3556" s="1">
        <f t="shared" si="865"/>
        <v>0</v>
      </c>
      <c r="Q3556" s="1" t="str">
        <f t="shared" si="862"/>
        <v/>
      </c>
      <c r="R3556" s="1" t="str">
        <f t="shared" si="866"/>
        <v/>
      </c>
      <c r="S3556" s="1">
        <f t="shared" si="867"/>
        <v>630.90240000000244</v>
      </c>
      <c r="T3556" s="1">
        <f t="shared" si="868"/>
        <v>0</v>
      </c>
      <c r="U3556" s="1">
        <f t="shared" si="869"/>
        <v>0</v>
      </c>
      <c r="V3556" s="1">
        <f t="shared" si="870"/>
        <v>0</v>
      </c>
    </row>
    <row r="3557" spans="5:22" x14ac:dyDescent="0.25">
      <c r="E3557" s="4"/>
      <c r="M3557" s="4">
        <f t="shared" si="863"/>
        <v>173.1</v>
      </c>
      <c r="N3557" s="4"/>
      <c r="O3557" s="1">
        <f t="shared" si="864"/>
        <v>173.1</v>
      </c>
      <c r="P3557" s="1">
        <f t="shared" si="865"/>
        <v>0</v>
      </c>
      <c r="Q3557" s="1" t="str">
        <f t="shared" si="862"/>
        <v/>
      </c>
      <c r="R3557" s="1" t="str">
        <f t="shared" si="866"/>
        <v/>
      </c>
      <c r="S3557" s="1">
        <f t="shared" si="867"/>
        <v>630.90240000000244</v>
      </c>
      <c r="T3557" s="1">
        <f t="shared" si="868"/>
        <v>0</v>
      </c>
      <c r="U3557" s="1">
        <f t="shared" si="869"/>
        <v>0</v>
      </c>
      <c r="V3557" s="1">
        <f t="shared" si="870"/>
        <v>0</v>
      </c>
    </row>
    <row r="3558" spans="5:22" x14ac:dyDescent="0.25">
      <c r="E3558" s="4"/>
      <c r="M3558" s="4">
        <f t="shared" si="863"/>
        <v>173.1</v>
      </c>
      <c r="N3558" s="4"/>
      <c r="O3558" s="1">
        <f t="shared" si="864"/>
        <v>173.1</v>
      </c>
      <c r="P3558" s="1">
        <f t="shared" si="865"/>
        <v>0</v>
      </c>
      <c r="Q3558" s="1" t="str">
        <f t="shared" si="862"/>
        <v/>
      </c>
      <c r="R3558" s="1" t="str">
        <f t="shared" si="866"/>
        <v/>
      </c>
      <c r="S3558" s="1">
        <f t="shared" si="867"/>
        <v>630.90240000000244</v>
      </c>
      <c r="T3558" s="1">
        <f t="shared" si="868"/>
        <v>0</v>
      </c>
      <c r="U3558" s="1">
        <f t="shared" si="869"/>
        <v>0</v>
      </c>
      <c r="V3558" s="1">
        <f t="shared" si="870"/>
        <v>0</v>
      </c>
    </row>
    <row r="3559" spans="5:22" x14ac:dyDescent="0.25">
      <c r="E3559" s="4"/>
      <c r="M3559" s="4">
        <f t="shared" si="863"/>
        <v>173.1</v>
      </c>
      <c r="N3559" s="4"/>
      <c r="O3559" s="1">
        <f t="shared" si="864"/>
        <v>173.1</v>
      </c>
      <c r="P3559" s="1">
        <f t="shared" si="865"/>
        <v>0</v>
      </c>
      <c r="Q3559" s="1" t="str">
        <f t="shared" si="862"/>
        <v/>
      </c>
      <c r="R3559" s="1" t="str">
        <f t="shared" si="866"/>
        <v/>
      </c>
      <c r="S3559" s="1">
        <f t="shared" si="867"/>
        <v>630.90240000000244</v>
      </c>
      <c r="T3559" s="1">
        <f t="shared" si="868"/>
        <v>0</v>
      </c>
      <c r="U3559" s="1">
        <f t="shared" si="869"/>
        <v>0</v>
      </c>
      <c r="V3559" s="1">
        <f t="shared" si="870"/>
        <v>0</v>
      </c>
    </row>
    <row r="3560" spans="5:22" x14ac:dyDescent="0.25">
      <c r="E3560" s="4"/>
      <c r="M3560" s="4">
        <f t="shared" si="863"/>
        <v>173.1</v>
      </c>
      <c r="N3560" s="4"/>
      <c r="O3560" s="1">
        <f t="shared" si="864"/>
        <v>173.1</v>
      </c>
      <c r="P3560" s="1">
        <f t="shared" si="865"/>
        <v>0</v>
      </c>
      <c r="Q3560" s="1" t="str">
        <f t="shared" si="862"/>
        <v/>
      </c>
      <c r="R3560" s="1" t="str">
        <f t="shared" si="866"/>
        <v/>
      </c>
      <c r="S3560" s="1">
        <f t="shared" si="867"/>
        <v>630.90240000000244</v>
      </c>
      <c r="T3560" s="1">
        <f t="shared" si="868"/>
        <v>0</v>
      </c>
      <c r="U3560" s="1">
        <f t="shared" si="869"/>
        <v>0</v>
      </c>
      <c r="V3560" s="1">
        <f t="shared" si="870"/>
        <v>0</v>
      </c>
    </row>
    <row r="3561" spans="5:22" x14ac:dyDescent="0.25">
      <c r="E3561" s="4"/>
      <c r="M3561" s="4">
        <f t="shared" si="863"/>
        <v>173.1</v>
      </c>
      <c r="N3561" s="4"/>
      <c r="O3561" s="1">
        <f t="shared" si="864"/>
        <v>173.1</v>
      </c>
      <c r="P3561" s="1">
        <f t="shared" si="865"/>
        <v>0</v>
      </c>
      <c r="Q3561" s="1" t="str">
        <f t="shared" si="862"/>
        <v/>
      </c>
      <c r="R3561" s="1" t="str">
        <f t="shared" si="866"/>
        <v/>
      </c>
      <c r="S3561" s="1">
        <f t="shared" si="867"/>
        <v>630.90240000000244</v>
      </c>
      <c r="T3561" s="1">
        <f t="shared" si="868"/>
        <v>0</v>
      </c>
      <c r="U3561" s="1">
        <f t="shared" si="869"/>
        <v>0</v>
      </c>
      <c r="V3561" s="1">
        <f t="shared" si="870"/>
        <v>0</v>
      </c>
    </row>
    <row r="3562" spans="5:22" x14ac:dyDescent="0.25">
      <c r="E3562" s="4"/>
      <c r="M3562" s="4">
        <f t="shared" si="863"/>
        <v>173.1</v>
      </c>
      <c r="N3562" s="4"/>
      <c r="O3562" s="1">
        <f t="shared" si="864"/>
        <v>173.1</v>
      </c>
      <c r="P3562" s="1">
        <f t="shared" si="865"/>
        <v>0</v>
      </c>
      <c r="Q3562" s="1" t="str">
        <f t="shared" si="862"/>
        <v/>
      </c>
      <c r="R3562" s="1" t="str">
        <f t="shared" si="866"/>
        <v/>
      </c>
      <c r="S3562" s="1">
        <f t="shared" si="867"/>
        <v>630.90240000000244</v>
      </c>
      <c r="T3562" s="1">
        <f t="shared" si="868"/>
        <v>0</v>
      </c>
      <c r="U3562" s="1">
        <f t="shared" si="869"/>
        <v>0</v>
      </c>
      <c r="V3562" s="1">
        <f t="shared" si="870"/>
        <v>0</v>
      </c>
    </row>
    <row r="3563" spans="5:22" x14ac:dyDescent="0.25">
      <c r="E3563" s="4"/>
      <c r="M3563" s="4">
        <f t="shared" si="863"/>
        <v>173.1</v>
      </c>
      <c r="N3563" s="4"/>
      <c r="O3563" s="1">
        <f t="shared" si="864"/>
        <v>173.1</v>
      </c>
      <c r="P3563" s="1">
        <f t="shared" si="865"/>
        <v>0</v>
      </c>
      <c r="Q3563" s="1" t="str">
        <f t="shared" si="862"/>
        <v/>
      </c>
      <c r="R3563" s="1" t="str">
        <f t="shared" si="866"/>
        <v/>
      </c>
      <c r="S3563" s="1">
        <f t="shared" si="867"/>
        <v>630.90240000000244</v>
      </c>
      <c r="T3563" s="1">
        <f t="shared" si="868"/>
        <v>0</v>
      </c>
      <c r="U3563" s="1">
        <f t="shared" si="869"/>
        <v>0</v>
      </c>
      <c r="V3563" s="1">
        <f t="shared" si="870"/>
        <v>0</v>
      </c>
    </row>
    <row r="3564" spans="5:22" x14ac:dyDescent="0.25">
      <c r="E3564" s="4"/>
      <c r="M3564" s="4">
        <f t="shared" si="863"/>
        <v>173.1</v>
      </c>
      <c r="N3564" s="4"/>
      <c r="O3564" s="1">
        <f t="shared" si="864"/>
        <v>173.1</v>
      </c>
      <c r="P3564" s="1">
        <f t="shared" si="865"/>
        <v>0</v>
      </c>
      <c r="Q3564" s="1" t="str">
        <f t="shared" si="862"/>
        <v/>
      </c>
      <c r="R3564" s="1" t="str">
        <f t="shared" si="866"/>
        <v/>
      </c>
      <c r="S3564" s="1">
        <f t="shared" si="867"/>
        <v>630.90240000000244</v>
      </c>
      <c r="T3564" s="1">
        <f t="shared" si="868"/>
        <v>0</v>
      </c>
      <c r="U3564" s="1">
        <f t="shared" si="869"/>
        <v>0</v>
      </c>
      <c r="V3564" s="1">
        <f t="shared" si="870"/>
        <v>0</v>
      </c>
    </row>
    <row r="3565" spans="5:22" x14ac:dyDescent="0.25">
      <c r="E3565" s="4"/>
      <c r="M3565" s="4">
        <f t="shared" si="863"/>
        <v>173.1</v>
      </c>
      <c r="N3565" s="4"/>
      <c r="O3565" s="1">
        <f t="shared" si="864"/>
        <v>173.1</v>
      </c>
      <c r="P3565" s="1">
        <f t="shared" si="865"/>
        <v>0</v>
      </c>
      <c r="Q3565" s="1" t="str">
        <f t="shared" si="862"/>
        <v/>
      </c>
      <c r="R3565" s="1" t="str">
        <f t="shared" si="866"/>
        <v/>
      </c>
      <c r="S3565" s="1">
        <f t="shared" si="867"/>
        <v>630.90240000000244</v>
      </c>
      <c r="T3565" s="1">
        <f t="shared" si="868"/>
        <v>0</v>
      </c>
      <c r="U3565" s="1">
        <f t="shared" si="869"/>
        <v>0</v>
      </c>
      <c r="V3565" s="1">
        <f t="shared" si="870"/>
        <v>0</v>
      </c>
    </row>
    <row r="3566" spans="5:22" x14ac:dyDescent="0.25">
      <c r="E3566" s="4"/>
      <c r="M3566" s="4">
        <f t="shared" si="863"/>
        <v>173.1</v>
      </c>
      <c r="N3566" s="4"/>
      <c r="O3566" s="1">
        <f t="shared" si="864"/>
        <v>173.1</v>
      </c>
      <c r="P3566" s="1">
        <f t="shared" si="865"/>
        <v>0</v>
      </c>
      <c r="Q3566" s="1" t="str">
        <f t="shared" si="862"/>
        <v/>
      </c>
      <c r="R3566" s="1" t="str">
        <f t="shared" si="866"/>
        <v/>
      </c>
      <c r="S3566" s="1">
        <f t="shared" si="867"/>
        <v>630.90240000000244</v>
      </c>
      <c r="T3566" s="1">
        <f t="shared" si="868"/>
        <v>0</v>
      </c>
      <c r="U3566" s="1">
        <f t="shared" si="869"/>
        <v>0</v>
      </c>
      <c r="V3566" s="1">
        <f t="shared" si="870"/>
        <v>0</v>
      </c>
    </row>
    <row r="3567" spans="5:22" x14ac:dyDescent="0.25">
      <c r="E3567" s="4"/>
      <c r="M3567" s="4">
        <f t="shared" si="863"/>
        <v>173.1</v>
      </c>
      <c r="N3567" s="4"/>
      <c r="O3567" s="1">
        <f t="shared" si="864"/>
        <v>173.1</v>
      </c>
      <c r="P3567" s="1">
        <f t="shared" si="865"/>
        <v>0</v>
      </c>
      <c r="Q3567" s="1" t="str">
        <f t="shared" si="862"/>
        <v/>
      </c>
      <c r="R3567" s="1" t="str">
        <f t="shared" si="866"/>
        <v/>
      </c>
      <c r="S3567" s="1">
        <f t="shared" si="867"/>
        <v>630.90240000000244</v>
      </c>
      <c r="T3567" s="1">
        <f t="shared" si="868"/>
        <v>0</v>
      </c>
      <c r="U3567" s="1">
        <f t="shared" si="869"/>
        <v>0</v>
      </c>
      <c r="V3567" s="1">
        <f t="shared" si="870"/>
        <v>0</v>
      </c>
    </row>
    <row r="3568" spans="5:22" x14ac:dyDescent="0.25">
      <c r="E3568" s="4"/>
      <c r="M3568" s="4">
        <f t="shared" si="863"/>
        <v>173.1</v>
      </c>
      <c r="N3568" s="4"/>
      <c r="O3568" s="1">
        <f t="shared" si="864"/>
        <v>173.1</v>
      </c>
      <c r="P3568" s="1">
        <f t="shared" si="865"/>
        <v>0</v>
      </c>
      <c r="Q3568" s="1" t="str">
        <f t="shared" si="862"/>
        <v/>
      </c>
      <c r="R3568" s="1" t="str">
        <f t="shared" si="866"/>
        <v/>
      </c>
      <c r="S3568" s="1">
        <f t="shared" si="867"/>
        <v>630.90240000000244</v>
      </c>
      <c r="T3568" s="1">
        <f t="shared" si="868"/>
        <v>0</v>
      </c>
      <c r="U3568" s="1">
        <f t="shared" si="869"/>
        <v>0</v>
      </c>
      <c r="V3568" s="1">
        <f t="shared" si="870"/>
        <v>0</v>
      </c>
    </row>
    <row r="3569" spans="5:22" x14ac:dyDescent="0.25">
      <c r="E3569" s="4"/>
      <c r="M3569" s="4">
        <f t="shared" si="863"/>
        <v>173.1</v>
      </c>
      <c r="N3569" s="4"/>
      <c r="O3569" s="1">
        <f t="shared" si="864"/>
        <v>173.1</v>
      </c>
      <c r="P3569" s="1">
        <f t="shared" si="865"/>
        <v>0</v>
      </c>
      <c r="Q3569" s="1" t="str">
        <f t="shared" si="862"/>
        <v/>
      </c>
      <c r="R3569" s="1" t="str">
        <f t="shared" si="866"/>
        <v/>
      </c>
      <c r="S3569" s="1">
        <f t="shared" si="867"/>
        <v>630.90240000000244</v>
      </c>
      <c r="T3569" s="1">
        <f t="shared" si="868"/>
        <v>0</v>
      </c>
      <c r="U3569" s="1">
        <f t="shared" si="869"/>
        <v>0</v>
      </c>
      <c r="V3569" s="1">
        <f t="shared" si="870"/>
        <v>0</v>
      </c>
    </row>
    <row r="3570" spans="5:22" x14ac:dyDescent="0.25">
      <c r="E3570" s="4"/>
      <c r="M3570" s="4">
        <f t="shared" si="863"/>
        <v>173.1</v>
      </c>
      <c r="N3570" s="4"/>
      <c r="O3570" s="1">
        <f t="shared" si="864"/>
        <v>173.1</v>
      </c>
      <c r="P3570" s="1">
        <f t="shared" si="865"/>
        <v>0</v>
      </c>
      <c r="Q3570" s="1" t="str">
        <f t="shared" ref="Q3570:Q3633" si="871">IF(H3570&lt;&gt;"",IF(H3570=H3569,"",H3570),IF(H3568="","",MAX(H3569,Q3569)))</f>
        <v/>
      </c>
      <c r="R3570" s="1" t="str">
        <f t="shared" si="866"/>
        <v/>
      </c>
      <c r="S3570" s="1">
        <f t="shared" si="867"/>
        <v>630.90240000000244</v>
      </c>
      <c r="T3570" s="1">
        <f t="shared" si="868"/>
        <v>0</v>
      </c>
      <c r="U3570" s="1">
        <f t="shared" si="869"/>
        <v>0</v>
      </c>
      <c r="V3570" s="1">
        <f t="shared" si="870"/>
        <v>0</v>
      </c>
    </row>
    <row r="3571" spans="5:22" x14ac:dyDescent="0.25">
      <c r="E3571" s="4"/>
      <c r="M3571" s="4">
        <f t="shared" si="863"/>
        <v>173.1</v>
      </c>
      <c r="N3571" s="4"/>
      <c r="O3571" s="1">
        <f t="shared" si="864"/>
        <v>173.1</v>
      </c>
      <c r="P3571" s="1">
        <f t="shared" si="865"/>
        <v>0</v>
      </c>
      <c r="Q3571" s="1" t="str">
        <f t="shared" si="871"/>
        <v/>
      </c>
      <c r="R3571" s="1" t="str">
        <f t="shared" si="866"/>
        <v/>
      </c>
      <c r="S3571" s="1">
        <f t="shared" si="867"/>
        <v>630.90240000000244</v>
      </c>
      <c r="T3571" s="1">
        <f t="shared" si="868"/>
        <v>0</v>
      </c>
      <c r="U3571" s="1">
        <f t="shared" si="869"/>
        <v>0</v>
      </c>
      <c r="V3571" s="1">
        <f t="shared" si="870"/>
        <v>0</v>
      </c>
    </row>
    <row r="3572" spans="5:22" x14ac:dyDescent="0.25">
      <c r="E3572" s="4"/>
      <c r="M3572" s="4">
        <f t="shared" si="863"/>
        <v>173.1</v>
      </c>
      <c r="N3572" s="4"/>
      <c r="O3572" s="1">
        <f t="shared" si="864"/>
        <v>173.1</v>
      </c>
      <c r="P3572" s="1">
        <f t="shared" si="865"/>
        <v>0</v>
      </c>
      <c r="Q3572" s="1" t="str">
        <f t="shared" si="871"/>
        <v/>
      </c>
      <c r="R3572" s="1" t="str">
        <f t="shared" si="866"/>
        <v/>
      </c>
      <c r="S3572" s="1">
        <f t="shared" si="867"/>
        <v>630.90240000000244</v>
      </c>
      <c r="T3572" s="1">
        <f t="shared" si="868"/>
        <v>0</v>
      </c>
      <c r="U3572" s="1">
        <f t="shared" si="869"/>
        <v>0</v>
      </c>
      <c r="V3572" s="1">
        <f t="shared" si="870"/>
        <v>0</v>
      </c>
    </row>
    <row r="3573" spans="5:22" x14ac:dyDescent="0.25">
      <c r="E3573" s="4"/>
      <c r="M3573" s="4">
        <f t="shared" si="863"/>
        <v>173.1</v>
      </c>
      <c r="N3573" s="4"/>
      <c r="O3573" s="1">
        <f t="shared" si="864"/>
        <v>173.1</v>
      </c>
      <c r="P3573" s="1">
        <f t="shared" si="865"/>
        <v>0</v>
      </c>
      <c r="Q3573" s="1" t="str">
        <f t="shared" si="871"/>
        <v/>
      </c>
      <c r="R3573" s="1" t="str">
        <f t="shared" si="866"/>
        <v/>
      </c>
      <c r="S3573" s="1">
        <f t="shared" si="867"/>
        <v>630.90240000000244</v>
      </c>
      <c r="T3573" s="1">
        <f t="shared" si="868"/>
        <v>0</v>
      </c>
      <c r="U3573" s="1">
        <f t="shared" si="869"/>
        <v>0</v>
      </c>
      <c r="V3573" s="1">
        <f t="shared" si="870"/>
        <v>0</v>
      </c>
    </row>
    <row r="3574" spans="5:22" x14ac:dyDescent="0.25">
      <c r="E3574" s="4"/>
      <c r="M3574" s="4">
        <f t="shared" si="863"/>
        <v>173.1</v>
      </c>
      <c r="N3574" s="4"/>
      <c r="O3574" s="1">
        <f t="shared" si="864"/>
        <v>173.1</v>
      </c>
      <c r="P3574" s="1">
        <f t="shared" si="865"/>
        <v>0</v>
      </c>
      <c r="Q3574" s="1" t="str">
        <f t="shared" si="871"/>
        <v/>
      </c>
      <c r="R3574" s="1" t="str">
        <f t="shared" si="866"/>
        <v/>
      </c>
      <c r="S3574" s="1">
        <f t="shared" si="867"/>
        <v>630.90240000000244</v>
      </c>
      <c r="T3574" s="1">
        <f t="shared" si="868"/>
        <v>0</v>
      </c>
      <c r="U3574" s="1">
        <f t="shared" si="869"/>
        <v>0</v>
      </c>
      <c r="V3574" s="1">
        <f t="shared" si="870"/>
        <v>0</v>
      </c>
    </row>
    <row r="3575" spans="5:22" x14ac:dyDescent="0.25">
      <c r="E3575" s="4"/>
      <c r="M3575" s="4">
        <f t="shared" si="863"/>
        <v>173.1</v>
      </c>
      <c r="N3575" s="4"/>
      <c r="O3575" s="1">
        <f t="shared" si="864"/>
        <v>173.1</v>
      </c>
      <c r="P3575" s="1">
        <f t="shared" si="865"/>
        <v>0</v>
      </c>
      <c r="Q3575" s="1" t="str">
        <f t="shared" si="871"/>
        <v/>
      </c>
      <c r="R3575" s="1" t="str">
        <f t="shared" si="866"/>
        <v/>
      </c>
      <c r="S3575" s="1">
        <f t="shared" si="867"/>
        <v>630.90240000000244</v>
      </c>
      <c r="T3575" s="1">
        <f t="shared" si="868"/>
        <v>0</v>
      </c>
      <c r="U3575" s="1">
        <f t="shared" si="869"/>
        <v>0</v>
      </c>
      <c r="V3575" s="1">
        <f t="shared" si="870"/>
        <v>0</v>
      </c>
    </row>
    <row r="3576" spans="5:22" x14ac:dyDescent="0.25">
      <c r="E3576" s="4"/>
      <c r="M3576" s="4">
        <f t="shared" si="863"/>
        <v>173.1</v>
      </c>
      <c r="N3576" s="4"/>
      <c r="O3576" s="1">
        <f t="shared" si="864"/>
        <v>173.1</v>
      </c>
      <c r="P3576" s="1">
        <f t="shared" si="865"/>
        <v>0</v>
      </c>
      <c r="Q3576" s="1" t="str">
        <f t="shared" si="871"/>
        <v/>
      </c>
      <c r="R3576" s="1" t="str">
        <f t="shared" si="866"/>
        <v/>
      </c>
      <c r="S3576" s="1">
        <f t="shared" si="867"/>
        <v>630.90240000000244</v>
      </c>
      <c r="T3576" s="1">
        <f t="shared" si="868"/>
        <v>0</v>
      </c>
      <c r="U3576" s="1">
        <f t="shared" si="869"/>
        <v>0</v>
      </c>
      <c r="V3576" s="1">
        <f t="shared" si="870"/>
        <v>0</v>
      </c>
    </row>
    <row r="3577" spans="5:22" x14ac:dyDescent="0.25">
      <c r="E3577" s="4"/>
      <c r="M3577" s="4">
        <f t="shared" si="863"/>
        <v>173.1</v>
      </c>
      <c r="N3577" s="4"/>
      <c r="O3577" s="1">
        <f t="shared" si="864"/>
        <v>173.1</v>
      </c>
      <c r="P3577" s="1">
        <f t="shared" si="865"/>
        <v>0</v>
      </c>
      <c r="Q3577" s="1" t="str">
        <f t="shared" si="871"/>
        <v/>
      </c>
      <c r="R3577" s="1" t="str">
        <f t="shared" si="866"/>
        <v/>
      </c>
      <c r="S3577" s="1">
        <f t="shared" si="867"/>
        <v>630.90240000000244</v>
      </c>
      <c r="T3577" s="1">
        <f t="shared" si="868"/>
        <v>0</v>
      </c>
      <c r="U3577" s="1">
        <f t="shared" si="869"/>
        <v>0</v>
      </c>
      <c r="V3577" s="1">
        <f t="shared" si="870"/>
        <v>0</v>
      </c>
    </row>
    <row r="3578" spans="5:22" x14ac:dyDescent="0.25">
      <c r="E3578" s="4"/>
      <c r="M3578" s="4">
        <f t="shared" si="863"/>
        <v>173.1</v>
      </c>
      <c r="N3578" s="4"/>
      <c r="O3578" s="1">
        <f t="shared" si="864"/>
        <v>173.1</v>
      </c>
      <c r="P3578" s="1">
        <f t="shared" si="865"/>
        <v>0</v>
      </c>
      <c r="Q3578" s="1" t="str">
        <f t="shared" si="871"/>
        <v/>
      </c>
      <c r="R3578" s="1" t="str">
        <f t="shared" si="866"/>
        <v/>
      </c>
      <c r="S3578" s="1">
        <f t="shared" si="867"/>
        <v>630.90240000000244</v>
      </c>
      <c r="T3578" s="1">
        <f t="shared" si="868"/>
        <v>0</v>
      </c>
      <c r="U3578" s="1">
        <f t="shared" si="869"/>
        <v>0</v>
      </c>
      <c r="V3578" s="1">
        <f t="shared" si="870"/>
        <v>0</v>
      </c>
    </row>
    <row r="3579" spans="5:22" x14ac:dyDescent="0.25">
      <c r="E3579" s="4"/>
      <c r="M3579" s="4">
        <f t="shared" si="863"/>
        <v>173.1</v>
      </c>
      <c r="N3579" s="4"/>
      <c r="O3579" s="1">
        <f t="shared" si="864"/>
        <v>173.1</v>
      </c>
      <c r="P3579" s="1">
        <f t="shared" si="865"/>
        <v>0</v>
      </c>
      <c r="Q3579" s="1" t="str">
        <f t="shared" si="871"/>
        <v/>
      </c>
      <c r="R3579" s="1" t="str">
        <f t="shared" si="866"/>
        <v/>
      </c>
      <c r="S3579" s="1">
        <f t="shared" si="867"/>
        <v>630.90240000000244</v>
      </c>
      <c r="T3579" s="1">
        <f t="shared" si="868"/>
        <v>0</v>
      </c>
      <c r="U3579" s="1">
        <f t="shared" si="869"/>
        <v>0</v>
      </c>
      <c r="V3579" s="1">
        <f t="shared" si="870"/>
        <v>0</v>
      </c>
    </row>
    <row r="3580" spans="5:22" x14ac:dyDescent="0.25">
      <c r="E3580" s="4"/>
      <c r="M3580" s="4">
        <f t="shared" si="863"/>
        <v>173.1</v>
      </c>
      <c r="N3580" s="4"/>
      <c r="O3580" s="1">
        <f t="shared" si="864"/>
        <v>173.1</v>
      </c>
      <c r="P3580" s="1">
        <f t="shared" si="865"/>
        <v>0</v>
      </c>
      <c r="Q3580" s="1" t="str">
        <f t="shared" si="871"/>
        <v/>
      </c>
      <c r="R3580" s="1" t="str">
        <f t="shared" si="866"/>
        <v/>
      </c>
      <c r="S3580" s="1">
        <f t="shared" si="867"/>
        <v>630.90240000000244</v>
      </c>
      <c r="T3580" s="1">
        <f t="shared" si="868"/>
        <v>0</v>
      </c>
      <c r="U3580" s="1">
        <f t="shared" si="869"/>
        <v>0</v>
      </c>
      <c r="V3580" s="1">
        <f t="shared" si="870"/>
        <v>0</v>
      </c>
    </row>
    <row r="3581" spans="5:22" x14ac:dyDescent="0.25">
      <c r="E3581" s="4"/>
      <c r="M3581" s="4">
        <f t="shared" si="863"/>
        <v>173.1</v>
      </c>
      <c r="N3581" s="4"/>
      <c r="O3581" s="1">
        <f t="shared" si="864"/>
        <v>173.1</v>
      </c>
      <c r="P3581" s="1">
        <f t="shared" si="865"/>
        <v>0</v>
      </c>
      <c r="Q3581" s="1" t="str">
        <f t="shared" si="871"/>
        <v/>
      </c>
      <c r="R3581" s="1" t="str">
        <f t="shared" si="866"/>
        <v/>
      </c>
      <c r="S3581" s="1">
        <f t="shared" si="867"/>
        <v>630.90240000000244</v>
      </c>
      <c r="T3581" s="1">
        <f t="shared" si="868"/>
        <v>0</v>
      </c>
      <c r="U3581" s="1">
        <f t="shared" si="869"/>
        <v>0</v>
      </c>
      <c r="V3581" s="1">
        <f t="shared" si="870"/>
        <v>0</v>
      </c>
    </row>
    <row r="3582" spans="5:22" x14ac:dyDescent="0.25">
      <c r="E3582" s="4"/>
      <c r="M3582" s="4">
        <f t="shared" si="863"/>
        <v>173.1</v>
      </c>
      <c r="N3582" s="4"/>
      <c r="O3582" s="1">
        <f t="shared" si="864"/>
        <v>173.1</v>
      </c>
      <c r="P3582" s="1">
        <f t="shared" si="865"/>
        <v>0</v>
      </c>
      <c r="Q3582" s="1" t="str">
        <f t="shared" si="871"/>
        <v/>
      </c>
      <c r="R3582" s="1" t="str">
        <f t="shared" si="866"/>
        <v/>
      </c>
      <c r="S3582" s="1">
        <f t="shared" si="867"/>
        <v>630.90240000000244</v>
      </c>
      <c r="T3582" s="1">
        <f t="shared" si="868"/>
        <v>0</v>
      </c>
      <c r="U3582" s="1">
        <f t="shared" si="869"/>
        <v>0</v>
      </c>
      <c r="V3582" s="1">
        <f t="shared" si="870"/>
        <v>0</v>
      </c>
    </row>
    <row r="3583" spans="5:22" x14ac:dyDescent="0.25">
      <c r="E3583" s="4"/>
      <c r="M3583" s="4">
        <f t="shared" si="863"/>
        <v>173.1</v>
      </c>
      <c r="N3583" s="4"/>
      <c r="O3583" s="1">
        <f t="shared" si="864"/>
        <v>173.1</v>
      </c>
      <c r="P3583" s="1">
        <f t="shared" si="865"/>
        <v>0</v>
      </c>
      <c r="Q3583" s="1" t="str">
        <f t="shared" si="871"/>
        <v/>
      </c>
      <c r="R3583" s="1" t="str">
        <f t="shared" si="866"/>
        <v/>
      </c>
      <c r="S3583" s="1">
        <f t="shared" si="867"/>
        <v>630.90240000000244</v>
      </c>
      <c r="T3583" s="1">
        <f t="shared" si="868"/>
        <v>0</v>
      </c>
      <c r="U3583" s="1">
        <f t="shared" si="869"/>
        <v>0</v>
      </c>
      <c r="V3583" s="1">
        <f t="shared" si="870"/>
        <v>0</v>
      </c>
    </row>
    <row r="3584" spans="5:22" x14ac:dyDescent="0.25">
      <c r="E3584" s="4"/>
      <c r="M3584" s="4">
        <f t="shared" si="863"/>
        <v>173.1</v>
      </c>
      <c r="N3584" s="4"/>
      <c r="O3584" s="1">
        <f t="shared" si="864"/>
        <v>173.1</v>
      </c>
      <c r="P3584" s="1">
        <f t="shared" si="865"/>
        <v>0</v>
      </c>
      <c r="Q3584" s="1" t="str">
        <f t="shared" si="871"/>
        <v/>
      </c>
      <c r="R3584" s="1" t="str">
        <f t="shared" si="866"/>
        <v/>
      </c>
      <c r="S3584" s="1">
        <f t="shared" si="867"/>
        <v>630.90240000000244</v>
      </c>
      <c r="T3584" s="1">
        <f t="shared" si="868"/>
        <v>0</v>
      </c>
      <c r="U3584" s="1">
        <f t="shared" si="869"/>
        <v>0</v>
      </c>
      <c r="V3584" s="1">
        <f t="shared" si="870"/>
        <v>0</v>
      </c>
    </row>
    <row r="3585" spans="5:22" x14ac:dyDescent="0.25">
      <c r="E3585" s="4"/>
      <c r="M3585" s="4">
        <f t="shared" si="863"/>
        <v>173.1</v>
      </c>
      <c r="N3585" s="4"/>
      <c r="O3585" s="1">
        <f t="shared" si="864"/>
        <v>173.1</v>
      </c>
      <c r="P3585" s="1">
        <f t="shared" si="865"/>
        <v>0</v>
      </c>
      <c r="Q3585" s="1" t="str">
        <f t="shared" si="871"/>
        <v/>
      </c>
      <c r="R3585" s="1" t="str">
        <f t="shared" si="866"/>
        <v/>
      </c>
      <c r="S3585" s="1">
        <f t="shared" si="867"/>
        <v>630.90240000000244</v>
      </c>
      <c r="T3585" s="1">
        <f t="shared" si="868"/>
        <v>0</v>
      </c>
      <c r="U3585" s="1">
        <f t="shared" si="869"/>
        <v>0</v>
      </c>
      <c r="V3585" s="1">
        <f t="shared" si="870"/>
        <v>0</v>
      </c>
    </row>
    <row r="3586" spans="5:22" x14ac:dyDescent="0.25">
      <c r="E3586" s="4"/>
      <c r="M3586" s="4">
        <f t="shared" si="863"/>
        <v>173.1</v>
      </c>
      <c r="N3586" s="4"/>
      <c r="O3586" s="1">
        <f t="shared" si="864"/>
        <v>173.1</v>
      </c>
      <c r="P3586" s="1">
        <f t="shared" si="865"/>
        <v>0</v>
      </c>
      <c r="Q3586" s="1" t="str">
        <f t="shared" si="871"/>
        <v/>
      </c>
      <c r="R3586" s="1" t="str">
        <f t="shared" si="866"/>
        <v/>
      </c>
      <c r="S3586" s="1">
        <f t="shared" si="867"/>
        <v>630.90240000000244</v>
      </c>
      <c r="T3586" s="1">
        <f t="shared" si="868"/>
        <v>0</v>
      </c>
      <c r="U3586" s="1">
        <f t="shared" si="869"/>
        <v>0</v>
      </c>
      <c r="V3586" s="1">
        <f t="shared" si="870"/>
        <v>0</v>
      </c>
    </row>
    <row r="3587" spans="5:22" x14ac:dyDescent="0.25">
      <c r="E3587" s="4"/>
      <c r="M3587" s="4">
        <f t="shared" si="863"/>
        <v>173.1</v>
      </c>
      <c r="N3587" s="4"/>
      <c r="O3587" s="1">
        <f t="shared" si="864"/>
        <v>173.1</v>
      </c>
      <c r="P3587" s="1">
        <f t="shared" si="865"/>
        <v>0</v>
      </c>
      <c r="Q3587" s="1" t="str">
        <f t="shared" si="871"/>
        <v/>
      </c>
      <c r="R3587" s="1" t="str">
        <f t="shared" si="866"/>
        <v/>
      </c>
      <c r="S3587" s="1">
        <f t="shared" si="867"/>
        <v>630.90240000000244</v>
      </c>
      <c r="T3587" s="1">
        <f t="shared" si="868"/>
        <v>0</v>
      </c>
      <c r="U3587" s="1">
        <f t="shared" si="869"/>
        <v>0</v>
      </c>
      <c r="V3587" s="1">
        <f t="shared" si="870"/>
        <v>0</v>
      </c>
    </row>
    <row r="3588" spans="5:22" x14ac:dyDescent="0.25">
      <c r="E3588" s="4"/>
      <c r="M3588" s="4">
        <f t="shared" si="863"/>
        <v>173.1</v>
      </c>
      <c r="N3588" s="4"/>
      <c r="O3588" s="1">
        <f t="shared" si="864"/>
        <v>173.1</v>
      </c>
      <c r="P3588" s="1">
        <f t="shared" si="865"/>
        <v>0</v>
      </c>
      <c r="Q3588" s="1" t="str">
        <f t="shared" si="871"/>
        <v/>
      </c>
      <c r="R3588" s="1" t="str">
        <f t="shared" si="866"/>
        <v/>
      </c>
      <c r="S3588" s="1">
        <f t="shared" si="867"/>
        <v>630.90240000000244</v>
      </c>
      <c r="T3588" s="1">
        <f t="shared" si="868"/>
        <v>0</v>
      </c>
      <c r="U3588" s="1">
        <f t="shared" si="869"/>
        <v>0</v>
      </c>
      <c r="V3588" s="1">
        <f t="shared" si="870"/>
        <v>0</v>
      </c>
    </row>
    <row r="3589" spans="5:22" x14ac:dyDescent="0.25">
      <c r="E3589" s="4"/>
      <c r="M3589" s="4">
        <f t="shared" si="863"/>
        <v>173.1</v>
      </c>
      <c r="N3589" s="4"/>
      <c r="O3589" s="1">
        <f t="shared" si="864"/>
        <v>173.1</v>
      </c>
      <c r="P3589" s="1">
        <f t="shared" si="865"/>
        <v>0</v>
      </c>
      <c r="Q3589" s="1" t="str">
        <f t="shared" si="871"/>
        <v/>
      </c>
      <c r="R3589" s="1" t="str">
        <f t="shared" si="866"/>
        <v/>
      </c>
      <c r="S3589" s="1">
        <f t="shared" si="867"/>
        <v>630.90240000000244</v>
      </c>
      <c r="T3589" s="1">
        <f t="shared" si="868"/>
        <v>0</v>
      </c>
      <c r="U3589" s="1">
        <f t="shared" si="869"/>
        <v>0</v>
      </c>
      <c r="V3589" s="1">
        <f t="shared" si="870"/>
        <v>0</v>
      </c>
    </row>
    <row r="3590" spans="5:22" x14ac:dyDescent="0.25">
      <c r="E3590" s="4"/>
      <c r="M3590" s="4">
        <f t="shared" si="863"/>
        <v>173.1</v>
      </c>
      <c r="N3590" s="4"/>
      <c r="O3590" s="1">
        <f t="shared" si="864"/>
        <v>173.1</v>
      </c>
      <c r="P3590" s="1">
        <f t="shared" si="865"/>
        <v>0</v>
      </c>
      <c r="Q3590" s="1" t="str">
        <f t="shared" si="871"/>
        <v/>
      </c>
      <c r="R3590" s="1" t="str">
        <f t="shared" si="866"/>
        <v/>
      </c>
      <c r="S3590" s="1">
        <f t="shared" si="867"/>
        <v>630.90240000000244</v>
      </c>
      <c r="T3590" s="1">
        <f t="shared" si="868"/>
        <v>0</v>
      </c>
      <c r="U3590" s="1">
        <f t="shared" si="869"/>
        <v>0</v>
      </c>
      <c r="V3590" s="1">
        <f t="shared" si="870"/>
        <v>0</v>
      </c>
    </row>
    <row r="3591" spans="5:22" x14ac:dyDescent="0.25">
      <c r="E3591" s="4"/>
      <c r="M3591" s="4">
        <f t="shared" si="863"/>
        <v>173.1</v>
      </c>
      <c r="N3591" s="4"/>
      <c r="O3591" s="1">
        <f t="shared" si="864"/>
        <v>173.1</v>
      </c>
      <c r="P3591" s="1">
        <f t="shared" si="865"/>
        <v>0</v>
      </c>
      <c r="Q3591" s="1" t="str">
        <f t="shared" si="871"/>
        <v/>
      </c>
      <c r="R3591" s="1" t="str">
        <f t="shared" si="866"/>
        <v/>
      </c>
      <c r="S3591" s="1">
        <f t="shared" si="867"/>
        <v>630.90240000000244</v>
      </c>
      <c r="T3591" s="1">
        <f t="shared" si="868"/>
        <v>0</v>
      </c>
      <c r="U3591" s="1">
        <f t="shared" si="869"/>
        <v>0</v>
      </c>
      <c r="V3591" s="1">
        <f t="shared" si="870"/>
        <v>0</v>
      </c>
    </row>
    <row r="3592" spans="5:22" x14ac:dyDescent="0.25">
      <c r="E3592" s="4"/>
      <c r="M3592" s="4">
        <f t="shared" ref="M3592:M3655" si="872">E3592+M3591</f>
        <v>173.1</v>
      </c>
      <c r="N3592" s="4"/>
      <c r="O3592" s="1">
        <f t="shared" ref="O3592:O3655" si="873">E3591+O3591</f>
        <v>173.1</v>
      </c>
      <c r="P3592" s="1">
        <f t="shared" ref="P3592:P3655" si="874">F3592*52.8*E3592</f>
        <v>0</v>
      </c>
      <c r="Q3592" s="1" t="str">
        <f t="shared" si="871"/>
        <v/>
      </c>
      <c r="R3592" s="1" t="str">
        <f t="shared" ref="R3592:R3655" si="875">IF(I3592="",Q3592,IF(AND(H3592=H3591,I3592=I3591),"",I3592))</f>
        <v/>
      </c>
      <c r="S3592" s="1">
        <f t="shared" ref="S3592:S3655" si="876">S3591+U3591*T3591/100</f>
        <v>630.90240000000244</v>
      </c>
      <c r="T3592" s="1">
        <f t="shared" ref="T3592:T3655" si="877">IF(G3592="UNK",0,G3592)</f>
        <v>0</v>
      </c>
      <c r="U3592" s="1">
        <f t="shared" ref="U3592:U3655" si="878">E3592*5280</f>
        <v>0</v>
      </c>
      <c r="V3592" s="1">
        <f t="shared" ref="V3592:V3655" si="879">ABS(T3592*U3592)</f>
        <v>0</v>
      </c>
    </row>
    <row r="3593" spans="5:22" x14ac:dyDescent="0.25">
      <c r="E3593" s="4"/>
      <c r="M3593" s="4">
        <f t="shared" si="872"/>
        <v>173.1</v>
      </c>
      <c r="N3593" s="4"/>
      <c r="O3593" s="1">
        <f t="shared" si="873"/>
        <v>173.1</v>
      </c>
      <c r="P3593" s="1">
        <f t="shared" si="874"/>
        <v>0</v>
      </c>
      <c r="Q3593" s="1" t="str">
        <f t="shared" si="871"/>
        <v/>
      </c>
      <c r="R3593" s="1" t="str">
        <f t="shared" si="875"/>
        <v/>
      </c>
      <c r="S3593" s="1">
        <f t="shared" si="876"/>
        <v>630.90240000000244</v>
      </c>
      <c r="T3593" s="1">
        <f t="shared" si="877"/>
        <v>0</v>
      </c>
      <c r="U3593" s="1">
        <f t="shared" si="878"/>
        <v>0</v>
      </c>
      <c r="V3593" s="1">
        <f t="shared" si="879"/>
        <v>0</v>
      </c>
    </row>
    <row r="3594" spans="5:22" x14ac:dyDescent="0.25">
      <c r="E3594" s="4"/>
      <c r="M3594" s="4">
        <f t="shared" si="872"/>
        <v>173.1</v>
      </c>
      <c r="N3594" s="4"/>
      <c r="O3594" s="1">
        <f t="shared" si="873"/>
        <v>173.1</v>
      </c>
      <c r="P3594" s="1">
        <f t="shared" si="874"/>
        <v>0</v>
      </c>
      <c r="Q3594" s="1" t="str">
        <f t="shared" si="871"/>
        <v/>
      </c>
      <c r="R3594" s="1" t="str">
        <f t="shared" si="875"/>
        <v/>
      </c>
      <c r="S3594" s="1">
        <f t="shared" si="876"/>
        <v>630.90240000000244</v>
      </c>
      <c r="T3594" s="1">
        <f t="shared" si="877"/>
        <v>0</v>
      </c>
      <c r="U3594" s="1">
        <f t="shared" si="878"/>
        <v>0</v>
      </c>
      <c r="V3594" s="1">
        <f t="shared" si="879"/>
        <v>0</v>
      </c>
    </row>
    <row r="3595" spans="5:22" x14ac:dyDescent="0.25">
      <c r="E3595" s="4"/>
      <c r="M3595" s="4">
        <f t="shared" si="872"/>
        <v>173.1</v>
      </c>
      <c r="N3595" s="4"/>
      <c r="O3595" s="1">
        <f t="shared" si="873"/>
        <v>173.1</v>
      </c>
      <c r="P3595" s="1">
        <f t="shared" si="874"/>
        <v>0</v>
      </c>
      <c r="Q3595" s="1" t="str">
        <f t="shared" si="871"/>
        <v/>
      </c>
      <c r="R3595" s="1" t="str">
        <f t="shared" si="875"/>
        <v/>
      </c>
      <c r="S3595" s="1">
        <f t="shared" si="876"/>
        <v>630.90240000000244</v>
      </c>
      <c r="T3595" s="1">
        <f t="shared" si="877"/>
        <v>0</v>
      </c>
      <c r="U3595" s="1">
        <f t="shared" si="878"/>
        <v>0</v>
      </c>
      <c r="V3595" s="1">
        <f t="shared" si="879"/>
        <v>0</v>
      </c>
    </row>
    <row r="3596" spans="5:22" x14ac:dyDescent="0.25">
      <c r="E3596" s="4"/>
      <c r="M3596" s="4">
        <f t="shared" si="872"/>
        <v>173.1</v>
      </c>
      <c r="N3596" s="4"/>
      <c r="O3596" s="1">
        <f t="shared" si="873"/>
        <v>173.1</v>
      </c>
      <c r="P3596" s="1">
        <f t="shared" si="874"/>
        <v>0</v>
      </c>
      <c r="Q3596" s="1" t="str">
        <f t="shared" si="871"/>
        <v/>
      </c>
      <c r="R3596" s="1" t="str">
        <f t="shared" si="875"/>
        <v/>
      </c>
      <c r="S3596" s="1">
        <f t="shared" si="876"/>
        <v>630.90240000000244</v>
      </c>
      <c r="T3596" s="1">
        <f t="shared" si="877"/>
        <v>0</v>
      </c>
      <c r="U3596" s="1">
        <f t="shared" si="878"/>
        <v>0</v>
      </c>
      <c r="V3596" s="1">
        <f t="shared" si="879"/>
        <v>0</v>
      </c>
    </row>
    <row r="3597" spans="5:22" x14ac:dyDescent="0.25">
      <c r="E3597" s="4"/>
      <c r="M3597" s="4">
        <f t="shared" si="872"/>
        <v>173.1</v>
      </c>
      <c r="N3597" s="4"/>
      <c r="O3597" s="1">
        <f t="shared" si="873"/>
        <v>173.1</v>
      </c>
      <c r="P3597" s="1">
        <f t="shared" si="874"/>
        <v>0</v>
      </c>
      <c r="Q3597" s="1" t="str">
        <f t="shared" si="871"/>
        <v/>
      </c>
      <c r="R3597" s="1" t="str">
        <f t="shared" si="875"/>
        <v/>
      </c>
      <c r="S3597" s="1">
        <f t="shared" si="876"/>
        <v>630.90240000000244</v>
      </c>
      <c r="T3597" s="1">
        <f t="shared" si="877"/>
        <v>0</v>
      </c>
      <c r="U3597" s="1">
        <f t="shared" si="878"/>
        <v>0</v>
      </c>
      <c r="V3597" s="1">
        <f t="shared" si="879"/>
        <v>0</v>
      </c>
    </row>
    <row r="3598" spans="5:22" x14ac:dyDescent="0.25">
      <c r="E3598" s="4"/>
      <c r="M3598" s="4">
        <f t="shared" si="872"/>
        <v>173.1</v>
      </c>
      <c r="N3598" s="4"/>
      <c r="O3598" s="1">
        <f t="shared" si="873"/>
        <v>173.1</v>
      </c>
      <c r="P3598" s="1">
        <f t="shared" si="874"/>
        <v>0</v>
      </c>
      <c r="Q3598" s="1" t="str">
        <f t="shared" si="871"/>
        <v/>
      </c>
      <c r="R3598" s="1" t="str">
        <f t="shared" si="875"/>
        <v/>
      </c>
      <c r="S3598" s="1">
        <f t="shared" si="876"/>
        <v>630.90240000000244</v>
      </c>
      <c r="T3598" s="1">
        <f t="shared" si="877"/>
        <v>0</v>
      </c>
      <c r="U3598" s="1">
        <f t="shared" si="878"/>
        <v>0</v>
      </c>
      <c r="V3598" s="1">
        <f t="shared" si="879"/>
        <v>0</v>
      </c>
    </row>
    <row r="3599" spans="5:22" x14ac:dyDescent="0.25">
      <c r="E3599" s="4"/>
      <c r="M3599" s="4">
        <f t="shared" si="872"/>
        <v>173.1</v>
      </c>
      <c r="N3599" s="4"/>
      <c r="O3599" s="1">
        <f t="shared" si="873"/>
        <v>173.1</v>
      </c>
      <c r="P3599" s="1">
        <f t="shared" si="874"/>
        <v>0</v>
      </c>
      <c r="Q3599" s="1" t="str">
        <f t="shared" si="871"/>
        <v/>
      </c>
      <c r="R3599" s="1" t="str">
        <f t="shared" si="875"/>
        <v/>
      </c>
      <c r="S3599" s="1">
        <f t="shared" si="876"/>
        <v>630.90240000000244</v>
      </c>
      <c r="T3599" s="1">
        <f t="shared" si="877"/>
        <v>0</v>
      </c>
      <c r="U3599" s="1">
        <f t="shared" si="878"/>
        <v>0</v>
      </c>
      <c r="V3599" s="1">
        <f t="shared" si="879"/>
        <v>0</v>
      </c>
    </row>
    <row r="3600" spans="5:22" x14ac:dyDescent="0.25">
      <c r="E3600" s="4"/>
      <c r="M3600" s="4">
        <f t="shared" si="872"/>
        <v>173.1</v>
      </c>
      <c r="N3600" s="4"/>
      <c r="O3600" s="1">
        <f t="shared" si="873"/>
        <v>173.1</v>
      </c>
      <c r="P3600" s="1">
        <f t="shared" si="874"/>
        <v>0</v>
      </c>
      <c r="Q3600" s="1" t="str">
        <f t="shared" si="871"/>
        <v/>
      </c>
      <c r="R3600" s="1" t="str">
        <f t="shared" si="875"/>
        <v/>
      </c>
      <c r="S3600" s="1">
        <f t="shared" si="876"/>
        <v>630.90240000000244</v>
      </c>
      <c r="T3600" s="1">
        <f t="shared" si="877"/>
        <v>0</v>
      </c>
      <c r="U3600" s="1">
        <f t="shared" si="878"/>
        <v>0</v>
      </c>
      <c r="V3600" s="1">
        <f t="shared" si="879"/>
        <v>0</v>
      </c>
    </row>
    <row r="3601" spans="5:22" x14ac:dyDescent="0.25">
      <c r="E3601" s="4"/>
      <c r="M3601" s="4">
        <f t="shared" si="872"/>
        <v>173.1</v>
      </c>
      <c r="N3601" s="4"/>
      <c r="O3601" s="1">
        <f t="shared" si="873"/>
        <v>173.1</v>
      </c>
      <c r="P3601" s="1">
        <f t="shared" si="874"/>
        <v>0</v>
      </c>
      <c r="Q3601" s="1" t="str">
        <f t="shared" si="871"/>
        <v/>
      </c>
      <c r="R3601" s="1" t="str">
        <f t="shared" si="875"/>
        <v/>
      </c>
      <c r="S3601" s="1">
        <f t="shared" si="876"/>
        <v>630.90240000000244</v>
      </c>
      <c r="T3601" s="1">
        <f t="shared" si="877"/>
        <v>0</v>
      </c>
      <c r="U3601" s="1">
        <f t="shared" si="878"/>
        <v>0</v>
      </c>
      <c r="V3601" s="1">
        <f t="shared" si="879"/>
        <v>0</v>
      </c>
    </row>
    <row r="3602" spans="5:22" x14ac:dyDescent="0.25">
      <c r="E3602" s="4"/>
      <c r="M3602" s="4">
        <f t="shared" si="872"/>
        <v>173.1</v>
      </c>
      <c r="N3602" s="4"/>
      <c r="O3602" s="1">
        <f t="shared" si="873"/>
        <v>173.1</v>
      </c>
      <c r="P3602" s="1">
        <f t="shared" si="874"/>
        <v>0</v>
      </c>
      <c r="Q3602" s="1" t="str">
        <f t="shared" si="871"/>
        <v/>
      </c>
      <c r="R3602" s="1" t="str">
        <f t="shared" si="875"/>
        <v/>
      </c>
      <c r="S3602" s="1">
        <f t="shared" si="876"/>
        <v>630.90240000000244</v>
      </c>
      <c r="T3602" s="1">
        <f t="shared" si="877"/>
        <v>0</v>
      </c>
      <c r="U3602" s="1">
        <f t="shared" si="878"/>
        <v>0</v>
      </c>
      <c r="V3602" s="1">
        <f t="shared" si="879"/>
        <v>0</v>
      </c>
    </row>
    <row r="3603" spans="5:22" x14ac:dyDescent="0.25">
      <c r="E3603" s="4"/>
      <c r="M3603" s="4">
        <f t="shared" si="872"/>
        <v>173.1</v>
      </c>
      <c r="N3603" s="4"/>
      <c r="O3603" s="1">
        <f t="shared" si="873"/>
        <v>173.1</v>
      </c>
      <c r="P3603" s="1">
        <f t="shared" si="874"/>
        <v>0</v>
      </c>
      <c r="Q3603" s="1" t="str">
        <f t="shared" si="871"/>
        <v/>
      </c>
      <c r="R3603" s="1" t="str">
        <f t="shared" si="875"/>
        <v/>
      </c>
      <c r="S3603" s="1">
        <f t="shared" si="876"/>
        <v>630.90240000000244</v>
      </c>
      <c r="T3603" s="1">
        <f t="shared" si="877"/>
        <v>0</v>
      </c>
      <c r="U3603" s="1">
        <f t="shared" si="878"/>
        <v>0</v>
      </c>
      <c r="V3603" s="1">
        <f t="shared" si="879"/>
        <v>0</v>
      </c>
    </row>
    <row r="3604" spans="5:22" x14ac:dyDescent="0.25">
      <c r="E3604" s="4"/>
      <c r="M3604" s="4">
        <f t="shared" si="872"/>
        <v>173.1</v>
      </c>
      <c r="N3604" s="4"/>
      <c r="O3604" s="1">
        <f t="shared" si="873"/>
        <v>173.1</v>
      </c>
      <c r="P3604" s="1">
        <f t="shared" si="874"/>
        <v>0</v>
      </c>
      <c r="Q3604" s="1" t="str">
        <f t="shared" si="871"/>
        <v/>
      </c>
      <c r="R3604" s="1" t="str">
        <f t="shared" si="875"/>
        <v/>
      </c>
      <c r="S3604" s="1">
        <f t="shared" si="876"/>
        <v>630.90240000000244</v>
      </c>
      <c r="T3604" s="1">
        <f t="shared" si="877"/>
        <v>0</v>
      </c>
      <c r="U3604" s="1">
        <f t="shared" si="878"/>
        <v>0</v>
      </c>
      <c r="V3604" s="1">
        <f t="shared" si="879"/>
        <v>0</v>
      </c>
    </row>
    <row r="3605" spans="5:22" x14ac:dyDescent="0.25">
      <c r="E3605" s="4"/>
      <c r="M3605" s="4">
        <f t="shared" si="872"/>
        <v>173.1</v>
      </c>
      <c r="N3605" s="4"/>
      <c r="O3605" s="1">
        <f t="shared" si="873"/>
        <v>173.1</v>
      </c>
      <c r="P3605" s="1">
        <f t="shared" si="874"/>
        <v>0</v>
      </c>
      <c r="Q3605" s="1" t="str">
        <f t="shared" si="871"/>
        <v/>
      </c>
      <c r="R3605" s="1" t="str">
        <f t="shared" si="875"/>
        <v/>
      </c>
      <c r="S3605" s="1">
        <f t="shared" si="876"/>
        <v>630.90240000000244</v>
      </c>
      <c r="T3605" s="1">
        <f t="shared" si="877"/>
        <v>0</v>
      </c>
      <c r="U3605" s="1">
        <f t="shared" si="878"/>
        <v>0</v>
      </c>
      <c r="V3605" s="1">
        <f t="shared" si="879"/>
        <v>0</v>
      </c>
    </row>
    <row r="3606" spans="5:22" x14ac:dyDescent="0.25">
      <c r="E3606" s="4"/>
      <c r="M3606" s="4">
        <f t="shared" si="872"/>
        <v>173.1</v>
      </c>
      <c r="N3606" s="4"/>
      <c r="O3606" s="1">
        <f t="shared" si="873"/>
        <v>173.1</v>
      </c>
      <c r="P3606" s="1">
        <f t="shared" si="874"/>
        <v>0</v>
      </c>
      <c r="Q3606" s="1" t="str">
        <f t="shared" si="871"/>
        <v/>
      </c>
      <c r="R3606" s="1" t="str">
        <f t="shared" si="875"/>
        <v/>
      </c>
      <c r="S3606" s="1">
        <f t="shared" si="876"/>
        <v>630.90240000000244</v>
      </c>
      <c r="T3606" s="1">
        <f t="shared" si="877"/>
        <v>0</v>
      </c>
      <c r="U3606" s="1">
        <f t="shared" si="878"/>
        <v>0</v>
      </c>
      <c r="V3606" s="1">
        <f t="shared" si="879"/>
        <v>0</v>
      </c>
    </row>
    <row r="3607" spans="5:22" x14ac:dyDescent="0.25">
      <c r="E3607" s="4"/>
      <c r="M3607" s="4">
        <f t="shared" si="872"/>
        <v>173.1</v>
      </c>
      <c r="N3607" s="4"/>
      <c r="O3607" s="1">
        <f t="shared" si="873"/>
        <v>173.1</v>
      </c>
      <c r="P3607" s="1">
        <f t="shared" si="874"/>
        <v>0</v>
      </c>
      <c r="Q3607" s="1" t="str">
        <f t="shared" si="871"/>
        <v/>
      </c>
      <c r="R3607" s="1" t="str">
        <f t="shared" si="875"/>
        <v/>
      </c>
      <c r="S3607" s="1">
        <f t="shared" si="876"/>
        <v>630.90240000000244</v>
      </c>
      <c r="T3607" s="1">
        <f t="shared" si="877"/>
        <v>0</v>
      </c>
      <c r="U3607" s="1">
        <f t="shared" si="878"/>
        <v>0</v>
      </c>
      <c r="V3607" s="1">
        <f t="shared" si="879"/>
        <v>0</v>
      </c>
    </row>
    <row r="3608" spans="5:22" x14ac:dyDescent="0.25">
      <c r="E3608" s="4"/>
      <c r="M3608" s="4">
        <f t="shared" si="872"/>
        <v>173.1</v>
      </c>
      <c r="N3608" s="4"/>
      <c r="O3608" s="1">
        <f t="shared" si="873"/>
        <v>173.1</v>
      </c>
      <c r="P3608" s="1">
        <f t="shared" si="874"/>
        <v>0</v>
      </c>
      <c r="Q3608" s="1" t="str">
        <f t="shared" si="871"/>
        <v/>
      </c>
      <c r="R3608" s="1" t="str">
        <f t="shared" si="875"/>
        <v/>
      </c>
      <c r="S3608" s="1">
        <f t="shared" si="876"/>
        <v>630.90240000000244</v>
      </c>
      <c r="T3608" s="1">
        <f t="shared" si="877"/>
        <v>0</v>
      </c>
      <c r="U3608" s="1">
        <f t="shared" si="878"/>
        <v>0</v>
      </c>
      <c r="V3608" s="1">
        <f t="shared" si="879"/>
        <v>0</v>
      </c>
    </row>
    <row r="3609" spans="5:22" x14ac:dyDescent="0.25">
      <c r="E3609" s="4"/>
      <c r="M3609" s="4">
        <f t="shared" si="872"/>
        <v>173.1</v>
      </c>
      <c r="N3609" s="4"/>
      <c r="O3609" s="1">
        <f t="shared" si="873"/>
        <v>173.1</v>
      </c>
      <c r="P3609" s="1">
        <f t="shared" si="874"/>
        <v>0</v>
      </c>
      <c r="Q3609" s="1" t="str">
        <f t="shared" si="871"/>
        <v/>
      </c>
      <c r="R3609" s="1" t="str">
        <f t="shared" si="875"/>
        <v/>
      </c>
      <c r="S3609" s="1">
        <f t="shared" si="876"/>
        <v>630.90240000000244</v>
      </c>
      <c r="T3609" s="1">
        <f t="shared" si="877"/>
        <v>0</v>
      </c>
      <c r="U3609" s="1">
        <f t="shared" si="878"/>
        <v>0</v>
      </c>
      <c r="V3609" s="1">
        <f t="shared" si="879"/>
        <v>0</v>
      </c>
    </row>
    <row r="3610" spans="5:22" x14ac:dyDescent="0.25">
      <c r="E3610" s="4"/>
      <c r="M3610" s="4">
        <f t="shared" si="872"/>
        <v>173.1</v>
      </c>
      <c r="N3610" s="4"/>
      <c r="O3610" s="1">
        <f t="shared" si="873"/>
        <v>173.1</v>
      </c>
      <c r="P3610" s="1">
        <f t="shared" si="874"/>
        <v>0</v>
      </c>
      <c r="Q3610" s="1" t="str">
        <f t="shared" si="871"/>
        <v/>
      </c>
      <c r="R3610" s="1" t="str">
        <f t="shared" si="875"/>
        <v/>
      </c>
      <c r="S3610" s="1">
        <f t="shared" si="876"/>
        <v>630.90240000000244</v>
      </c>
      <c r="T3610" s="1">
        <f t="shared" si="877"/>
        <v>0</v>
      </c>
      <c r="U3610" s="1">
        <f t="shared" si="878"/>
        <v>0</v>
      </c>
      <c r="V3610" s="1">
        <f t="shared" si="879"/>
        <v>0</v>
      </c>
    </row>
    <row r="3611" spans="5:22" x14ac:dyDescent="0.25">
      <c r="E3611" s="4"/>
      <c r="M3611" s="4">
        <f t="shared" si="872"/>
        <v>173.1</v>
      </c>
      <c r="N3611" s="4"/>
      <c r="O3611" s="1">
        <f t="shared" si="873"/>
        <v>173.1</v>
      </c>
      <c r="P3611" s="1">
        <f t="shared" si="874"/>
        <v>0</v>
      </c>
      <c r="Q3611" s="1" t="str">
        <f t="shared" si="871"/>
        <v/>
      </c>
      <c r="R3611" s="1" t="str">
        <f t="shared" si="875"/>
        <v/>
      </c>
      <c r="S3611" s="1">
        <f t="shared" si="876"/>
        <v>630.90240000000244</v>
      </c>
      <c r="T3611" s="1">
        <f t="shared" si="877"/>
        <v>0</v>
      </c>
      <c r="U3611" s="1">
        <f t="shared" si="878"/>
        <v>0</v>
      </c>
      <c r="V3611" s="1">
        <f t="shared" si="879"/>
        <v>0</v>
      </c>
    </row>
    <row r="3612" spans="5:22" x14ac:dyDescent="0.25">
      <c r="E3612" s="4"/>
      <c r="M3612" s="4">
        <f t="shared" si="872"/>
        <v>173.1</v>
      </c>
      <c r="N3612" s="4"/>
      <c r="O3612" s="1">
        <f t="shared" si="873"/>
        <v>173.1</v>
      </c>
      <c r="P3612" s="1">
        <f t="shared" si="874"/>
        <v>0</v>
      </c>
      <c r="Q3612" s="1" t="str">
        <f t="shared" si="871"/>
        <v/>
      </c>
      <c r="R3612" s="1" t="str">
        <f t="shared" si="875"/>
        <v/>
      </c>
      <c r="S3612" s="1">
        <f t="shared" si="876"/>
        <v>630.90240000000244</v>
      </c>
      <c r="T3612" s="1">
        <f t="shared" si="877"/>
        <v>0</v>
      </c>
      <c r="U3612" s="1">
        <f t="shared" si="878"/>
        <v>0</v>
      </c>
      <c r="V3612" s="1">
        <f t="shared" si="879"/>
        <v>0</v>
      </c>
    </row>
    <row r="3613" spans="5:22" x14ac:dyDescent="0.25">
      <c r="E3613" s="4"/>
      <c r="M3613" s="4">
        <f t="shared" si="872"/>
        <v>173.1</v>
      </c>
      <c r="N3613" s="4"/>
      <c r="O3613" s="1">
        <f t="shared" si="873"/>
        <v>173.1</v>
      </c>
      <c r="P3613" s="1">
        <f t="shared" si="874"/>
        <v>0</v>
      </c>
      <c r="Q3613" s="1" t="str">
        <f t="shared" si="871"/>
        <v/>
      </c>
      <c r="R3613" s="1" t="str">
        <f t="shared" si="875"/>
        <v/>
      </c>
      <c r="S3613" s="1">
        <f t="shared" si="876"/>
        <v>630.90240000000244</v>
      </c>
      <c r="T3613" s="1">
        <f t="shared" si="877"/>
        <v>0</v>
      </c>
      <c r="U3613" s="1">
        <f t="shared" si="878"/>
        <v>0</v>
      </c>
      <c r="V3613" s="1">
        <f t="shared" si="879"/>
        <v>0</v>
      </c>
    </row>
    <row r="3614" spans="5:22" x14ac:dyDescent="0.25">
      <c r="E3614" s="4"/>
      <c r="M3614" s="4">
        <f t="shared" si="872"/>
        <v>173.1</v>
      </c>
      <c r="N3614" s="4"/>
      <c r="O3614" s="1">
        <f t="shared" si="873"/>
        <v>173.1</v>
      </c>
      <c r="P3614" s="1">
        <f t="shared" si="874"/>
        <v>0</v>
      </c>
      <c r="Q3614" s="1" t="str">
        <f t="shared" si="871"/>
        <v/>
      </c>
      <c r="R3614" s="1" t="str">
        <f t="shared" si="875"/>
        <v/>
      </c>
      <c r="S3614" s="1">
        <f t="shared" si="876"/>
        <v>630.90240000000244</v>
      </c>
      <c r="T3614" s="1">
        <f t="shared" si="877"/>
        <v>0</v>
      </c>
      <c r="U3614" s="1">
        <f t="shared" si="878"/>
        <v>0</v>
      </c>
      <c r="V3614" s="1">
        <f t="shared" si="879"/>
        <v>0</v>
      </c>
    </row>
    <row r="3615" spans="5:22" x14ac:dyDescent="0.25">
      <c r="E3615" s="4"/>
      <c r="M3615" s="4">
        <f t="shared" si="872"/>
        <v>173.1</v>
      </c>
      <c r="N3615" s="4"/>
      <c r="O3615" s="1">
        <f t="shared" si="873"/>
        <v>173.1</v>
      </c>
      <c r="P3615" s="1">
        <f t="shared" si="874"/>
        <v>0</v>
      </c>
      <c r="Q3615" s="1" t="str">
        <f t="shared" si="871"/>
        <v/>
      </c>
      <c r="R3615" s="1" t="str">
        <f t="shared" si="875"/>
        <v/>
      </c>
      <c r="S3615" s="1">
        <f t="shared" si="876"/>
        <v>630.90240000000244</v>
      </c>
      <c r="T3615" s="1">
        <f t="shared" si="877"/>
        <v>0</v>
      </c>
      <c r="U3615" s="1">
        <f t="shared" si="878"/>
        <v>0</v>
      </c>
      <c r="V3615" s="1">
        <f t="shared" si="879"/>
        <v>0</v>
      </c>
    </row>
    <row r="3616" spans="5:22" x14ac:dyDescent="0.25">
      <c r="E3616" s="4"/>
      <c r="M3616" s="4">
        <f t="shared" si="872"/>
        <v>173.1</v>
      </c>
      <c r="N3616" s="4"/>
      <c r="O3616" s="1">
        <f t="shared" si="873"/>
        <v>173.1</v>
      </c>
      <c r="P3616" s="1">
        <f t="shared" si="874"/>
        <v>0</v>
      </c>
      <c r="Q3616" s="1" t="str">
        <f t="shared" si="871"/>
        <v/>
      </c>
      <c r="R3616" s="1" t="str">
        <f t="shared" si="875"/>
        <v/>
      </c>
      <c r="S3616" s="1">
        <f t="shared" si="876"/>
        <v>630.90240000000244</v>
      </c>
      <c r="T3616" s="1">
        <f t="shared" si="877"/>
        <v>0</v>
      </c>
      <c r="U3616" s="1">
        <f t="shared" si="878"/>
        <v>0</v>
      </c>
      <c r="V3616" s="1">
        <f t="shared" si="879"/>
        <v>0</v>
      </c>
    </row>
    <row r="3617" spans="5:22" x14ac:dyDescent="0.25">
      <c r="E3617" s="4"/>
      <c r="M3617" s="4">
        <f t="shared" si="872"/>
        <v>173.1</v>
      </c>
      <c r="N3617" s="4"/>
      <c r="O3617" s="1">
        <f t="shared" si="873"/>
        <v>173.1</v>
      </c>
      <c r="P3617" s="1">
        <f t="shared" si="874"/>
        <v>0</v>
      </c>
      <c r="Q3617" s="1" t="str">
        <f t="shared" si="871"/>
        <v/>
      </c>
      <c r="R3617" s="1" t="str">
        <f t="shared" si="875"/>
        <v/>
      </c>
      <c r="S3617" s="1">
        <f t="shared" si="876"/>
        <v>630.90240000000244</v>
      </c>
      <c r="T3617" s="1">
        <f t="shared" si="877"/>
        <v>0</v>
      </c>
      <c r="U3617" s="1">
        <f t="shared" si="878"/>
        <v>0</v>
      </c>
      <c r="V3617" s="1">
        <f t="shared" si="879"/>
        <v>0</v>
      </c>
    </row>
    <row r="3618" spans="5:22" x14ac:dyDescent="0.25">
      <c r="E3618" s="4"/>
      <c r="M3618" s="4">
        <f t="shared" si="872"/>
        <v>173.1</v>
      </c>
      <c r="N3618" s="4"/>
      <c r="O3618" s="1">
        <f t="shared" si="873"/>
        <v>173.1</v>
      </c>
      <c r="P3618" s="1">
        <f t="shared" si="874"/>
        <v>0</v>
      </c>
      <c r="Q3618" s="1" t="str">
        <f t="shared" si="871"/>
        <v/>
      </c>
      <c r="R3618" s="1" t="str">
        <f t="shared" si="875"/>
        <v/>
      </c>
      <c r="S3618" s="1">
        <f t="shared" si="876"/>
        <v>630.90240000000244</v>
      </c>
      <c r="T3618" s="1">
        <f t="shared" si="877"/>
        <v>0</v>
      </c>
      <c r="U3618" s="1">
        <f t="shared" si="878"/>
        <v>0</v>
      </c>
      <c r="V3618" s="1">
        <f t="shared" si="879"/>
        <v>0</v>
      </c>
    </row>
    <row r="3619" spans="5:22" x14ac:dyDescent="0.25">
      <c r="E3619" s="4"/>
      <c r="M3619" s="4">
        <f t="shared" si="872"/>
        <v>173.1</v>
      </c>
      <c r="N3619" s="4"/>
      <c r="O3619" s="1">
        <f t="shared" si="873"/>
        <v>173.1</v>
      </c>
      <c r="P3619" s="1">
        <f t="shared" si="874"/>
        <v>0</v>
      </c>
      <c r="Q3619" s="1" t="str">
        <f t="shared" si="871"/>
        <v/>
      </c>
      <c r="R3619" s="1" t="str">
        <f t="shared" si="875"/>
        <v/>
      </c>
      <c r="S3619" s="1">
        <f t="shared" si="876"/>
        <v>630.90240000000244</v>
      </c>
      <c r="T3619" s="1">
        <f t="shared" si="877"/>
        <v>0</v>
      </c>
      <c r="U3619" s="1">
        <f t="shared" si="878"/>
        <v>0</v>
      </c>
      <c r="V3619" s="1">
        <f t="shared" si="879"/>
        <v>0</v>
      </c>
    </row>
    <row r="3620" spans="5:22" x14ac:dyDescent="0.25">
      <c r="E3620" s="4"/>
      <c r="M3620" s="4">
        <f t="shared" si="872"/>
        <v>173.1</v>
      </c>
      <c r="N3620" s="4"/>
      <c r="O3620" s="1">
        <f t="shared" si="873"/>
        <v>173.1</v>
      </c>
      <c r="P3620" s="1">
        <f t="shared" si="874"/>
        <v>0</v>
      </c>
      <c r="Q3620" s="1" t="str">
        <f t="shared" si="871"/>
        <v/>
      </c>
      <c r="R3620" s="1" t="str">
        <f t="shared" si="875"/>
        <v/>
      </c>
      <c r="S3620" s="1">
        <f t="shared" si="876"/>
        <v>630.90240000000244</v>
      </c>
      <c r="T3620" s="1">
        <f t="shared" si="877"/>
        <v>0</v>
      </c>
      <c r="U3620" s="1">
        <f t="shared" si="878"/>
        <v>0</v>
      </c>
      <c r="V3620" s="1">
        <f t="shared" si="879"/>
        <v>0</v>
      </c>
    </row>
    <row r="3621" spans="5:22" x14ac:dyDescent="0.25">
      <c r="E3621" s="4"/>
      <c r="M3621" s="4">
        <f t="shared" si="872"/>
        <v>173.1</v>
      </c>
      <c r="N3621" s="4"/>
      <c r="O3621" s="1">
        <f t="shared" si="873"/>
        <v>173.1</v>
      </c>
      <c r="P3621" s="1">
        <f t="shared" si="874"/>
        <v>0</v>
      </c>
      <c r="Q3621" s="1" t="str">
        <f t="shared" si="871"/>
        <v/>
      </c>
      <c r="R3621" s="1" t="str">
        <f t="shared" si="875"/>
        <v/>
      </c>
      <c r="S3621" s="1">
        <f t="shared" si="876"/>
        <v>630.90240000000244</v>
      </c>
      <c r="T3621" s="1">
        <f t="shared" si="877"/>
        <v>0</v>
      </c>
      <c r="U3621" s="1">
        <f t="shared" si="878"/>
        <v>0</v>
      </c>
      <c r="V3621" s="1">
        <f t="shared" si="879"/>
        <v>0</v>
      </c>
    </row>
    <row r="3622" spans="5:22" x14ac:dyDescent="0.25">
      <c r="E3622" s="4"/>
      <c r="M3622" s="4">
        <f t="shared" si="872"/>
        <v>173.1</v>
      </c>
      <c r="N3622" s="4"/>
      <c r="O3622" s="1">
        <f t="shared" si="873"/>
        <v>173.1</v>
      </c>
      <c r="P3622" s="1">
        <f t="shared" si="874"/>
        <v>0</v>
      </c>
      <c r="Q3622" s="1" t="str">
        <f t="shared" si="871"/>
        <v/>
      </c>
      <c r="R3622" s="1" t="str">
        <f t="shared" si="875"/>
        <v/>
      </c>
      <c r="S3622" s="1">
        <f t="shared" si="876"/>
        <v>630.90240000000244</v>
      </c>
      <c r="T3622" s="1">
        <f t="shared" si="877"/>
        <v>0</v>
      </c>
      <c r="U3622" s="1">
        <f t="shared" si="878"/>
        <v>0</v>
      </c>
      <c r="V3622" s="1">
        <f t="shared" si="879"/>
        <v>0</v>
      </c>
    </row>
    <row r="3623" spans="5:22" x14ac:dyDescent="0.25">
      <c r="E3623" s="4"/>
      <c r="M3623" s="4">
        <f t="shared" si="872"/>
        <v>173.1</v>
      </c>
      <c r="N3623" s="4"/>
      <c r="O3623" s="1">
        <f t="shared" si="873"/>
        <v>173.1</v>
      </c>
      <c r="P3623" s="1">
        <f t="shared" si="874"/>
        <v>0</v>
      </c>
      <c r="Q3623" s="1" t="str">
        <f t="shared" si="871"/>
        <v/>
      </c>
      <c r="R3623" s="1" t="str">
        <f t="shared" si="875"/>
        <v/>
      </c>
      <c r="S3623" s="1">
        <f t="shared" si="876"/>
        <v>630.90240000000244</v>
      </c>
      <c r="T3623" s="1">
        <f t="shared" si="877"/>
        <v>0</v>
      </c>
      <c r="U3623" s="1">
        <f t="shared" si="878"/>
        <v>0</v>
      </c>
      <c r="V3623" s="1">
        <f t="shared" si="879"/>
        <v>0</v>
      </c>
    </row>
    <row r="3624" spans="5:22" x14ac:dyDescent="0.25">
      <c r="E3624" s="4"/>
      <c r="M3624" s="4">
        <f t="shared" si="872"/>
        <v>173.1</v>
      </c>
      <c r="N3624" s="4"/>
      <c r="O3624" s="1">
        <f t="shared" si="873"/>
        <v>173.1</v>
      </c>
      <c r="P3624" s="1">
        <f t="shared" si="874"/>
        <v>0</v>
      </c>
      <c r="Q3624" s="1" t="str">
        <f t="shared" si="871"/>
        <v/>
      </c>
      <c r="R3624" s="1" t="str">
        <f t="shared" si="875"/>
        <v/>
      </c>
      <c r="S3624" s="1">
        <f t="shared" si="876"/>
        <v>630.90240000000244</v>
      </c>
      <c r="T3624" s="1">
        <f t="shared" si="877"/>
        <v>0</v>
      </c>
      <c r="U3624" s="1">
        <f t="shared" si="878"/>
        <v>0</v>
      </c>
      <c r="V3624" s="1">
        <f t="shared" si="879"/>
        <v>0</v>
      </c>
    </row>
    <row r="3625" spans="5:22" x14ac:dyDescent="0.25">
      <c r="E3625" s="4"/>
      <c r="M3625" s="4">
        <f t="shared" si="872"/>
        <v>173.1</v>
      </c>
      <c r="N3625" s="4"/>
      <c r="O3625" s="1">
        <f t="shared" si="873"/>
        <v>173.1</v>
      </c>
      <c r="P3625" s="1">
        <f t="shared" si="874"/>
        <v>0</v>
      </c>
      <c r="Q3625" s="1" t="str">
        <f t="shared" si="871"/>
        <v/>
      </c>
      <c r="R3625" s="1" t="str">
        <f t="shared" si="875"/>
        <v/>
      </c>
      <c r="S3625" s="1">
        <f t="shared" si="876"/>
        <v>630.90240000000244</v>
      </c>
      <c r="T3625" s="1">
        <f t="shared" si="877"/>
        <v>0</v>
      </c>
      <c r="U3625" s="1">
        <f t="shared" si="878"/>
        <v>0</v>
      </c>
      <c r="V3625" s="1">
        <f t="shared" si="879"/>
        <v>0</v>
      </c>
    </row>
    <row r="3626" spans="5:22" x14ac:dyDescent="0.25">
      <c r="E3626" s="4"/>
      <c r="M3626" s="4">
        <f t="shared" si="872"/>
        <v>173.1</v>
      </c>
      <c r="N3626" s="4"/>
      <c r="O3626" s="1">
        <f t="shared" si="873"/>
        <v>173.1</v>
      </c>
      <c r="P3626" s="1">
        <f t="shared" si="874"/>
        <v>0</v>
      </c>
      <c r="Q3626" s="1" t="str">
        <f t="shared" si="871"/>
        <v/>
      </c>
      <c r="R3626" s="1" t="str">
        <f t="shared" si="875"/>
        <v/>
      </c>
      <c r="S3626" s="1">
        <f t="shared" si="876"/>
        <v>630.90240000000244</v>
      </c>
      <c r="T3626" s="1">
        <f t="shared" si="877"/>
        <v>0</v>
      </c>
      <c r="U3626" s="1">
        <f t="shared" si="878"/>
        <v>0</v>
      </c>
      <c r="V3626" s="1">
        <f t="shared" si="879"/>
        <v>0</v>
      </c>
    </row>
    <row r="3627" spans="5:22" x14ac:dyDescent="0.25">
      <c r="E3627" s="4"/>
      <c r="M3627" s="4">
        <f t="shared" si="872"/>
        <v>173.1</v>
      </c>
      <c r="N3627" s="4"/>
      <c r="O3627" s="1">
        <f t="shared" si="873"/>
        <v>173.1</v>
      </c>
      <c r="P3627" s="1">
        <f t="shared" si="874"/>
        <v>0</v>
      </c>
      <c r="Q3627" s="1" t="str">
        <f t="shared" si="871"/>
        <v/>
      </c>
      <c r="R3627" s="1" t="str">
        <f t="shared" si="875"/>
        <v/>
      </c>
      <c r="S3627" s="1">
        <f t="shared" si="876"/>
        <v>630.90240000000244</v>
      </c>
      <c r="T3627" s="1">
        <f t="shared" si="877"/>
        <v>0</v>
      </c>
      <c r="U3627" s="1">
        <f t="shared" si="878"/>
        <v>0</v>
      </c>
      <c r="V3627" s="1">
        <f t="shared" si="879"/>
        <v>0</v>
      </c>
    </row>
    <row r="3628" spans="5:22" x14ac:dyDescent="0.25">
      <c r="E3628" s="4"/>
      <c r="M3628" s="4">
        <f t="shared" si="872"/>
        <v>173.1</v>
      </c>
      <c r="N3628" s="4"/>
      <c r="O3628" s="1">
        <f t="shared" si="873"/>
        <v>173.1</v>
      </c>
      <c r="P3628" s="1">
        <f t="shared" si="874"/>
        <v>0</v>
      </c>
      <c r="Q3628" s="1" t="str">
        <f t="shared" si="871"/>
        <v/>
      </c>
      <c r="R3628" s="1" t="str">
        <f t="shared" si="875"/>
        <v/>
      </c>
      <c r="S3628" s="1">
        <f t="shared" si="876"/>
        <v>630.90240000000244</v>
      </c>
      <c r="T3628" s="1">
        <f t="shared" si="877"/>
        <v>0</v>
      </c>
      <c r="U3628" s="1">
        <f t="shared" si="878"/>
        <v>0</v>
      </c>
      <c r="V3628" s="1">
        <f t="shared" si="879"/>
        <v>0</v>
      </c>
    </row>
    <row r="3629" spans="5:22" x14ac:dyDescent="0.25">
      <c r="E3629" s="4"/>
      <c r="M3629" s="4">
        <f t="shared" si="872"/>
        <v>173.1</v>
      </c>
      <c r="N3629" s="4"/>
      <c r="O3629" s="1">
        <f t="shared" si="873"/>
        <v>173.1</v>
      </c>
      <c r="P3629" s="1">
        <f t="shared" si="874"/>
        <v>0</v>
      </c>
      <c r="Q3629" s="1" t="str">
        <f t="shared" si="871"/>
        <v/>
      </c>
      <c r="R3629" s="1" t="str">
        <f t="shared" si="875"/>
        <v/>
      </c>
      <c r="S3629" s="1">
        <f t="shared" si="876"/>
        <v>630.90240000000244</v>
      </c>
      <c r="T3629" s="1">
        <f t="shared" si="877"/>
        <v>0</v>
      </c>
      <c r="U3629" s="1">
        <f t="shared" si="878"/>
        <v>0</v>
      </c>
      <c r="V3629" s="1">
        <f t="shared" si="879"/>
        <v>0</v>
      </c>
    </row>
    <row r="3630" spans="5:22" x14ac:dyDescent="0.25">
      <c r="E3630" s="4"/>
      <c r="M3630" s="4">
        <f t="shared" si="872"/>
        <v>173.1</v>
      </c>
      <c r="N3630" s="4"/>
      <c r="O3630" s="1">
        <f t="shared" si="873"/>
        <v>173.1</v>
      </c>
      <c r="P3630" s="1">
        <f t="shared" si="874"/>
        <v>0</v>
      </c>
      <c r="Q3630" s="1" t="str">
        <f t="shared" si="871"/>
        <v/>
      </c>
      <c r="R3630" s="1" t="str">
        <f t="shared" si="875"/>
        <v/>
      </c>
      <c r="S3630" s="1">
        <f t="shared" si="876"/>
        <v>630.90240000000244</v>
      </c>
      <c r="T3630" s="1">
        <f t="shared" si="877"/>
        <v>0</v>
      </c>
      <c r="U3630" s="1">
        <f t="shared" si="878"/>
        <v>0</v>
      </c>
      <c r="V3630" s="1">
        <f t="shared" si="879"/>
        <v>0</v>
      </c>
    </row>
    <row r="3631" spans="5:22" x14ac:dyDescent="0.25">
      <c r="E3631" s="4"/>
      <c r="M3631" s="4">
        <f t="shared" si="872"/>
        <v>173.1</v>
      </c>
      <c r="N3631" s="4"/>
      <c r="O3631" s="1">
        <f t="shared" si="873"/>
        <v>173.1</v>
      </c>
      <c r="P3631" s="1">
        <f t="shared" si="874"/>
        <v>0</v>
      </c>
      <c r="Q3631" s="1" t="str">
        <f t="shared" si="871"/>
        <v/>
      </c>
      <c r="R3631" s="1" t="str">
        <f t="shared" si="875"/>
        <v/>
      </c>
      <c r="S3631" s="1">
        <f t="shared" si="876"/>
        <v>630.90240000000244</v>
      </c>
      <c r="T3631" s="1">
        <f t="shared" si="877"/>
        <v>0</v>
      </c>
      <c r="U3631" s="1">
        <f t="shared" si="878"/>
        <v>0</v>
      </c>
      <c r="V3631" s="1">
        <f t="shared" si="879"/>
        <v>0</v>
      </c>
    </row>
    <row r="3632" spans="5:22" x14ac:dyDescent="0.25">
      <c r="E3632" s="4"/>
      <c r="M3632" s="4">
        <f t="shared" si="872"/>
        <v>173.1</v>
      </c>
      <c r="N3632" s="4"/>
      <c r="O3632" s="1">
        <f t="shared" si="873"/>
        <v>173.1</v>
      </c>
      <c r="P3632" s="1">
        <f t="shared" si="874"/>
        <v>0</v>
      </c>
      <c r="Q3632" s="1" t="str">
        <f t="shared" si="871"/>
        <v/>
      </c>
      <c r="R3632" s="1" t="str">
        <f t="shared" si="875"/>
        <v/>
      </c>
      <c r="S3632" s="1">
        <f t="shared" si="876"/>
        <v>630.90240000000244</v>
      </c>
      <c r="T3632" s="1">
        <f t="shared" si="877"/>
        <v>0</v>
      </c>
      <c r="U3632" s="1">
        <f t="shared" si="878"/>
        <v>0</v>
      </c>
      <c r="V3632" s="1">
        <f t="shared" si="879"/>
        <v>0</v>
      </c>
    </row>
    <row r="3633" spans="5:22" x14ac:dyDescent="0.25">
      <c r="E3633" s="4"/>
      <c r="M3633" s="4">
        <f t="shared" si="872"/>
        <v>173.1</v>
      </c>
      <c r="N3633" s="4"/>
      <c r="O3633" s="1">
        <f t="shared" si="873"/>
        <v>173.1</v>
      </c>
      <c r="P3633" s="1">
        <f t="shared" si="874"/>
        <v>0</v>
      </c>
      <c r="Q3633" s="1" t="str">
        <f t="shared" si="871"/>
        <v/>
      </c>
      <c r="R3633" s="1" t="str">
        <f t="shared" si="875"/>
        <v/>
      </c>
      <c r="S3633" s="1">
        <f t="shared" si="876"/>
        <v>630.90240000000244</v>
      </c>
      <c r="T3633" s="1">
        <f t="shared" si="877"/>
        <v>0</v>
      </c>
      <c r="U3633" s="1">
        <f t="shared" si="878"/>
        <v>0</v>
      </c>
      <c r="V3633" s="1">
        <f t="shared" si="879"/>
        <v>0</v>
      </c>
    </row>
    <row r="3634" spans="5:22" x14ac:dyDescent="0.25">
      <c r="E3634" s="4"/>
      <c r="M3634" s="4">
        <f t="shared" si="872"/>
        <v>173.1</v>
      </c>
      <c r="N3634" s="4"/>
      <c r="O3634" s="1">
        <f t="shared" si="873"/>
        <v>173.1</v>
      </c>
      <c r="P3634" s="1">
        <f t="shared" si="874"/>
        <v>0</v>
      </c>
      <c r="Q3634" s="1" t="str">
        <f t="shared" ref="Q3634:Q3697" si="880">IF(H3634&lt;&gt;"",IF(H3634=H3633,"",H3634),IF(H3632="","",MAX(H3633,Q3633)))</f>
        <v/>
      </c>
      <c r="R3634" s="1" t="str">
        <f t="shared" si="875"/>
        <v/>
      </c>
      <c r="S3634" s="1">
        <f t="shared" si="876"/>
        <v>630.90240000000244</v>
      </c>
      <c r="T3634" s="1">
        <f t="shared" si="877"/>
        <v>0</v>
      </c>
      <c r="U3634" s="1">
        <f t="shared" si="878"/>
        <v>0</v>
      </c>
      <c r="V3634" s="1">
        <f t="shared" si="879"/>
        <v>0</v>
      </c>
    </row>
    <row r="3635" spans="5:22" x14ac:dyDescent="0.25">
      <c r="E3635" s="4"/>
      <c r="M3635" s="4">
        <f t="shared" si="872"/>
        <v>173.1</v>
      </c>
      <c r="N3635" s="4"/>
      <c r="O3635" s="1">
        <f t="shared" si="873"/>
        <v>173.1</v>
      </c>
      <c r="P3635" s="1">
        <f t="shared" si="874"/>
        <v>0</v>
      </c>
      <c r="Q3635" s="1" t="str">
        <f t="shared" si="880"/>
        <v/>
      </c>
      <c r="R3635" s="1" t="str">
        <f t="shared" si="875"/>
        <v/>
      </c>
      <c r="S3635" s="1">
        <f t="shared" si="876"/>
        <v>630.90240000000244</v>
      </c>
      <c r="T3635" s="1">
        <f t="shared" si="877"/>
        <v>0</v>
      </c>
      <c r="U3635" s="1">
        <f t="shared" si="878"/>
        <v>0</v>
      </c>
      <c r="V3635" s="1">
        <f t="shared" si="879"/>
        <v>0</v>
      </c>
    </row>
    <row r="3636" spans="5:22" x14ac:dyDescent="0.25">
      <c r="E3636" s="4"/>
      <c r="M3636" s="4">
        <f t="shared" si="872"/>
        <v>173.1</v>
      </c>
      <c r="N3636" s="4"/>
      <c r="O3636" s="1">
        <f t="shared" si="873"/>
        <v>173.1</v>
      </c>
      <c r="P3636" s="1">
        <f t="shared" si="874"/>
        <v>0</v>
      </c>
      <c r="Q3636" s="1" t="str">
        <f t="shared" si="880"/>
        <v/>
      </c>
      <c r="R3636" s="1" t="str">
        <f t="shared" si="875"/>
        <v/>
      </c>
      <c r="S3636" s="1">
        <f t="shared" si="876"/>
        <v>630.90240000000244</v>
      </c>
      <c r="T3636" s="1">
        <f t="shared" si="877"/>
        <v>0</v>
      </c>
      <c r="U3636" s="1">
        <f t="shared" si="878"/>
        <v>0</v>
      </c>
      <c r="V3636" s="1">
        <f t="shared" si="879"/>
        <v>0</v>
      </c>
    </row>
    <row r="3637" spans="5:22" x14ac:dyDescent="0.25">
      <c r="E3637" s="4"/>
      <c r="M3637" s="4">
        <f t="shared" si="872"/>
        <v>173.1</v>
      </c>
      <c r="N3637" s="4"/>
      <c r="O3637" s="1">
        <f t="shared" si="873"/>
        <v>173.1</v>
      </c>
      <c r="P3637" s="1">
        <f t="shared" si="874"/>
        <v>0</v>
      </c>
      <c r="Q3637" s="1" t="str">
        <f t="shared" si="880"/>
        <v/>
      </c>
      <c r="R3637" s="1" t="str">
        <f t="shared" si="875"/>
        <v/>
      </c>
      <c r="S3637" s="1">
        <f t="shared" si="876"/>
        <v>630.90240000000244</v>
      </c>
      <c r="T3637" s="1">
        <f t="shared" si="877"/>
        <v>0</v>
      </c>
      <c r="U3637" s="1">
        <f t="shared" si="878"/>
        <v>0</v>
      </c>
      <c r="V3637" s="1">
        <f t="shared" si="879"/>
        <v>0</v>
      </c>
    </row>
    <row r="3638" spans="5:22" x14ac:dyDescent="0.25">
      <c r="E3638" s="4"/>
      <c r="M3638" s="4">
        <f t="shared" si="872"/>
        <v>173.1</v>
      </c>
      <c r="N3638" s="4"/>
      <c r="O3638" s="1">
        <f t="shared" si="873"/>
        <v>173.1</v>
      </c>
      <c r="P3638" s="1">
        <f t="shared" si="874"/>
        <v>0</v>
      </c>
      <c r="Q3638" s="1" t="str">
        <f t="shared" si="880"/>
        <v/>
      </c>
      <c r="R3638" s="1" t="str">
        <f t="shared" si="875"/>
        <v/>
      </c>
      <c r="S3638" s="1">
        <f t="shared" si="876"/>
        <v>630.90240000000244</v>
      </c>
      <c r="T3638" s="1">
        <f t="shared" si="877"/>
        <v>0</v>
      </c>
      <c r="U3638" s="1">
        <f t="shared" si="878"/>
        <v>0</v>
      </c>
      <c r="V3638" s="1">
        <f t="shared" si="879"/>
        <v>0</v>
      </c>
    </row>
    <row r="3639" spans="5:22" x14ac:dyDescent="0.25">
      <c r="E3639" s="4"/>
      <c r="M3639" s="4">
        <f t="shared" si="872"/>
        <v>173.1</v>
      </c>
      <c r="N3639" s="4"/>
      <c r="O3639" s="1">
        <f t="shared" si="873"/>
        <v>173.1</v>
      </c>
      <c r="P3639" s="1">
        <f t="shared" si="874"/>
        <v>0</v>
      </c>
      <c r="Q3639" s="1" t="str">
        <f t="shared" si="880"/>
        <v/>
      </c>
      <c r="R3639" s="1" t="str">
        <f t="shared" si="875"/>
        <v/>
      </c>
      <c r="S3639" s="1">
        <f t="shared" si="876"/>
        <v>630.90240000000244</v>
      </c>
      <c r="T3639" s="1">
        <f t="shared" si="877"/>
        <v>0</v>
      </c>
      <c r="U3639" s="1">
        <f t="shared" si="878"/>
        <v>0</v>
      </c>
      <c r="V3639" s="1">
        <f t="shared" si="879"/>
        <v>0</v>
      </c>
    </row>
    <row r="3640" spans="5:22" x14ac:dyDescent="0.25">
      <c r="E3640" s="4"/>
      <c r="M3640" s="4">
        <f t="shared" si="872"/>
        <v>173.1</v>
      </c>
      <c r="N3640" s="4"/>
      <c r="O3640" s="1">
        <f t="shared" si="873"/>
        <v>173.1</v>
      </c>
      <c r="P3640" s="1">
        <f t="shared" si="874"/>
        <v>0</v>
      </c>
      <c r="Q3640" s="1" t="str">
        <f t="shared" si="880"/>
        <v/>
      </c>
      <c r="R3640" s="1" t="str">
        <f t="shared" si="875"/>
        <v/>
      </c>
      <c r="S3640" s="1">
        <f t="shared" si="876"/>
        <v>630.90240000000244</v>
      </c>
      <c r="T3640" s="1">
        <f t="shared" si="877"/>
        <v>0</v>
      </c>
      <c r="U3640" s="1">
        <f t="shared" si="878"/>
        <v>0</v>
      </c>
      <c r="V3640" s="1">
        <f t="shared" si="879"/>
        <v>0</v>
      </c>
    </row>
    <row r="3641" spans="5:22" x14ac:dyDescent="0.25">
      <c r="E3641" s="4"/>
      <c r="M3641" s="4">
        <f t="shared" si="872"/>
        <v>173.1</v>
      </c>
      <c r="N3641" s="4"/>
      <c r="O3641" s="1">
        <f t="shared" si="873"/>
        <v>173.1</v>
      </c>
      <c r="P3641" s="1">
        <f t="shared" si="874"/>
        <v>0</v>
      </c>
      <c r="Q3641" s="1" t="str">
        <f t="shared" si="880"/>
        <v/>
      </c>
      <c r="R3641" s="1" t="str">
        <f t="shared" si="875"/>
        <v/>
      </c>
      <c r="S3641" s="1">
        <f t="shared" si="876"/>
        <v>630.90240000000244</v>
      </c>
      <c r="T3641" s="1">
        <f t="shared" si="877"/>
        <v>0</v>
      </c>
      <c r="U3641" s="1">
        <f t="shared" si="878"/>
        <v>0</v>
      </c>
      <c r="V3641" s="1">
        <f t="shared" si="879"/>
        <v>0</v>
      </c>
    </row>
    <row r="3642" spans="5:22" x14ac:dyDescent="0.25">
      <c r="E3642" s="4"/>
      <c r="M3642" s="4">
        <f t="shared" si="872"/>
        <v>173.1</v>
      </c>
      <c r="N3642" s="4"/>
      <c r="O3642" s="1">
        <f t="shared" si="873"/>
        <v>173.1</v>
      </c>
      <c r="P3642" s="1">
        <f t="shared" si="874"/>
        <v>0</v>
      </c>
      <c r="Q3642" s="1" t="str">
        <f t="shared" si="880"/>
        <v/>
      </c>
      <c r="R3642" s="1" t="str">
        <f t="shared" si="875"/>
        <v/>
      </c>
      <c r="S3642" s="1">
        <f t="shared" si="876"/>
        <v>630.90240000000244</v>
      </c>
      <c r="T3642" s="1">
        <f t="shared" si="877"/>
        <v>0</v>
      </c>
      <c r="U3642" s="1">
        <f t="shared" si="878"/>
        <v>0</v>
      </c>
      <c r="V3642" s="1">
        <f t="shared" si="879"/>
        <v>0</v>
      </c>
    </row>
    <row r="3643" spans="5:22" x14ac:dyDescent="0.25">
      <c r="E3643" s="4"/>
      <c r="M3643" s="4">
        <f t="shared" si="872"/>
        <v>173.1</v>
      </c>
      <c r="N3643" s="4"/>
      <c r="O3643" s="1">
        <f t="shared" si="873"/>
        <v>173.1</v>
      </c>
      <c r="P3643" s="1">
        <f t="shared" si="874"/>
        <v>0</v>
      </c>
      <c r="Q3643" s="1" t="str">
        <f t="shared" si="880"/>
        <v/>
      </c>
      <c r="R3643" s="1" t="str">
        <f t="shared" si="875"/>
        <v/>
      </c>
      <c r="S3643" s="1">
        <f t="shared" si="876"/>
        <v>630.90240000000244</v>
      </c>
      <c r="T3643" s="1">
        <f t="shared" si="877"/>
        <v>0</v>
      </c>
      <c r="U3643" s="1">
        <f t="shared" si="878"/>
        <v>0</v>
      </c>
      <c r="V3643" s="1">
        <f t="shared" si="879"/>
        <v>0</v>
      </c>
    </row>
    <row r="3644" spans="5:22" x14ac:dyDescent="0.25">
      <c r="E3644" s="4"/>
      <c r="M3644" s="4">
        <f t="shared" si="872"/>
        <v>173.1</v>
      </c>
      <c r="N3644" s="4"/>
      <c r="O3644" s="1">
        <f t="shared" si="873"/>
        <v>173.1</v>
      </c>
      <c r="P3644" s="1">
        <f t="shared" si="874"/>
        <v>0</v>
      </c>
      <c r="Q3644" s="1" t="str">
        <f t="shared" si="880"/>
        <v/>
      </c>
      <c r="R3644" s="1" t="str">
        <f t="shared" si="875"/>
        <v/>
      </c>
      <c r="S3644" s="1">
        <f t="shared" si="876"/>
        <v>630.90240000000244</v>
      </c>
      <c r="T3644" s="1">
        <f t="shared" si="877"/>
        <v>0</v>
      </c>
      <c r="U3644" s="1">
        <f t="shared" si="878"/>
        <v>0</v>
      </c>
      <c r="V3644" s="1">
        <f t="shared" si="879"/>
        <v>0</v>
      </c>
    </row>
    <row r="3645" spans="5:22" x14ac:dyDescent="0.25">
      <c r="E3645" s="4"/>
      <c r="M3645" s="4">
        <f t="shared" si="872"/>
        <v>173.1</v>
      </c>
      <c r="N3645" s="4"/>
      <c r="O3645" s="1">
        <f t="shared" si="873"/>
        <v>173.1</v>
      </c>
      <c r="P3645" s="1">
        <f t="shared" si="874"/>
        <v>0</v>
      </c>
      <c r="Q3645" s="1" t="str">
        <f t="shared" si="880"/>
        <v/>
      </c>
      <c r="R3645" s="1" t="str">
        <f t="shared" si="875"/>
        <v/>
      </c>
      <c r="S3645" s="1">
        <f t="shared" si="876"/>
        <v>630.90240000000244</v>
      </c>
      <c r="T3645" s="1">
        <f t="shared" si="877"/>
        <v>0</v>
      </c>
      <c r="U3645" s="1">
        <f t="shared" si="878"/>
        <v>0</v>
      </c>
      <c r="V3645" s="1">
        <f t="shared" si="879"/>
        <v>0</v>
      </c>
    </row>
    <row r="3646" spans="5:22" x14ac:dyDescent="0.25">
      <c r="E3646" s="4"/>
      <c r="M3646" s="4">
        <f t="shared" si="872"/>
        <v>173.1</v>
      </c>
      <c r="N3646" s="4"/>
      <c r="O3646" s="1">
        <f t="shared" si="873"/>
        <v>173.1</v>
      </c>
      <c r="P3646" s="1">
        <f t="shared" si="874"/>
        <v>0</v>
      </c>
      <c r="Q3646" s="1" t="str">
        <f t="shared" si="880"/>
        <v/>
      </c>
      <c r="R3646" s="1" t="str">
        <f t="shared" si="875"/>
        <v/>
      </c>
      <c r="S3646" s="1">
        <f t="shared" si="876"/>
        <v>630.90240000000244</v>
      </c>
      <c r="T3646" s="1">
        <f t="shared" si="877"/>
        <v>0</v>
      </c>
      <c r="U3646" s="1">
        <f t="shared" si="878"/>
        <v>0</v>
      </c>
      <c r="V3646" s="1">
        <f t="shared" si="879"/>
        <v>0</v>
      </c>
    </row>
    <row r="3647" spans="5:22" x14ac:dyDescent="0.25">
      <c r="E3647" s="4"/>
      <c r="M3647" s="4">
        <f t="shared" si="872"/>
        <v>173.1</v>
      </c>
      <c r="N3647" s="4"/>
      <c r="O3647" s="1">
        <f t="shared" si="873"/>
        <v>173.1</v>
      </c>
      <c r="P3647" s="1">
        <f t="shared" si="874"/>
        <v>0</v>
      </c>
      <c r="Q3647" s="1" t="str">
        <f t="shared" si="880"/>
        <v/>
      </c>
      <c r="R3647" s="1" t="str">
        <f t="shared" si="875"/>
        <v/>
      </c>
      <c r="S3647" s="1">
        <f t="shared" si="876"/>
        <v>630.90240000000244</v>
      </c>
      <c r="T3647" s="1">
        <f t="shared" si="877"/>
        <v>0</v>
      </c>
      <c r="U3647" s="1">
        <f t="shared" si="878"/>
        <v>0</v>
      </c>
      <c r="V3647" s="1">
        <f t="shared" si="879"/>
        <v>0</v>
      </c>
    </row>
    <row r="3648" spans="5:22" x14ac:dyDescent="0.25">
      <c r="E3648" s="4"/>
      <c r="M3648" s="4">
        <f t="shared" si="872"/>
        <v>173.1</v>
      </c>
      <c r="N3648" s="4"/>
      <c r="O3648" s="1">
        <f t="shared" si="873"/>
        <v>173.1</v>
      </c>
      <c r="P3648" s="1">
        <f t="shared" si="874"/>
        <v>0</v>
      </c>
      <c r="Q3648" s="1" t="str">
        <f t="shared" si="880"/>
        <v/>
      </c>
      <c r="R3648" s="1" t="str">
        <f t="shared" si="875"/>
        <v/>
      </c>
      <c r="S3648" s="1">
        <f t="shared" si="876"/>
        <v>630.90240000000244</v>
      </c>
      <c r="T3648" s="1">
        <f t="shared" si="877"/>
        <v>0</v>
      </c>
      <c r="U3648" s="1">
        <f t="shared" si="878"/>
        <v>0</v>
      </c>
      <c r="V3648" s="1">
        <f t="shared" si="879"/>
        <v>0</v>
      </c>
    </row>
    <row r="3649" spans="5:22" x14ac:dyDescent="0.25">
      <c r="E3649" s="4"/>
      <c r="M3649" s="4">
        <f t="shared" si="872"/>
        <v>173.1</v>
      </c>
      <c r="N3649" s="4"/>
      <c r="O3649" s="1">
        <f t="shared" si="873"/>
        <v>173.1</v>
      </c>
      <c r="P3649" s="1">
        <f t="shared" si="874"/>
        <v>0</v>
      </c>
      <c r="Q3649" s="1" t="str">
        <f t="shared" si="880"/>
        <v/>
      </c>
      <c r="R3649" s="1" t="str">
        <f t="shared" si="875"/>
        <v/>
      </c>
      <c r="S3649" s="1">
        <f t="shared" si="876"/>
        <v>630.90240000000244</v>
      </c>
      <c r="T3649" s="1">
        <f t="shared" si="877"/>
        <v>0</v>
      </c>
      <c r="U3649" s="1">
        <f t="shared" si="878"/>
        <v>0</v>
      </c>
      <c r="V3649" s="1">
        <f t="shared" si="879"/>
        <v>0</v>
      </c>
    </row>
    <row r="3650" spans="5:22" x14ac:dyDescent="0.25">
      <c r="E3650" s="4"/>
      <c r="M3650" s="4">
        <f t="shared" si="872"/>
        <v>173.1</v>
      </c>
      <c r="N3650" s="4"/>
      <c r="O3650" s="1">
        <f t="shared" si="873"/>
        <v>173.1</v>
      </c>
      <c r="P3650" s="1">
        <f t="shared" si="874"/>
        <v>0</v>
      </c>
      <c r="Q3650" s="1" t="str">
        <f t="shared" si="880"/>
        <v/>
      </c>
      <c r="R3650" s="1" t="str">
        <f t="shared" si="875"/>
        <v/>
      </c>
      <c r="S3650" s="1">
        <f t="shared" si="876"/>
        <v>630.90240000000244</v>
      </c>
      <c r="T3650" s="1">
        <f t="shared" si="877"/>
        <v>0</v>
      </c>
      <c r="U3650" s="1">
        <f t="shared" si="878"/>
        <v>0</v>
      </c>
      <c r="V3650" s="1">
        <f t="shared" si="879"/>
        <v>0</v>
      </c>
    </row>
    <row r="3651" spans="5:22" x14ac:dyDescent="0.25">
      <c r="E3651" s="4"/>
      <c r="M3651" s="4">
        <f t="shared" si="872"/>
        <v>173.1</v>
      </c>
      <c r="N3651" s="4"/>
      <c r="O3651" s="1">
        <f t="shared" si="873"/>
        <v>173.1</v>
      </c>
      <c r="P3651" s="1">
        <f t="shared" si="874"/>
        <v>0</v>
      </c>
      <c r="Q3651" s="1" t="str">
        <f t="shared" si="880"/>
        <v/>
      </c>
      <c r="R3651" s="1" t="str">
        <f t="shared" si="875"/>
        <v/>
      </c>
      <c r="S3651" s="1">
        <f t="shared" si="876"/>
        <v>630.90240000000244</v>
      </c>
      <c r="T3651" s="1">
        <f t="shared" si="877"/>
        <v>0</v>
      </c>
      <c r="U3651" s="1">
        <f t="shared" si="878"/>
        <v>0</v>
      </c>
      <c r="V3651" s="1">
        <f t="shared" si="879"/>
        <v>0</v>
      </c>
    </row>
    <row r="3652" spans="5:22" x14ac:dyDescent="0.25">
      <c r="E3652" s="4"/>
      <c r="M3652" s="4">
        <f t="shared" si="872"/>
        <v>173.1</v>
      </c>
      <c r="N3652" s="4"/>
      <c r="O3652" s="1">
        <f t="shared" si="873"/>
        <v>173.1</v>
      </c>
      <c r="P3652" s="1">
        <f t="shared" si="874"/>
        <v>0</v>
      </c>
      <c r="Q3652" s="1" t="str">
        <f t="shared" si="880"/>
        <v/>
      </c>
      <c r="R3652" s="1" t="str">
        <f t="shared" si="875"/>
        <v/>
      </c>
      <c r="S3652" s="1">
        <f t="shared" si="876"/>
        <v>630.90240000000244</v>
      </c>
      <c r="T3652" s="1">
        <f t="shared" si="877"/>
        <v>0</v>
      </c>
      <c r="U3652" s="1">
        <f t="shared" si="878"/>
        <v>0</v>
      </c>
      <c r="V3652" s="1">
        <f t="shared" si="879"/>
        <v>0</v>
      </c>
    </row>
    <row r="3653" spans="5:22" x14ac:dyDescent="0.25">
      <c r="E3653" s="4"/>
      <c r="M3653" s="4">
        <f t="shared" si="872"/>
        <v>173.1</v>
      </c>
      <c r="N3653" s="4"/>
      <c r="O3653" s="1">
        <f t="shared" si="873"/>
        <v>173.1</v>
      </c>
      <c r="P3653" s="1">
        <f t="shared" si="874"/>
        <v>0</v>
      </c>
      <c r="Q3653" s="1" t="str">
        <f t="shared" si="880"/>
        <v/>
      </c>
      <c r="R3653" s="1" t="str">
        <f t="shared" si="875"/>
        <v/>
      </c>
      <c r="S3653" s="1">
        <f t="shared" si="876"/>
        <v>630.90240000000244</v>
      </c>
      <c r="T3653" s="1">
        <f t="shared" si="877"/>
        <v>0</v>
      </c>
      <c r="U3653" s="1">
        <f t="shared" si="878"/>
        <v>0</v>
      </c>
      <c r="V3653" s="1">
        <f t="shared" si="879"/>
        <v>0</v>
      </c>
    </row>
    <row r="3654" spans="5:22" x14ac:dyDescent="0.25">
      <c r="E3654" s="4"/>
      <c r="M3654" s="4">
        <f t="shared" si="872"/>
        <v>173.1</v>
      </c>
      <c r="N3654" s="4"/>
      <c r="O3654" s="1">
        <f t="shared" si="873"/>
        <v>173.1</v>
      </c>
      <c r="P3654" s="1">
        <f t="shared" si="874"/>
        <v>0</v>
      </c>
      <c r="Q3654" s="1" t="str">
        <f t="shared" si="880"/>
        <v/>
      </c>
      <c r="R3654" s="1" t="str">
        <f t="shared" si="875"/>
        <v/>
      </c>
      <c r="S3654" s="1">
        <f t="shared" si="876"/>
        <v>630.90240000000244</v>
      </c>
      <c r="T3654" s="1">
        <f t="shared" si="877"/>
        <v>0</v>
      </c>
      <c r="U3654" s="1">
        <f t="shared" si="878"/>
        <v>0</v>
      </c>
      <c r="V3654" s="1">
        <f t="shared" si="879"/>
        <v>0</v>
      </c>
    </row>
    <row r="3655" spans="5:22" x14ac:dyDescent="0.25">
      <c r="E3655" s="4"/>
      <c r="M3655" s="4">
        <f t="shared" si="872"/>
        <v>173.1</v>
      </c>
      <c r="N3655" s="4"/>
      <c r="O3655" s="1">
        <f t="shared" si="873"/>
        <v>173.1</v>
      </c>
      <c r="P3655" s="1">
        <f t="shared" si="874"/>
        <v>0</v>
      </c>
      <c r="Q3655" s="1" t="str">
        <f t="shared" si="880"/>
        <v/>
      </c>
      <c r="R3655" s="1" t="str">
        <f t="shared" si="875"/>
        <v/>
      </c>
      <c r="S3655" s="1">
        <f t="shared" si="876"/>
        <v>630.90240000000244</v>
      </c>
      <c r="T3655" s="1">
        <f t="shared" si="877"/>
        <v>0</v>
      </c>
      <c r="U3655" s="1">
        <f t="shared" si="878"/>
        <v>0</v>
      </c>
      <c r="V3655" s="1">
        <f t="shared" si="879"/>
        <v>0</v>
      </c>
    </row>
    <row r="3656" spans="5:22" x14ac:dyDescent="0.25">
      <c r="E3656" s="4"/>
      <c r="M3656" s="4">
        <f t="shared" ref="M3656:M3719" si="881">E3656+M3655</f>
        <v>173.1</v>
      </c>
      <c r="N3656" s="4"/>
      <c r="O3656" s="1">
        <f t="shared" ref="O3656:O3719" si="882">E3655+O3655</f>
        <v>173.1</v>
      </c>
      <c r="P3656" s="1">
        <f t="shared" ref="P3656:P3719" si="883">F3656*52.8*E3656</f>
        <v>0</v>
      </c>
      <c r="Q3656" s="1" t="str">
        <f t="shared" si="880"/>
        <v/>
      </c>
      <c r="R3656" s="1" t="str">
        <f t="shared" ref="R3656:R3719" si="884">IF(I3656="",Q3656,IF(AND(H3656=H3655,I3656=I3655),"",I3656))</f>
        <v/>
      </c>
      <c r="S3656" s="1">
        <f t="shared" ref="S3656:S3719" si="885">S3655+U3655*T3655/100</f>
        <v>630.90240000000244</v>
      </c>
      <c r="T3656" s="1">
        <f t="shared" ref="T3656:T3719" si="886">IF(G3656="UNK",0,G3656)</f>
        <v>0</v>
      </c>
      <c r="U3656" s="1">
        <f t="shared" ref="U3656:U3719" si="887">E3656*5280</f>
        <v>0</v>
      </c>
      <c r="V3656" s="1">
        <f t="shared" ref="V3656:V3719" si="888">ABS(T3656*U3656)</f>
        <v>0</v>
      </c>
    </row>
    <row r="3657" spans="5:22" x14ac:dyDescent="0.25">
      <c r="E3657" s="4"/>
      <c r="M3657" s="4">
        <f t="shared" si="881"/>
        <v>173.1</v>
      </c>
      <c r="N3657" s="4"/>
      <c r="O3657" s="1">
        <f t="shared" si="882"/>
        <v>173.1</v>
      </c>
      <c r="P3657" s="1">
        <f t="shared" si="883"/>
        <v>0</v>
      </c>
      <c r="Q3657" s="1" t="str">
        <f t="shared" si="880"/>
        <v/>
      </c>
      <c r="R3657" s="1" t="str">
        <f t="shared" si="884"/>
        <v/>
      </c>
      <c r="S3657" s="1">
        <f t="shared" si="885"/>
        <v>630.90240000000244</v>
      </c>
      <c r="T3657" s="1">
        <f t="shared" si="886"/>
        <v>0</v>
      </c>
      <c r="U3657" s="1">
        <f t="shared" si="887"/>
        <v>0</v>
      </c>
      <c r="V3657" s="1">
        <f t="shared" si="888"/>
        <v>0</v>
      </c>
    </row>
    <row r="3658" spans="5:22" x14ac:dyDescent="0.25">
      <c r="E3658" s="4"/>
      <c r="M3658" s="4">
        <f t="shared" si="881"/>
        <v>173.1</v>
      </c>
      <c r="N3658" s="4"/>
      <c r="O3658" s="1">
        <f t="shared" si="882"/>
        <v>173.1</v>
      </c>
      <c r="P3658" s="1">
        <f t="shared" si="883"/>
        <v>0</v>
      </c>
      <c r="Q3658" s="1" t="str">
        <f t="shared" si="880"/>
        <v/>
      </c>
      <c r="R3658" s="1" t="str">
        <f t="shared" si="884"/>
        <v/>
      </c>
      <c r="S3658" s="1">
        <f t="shared" si="885"/>
        <v>630.90240000000244</v>
      </c>
      <c r="T3658" s="1">
        <f t="shared" si="886"/>
        <v>0</v>
      </c>
      <c r="U3658" s="1">
        <f t="shared" si="887"/>
        <v>0</v>
      </c>
      <c r="V3658" s="1">
        <f t="shared" si="888"/>
        <v>0</v>
      </c>
    </row>
    <row r="3659" spans="5:22" x14ac:dyDescent="0.25">
      <c r="E3659" s="4"/>
      <c r="M3659" s="4">
        <f t="shared" si="881"/>
        <v>173.1</v>
      </c>
      <c r="N3659" s="4"/>
      <c r="O3659" s="1">
        <f t="shared" si="882"/>
        <v>173.1</v>
      </c>
      <c r="P3659" s="1">
        <f t="shared" si="883"/>
        <v>0</v>
      </c>
      <c r="Q3659" s="1" t="str">
        <f t="shared" si="880"/>
        <v/>
      </c>
      <c r="R3659" s="1" t="str">
        <f t="shared" si="884"/>
        <v/>
      </c>
      <c r="S3659" s="1">
        <f t="shared" si="885"/>
        <v>630.90240000000244</v>
      </c>
      <c r="T3659" s="1">
        <f t="shared" si="886"/>
        <v>0</v>
      </c>
      <c r="U3659" s="1">
        <f t="shared" si="887"/>
        <v>0</v>
      </c>
      <c r="V3659" s="1">
        <f t="shared" si="888"/>
        <v>0</v>
      </c>
    </row>
    <row r="3660" spans="5:22" x14ac:dyDescent="0.25">
      <c r="E3660" s="4"/>
      <c r="M3660" s="4">
        <f t="shared" si="881"/>
        <v>173.1</v>
      </c>
      <c r="N3660" s="4"/>
      <c r="O3660" s="1">
        <f t="shared" si="882"/>
        <v>173.1</v>
      </c>
      <c r="P3660" s="1">
        <f t="shared" si="883"/>
        <v>0</v>
      </c>
      <c r="Q3660" s="1" t="str">
        <f t="shared" si="880"/>
        <v/>
      </c>
      <c r="R3660" s="1" t="str">
        <f t="shared" si="884"/>
        <v/>
      </c>
      <c r="S3660" s="1">
        <f t="shared" si="885"/>
        <v>630.90240000000244</v>
      </c>
      <c r="T3660" s="1">
        <f t="shared" si="886"/>
        <v>0</v>
      </c>
      <c r="U3660" s="1">
        <f t="shared" si="887"/>
        <v>0</v>
      </c>
      <c r="V3660" s="1">
        <f t="shared" si="888"/>
        <v>0</v>
      </c>
    </row>
    <row r="3661" spans="5:22" x14ac:dyDescent="0.25">
      <c r="E3661" s="4"/>
      <c r="M3661" s="4">
        <f t="shared" si="881"/>
        <v>173.1</v>
      </c>
      <c r="N3661" s="4"/>
      <c r="O3661" s="1">
        <f t="shared" si="882"/>
        <v>173.1</v>
      </c>
      <c r="P3661" s="1">
        <f t="shared" si="883"/>
        <v>0</v>
      </c>
      <c r="Q3661" s="1" t="str">
        <f t="shared" si="880"/>
        <v/>
      </c>
      <c r="R3661" s="1" t="str">
        <f t="shared" si="884"/>
        <v/>
      </c>
      <c r="S3661" s="1">
        <f t="shared" si="885"/>
        <v>630.90240000000244</v>
      </c>
      <c r="T3661" s="1">
        <f t="shared" si="886"/>
        <v>0</v>
      </c>
      <c r="U3661" s="1">
        <f t="shared" si="887"/>
        <v>0</v>
      </c>
      <c r="V3661" s="1">
        <f t="shared" si="888"/>
        <v>0</v>
      </c>
    </row>
    <row r="3662" spans="5:22" x14ac:dyDescent="0.25">
      <c r="E3662" s="4"/>
      <c r="M3662" s="4">
        <f t="shared" si="881"/>
        <v>173.1</v>
      </c>
      <c r="N3662" s="4"/>
      <c r="O3662" s="1">
        <f t="shared" si="882"/>
        <v>173.1</v>
      </c>
      <c r="P3662" s="1">
        <f t="shared" si="883"/>
        <v>0</v>
      </c>
      <c r="Q3662" s="1" t="str">
        <f t="shared" si="880"/>
        <v/>
      </c>
      <c r="R3662" s="1" t="str">
        <f t="shared" si="884"/>
        <v/>
      </c>
      <c r="S3662" s="1">
        <f t="shared" si="885"/>
        <v>630.90240000000244</v>
      </c>
      <c r="T3662" s="1">
        <f t="shared" si="886"/>
        <v>0</v>
      </c>
      <c r="U3662" s="1">
        <f t="shared" si="887"/>
        <v>0</v>
      </c>
      <c r="V3662" s="1">
        <f t="shared" si="888"/>
        <v>0</v>
      </c>
    </row>
    <row r="3663" spans="5:22" x14ac:dyDescent="0.25">
      <c r="E3663" s="4"/>
      <c r="M3663" s="4">
        <f t="shared" si="881"/>
        <v>173.1</v>
      </c>
      <c r="N3663" s="4"/>
      <c r="O3663" s="1">
        <f t="shared" si="882"/>
        <v>173.1</v>
      </c>
      <c r="P3663" s="1">
        <f t="shared" si="883"/>
        <v>0</v>
      </c>
      <c r="Q3663" s="1" t="str">
        <f t="shared" si="880"/>
        <v/>
      </c>
      <c r="R3663" s="1" t="str">
        <f t="shared" si="884"/>
        <v/>
      </c>
      <c r="S3663" s="1">
        <f t="shared" si="885"/>
        <v>630.90240000000244</v>
      </c>
      <c r="T3663" s="1">
        <f t="shared" si="886"/>
        <v>0</v>
      </c>
      <c r="U3663" s="1">
        <f t="shared" si="887"/>
        <v>0</v>
      </c>
      <c r="V3663" s="1">
        <f t="shared" si="888"/>
        <v>0</v>
      </c>
    </row>
    <row r="3664" spans="5:22" x14ac:dyDescent="0.25">
      <c r="E3664" s="4"/>
      <c r="M3664" s="4">
        <f t="shared" si="881"/>
        <v>173.1</v>
      </c>
      <c r="N3664" s="4"/>
      <c r="O3664" s="1">
        <f t="shared" si="882"/>
        <v>173.1</v>
      </c>
      <c r="P3664" s="1">
        <f t="shared" si="883"/>
        <v>0</v>
      </c>
      <c r="Q3664" s="1" t="str">
        <f t="shared" si="880"/>
        <v/>
      </c>
      <c r="R3664" s="1" t="str">
        <f t="shared" si="884"/>
        <v/>
      </c>
      <c r="S3664" s="1">
        <f t="shared" si="885"/>
        <v>630.90240000000244</v>
      </c>
      <c r="T3664" s="1">
        <f t="shared" si="886"/>
        <v>0</v>
      </c>
      <c r="U3664" s="1">
        <f t="shared" si="887"/>
        <v>0</v>
      </c>
      <c r="V3664" s="1">
        <f t="shared" si="888"/>
        <v>0</v>
      </c>
    </row>
    <row r="3665" spans="5:22" x14ac:dyDescent="0.25">
      <c r="E3665" s="4"/>
      <c r="M3665" s="4">
        <f t="shared" si="881"/>
        <v>173.1</v>
      </c>
      <c r="N3665" s="4"/>
      <c r="O3665" s="1">
        <f t="shared" si="882"/>
        <v>173.1</v>
      </c>
      <c r="P3665" s="1">
        <f t="shared" si="883"/>
        <v>0</v>
      </c>
      <c r="Q3665" s="1" t="str">
        <f t="shared" si="880"/>
        <v/>
      </c>
      <c r="R3665" s="1" t="str">
        <f t="shared" si="884"/>
        <v/>
      </c>
      <c r="S3665" s="1">
        <f t="shared" si="885"/>
        <v>630.90240000000244</v>
      </c>
      <c r="T3665" s="1">
        <f t="shared" si="886"/>
        <v>0</v>
      </c>
      <c r="U3665" s="1">
        <f t="shared" si="887"/>
        <v>0</v>
      </c>
      <c r="V3665" s="1">
        <f t="shared" si="888"/>
        <v>0</v>
      </c>
    </row>
    <row r="3666" spans="5:22" x14ac:dyDescent="0.25">
      <c r="E3666" s="4"/>
      <c r="M3666" s="4">
        <f t="shared" si="881"/>
        <v>173.1</v>
      </c>
      <c r="N3666" s="4"/>
      <c r="O3666" s="1">
        <f t="shared" si="882"/>
        <v>173.1</v>
      </c>
      <c r="P3666" s="1">
        <f t="shared" si="883"/>
        <v>0</v>
      </c>
      <c r="Q3666" s="1" t="str">
        <f t="shared" si="880"/>
        <v/>
      </c>
      <c r="R3666" s="1" t="str">
        <f t="shared" si="884"/>
        <v/>
      </c>
      <c r="S3666" s="1">
        <f t="shared" si="885"/>
        <v>630.90240000000244</v>
      </c>
      <c r="T3666" s="1">
        <f t="shared" si="886"/>
        <v>0</v>
      </c>
      <c r="U3666" s="1">
        <f t="shared" si="887"/>
        <v>0</v>
      </c>
      <c r="V3666" s="1">
        <f t="shared" si="888"/>
        <v>0</v>
      </c>
    </row>
    <row r="3667" spans="5:22" x14ac:dyDescent="0.25">
      <c r="E3667" s="4"/>
      <c r="M3667" s="4">
        <f t="shared" si="881"/>
        <v>173.1</v>
      </c>
      <c r="N3667" s="4"/>
      <c r="O3667" s="1">
        <f t="shared" si="882"/>
        <v>173.1</v>
      </c>
      <c r="P3667" s="1">
        <f t="shared" si="883"/>
        <v>0</v>
      </c>
      <c r="Q3667" s="1" t="str">
        <f t="shared" si="880"/>
        <v/>
      </c>
      <c r="R3667" s="1" t="str">
        <f t="shared" si="884"/>
        <v/>
      </c>
      <c r="S3667" s="1">
        <f t="shared" si="885"/>
        <v>630.90240000000244</v>
      </c>
      <c r="T3667" s="1">
        <f t="shared" si="886"/>
        <v>0</v>
      </c>
      <c r="U3667" s="1">
        <f t="shared" si="887"/>
        <v>0</v>
      </c>
      <c r="V3667" s="1">
        <f t="shared" si="888"/>
        <v>0</v>
      </c>
    </row>
    <row r="3668" spans="5:22" x14ac:dyDescent="0.25">
      <c r="E3668" s="4"/>
      <c r="M3668" s="4">
        <f t="shared" si="881"/>
        <v>173.1</v>
      </c>
      <c r="N3668" s="4"/>
      <c r="O3668" s="1">
        <f t="shared" si="882"/>
        <v>173.1</v>
      </c>
      <c r="P3668" s="1">
        <f t="shared" si="883"/>
        <v>0</v>
      </c>
      <c r="Q3668" s="1" t="str">
        <f t="shared" si="880"/>
        <v/>
      </c>
      <c r="R3668" s="1" t="str">
        <f t="shared" si="884"/>
        <v/>
      </c>
      <c r="S3668" s="1">
        <f t="shared" si="885"/>
        <v>630.90240000000244</v>
      </c>
      <c r="T3668" s="1">
        <f t="shared" si="886"/>
        <v>0</v>
      </c>
      <c r="U3668" s="1">
        <f t="shared" si="887"/>
        <v>0</v>
      </c>
      <c r="V3668" s="1">
        <f t="shared" si="888"/>
        <v>0</v>
      </c>
    </row>
    <row r="3669" spans="5:22" x14ac:dyDescent="0.25">
      <c r="E3669" s="4"/>
      <c r="M3669" s="4">
        <f t="shared" si="881"/>
        <v>173.1</v>
      </c>
      <c r="N3669" s="4"/>
      <c r="O3669" s="1">
        <f t="shared" si="882"/>
        <v>173.1</v>
      </c>
      <c r="P3669" s="1">
        <f t="shared" si="883"/>
        <v>0</v>
      </c>
      <c r="Q3669" s="1" t="str">
        <f t="shared" si="880"/>
        <v/>
      </c>
      <c r="R3669" s="1" t="str">
        <f t="shared" si="884"/>
        <v/>
      </c>
      <c r="S3669" s="1">
        <f t="shared" si="885"/>
        <v>630.90240000000244</v>
      </c>
      <c r="T3669" s="1">
        <f t="shared" si="886"/>
        <v>0</v>
      </c>
      <c r="U3669" s="1">
        <f t="shared" si="887"/>
        <v>0</v>
      </c>
      <c r="V3669" s="1">
        <f t="shared" si="888"/>
        <v>0</v>
      </c>
    </row>
    <row r="3670" spans="5:22" x14ac:dyDescent="0.25">
      <c r="E3670" s="4"/>
      <c r="M3670" s="4">
        <f t="shared" si="881"/>
        <v>173.1</v>
      </c>
      <c r="N3670" s="4"/>
      <c r="O3670" s="1">
        <f t="shared" si="882"/>
        <v>173.1</v>
      </c>
      <c r="P3670" s="1">
        <f t="shared" si="883"/>
        <v>0</v>
      </c>
      <c r="Q3670" s="1" t="str">
        <f t="shared" si="880"/>
        <v/>
      </c>
      <c r="R3670" s="1" t="str">
        <f t="shared" si="884"/>
        <v/>
      </c>
      <c r="S3670" s="1">
        <f t="shared" si="885"/>
        <v>630.90240000000244</v>
      </c>
      <c r="T3670" s="1">
        <f t="shared" si="886"/>
        <v>0</v>
      </c>
      <c r="U3670" s="1">
        <f t="shared" si="887"/>
        <v>0</v>
      </c>
      <c r="V3670" s="1">
        <f t="shared" si="888"/>
        <v>0</v>
      </c>
    </row>
    <row r="3671" spans="5:22" x14ac:dyDescent="0.25">
      <c r="E3671" s="4"/>
      <c r="M3671" s="4">
        <f t="shared" si="881"/>
        <v>173.1</v>
      </c>
      <c r="N3671" s="4"/>
      <c r="O3671" s="1">
        <f t="shared" si="882"/>
        <v>173.1</v>
      </c>
      <c r="P3671" s="1">
        <f t="shared" si="883"/>
        <v>0</v>
      </c>
      <c r="Q3671" s="1" t="str">
        <f t="shared" si="880"/>
        <v/>
      </c>
      <c r="R3671" s="1" t="str">
        <f t="shared" si="884"/>
        <v/>
      </c>
      <c r="S3671" s="1">
        <f t="shared" si="885"/>
        <v>630.90240000000244</v>
      </c>
      <c r="T3671" s="1">
        <f t="shared" si="886"/>
        <v>0</v>
      </c>
      <c r="U3671" s="1">
        <f t="shared" si="887"/>
        <v>0</v>
      </c>
      <c r="V3671" s="1">
        <f t="shared" si="888"/>
        <v>0</v>
      </c>
    </row>
    <row r="3672" spans="5:22" x14ac:dyDescent="0.25">
      <c r="E3672" s="4"/>
      <c r="M3672" s="4">
        <f t="shared" si="881"/>
        <v>173.1</v>
      </c>
      <c r="N3672" s="4"/>
      <c r="O3672" s="1">
        <f t="shared" si="882"/>
        <v>173.1</v>
      </c>
      <c r="P3672" s="1">
        <f t="shared" si="883"/>
        <v>0</v>
      </c>
      <c r="Q3672" s="1" t="str">
        <f t="shared" si="880"/>
        <v/>
      </c>
      <c r="R3672" s="1" t="str">
        <f t="shared" si="884"/>
        <v/>
      </c>
      <c r="S3672" s="1">
        <f t="shared" si="885"/>
        <v>630.90240000000244</v>
      </c>
      <c r="T3672" s="1">
        <f t="shared" si="886"/>
        <v>0</v>
      </c>
      <c r="U3672" s="1">
        <f t="shared" si="887"/>
        <v>0</v>
      </c>
      <c r="V3672" s="1">
        <f t="shared" si="888"/>
        <v>0</v>
      </c>
    </row>
    <row r="3673" spans="5:22" x14ac:dyDescent="0.25">
      <c r="E3673" s="4"/>
      <c r="M3673" s="4">
        <f t="shared" si="881"/>
        <v>173.1</v>
      </c>
      <c r="N3673" s="4"/>
      <c r="O3673" s="1">
        <f t="shared" si="882"/>
        <v>173.1</v>
      </c>
      <c r="P3673" s="1">
        <f t="shared" si="883"/>
        <v>0</v>
      </c>
      <c r="Q3673" s="1" t="str">
        <f t="shared" si="880"/>
        <v/>
      </c>
      <c r="R3673" s="1" t="str">
        <f t="shared" si="884"/>
        <v/>
      </c>
      <c r="S3673" s="1">
        <f t="shared" si="885"/>
        <v>630.90240000000244</v>
      </c>
      <c r="T3673" s="1">
        <f t="shared" si="886"/>
        <v>0</v>
      </c>
      <c r="U3673" s="1">
        <f t="shared" si="887"/>
        <v>0</v>
      </c>
      <c r="V3673" s="1">
        <f t="shared" si="888"/>
        <v>0</v>
      </c>
    </row>
    <row r="3674" spans="5:22" x14ac:dyDescent="0.25">
      <c r="E3674" s="4"/>
      <c r="M3674" s="4">
        <f t="shared" si="881"/>
        <v>173.1</v>
      </c>
      <c r="N3674" s="4"/>
      <c r="O3674" s="1">
        <f t="shared" si="882"/>
        <v>173.1</v>
      </c>
      <c r="P3674" s="1">
        <f t="shared" si="883"/>
        <v>0</v>
      </c>
      <c r="Q3674" s="1" t="str">
        <f t="shared" si="880"/>
        <v/>
      </c>
      <c r="R3674" s="1" t="str">
        <f t="shared" si="884"/>
        <v/>
      </c>
      <c r="S3674" s="1">
        <f t="shared" si="885"/>
        <v>630.90240000000244</v>
      </c>
      <c r="T3674" s="1">
        <f t="shared" si="886"/>
        <v>0</v>
      </c>
      <c r="U3674" s="1">
        <f t="shared" si="887"/>
        <v>0</v>
      </c>
      <c r="V3674" s="1">
        <f t="shared" si="888"/>
        <v>0</v>
      </c>
    </row>
    <row r="3675" spans="5:22" x14ac:dyDescent="0.25">
      <c r="E3675" s="4"/>
      <c r="M3675" s="4">
        <f t="shared" si="881"/>
        <v>173.1</v>
      </c>
      <c r="N3675" s="4"/>
      <c r="O3675" s="1">
        <f t="shared" si="882"/>
        <v>173.1</v>
      </c>
      <c r="P3675" s="1">
        <f t="shared" si="883"/>
        <v>0</v>
      </c>
      <c r="Q3675" s="1" t="str">
        <f t="shared" si="880"/>
        <v/>
      </c>
      <c r="R3675" s="1" t="str">
        <f t="shared" si="884"/>
        <v/>
      </c>
      <c r="S3675" s="1">
        <f t="shared" si="885"/>
        <v>630.90240000000244</v>
      </c>
      <c r="T3675" s="1">
        <f t="shared" si="886"/>
        <v>0</v>
      </c>
      <c r="U3675" s="1">
        <f t="shared" si="887"/>
        <v>0</v>
      </c>
      <c r="V3675" s="1">
        <f t="shared" si="888"/>
        <v>0</v>
      </c>
    </row>
    <row r="3676" spans="5:22" x14ac:dyDescent="0.25">
      <c r="E3676" s="4"/>
      <c r="M3676" s="4">
        <f t="shared" si="881"/>
        <v>173.1</v>
      </c>
      <c r="N3676" s="4"/>
      <c r="O3676" s="1">
        <f t="shared" si="882"/>
        <v>173.1</v>
      </c>
      <c r="P3676" s="1">
        <f t="shared" si="883"/>
        <v>0</v>
      </c>
      <c r="Q3676" s="1" t="str">
        <f t="shared" si="880"/>
        <v/>
      </c>
      <c r="R3676" s="1" t="str">
        <f t="shared" si="884"/>
        <v/>
      </c>
      <c r="S3676" s="1">
        <f t="shared" si="885"/>
        <v>630.90240000000244</v>
      </c>
      <c r="T3676" s="1">
        <f t="shared" si="886"/>
        <v>0</v>
      </c>
      <c r="U3676" s="1">
        <f t="shared" si="887"/>
        <v>0</v>
      </c>
      <c r="V3676" s="1">
        <f t="shared" si="888"/>
        <v>0</v>
      </c>
    </row>
    <row r="3677" spans="5:22" x14ac:dyDescent="0.25">
      <c r="E3677" s="4"/>
      <c r="M3677" s="4">
        <f t="shared" si="881"/>
        <v>173.1</v>
      </c>
      <c r="N3677" s="4"/>
      <c r="O3677" s="1">
        <f t="shared" si="882"/>
        <v>173.1</v>
      </c>
      <c r="P3677" s="1">
        <f t="shared" si="883"/>
        <v>0</v>
      </c>
      <c r="Q3677" s="1" t="str">
        <f t="shared" si="880"/>
        <v/>
      </c>
      <c r="R3677" s="1" t="str">
        <f t="shared" si="884"/>
        <v/>
      </c>
      <c r="S3677" s="1">
        <f t="shared" si="885"/>
        <v>630.90240000000244</v>
      </c>
      <c r="T3677" s="1">
        <f t="shared" si="886"/>
        <v>0</v>
      </c>
      <c r="U3677" s="1">
        <f t="shared" si="887"/>
        <v>0</v>
      </c>
      <c r="V3677" s="1">
        <f t="shared" si="888"/>
        <v>0</v>
      </c>
    </row>
    <row r="3678" spans="5:22" x14ac:dyDescent="0.25">
      <c r="E3678" s="4"/>
      <c r="M3678" s="4">
        <f t="shared" si="881"/>
        <v>173.1</v>
      </c>
      <c r="N3678" s="4"/>
      <c r="O3678" s="1">
        <f t="shared" si="882"/>
        <v>173.1</v>
      </c>
      <c r="P3678" s="1">
        <f t="shared" si="883"/>
        <v>0</v>
      </c>
      <c r="Q3678" s="1" t="str">
        <f t="shared" si="880"/>
        <v/>
      </c>
      <c r="R3678" s="1" t="str">
        <f t="shared" si="884"/>
        <v/>
      </c>
      <c r="S3678" s="1">
        <f t="shared" si="885"/>
        <v>630.90240000000244</v>
      </c>
      <c r="T3678" s="1">
        <f t="shared" si="886"/>
        <v>0</v>
      </c>
      <c r="U3678" s="1">
        <f t="shared" si="887"/>
        <v>0</v>
      </c>
      <c r="V3678" s="1">
        <f t="shared" si="888"/>
        <v>0</v>
      </c>
    </row>
    <row r="3679" spans="5:22" x14ac:dyDescent="0.25">
      <c r="E3679" s="4"/>
      <c r="M3679" s="4">
        <f t="shared" si="881"/>
        <v>173.1</v>
      </c>
      <c r="N3679" s="4"/>
      <c r="O3679" s="1">
        <f t="shared" si="882"/>
        <v>173.1</v>
      </c>
      <c r="P3679" s="1">
        <f t="shared" si="883"/>
        <v>0</v>
      </c>
      <c r="Q3679" s="1" t="str">
        <f t="shared" si="880"/>
        <v/>
      </c>
      <c r="R3679" s="1" t="str">
        <f t="shared" si="884"/>
        <v/>
      </c>
      <c r="S3679" s="1">
        <f t="shared" si="885"/>
        <v>630.90240000000244</v>
      </c>
      <c r="T3679" s="1">
        <f t="shared" si="886"/>
        <v>0</v>
      </c>
      <c r="U3679" s="1">
        <f t="shared" si="887"/>
        <v>0</v>
      </c>
      <c r="V3679" s="1">
        <f t="shared" si="888"/>
        <v>0</v>
      </c>
    </row>
    <row r="3680" spans="5:22" x14ac:dyDescent="0.25">
      <c r="E3680" s="4"/>
      <c r="M3680" s="4">
        <f t="shared" si="881"/>
        <v>173.1</v>
      </c>
      <c r="N3680" s="4"/>
      <c r="O3680" s="1">
        <f t="shared" si="882"/>
        <v>173.1</v>
      </c>
      <c r="P3680" s="1">
        <f t="shared" si="883"/>
        <v>0</v>
      </c>
      <c r="Q3680" s="1" t="str">
        <f t="shared" si="880"/>
        <v/>
      </c>
      <c r="R3680" s="1" t="str">
        <f t="shared" si="884"/>
        <v/>
      </c>
      <c r="S3680" s="1">
        <f t="shared" si="885"/>
        <v>630.90240000000244</v>
      </c>
      <c r="T3680" s="1">
        <f t="shared" si="886"/>
        <v>0</v>
      </c>
      <c r="U3680" s="1">
        <f t="shared" si="887"/>
        <v>0</v>
      </c>
      <c r="V3680" s="1">
        <f t="shared" si="888"/>
        <v>0</v>
      </c>
    </row>
    <row r="3681" spans="5:22" x14ac:dyDescent="0.25">
      <c r="E3681" s="4"/>
      <c r="M3681" s="4">
        <f t="shared" si="881"/>
        <v>173.1</v>
      </c>
      <c r="N3681" s="4"/>
      <c r="O3681" s="1">
        <f t="shared" si="882"/>
        <v>173.1</v>
      </c>
      <c r="P3681" s="1">
        <f t="shared" si="883"/>
        <v>0</v>
      </c>
      <c r="Q3681" s="1" t="str">
        <f t="shared" si="880"/>
        <v/>
      </c>
      <c r="R3681" s="1" t="str">
        <f t="shared" si="884"/>
        <v/>
      </c>
      <c r="S3681" s="1">
        <f t="shared" si="885"/>
        <v>630.90240000000244</v>
      </c>
      <c r="T3681" s="1">
        <f t="shared" si="886"/>
        <v>0</v>
      </c>
      <c r="U3681" s="1">
        <f t="shared" si="887"/>
        <v>0</v>
      </c>
      <c r="V3681" s="1">
        <f t="shared" si="888"/>
        <v>0</v>
      </c>
    </row>
    <row r="3682" spans="5:22" x14ac:dyDescent="0.25">
      <c r="E3682" s="4"/>
      <c r="M3682" s="4">
        <f t="shared" si="881"/>
        <v>173.1</v>
      </c>
      <c r="N3682" s="4"/>
      <c r="O3682" s="1">
        <f t="shared" si="882"/>
        <v>173.1</v>
      </c>
      <c r="P3682" s="1">
        <f t="shared" si="883"/>
        <v>0</v>
      </c>
      <c r="Q3682" s="1" t="str">
        <f t="shared" si="880"/>
        <v/>
      </c>
      <c r="R3682" s="1" t="str">
        <f t="shared" si="884"/>
        <v/>
      </c>
      <c r="S3682" s="1">
        <f t="shared" si="885"/>
        <v>630.90240000000244</v>
      </c>
      <c r="T3682" s="1">
        <f t="shared" si="886"/>
        <v>0</v>
      </c>
      <c r="U3682" s="1">
        <f t="shared" si="887"/>
        <v>0</v>
      </c>
      <c r="V3682" s="1">
        <f t="shared" si="888"/>
        <v>0</v>
      </c>
    </row>
    <row r="3683" spans="5:22" x14ac:dyDescent="0.25">
      <c r="E3683" s="4"/>
      <c r="M3683" s="4">
        <f t="shared" si="881"/>
        <v>173.1</v>
      </c>
      <c r="N3683" s="4"/>
      <c r="O3683" s="1">
        <f t="shared" si="882"/>
        <v>173.1</v>
      </c>
      <c r="P3683" s="1">
        <f t="shared" si="883"/>
        <v>0</v>
      </c>
      <c r="Q3683" s="1" t="str">
        <f t="shared" si="880"/>
        <v/>
      </c>
      <c r="R3683" s="1" t="str">
        <f t="shared" si="884"/>
        <v/>
      </c>
      <c r="S3683" s="1">
        <f t="shared" si="885"/>
        <v>630.90240000000244</v>
      </c>
      <c r="T3683" s="1">
        <f t="shared" si="886"/>
        <v>0</v>
      </c>
      <c r="U3683" s="1">
        <f t="shared" si="887"/>
        <v>0</v>
      </c>
      <c r="V3683" s="1">
        <f t="shared" si="888"/>
        <v>0</v>
      </c>
    </row>
    <row r="3684" spans="5:22" x14ac:dyDescent="0.25">
      <c r="E3684" s="4"/>
      <c r="M3684" s="4">
        <f t="shared" si="881"/>
        <v>173.1</v>
      </c>
      <c r="N3684" s="4"/>
      <c r="O3684" s="1">
        <f t="shared" si="882"/>
        <v>173.1</v>
      </c>
      <c r="P3684" s="1">
        <f t="shared" si="883"/>
        <v>0</v>
      </c>
      <c r="Q3684" s="1" t="str">
        <f t="shared" si="880"/>
        <v/>
      </c>
      <c r="R3684" s="1" t="str">
        <f t="shared" si="884"/>
        <v/>
      </c>
      <c r="S3684" s="1">
        <f t="shared" si="885"/>
        <v>630.90240000000244</v>
      </c>
      <c r="T3684" s="1">
        <f t="shared" si="886"/>
        <v>0</v>
      </c>
      <c r="U3684" s="1">
        <f t="shared" si="887"/>
        <v>0</v>
      </c>
      <c r="V3684" s="1">
        <f t="shared" si="888"/>
        <v>0</v>
      </c>
    </row>
    <row r="3685" spans="5:22" x14ac:dyDescent="0.25">
      <c r="E3685" s="4"/>
      <c r="M3685" s="4">
        <f t="shared" si="881"/>
        <v>173.1</v>
      </c>
      <c r="N3685" s="4"/>
      <c r="O3685" s="1">
        <f t="shared" si="882"/>
        <v>173.1</v>
      </c>
      <c r="P3685" s="1">
        <f t="shared" si="883"/>
        <v>0</v>
      </c>
      <c r="Q3685" s="1" t="str">
        <f t="shared" si="880"/>
        <v/>
      </c>
      <c r="R3685" s="1" t="str">
        <f t="shared" si="884"/>
        <v/>
      </c>
      <c r="S3685" s="1">
        <f t="shared" si="885"/>
        <v>630.90240000000244</v>
      </c>
      <c r="T3685" s="1">
        <f t="shared" si="886"/>
        <v>0</v>
      </c>
      <c r="U3685" s="1">
        <f t="shared" si="887"/>
        <v>0</v>
      </c>
      <c r="V3685" s="1">
        <f t="shared" si="888"/>
        <v>0</v>
      </c>
    </row>
    <row r="3686" spans="5:22" x14ac:dyDescent="0.25">
      <c r="E3686" s="4"/>
      <c r="M3686" s="4">
        <f t="shared" si="881"/>
        <v>173.1</v>
      </c>
      <c r="N3686" s="4"/>
      <c r="O3686" s="1">
        <f t="shared" si="882"/>
        <v>173.1</v>
      </c>
      <c r="P3686" s="1">
        <f t="shared" si="883"/>
        <v>0</v>
      </c>
      <c r="Q3686" s="1" t="str">
        <f t="shared" si="880"/>
        <v/>
      </c>
      <c r="R3686" s="1" t="str">
        <f t="shared" si="884"/>
        <v/>
      </c>
      <c r="S3686" s="1">
        <f t="shared" si="885"/>
        <v>630.90240000000244</v>
      </c>
      <c r="T3686" s="1">
        <f t="shared" si="886"/>
        <v>0</v>
      </c>
      <c r="U3686" s="1">
        <f t="shared" si="887"/>
        <v>0</v>
      </c>
      <c r="V3686" s="1">
        <f t="shared" si="888"/>
        <v>0</v>
      </c>
    </row>
    <row r="3687" spans="5:22" x14ac:dyDescent="0.25">
      <c r="E3687" s="4"/>
      <c r="M3687" s="4">
        <f t="shared" si="881"/>
        <v>173.1</v>
      </c>
      <c r="N3687" s="4"/>
      <c r="O3687" s="1">
        <f t="shared" si="882"/>
        <v>173.1</v>
      </c>
      <c r="P3687" s="1">
        <f t="shared" si="883"/>
        <v>0</v>
      </c>
      <c r="Q3687" s="1" t="str">
        <f t="shared" si="880"/>
        <v/>
      </c>
      <c r="R3687" s="1" t="str">
        <f t="shared" si="884"/>
        <v/>
      </c>
      <c r="S3687" s="1">
        <f t="shared" si="885"/>
        <v>630.90240000000244</v>
      </c>
      <c r="T3687" s="1">
        <f t="shared" si="886"/>
        <v>0</v>
      </c>
      <c r="U3687" s="1">
        <f t="shared" si="887"/>
        <v>0</v>
      </c>
      <c r="V3687" s="1">
        <f t="shared" si="888"/>
        <v>0</v>
      </c>
    </row>
    <row r="3688" spans="5:22" x14ac:dyDescent="0.25">
      <c r="E3688" s="4"/>
      <c r="M3688" s="4">
        <f t="shared" si="881"/>
        <v>173.1</v>
      </c>
      <c r="N3688" s="4"/>
      <c r="O3688" s="1">
        <f t="shared" si="882"/>
        <v>173.1</v>
      </c>
      <c r="P3688" s="1">
        <f t="shared" si="883"/>
        <v>0</v>
      </c>
      <c r="Q3688" s="1" t="str">
        <f t="shared" si="880"/>
        <v/>
      </c>
      <c r="R3688" s="1" t="str">
        <f t="shared" si="884"/>
        <v/>
      </c>
      <c r="S3688" s="1">
        <f t="shared" si="885"/>
        <v>630.90240000000244</v>
      </c>
      <c r="T3688" s="1">
        <f t="shared" si="886"/>
        <v>0</v>
      </c>
      <c r="U3688" s="1">
        <f t="shared" si="887"/>
        <v>0</v>
      </c>
      <c r="V3688" s="1">
        <f t="shared" si="888"/>
        <v>0</v>
      </c>
    </row>
    <row r="3689" spans="5:22" x14ac:dyDescent="0.25">
      <c r="E3689" s="4"/>
      <c r="M3689" s="4">
        <f t="shared" si="881"/>
        <v>173.1</v>
      </c>
      <c r="N3689" s="4"/>
      <c r="O3689" s="1">
        <f t="shared" si="882"/>
        <v>173.1</v>
      </c>
      <c r="P3689" s="1">
        <f t="shared" si="883"/>
        <v>0</v>
      </c>
      <c r="Q3689" s="1" t="str">
        <f t="shared" si="880"/>
        <v/>
      </c>
      <c r="R3689" s="1" t="str">
        <f t="shared" si="884"/>
        <v/>
      </c>
      <c r="S3689" s="1">
        <f t="shared" si="885"/>
        <v>630.90240000000244</v>
      </c>
      <c r="T3689" s="1">
        <f t="shared" si="886"/>
        <v>0</v>
      </c>
      <c r="U3689" s="1">
        <f t="shared" si="887"/>
        <v>0</v>
      </c>
      <c r="V3689" s="1">
        <f t="shared" si="888"/>
        <v>0</v>
      </c>
    </row>
    <row r="3690" spans="5:22" x14ac:dyDescent="0.25">
      <c r="E3690" s="4"/>
      <c r="M3690" s="4">
        <f t="shared" si="881"/>
        <v>173.1</v>
      </c>
      <c r="N3690" s="4"/>
      <c r="O3690" s="1">
        <f t="shared" si="882"/>
        <v>173.1</v>
      </c>
      <c r="P3690" s="1">
        <f t="shared" si="883"/>
        <v>0</v>
      </c>
      <c r="Q3690" s="1" t="str">
        <f t="shared" si="880"/>
        <v/>
      </c>
      <c r="R3690" s="1" t="str">
        <f t="shared" si="884"/>
        <v/>
      </c>
      <c r="S3690" s="1">
        <f t="shared" si="885"/>
        <v>630.90240000000244</v>
      </c>
      <c r="T3690" s="1">
        <f t="shared" si="886"/>
        <v>0</v>
      </c>
      <c r="U3690" s="1">
        <f t="shared" si="887"/>
        <v>0</v>
      </c>
      <c r="V3690" s="1">
        <f t="shared" si="888"/>
        <v>0</v>
      </c>
    </row>
    <row r="3691" spans="5:22" x14ac:dyDescent="0.25">
      <c r="E3691" s="4"/>
      <c r="M3691" s="4">
        <f t="shared" si="881"/>
        <v>173.1</v>
      </c>
      <c r="N3691" s="4"/>
      <c r="O3691" s="1">
        <f t="shared" si="882"/>
        <v>173.1</v>
      </c>
      <c r="P3691" s="1">
        <f t="shared" si="883"/>
        <v>0</v>
      </c>
      <c r="Q3691" s="1" t="str">
        <f t="shared" si="880"/>
        <v/>
      </c>
      <c r="R3691" s="1" t="str">
        <f t="shared" si="884"/>
        <v/>
      </c>
      <c r="S3691" s="1">
        <f t="shared" si="885"/>
        <v>630.90240000000244</v>
      </c>
      <c r="T3691" s="1">
        <f t="shared" si="886"/>
        <v>0</v>
      </c>
      <c r="U3691" s="1">
        <f t="shared" si="887"/>
        <v>0</v>
      </c>
      <c r="V3691" s="1">
        <f t="shared" si="888"/>
        <v>0</v>
      </c>
    </row>
    <row r="3692" spans="5:22" x14ac:dyDescent="0.25">
      <c r="E3692" s="4"/>
      <c r="M3692" s="4">
        <f t="shared" si="881"/>
        <v>173.1</v>
      </c>
      <c r="N3692" s="4"/>
      <c r="O3692" s="1">
        <f t="shared" si="882"/>
        <v>173.1</v>
      </c>
      <c r="P3692" s="1">
        <f t="shared" si="883"/>
        <v>0</v>
      </c>
      <c r="Q3692" s="1" t="str">
        <f t="shared" si="880"/>
        <v/>
      </c>
      <c r="R3692" s="1" t="str">
        <f t="shared" si="884"/>
        <v/>
      </c>
      <c r="S3692" s="1">
        <f t="shared" si="885"/>
        <v>630.90240000000244</v>
      </c>
      <c r="T3692" s="1">
        <f t="shared" si="886"/>
        <v>0</v>
      </c>
      <c r="U3692" s="1">
        <f t="shared" si="887"/>
        <v>0</v>
      </c>
      <c r="V3692" s="1">
        <f t="shared" si="888"/>
        <v>0</v>
      </c>
    </row>
    <row r="3693" spans="5:22" x14ac:dyDescent="0.25">
      <c r="E3693" s="4"/>
      <c r="M3693" s="4">
        <f t="shared" si="881"/>
        <v>173.1</v>
      </c>
      <c r="N3693" s="4"/>
      <c r="O3693" s="1">
        <f t="shared" si="882"/>
        <v>173.1</v>
      </c>
      <c r="P3693" s="1">
        <f t="shared" si="883"/>
        <v>0</v>
      </c>
      <c r="Q3693" s="1" t="str">
        <f t="shared" si="880"/>
        <v/>
      </c>
      <c r="R3693" s="1" t="str">
        <f t="shared" si="884"/>
        <v/>
      </c>
      <c r="S3693" s="1">
        <f t="shared" si="885"/>
        <v>630.90240000000244</v>
      </c>
      <c r="T3693" s="1">
        <f t="shared" si="886"/>
        <v>0</v>
      </c>
      <c r="U3693" s="1">
        <f t="shared" si="887"/>
        <v>0</v>
      </c>
      <c r="V3693" s="1">
        <f t="shared" si="888"/>
        <v>0</v>
      </c>
    </row>
    <row r="3694" spans="5:22" x14ac:dyDescent="0.25">
      <c r="E3694" s="4"/>
      <c r="M3694" s="4">
        <f t="shared" si="881"/>
        <v>173.1</v>
      </c>
      <c r="N3694" s="4"/>
      <c r="O3694" s="1">
        <f t="shared" si="882"/>
        <v>173.1</v>
      </c>
      <c r="P3694" s="1">
        <f t="shared" si="883"/>
        <v>0</v>
      </c>
      <c r="Q3694" s="1" t="str">
        <f t="shared" si="880"/>
        <v/>
      </c>
      <c r="R3694" s="1" t="str">
        <f t="shared" si="884"/>
        <v/>
      </c>
      <c r="S3694" s="1">
        <f t="shared" si="885"/>
        <v>630.90240000000244</v>
      </c>
      <c r="T3694" s="1">
        <f t="shared" si="886"/>
        <v>0</v>
      </c>
      <c r="U3694" s="1">
        <f t="shared" si="887"/>
        <v>0</v>
      </c>
      <c r="V3694" s="1">
        <f t="shared" si="888"/>
        <v>0</v>
      </c>
    </row>
    <row r="3695" spans="5:22" x14ac:dyDescent="0.25">
      <c r="E3695" s="4"/>
      <c r="M3695" s="4">
        <f t="shared" si="881"/>
        <v>173.1</v>
      </c>
      <c r="N3695" s="4"/>
      <c r="O3695" s="1">
        <f t="shared" si="882"/>
        <v>173.1</v>
      </c>
      <c r="P3695" s="1">
        <f t="shared" si="883"/>
        <v>0</v>
      </c>
      <c r="Q3695" s="1" t="str">
        <f t="shared" si="880"/>
        <v/>
      </c>
      <c r="R3695" s="1" t="str">
        <f t="shared" si="884"/>
        <v/>
      </c>
      <c r="S3695" s="1">
        <f t="shared" si="885"/>
        <v>630.90240000000244</v>
      </c>
      <c r="T3695" s="1">
        <f t="shared" si="886"/>
        <v>0</v>
      </c>
      <c r="U3695" s="1">
        <f t="shared" si="887"/>
        <v>0</v>
      </c>
      <c r="V3695" s="1">
        <f t="shared" si="888"/>
        <v>0</v>
      </c>
    </row>
    <row r="3696" spans="5:22" x14ac:dyDescent="0.25">
      <c r="E3696" s="4"/>
      <c r="M3696" s="4">
        <f t="shared" si="881"/>
        <v>173.1</v>
      </c>
      <c r="N3696" s="4"/>
      <c r="O3696" s="1">
        <f t="shared" si="882"/>
        <v>173.1</v>
      </c>
      <c r="P3696" s="1">
        <f t="shared" si="883"/>
        <v>0</v>
      </c>
      <c r="Q3696" s="1" t="str">
        <f t="shared" si="880"/>
        <v/>
      </c>
      <c r="R3696" s="1" t="str">
        <f t="shared" si="884"/>
        <v/>
      </c>
      <c r="S3696" s="1">
        <f t="shared" si="885"/>
        <v>630.90240000000244</v>
      </c>
      <c r="T3696" s="1">
        <f t="shared" si="886"/>
        <v>0</v>
      </c>
      <c r="U3696" s="1">
        <f t="shared" si="887"/>
        <v>0</v>
      </c>
      <c r="V3696" s="1">
        <f t="shared" si="888"/>
        <v>0</v>
      </c>
    </row>
    <row r="3697" spans="5:22" x14ac:dyDescent="0.25">
      <c r="E3697" s="4"/>
      <c r="M3697" s="4">
        <f t="shared" si="881"/>
        <v>173.1</v>
      </c>
      <c r="N3697" s="4"/>
      <c r="O3697" s="1">
        <f t="shared" si="882"/>
        <v>173.1</v>
      </c>
      <c r="P3697" s="1">
        <f t="shared" si="883"/>
        <v>0</v>
      </c>
      <c r="Q3697" s="1" t="str">
        <f t="shared" si="880"/>
        <v/>
      </c>
      <c r="R3697" s="1" t="str">
        <f t="shared" si="884"/>
        <v/>
      </c>
      <c r="S3697" s="1">
        <f t="shared" si="885"/>
        <v>630.90240000000244</v>
      </c>
      <c r="T3697" s="1">
        <f t="shared" si="886"/>
        <v>0</v>
      </c>
      <c r="U3697" s="1">
        <f t="shared" si="887"/>
        <v>0</v>
      </c>
      <c r="V3697" s="1">
        <f t="shared" si="888"/>
        <v>0</v>
      </c>
    </row>
    <row r="3698" spans="5:22" x14ac:dyDescent="0.25">
      <c r="E3698" s="4"/>
      <c r="M3698" s="4">
        <f t="shared" si="881"/>
        <v>173.1</v>
      </c>
      <c r="N3698" s="4"/>
      <c r="O3698" s="1">
        <f t="shared" si="882"/>
        <v>173.1</v>
      </c>
      <c r="P3698" s="1">
        <f t="shared" si="883"/>
        <v>0</v>
      </c>
      <c r="Q3698" s="1" t="str">
        <f t="shared" ref="Q3698:Q3761" si="889">IF(H3698&lt;&gt;"",IF(H3698=H3697,"",H3698),IF(H3696="","",MAX(H3697,Q3697)))</f>
        <v/>
      </c>
      <c r="R3698" s="1" t="str">
        <f t="shared" si="884"/>
        <v/>
      </c>
      <c r="S3698" s="1">
        <f t="shared" si="885"/>
        <v>630.90240000000244</v>
      </c>
      <c r="T3698" s="1">
        <f t="shared" si="886"/>
        <v>0</v>
      </c>
      <c r="U3698" s="1">
        <f t="shared" si="887"/>
        <v>0</v>
      </c>
      <c r="V3698" s="1">
        <f t="shared" si="888"/>
        <v>0</v>
      </c>
    </row>
    <row r="3699" spans="5:22" x14ac:dyDescent="0.25">
      <c r="E3699" s="4"/>
      <c r="M3699" s="4">
        <f t="shared" si="881"/>
        <v>173.1</v>
      </c>
      <c r="N3699" s="4"/>
      <c r="O3699" s="1">
        <f t="shared" si="882"/>
        <v>173.1</v>
      </c>
      <c r="P3699" s="1">
        <f t="shared" si="883"/>
        <v>0</v>
      </c>
      <c r="Q3699" s="1" t="str">
        <f t="shared" si="889"/>
        <v/>
      </c>
      <c r="R3699" s="1" t="str">
        <f t="shared" si="884"/>
        <v/>
      </c>
      <c r="S3699" s="1">
        <f t="shared" si="885"/>
        <v>630.90240000000244</v>
      </c>
      <c r="T3699" s="1">
        <f t="shared" si="886"/>
        <v>0</v>
      </c>
      <c r="U3699" s="1">
        <f t="shared" si="887"/>
        <v>0</v>
      </c>
      <c r="V3699" s="1">
        <f t="shared" si="888"/>
        <v>0</v>
      </c>
    </row>
    <row r="3700" spans="5:22" x14ac:dyDescent="0.25">
      <c r="E3700" s="4"/>
      <c r="M3700" s="4">
        <f t="shared" si="881"/>
        <v>173.1</v>
      </c>
      <c r="N3700" s="4"/>
      <c r="O3700" s="1">
        <f t="shared" si="882"/>
        <v>173.1</v>
      </c>
      <c r="P3700" s="1">
        <f t="shared" si="883"/>
        <v>0</v>
      </c>
      <c r="Q3700" s="1" t="str">
        <f t="shared" si="889"/>
        <v/>
      </c>
      <c r="R3700" s="1" t="str">
        <f t="shared" si="884"/>
        <v/>
      </c>
      <c r="S3700" s="1">
        <f t="shared" si="885"/>
        <v>630.90240000000244</v>
      </c>
      <c r="T3700" s="1">
        <f t="shared" si="886"/>
        <v>0</v>
      </c>
      <c r="U3700" s="1">
        <f t="shared" si="887"/>
        <v>0</v>
      </c>
      <c r="V3700" s="1">
        <f t="shared" si="888"/>
        <v>0</v>
      </c>
    </row>
    <row r="3701" spans="5:22" x14ac:dyDescent="0.25">
      <c r="E3701" s="4"/>
      <c r="M3701" s="4">
        <f t="shared" si="881"/>
        <v>173.1</v>
      </c>
      <c r="N3701" s="4"/>
      <c r="O3701" s="1">
        <f t="shared" si="882"/>
        <v>173.1</v>
      </c>
      <c r="P3701" s="1">
        <f t="shared" si="883"/>
        <v>0</v>
      </c>
      <c r="Q3701" s="1" t="str">
        <f t="shared" si="889"/>
        <v/>
      </c>
      <c r="R3701" s="1" t="str">
        <f t="shared" si="884"/>
        <v/>
      </c>
      <c r="S3701" s="1">
        <f t="shared" si="885"/>
        <v>630.90240000000244</v>
      </c>
      <c r="T3701" s="1">
        <f t="shared" si="886"/>
        <v>0</v>
      </c>
      <c r="U3701" s="1">
        <f t="shared" si="887"/>
        <v>0</v>
      </c>
      <c r="V3701" s="1">
        <f t="shared" si="888"/>
        <v>0</v>
      </c>
    </row>
    <row r="3702" spans="5:22" x14ac:dyDescent="0.25">
      <c r="E3702" s="4"/>
      <c r="M3702" s="4">
        <f t="shared" si="881"/>
        <v>173.1</v>
      </c>
      <c r="N3702" s="4"/>
      <c r="O3702" s="1">
        <f t="shared" si="882"/>
        <v>173.1</v>
      </c>
      <c r="P3702" s="1">
        <f t="shared" si="883"/>
        <v>0</v>
      </c>
      <c r="Q3702" s="1" t="str">
        <f t="shared" si="889"/>
        <v/>
      </c>
      <c r="R3702" s="1" t="str">
        <f t="shared" si="884"/>
        <v/>
      </c>
      <c r="S3702" s="1">
        <f t="shared" si="885"/>
        <v>630.90240000000244</v>
      </c>
      <c r="T3702" s="1">
        <f t="shared" si="886"/>
        <v>0</v>
      </c>
      <c r="U3702" s="1">
        <f t="shared" si="887"/>
        <v>0</v>
      </c>
      <c r="V3702" s="1">
        <f t="shared" si="888"/>
        <v>0</v>
      </c>
    </row>
    <row r="3703" spans="5:22" x14ac:dyDescent="0.25">
      <c r="E3703" s="4"/>
      <c r="M3703" s="4">
        <f t="shared" si="881"/>
        <v>173.1</v>
      </c>
      <c r="N3703" s="4"/>
      <c r="O3703" s="1">
        <f t="shared" si="882"/>
        <v>173.1</v>
      </c>
      <c r="P3703" s="1">
        <f t="shared" si="883"/>
        <v>0</v>
      </c>
      <c r="Q3703" s="1" t="str">
        <f t="shared" si="889"/>
        <v/>
      </c>
      <c r="R3703" s="1" t="str">
        <f t="shared" si="884"/>
        <v/>
      </c>
      <c r="S3703" s="1">
        <f t="shared" si="885"/>
        <v>630.90240000000244</v>
      </c>
      <c r="T3703" s="1">
        <f t="shared" si="886"/>
        <v>0</v>
      </c>
      <c r="U3703" s="1">
        <f t="shared" si="887"/>
        <v>0</v>
      </c>
      <c r="V3703" s="1">
        <f t="shared" si="888"/>
        <v>0</v>
      </c>
    </row>
    <row r="3704" spans="5:22" x14ac:dyDescent="0.25">
      <c r="E3704" s="4"/>
      <c r="M3704" s="4">
        <f t="shared" si="881"/>
        <v>173.1</v>
      </c>
      <c r="N3704" s="4"/>
      <c r="O3704" s="1">
        <f t="shared" si="882"/>
        <v>173.1</v>
      </c>
      <c r="P3704" s="1">
        <f t="shared" si="883"/>
        <v>0</v>
      </c>
      <c r="Q3704" s="1" t="str">
        <f t="shared" si="889"/>
        <v/>
      </c>
      <c r="R3704" s="1" t="str">
        <f t="shared" si="884"/>
        <v/>
      </c>
      <c r="S3704" s="1">
        <f t="shared" si="885"/>
        <v>630.90240000000244</v>
      </c>
      <c r="T3704" s="1">
        <f t="shared" si="886"/>
        <v>0</v>
      </c>
      <c r="U3704" s="1">
        <f t="shared" si="887"/>
        <v>0</v>
      </c>
      <c r="V3704" s="1">
        <f t="shared" si="888"/>
        <v>0</v>
      </c>
    </row>
    <row r="3705" spans="5:22" x14ac:dyDescent="0.25">
      <c r="E3705" s="4"/>
      <c r="M3705" s="4">
        <f t="shared" si="881"/>
        <v>173.1</v>
      </c>
      <c r="N3705" s="4"/>
      <c r="O3705" s="1">
        <f t="shared" si="882"/>
        <v>173.1</v>
      </c>
      <c r="P3705" s="1">
        <f t="shared" si="883"/>
        <v>0</v>
      </c>
      <c r="Q3705" s="1" t="str">
        <f t="shared" si="889"/>
        <v/>
      </c>
      <c r="R3705" s="1" t="str">
        <f t="shared" si="884"/>
        <v/>
      </c>
      <c r="S3705" s="1">
        <f t="shared" si="885"/>
        <v>630.90240000000244</v>
      </c>
      <c r="T3705" s="1">
        <f t="shared" si="886"/>
        <v>0</v>
      </c>
      <c r="U3705" s="1">
        <f t="shared" si="887"/>
        <v>0</v>
      </c>
      <c r="V3705" s="1">
        <f t="shared" si="888"/>
        <v>0</v>
      </c>
    </row>
    <row r="3706" spans="5:22" x14ac:dyDescent="0.25">
      <c r="E3706" s="4"/>
      <c r="M3706" s="4">
        <f t="shared" si="881"/>
        <v>173.1</v>
      </c>
      <c r="N3706" s="4"/>
      <c r="O3706" s="1">
        <f t="shared" si="882"/>
        <v>173.1</v>
      </c>
      <c r="P3706" s="1">
        <f t="shared" si="883"/>
        <v>0</v>
      </c>
      <c r="Q3706" s="1" t="str">
        <f t="shared" si="889"/>
        <v/>
      </c>
      <c r="R3706" s="1" t="str">
        <f t="shared" si="884"/>
        <v/>
      </c>
      <c r="S3706" s="1">
        <f t="shared" si="885"/>
        <v>630.90240000000244</v>
      </c>
      <c r="T3706" s="1">
        <f t="shared" si="886"/>
        <v>0</v>
      </c>
      <c r="U3706" s="1">
        <f t="shared" si="887"/>
        <v>0</v>
      </c>
      <c r="V3706" s="1">
        <f t="shared" si="888"/>
        <v>0</v>
      </c>
    </row>
    <row r="3707" spans="5:22" x14ac:dyDescent="0.25">
      <c r="E3707" s="4"/>
      <c r="M3707" s="4">
        <f t="shared" si="881"/>
        <v>173.1</v>
      </c>
      <c r="N3707" s="4"/>
      <c r="O3707" s="1">
        <f t="shared" si="882"/>
        <v>173.1</v>
      </c>
      <c r="P3707" s="1">
        <f t="shared" si="883"/>
        <v>0</v>
      </c>
      <c r="Q3707" s="1" t="str">
        <f t="shared" si="889"/>
        <v/>
      </c>
      <c r="R3707" s="1" t="str">
        <f t="shared" si="884"/>
        <v/>
      </c>
      <c r="S3707" s="1">
        <f t="shared" si="885"/>
        <v>630.90240000000244</v>
      </c>
      <c r="T3707" s="1">
        <f t="shared" si="886"/>
        <v>0</v>
      </c>
      <c r="U3707" s="1">
        <f t="shared" si="887"/>
        <v>0</v>
      </c>
      <c r="V3707" s="1">
        <f t="shared" si="888"/>
        <v>0</v>
      </c>
    </row>
    <row r="3708" spans="5:22" x14ac:dyDescent="0.25">
      <c r="E3708" s="4"/>
      <c r="M3708" s="4">
        <f t="shared" si="881"/>
        <v>173.1</v>
      </c>
      <c r="N3708" s="4"/>
      <c r="O3708" s="1">
        <f t="shared" si="882"/>
        <v>173.1</v>
      </c>
      <c r="P3708" s="1">
        <f t="shared" si="883"/>
        <v>0</v>
      </c>
      <c r="Q3708" s="1" t="str">
        <f t="shared" si="889"/>
        <v/>
      </c>
      <c r="R3708" s="1" t="str">
        <f t="shared" si="884"/>
        <v/>
      </c>
      <c r="S3708" s="1">
        <f t="shared" si="885"/>
        <v>630.90240000000244</v>
      </c>
      <c r="T3708" s="1">
        <f t="shared" si="886"/>
        <v>0</v>
      </c>
      <c r="U3708" s="1">
        <f t="shared" si="887"/>
        <v>0</v>
      </c>
      <c r="V3708" s="1">
        <f t="shared" si="888"/>
        <v>0</v>
      </c>
    </row>
    <row r="3709" spans="5:22" x14ac:dyDescent="0.25">
      <c r="E3709" s="4"/>
      <c r="M3709" s="4">
        <f t="shared" si="881"/>
        <v>173.1</v>
      </c>
      <c r="N3709" s="4"/>
      <c r="O3709" s="1">
        <f t="shared" si="882"/>
        <v>173.1</v>
      </c>
      <c r="P3709" s="1">
        <f t="shared" si="883"/>
        <v>0</v>
      </c>
      <c r="Q3709" s="1" t="str">
        <f t="shared" si="889"/>
        <v/>
      </c>
      <c r="R3709" s="1" t="str">
        <f t="shared" si="884"/>
        <v/>
      </c>
      <c r="S3709" s="1">
        <f t="shared" si="885"/>
        <v>630.90240000000244</v>
      </c>
      <c r="T3709" s="1">
        <f t="shared" si="886"/>
        <v>0</v>
      </c>
      <c r="U3709" s="1">
        <f t="shared" si="887"/>
        <v>0</v>
      </c>
      <c r="V3709" s="1">
        <f t="shared" si="888"/>
        <v>0</v>
      </c>
    </row>
    <row r="3710" spans="5:22" x14ac:dyDescent="0.25">
      <c r="E3710" s="4"/>
      <c r="M3710" s="4">
        <f t="shared" si="881"/>
        <v>173.1</v>
      </c>
      <c r="N3710" s="4"/>
      <c r="O3710" s="1">
        <f t="shared" si="882"/>
        <v>173.1</v>
      </c>
      <c r="P3710" s="1">
        <f t="shared" si="883"/>
        <v>0</v>
      </c>
      <c r="Q3710" s="1" t="str">
        <f t="shared" si="889"/>
        <v/>
      </c>
      <c r="R3710" s="1" t="str">
        <f t="shared" si="884"/>
        <v/>
      </c>
      <c r="S3710" s="1">
        <f t="shared" si="885"/>
        <v>630.90240000000244</v>
      </c>
      <c r="T3710" s="1">
        <f t="shared" si="886"/>
        <v>0</v>
      </c>
      <c r="U3710" s="1">
        <f t="shared" si="887"/>
        <v>0</v>
      </c>
      <c r="V3710" s="1">
        <f t="shared" si="888"/>
        <v>0</v>
      </c>
    </row>
    <row r="3711" spans="5:22" x14ac:dyDescent="0.25">
      <c r="E3711" s="4"/>
      <c r="M3711" s="4">
        <f t="shared" si="881"/>
        <v>173.1</v>
      </c>
      <c r="N3711" s="4"/>
      <c r="O3711" s="1">
        <f t="shared" si="882"/>
        <v>173.1</v>
      </c>
      <c r="P3711" s="1">
        <f t="shared" si="883"/>
        <v>0</v>
      </c>
      <c r="Q3711" s="1" t="str">
        <f t="shared" si="889"/>
        <v/>
      </c>
      <c r="R3711" s="1" t="str">
        <f t="shared" si="884"/>
        <v/>
      </c>
      <c r="S3711" s="1">
        <f t="shared" si="885"/>
        <v>630.90240000000244</v>
      </c>
      <c r="T3711" s="1">
        <f t="shared" si="886"/>
        <v>0</v>
      </c>
      <c r="U3711" s="1">
        <f t="shared" si="887"/>
        <v>0</v>
      </c>
      <c r="V3711" s="1">
        <f t="shared" si="888"/>
        <v>0</v>
      </c>
    </row>
    <row r="3712" spans="5:22" x14ac:dyDescent="0.25">
      <c r="E3712" s="4"/>
      <c r="M3712" s="4">
        <f t="shared" si="881"/>
        <v>173.1</v>
      </c>
      <c r="N3712" s="4"/>
      <c r="O3712" s="1">
        <f t="shared" si="882"/>
        <v>173.1</v>
      </c>
      <c r="P3712" s="1">
        <f t="shared" si="883"/>
        <v>0</v>
      </c>
      <c r="Q3712" s="1" t="str">
        <f t="shared" si="889"/>
        <v/>
      </c>
      <c r="R3712" s="1" t="str">
        <f t="shared" si="884"/>
        <v/>
      </c>
      <c r="S3712" s="1">
        <f t="shared" si="885"/>
        <v>630.90240000000244</v>
      </c>
      <c r="T3712" s="1">
        <f t="shared" si="886"/>
        <v>0</v>
      </c>
      <c r="U3712" s="1">
        <f t="shared" si="887"/>
        <v>0</v>
      </c>
      <c r="V3712" s="1">
        <f t="shared" si="888"/>
        <v>0</v>
      </c>
    </row>
    <row r="3713" spans="5:22" x14ac:dyDescent="0.25">
      <c r="E3713" s="4"/>
      <c r="M3713" s="4">
        <f t="shared" si="881"/>
        <v>173.1</v>
      </c>
      <c r="N3713" s="4"/>
      <c r="O3713" s="1">
        <f t="shared" si="882"/>
        <v>173.1</v>
      </c>
      <c r="P3713" s="1">
        <f t="shared" si="883"/>
        <v>0</v>
      </c>
      <c r="Q3713" s="1" t="str">
        <f t="shared" si="889"/>
        <v/>
      </c>
      <c r="R3713" s="1" t="str">
        <f t="shared" si="884"/>
        <v/>
      </c>
      <c r="S3713" s="1">
        <f t="shared" si="885"/>
        <v>630.90240000000244</v>
      </c>
      <c r="T3713" s="1">
        <f t="shared" si="886"/>
        <v>0</v>
      </c>
      <c r="U3713" s="1">
        <f t="shared" si="887"/>
        <v>0</v>
      </c>
      <c r="V3713" s="1">
        <f t="shared" si="888"/>
        <v>0</v>
      </c>
    </row>
    <row r="3714" spans="5:22" x14ac:dyDescent="0.25">
      <c r="E3714" s="4"/>
      <c r="M3714" s="4">
        <f t="shared" si="881"/>
        <v>173.1</v>
      </c>
      <c r="N3714" s="4"/>
      <c r="O3714" s="1">
        <f t="shared" si="882"/>
        <v>173.1</v>
      </c>
      <c r="P3714" s="1">
        <f t="shared" si="883"/>
        <v>0</v>
      </c>
      <c r="Q3714" s="1" t="str">
        <f t="shared" si="889"/>
        <v/>
      </c>
      <c r="R3714" s="1" t="str">
        <f t="shared" si="884"/>
        <v/>
      </c>
      <c r="S3714" s="1">
        <f t="shared" si="885"/>
        <v>630.90240000000244</v>
      </c>
      <c r="T3714" s="1">
        <f t="shared" si="886"/>
        <v>0</v>
      </c>
      <c r="U3714" s="1">
        <f t="shared" si="887"/>
        <v>0</v>
      </c>
      <c r="V3714" s="1">
        <f t="shared" si="888"/>
        <v>0</v>
      </c>
    </row>
    <row r="3715" spans="5:22" x14ac:dyDescent="0.25">
      <c r="E3715" s="4"/>
      <c r="M3715" s="4">
        <f t="shared" si="881"/>
        <v>173.1</v>
      </c>
      <c r="N3715" s="4"/>
      <c r="O3715" s="1">
        <f t="shared" si="882"/>
        <v>173.1</v>
      </c>
      <c r="P3715" s="1">
        <f t="shared" si="883"/>
        <v>0</v>
      </c>
      <c r="Q3715" s="1" t="str">
        <f t="shared" si="889"/>
        <v/>
      </c>
      <c r="R3715" s="1" t="str">
        <f t="shared" si="884"/>
        <v/>
      </c>
      <c r="S3715" s="1">
        <f t="shared" si="885"/>
        <v>630.90240000000244</v>
      </c>
      <c r="T3715" s="1">
        <f t="shared" si="886"/>
        <v>0</v>
      </c>
      <c r="U3715" s="1">
        <f t="shared" si="887"/>
        <v>0</v>
      </c>
      <c r="V3715" s="1">
        <f t="shared" si="888"/>
        <v>0</v>
      </c>
    </row>
    <row r="3716" spans="5:22" x14ac:dyDescent="0.25">
      <c r="E3716" s="4"/>
      <c r="M3716" s="4">
        <f t="shared" si="881"/>
        <v>173.1</v>
      </c>
      <c r="N3716" s="4"/>
      <c r="O3716" s="1">
        <f t="shared" si="882"/>
        <v>173.1</v>
      </c>
      <c r="P3716" s="1">
        <f t="shared" si="883"/>
        <v>0</v>
      </c>
      <c r="Q3716" s="1" t="str">
        <f t="shared" si="889"/>
        <v/>
      </c>
      <c r="R3716" s="1" t="str">
        <f t="shared" si="884"/>
        <v/>
      </c>
      <c r="S3716" s="1">
        <f t="shared" si="885"/>
        <v>630.90240000000244</v>
      </c>
      <c r="T3716" s="1">
        <f t="shared" si="886"/>
        <v>0</v>
      </c>
      <c r="U3716" s="1">
        <f t="shared" si="887"/>
        <v>0</v>
      </c>
      <c r="V3716" s="1">
        <f t="shared" si="888"/>
        <v>0</v>
      </c>
    </row>
    <row r="3717" spans="5:22" x14ac:dyDescent="0.25">
      <c r="E3717" s="4"/>
      <c r="M3717" s="4">
        <f t="shared" si="881"/>
        <v>173.1</v>
      </c>
      <c r="N3717" s="4"/>
      <c r="O3717" s="1">
        <f t="shared" si="882"/>
        <v>173.1</v>
      </c>
      <c r="P3717" s="1">
        <f t="shared" si="883"/>
        <v>0</v>
      </c>
      <c r="Q3717" s="1" t="str">
        <f t="shared" si="889"/>
        <v/>
      </c>
      <c r="R3717" s="1" t="str">
        <f t="shared" si="884"/>
        <v/>
      </c>
      <c r="S3717" s="1">
        <f t="shared" si="885"/>
        <v>630.90240000000244</v>
      </c>
      <c r="T3717" s="1">
        <f t="shared" si="886"/>
        <v>0</v>
      </c>
      <c r="U3717" s="1">
        <f t="shared" si="887"/>
        <v>0</v>
      </c>
      <c r="V3717" s="1">
        <f t="shared" si="888"/>
        <v>0</v>
      </c>
    </row>
    <row r="3718" spans="5:22" x14ac:dyDescent="0.25">
      <c r="E3718" s="4"/>
      <c r="M3718" s="4">
        <f t="shared" si="881"/>
        <v>173.1</v>
      </c>
      <c r="N3718" s="4"/>
      <c r="O3718" s="1">
        <f t="shared" si="882"/>
        <v>173.1</v>
      </c>
      <c r="P3718" s="1">
        <f t="shared" si="883"/>
        <v>0</v>
      </c>
      <c r="Q3718" s="1" t="str">
        <f t="shared" si="889"/>
        <v/>
      </c>
      <c r="R3718" s="1" t="str">
        <f t="shared" si="884"/>
        <v/>
      </c>
      <c r="S3718" s="1">
        <f t="shared" si="885"/>
        <v>630.90240000000244</v>
      </c>
      <c r="T3718" s="1">
        <f t="shared" si="886"/>
        <v>0</v>
      </c>
      <c r="U3718" s="1">
        <f t="shared" si="887"/>
        <v>0</v>
      </c>
      <c r="V3718" s="1">
        <f t="shared" si="888"/>
        <v>0</v>
      </c>
    </row>
    <row r="3719" spans="5:22" x14ac:dyDescent="0.25">
      <c r="E3719" s="4"/>
      <c r="M3719" s="4">
        <f t="shared" si="881"/>
        <v>173.1</v>
      </c>
      <c r="N3719" s="4"/>
      <c r="O3719" s="1">
        <f t="shared" si="882"/>
        <v>173.1</v>
      </c>
      <c r="P3719" s="1">
        <f t="shared" si="883"/>
        <v>0</v>
      </c>
      <c r="Q3719" s="1" t="str">
        <f t="shared" si="889"/>
        <v/>
      </c>
      <c r="R3719" s="1" t="str">
        <f t="shared" si="884"/>
        <v/>
      </c>
      <c r="S3719" s="1">
        <f t="shared" si="885"/>
        <v>630.90240000000244</v>
      </c>
      <c r="T3719" s="1">
        <f t="shared" si="886"/>
        <v>0</v>
      </c>
      <c r="U3719" s="1">
        <f t="shared" si="887"/>
        <v>0</v>
      </c>
      <c r="V3719" s="1">
        <f t="shared" si="888"/>
        <v>0</v>
      </c>
    </row>
    <row r="3720" spans="5:22" x14ac:dyDescent="0.25">
      <c r="E3720" s="4"/>
      <c r="M3720" s="4">
        <f t="shared" ref="M3720:M3783" si="890">E3720+M3719</f>
        <v>173.1</v>
      </c>
      <c r="N3720" s="4"/>
      <c r="O3720" s="1">
        <f t="shared" ref="O3720:O3783" si="891">E3719+O3719</f>
        <v>173.1</v>
      </c>
      <c r="P3720" s="1">
        <f t="shared" ref="P3720:P3783" si="892">F3720*52.8*E3720</f>
        <v>0</v>
      </c>
      <c r="Q3720" s="1" t="str">
        <f t="shared" si="889"/>
        <v/>
      </c>
      <c r="R3720" s="1" t="str">
        <f t="shared" ref="R3720:R3783" si="893">IF(I3720="",Q3720,IF(AND(H3720=H3719,I3720=I3719),"",I3720))</f>
        <v/>
      </c>
      <c r="S3720" s="1">
        <f t="shared" ref="S3720:S3783" si="894">S3719+U3719*T3719/100</f>
        <v>630.90240000000244</v>
      </c>
      <c r="T3720" s="1">
        <f t="shared" ref="T3720:T3783" si="895">IF(G3720="UNK",0,G3720)</f>
        <v>0</v>
      </c>
      <c r="U3720" s="1">
        <f t="shared" ref="U3720:U3783" si="896">E3720*5280</f>
        <v>0</v>
      </c>
      <c r="V3720" s="1">
        <f t="shared" ref="V3720:V3783" si="897">ABS(T3720*U3720)</f>
        <v>0</v>
      </c>
    </row>
    <row r="3721" spans="5:22" x14ac:dyDescent="0.25">
      <c r="E3721" s="4"/>
      <c r="M3721" s="4">
        <f t="shared" si="890"/>
        <v>173.1</v>
      </c>
      <c r="N3721" s="4"/>
      <c r="O3721" s="1">
        <f t="shared" si="891"/>
        <v>173.1</v>
      </c>
      <c r="P3721" s="1">
        <f t="shared" si="892"/>
        <v>0</v>
      </c>
      <c r="Q3721" s="1" t="str">
        <f t="shared" si="889"/>
        <v/>
      </c>
      <c r="R3721" s="1" t="str">
        <f t="shared" si="893"/>
        <v/>
      </c>
      <c r="S3721" s="1">
        <f t="shared" si="894"/>
        <v>630.90240000000244</v>
      </c>
      <c r="T3721" s="1">
        <f t="shared" si="895"/>
        <v>0</v>
      </c>
      <c r="U3721" s="1">
        <f t="shared" si="896"/>
        <v>0</v>
      </c>
      <c r="V3721" s="1">
        <f t="shared" si="897"/>
        <v>0</v>
      </c>
    </row>
    <row r="3722" spans="5:22" x14ac:dyDescent="0.25">
      <c r="E3722" s="4"/>
      <c r="M3722" s="4">
        <f t="shared" si="890"/>
        <v>173.1</v>
      </c>
      <c r="N3722" s="4"/>
      <c r="O3722" s="1">
        <f t="shared" si="891"/>
        <v>173.1</v>
      </c>
      <c r="P3722" s="1">
        <f t="shared" si="892"/>
        <v>0</v>
      </c>
      <c r="Q3722" s="1" t="str">
        <f t="shared" si="889"/>
        <v/>
      </c>
      <c r="R3722" s="1" t="str">
        <f t="shared" si="893"/>
        <v/>
      </c>
      <c r="S3722" s="1">
        <f t="shared" si="894"/>
        <v>630.90240000000244</v>
      </c>
      <c r="T3722" s="1">
        <f t="shared" si="895"/>
        <v>0</v>
      </c>
      <c r="U3722" s="1">
        <f t="shared" si="896"/>
        <v>0</v>
      </c>
      <c r="V3722" s="1">
        <f t="shared" si="897"/>
        <v>0</v>
      </c>
    </row>
    <row r="3723" spans="5:22" x14ac:dyDescent="0.25">
      <c r="E3723" s="4"/>
      <c r="M3723" s="4">
        <f t="shared" si="890"/>
        <v>173.1</v>
      </c>
      <c r="N3723" s="4"/>
      <c r="O3723" s="1">
        <f t="shared" si="891"/>
        <v>173.1</v>
      </c>
      <c r="P3723" s="1">
        <f t="shared" si="892"/>
        <v>0</v>
      </c>
      <c r="Q3723" s="1" t="str">
        <f t="shared" si="889"/>
        <v/>
      </c>
      <c r="R3723" s="1" t="str">
        <f t="shared" si="893"/>
        <v/>
      </c>
      <c r="S3723" s="1">
        <f t="shared" si="894"/>
        <v>630.90240000000244</v>
      </c>
      <c r="T3723" s="1">
        <f t="shared" si="895"/>
        <v>0</v>
      </c>
      <c r="U3723" s="1">
        <f t="shared" si="896"/>
        <v>0</v>
      </c>
      <c r="V3723" s="1">
        <f t="shared" si="897"/>
        <v>0</v>
      </c>
    </row>
    <row r="3724" spans="5:22" x14ac:dyDescent="0.25">
      <c r="E3724" s="4"/>
      <c r="M3724" s="4">
        <f t="shared" si="890"/>
        <v>173.1</v>
      </c>
      <c r="N3724" s="4"/>
      <c r="O3724" s="1">
        <f t="shared" si="891"/>
        <v>173.1</v>
      </c>
      <c r="P3724" s="1">
        <f t="shared" si="892"/>
        <v>0</v>
      </c>
      <c r="Q3724" s="1" t="str">
        <f t="shared" si="889"/>
        <v/>
      </c>
      <c r="R3724" s="1" t="str">
        <f t="shared" si="893"/>
        <v/>
      </c>
      <c r="S3724" s="1">
        <f t="shared" si="894"/>
        <v>630.90240000000244</v>
      </c>
      <c r="T3724" s="1">
        <f t="shared" si="895"/>
        <v>0</v>
      </c>
      <c r="U3724" s="1">
        <f t="shared" si="896"/>
        <v>0</v>
      </c>
      <c r="V3724" s="1">
        <f t="shared" si="897"/>
        <v>0</v>
      </c>
    </row>
    <row r="3725" spans="5:22" x14ac:dyDescent="0.25">
      <c r="E3725" s="4"/>
      <c r="M3725" s="4">
        <f t="shared" si="890"/>
        <v>173.1</v>
      </c>
      <c r="N3725" s="4"/>
      <c r="O3725" s="1">
        <f t="shared" si="891"/>
        <v>173.1</v>
      </c>
      <c r="P3725" s="1">
        <f t="shared" si="892"/>
        <v>0</v>
      </c>
      <c r="Q3725" s="1" t="str">
        <f t="shared" si="889"/>
        <v/>
      </c>
      <c r="R3725" s="1" t="str">
        <f t="shared" si="893"/>
        <v/>
      </c>
      <c r="S3725" s="1">
        <f t="shared" si="894"/>
        <v>630.90240000000244</v>
      </c>
      <c r="T3725" s="1">
        <f t="shared" si="895"/>
        <v>0</v>
      </c>
      <c r="U3725" s="1">
        <f t="shared" si="896"/>
        <v>0</v>
      </c>
      <c r="V3725" s="1">
        <f t="shared" si="897"/>
        <v>0</v>
      </c>
    </row>
    <row r="3726" spans="5:22" x14ac:dyDescent="0.25">
      <c r="E3726" s="4"/>
      <c r="M3726" s="4">
        <f t="shared" si="890"/>
        <v>173.1</v>
      </c>
      <c r="N3726" s="4"/>
      <c r="O3726" s="1">
        <f t="shared" si="891"/>
        <v>173.1</v>
      </c>
      <c r="P3726" s="1">
        <f t="shared" si="892"/>
        <v>0</v>
      </c>
      <c r="Q3726" s="1" t="str">
        <f t="shared" si="889"/>
        <v/>
      </c>
      <c r="R3726" s="1" t="str">
        <f t="shared" si="893"/>
        <v/>
      </c>
      <c r="S3726" s="1">
        <f t="shared" si="894"/>
        <v>630.90240000000244</v>
      </c>
      <c r="T3726" s="1">
        <f t="shared" si="895"/>
        <v>0</v>
      </c>
      <c r="U3726" s="1">
        <f t="shared" si="896"/>
        <v>0</v>
      </c>
      <c r="V3726" s="1">
        <f t="shared" si="897"/>
        <v>0</v>
      </c>
    </row>
    <row r="3727" spans="5:22" x14ac:dyDescent="0.25">
      <c r="E3727" s="4"/>
      <c r="M3727" s="4">
        <f t="shared" si="890"/>
        <v>173.1</v>
      </c>
      <c r="N3727" s="4"/>
      <c r="O3727" s="1">
        <f t="shared" si="891"/>
        <v>173.1</v>
      </c>
      <c r="P3727" s="1">
        <f t="shared" si="892"/>
        <v>0</v>
      </c>
      <c r="Q3727" s="1" t="str">
        <f t="shared" si="889"/>
        <v/>
      </c>
      <c r="R3727" s="1" t="str">
        <f t="shared" si="893"/>
        <v/>
      </c>
      <c r="S3727" s="1">
        <f t="shared" si="894"/>
        <v>630.90240000000244</v>
      </c>
      <c r="T3727" s="1">
        <f t="shared" si="895"/>
        <v>0</v>
      </c>
      <c r="U3727" s="1">
        <f t="shared" si="896"/>
        <v>0</v>
      </c>
      <c r="V3727" s="1">
        <f t="shared" si="897"/>
        <v>0</v>
      </c>
    </row>
    <row r="3728" spans="5:22" x14ac:dyDescent="0.25">
      <c r="E3728" s="4"/>
      <c r="M3728" s="4">
        <f t="shared" si="890"/>
        <v>173.1</v>
      </c>
      <c r="N3728" s="4"/>
      <c r="O3728" s="1">
        <f t="shared" si="891"/>
        <v>173.1</v>
      </c>
      <c r="P3728" s="1">
        <f t="shared" si="892"/>
        <v>0</v>
      </c>
      <c r="Q3728" s="1" t="str">
        <f t="shared" si="889"/>
        <v/>
      </c>
      <c r="R3728" s="1" t="str">
        <f t="shared" si="893"/>
        <v/>
      </c>
      <c r="S3728" s="1">
        <f t="shared" si="894"/>
        <v>630.90240000000244</v>
      </c>
      <c r="T3728" s="1">
        <f t="shared" si="895"/>
        <v>0</v>
      </c>
      <c r="U3728" s="1">
        <f t="shared" si="896"/>
        <v>0</v>
      </c>
      <c r="V3728" s="1">
        <f t="shared" si="897"/>
        <v>0</v>
      </c>
    </row>
    <row r="3729" spans="5:22" x14ac:dyDescent="0.25">
      <c r="E3729" s="4"/>
      <c r="M3729" s="4">
        <f t="shared" si="890"/>
        <v>173.1</v>
      </c>
      <c r="N3729" s="4"/>
      <c r="O3729" s="1">
        <f t="shared" si="891"/>
        <v>173.1</v>
      </c>
      <c r="P3729" s="1">
        <f t="shared" si="892"/>
        <v>0</v>
      </c>
      <c r="Q3729" s="1" t="str">
        <f t="shared" si="889"/>
        <v/>
      </c>
      <c r="R3729" s="1" t="str">
        <f t="shared" si="893"/>
        <v/>
      </c>
      <c r="S3729" s="1">
        <f t="shared" si="894"/>
        <v>630.90240000000244</v>
      </c>
      <c r="T3729" s="1">
        <f t="shared" si="895"/>
        <v>0</v>
      </c>
      <c r="U3729" s="1">
        <f t="shared" si="896"/>
        <v>0</v>
      </c>
      <c r="V3729" s="1">
        <f t="shared" si="897"/>
        <v>0</v>
      </c>
    </row>
    <row r="3730" spans="5:22" x14ac:dyDescent="0.25">
      <c r="E3730" s="4"/>
      <c r="M3730" s="4">
        <f t="shared" si="890"/>
        <v>173.1</v>
      </c>
      <c r="N3730" s="4"/>
      <c r="O3730" s="1">
        <f t="shared" si="891"/>
        <v>173.1</v>
      </c>
      <c r="P3730" s="1">
        <f t="shared" si="892"/>
        <v>0</v>
      </c>
      <c r="Q3730" s="1" t="str">
        <f t="shared" si="889"/>
        <v/>
      </c>
      <c r="R3730" s="1" t="str">
        <f t="shared" si="893"/>
        <v/>
      </c>
      <c r="S3730" s="1">
        <f t="shared" si="894"/>
        <v>630.90240000000244</v>
      </c>
      <c r="T3730" s="1">
        <f t="shared" si="895"/>
        <v>0</v>
      </c>
      <c r="U3730" s="1">
        <f t="shared" si="896"/>
        <v>0</v>
      </c>
      <c r="V3730" s="1">
        <f t="shared" si="897"/>
        <v>0</v>
      </c>
    </row>
    <row r="3731" spans="5:22" x14ac:dyDescent="0.25">
      <c r="E3731" s="4"/>
      <c r="M3731" s="4">
        <f t="shared" si="890"/>
        <v>173.1</v>
      </c>
      <c r="N3731" s="4"/>
      <c r="O3731" s="1">
        <f t="shared" si="891"/>
        <v>173.1</v>
      </c>
      <c r="P3731" s="1">
        <f t="shared" si="892"/>
        <v>0</v>
      </c>
      <c r="Q3731" s="1" t="str">
        <f t="shared" si="889"/>
        <v/>
      </c>
      <c r="R3731" s="1" t="str">
        <f t="shared" si="893"/>
        <v/>
      </c>
      <c r="S3731" s="1">
        <f t="shared" si="894"/>
        <v>630.90240000000244</v>
      </c>
      <c r="T3731" s="1">
        <f t="shared" si="895"/>
        <v>0</v>
      </c>
      <c r="U3731" s="1">
        <f t="shared" si="896"/>
        <v>0</v>
      </c>
      <c r="V3731" s="1">
        <f t="shared" si="897"/>
        <v>0</v>
      </c>
    </row>
    <row r="3732" spans="5:22" x14ac:dyDescent="0.25">
      <c r="E3732" s="4"/>
      <c r="M3732" s="4">
        <f t="shared" si="890"/>
        <v>173.1</v>
      </c>
      <c r="N3732" s="4"/>
      <c r="O3732" s="1">
        <f t="shared" si="891"/>
        <v>173.1</v>
      </c>
      <c r="P3732" s="1">
        <f t="shared" si="892"/>
        <v>0</v>
      </c>
      <c r="Q3732" s="1" t="str">
        <f t="shared" si="889"/>
        <v/>
      </c>
      <c r="R3732" s="1" t="str">
        <f t="shared" si="893"/>
        <v/>
      </c>
      <c r="S3732" s="1">
        <f t="shared" si="894"/>
        <v>630.90240000000244</v>
      </c>
      <c r="T3732" s="1">
        <f t="shared" si="895"/>
        <v>0</v>
      </c>
      <c r="U3732" s="1">
        <f t="shared" si="896"/>
        <v>0</v>
      </c>
      <c r="V3732" s="1">
        <f t="shared" si="897"/>
        <v>0</v>
      </c>
    </row>
    <row r="3733" spans="5:22" x14ac:dyDescent="0.25">
      <c r="E3733" s="4"/>
      <c r="M3733" s="4">
        <f t="shared" si="890"/>
        <v>173.1</v>
      </c>
      <c r="N3733" s="4"/>
      <c r="O3733" s="1">
        <f t="shared" si="891"/>
        <v>173.1</v>
      </c>
      <c r="P3733" s="1">
        <f t="shared" si="892"/>
        <v>0</v>
      </c>
      <c r="Q3733" s="1" t="str">
        <f t="shared" si="889"/>
        <v/>
      </c>
      <c r="R3733" s="1" t="str">
        <f t="shared" si="893"/>
        <v/>
      </c>
      <c r="S3733" s="1">
        <f t="shared" si="894"/>
        <v>630.90240000000244</v>
      </c>
      <c r="T3733" s="1">
        <f t="shared" si="895"/>
        <v>0</v>
      </c>
      <c r="U3733" s="1">
        <f t="shared" si="896"/>
        <v>0</v>
      </c>
      <c r="V3733" s="1">
        <f t="shared" si="897"/>
        <v>0</v>
      </c>
    </row>
    <row r="3734" spans="5:22" x14ac:dyDescent="0.25">
      <c r="E3734" s="4"/>
      <c r="M3734" s="4">
        <f t="shared" si="890"/>
        <v>173.1</v>
      </c>
      <c r="N3734" s="4"/>
      <c r="O3734" s="1">
        <f t="shared" si="891"/>
        <v>173.1</v>
      </c>
      <c r="P3734" s="1">
        <f t="shared" si="892"/>
        <v>0</v>
      </c>
      <c r="Q3734" s="1" t="str">
        <f t="shared" si="889"/>
        <v/>
      </c>
      <c r="R3734" s="1" t="str">
        <f t="shared" si="893"/>
        <v/>
      </c>
      <c r="S3734" s="1">
        <f t="shared" si="894"/>
        <v>630.90240000000244</v>
      </c>
      <c r="T3734" s="1">
        <f t="shared" si="895"/>
        <v>0</v>
      </c>
      <c r="U3734" s="1">
        <f t="shared" si="896"/>
        <v>0</v>
      </c>
      <c r="V3734" s="1">
        <f t="shared" si="897"/>
        <v>0</v>
      </c>
    </row>
    <row r="3735" spans="5:22" x14ac:dyDescent="0.25">
      <c r="E3735" s="4"/>
      <c r="M3735" s="4">
        <f t="shared" si="890"/>
        <v>173.1</v>
      </c>
      <c r="N3735" s="4"/>
      <c r="O3735" s="1">
        <f t="shared" si="891"/>
        <v>173.1</v>
      </c>
      <c r="P3735" s="1">
        <f t="shared" si="892"/>
        <v>0</v>
      </c>
      <c r="Q3735" s="1" t="str">
        <f t="shared" si="889"/>
        <v/>
      </c>
      <c r="R3735" s="1" t="str">
        <f t="shared" si="893"/>
        <v/>
      </c>
      <c r="S3735" s="1">
        <f t="shared" si="894"/>
        <v>630.90240000000244</v>
      </c>
      <c r="T3735" s="1">
        <f t="shared" si="895"/>
        <v>0</v>
      </c>
      <c r="U3735" s="1">
        <f t="shared" si="896"/>
        <v>0</v>
      </c>
      <c r="V3735" s="1">
        <f t="shared" si="897"/>
        <v>0</v>
      </c>
    </row>
    <row r="3736" spans="5:22" x14ac:dyDescent="0.25">
      <c r="E3736" s="4"/>
      <c r="M3736" s="4">
        <f t="shared" si="890"/>
        <v>173.1</v>
      </c>
      <c r="N3736" s="4"/>
      <c r="O3736" s="1">
        <f t="shared" si="891"/>
        <v>173.1</v>
      </c>
      <c r="P3736" s="1">
        <f t="shared" si="892"/>
        <v>0</v>
      </c>
      <c r="Q3736" s="1" t="str">
        <f t="shared" si="889"/>
        <v/>
      </c>
      <c r="R3736" s="1" t="str">
        <f t="shared" si="893"/>
        <v/>
      </c>
      <c r="S3736" s="1">
        <f t="shared" si="894"/>
        <v>630.90240000000244</v>
      </c>
      <c r="T3736" s="1">
        <f t="shared" si="895"/>
        <v>0</v>
      </c>
      <c r="U3736" s="1">
        <f t="shared" si="896"/>
        <v>0</v>
      </c>
      <c r="V3736" s="1">
        <f t="shared" si="897"/>
        <v>0</v>
      </c>
    </row>
    <row r="3737" spans="5:22" x14ac:dyDescent="0.25">
      <c r="E3737" s="4"/>
      <c r="M3737" s="4">
        <f t="shared" si="890"/>
        <v>173.1</v>
      </c>
      <c r="N3737" s="4"/>
      <c r="O3737" s="1">
        <f t="shared" si="891"/>
        <v>173.1</v>
      </c>
      <c r="P3737" s="1">
        <f t="shared" si="892"/>
        <v>0</v>
      </c>
      <c r="Q3737" s="1" t="str">
        <f t="shared" si="889"/>
        <v/>
      </c>
      <c r="R3737" s="1" t="str">
        <f t="shared" si="893"/>
        <v/>
      </c>
      <c r="S3737" s="1">
        <f t="shared" si="894"/>
        <v>630.90240000000244</v>
      </c>
      <c r="T3737" s="1">
        <f t="shared" si="895"/>
        <v>0</v>
      </c>
      <c r="U3737" s="1">
        <f t="shared" si="896"/>
        <v>0</v>
      </c>
      <c r="V3737" s="1">
        <f t="shared" si="897"/>
        <v>0</v>
      </c>
    </row>
    <row r="3738" spans="5:22" x14ac:dyDescent="0.25">
      <c r="E3738" s="4"/>
      <c r="M3738" s="4">
        <f t="shared" si="890"/>
        <v>173.1</v>
      </c>
      <c r="N3738" s="4"/>
      <c r="O3738" s="1">
        <f t="shared" si="891"/>
        <v>173.1</v>
      </c>
      <c r="P3738" s="1">
        <f t="shared" si="892"/>
        <v>0</v>
      </c>
      <c r="Q3738" s="1" t="str">
        <f t="shared" si="889"/>
        <v/>
      </c>
      <c r="R3738" s="1" t="str">
        <f t="shared" si="893"/>
        <v/>
      </c>
      <c r="S3738" s="1">
        <f t="shared" si="894"/>
        <v>630.90240000000244</v>
      </c>
      <c r="T3738" s="1">
        <f t="shared" si="895"/>
        <v>0</v>
      </c>
      <c r="U3738" s="1">
        <f t="shared" si="896"/>
        <v>0</v>
      </c>
      <c r="V3738" s="1">
        <f t="shared" si="897"/>
        <v>0</v>
      </c>
    </row>
    <row r="3739" spans="5:22" x14ac:dyDescent="0.25">
      <c r="E3739" s="4"/>
      <c r="M3739" s="4">
        <f t="shared" si="890"/>
        <v>173.1</v>
      </c>
      <c r="N3739" s="4"/>
      <c r="O3739" s="1">
        <f t="shared" si="891"/>
        <v>173.1</v>
      </c>
      <c r="P3739" s="1">
        <f t="shared" si="892"/>
        <v>0</v>
      </c>
      <c r="Q3739" s="1" t="str">
        <f t="shared" si="889"/>
        <v/>
      </c>
      <c r="R3739" s="1" t="str">
        <f t="shared" si="893"/>
        <v/>
      </c>
      <c r="S3739" s="1">
        <f t="shared" si="894"/>
        <v>630.90240000000244</v>
      </c>
      <c r="T3739" s="1">
        <f t="shared" si="895"/>
        <v>0</v>
      </c>
      <c r="U3739" s="1">
        <f t="shared" si="896"/>
        <v>0</v>
      </c>
      <c r="V3739" s="1">
        <f t="shared" si="897"/>
        <v>0</v>
      </c>
    </row>
    <row r="3740" spans="5:22" x14ac:dyDescent="0.25">
      <c r="E3740" s="4"/>
      <c r="M3740" s="4">
        <f t="shared" si="890"/>
        <v>173.1</v>
      </c>
      <c r="N3740" s="4"/>
      <c r="O3740" s="1">
        <f t="shared" si="891"/>
        <v>173.1</v>
      </c>
      <c r="P3740" s="1">
        <f t="shared" si="892"/>
        <v>0</v>
      </c>
      <c r="Q3740" s="1" t="str">
        <f t="shared" si="889"/>
        <v/>
      </c>
      <c r="R3740" s="1" t="str">
        <f t="shared" si="893"/>
        <v/>
      </c>
      <c r="S3740" s="1">
        <f t="shared" si="894"/>
        <v>630.90240000000244</v>
      </c>
      <c r="T3740" s="1">
        <f t="shared" si="895"/>
        <v>0</v>
      </c>
      <c r="U3740" s="1">
        <f t="shared" si="896"/>
        <v>0</v>
      </c>
      <c r="V3740" s="1">
        <f t="shared" si="897"/>
        <v>0</v>
      </c>
    </row>
    <row r="3741" spans="5:22" x14ac:dyDescent="0.25">
      <c r="E3741" s="4"/>
      <c r="M3741" s="4">
        <f t="shared" si="890"/>
        <v>173.1</v>
      </c>
      <c r="N3741" s="4"/>
      <c r="O3741" s="1">
        <f t="shared" si="891"/>
        <v>173.1</v>
      </c>
      <c r="P3741" s="1">
        <f t="shared" si="892"/>
        <v>0</v>
      </c>
      <c r="Q3741" s="1" t="str">
        <f t="shared" si="889"/>
        <v/>
      </c>
      <c r="R3741" s="1" t="str">
        <f t="shared" si="893"/>
        <v/>
      </c>
      <c r="S3741" s="1">
        <f t="shared" si="894"/>
        <v>630.90240000000244</v>
      </c>
      <c r="T3741" s="1">
        <f t="shared" si="895"/>
        <v>0</v>
      </c>
      <c r="U3741" s="1">
        <f t="shared" si="896"/>
        <v>0</v>
      </c>
      <c r="V3741" s="1">
        <f t="shared" si="897"/>
        <v>0</v>
      </c>
    </row>
    <row r="3742" spans="5:22" x14ac:dyDescent="0.25">
      <c r="E3742" s="4"/>
      <c r="M3742" s="4">
        <f t="shared" si="890"/>
        <v>173.1</v>
      </c>
      <c r="N3742" s="4"/>
      <c r="O3742" s="1">
        <f t="shared" si="891"/>
        <v>173.1</v>
      </c>
      <c r="P3742" s="1">
        <f t="shared" si="892"/>
        <v>0</v>
      </c>
      <c r="Q3742" s="1" t="str">
        <f t="shared" si="889"/>
        <v/>
      </c>
      <c r="R3742" s="1" t="str">
        <f t="shared" si="893"/>
        <v/>
      </c>
      <c r="S3742" s="1">
        <f t="shared" si="894"/>
        <v>630.90240000000244</v>
      </c>
      <c r="T3742" s="1">
        <f t="shared" si="895"/>
        <v>0</v>
      </c>
      <c r="U3742" s="1">
        <f t="shared" si="896"/>
        <v>0</v>
      </c>
      <c r="V3742" s="1">
        <f t="shared" si="897"/>
        <v>0</v>
      </c>
    </row>
    <row r="3743" spans="5:22" x14ac:dyDescent="0.25">
      <c r="E3743" s="4"/>
      <c r="M3743" s="4">
        <f t="shared" si="890"/>
        <v>173.1</v>
      </c>
      <c r="N3743" s="4"/>
      <c r="O3743" s="1">
        <f t="shared" si="891"/>
        <v>173.1</v>
      </c>
      <c r="P3743" s="1">
        <f t="shared" si="892"/>
        <v>0</v>
      </c>
      <c r="Q3743" s="1" t="str">
        <f t="shared" si="889"/>
        <v/>
      </c>
      <c r="R3743" s="1" t="str">
        <f t="shared" si="893"/>
        <v/>
      </c>
      <c r="S3743" s="1">
        <f t="shared" si="894"/>
        <v>630.90240000000244</v>
      </c>
      <c r="T3743" s="1">
        <f t="shared" si="895"/>
        <v>0</v>
      </c>
      <c r="U3743" s="1">
        <f t="shared" si="896"/>
        <v>0</v>
      </c>
      <c r="V3743" s="1">
        <f t="shared" si="897"/>
        <v>0</v>
      </c>
    </row>
    <row r="3744" spans="5:22" x14ac:dyDescent="0.25">
      <c r="E3744" s="4"/>
      <c r="M3744" s="4">
        <f t="shared" si="890"/>
        <v>173.1</v>
      </c>
      <c r="N3744" s="4"/>
      <c r="O3744" s="1">
        <f t="shared" si="891"/>
        <v>173.1</v>
      </c>
      <c r="P3744" s="1">
        <f t="shared" si="892"/>
        <v>0</v>
      </c>
      <c r="Q3744" s="1" t="str">
        <f t="shared" si="889"/>
        <v/>
      </c>
      <c r="R3744" s="1" t="str">
        <f t="shared" si="893"/>
        <v/>
      </c>
      <c r="S3744" s="1">
        <f t="shared" si="894"/>
        <v>630.90240000000244</v>
      </c>
      <c r="T3744" s="1">
        <f t="shared" si="895"/>
        <v>0</v>
      </c>
      <c r="U3744" s="1">
        <f t="shared" si="896"/>
        <v>0</v>
      </c>
      <c r="V3744" s="1">
        <f t="shared" si="897"/>
        <v>0</v>
      </c>
    </row>
    <row r="3745" spans="5:22" x14ac:dyDescent="0.25">
      <c r="E3745" s="4"/>
      <c r="M3745" s="4">
        <f t="shared" si="890"/>
        <v>173.1</v>
      </c>
      <c r="N3745" s="4"/>
      <c r="O3745" s="1">
        <f t="shared" si="891"/>
        <v>173.1</v>
      </c>
      <c r="P3745" s="1">
        <f t="shared" si="892"/>
        <v>0</v>
      </c>
      <c r="Q3745" s="1" t="str">
        <f t="shared" si="889"/>
        <v/>
      </c>
      <c r="R3745" s="1" t="str">
        <f t="shared" si="893"/>
        <v/>
      </c>
      <c r="S3745" s="1">
        <f t="shared" si="894"/>
        <v>630.90240000000244</v>
      </c>
      <c r="T3745" s="1">
        <f t="shared" si="895"/>
        <v>0</v>
      </c>
      <c r="U3745" s="1">
        <f t="shared" si="896"/>
        <v>0</v>
      </c>
      <c r="V3745" s="1">
        <f t="shared" si="897"/>
        <v>0</v>
      </c>
    </row>
    <row r="3746" spans="5:22" x14ac:dyDescent="0.25">
      <c r="E3746" s="4"/>
      <c r="M3746" s="4">
        <f t="shared" si="890"/>
        <v>173.1</v>
      </c>
      <c r="N3746" s="4"/>
      <c r="O3746" s="1">
        <f t="shared" si="891"/>
        <v>173.1</v>
      </c>
      <c r="P3746" s="1">
        <f t="shared" si="892"/>
        <v>0</v>
      </c>
      <c r="Q3746" s="1" t="str">
        <f t="shared" si="889"/>
        <v/>
      </c>
      <c r="R3746" s="1" t="str">
        <f t="shared" si="893"/>
        <v/>
      </c>
      <c r="S3746" s="1">
        <f t="shared" si="894"/>
        <v>630.90240000000244</v>
      </c>
      <c r="T3746" s="1">
        <f t="shared" si="895"/>
        <v>0</v>
      </c>
      <c r="U3746" s="1">
        <f t="shared" si="896"/>
        <v>0</v>
      </c>
      <c r="V3746" s="1">
        <f t="shared" si="897"/>
        <v>0</v>
      </c>
    </row>
    <row r="3747" spans="5:22" x14ac:dyDescent="0.25">
      <c r="E3747" s="4"/>
      <c r="M3747" s="4">
        <f t="shared" si="890"/>
        <v>173.1</v>
      </c>
      <c r="N3747" s="4"/>
      <c r="O3747" s="1">
        <f t="shared" si="891"/>
        <v>173.1</v>
      </c>
      <c r="P3747" s="1">
        <f t="shared" si="892"/>
        <v>0</v>
      </c>
      <c r="Q3747" s="1" t="str">
        <f t="shared" si="889"/>
        <v/>
      </c>
      <c r="R3747" s="1" t="str">
        <f t="shared" si="893"/>
        <v/>
      </c>
      <c r="S3747" s="1">
        <f t="shared" si="894"/>
        <v>630.90240000000244</v>
      </c>
      <c r="T3747" s="1">
        <f t="shared" si="895"/>
        <v>0</v>
      </c>
      <c r="U3747" s="1">
        <f t="shared" si="896"/>
        <v>0</v>
      </c>
      <c r="V3747" s="1">
        <f t="shared" si="897"/>
        <v>0</v>
      </c>
    </row>
    <row r="3748" spans="5:22" x14ac:dyDescent="0.25">
      <c r="E3748" s="4"/>
      <c r="M3748" s="4">
        <f t="shared" si="890"/>
        <v>173.1</v>
      </c>
      <c r="N3748" s="4"/>
      <c r="O3748" s="1">
        <f t="shared" si="891"/>
        <v>173.1</v>
      </c>
      <c r="P3748" s="1">
        <f t="shared" si="892"/>
        <v>0</v>
      </c>
      <c r="Q3748" s="1" t="str">
        <f t="shared" si="889"/>
        <v/>
      </c>
      <c r="R3748" s="1" t="str">
        <f t="shared" si="893"/>
        <v/>
      </c>
      <c r="S3748" s="1">
        <f t="shared" si="894"/>
        <v>630.90240000000244</v>
      </c>
      <c r="T3748" s="1">
        <f t="shared" si="895"/>
        <v>0</v>
      </c>
      <c r="U3748" s="1">
        <f t="shared" si="896"/>
        <v>0</v>
      </c>
      <c r="V3748" s="1">
        <f t="shared" si="897"/>
        <v>0</v>
      </c>
    </row>
    <row r="3749" spans="5:22" x14ac:dyDescent="0.25">
      <c r="E3749" s="4"/>
      <c r="M3749" s="4">
        <f t="shared" si="890"/>
        <v>173.1</v>
      </c>
      <c r="N3749" s="4"/>
      <c r="O3749" s="1">
        <f t="shared" si="891"/>
        <v>173.1</v>
      </c>
      <c r="P3749" s="1">
        <f t="shared" si="892"/>
        <v>0</v>
      </c>
      <c r="Q3749" s="1" t="str">
        <f t="shared" si="889"/>
        <v/>
      </c>
      <c r="R3749" s="1" t="str">
        <f t="shared" si="893"/>
        <v/>
      </c>
      <c r="S3749" s="1">
        <f t="shared" si="894"/>
        <v>630.90240000000244</v>
      </c>
      <c r="T3749" s="1">
        <f t="shared" si="895"/>
        <v>0</v>
      </c>
      <c r="U3749" s="1">
        <f t="shared" si="896"/>
        <v>0</v>
      </c>
      <c r="V3749" s="1">
        <f t="shared" si="897"/>
        <v>0</v>
      </c>
    </row>
    <row r="3750" spans="5:22" x14ac:dyDescent="0.25">
      <c r="E3750" s="4"/>
      <c r="M3750" s="4">
        <f t="shared" si="890"/>
        <v>173.1</v>
      </c>
      <c r="N3750" s="4"/>
      <c r="O3750" s="1">
        <f t="shared" si="891"/>
        <v>173.1</v>
      </c>
      <c r="P3750" s="1">
        <f t="shared" si="892"/>
        <v>0</v>
      </c>
      <c r="Q3750" s="1" t="str">
        <f t="shared" si="889"/>
        <v/>
      </c>
      <c r="R3750" s="1" t="str">
        <f t="shared" si="893"/>
        <v/>
      </c>
      <c r="S3750" s="1">
        <f t="shared" si="894"/>
        <v>630.90240000000244</v>
      </c>
      <c r="T3750" s="1">
        <f t="shared" si="895"/>
        <v>0</v>
      </c>
      <c r="U3750" s="1">
        <f t="shared" si="896"/>
        <v>0</v>
      </c>
      <c r="V3750" s="1">
        <f t="shared" si="897"/>
        <v>0</v>
      </c>
    </row>
    <row r="3751" spans="5:22" x14ac:dyDescent="0.25">
      <c r="E3751" s="4"/>
      <c r="M3751" s="4">
        <f t="shared" si="890"/>
        <v>173.1</v>
      </c>
      <c r="N3751" s="4"/>
      <c r="O3751" s="1">
        <f t="shared" si="891"/>
        <v>173.1</v>
      </c>
      <c r="P3751" s="1">
        <f t="shared" si="892"/>
        <v>0</v>
      </c>
      <c r="Q3751" s="1" t="str">
        <f t="shared" si="889"/>
        <v/>
      </c>
      <c r="R3751" s="1" t="str">
        <f t="shared" si="893"/>
        <v/>
      </c>
      <c r="S3751" s="1">
        <f t="shared" si="894"/>
        <v>630.90240000000244</v>
      </c>
      <c r="T3751" s="1">
        <f t="shared" si="895"/>
        <v>0</v>
      </c>
      <c r="U3751" s="1">
        <f t="shared" si="896"/>
        <v>0</v>
      </c>
      <c r="V3751" s="1">
        <f t="shared" si="897"/>
        <v>0</v>
      </c>
    </row>
    <row r="3752" spans="5:22" x14ac:dyDescent="0.25">
      <c r="E3752" s="4"/>
      <c r="M3752" s="4">
        <f t="shared" si="890"/>
        <v>173.1</v>
      </c>
      <c r="N3752" s="4"/>
      <c r="O3752" s="1">
        <f t="shared" si="891"/>
        <v>173.1</v>
      </c>
      <c r="P3752" s="1">
        <f t="shared" si="892"/>
        <v>0</v>
      </c>
      <c r="Q3752" s="1" t="str">
        <f t="shared" si="889"/>
        <v/>
      </c>
      <c r="R3752" s="1" t="str">
        <f t="shared" si="893"/>
        <v/>
      </c>
      <c r="S3752" s="1">
        <f t="shared" si="894"/>
        <v>630.90240000000244</v>
      </c>
      <c r="T3752" s="1">
        <f t="shared" si="895"/>
        <v>0</v>
      </c>
      <c r="U3752" s="1">
        <f t="shared" si="896"/>
        <v>0</v>
      </c>
      <c r="V3752" s="1">
        <f t="shared" si="897"/>
        <v>0</v>
      </c>
    </row>
    <row r="3753" spans="5:22" x14ac:dyDescent="0.25">
      <c r="E3753" s="4"/>
      <c r="M3753" s="4">
        <f t="shared" si="890"/>
        <v>173.1</v>
      </c>
      <c r="N3753" s="4"/>
      <c r="O3753" s="1">
        <f t="shared" si="891"/>
        <v>173.1</v>
      </c>
      <c r="P3753" s="1">
        <f t="shared" si="892"/>
        <v>0</v>
      </c>
      <c r="Q3753" s="1" t="str">
        <f t="shared" si="889"/>
        <v/>
      </c>
      <c r="R3753" s="1" t="str">
        <f t="shared" si="893"/>
        <v/>
      </c>
      <c r="S3753" s="1">
        <f t="shared" si="894"/>
        <v>630.90240000000244</v>
      </c>
      <c r="T3753" s="1">
        <f t="shared" si="895"/>
        <v>0</v>
      </c>
      <c r="U3753" s="1">
        <f t="shared" si="896"/>
        <v>0</v>
      </c>
      <c r="V3753" s="1">
        <f t="shared" si="897"/>
        <v>0</v>
      </c>
    </row>
    <row r="3754" spans="5:22" x14ac:dyDescent="0.25">
      <c r="E3754" s="4"/>
      <c r="M3754" s="4">
        <f t="shared" si="890"/>
        <v>173.1</v>
      </c>
      <c r="N3754" s="4"/>
      <c r="O3754" s="1">
        <f t="shared" si="891"/>
        <v>173.1</v>
      </c>
      <c r="P3754" s="1">
        <f t="shared" si="892"/>
        <v>0</v>
      </c>
      <c r="Q3754" s="1" t="str">
        <f t="shared" si="889"/>
        <v/>
      </c>
      <c r="R3754" s="1" t="str">
        <f t="shared" si="893"/>
        <v/>
      </c>
      <c r="S3754" s="1">
        <f t="shared" si="894"/>
        <v>630.90240000000244</v>
      </c>
      <c r="T3754" s="1">
        <f t="shared" si="895"/>
        <v>0</v>
      </c>
      <c r="U3754" s="1">
        <f t="shared" si="896"/>
        <v>0</v>
      </c>
      <c r="V3754" s="1">
        <f t="shared" si="897"/>
        <v>0</v>
      </c>
    </row>
    <row r="3755" spans="5:22" x14ac:dyDescent="0.25">
      <c r="E3755" s="4"/>
      <c r="M3755" s="4">
        <f t="shared" si="890"/>
        <v>173.1</v>
      </c>
      <c r="N3755" s="4"/>
      <c r="O3755" s="1">
        <f t="shared" si="891"/>
        <v>173.1</v>
      </c>
      <c r="P3755" s="1">
        <f t="shared" si="892"/>
        <v>0</v>
      </c>
      <c r="Q3755" s="1" t="str">
        <f t="shared" si="889"/>
        <v/>
      </c>
      <c r="R3755" s="1" t="str">
        <f t="shared" si="893"/>
        <v/>
      </c>
      <c r="S3755" s="1">
        <f t="shared" si="894"/>
        <v>630.90240000000244</v>
      </c>
      <c r="T3755" s="1">
        <f t="shared" si="895"/>
        <v>0</v>
      </c>
      <c r="U3755" s="1">
        <f t="shared" si="896"/>
        <v>0</v>
      </c>
      <c r="V3755" s="1">
        <f t="shared" si="897"/>
        <v>0</v>
      </c>
    </row>
    <row r="3756" spans="5:22" x14ac:dyDescent="0.25">
      <c r="E3756" s="4"/>
      <c r="M3756" s="4">
        <f t="shared" si="890"/>
        <v>173.1</v>
      </c>
      <c r="N3756" s="4"/>
      <c r="O3756" s="1">
        <f t="shared" si="891"/>
        <v>173.1</v>
      </c>
      <c r="P3756" s="1">
        <f t="shared" si="892"/>
        <v>0</v>
      </c>
      <c r="Q3756" s="1" t="str">
        <f t="shared" si="889"/>
        <v/>
      </c>
      <c r="R3756" s="1" t="str">
        <f t="shared" si="893"/>
        <v/>
      </c>
      <c r="S3756" s="1">
        <f t="shared" si="894"/>
        <v>630.90240000000244</v>
      </c>
      <c r="T3756" s="1">
        <f t="shared" si="895"/>
        <v>0</v>
      </c>
      <c r="U3756" s="1">
        <f t="shared" si="896"/>
        <v>0</v>
      </c>
      <c r="V3756" s="1">
        <f t="shared" si="897"/>
        <v>0</v>
      </c>
    </row>
    <row r="3757" spans="5:22" x14ac:dyDescent="0.25">
      <c r="E3757" s="4"/>
      <c r="M3757" s="4">
        <f t="shared" si="890"/>
        <v>173.1</v>
      </c>
      <c r="N3757" s="4"/>
      <c r="O3757" s="1">
        <f t="shared" si="891"/>
        <v>173.1</v>
      </c>
      <c r="P3757" s="1">
        <f t="shared" si="892"/>
        <v>0</v>
      </c>
      <c r="Q3757" s="1" t="str">
        <f t="shared" si="889"/>
        <v/>
      </c>
      <c r="R3757" s="1" t="str">
        <f t="shared" si="893"/>
        <v/>
      </c>
      <c r="S3757" s="1">
        <f t="shared" si="894"/>
        <v>630.90240000000244</v>
      </c>
      <c r="T3757" s="1">
        <f t="shared" si="895"/>
        <v>0</v>
      </c>
      <c r="U3757" s="1">
        <f t="shared" si="896"/>
        <v>0</v>
      </c>
      <c r="V3757" s="1">
        <f t="shared" si="897"/>
        <v>0</v>
      </c>
    </row>
    <row r="3758" spans="5:22" x14ac:dyDescent="0.25">
      <c r="E3758" s="4"/>
      <c r="M3758" s="4">
        <f t="shared" si="890"/>
        <v>173.1</v>
      </c>
      <c r="N3758" s="4"/>
      <c r="O3758" s="1">
        <f t="shared" si="891"/>
        <v>173.1</v>
      </c>
      <c r="P3758" s="1">
        <f t="shared" si="892"/>
        <v>0</v>
      </c>
      <c r="Q3758" s="1" t="str">
        <f t="shared" si="889"/>
        <v/>
      </c>
      <c r="R3758" s="1" t="str">
        <f t="shared" si="893"/>
        <v/>
      </c>
      <c r="S3758" s="1">
        <f t="shared" si="894"/>
        <v>630.90240000000244</v>
      </c>
      <c r="T3758" s="1">
        <f t="shared" si="895"/>
        <v>0</v>
      </c>
      <c r="U3758" s="1">
        <f t="shared" si="896"/>
        <v>0</v>
      </c>
      <c r="V3758" s="1">
        <f t="shared" si="897"/>
        <v>0</v>
      </c>
    </row>
    <row r="3759" spans="5:22" x14ac:dyDescent="0.25">
      <c r="E3759" s="4"/>
      <c r="M3759" s="4">
        <f t="shared" si="890"/>
        <v>173.1</v>
      </c>
      <c r="N3759" s="4"/>
      <c r="O3759" s="1">
        <f t="shared" si="891"/>
        <v>173.1</v>
      </c>
      <c r="P3759" s="1">
        <f t="shared" si="892"/>
        <v>0</v>
      </c>
      <c r="Q3759" s="1" t="str">
        <f t="shared" si="889"/>
        <v/>
      </c>
      <c r="R3759" s="1" t="str">
        <f t="shared" si="893"/>
        <v/>
      </c>
      <c r="S3759" s="1">
        <f t="shared" si="894"/>
        <v>630.90240000000244</v>
      </c>
      <c r="T3759" s="1">
        <f t="shared" si="895"/>
        <v>0</v>
      </c>
      <c r="U3759" s="1">
        <f t="shared" si="896"/>
        <v>0</v>
      </c>
      <c r="V3759" s="1">
        <f t="shared" si="897"/>
        <v>0</v>
      </c>
    </row>
    <row r="3760" spans="5:22" x14ac:dyDescent="0.25">
      <c r="E3760" s="4"/>
      <c r="M3760" s="4">
        <f t="shared" si="890"/>
        <v>173.1</v>
      </c>
      <c r="N3760" s="4"/>
      <c r="O3760" s="1">
        <f t="shared" si="891"/>
        <v>173.1</v>
      </c>
      <c r="P3760" s="1">
        <f t="shared" si="892"/>
        <v>0</v>
      </c>
      <c r="Q3760" s="1" t="str">
        <f t="shared" si="889"/>
        <v/>
      </c>
      <c r="R3760" s="1" t="str">
        <f t="shared" si="893"/>
        <v/>
      </c>
      <c r="S3760" s="1">
        <f t="shared" si="894"/>
        <v>630.90240000000244</v>
      </c>
      <c r="T3760" s="1">
        <f t="shared" si="895"/>
        <v>0</v>
      </c>
      <c r="U3760" s="1">
        <f t="shared" si="896"/>
        <v>0</v>
      </c>
      <c r="V3760" s="1">
        <f t="shared" si="897"/>
        <v>0</v>
      </c>
    </row>
    <row r="3761" spans="5:22" x14ac:dyDescent="0.25">
      <c r="E3761" s="4"/>
      <c r="M3761" s="4">
        <f t="shared" si="890"/>
        <v>173.1</v>
      </c>
      <c r="N3761" s="4"/>
      <c r="O3761" s="1">
        <f t="shared" si="891"/>
        <v>173.1</v>
      </c>
      <c r="P3761" s="1">
        <f t="shared" si="892"/>
        <v>0</v>
      </c>
      <c r="Q3761" s="1" t="str">
        <f t="shared" si="889"/>
        <v/>
      </c>
      <c r="R3761" s="1" t="str">
        <f t="shared" si="893"/>
        <v/>
      </c>
      <c r="S3761" s="1">
        <f t="shared" si="894"/>
        <v>630.90240000000244</v>
      </c>
      <c r="T3761" s="1">
        <f t="shared" si="895"/>
        <v>0</v>
      </c>
      <c r="U3761" s="1">
        <f t="shared" si="896"/>
        <v>0</v>
      </c>
      <c r="V3761" s="1">
        <f t="shared" si="897"/>
        <v>0</v>
      </c>
    </row>
    <row r="3762" spans="5:22" x14ac:dyDescent="0.25">
      <c r="E3762" s="4"/>
      <c r="M3762" s="4">
        <f t="shared" si="890"/>
        <v>173.1</v>
      </c>
      <c r="N3762" s="4"/>
      <c r="O3762" s="1">
        <f t="shared" si="891"/>
        <v>173.1</v>
      </c>
      <c r="P3762" s="1">
        <f t="shared" si="892"/>
        <v>0</v>
      </c>
      <c r="Q3762" s="1" t="str">
        <f t="shared" ref="Q3762:Q3825" si="898">IF(H3762&lt;&gt;"",IF(H3762=H3761,"",H3762),IF(H3760="","",MAX(H3761,Q3761)))</f>
        <v/>
      </c>
      <c r="R3762" s="1" t="str">
        <f t="shared" si="893"/>
        <v/>
      </c>
      <c r="S3762" s="1">
        <f t="shared" si="894"/>
        <v>630.90240000000244</v>
      </c>
      <c r="T3762" s="1">
        <f t="shared" si="895"/>
        <v>0</v>
      </c>
      <c r="U3762" s="1">
        <f t="shared" si="896"/>
        <v>0</v>
      </c>
      <c r="V3762" s="1">
        <f t="shared" si="897"/>
        <v>0</v>
      </c>
    </row>
    <row r="3763" spans="5:22" x14ac:dyDescent="0.25">
      <c r="E3763" s="4"/>
      <c r="M3763" s="4">
        <f t="shared" si="890"/>
        <v>173.1</v>
      </c>
      <c r="N3763" s="4"/>
      <c r="O3763" s="1">
        <f t="shared" si="891"/>
        <v>173.1</v>
      </c>
      <c r="P3763" s="1">
        <f t="shared" si="892"/>
        <v>0</v>
      </c>
      <c r="Q3763" s="1" t="str">
        <f t="shared" si="898"/>
        <v/>
      </c>
      <c r="R3763" s="1" t="str">
        <f t="shared" si="893"/>
        <v/>
      </c>
      <c r="S3763" s="1">
        <f t="shared" si="894"/>
        <v>630.90240000000244</v>
      </c>
      <c r="T3763" s="1">
        <f t="shared" si="895"/>
        <v>0</v>
      </c>
      <c r="U3763" s="1">
        <f t="shared" si="896"/>
        <v>0</v>
      </c>
      <c r="V3763" s="1">
        <f t="shared" si="897"/>
        <v>0</v>
      </c>
    </row>
    <row r="3764" spans="5:22" x14ac:dyDescent="0.25">
      <c r="E3764" s="4"/>
      <c r="M3764" s="4">
        <f t="shared" si="890"/>
        <v>173.1</v>
      </c>
      <c r="N3764" s="4"/>
      <c r="O3764" s="1">
        <f t="shared" si="891"/>
        <v>173.1</v>
      </c>
      <c r="P3764" s="1">
        <f t="shared" si="892"/>
        <v>0</v>
      </c>
      <c r="Q3764" s="1" t="str">
        <f t="shared" si="898"/>
        <v/>
      </c>
      <c r="R3764" s="1" t="str">
        <f t="shared" si="893"/>
        <v/>
      </c>
      <c r="S3764" s="1">
        <f t="shared" si="894"/>
        <v>630.90240000000244</v>
      </c>
      <c r="T3764" s="1">
        <f t="shared" si="895"/>
        <v>0</v>
      </c>
      <c r="U3764" s="1">
        <f t="shared" si="896"/>
        <v>0</v>
      </c>
      <c r="V3764" s="1">
        <f t="shared" si="897"/>
        <v>0</v>
      </c>
    </row>
    <row r="3765" spans="5:22" x14ac:dyDescent="0.25">
      <c r="E3765" s="4"/>
      <c r="M3765" s="4">
        <f t="shared" si="890"/>
        <v>173.1</v>
      </c>
      <c r="N3765" s="4"/>
      <c r="O3765" s="1">
        <f t="shared" si="891"/>
        <v>173.1</v>
      </c>
      <c r="P3765" s="1">
        <f t="shared" si="892"/>
        <v>0</v>
      </c>
      <c r="Q3765" s="1" t="str">
        <f t="shared" si="898"/>
        <v/>
      </c>
      <c r="R3765" s="1" t="str">
        <f t="shared" si="893"/>
        <v/>
      </c>
      <c r="S3765" s="1">
        <f t="shared" si="894"/>
        <v>630.90240000000244</v>
      </c>
      <c r="T3765" s="1">
        <f t="shared" si="895"/>
        <v>0</v>
      </c>
      <c r="U3765" s="1">
        <f t="shared" si="896"/>
        <v>0</v>
      </c>
      <c r="V3765" s="1">
        <f t="shared" si="897"/>
        <v>0</v>
      </c>
    </row>
    <row r="3766" spans="5:22" x14ac:dyDescent="0.25">
      <c r="E3766" s="4"/>
      <c r="M3766" s="4">
        <f t="shared" si="890"/>
        <v>173.1</v>
      </c>
      <c r="N3766" s="4"/>
      <c r="O3766" s="1">
        <f t="shared" si="891"/>
        <v>173.1</v>
      </c>
      <c r="P3766" s="1">
        <f t="shared" si="892"/>
        <v>0</v>
      </c>
      <c r="Q3766" s="1" t="str">
        <f t="shared" si="898"/>
        <v/>
      </c>
      <c r="R3766" s="1" t="str">
        <f t="shared" si="893"/>
        <v/>
      </c>
      <c r="S3766" s="1">
        <f t="shared" si="894"/>
        <v>630.90240000000244</v>
      </c>
      <c r="T3766" s="1">
        <f t="shared" si="895"/>
        <v>0</v>
      </c>
      <c r="U3766" s="1">
        <f t="shared" si="896"/>
        <v>0</v>
      </c>
      <c r="V3766" s="1">
        <f t="shared" si="897"/>
        <v>0</v>
      </c>
    </row>
    <row r="3767" spans="5:22" x14ac:dyDescent="0.25">
      <c r="E3767" s="4"/>
      <c r="M3767" s="4">
        <f t="shared" si="890"/>
        <v>173.1</v>
      </c>
      <c r="N3767" s="4"/>
      <c r="O3767" s="1">
        <f t="shared" si="891"/>
        <v>173.1</v>
      </c>
      <c r="P3767" s="1">
        <f t="shared" si="892"/>
        <v>0</v>
      </c>
      <c r="Q3767" s="1" t="str">
        <f t="shared" si="898"/>
        <v/>
      </c>
      <c r="R3767" s="1" t="str">
        <f t="shared" si="893"/>
        <v/>
      </c>
      <c r="S3767" s="1">
        <f t="shared" si="894"/>
        <v>630.90240000000244</v>
      </c>
      <c r="T3767" s="1">
        <f t="shared" si="895"/>
        <v>0</v>
      </c>
      <c r="U3767" s="1">
        <f t="shared" si="896"/>
        <v>0</v>
      </c>
      <c r="V3767" s="1">
        <f t="shared" si="897"/>
        <v>0</v>
      </c>
    </row>
    <row r="3768" spans="5:22" x14ac:dyDescent="0.25">
      <c r="E3768" s="4"/>
      <c r="M3768" s="4">
        <f t="shared" si="890"/>
        <v>173.1</v>
      </c>
      <c r="N3768" s="4"/>
      <c r="O3768" s="1">
        <f t="shared" si="891"/>
        <v>173.1</v>
      </c>
      <c r="P3768" s="1">
        <f t="shared" si="892"/>
        <v>0</v>
      </c>
      <c r="Q3768" s="1" t="str">
        <f t="shared" si="898"/>
        <v/>
      </c>
      <c r="R3768" s="1" t="str">
        <f t="shared" si="893"/>
        <v/>
      </c>
      <c r="S3768" s="1">
        <f t="shared" si="894"/>
        <v>630.90240000000244</v>
      </c>
      <c r="T3768" s="1">
        <f t="shared" si="895"/>
        <v>0</v>
      </c>
      <c r="U3768" s="1">
        <f t="shared" si="896"/>
        <v>0</v>
      </c>
      <c r="V3768" s="1">
        <f t="shared" si="897"/>
        <v>0</v>
      </c>
    </row>
    <row r="3769" spans="5:22" x14ac:dyDescent="0.25">
      <c r="E3769" s="4"/>
      <c r="M3769" s="4">
        <f t="shared" si="890"/>
        <v>173.1</v>
      </c>
      <c r="N3769" s="4"/>
      <c r="O3769" s="1">
        <f t="shared" si="891"/>
        <v>173.1</v>
      </c>
      <c r="P3769" s="1">
        <f t="shared" si="892"/>
        <v>0</v>
      </c>
      <c r="Q3769" s="1" t="str">
        <f t="shared" si="898"/>
        <v/>
      </c>
      <c r="R3769" s="1" t="str">
        <f t="shared" si="893"/>
        <v/>
      </c>
      <c r="S3769" s="1">
        <f t="shared" si="894"/>
        <v>630.90240000000244</v>
      </c>
      <c r="T3769" s="1">
        <f t="shared" si="895"/>
        <v>0</v>
      </c>
      <c r="U3769" s="1">
        <f t="shared" si="896"/>
        <v>0</v>
      </c>
      <c r="V3769" s="1">
        <f t="shared" si="897"/>
        <v>0</v>
      </c>
    </row>
    <row r="3770" spans="5:22" x14ac:dyDescent="0.25">
      <c r="E3770" s="4"/>
      <c r="M3770" s="4">
        <f t="shared" si="890"/>
        <v>173.1</v>
      </c>
      <c r="N3770" s="4"/>
      <c r="O3770" s="1">
        <f t="shared" si="891"/>
        <v>173.1</v>
      </c>
      <c r="P3770" s="1">
        <f t="shared" si="892"/>
        <v>0</v>
      </c>
      <c r="Q3770" s="1" t="str">
        <f t="shared" si="898"/>
        <v/>
      </c>
      <c r="R3770" s="1" t="str">
        <f t="shared" si="893"/>
        <v/>
      </c>
      <c r="S3770" s="1">
        <f t="shared" si="894"/>
        <v>630.90240000000244</v>
      </c>
      <c r="T3770" s="1">
        <f t="shared" si="895"/>
        <v>0</v>
      </c>
      <c r="U3770" s="1">
        <f t="shared" si="896"/>
        <v>0</v>
      </c>
      <c r="V3770" s="1">
        <f t="shared" si="897"/>
        <v>0</v>
      </c>
    </row>
    <row r="3771" spans="5:22" x14ac:dyDescent="0.25">
      <c r="E3771" s="4"/>
      <c r="M3771" s="4">
        <f t="shared" si="890"/>
        <v>173.1</v>
      </c>
      <c r="N3771" s="4"/>
      <c r="O3771" s="1">
        <f t="shared" si="891"/>
        <v>173.1</v>
      </c>
      <c r="P3771" s="1">
        <f t="shared" si="892"/>
        <v>0</v>
      </c>
      <c r="Q3771" s="1" t="str">
        <f t="shared" si="898"/>
        <v/>
      </c>
      <c r="R3771" s="1" t="str">
        <f t="shared" si="893"/>
        <v/>
      </c>
      <c r="S3771" s="1">
        <f t="shared" si="894"/>
        <v>630.90240000000244</v>
      </c>
      <c r="T3771" s="1">
        <f t="shared" si="895"/>
        <v>0</v>
      </c>
      <c r="U3771" s="1">
        <f t="shared" si="896"/>
        <v>0</v>
      </c>
      <c r="V3771" s="1">
        <f t="shared" si="897"/>
        <v>0</v>
      </c>
    </row>
    <row r="3772" spans="5:22" x14ac:dyDescent="0.25">
      <c r="E3772" s="4"/>
      <c r="M3772" s="4">
        <f t="shared" si="890"/>
        <v>173.1</v>
      </c>
      <c r="N3772" s="4"/>
      <c r="O3772" s="1">
        <f t="shared" si="891"/>
        <v>173.1</v>
      </c>
      <c r="P3772" s="1">
        <f t="shared" si="892"/>
        <v>0</v>
      </c>
      <c r="Q3772" s="1" t="str">
        <f t="shared" si="898"/>
        <v/>
      </c>
      <c r="R3772" s="1" t="str">
        <f t="shared" si="893"/>
        <v/>
      </c>
      <c r="S3772" s="1">
        <f t="shared" si="894"/>
        <v>630.90240000000244</v>
      </c>
      <c r="T3772" s="1">
        <f t="shared" si="895"/>
        <v>0</v>
      </c>
      <c r="U3772" s="1">
        <f t="shared" si="896"/>
        <v>0</v>
      </c>
      <c r="V3772" s="1">
        <f t="shared" si="897"/>
        <v>0</v>
      </c>
    </row>
    <row r="3773" spans="5:22" x14ac:dyDescent="0.25">
      <c r="E3773" s="4"/>
      <c r="M3773" s="4">
        <f t="shared" si="890"/>
        <v>173.1</v>
      </c>
      <c r="N3773" s="4"/>
      <c r="O3773" s="1">
        <f t="shared" si="891"/>
        <v>173.1</v>
      </c>
      <c r="P3773" s="1">
        <f t="shared" si="892"/>
        <v>0</v>
      </c>
      <c r="Q3773" s="1" t="str">
        <f t="shared" si="898"/>
        <v/>
      </c>
      <c r="R3773" s="1" t="str">
        <f t="shared" si="893"/>
        <v/>
      </c>
      <c r="S3773" s="1">
        <f t="shared" si="894"/>
        <v>630.90240000000244</v>
      </c>
      <c r="T3773" s="1">
        <f t="shared" si="895"/>
        <v>0</v>
      </c>
      <c r="U3773" s="1">
        <f t="shared" si="896"/>
        <v>0</v>
      </c>
      <c r="V3773" s="1">
        <f t="shared" si="897"/>
        <v>0</v>
      </c>
    </row>
    <row r="3774" spans="5:22" x14ac:dyDescent="0.25">
      <c r="E3774" s="4"/>
      <c r="M3774" s="4">
        <f t="shared" si="890"/>
        <v>173.1</v>
      </c>
      <c r="N3774" s="4"/>
      <c r="O3774" s="1">
        <f t="shared" si="891"/>
        <v>173.1</v>
      </c>
      <c r="P3774" s="1">
        <f t="shared" si="892"/>
        <v>0</v>
      </c>
      <c r="Q3774" s="1" t="str">
        <f t="shared" si="898"/>
        <v/>
      </c>
      <c r="R3774" s="1" t="str">
        <f t="shared" si="893"/>
        <v/>
      </c>
      <c r="S3774" s="1">
        <f t="shared" si="894"/>
        <v>630.90240000000244</v>
      </c>
      <c r="T3774" s="1">
        <f t="shared" si="895"/>
        <v>0</v>
      </c>
      <c r="U3774" s="1">
        <f t="shared" si="896"/>
        <v>0</v>
      </c>
      <c r="V3774" s="1">
        <f t="shared" si="897"/>
        <v>0</v>
      </c>
    </row>
    <row r="3775" spans="5:22" x14ac:dyDescent="0.25">
      <c r="E3775" s="4"/>
      <c r="M3775" s="4">
        <f t="shared" si="890"/>
        <v>173.1</v>
      </c>
      <c r="N3775" s="4"/>
      <c r="O3775" s="1">
        <f t="shared" si="891"/>
        <v>173.1</v>
      </c>
      <c r="P3775" s="1">
        <f t="shared" si="892"/>
        <v>0</v>
      </c>
      <c r="Q3775" s="1" t="str">
        <f t="shared" si="898"/>
        <v/>
      </c>
      <c r="R3775" s="1" t="str">
        <f t="shared" si="893"/>
        <v/>
      </c>
      <c r="S3775" s="1">
        <f t="shared" si="894"/>
        <v>630.90240000000244</v>
      </c>
      <c r="T3775" s="1">
        <f t="shared" si="895"/>
        <v>0</v>
      </c>
      <c r="U3775" s="1">
        <f t="shared" si="896"/>
        <v>0</v>
      </c>
      <c r="V3775" s="1">
        <f t="shared" si="897"/>
        <v>0</v>
      </c>
    </row>
    <row r="3776" spans="5:22" x14ac:dyDescent="0.25">
      <c r="E3776" s="4"/>
      <c r="M3776" s="4">
        <f t="shared" si="890"/>
        <v>173.1</v>
      </c>
      <c r="N3776" s="4"/>
      <c r="O3776" s="1">
        <f t="shared" si="891"/>
        <v>173.1</v>
      </c>
      <c r="P3776" s="1">
        <f t="shared" si="892"/>
        <v>0</v>
      </c>
      <c r="Q3776" s="1" t="str">
        <f t="shared" si="898"/>
        <v/>
      </c>
      <c r="R3776" s="1" t="str">
        <f t="shared" si="893"/>
        <v/>
      </c>
      <c r="S3776" s="1">
        <f t="shared" si="894"/>
        <v>630.90240000000244</v>
      </c>
      <c r="T3776" s="1">
        <f t="shared" si="895"/>
        <v>0</v>
      </c>
      <c r="U3776" s="1">
        <f t="shared" si="896"/>
        <v>0</v>
      </c>
      <c r="V3776" s="1">
        <f t="shared" si="897"/>
        <v>0</v>
      </c>
    </row>
    <row r="3777" spans="5:22" x14ac:dyDescent="0.25">
      <c r="E3777" s="4"/>
      <c r="M3777" s="4">
        <f t="shared" si="890"/>
        <v>173.1</v>
      </c>
      <c r="N3777" s="4"/>
      <c r="O3777" s="1">
        <f t="shared" si="891"/>
        <v>173.1</v>
      </c>
      <c r="P3777" s="1">
        <f t="shared" si="892"/>
        <v>0</v>
      </c>
      <c r="Q3777" s="1" t="str">
        <f t="shared" si="898"/>
        <v/>
      </c>
      <c r="R3777" s="1" t="str">
        <f t="shared" si="893"/>
        <v/>
      </c>
      <c r="S3777" s="1">
        <f t="shared" si="894"/>
        <v>630.90240000000244</v>
      </c>
      <c r="T3777" s="1">
        <f t="shared" si="895"/>
        <v>0</v>
      </c>
      <c r="U3777" s="1">
        <f t="shared" si="896"/>
        <v>0</v>
      </c>
      <c r="V3777" s="1">
        <f t="shared" si="897"/>
        <v>0</v>
      </c>
    </row>
    <row r="3778" spans="5:22" x14ac:dyDescent="0.25">
      <c r="E3778" s="4"/>
      <c r="M3778" s="4">
        <f t="shared" si="890"/>
        <v>173.1</v>
      </c>
      <c r="N3778" s="4"/>
      <c r="O3778" s="1">
        <f t="shared" si="891"/>
        <v>173.1</v>
      </c>
      <c r="P3778" s="1">
        <f t="shared" si="892"/>
        <v>0</v>
      </c>
      <c r="Q3778" s="1" t="str">
        <f t="shared" si="898"/>
        <v/>
      </c>
      <c r="R3778" s="1" t="str">
        <f t="shared" si="893"/>
        <v/>
      </c>
      <c r="S3778" s="1">
        <f t="shared" si="894"/>
        <v>630.90240000000244</v>
      </c>
      <c r="T3778" s="1">
        <f t="shared" si="895"/>
        <v>0</v>
      </c>
      <c r="U3778" s="1">
        <f t="shared" si="896"/>
        <v>0</v>
      </c>
      <c r="V3778" s="1">
        <f t="shared" si="897"/>
        <v>0</v>
      </c>
    </row>
    <row r="3779" spans="5:22" x14ac:dyDescent="0.25">
      <c r="E3779" s="4"/>
      <c r="M3779" s="4">
        <f t="shared" si="890"/>
        <v>173.1</v>
      </c>
      <c r="N3779" s="4"/>
      <c r="O3779" s="1">
        <f t="shared" si="891"/>
        <v>173.1</v>
      </c>
      <c r="P3779" s="1">
        <f t="shared" si="892"/>
        <v>0</v>
      </c>
      <c r="Q3779" s="1" t="str">
        <f t="shared" si="898"/>
        <v/>
      </c>
      <c r="R3779" s="1" t="str">
        <f t="shared" si="893"/>
        <v/>
      </c>
      <c r="S3779" s="1">
        <f t="shared" si="894"/>
        <v>630.90240000000244</v>
      </c>
      <c r="T3779" s="1">
        <f t="shared" si="895"/>
        <v>0</v>
      </c>
      <c r="U3779" s="1">
        <f t="shared" si="896"/>
        <v>0</v>
      </c>
      <c r="V3779" s="1">
        <f t="shared" si="897"/>
        <v>0</v>
      </c>
    </row>
    <row r="3780" spans="5:22" x14ac:dyDescent="0.25">
      <c r="E3780" s="4"/>
      <c r="M3780" s="4">
        <f t="shared" si="890"/>
        <v>173.1</v>
      </c>
      <c r="N3780" s="4"/>
      <c r="O3780" s="1">
        <f t="shared" si="891"/>
        <v>173.1</v>
      </c>
      <c r="P3780" s="1">
        <f t="shared" si="892"/>
        <v>0</v>
      </c>
      <c r="Q3780" s="1" t="str">
        <f t="shared" si="898"/>
        <v/>
      </c>
      <c r="R3780" s="1" t="str">
        <f t="shared" si="893"/>
        <v/>
      </c>
      <c r="S3780" s="1">
        <f t="shared" si="894"/>
        <v>630.90240000000244</v>
      </c>
      <c r="T3780" s="1">
        <f t="shared" si="895"/>
        <v>0</v>
      </c>
      <c r="U3780" s="1">
        <f t="shared" si="896"/>
        <v>0</v>
      </c>
      <c r="V3780" s="1">
        <f t="shared" si="897"/>
        <v>0</v>
      </c>
    </row>
    <row r="3781" spans="5:22" x14ac:dyDescent="0.25">
      <c r="E3781" s="4"/>
      <c r="M3781" s="4">
        <f t="shared" si="890"/>
        <v>173.1</v>
      </c>
      <c r="N3781" s="4"/>
      <c r="O3781" s="1">
        <f t="shared" si="891"/>
        <v>173.1</v>
      </c>
      <c r="P3781" s="1">
        <f t="shared" si="892"/>
        <v>0</v>
      </c>
      <c r="Q3781" s="1" t="str">
        <f t="shared" si="898"/>
        <v/>
      </c>
      <c r="R3781" s="1" t="str">
        <f t="shared" si="893"/>
        <v/>
      </c>
      <c r="S3781" s="1">
        <f t="shared" si="894"/>
        <v>630.90240000000244</v>
      </c>
      <c r="T3781" s="1">
        <f t="shared" si="895"/>
        <v>0</v>
      </c>
      <c r="U3781" s="1">
        <f t="shared" si="896"/>
        <v>0</v>
      </c>
      <c r="V3781" s="1">
        <f t="shared" si="897"/>
        <v>0</v>
      </c>
    </row>
    <row r="3782" spans="5:22" x14ac:dyDescent="0.25">
      <c r="E3782" s="4"/>
      <c r="M3782" s="4">
        <f t="shared" si="890"/>
        <v>173.1</v>
      </c>
      <c r="N3782" s="4"/>
      <c r="O3782" s="1">
        <f t="shared" si="891"/>
        <v>173.1</v>
      </c>
      <c r="P3782" s="1">
        <f t="shared" si="892"/>
        <v>0</v>
      </c>
      <c r="Q3782" s="1" t="str">
        <f t="shared" si="898"/>
        <v/>
      </c>
      <c r="R3782" s="1" t="str">
        <f t="shared" si="893"/>
        <v/>
      </c>
      <c r="S3782" s="1">
        <f t="shared" si="894"/>
        <v>630.90240000000244</v>
      </c>
      <c r="T3782" s="1">
        <f t="shared" si="895"/>
        <v>0</v>
      </c>
      <c r="U3782" s="1">
        <f t="shared" si="896"/>
        <v>0</v>
      </c>
      <c r="V3782" s="1">
        <f t="shared" si="897"/>
        <v>0</v>
      </c>
    </row>
    <row r="3783" spans="5:22" x14ac:dyDescent="0.25">
      <c r="E3783" s="4"/>
      <c r="M3783" s="4">
        <f t="shared" si="890"/>
        <v>173.1</v>
      </c>
      <c r="N3783" s="4"/>
      <c r="O3783" s="1">
        <f t="shared" si="891"/>
        <v>173.1</v>
      </c>
      <c r="P3783" s="1">
        <f t="shared" si="892"/>
        <v>0</v>
      </c>
      <c r="Q3783" s="1" t="str">
        <f t="shared" si="898"/>
        <v/>
      </c>
      <c r="R3783" s="1" t="str">
        <f t="shared" si="893"/>
        <v/>
      </c>
      <c r="S3783" s="1">
        <f t="shared" si="894"/>
        <v>630.90240000000244</v>
      </c>
      <c r="T3783" s="1">
        <f t="shared" si="895"/>
        <v>0</v>
      </c>
      <c r="U3783" s="1">
        <f t="shared" si="896"/>
        <v>0</v>
      </c>
      <c r="V3783" s="1">
        <f t="shared" si="897"/>
        <v>0</v>
      </c>
    </row>
    <row r="3784" spans="5:22" x14ac:dyDescent="0.25">
      <c r="E3784" s="4"/>
      <c r="M3784" s="4">
        <f t="shared" ref="M3784:M3847" si="899">E3784+M3783</f>
        <v>173.1</v>
      </c>
      <c r="N3784" s="4"/>
      <c r="O3784" s="1">
        <f t="shared" ref="O3784:O3847" si="900">E3783+O3783</f>
        <v>173.1</v>
      </c>
      <c r="P3784" s="1">
        <f t="shared" ref="P3784:P3847" si="901">F3784*52.8*E3784</f>
        <v>0</v>
      </c>
      <c r="Q3784" s="1" t="str">
        <f t="shared" si="898"/>
        <v/>
      </c>
      <c r="R3784" s="1" t="str">
        <f t="shared" ref="R3784:R3847" si="902">IF(I3784="",Q3784,IF(AND(H3784=H3783,I3784=I3783),"",I3784))</f>
        <v/>
      </c>
      <c r="S3784" s="1">
        <f t="shared" ref="S3784:S3847" si="903">S3783+U3783*T3783/100</f>
        <v>630.90240000000244</v>
      </c>
      <c r="T3784" s="1">
        <f t="shared" ref="T3784:T3847" si="904">IF(G3784="UNK",0,G3784)</f>
        <v>0</v>
      </c>
      <c r="U3784" s="1">
        <f t="shared" ref="U3784:U3847" si="905">E3784*5280</f>
        <v>0</v>
      </c>
      <c r="V3784" s="1">
        <f t="shared" ref="V3784:V3847" si="906">ABS(T3784*U3784)</f>
        <v>0</v>
      </c>
    </row>
    <row r="3785" spans="5:22" x14ac:dyDescent="0.25">
      <c r="E3785" s="4"/>
      <c r="M3785" s="4">
        <f t="shared" si="899"/>
        <v>173.1</v>
      </c>
      <c r="N3785" s="4"/>
      <c r="O3785" s="1">
        <f t="shared" si="900"/>
        <v>173.1</v>
      </c>
      <c r="P3785" s="1">
        <f t="shared" si="901"/>
        <v>0</v>
      </c>
      <c r="Q3785" s="1" t="str">
        <f t="shared" si="898"/>
        <v/>
      </c>
      <c r="R3785" s="1" t="str">
        <f t="shared" si="902"/>
        <v/>
      </c>
      <c r="S3785" s="1">
        <f t="shared" si="903"/>
        <v>630.90240000000244</v>
      </c>
      <c r="T3785" s="1">
        <f t="shared" si="904"/>
        <v>0</v>
      </c>
      <c r="U3785" s="1">
        <f t="shared" si="905"/>
        <v>0</v>
      </c>
      <c r="V3785" s="1">
        <f t="shared" si="906"/>
        <v>0</v>
      </c>
    </row>
    <row r="3786" spans="5:22" x14ac:dyDescent="0.25">
      <c r="E3786" s="4"/>
      <c r="M3786" s="4">
        <f t="shared" si="899"/>
        <v>173.1</v>
      </c>
      <c r="N3786" s="4"/>
      <c r="O3786" s="1">
        <f t="shared" si="900"/>
        <v>173.1</v>
      </c>
      <c r="P3786" s="1">
        <f t="shared" si="901"/>
        <v>0</v>
      </c>
      <c r="Q3786" s="1" t="str">
        <f t="shared" si="898"/>
        <v/>
      </c>
      <c r="R3786" s="1" t="str">
        <f t="shared" si="902"/>
        <v/>
      </c>
      <c r="S3786" s="1">
        <f t="shared" si="903"/>
        <v>630.90240000000244</v>
      </c>
      <c r="T3786" s="1">
        <f t="shared" si="904"/>
        <v>0</v>
      </c>
      <c r="U3786" s="1">
        <f t="shared" si="905"/>
        <v>0</v>
      </c>
      <c r="V3786" s="1">
        <f t="shared" si="906"/>
        <v>0</v>
      </c>
    </row>
    <row r="3787" spans="5:22" x14ac:dyDescent="0.25">
      <c r="E3787" s="4"/>
      <c r="M3787" s="4">
        <f t="shared" si="899"/>
        <v>173.1</v>
      </c>
      <c r="N3787" s="4"/>
      <c r="O3787" s="1">
        <f t="shared" si="900"/>
        <v>173.1</v>
      </c>
      <c r="P3787" s="1">
        <f t="shared" si="901"/>
        <v>0</v>
      </c>
      <c r="Q3787" s="1" t="str">
        <f t="shared" si="898"/>
        <v/>
      </c>
      <c r="R3787" s="1" t="str">
        <f t="shared" si="902"/>
        <v/>
      </c>
      <c r="S3787" s="1">
        <f t="shared" si="903"/>
        <v>630.90240000000244</v>
      </c>
      <c r="T3787" s="1">
        <f t="shared" si="904"/>
        <v>0</v>
      </c>
      <c r="U3787" s="1">
        <f t="shared" si="905"/>
        <v>0</v>
      </c>
      <c r="V3787" s="1">
        <f t="shared" si="906"/>
        <v>0</v>
      </c>
    </row>
    <row r="3788" spans="5:22" x14ac:dyDescent="0.25">
      <c r="E3788" s="4"/>
      <c r="M3788" s="4">
        <f t="shared" si="899"/>
        <v>173.1</v>
      </c>
      <c r="N3788" s="4"/>
      <c r="O3788" s="1">
        <f t="shared" si="900"/>
        <v>173.1</v>
      </c>
      <c r="P3788" s="1">
        <f t="shared" si="901"/>
        <v>0</v>
      </c>
      <c r="Q3788" s="1" t="str">
        <f t="shared" si="898"/>
        <v/>
      </c>
      <c r="R3788" s="1" t="str">
        <f t="shared" si="902"/>
        <v/>
      </c>
      <c r="S3788" s="1">
        <f t="shared" si="903"/>
        <v>630.90240000000244</v>
      </c>
      <c r="T3788" s="1">
        <f t="shared" si="904"/>
        <v>0</v>
      </c>
      <c r="U3788" s="1">
        <f t="shared" si="905"/>
        <v>0</v>
      </c>
      <c r="V3788" s="1">
        <f t="shared" si="906"/>
        <v>0</v>
      </c>
    </row>
    <row r="3789" spans="5:22" x14ac:dyDescent="0.25">
      <c r="E3789" s="4"/>
      <c r="M3789" s="4">
        <f t="shared" si="899"/>
        <v>173.1</v>
      </c>
      <c r="N3789" s="4"/>
      <c r="O3789" s="1">
        <f t="shared" si="900"/>
        <v>173.1</v>
      </c>
      <c r="P3789" s="1">
        <f t="shared" si="901"/>
        <v>0</v>
      </c>
      <c r="Q3789" s="1" t="str">
        <f t="shared" si="898"/>
        <v/>
      </c>
      <c r="R3789" s="1" t="str">
        <f t="shared" si="902"/>
        <v/>
      </c>
      <c r="S3789" s="1">
        <f t="shared" si="903"/>
        <v>630.90240000000244</v>
      </c>
      <c r="T3789" s="1">
        <f t="shared" si="904"/>
        <v>0</v>
      </c>
      <c r="U3789" s="1">
        <f t="shared" si="905"/>
        <v>0</v>
      </c>
      <c r="V3789" s="1">
        <f t="shared" si="906"/>
        <v>0</v>
      </c>
    </row>
    <row r="3790" spans="5:22" x14ac:dyDescent="0.25">
      <c r="E3790" s="4"/>
      <c r="M3790" s="4">
        <f t="shared" si="899"/>
        <v>173.1</v>
      </c>
      <c r="N3790" s="4"/>
      <c r="O3790" s="1">
        <f t="shared" si="900"/>
        <v>173.1</v>
      </c>
      <c r="P3790" s="1">
        <f t="shared" si="901"/>
        <v>0</v>
      </c>
      <c r="Q3790" s="1" t="str">
        <f t="shared" si="898"/>
        <v/>
      </c>
      <c r="R3790" s="1" t="str">
        <f t="shared" si="902"/>
        <v/>
      </c>
      <c r="S3790" s="1">
        <f t="shared" si="903"/>
        <v>630.90240000000244</v>
      </c>
      <c r="T3790" s="1">
        <f t="shared" si="904"/>
        <v>0</v>
      </c>
      <c r="U3790" s="1">
        <f t="shared" si="905"/>
        <v>0</v>
      </c>
      <c r="V3790" s="1">
        <f t="shared" si="906"/>
        <v>0</v>
      </c>
    </row>
    <row r="3791" spans="5:22" x14ac:dyDescent="0.25">
      <c r="E3791" s="4"/>
      <c r="M3791" s="4">
        <f t="shared" si="899"/>
        <v>173.1</v>
      </c>
      <c r="N3791" s="4"/>
      <c r="O3791" s="1">
        <f t="shared" si="900"/>
        <v>173.1</v>
      </c>
      <c r="P3791" s="1">
        <f t="shared" si="901"/>
        <v>0</v>
      </c>
      <c r="Q3791" s="1" t="str">
        <f t="shared" si="898"/>
        <v/>
      </c>
      <c r="R3791" s="1" t="str">
        <f t="shared" si="902"/>
        <v/>
      </c>
      <c r="S3791" s="1">
        <f t="shared" si="903"/>
        <v>630.90240000000244</v>
      </c>
      <c r="T3791" s="1">
        <f t="shared" si="904"/>
        <v>0</v>
      </c>
      <c r="U3791" s="1">
        <f t="shared" si="905"/>
        <v>0</v>
      </c>
      <c r="V3791" s="1">
        <f t="shared" si="906"/>
        <v>0</v>
      </c>
    </row>
    <row r="3792" spans="5:22" x14ac:dyDescent="0.25">
      <c r="E3792" s="4"/>
      <c r="M3792" s="4">
        <f t="shared" si="899"/>
        <v>173.1</v>
      </c>
      <c r="N3792" s="4"/>
      <c r="O3792" s="1">
        <f t="shared" si="900"/>
        <v>173.1</v>
      </c>
      <c r="P3792" s="1">
        <f t="shared" si="901"/>
        <v>0</v>
      </c>
      <c r="Q3792" s="1" t="str">
        <f t="shared" si="898"/>
        <v/>
      </c>
      <c r="R3792" s="1" t="str">
        <f t="shared" si="902"/>
        <v/>
      </c>
      <c r="S3792" s="1">
        <f t="shared" si="903"/>
        <v>630.90240000000244</v>
      </c>
      <c r="T3792" s="1">
        <f t="shared" si="904"/>
        <v>0</v>
      </c>
      <c r="U3792" s="1">
        <f t="shared" si="905"/>
        <v>0</v>
      </c>
      <c r="V3792" s="1">
        <f t="shared" si="906"/>
        <v>0</v>
      </c>
    </row>
    <row r="3793" spans="5:22" x14ac:dyDescent="0.25">
      <c r="E3793" s="4"/>
      <c r="M3793" s="4">
        <f t="shared" si="899"/>
        <v>173.1</v>
      </c>
      <c r="N3793" s="4"/>
      <c r="O3793" s="1">
        <f t="shared" si="900"/>
        <v>173.1</v>
      </c>
      <c r="P3793" s="1">
        <f t="shared" si="901"/>
        <v>0</v>
      </c>
      <c r="Q3793" s="1" t="str">
        <f t="shared" si="898"/>
        <v/>
      </c>
      <c r="R3793" s="1" t="str">
        <f t="shared" si="902"/>
        <v/>
      </c>
      <c r="S3793" s="1">
        <f t="shared" si="903"/>
        <v>630.90240000000244</v>
      </c>
      <c r="T3793" s="1">
        <f t="shared" si="904"/>
        <v>0</v>
      </c>
      <c r="U3793" s="1">
        <f t="shared" si="905"/>
        <v>0</v>
      </c>
      <c r="V3793" s="1">
        <f t="shared" si="906"/>
        <v>0</v>
      </c>
    </row>
    <row r="3794" spans="5:22" x14ac:dyDescent="0.25">
      <c r="E3794" s="4"/>
      <c r="M3794" s="4">
        <f t="shared" si="899"/>
        <v>173.1</v>
      </c>
      <c r="N3794" s="4"/>
      <c r="O3794" s="1">
        <f t="shared" si="900"/>
        <v>173.1</v>
      </c>
      <c r="P3794" s="1">
        <f t="shared" si="901"/>
        <v>0</v>
      </c>
      <c r="Q3794" s="1" t="str">
        <f t="shared" si="898"/>
        <v/>
      </c>
      <c r="R3794" s="1" t="str">
        <f t="shared" si="902"/>
        <v/>
      </c>
      <c r="S3794" s="1">
        <f t="shared" si="903"/>
        <v>630.90240000000244</v>
      </c>
      <c r="T3794" s="1">
        <f t="shared" si="904"/>
        <v>0</v>
      </c>
      <c r="U3794" s="1">
        <f t="shared" si="905"/>
        <v>0</v>
      </c>
      <c r="V3794" s="1">
        <f t="shared" si="906"/>
        <v>0</v>
      </c>
    </row>
    <row r="3795" spans="5:22" x14ac:dyDescent="0.25">
      <c r="E3795" s="4"/>
      <c r="M3795" s="4">
        <f t="shared" si="899"/>
        <v>173.1</v>
      </c>
      <c r="N3795" s="4"/>
      <c r="O3795" s="1">
        <f t="shared" si="900"/>
        <v>173.1</v>
      </c>
      <c r="P3795" s="1">
        <f t="shared" si="901"/>
        <v>0</v>
      </c>
      <c r="Q3795" s="1" t="str">
        <f t="shared" si="898"/>
        <v/>
      </c>
      <c r="R3795" s="1" t="str">
        <f t="shared" si="902"/>
        <v/>
      </c>
      <c r="S3795" s="1">
        <f t="shared" si="903"/>
        <v>630.90240000000244</v>
      </c>
      <c r="T3795" s="1">
        <f t="shared" si="904"/>
        <v>0</v>
      </c>
      <c r="U3795" s="1">
        <f t="shared" si="905"/>
        <v>0</v>
      </c>
      <c r="V3795" s="1">
        <f t="shared" si="906"/>
        <v>0</v>
      </c>
    </row>
    <row r="3796" spans="5:22" x14ac:dyDescent="0.25">
      <c r="E3796" s="4"/>
      <c r="M3796" s="4">
        <f t="shared" si="899"/>
        <v>173.1</v>
      </c>
      <c r="N3796" s="4"/>
      <c r="O3796" s="1">
        <f t="shared" si="900"/>
        <v>173.1</v>
      </c>
      <c r="P3796" s="1">
        <f t="shared" si="901"/>
        <v>0</v>
      </c>
      <c r="Q3796" s="1" t="str">
        <f t="shared" si="898"/>
        <v/>
      </c>
      <c r="R3796" s="1" t="str">
        <f t="shared" si="902"/>
        <v/>
      </c>
      <c r="S3796" s="1">
        <f t="shared" si="903"/>
        <v>630.90240000000244</v>
      </c>
      <c r="T3796" s="1">
        <f t="shared" si="904"/>
        <v>0</v>
      </c>
      <c r="U3796" s="1">
        <f t="shared" si="905"/>
        <v>0</v>
      </c>
      <c r="V3796" s="1">
        <f t="shared" si="906"/>
        <v>0</v>
      </c>
    </row>
    <row r="3797" spans="5:22" x14ac:dyDescent="0.25">
      <c r="E3797" s="4"/>
      <c r="M3797" s="4">
        <f t="shared" si="899"/>
        <v>173.1</v>
      </c>
      <c r="N3797" s="4"/>
      <c r="O3797" s="1">
        <f t="shared" si="900"/>
        <v>173.1</v>
      </c>
      <c r="P3797" s="1">
        <f t="shared" si="901"/>
        <v>0</v>
      </c>
      <c r="Q3797" s="1" t="str">
        <f t="shared" si="898"/>
        <v/>
      </c>
      <c r="R3797" s="1" t="str">
        <f t="shared" si="902"/>
        <v/>
      </c>
      <c r="S3797" s="1">
        <f t="shared" si="903"/>
        <v>630.90240000000244</v>
      </c>
      <c r="T3797" s="1">
        <f t="shared" si="904"/>
        <v>0</v>
      </c>
      <c r="U3797" s="1">
        <f t="shared" si="905"/>
        <v>0</v>
      </c>
      <c r="V3797" s="1">
        <f t="shared" si="906"/>
        <v>0</v>
      </c>
    </row>
    <row r="3798" spans="5:22" x14ac:dyDescent="0.25">
      <c r="E3798" s="4"/>
      <c r="M3798" s="4">
        <f t="shared" si="899"/>
        <v>173.1</v>
      </c>
      <c r="N3798" s="4"/>
      <c r="O3798" s="1">
        <f t="shared" si="900"/>
        <v>173.1</v>
      </c>
      <c r="P3798" s="1">
        <f t="shared" si="901"/>
        <v>0</v>
      </c>
      <c r="Q3798" s="1" t="str">
        <f t="shared" si="898"/>
        <v/>
      </c>
      <c r="R3798" s="1" t="str">
        <f t="shared" si="902"/>
        <v/>
      </c>
      <c r="S3798" s="1">
        <f t="shared" si="903"/>
        <v>630.90240000000244</v>
      </c>
      <c r="T3798" s="1">
        <f t="shared" si="904"/>
        <v>0</v>
      </c>
      <c r="U3798" s="1">
        <f t="shared" si="905"/>
        <v>0</v>
      </c>
      <c r="V3798" s="1">
        <f t="shared" si="906"/>
        <v>0</v>
      </c>
    </row>
    <row r="3799" spans="5:22" x14ac:dyDescent="0.25">
      <c r="E3799" s="4"/>
      <c r="M3799" s="4">
        <f t="shared" si="899"/>
        <v>173.1</v>
      </c>
      <c r="N3799" s="4"/>
      <c r="O3799" s="1">
        <f t="shared" si="900"/>
        <v>173.1</v>
      </c>
      <c r="P3799" s="1">
        <f t="shared" si="901"/>
        <v>0</v>
      </c>
      <c r="Q3799" s="1" t="str">
        <f t="shared" si="898"/>
        <v/>
      </c>
      <c r="R3799" s="1" t="str">
        <f t="shared" si="902"/>
        <v/>
      </c>
      <c r="S3799" s="1">
        <f t="shared" si="903"/>
        <v>630.90240000000244</v>
      </c>
      <c r="T3799" s="1">
        <f t="shared" si="904"/>
        <v>0</v>
      </c>
      <c r="U3799" s="1">
        <f t="shared" si="905"/>
        <v>0</v>
      </c>
      <c r="V3799" s="1">
        <f t="shared" si="906"/>
        <v>0</v>
      </c>
    </row>
    <row r="3800" spans="5:22" x14ac:dyDescent="0.25">
      <c r="E3800" s="4"/>
      <c r="M3800" s="4">
        <f t="shared" si="899"/>
        <v>173.1</v>
      </c>
      <c r="N3800" s="4"/>
      <c r="O3800" s="1">
        <f t="shared" si="900"/>
        <v>173.1</v>
      </c>
      <c r="P3800" s="1">
        <f t="shared" si="901"/>
        <v>0</v>
      </c>
      <c r="Q3800" s="1" t="str">
        <f t="shared" si="898"/>
        <v/>
      </c>
      <c r="R3800" s="1" t="str">
        <f t="shared" si="902"/>
        <v/>
      </c>
      <c r="S3800" s="1">
        <f t="shared" si="903"/>
        <v>630.90240000000244</v>
      </c>
      <c r="T3800" s="1">
        <f t="shared" si="904"/>
        <v>0</v>
      </c>
      <c r="U3800" s="1">
        <f t="shared" si="905"/>
        <v>0</v>
      </c>
      <c r="V3800" s="1">
        <f t="shared" si="906"/>
        <v>0</v>
      </c>
    </row>
    <row r="3801" spans="5:22" x14ac:dyDescent="0.25">
      <c r="E3801" s="4"/>
      <c r="M3801" s="4">
        <f t="shared" si="899"/>
        <v>173.1</v>
      </c>
      <c r="N3801" s="4"/>
      <c r="O3801" s="1">
        <f t="shared" si="900"/>
        <v>173.1</v>
      </c>
      <c r="P3801" s="1">
        <f t="shared" si="901"/>
        <v>0</v>
      </c>
      <c r="Q3801" s="1" t="str">
        <f t="shared" si="898"/>
        <v/>
      </c>
      <c r="R3801" s="1" t="str">
        <f t="shared" si="902"/>
        <v/>
      </c>
      <c r="S3801" s="1">
        <f t="shared" si="903"/>
        <v>630.90240000000244</v>
      </c>
      <c r="T3801" s="1">
        <f t="shared" si="904"/>
        <v>0</v>
      </c>
      <c r="U3801" s="1">
        <f t="shared" si="905"/>
        <v>0</v>
      </c>
      <c r="V3801" s="1">
        <f t="shared" si="906"/>
        <v>0</v>
      </c>
    </row>
    <row r="3802" spans="5:22" x14ac:dyDescent="0.25">
      <c r="E3802" s="4"/>
      <c r="M3802" s="4">
        <f t="shared" si="899"/>
        <v>173.1</v>
      </c>
      <c r="N3802" s="4"/>
      <c r="O3802" s="1">
        <f t="shared" si="900"/>
        <v>173.1</v>
      </c>
      <c r="P3802" s="1">
        <f t="shared" si="901"/>
        <v>0</v>
      </c>
      <c r="Q3802" s="1" t="str">
        <f t="shared" si="898"/>
        <v/>
      </c>
      <c r="R3802" s="1" t="str">
        <f t="shared" si="902"/>
        <v/>
      </c>
      <c r="S3802" s="1">
        <f t="shared" si="903"/>
        <v>630.90240000000244</v>
      </c>
      <c r="T3802" s="1">
        <f t="shared" si="904"/>
        <v>0</v>
      </c>
      <c r="U3802" s="1">
        <f t="shared" si="905"/>
        <v>0</v>
      </c>
      <c r="V3802" s="1">
        <f t="shared" si="906"/>
        <v>0</v>
      </c>
    </row>
    <row r="3803" spans="5:22" x14ac:dyDescent="0.25">
      <c r="E3803" s="4"/>
      <c r="M3803" s="4">
        <f t="shared" si="899"/>
        <v>173.1</v>
      </c>
      <c r="N3803" s="4"/>
      <c r="O3803" s="1">
        <f t="shared" si="900"/>
        <v>173.1</v>
      </c>
      <c r="P3803" s="1">
        <f t="shared" si="901"/>
        <v>0</v>
      </c>
      <c r="Q3803" s="1" t="str">
        <f t="shared" si="898"/>
        <v/>
      </c>
      <c r="R3803" s="1" t="str">
        <f t="shared" si="902"/>
        <v/>
      </c>
      <c r="S3803" s="1">
        <f t="shared" si="903"/>
        <v>630.90240000000244</v>
      </c>
      <c r="T3803" s="1">
        <f t="shared" si="904"/>
        <v>0</v>
      </c>
      <c r="U3803" s="1">
        <f t="shared" si="905"/>
        <v>0</v>
      </c>
      <c r="V3803" s="1">
        <f t="shared" si="906"/>
        <v>0</v>
      </c>
    </row>
    <row r="3804" spans="5:22" x14ac:dyDescent="0.25">
      <c r="E3804" s="4"/>
      <c r="M3804" s="4">
        <f t="shared" si="899"/>
        <v>173.1</v>
      </c>
      <c r="N3804" s="4"/>
      <c r="O3804" s="1">
        <f t="shared" si="900"/>
        <v>173.1</v>
      </c>
      <c r="P3804" s="1">
        <f t="shared" si="901"/>
        <v>0</v>
      </c>
      <c r="Q3804" s="1" t="str">
        <f t="shared" si="898"/>
        <v/>
      </c>
      <c r="R3804" s="1" t="str">
        <f t="shared" si="902"/>
        <v/>
      </c>
      <c r="S3804" s="1">
        <f t="shared" si="903"/>
        <v>630.90240000000244</v>
      </c>
      <c r="T3804" s="1">
        <f t="shared" si="904"/>
        <v>0</v>
      </c>
      <c r="U3804" s="1">
        <f t="shared" si="905"/>
        <v>0</v>
      </c>
      <c r="V3804" s="1">
        <f t="shared" si="906"/>
        <v>0</v>
      </c>
    </row>
    <row r="3805" spans="5:22" x14ac:dyDescent="0.25">
      <c r="E3805" s="4"/>
      <c r="M3805" s="4">
        <f t="shared" si="899"/>
        <v>173.1</v>
      </c>
      <c r="N3805" s="4"/>
      <c r="O3805" s="1">
        <f t="shared" si="900"/>
        <v>173.1</v>
      </c>
      <c r="P3805" s="1">
        <f t="shared" si="901"/>
        <v>0</v>
      </c>
      <c r="Q3805" s="1" t="str">
        <f t="shared" si="898"/>
        <v/>
      </c>
      <c r="R3805" s="1" t="str">
        <f t="shared" si="902"/>
        <v/>
      </c>
      <c r="S3805" s="1">
        <f t="shared" si="903"/>
        <v>630.90240000000244</v>
      </c>
      <c r="T3805" s="1">
        <f t="shared" si="904"/>
        <v>0</v>
      </c>
      <c r="U3805" s="1">
        <f t="shared" si="905"/>
        <v>0</v>
      </c>
      <c r="V3805" s="1">
        <f t="shared" si="906"/>
        <v>0</v>
      </c>
    </row>
    <row r="3806" spans="5:22" x14ac:dyDescent="0.25">
      <c r="E3806" s="4"/>
      <c r="M3806" s="4">
        <f t="shared" si="899"/>
        <v>173.1</v>
      </c>
      <c r="N3806" s="4"/>
      <c r="O3806" s="1">
        <f t="shared" si="900"/>
        <v>173.1</v>
      </c>
      <c r="P3806" s="1">
        <f t="shared" si="901"/>
        <v>0</v>
      </c>
      <c r="Q3806" s="1" t="str">
        <f t="shared" si="898"/>
        <v/>
      </c>
      <c r="R3806" s="1" t="str">
        <f t="shared" si="902"/>
        <v/>
      </c>
      <c r="S3806" s="1">
        <f t="shared" si="903"/>
        <v>630.90240000000244</v>
      </c>
      <c r="T3806" s="1">
        <f t="shared" si="904"/>
        <v>0</v>
      </c>
      <c r="U3806" s="1">
        <f t="shared" si="905"/>
        <v>0</v>
      </c>
      <c r="V3806" s="1">
        <f t="shared" si="906"/>
        <v>0</v>
      </c>
    </row>
    <row r="3807" spans="5:22" x14ac:dyDescent="0.25">
      <c r="E3807" s="4"/>
      <c r="M3807" s="4">
        <f t="shared" si="899"/>
        <v>173.1</v>
      </c>
      <c r="N3807" s="4"/>
      <c r="O3807" s="1">
        <f t="shared" si="900"/>
        <v>173.1</v>
      </c>
      <c r="P3807" s="1">
        <f t="shared" si="901"/>
        <v>0</v>
      </c>
      <c r="Q3807" s="1" t="str">
        <f t="shared" si="898"/>
        <v/>
      </c>
      <c r="R3807" s="1" t="str">
        <f t="shared" si="902"/>
        <v/>
      </c>
      <c r="S3807" s="1">
        <f t="shared" si="903"/>
        <v>630.90240000000244</v>
      </c>
      <c r="T3807" s="1">
        <f t="shared" si="904"/>
        <v>0</v>
      </c>
      <c r="U3807" s="1">
        <f t="shared" si="905"/>
        <v>0</v>
      </c>
      <c r="V3807" s="1">
        <f t="shared" si="906"/>
        <v>0</v>
      </c>
    </row>
    <row r="3808" spans="5:22" x14ac:dyDescent="0.25">
      <c r="E3808" s="4"/>
      <c r="M3808" s="4">
        <f t="shared" si="899"/>
        <v>173.1</v>
      </c>
      <c r="N3808" s="4"/>
      <c r="O3808" s="1">
        <f t="shared" si="900"/>
        <v>173.1</v>
      </c>
      <c r="P3808" s="1">
        <f t="shared" si="901"/>
        <v>0</v>
      </c>
      <c r="Q3808" s="1" t="str">
        <f t="shared" si="898"/>
        <v/>
      </c>
      <c r="R3808" s="1" t="str">
        <f t="shared" si="902"/>
        <v/>
      </c>
      <c r="S3808" s="1">
        <f t="shared" si="903"/>
        <v>630.90240000000244</v>
      </c>
      <c r="T3808" s="1">
        <f t="shared" si="904"/>
        <v>0</v>
      </c>
      <c r="U3808" s="1">
        <f t="shared" si="905"/>
        <v>0</v>
      </c>
      <c r="V3808" s="1">
        <f t="shared" si="906"/>
        <v>0</v>
      </c>
    </row>
    <row r="3809" spans="5:22" x14ac:dyDescent="0.25">
      <c r="E3809" s="4"/>
      <c r="M3809" s="4">
        <f t="shared" si="899"/>
        <v>173.1</v>
      </c>
      <c r="N3809" s="4"/>
      <c r="O3809" s="1">
        <f t="shared" si="900"/>
        <v>173.1</v>
      </c>
      <c r="P3809" s="1">
        <f t="shared" si="901"/>
        <v>0</v>
      </c>
      <c r="Q3809" s="1" t="str">
        <f t="shared" si="898"/>
        <v/>
      </c>
      <c r="R3809" s="1" t="str">
        <f t="shared" si="902"/>
        <v/>
      </c>
      <c r="S3809" s="1">
        <f t="shared" si="903"/>
        <v>630.90240000000244</v>
      </c>
      <c r="T3809" s="1">
        <f t="shared" si="904"/>
        <v>0</v>
      </c>
      <c r="U3809" s="1">
        <f t="shared" si="905"/>
        <v>0</v>
      </c>
      <c r="V3809" s="1">
        <f t="shared" si="906"/>
        <v>0</v>
      </c>
    </row>
    <row r="3810" spans="5:22" x14ac:dyDescent="0.25">
      <c r="E3810" s="4"/>
      <c r="M3810" s="4">
        <f t="shared" si="899"/>
        <v>173.1</v>
      </c>
      <c r="N3810" s="4"/>
      <c r="O3810" s="1">
        <f t="shared" si="900"/>
        <v>173.1</v>
      </c>
      <c r="P3810" s="1">
        <f t="shared" si="901"/>
        <v>0</v>
      </c>
      <c r="Q3810" s="1" t="str">
        <f t="shared" si="898"/>
        <v/>
      </c>
      <c r="R3810" s="1" t="str">
        <f t="shared" si="902"/>
        <v/>
      </c>
      <c r="S3810" s="1">
        <f t="shared" si="903"/>
        <v>630.90240000000244</v>
      </c>
      <c r="T3810" s="1">
        <f t="shared" si="904"/>
        <v>0</v>
      </c>
      <c r="U3810" s="1">
        <f t="shared" si="905"/>
        <v>0</v>
      </c>
      <c r="V3810" s="1">
        <f t="shared" si="906"/>
        <v>0</v>
      </c>
    </row>
    <row r="3811" spans="5:22" x14ac:dyDescent="0.25">
      <c r="E3811" s="4"/>
      <c r="M3811" s="4">
        <f t="shared" si="899"/>
        <v>173.1</v>
      </c>
      <c r="N3811" s="4"/>
      <c r="O3811" s="1">
        <f t="shared" si="900"/>
        <v>173.1</v>
      </c>
      <c r="P3811" s="1">
        <f t="shared" si="901"/>
        <v>0</v>
      </c>
      <c r="Q3811" s="1" t="str">
        <f t="shared" si="898"/>
        <v/>
      </c>
      <c r="R3811" s="1" t="str">
        <f t="shared" si="902"/>
        <v/>
      </c>
      <c r="S3811" s="1">
        <f t="shared" si="903"/>
        <v>630.90240000000244</v>
      </c>
      <c r="T3811" s="1">
        <f t="shared" si="904"/>
        <v>0</v>
      </c>
      <c r="U3811" s="1">
        <f t="shared" si="905"/>
        <v>0</v>
      </c>
      <c r="V3811" s="1">
        <f t="shared" si="906"/>
        <v>0</v>
      </c>
    </row>
    <row r="3812" spans="5:22" x14ac:dyDescent="0.25">
      <c r="E3812" s="4"/>
      <c r="M3812" s="4">
        <f t="shared" si="899"/>
        <v>173.1</v>
      </c>
      <c r="N3812" s="4"/>
      <c r="O3812" s="1">
        <f t="shared" si="900"/>
        <v>173.1</v>
      </c>
      <c r="P3812" s="1">
        <f t="shared" si="901"/>
        <v>0</v>
      </c>
      <c r="Q3812" s="1" t="str">
        <f t="shared" si="898"/>
        <v/>
      </c>
      <c r="R3812" s="1" t="str">
        <f t="shared" si="902"/>
        <v/>
      </c>
      <c r="S3812" s="1">
        <f t="shared" si="903"/>
        <v>630.90240000000244</v>
      </c>
      <c r="T3812" s="1">
        <f t="shared" si="904"/>
        <v>0</v>
      </c>
      <c r="U3812" s="1">
        <f t="shared" si="905"/>
        <v>0</v>
      </c>
      <c r="V3812" s="1">
        <f t="shared" si="906"/>
        <v>0</v>
      </c>
    </row>
    <row r="3813" spans="5:22" x14ac:dyDescent="0.25">
      <c r="E3813" s="4"/>
      <c r="M3813" s="4">
        <f t="shared" si="899"/>
        <v>173.1</v>
      </c>
      <c r="N3813" s="4"/>
      <c r="O3813" s="1">
        <f t="shared" si="900"/>
        <v>173.1</v>
      </c>
      <c r="P3813" s="1">
        <f t="shared" si="901"/>
        <v>0</v>
      </c>
      <c r="Q3813" s="1" t="str">
        <f t="shared" si="898"/>
        <v/>
      </c>
      <c r="R3813" s="1" t="str">
        <f t="shared" si="902"/>
        <v/>
      </c>
      <c r="S3813" s="1">
        <f t="shared" si="903"/>
        <v>630.90240000000244</v>
      </c>
      <c r="T3813" s="1">
        <f t="shared" si="904"/>
        <v>0</v>
      </c>
      <c r="U3813" s="1">
        <f t="shared" si="905"/>
        <v>0</v>
      </c>
      <c r="V3813" s="1">
        <f t="shared" si="906"/>
        <v>0</v>
      </c>
    </row>
    <row r="3814" spans="5:22" x14ac:dyDescent="0.25">
      <c r="E3814" s="4"/>
      <c r="M3814" s="4">
        <f t="shared" si="899"/>
        <v>173.1</v>
      </c>
      <c r="N3814" s="4"/>
      <c r="O3814" s="1">
        <f t="shared" si="900"/>
        <v>173.1</v>
      </c>
      <c r="P3814" s="1">
        <f t="shared" si="901"/>
        <v>0</v>
      </c>
      <c r="Q3814" s="1" t="str">
        <f t="shared" si="898"/>
        <v/>
      </c>
      <c r="R3814" s="1" t="str">
        <f t="shared" si="902"/>
        <v/>
      </c>
      <c r="S3814" s="1">
        <f t="shared" si="903"/>
        <v>630.90240000000244</v>
      </c>
      <c r="T3814" s="1">
        <f t="shared" si="904"/>
        <v>0</v>
      </c>
      <c r="U3814" s="1">
        <f t="shared" si="905"/>
        <v>0</v>
      </c>
      <c r="V3814" s="1">
        <f t="shared" si="906"/>
        <v>0</v>
      </c>
    </row>
    <row r="3815" spans="5:22" x14ac:dyDescent="0.25">
      <c r="E3815" s="4"/>
      <c r="M3815" s="4">
        <f t="shared" si="899"/>
        <v>173.1</v>
      </c>
      <c r="N3815" s="4"/>
      <c r="O3815" s="1">
        <f t="shared" si="900"/>
        <v>173.1</v>
      </c>
      <c r="P3815" s="1">
        <f t="shared" si="901"/>
        <v>0</v>
      </c>
      <c r="Q3815" s="1" t="str">
        <f t="shared" si="898"/>
        <v/>
      </c>
      <c r="R3815" s="1" t="str">
        <f t="shared" si="902"/>
        <v/>
      </c>
      <c r="S3815" s="1">
        <f t="shared" si="903"/>
        <v>630.90240000000244</v>
      </c>
      <c r="T3815" s="1">
        <f t="shared" si="904"/>
        <v>0</v>
      </c>
      <c r="U3815" s="1">
        <f t="shared" si="905"/>
        <v>0</v>
      </c>
      <c r="V3815" s="1">
        <f t="shared" si="906"/>
        <v>0</v>
      </c>
    </row>
    <row r="3816" spans="5:22" x14ac:dyDescent="0.25">
      <c r="E3816" s="4"/>
      <c r="M3816" s="4">
        <f t="shared" si="899"/>
        <v>173.1</v>
      </c>
      <c r="N3816" s="4"/>
      <c r="O3816" s="1">
        <f t="shared" si="900"/>
        <v>173.1</v>
      </c>
      <c r="P3816" s="1">
        <f t="shared" si="901"/>
        <v>0</v>
      </c>
      <c r="Q3816" s="1" t="str">
        <f t="shared" si="898"/>
        <v/>
      </c>
      <c r="R3816" s="1" t="str">
        <f t="shared" si="902"/>
        <v/>
      </c>
      <c r="S3816" s="1">
        <f t="shared" si="903"/>
        <v>630.90240000000244</v>
      </c>
      <c r="T3816" s="1">
        <f t="shared" si="904"/>
        <v>0</v>
      </c>
      <c r="U3816" s="1">
        <f t="shared" si="905"/>
        <v>0</v>
      </c>
      <c r="V3816" s="1">
        <f t="shared" si="906"/>
        <v>0</v>
      </c>
    </row>
    <row r="3817" spans="5:22" x14ac:dyDescent="0.25">
      <c r="E3817" s="4"/>
      <c r="M3817" s="4">
        <f t="shared" si="899"/>
        <v>173.1</v>
      </c>
      <c r="N3817" s="4"/>
      <c r="O3817" s="1">
        <f t="shared" si="900"/>
        <v>173.1</v>
      </c>
      <c r="P3817" s="1">
        <f t="shared" si="901"/>
        <v>0</v>
      </c>
      <c r="Q3817" s="1" t="str">
        <f t="shared" si="898"/>
        <v/>
      </c>
      <c r="R3817" s="1" t="str">
        <f t="shared" si="902"/>
        <v/>
      </c>
      <c r="S3817" s="1">
        <f t="shared" si="903"/>
        <v>630.90240000000244</v>
      </c>
      <c r="T3817" s="1">
        <f t="shared" si="904"/>
        <v>0</v>
      </c>
      <c r="U3817" s="1">
        <f t="shared" si="905"/>
        <v>0</v>
      </c>
      <c r="V3817" s="1">
        <f t="shared" si="906"/>
        <v>0</v>
      </c>
    </row>
    <row r="3818" spans="5:22" x14ac:dyDescent="0.25">
      <c r="E3818" s="4"/>
      <c r="M3818" s="4">
        <f t="shared" si="899"/>
        <v>173.1</v>
      </c>
      <c r="N3818" s="4"/>
      <c r="O3818" s="1">
        <f t="shared" si="900"/>
        <v>173.1</v>
      </c>
      <c r="P3818" s="1">
        <f t="shared" si="901"/>
        <v>0</v>
      </c>
      <c r="Q3818" s="1" t="str">
        <f t="shared" si="898"/>
        <v/>
      </c>
      <c r="R3818" s="1" t="str">
        <f t="shared" si="902"/>
        <v/>
      </c>
      <c r="S3818" s="1">
        <f t="shared" si="903"/>
        <v>630.90240000000244</v>
      </c>
      <c r="T3818" s="1">
        <f t="shared" si="904"/>
        <v>0</v>
      </c>
      <c r="U3818" s="1">
        <f t="shared" si="905"/>
        <v>0</v>
      </c>
      <c r="V3818" s="1">
        <f t="shared" si="906"/>
        <v>0</v>
      </c>
    </row>
    <row r="3819" spans="5:22" x14ac:dyDescent="0.25">
      <c r="E3819" s="4"/>
      <c r="M3819" s="4">
        <f t="shared" si="899"/>
        <v>173.1</v>
      </c>
      <c r="N3819" s="4"/>
      <c r="O3819" s="1">
        <f t="shared" si="900"/>
        <v>173.1</v>
      </c>
      <c r="P3819" s="1">
        <f t="shared" si="901"/>
        <v>0</v>
      </c>
      <c r="Q3819" s="1" t="str">
        <f t="shared" si="898"/>
        <v/>
      </c>
      <c r="R3819" s="1" t="str">
        <f t="shared" si="902"/>
        <v/>
      </c>
      <c r="S3819" s="1">
        <f t="shared" si="903"/>
        <v>630.90240000000244</v>
      </c>
      <c r="T3819" s="1">
        <f t="shared" si="904"/>
        <v>0</v>
      </c>
      <c r="U3819" s="1">
        <f t="shared" si="905"/>
        <v>0</v>
      </c>
      <c r="V3819" s="1">
        <f t="shared" si="906"/>
        <v>0</v>
      </c>
    </row>
    <row r="3820" spans="5:22" x14ac:dyDescent="0.25">
      <c r="E3820" s="4"/>
      <c r="M3820" s="4">
        <f t="shared" si="899"/>
        <v>173.1</v>
      </c>
      <c r="N3820" s="4"/>
      <c r="O3820" s="1">
        <f t="shared" si="900"/>
        <v>173.1</v>
      </c>
      <c r="P3820" s="1">
        <f t="shared" si="901"/>
        <v>0</v>
      </c>
      <c r="Q3820" s="1" t="str">
        <f t="shared" si="898"/>
        <v/>
      </c>
      <c r="R3820" s="1" t="str">
        <f t="shared" si="902"/>
        <v/>
      </c>
      <c r="S3820" s="1">
        <f t="shared" si="903"/>
        <v>630.90240000000244</v>
      </c>
      <c r="T3820" s="1">
        <f t="shared" si="904"/>
        <v>0</v>
      </c>
      <c r="U3820" s="1">
        <f t="shared" si="905"/>
        <v>0</v>
      </c>
      <c r="V3820" s="1">
        <f t="shared" si="906"/>
        <v>0</v>
      </c>
    </row>
    <row r="3821" spans="5:22" x14ac:dyDescent="0.25">
      <c r="E3821" s="4"/>
      <c r="M3821" s="4">
        <f t="shared" si="899"/>
        <v>173.1</v>
      </c>
      <c r="N3821" s="4"/>
      <c r="O3821" s="1">
        <f t="shared" si="900"/>
        <v>173.1</v>
      </c>
      <c r="P3821" s="1">
        <f t="shared" si="901"/>
        <v>0</v>
      </c>
      <c r="Q3821" s="1" t="str">
        <f t="shared" si="898"/>
        <v/>
      </c>
      <c r="R3821" s="1" t="str">
        <f t="shared" si="902"/>
        <v/>
      </c>
      <c r="S3821" s="1">
        <f t="shared" si="903"/>
        <v>630.90240000000244</v>
      </c>
      <c r="T3821" s="1">
        <f t="shared" si="904"/>
        <v>0</v>
      </c>
      <c r="U3821" s="1">
        <f t="shared" si="905"/>
        <v>0</v>
      </c>
      <c r="V3821" s="1">
        <f t="shared" si="906"/>
        <v>0</v>
      </c>
    </row>
    <row r="3822" spans="5:22" x14ac:dyDescent="0.25">
      <c r="E3822" s="4"/>
      <c r="M3822" s="4">
        <f t="shared" si="899"/>
        <v>173.1</v>
      </c>
      <c r="N3822" s="4"/>
      <c r="O3822" s="1">
        <f t="shared" si="900"/>
        <v>173.1</v>
      </c>
      <c r="P3822" s="1">
        <f t="shared" si="901"/>
        <v>0</v>
      </c>
      <c r="Q3822" s="1" t="str">
        <f t="shared" si="898"/>
        <v/>
      </c>
      <c r="R3822" s="1" t="str">
        <f t="shared" si="902"/>
        <v/>
      </c>
      <c r="S3822" s="1">
        <f t="shared" si="903"/>
        <v>630.90240000000244</v>
      </c>
      <c r="T3822" s="1">
        <f t="shared" si="904"/>
        <v>0</v>
      </c>
      <c r="U3822" s="1">
        <f t="shared" si="905"/>
        <v>0</v>
      </c>
      <c r="V3822" s="1">
        <f t="shared" si="906"/>
        <v>0</v>
      </c>
    </row>
    <row r="3823" spans="5:22" x14ac:dyDescent="0.25">
      <c r="E3823" s="4"/>
      <c r="M3823" s="4">
        <f t="shared" si="899"/>
        <v>173.1</v>
      </c>
      <c r="N3823" s="4"/>
      <c r="O3823" s="1">
        <f t="shared" si="900"/>
        <v>173.1</v>
      </c>
      <c r="P3823" s="1">
        <f t="shared" si="901"/>
        <v>0</v>
      </c>
      <c r="Q3823" s="1" t="str">
        <f t="shared" si="898"/>
        <v/>
      </c>
      <c r="R3823" s="1" t="str">
        <f t="shared" si="902"/>
        <v/>
      </c>
      <c r="S3823" s="1">
        <f t="shared" si="903"/>
        <v>630.90240000000244</v>
      </c>
      <c r="T3823" s="1">
        <f t="shared" si="904"/>
        <v>0</v>
      </c>
      <c r="U3823" s="1">
        <f t="shared" si="905"/>
        <v>0</v>
      </c>
      <c r="V3823" s="1">
        <f t="shared" si="906"/>
        <v>0</v>
      </c>
    </row>
    <row r="3824" spans="5:22" x14ac:dyDescent="0.25">
      <c r="E3824" s="4"/>
      <c r="M3824" s="4">
        <f t="shared" si="899"/>
        <v>173.1</v>
      </c>
      <c r="N3824" s="4"/>
      <c r="O3824" s="1">
        <f t="shared" si="900"/>
        <v>173.1</v>
      </c>
      <c r="P3824" s="1">
        <f t="shared" si="901"/>
        <v>0</v>
      </c>
      <c r="Q3824" s="1" t="str">
        <f t="shared" si="898"/>
        <v/>
      </c>
      <c r="R3824" s="1" t="str">
        <f t="shared" si="902"/>
        <v/>
      </c>
      <c r="S3824" s="1">
        <f t="shared" si="903"/>
        <v>630.90240000000244</v>
      </c>
      <c r="T3824" s="1">
        <f t="shared" si="904"/>
        <v>0</v>
      </c>
      <c r="U3824" s="1">
        <f t="shared" si="905"/>
        <v>0</v>
      </c>
      <c r="V3824" s="1">
        <f t="shared" si="906"/>
        <v>0</v>
      </c>
    </row>
    <row r="3825" spans="5:22" x14ac:dyDescent="0.25">
      <c r="E3825" s="4"/>
      <c r="M3825" s="4">
        <f t="shared" si="899"/>
        <v>173.1</v>
      </c>
      <c r="N3825" s="4"/>
      <c r="O3825" s="1">
        <f t="shared" si="900"/>
        <v>173.1</v>
      </c>
      <c r="P3825" s="1">
        <f t="shared" si="901"/>
        <v>0</v>
      </c>
      <c r="Q3825" s="1" t="str">
        <f t="shared" si="898"/>
        <v/>
      </c>
      <c r="R3825" s="1" t="str">
        <f t="shared" si="902"/>
        <v/>
      </c>
      <c r="S3825" s="1">
        <f t="shared" si="903"/>
        <v>630.90240000000244</v>
      </c>
      <c r="T3825" s="1">
        <f t="shared" si="904"/>
        <v>0</v>
      </c>
      <c r="U3825" s="1">
        <f t="shared" si="905"/>
        <v>0</v>
      </c>
      <c r="V3825" s="1">
        <f t="shared" si="906"/>
        <v>0</v>
      </c>
    </row>
    <row r="3826" spans="5:22" x14ac:dyDescent="0.25">
      <c r="E3826" s="4"/>
      <c r="M3826" s="4">
        <f t="shared" si="899"/>
        <v>173.1</v>
      </c>
      <c r="N3826" s="4"/>
      <c r="O3826" s="1">
        <f t="shared" si="900"/>
        <v>173.1</v>
      </c>
      <c r="P3826" s="1">
        <f t="shared" si="901"/>
        <v>0</v>
      </c>
      <c r="Q3826" s="1" t="str">
        <f t="shared" ref="Q3826:Q3889" si="907">IF(H3826&lt;&gt;"",IF(H3826=H3825,"",H3826),IF(H3824="","",MAX(H3825,Q3825)))</f>
        <v/>
      </c>
      <c r="R3826" s="1" t="str">
        <f t="shared" si="902"/>
        <v/>
      </c>
      <c r="S3826" s="1">
        <f t="shared" si="903"/>
        <v>630.90240000000244</v>
      </c>
      <c r="T3826" s="1">
        <f t="shared" si="904"/>
        <v>0</v>
      </c>
      <c r="U3826" s="1">
        <f t="shared" si="905"/>
        <v>0</v>
      </c>
      <c r="V3826" s="1">
        <f t="shared" si="906"/>
        <v>0</v>
      </c>
    </row>
    <row r="3827" spans="5:22" x14ac:dyDescent="0.25">
      <c r="E3827" s="4"/>
      <c r="M3827" s="4">
        <f t="shared" si="899"/>
        <v>173.1</v>
      </c>
      <c r="N3827" s="4"/>
      <c r="O3827" s="1">
        <f t="shared" si="900"/>
        <v>173.1</v>
      </c>
      <c r="P3827" s="1">
        <f t="shared" si="901"/>
        <v>0</v>
      </c>
      <c r="Q3827" s="1" t="str">
        <f t="shared" si="907"/>
        <v/>
      </c>
      <c r="R3827" s="1" t="str">
        <f t="shared" si="902"/>
        <v/>
      </c>
      <c r="S3827" s="1">
        <f t="shared" si="903"/>
        <v>630.90240000000244</v>
      </c>
      <c r="T3827" s="1">
        <f t="shared" si="904"/>
        <v>0</v>
      </c>
      <c r="U3827" s="1">
        <f t="shared" si="905"/>
        <v>0</v>
      </c>
      <c r="V3827" s="1">
        <f t="shared" si="906"/>
        <v>0</v>
      </c>
    </row>
    <row r="3828" spans="5:22" x14ac:dyDescent="0.25">
      <c r="E3828" s="4"/>
      <c r="M3828" s="4">
        <f t="shared" si="899"/>
        <v>173.1</v>
      </c>
      <c r="N3828" s="4"/>
      <c r="O3828" s="1">
        <f t="shared" si="900"/>
        <v>173.1</v>
      </c>
      <c r="P3828" s="1">
        <f t="shared" si="901"/>
        <v>0</v>
      </c>
      <c r="Q3828" s="1" t="str">
        <f t="shared" si="907"/>
        <v/>
      </c>
      <c r="R3828" s="1" t="str">
        <f t="shared" si="902"/>
        <v/>
      </c>
      <c r="S3828" s="1">
        <f t="shared" si="903"/>
        <v>630.90240000000244</v>
      </c>
      <c r="T3828" s="1">
        <f t="shared" si="904"/>
        <v>0</v>
      </c>
      <c r="U3828" s="1">
        <f t="shared" si="905"/>
        <v>0</v>
      </c>
      <c r="V3828" s="1">
        <f t="shared" si="906"/>
        <v>0</v>
      </c>
    </row>
    <row r="3829" spans="5:22" x14ac:dyDescent="0.25">
      <c r="E3829" s="4"/>
      <c r="M3829" s="4">
        <f t="shared" si="899"/>
        <v>173.1</v>
      </c>
      <c r="N3829" s="4"/>
      <c r="O3829" s="1">
        <f t="shared" si="900"/>
        <v>173.1</v>
      </c>
      <c r="P3829" s="1">
        <f t="shared" si="901"/>
        <v>0</v>
      </c>
      <c r="Q3829" s="1" t="str">
        <f t="shared" si="907"/>
        <v/>
      </c>
      <c r="R3829" s="1" t="str">
        <f t="shared" si="902"/>
        <v/>
      </c>
      <c r="S3829" s="1">
        <f t="shared" si="903"/>
        <v>630.90240000000244</v>
      </c>
      <c r="T3829" s="1">
        <f t="shared" si="904"/>
        <v>0</v>
      </c>
      <c r="U3829" s="1">
        <f t="shared" si="905"/>
        <v>0</v>
      </c>
      <c r="V3829" s="1">
        <f t="shared" si="906"/>
        <v>0</v>
      </c>
    </row>
    <row r="3830" spans="5:22" x14ac:dyDescent="0.25">
      <c r="E3830" s="4"/>
      <c r="M3830" s="4">
        <f t="shared" si="899"/>
        <v>173.1</v>
      </c>
      <c r="N3830" s="4"/>
      <c r="O3830" s="1">
        <f t="shared" si="900"/>
        <v>173.1</v>
      </c>
      <c r="P3830" s="1">
        <f t="shared" si="901"/>
        <v>0</v>
      </c>
      <c r="Q3830" s="1" t="str">
        <f t="shared" si="907"/>
        <v/>
      </c>
      <c r="R3830" s="1" t="str">
        <f t="shared" si="902"/>
        <v/>
      </c>
      <c r="S3830" s="1">
        <f t="shared" si="903"/>
        <v>630.90240000000244</v>
      </c>
      <c r="T3830" s="1">
        <f t="shared" si="904"/>
        <v>0</v>
      </c>
      <c r="U3830" s="1">
        <f t="shared" si="905"/>
        <v>0</v>
      </c>
      <c r="V3830" s="1">
        <f t="shared" si="906"/>
        <v>0</v>
      </c>
    </row>
    <row r="3831" spans="5:22" x14ac:dyDescent="0.25">
      <c r="E3831" s="4"/>
      <c r="M3831" s="4">
        <f t="shared" si="899"/>
        <v>173.1</v>
      </c>
      <c r="N3831" s="4"/>
      <c r="O3831" s="1">
        <f t="shared" si="900"/>
        <v>173.1</v>
      </c>
      <c r="P3831" s="1">
        <f t="shared" si="901"/>
        <v>0</v>
      </c>
      <c r="Q3831" s="1" t="str">
        <f t="shared" si="907"/>
        <v/>
      </c>
      <c r="R3831" s="1" t="str">
        <f t="shared" si="902"/>
        <v/>
      </c>
      <c r="S3831" s="1">
        <f t="shared" si="903"/>
        <v>630.90240000000244</v>
      </c>
      <c r="T3831" s="1">
        <f t="shared" si="904"/>
        <v>0</v>
      </c>
      <c r="U3831" s="1">
        <f t="shared" si="905"/>
        <v>0</v>
      </c>
      <c r="V3831" s="1">
        <f t="shared" si="906"/>
        <v>0</v>
      </c>
    </row>
    <row r="3832" spans="5:22" x14ac:dyDescent="0.25">
      <c r="E3832" s="4"/>
      <c r="M3832" s="4">
        <f t="shared" si="899"/>
        <v>173.1</v>
      </c>
      <c r="N3832" s="4"/>
      <c r="O3832" s="1">
        <f t="shared" si="900"/>
        <v>173.1</v>
      </c>
      <c r="P3832" s="1">
        <f t="shared" si="901"/>
        <v>0</v>
      </c>
      <c r="Q3832" s="1" t="str">
        <f t="shared" si="907"/>
        <v/>
      </c>
      <c r="R3832" s="1" t="str">
        <f t="shared" si="902"/>
        <v/>
      </c>
      <c r="S3832" s="1">
        <f t="shared" si="903"/>
        <v>630.90240000000244</v>
      </c>
      <c r="T3832" s="1">
        <f t="shared" si="904"/>
        <v>0</v>
      </c>
      <c r="U3832" s="1">
        <f t="shared" si="905"/>
        <v>0</v>
      </c>
      <c r="V3832" s="1">
        <f t="shared" si="906"/>
        <v>0</v>
      </c>
    </row>
    <row r="3833" spans="5:22" x14ac:dyDescent="0.25">
      <c r="E3833" s="4"/>
      <c r="M3833" s="4">
        <f t="shared" si="899"/>
        <v>173.1</v>
      </c>
      <c r="N3833" s="4"/>
      <c r="O3833" s="1">
        <f t="shared" si="900"/>
        <v>173.1</v>
      </c>
      <c r="P3833" s="1">
        <f t="shared" si="901"/>
        <v>0</v>
      </c>
      <c r="Q3833" s="1" t="str">
        <f t="shared" si="907"/>
        <v/>
      </c>
      <c r="R3833" s="1" t="str">
        <f t="shared" si="902"/>
        <v/>
      </c>
      <c r="S3833" s="1">
        <f t="shared" si="903"/>
        <v>630.90240000000244</v>
      </c>
      <c r="T3833" s="1">
        <f t="shared" si="904"/>
        <v>0</v>
      </c>
      <c r="U3833" s="1">
        <f t="shared" si="905"/>
        <v>0</v>
      </c>
      <c r="V3833" s="1">
        <f t="shared" si="906"/>
        <v>0</v>
      </c>
    </row>
    <row r="3834" spans="5:22" x14ac:dyDescent="0.25">
      <c r="E3834" s="4"/>
      <c r="M3834" s="4">
        <f t="shared" si="899"/>
        <v>173.1</v>
      </c>
      <c r="N3834" s="4"/>
      <c r="O3834" s="1">
        <f t="shared" si="900"/>
        <v>173.1</v>
      </c>
      <c r="P3834" s="1">
        <f t="shared" si="901"/>
        <v>0</v>
      </c>
      <c r="Q3834" s="1" t="str">
        <f t="shared" si="907"/>
        <v/>
      </c>
      <c r="R3834" s="1" t="str">
        <f t="shared" si="902"/>
        <v/>
      </c>
      <c r="S3834" s="1">
        <f t="shared" si="903"/>
        <v>630.90240000000244</v>
      </c>
      <c r="T3834" s="1">
        <f t="shared" si="904"/>
        <v>0</v>
      </c>
      <c r="U3834" s="1">
        <f t="shared" si="905"/>
        <v>0</v>
      </c>
      <c r="V3834" s="1">
        <f t="shared" si="906"/>
        <v>0</v>
      </c>
    </row>
    <row r="3835" spans="5:22" x14ac:dyDescent="0.25">
      <c r="E3835" s="4"/>
      <c r="M3835" s="4">
        <f t="shared" si="899"/>
        <v>173.1</v>
      </c>
      <c r="N3835" s="4"/>
      <c r="O3835" s="1">
        <f t="shared" si="900"/>
        <v>173.1</v>
      </c>
      <c r="P3835" s="1">
        <f t="shared" si="901"/>
        <v>0</v>
      </c>
      <c r="Q3835" s="1" t="str">
        <f t="shared" si="907"/>
        <v/>
      </c>
      <c r="R3835" s="1" t="str">
        <f t="shared" si="902"/>
        <v/>
      </c>
      <c r="S3835" s="1">
        <f t="shared" si="903"/>
        <v>630.90240000000244</v>
      </c>
      <c r="T3835" s="1">
        <f t="shared" si="904"/>
        <v>0</v>
      </c>
      <c r="U3835" s="1">
        <f t="shared" si="905"/>
        <v>0</v>
      </c>
      <c r="V3835" s="1">
        <f t="shared" si="906"/>
        <v>0</v>
      </c>
    </row>
    <row r="3836" spans="5:22" x14ac:dyDescent="0.25">
      <c r="E3836" s="4"/>
      <c r="M3836" s="4">
        <f t="shared" si="899"/>
        <v>173.1</v>
      </c>
      <c r="N3836" s="4"/>
      <c r="O3836" s="1">
        <f t="shared" si="900"/>
        <v>173.1</v>
      </c>
      <c r="P3836" s="1">
        <f t="shared" si="901"/>
        <v>0</v>
      </c>
      <c r="Q3836" s="1" t="str">
        <f t="shared" si="907"/>
        <v/>
      </c>
      <c r="R3836" s="1" t="str">
        <f t="shared" si="902"/>
        <v/>
      </c>
      <c r="S3836" s="1">
        <f t="shared" si="903"/>
        <v>630.90240000000244</v>
      </c>
      <c r="T3836" s="1">
        <f t="shared" si="904"/>
        <v>0</v>
      </c>
      <c r="U3836" s="1">
        <f t="shared" si="905"/>
        <v>0</v>
      </c>
      <c r="V3836" s="1">
        <f t="shared" si="906"/>
        <v>0</v>
      </c>
    </row>
    <row r="3837" spans="5:22" x14ac:dyDescent="0.25">
      <c r="E3837" s="4"/>
      <c r="M3837" s="4">
        <f t="shared" si="899"/>
        <v>173.1</v>
      </c>
      <c r="N3837" s="4"/>
      <c r="O3837" s="1">
        <f t="shared" si="900"/>
        <v>173.1</v>
      </c>
      <c r="P3837" s="1">
        <f t="shared" si="901"/>
        <v>0</v>
      </c>
      <c r="Q3837" s="1" t="str">
        <f t="shared" si="907"/>
        <v/>
      </c>
      <c r="R3837" s="1" t="str">
        <f t="shared" si="902"/>
        <v/>
      </c>
      <c r="S3837" s="1">
        <f t="shared" si="903"/>
        <v>630.90240000000244</v>
      </c>
      <c r="T3837" s="1">
        <f t="shared" si="904"/>
        <v>0</v>
      </c>
      <c r="U3837" s="1">
        <f t="shared" si="905"/>
        <v>0</v>
      </c>
      <c r="V3837" s="1">
        <f t="shared" si="906"/>
        <v>0</v>
      </c>
    </row>
    <row r="3838" spans="5:22" x14ac:dyDescent="0.25">
      <c r="E3838" s="4"/>
      <c r="M3838" s="4">
        <f t="shared" si="899"/>
        <v>173.1</v>
      </c>
      <c r="N3838" s="4"/>
      <c r="O3838" s="1">
        <f t="shared" si="900"/>
        <v>173.1</v>
      </c>
      <c r="P3838" s="1">
        <f t="shared" si="901"/>
        <v>0</v>
      </c>
      <c r="Q3838" s="1" t="str">
        <f t="shared" si="907"/>
        <v/>
      </c>
      <c r="R3838" s="1" t="str">
        <f t="shared" si="902"/>
        <v/>
      </c>
      <c r="S3838" s="1">
        <f t="shared" si="903"/>
        <v>630.90240000000244</v>
      </c>
      <c r="T3838" s="1">
        <f t="shared" si="904"/>
        <v>0</v>
      </c>
      <c r="U3838" s="1">
        <f t="shared" si="905"/>
        <v>0</v>
      </c>
      <c r="V3838" s="1">
        <f t="shared" si="906"/>
        <v>0</v>
      </c>
    </row>
    <row r="3839" spans="5:22" x14ac:dyDescent="0.25">
      <c r="E3839" s="4"/>
      <c r="M3839" s="4">
        <f t="shared" si="899"/>
        <v>173.1</v>
      </c>
      <c r="N3839" s="4"/>
      <c r="O3839" s="1">
        <f t="shared" si="900"/>
        <v>173.1</v>
      </c>
      <c r="P3839" s="1">
        <f t="shared" si="901"/>
        <v>0</v>
      </c>
      <c r="Q3839" s="1" t="str">
        <f t="shared" si="907"/>
        <v/>
      </c>
      <c r="R3839" s="1" t="str">
        <f t="shared" si="902"/>
        <v/>
      </c>
      <c r="S3839" s="1">
        <f t="shared" si="903"/>
        <v>630.90240000000244</v>
      </c>
      <c r="T3839" s="1">
        <f t="shared" si="904"/>
        <v>0</v>
      </c>
      <c r="U3839" s="1">
        <f t="shared" si="905"/>
        <v>0</v>
      </c>
      <c r="V3839" s="1">
        <f t="shared" si="906"/>
        <v>0</v>
      </c>
    </row>
    <row r="3840" spans="5:22" x14ac:dyDescent="0.25">
      <c r="E3840" s="4"/>
      <c r="M3840" s="4">
        <f t="shared" si="899"/>
        <v>173.1</v>
      </c>
      <c r="N3840" s="4"/>
      <c r="O3840" s="1">
        <f t="shared" si="900"/>
        <v>173.1</v>
      </c>
      <c r="P3840" s="1">
        <f t="shared" si="901"/>
        <v>0</v>
      </c>
      <c r="Q3840" s="1" t="str">
        <f t="shared" si="907"/>
        <v/>
      </c>
      <c r="R3840" s="1" t="str">
        <f t="shared" si="902"/>
        <v/>
      </c>
      <c r="S3840" s="1">
        <f t="shared" si="903"/>
        <v>630.90240000000244</v>
      </c>
      <c r="T3840" s="1">
        <f t="shared" si="904"/>
        <v>0</v>
      </c>
      <c r="U3840" s="1">
        <f t="shared" si="905"/>
        <v>0</v>
      </c>
      <c r="V3840" s="1">
        <f t="shared" si="906"/>
        <v>0</v>
      </c>
    </row>
    <row r="3841" spans="5:22" x14ac:dyDescent="0.25">
      <c r="E3841" s="4"/>
      <c r="M3841" s="4">
        <f t="shared" si="899"/>
        <v>173.1</v>
      </c>
      <c r="N3841" s="4"/>
      <c r="O3841" s="1">
        <f t="shared" si="900"/>
        <v>173.1</v>
      </c>
      <c r="P3841" s="1">
        <f t="shared" si="901"/>
        <v>0</v>
      </c>
      <c r="Q3841" s="1" t="str">
        <f t="shared" si="907"/>
        <v/>
      </c>
      <c r="R3841" s="1" t="str">
        <f t="shared" si="902"/>
        <v/>
      </c>
      <c r="S3841" s="1">
        <f t="shared" si="903"/>
        <v>630.90240000000244</v>
      </c>
      <c r="T3841" s="1">
        <f t="shared" si="904"/>
        <v>0</v>
      </c>
      <c r="U3841" s="1">
        <f t="shared" si="905"/>
        <v>0</v>
      </c>
      <c r="V3841" s="1">
        <f t="shared" si="906"/>
        <v>0</v>
      </c>
    </row>
    <row r="3842" spans="5:22" x14ac:dyDescent="0.25">
      <c r="E3842" s="4"/>
      <c r="M3842" s="4">
        <f t="shared" si="899"/>
        <v>173.1</v>
      </c>
      <c r="N3842" s="4"/>
      <c r="O3842" s="1">
        <f t="shared" si="900"/>
        <v>173.1</v>
      </c>
      <c r="P3842" s="1">
        <f t="shared" si="901"/>
        <v>0</v>
      </c>
      <c r="Q3842" s="1" t="str">
        <f t="shared" si="907"/>
        <v/>
      </c>
      <c r="R3842" s="1" t="str">
        <f t="shared" si="902"/>
        <v/>
      </c>
      <c r="S3842" s="1">
        <f t="shared" si="903"/>
        <v>630.90240000000244</v>
      </c>
      <c r="T3842" s="1">
        <f t="shared" si="904"/>
        <v>0</v>
      </c>
      <c r="U3842" s="1">
        <f t="shared" si="905"/>
        <v>0</v>
      </c>
      <c r="V3842" s="1">
        <f t="shared" si="906"/>
        <v>0</v>
      </c>
    </row>
    <row r="3843" spans="5:22" x14ac:dyDescent="0.25">
      <c r="E3843" s="4"/>
      <c r="M3843" s="4">
        <f t="shared" si="899"/>
        <v>173.1</v>
      </c>
      <c r="N3843" s="4"/>
      <c r="O3843" s="1">
        <f t="shared" si="900"/>
        <v>173.1</v>
      </c>
      <c r="P3843" s="1">
        <f t="shared" si="901"/>
        <v>0</v>
      </c>
      <c r="Q3843" s="1" t="str">
        <f t="shared" si="907"/>
        <v/>
      </c>
      <c r="R3843" s="1" t="str">
        <f t="shared" si="902"/>
        <v/>
      </c>
      <c r="S3843" s="1">
        <f t="shared" si="903"/>
        <v>630.90240000000244</v>
      </c>
      <c r="T3843" s="1">
        <f t="shared" si="904"/>
        <v>0</v>
      </c>
      <c r="U3843" s="1">
        <f t="shared" si="905"/>
        <v>0</v>
      </c>
      <c r="V3843" s="1">
        <f t="shared" si="906"/>
        <v>0</v>
      </c>
    </row>
    <row r="3844" spans="5:22" x14ac:dyDescent="0.25">
      <c r="E3844" s="4"/>
      <c r="M3844" s="4">
        <f t="shared" si="899"/>
        <v>173.1</v>
      </c>
      <c r="N3844" s="4"/>
      <c r="O3844" s="1">
        <f t="shared" si="900"/>
        <v>173.1</v>
      </c>
      <c r="P3844" s="1">
        <f t="shared" si="901"/>
        <v>0</v>
      </c>
      <c r="Q3844" s="1" t="str">
        <f t="shared" si="907"/>
        <v/>
      </c>
      <c r="R3844" s="1" t="str">
        <f t="shared" si="902"/>
        <v/>
      </c>
      <c r="S3844" s="1">
        <f t="shared" si="903"/>
        <v>630.90240000000244</v>
      </c>
      <c r="T3844" s="1">
        <f t="shared" si="904"/>
        <v>0</v>
      </c>
      <c r="U3844" s="1">
        <f t="shared" si="905"/>
        <v>0</v>
      </c>
      <c r="V3844" s="1">
        <f t="shared" si="906"/>
        <v>0</v>
      </c>
    </row>
    <row r="3845" spans="5:22" x14ac:dyDescent="0.25">
      <c r="E3845" s="4"/>
      <c r="M3845" s="4">
        <f t="shared" si="899"/>
        <v>173.1</v>
      </c>
      <c r="N3845" s="4"/>
      <c r="O3845" s="1">
        <f t="shared" si="900"/>
        <v>173.1</v>
      </c>
      <c r="P3845" s="1">
        <f t="shared" si="901"/>
        <v>0</v>
      </c>
      <c r="Q3845" s="1" t="str">
        <f t="shared" si="907"/>
        <v/>
      </c>
      <c r="R3845" s="1" t="str">
        <f t="shared" si="902"/>
        <v/>
      </c>
      <c r="S3845" s="1">
        <f t="shared" si="903"/>
        <v>630.90240000000244</v>
      </c>
      <c r="T3845" s="1">
        <f t="shared" si="904"/>
        <v>0</v>
      </c>
      <c r="U3845" s="1">
        <f t="shared" si="905"/>
        <v>0</v>
      </c>
      <c r="V3845" s="1">
        <f t="shared" si="906"/>
        <v>0</v>
      </c>
    </row>
    <row r="3846" spans="5:22" x14ac:dyDescent="0.25">
      <c r="E3846" s="4"/>
      <c r="M3846" s="4">
        <f t="shared" si="899"/>
        <v>173.1</v>
      </c>
      <c r="N3846" s="4"/>
      <c r="O3846" s="1">
        <f t="shared" si="900"/>
        <v>173.1</v>
      </c>
      <c r="P3846" s="1">
        <f t="shared" si="901"/>
        <v>0</v>
      </c>
      <c r="Q3846" s="1" t="str">
        <f t="shared" si="907"/>
        <v/>
      </c>
      <c r="R3846" s="1" t="str">
        <f t="shared" si="902"/>
        <v/>
      </c>
      <c r="S3846" s="1">
        <f t="shared" si="903"/>
        <v>630.90240000000244</v>
      </c>
      <c r="T3846" s="1">
        <f t="shared" si="904"/>
        <v>0</v>
      </c>
      <c r="U3846" s="1">
        <f t="shared" si="905"/>
        <v>0</v>
      </c>
      <c r="V3846" s="1">
        <f t="shared" si="906"/>
        <v>0</v>
      </c>
    </row>
    <row r="3847" spans="5:22" x14ac:dyDescent="0.25">
      <c r="E3847" s="4"/>
      <c r="M3847" s="4">
        <f t="shared" si="899"/>
        <v>173.1</v>
      </c>
      <c r="N3847" s="4"/>
      <c r="O3847" s="1">
        <f t="shared" si="900"/>
        <v>173.1</v>
      </c>
      <c r="P3847" s="1">
        <f t="shared" si="901"/>
        <v>0</v>
      </c>
      <c r="Q3847" s="1" t="str">
        <f t="shared" si="907"/>
        <v/>
      </c>
      <c r="R3847" s="1" t="str">
        <f t="shared" si="902"/>
        <v/>
      </c>
      <c r="S3847" s="1">
        <f t="shared" si="903"/>
        <v>630.90240000000244</v>
      </c>
      <c r="T3847" s="1">
        <f t="shared" si="904"/>
        <v>0</v>
      </c>
      <c r="U3847" s="1">
        <f t="shared" si="905"/>
        <v>0</v>
      </c>
      <c r="V3847" s="1">
        <f t="shared" si="906"/>
        <v>0</v>
      </c>
    </row>
    <row r="3848" spans="5:22" x14ac:dyDescent="0.25">
      <c r="E3848" s="4"/>
      <c r="M3848" s="4">
        <f t="shared" ref="M3848:M3911" si="908">E3848+M3847</f>
        <v>173.1</v>
      </c>
      <c r="N3848" s="4"/>
      <c r="O3848" s="1">
        <f t="shared" ref="O3848:O3911" si="909">E3847+O3847</f>
        <v>173.1</v>
      </c>
      <c r="P3848" s="1">
        <f t="shared" ref="P3848:P3911" si="910">F3848*52.8*E3848</f>
        <v>0</v>
      </c>
      <c r="Q3848" s="1" t="str">
        <f t="shared" si="907"/>
        <v/>
      </c>
      <c r="R3848" s="1" t="str">
        <f t="shared" ref="R3848:R3911" si="911">IF(I3848="",Q3848,IF(AND(H3848=H3847,I3848=I3847),"",I3848))</f>
        <v/>
      </c>
      <c r="S3848" s="1">
        <f t="shared" ref="S3848:S3911" si="912">S3847+U3847*T3847/100</f>
        <v>630.90240000000244</v>
      </c>
      <c r="T3848" s="1">
        <f t="shared" ref="T3848:T3911" si="913">IF(G3848="UNK",0,G3848)</f>
        <v>0</v>
      </c>
      <c r="U3848" s="1">
        <f t="shared" ref="U3848:U3911" si="914">E3848*5280</f>
        <v>0</v>
      </c>
      <c r="V3848" s="1">
        <f t="shared" ref="V3848:V3911" si="915">ABS(T3848*U3848)</f>
        <v>0</v>
      </c>
    </row>
    <row r="3849" spans="5:22" x14ac:dyDescent="0.25">
      <c r="E3849" s="4"/>
      <c r="M3849" s="4">
        <f t="shared" si="908"/>
        <v>173.1</v>
      </c>
      <c r="N3849" s="4"/>
      <c r="O3849" s="1">
        <f t="shared" si="909"/>
        <v>173.1</v>
      </c>
      <c r="P3849" s="1">
        <f t="shared" si="910"/>
        <v>0</v>
      </c>
      <c r="Q3849" s="1" t="str">
        <f t="shared" si="907"/>
        <v/>
      </c>
      <c r="R3849" s="1" t="str">
        <f t="shared" si="911"/>
        <v/>
      </c>
      <c r="S3849" s="1">
        <f t="shared" si="912"/>
        <v>630.90240000000244</v>
      </c>
      <c r="T3849" s="1">
        <f t="shared" si="913"/>
        <v>0</v>
      </c>
      <c r="U3849" s="1">
        <f t="shared" si="914"/>
        <v>0</v>
      </c>
      <c r="V3849" s="1">
        <f t="shared" si="915"/>
        <v>0</v>
      </c>
    </row>
    <row r="3850" spans="5:22" x14ac:dyDescent="0.25">
      <c r="E3850" s="4"/>
      <c r="M3850" s="4">
        <f t="shared" si="908"/>
        <v>173.1</v>
      </c>
      <c r="N3850" s="4"/>
      <c r="O3850" s="1">
        <f t="shared" si="909"/>
        <v>173.1</v>
      </c>
      <c r="P3850" s="1">
        <f t="shared" si="910"/>
        <v>0</v>
      </c>
      <c r="Q3850" s="1" t="str">
        <f t="shared" si="907"/>
        <v/>
      </c>
      <c r="R3850" s="1" t="str">
        <f t="shared" si="911"/>
        <v/>
      </c>
      <c r="S3850" s="1">
        <f t="shared" si="912"/>
        <v>630.90240000000244</v>
      </c>
      <c r="T3850" s="1">
        <f t="shared" si="913"/>
        <v>0</v>
      </c>
      <c r="U3850" s="1">
        <f t="shared" si="914"/>
        <v>0</v>
      </c>
      <c r="V3850" s="1">
        <f t="shared" si="915"/>
        <v>0</v>
      </c>
    </row>
    <row r="3851" spans="5:22" x14ac:dyDescent="0.25">
      <c r="E3851" s="4"/>
      <c r="M3851" s="4">
        <f t="shared" si="908"/>
        <v>173.1</v>
      </c>
      <c r="N3851" s="4"/>
      <c r="O3851" s="1">
        <f t="shared" si="909"/>
        <v>173.1</v>
      </c>
      <c r="P3851" s="1">
        <f t="shared" si="910"/>
        <v>0</v>
      </c>
      <c r="Q3851" s="1" t="str">
        <f t="shared" si="907"/>
        <v/>
      </c>
      <c r="R3851" s="1" t="str">
        <f t="shared" si="911"/>
        <v/>
      </c>
      <c r="S3851" s="1">
        <f t="shared" si="912"/>
        <v>630.90240000000244</v>
      </c>
      <c r="T3851" s="1">
        <f t="shared" si="913"/>
        <v>0</v>
      </c>
      <c r="U3851" s="1">
        <f t="shared" si="914"/>
        <v>0</v>
      </c>
      <c r="V3851" s="1">
        <f t="shared" si="915"/>
        <v>0</v>
      </c>
    </row>
    <row r="3852" spans="5:22" x14ac:dyDescent="0.25">
      <c r="E3852" s="4"/>
      <c r="M3852" s="4">
        <f t="shared" si="908"/>
        <v>173.1</v>
      </c>
      <c r="N3852" s="4"/>
      <c r="O3852" s="1">
        <f t="shared" si="909"/>
        <v>173.1</v>
      </c>
      <c r="P3852" s="1">
        <f t="shared" si="910"/>
        <v>0</v>
      </c>
      <c r="Q3852" s="1" t="str">
        <f t="shared" si="907"/>
        <v/>
      </c>
      <c r="R3852" s="1" t="str">
        <f t="shared" si="911"/>
        <v/>
      </c>
      <c r="S3852" s="1">
        <f t="shared" si="912"/>
        <v>630.90240000000244</v>
      </c>
      <c r="T3852" s="1">
        <f t="shared" si="913"/>
        <v>0</v>
      </c>
      <c r="U3852" s="1">
        <f t="shared" si="914"/>
        <v>0</v>
      </c>
      <c r="V3852" s="1">
        <f t="shared" si="915"/>
        <v>0</v>
      </c>
    </row>
    <row r="3853" spans="5:22" x14ac:dyDescent="0.25">
      <c r="E3853" s="4"/>
      <c r="M3853" s="4">
        <f t="shared" si="908"/>
        <v>173.1</v>
      </c>
      <c r="N3853" s="4"/>
      <c r="O3853" s="1">
        <f t="shared" si="909"/>
        <v>173.1</v>
      </c>
      <c r="P3853" s="1">
        <f t="shared" si="910"/>
        <v>0</v>
      </c>
      <c r="Q3853" s="1" t="str">
        <f t="shared" si="907"/>
        <v/>
      </c>
      <c r="R3853" s="1" t="str">
        <f t="shared" si="911"/>
        <v/>
      </c>
      <c r="S3853" s="1">
        <f t="shared" si="912"/>
        <v>630.90240000000244</v>
      </c>
      <c r="T3853" s="1">
        <f t="shared" si="913"/>
        <v>0</v>
      </c>
      <c r="U3853" s="1">
        <f t="shared" si="914"/>
        <v>0</v>
      </c>
      <c r="V3853" s="1">
        <f t="shared" si="915"/>
        <v>0</v>
      </c>
    </row>
    <row r="3854" spans="5:22" x14ac:dyDescent="0.25">
      <c r="E3854" s="4"/>
      <c r="M3854" s="4">
        <f t="shared" si="908"/>
        <v>173.1</v>
      </c>
      <c r="N3854" s="4"/>
      <c r="O3854" s="1">
        <f t="shared" si="909"/>
        <v>173.1</v>
      </c>
      <c r="P3854" s="1">
        <f t="shared" si="910"/>
        <v>0</v>
      </c>
      <c r="Q3854" s="1" t="str">
        <f t="shared" si="907"/>
        <v/>
      </c>
      <c r="R3854" s="1" t="str">
        <f t="shared" si="911"/>
        <v/>
      </c>
      <c r="S3854" s="1">
        <f t="shared" si="912"/>
        <v>630.90240000000244</v>
      </c>
      <c r="T3854" s="1">
        <f t="shared" si="913"/>
        <v>0</v>
      </c>
      <c r="U3854" s="1">
        <f t="shared" si="914"/>
        <v>0</v>
      </c>
      <c r="V3854" s="1">
        <f t="shared" si="915"/>
        <v>0</v>
      </c>
    </row>
    <row r="3855" spans="5:22" x14ac:dyDescent="0.25">
      <c r="E3855" s="4"/>
      <c r="M3855" s="4">
        <f t="shared" si="908"/>
        <v>173.1</v>
      </c>
      <c r="N3855" s="4"/>
      <c r="O3855" s="1">
        <f t="shared" si="909"/>
        <v>173.1</v>
      </c>
      <c r="P3855" s="1">
        <f t="shared" si="910"/>
        <v>0</v>
      </c>
      <c r="Q3855" s="1" t="str">
        <f t="shared" si="907"/>
        <v/>
      </c>
      <c r="R3855" s="1" t="str">
        <f t="shared" si="911"/>
        <v/>
      </c>
      <c r="S3855" s="1">
        <f t="shared" si="912"/>
        <v>630.90240000000244</v>
      </c>
      <c r="T3855" s="1">
        <f t="shared" si="913"/>
        <v>0</v>
      </c>
      <c r="U3855" s="1">
        <f t="shared" si="914"/>
        <v>0</v>
      </c>
      <c r="V3855" s="1">
        <f t="shared" si="915"/>
        <v>0</v>
      </c>
    </row>
    <row r="3856" spans="5:22" x14ac:dyDescent="0.25">
      <c r="E3856" s="4"/>
      <c r="M3856" s="4">
        <f t="shared" si="908"/>
        <v>173.1</v>
      </c>
      <c r="N3856" s="4"/>
      <c r="O3856" s="1">
        <f t="shared" si="909"/>
        <v>173.1</v>
      </c>
      <c r="P3856" s="1">
        <f t="shared" si="910"/>
        <v>0</v>
      </c>
      <c r="Q3856" s="1" t="str">
        <f t="shared" si="907"/>
        <v/>
      </c>
      <c r="R3856" s="1" t="str">
        <f t="shared" si="911"/>
        <v/>
      </c>
      <c r="S3856" s="1">
        <f t="shared" si="912"/>
        <v>630.90240000000244</v>
      </c>
      <c r="T3856" s="1">
        <f t="shared" si="913"/>
        <v>0</v>
      </c>
      <c r="U3856" s="1">
        <f t="shared" si="914"/>
        <v>0</v>
      </c>
      <c r="V3856" s="1">
        <f t="shared" si="915"/>
        <v>0</v>
      </c>
    </row>
    <row r="3857" spans="5:22" x14ac:dyDescent="0.25">
      <c r="E3857" s="4"/>
      <c r="M3857" s="4">
        <f t="shared" si="908"/>
        <v>173.1</v>
      </c>
      <c r="N3857" s="4"/>
      <c r="O3857" s="1">
        <f t="shared" si="909"/>
        <v>173.1</v>
      </c>
      <c r="P3857" s="1">
        <f t="shared" si="910"/>
        <v>0</v>
      </c>
      <c r="Q3857" s="1" t="str">
        <f t="shared" si="907"/>
        <v/>
      </c>
      <c r="R3857" s="1" t="str">
        <f t="shared" si="911"/>
        <v/>
      </c>
      <c r="S3857" s="1">
        <f t="shared" si="912"/>
        <v>630.90240000000244</v>
      </c>
      <c r="T3857" s="1">
        <f t="shared" si="913"/>
        <v>0</v>
      </c>
      <c r="U3857" s="1">
        <f t="shared" si="914"/>
        <v>0</v>
      </c>
      <c r="V3857" s="1">
        <f t="shared" si="915"/>
        <v>0</v>
      </c>
    </row>
    <row r="3858" spans="5:22" x14ac:dyDescent="0.25">
      <c r="E3858" s="4"/>
      <c r="M3858" s="4">
        <f t="shared" si="908"/>
        <v>173.1</v>
      </c>
      <c r="N3858" s="4"/>
      <c r="O3858" s="1">
        <f t="shared" si="909"/>
        <v>173.1</v>
      </c>
      <c r="P3858" s="1">
        <f t="shared" si="910"/>
        <v>0</v>
      </c>
      <c r="Q3858" s="1" t="str">
        <f t="shared" si="907"/>
        <v/>
      </c>
      <c r="R3858" s="1" t="str">
        <f t="shared" si="911"/>
        <v/>
      </c>
      <c r="S3858" s="1">
        <f t="shared" si="912"/>
        <v>630.90240000000244</v>
      </c>
      <c r="T3858" s="1">
        <f t="shared" si="913"/>
        <v>0</v>
      </c>
      <c r="U3858" s="1">
        <f t="shared" si="914"/>
        <v>0</v>
      </c>
      <c r="V3858" s="1">
        <f t="shared" si="915"/>
        <v>0</v>
      </c>
    </row>
    <row r="3859" spans="5:22" x14ac:dyDescent="0.25">
      <c r="E3859" s="4"/>
      <c r="M3859" s="4">
        <f t="shared" si="908"/>
        <v>173.1</v>
      </c>
      <c r="N3859" s="4"/>
      <c r="O3859" s="1">
        <f t="shared" si="909"/>
        <v>173.1</v>
      </c>
      <c r="P3859" s="1">
        <f t="shared" si="910"/>
        <v>0</v>
      </c>
      <c r="Q3859" s="1" t="str">
        <f t="shared" si="907"/>
        <v/>
      </c>
      <c r="R3859" s="1" t="str">
        <f t="shared" si="911"/>
        <v/>
      </c>
      <c r="S3859" s="1">
        <f t="shared" si="912"/>
        <v>630.90240000000244</v>
      </c>
      <c r="T3859" s="1">
        <f t="shared" si="913"/>
        <v>0</v>
      </c>
      <c r="U3859" s="1">
        <f t="shared" si="914"/>
        <v>0</v>
      </c>
      <c r="V3859" s="1">
        <f t="shared" si="915"/>
        <v>0</v>
      </c>
    </row>
    <row r="3860" spans="5:22" x14ac:dyDescent="0.25">
      <c r="E3860" s="4"/>
      <c r="M3860" s="4">
        <f t="shared" si="908"/>
        <v>173.1</v>
      </c>
      <c r="N3860" s="4"/>
      <c r="O3860" s="1">
        <f t="shared" si="909"/>
        <v>173.1</v>
      </c>
      <c r="P3860" s="1">
        <f t="shared" si="910"/>
        <v>0</v>
      </c>
      <c r="Q3860" s="1" t="str">
        <f t="shared" si="907"/>
        <v/>
      </c>
      <c r="R3860" s="1" t="str">
        <f t="shared" si="911"/>
        <v/>
      </c>
      <c r="S3860" s="1">
        <f t="shared" si="912"/>
        <v>630.90240000000244</v>
      </c>
      <c r="T3860" s="1">
        <f t="shared" si="913"/>
        <v>0</v>
      </c>
      <c r="U3860" s="1">
        <f t="shared" si="914"/>
        <v>0</v>
      </c>
      <c r="V3860" s="1">
        <f t="shared" si="915"/>
        <v>0</v>
      </c>
    </row>
    <row r="3861" spans="5:22" x14ac:dyDescent="0.25">
      <c r="E3861" s="4"/>
      <c r="M3861" s="4">
        <f t="shared" si="908"/>
        <v>173.1</v>
      </c>
      <c r="N3861" s="4"/>
      <c r="O3861" s="1">
        <f t="shared" si="909"/>
        <v>173.1</v>
      </c>
      <c r="P3861" s="1">
        <f t="shared" si="910"/>
        <v>0</v>
      </c>
      <c r="Q3861" s="1" t="str">
        <f t="shared" si="907"/>
        <v/>
      </c>
      <c r="R3861" s="1" t="str">
        <f t="shared" si="911"/>
        <v/>
      </c>
      <c r="S3861" s="1">
        <f t="shared" si="912"/>
        <v>630.90240000000244</v>
      </c>
      <c r="T3861" s="1">
        <f t="shared" si="913"/>
        <v>0</v>
      </c>
      <c r="U3861" s="1">
        <f t="shared" si="914"/>
        <v>0</v>
      </c>
      <c r="V3861" s="1">
        <f t="shared" si="915"/>
        <v>0</v>
      </c>
    </row>
    <row r="3862" spans="5:22" x14ac:dyDescent="0.25">
      <c r="E3862" s="4"/>
      <c r="M3862" s="4">
        <f t="shared" si="908"/>
        <v>173.1</v>
      </c>
      <c r="N3862" s="4"/>
      <c r="O3862" s="1">
        <f t="shared" si="909"/>
        <v>173.1</v>
      </c>
      <c r="P3862" s="1">
        <f t="shared" si="910"/>
        <v>0</v>
      </c>
      <c r="Q3862" s="1" t="str">
        <f t="shared" si="907"/>
        <v/>
      </c>
      <c r="R3862" s="1" t="str">
        <f t="shared" si="911"/>
        <v/>
      </c>
      <c r="S3862" s="1">
        <f t="shared" si="912"/>
        <v>630.90240000000244</v>
      </c>
      <c r="T3862" s="1">
        <f t="shared" si="913"/>
        <v>0</v>
      </c>
      <c r="U3862" s="1">
        <f t="shared" si="914"/>
        <v>0</v>
      </c>
      <c r="V3862" s="1">
        <f t="shared" si="915"/>
        <v>0</v>
      </c>
    </row>
    <row r="3863" spans="5:22" x14ac:dyDescent="0.25">
      <c r="E3863" s="4"/>
      <c r="M3863" s="4">
        <f t="shared" si="908"/>
        <v>173.1</v>
      </c>
      <c r="N3863" s="4"/>
      <c r="O3863" s="1">
        <f t="shared" si="909"/>
        <v>173.1</v>
      </c>
      <c r="P3863" s="1">
        <f t="shared" si="910"/>
        <v>0</v>
      </c>
      <c r="Q3863" s="1" t="str">
        <f t="shared" si="907"/>
        <v/>
      </c>
      <c r="R3863" s="1" t="str">
        <f t="shared" si="911"/>
        <v/>
      </c>
      <c r="S3863" s="1">
        <f t="shared" si="912"/>
        <v>630.90240000000244</v>
      </c>
      <c r="T3863" s="1">
        <f t="shared" si="913"/>
        <v>0</v>
      </c>
      <c r="U3863" s="1">
        <f t="shared" si="914"/>
        <v>0</v>
      </c>
      <c r="V3863" s="1">
        <f t="shared" si="915"/>
        <v>0</v>
      </c>
    </row>
    <row r="3864" spans="5:22" x14ac:dyDescent="0.25">
      <c r="E3864" s="4"/>
      <c r="M3864" s="4">
        <f t="shared" si="908"/>
        <v>173.1</v>
      </c>
      <c r="N3864" s="4"/>
      <c r="O3864" s="1">
        <f t="shared" si="909"/>
        <v>173.1</v>
      </c>
      <c r="P3864" s="1">
        <f t="shared" si="910"/>
        <v>0</v>
      </c>
      <c r="Q3864" s="1" t="str">
        <f t="shared" si="907"/>
        <v/>
      </c>
      <c r="R3864" s="1" t="str">
        <f t="shared" si="911"/>
        <v/>
      </c>
      <c r="S3864" s="1">
        <f t="shared" si="912"/>
        <v>630.90240000000244</v>
      </c>
      <c r="T3864" s="1">
        <f t="shared" si="913"/>
        <v>0</v>
      </c>
      <c r="U3864" s="1">
        <f t="shared" si="914"/>
        <v>0</v>
      </c>
      <c r="V3864" s="1">
        <f t="shared" si="915"/>
        <v>0</v>
      </c>
    </row>
    <row r="3865" spans="5:22" x14ac:dyDescent="0.25">
      <c r="E3865" s="4"/>
      <c r="M3865" s="4">
        <f t="shared" si="908"/>
        <v>173.1</v>
      </c>
      <c r="N3865" s="4"/>
      <c r="O3865" s="1">
        <f t="shared" si="909"/>
        <v>173.1</v>
      </c>
      <c r="P3865" s="1">
        <f t="shared" si="910"/>
        <v>0</v>
      </c>
      <c r="Q3865" s="1" t="str">
        <f t="shared" si="907"/>
        <v/>
      </c>
      <c r="R3865" s="1" t="str">
        <f t="shared" si="911"/>
        <v/>
      </c>
      <c r="S3865" s="1">
        <f t="shared" si="912"/>
        <v>630.90240000000244</v>
      </c>
      <c r="T3865" s="1">
        <f t="shared" si="913"/>
        <v>0</v>
      </c>
      <c r="U3865" s="1">
        <f t="shared" si="914"/>
        <v>0</v>
      </c>
      <c r="V3865" s="1">
        <f t="shared" si="915"/>
        <v>0</v>
      </c>
    </row>
    <row r="3866" spans="5:22" x14ac:dyDescent="0.25">
      <c r="E3866" s="4"/>
      <c r="M3866" s="4">
        <f t="shared" si="908"/>
        <v>173.1</v>
      </c>
      <c r="N3866" s="4"/>
      <c r="O3866" s="1">
        <f t="shared" si="909"/>
        <v>173.1</v>
      </c>
      <c r="P3866" s="1">
        <f t="shared" si="910"/>
        <v>0</v>
      </c>
      <c r="Q3866" s="1" t="str">
        <f t="shared" si="907"/>
        <v/>
      </c>
      <c r="R3866" s="1" t="str">
        <f t="shared" si="911"/>
        <v/>
      </c>
      <c r="S3866" s="1">
        <f t="shared" si="912"/>
        <v>630.90240000000244</v>
      </c>
      <c r="T3866" s="1">
        <f t="shared" si="913"/>
        <v>0</v>
      </c>
      <c r="U3866" s="1">
        <f t="shared" si="914"/>
        <v>0</v>
      </c>
      <c r="V3866" s="1">
        <f t="shared" si="915"/>
        <v>0</v>
      </c>
    </row>
    <row r="3867" spans="5:22" x14ac:dyDescent="0.25">
      <c r="E3867" s="4"/>
      <c r="M3867" s="4">
        <f t="shared" si="908"/>
        <v>173.1</v>
      </c>
      <c r="N3867" s="4"/>
      <c r="O3867" s="1">
        <f t="shared" si="909"/>
        <v>173.1</v>
      </c>
      <c r="P3867" s="1">
        <f t="shared" si="910"/>
        <v>0</v>
      </c>
      <c r="Q3867" s="1" t="str">
        <f t="shared" si="907"/>
        <v/>
      </c>
      <c r="R3867" s="1" t="str">
        <f t="shared" si="911"/>
        <v/>
      </c>
      <c r="S3867" s="1">
        <f t="shared" si="912"/>
        <v>630.90240000000244</v>
      </c>
      <c r="T3867" s="1">
        <f t="shared" si="913"/>
        <v>0</v>
      </c>
      <c r="U3867" s="1">
        <f t="shared" si="914"/>
        <v>0</v>
      </c>
      <c r="V3867" s="1">
        <f t="shared" si="915"/>
        <v>0</v>
      </c>
    </row>
    <row r="3868" spans="5:22" x14ac:dyDescent="0.25">
      <c r="E3868" s="4"/>
      <c r="M3868" s="4">
        <f t="shared" si="908"/>
        <v>173.1</v>
      </c>
      <c r="N3868" s="4"/>
      <c r="O3868" s="1">
        <f t="shared" si="909"/>
        <v>173.1</v>
      </c>
      <c r="P3868" s="1">
        <f t="shared" si="910"/>
        <v>0</v>
      </c>
      <c r="Q3868" s="1" t="str">
        <f t="shared" si="907"/>
        <v/>
      </c>
      <c r="R3868" s="1" t="str">
        <f t="shared" si="911"/>
        <v/>
      </c>
      <c r="S3868" s="1">
        <f t="shared" si="912"/>
        <v>630.90240000000244</v>
      </c>
      <c r="T3868" s="1">
        <f t="shared" si="913"/>
        <v>0</v>
      </c>
      <c r="U3868" s="1">
        <f t="shared" si="914"/>
        <v>0</v>
      </c>
      <c r="V3868" s="1">
        <f t="shared" si="915"/>
        <v>0</v>
      </c>
    </row>
    <row r="3869" spans="5:22" x14ac:dyDescent="0.25">
      <c r="E3869" s="4"/>
      <c r="M3869" s="4">
        <f t="shared" si="908"/>
        <v>173.1</v>
      </c>
      <c r="N3869" s="4"/>
      <c r="O3869" s="1">
        <f t="shared" si="909"/>
        <v>173.1</v>
      </c>
      <c r="P3869" s="1">
        <f t="shared" si="910"/>
        <v>0</v>
      </c>
      <c r="Q3869" s="1" t="str">
        <f t="shared" si="907"/>
        <v/>
      </c>
      <c r="R3869" s="1" t="str">
        <f t="shared" si="911"/>
        <v/>
      </c>
      <c r="S3869" s="1">
        <f t="shared" si="912"/>
        <v>630.90240000000244</v>
      </c>
      <c r="T3869" s="1">
        <f t="shared" si="913"/>
        <v>0</v>
      </c>
      <c r="U3869" s="1">
        <f t="shared" si="914"/>
        <v>0</v>
      </c>
      <c r="V3869" s="1">
        <f t="shared" si="915"/>
        <v>0</v>
      </c>
    </row>
    <row r="3870" spans="5:22" x14ac:dyDescent="0.25">
      <c r="E3870" s="4"/>
      <c r="M3870" s="4">
        <f t="shared" si="908"/>
        <v>173.1</v>
      </c>
      <c r="N3870" s="4"/>
      <c r="O3870" s="1">
        <f t="shared" si="909"/>
        <v>173.1</v>
      </c>
      <c r="P3870" s="1">
        <f t="shared" si="910"/>
        <v>0</v>
      </c>
      <c r="Q3870" s="1" t="str">
        <f t="shared" si="907"/>
        <v/>
      </c>
      <c r="R3870" s="1" t="str">
        <f t="shared" si="911"/>
        <v/>
      </c>
      <c r="S3870" s="1">
        <f t="shared" si="912"/>
        <v>630.90240000000244</v>
      </c>
      <c r="T3870" s="1">
        <f t="shared" si="913"/>
        <v>0</v>
      </c>
      <c r="U3870" s="1">
        <f t="shared" si="914"/>
        <v>0</v>
      </c>
      <c r="V3870" s="1">
        <f t="shared" si="915"/>
        <v>0</v>
      </c>
    </row>
    <row r="3871" spans="5:22" x14ac:dyDescent="0.25">
      <c r="E3871" s="4"/>
      <c r="M3871" s="4">
        <f t="shared" si="908"/>
        <v>173.1</v>
      </c>
      <c r="N3871" s="4"/>
      <c r="O3871" s="1">
        <f t="shared" si="909"/>
        <v>173.1</v>
      </c>
      <c r="P3871" s="1">
        <f t="shared" si="910"/>
        <v>0</v>
      </c>
      <c r="Q3871" s="1" t="str">
        <f t="shared" si="907"/>
        <v/>
      </c>
      <c r="R3871" s="1" t="str">
        <f t="shared" si="911"/>
        <v/>
      </c>
      <c r="S3871" s="1">
        <f t="shared" si="912"/>
        <v>630.90240000000244</v>
      </c>
      <c r="T3871" s="1">
        <f t="shared" si="913"/>
        <v>0</v>
      </c>
      <c r="U3871" s="1">
        <f t="shared" si="914"/>
        <v>0</v>
      </c>
      <c r="V3871" s="1">
        <f t="shared" si="915"/>
        <v>0</v>
      </c>
    </row>
    <row r="3872" spans="5:22" x14ac:dyDescent="0.25">
      <c r="E3872" s="4"/>
      <c r="M3872" s="4">
        <f t="shared" si="908"/>
        <v>173.1</v>
      </c>
      <c r="N3872" s="4"/>
      <c r="O3872" s="1">
        <f t="shared" si="909"/>
        <v>173.1</v>
      </c>
      <c r="P3872" s="1">
        <f t="shared" si="910"/>
        <v>0</v>
      </c>
      <c r="Q3872" s="1" t="str">
        <f t="shared" si="907"/>
        <v/>
      </c>
      <c r="R3872" s="1" t="str">
        <f t="shared" si="911"/>
        <v/>
      </c>
      <c r="S3872" s="1">
        <f t="shared" si="912"/>
        <v>630.90240000000244</v>
      </c>
      <c r="T3872" s="1">
        <f t="shared" si="913"/>
        <v>0</v>
      </c>
      <c r="U3872" s="1">
        <f t="shared" si="914"/>
        <v>0</v>
      </c>
      <c r="V3872" s="1">
        <f t="shared" si="915"/>
        <v>0</v>
      </c>
    </row>
    <row r="3873" spans="5:22" x14ac:dyDescent="0.25">
      <c r="E3873" s="4"/>
      <c r="M3873" s="4">
        <f t="shared" si="908"/>
        <v>173.1</v>
      </c>
      <c r="N3873" s="4"/>
      <c r="O3873" s="1">
        <f t="shared" si="909"/>
        <v>173.1</v>
      </c>
      <c r="P3873" s="1">
        <f t="shared" si="910"/>
        <v>0</v>
      </c>
      <c r="Q3873" s="1" t="str">
        <f t="shared" si="907"/>
        <v/>
      </c>
      <c r="R3873" s="1" t="str">
        <f t="shared" si="911"/>
        <v/>
      </c>
      <c r="S3873" s="1">
        <f t="shared" si="912"/>
        <v>630.90240000000244</v>
      </c>
      <c r="T3873" s="1">
        <f t="shared" si="913"/>
        <v>0</v>
      </c>
      <c r="U3873" s="1">
        <f t="shared" si="914"/>
        <v>0</v>
      </c>
      <c r="V3873" s="1">
        <f t="shared" si="915"/>
        <v>0</v>
      </c>
    </row>
    <row r="3874" spans="5:22" x14ac:dyDescent="0.25">
      <c r="E3874" s="4"/>
      <c r="M3874" s="4">
        <f t="shared" si="908"/>
        <v>173.1</v>
      </c>
      <c r="N3874" s="4"/>
      <c r="O3874" s="1">
        <f t="shared" si="909"/>
        <v>173.1</v>
      </c>
      <c r="P3874" s="1">
        <f t="shared" si="910"/>
        <v>0</v>
      </c>
      <c r="Q3874" s="1" t="str">
        <f t="shared" si="907"/>
        <v/>
      </c>
      <c r="R3874" s="1" t="str">
        <f t="shared" si="911"/>
        <v/>
      </c>
      <c r="S3874" s="1">
        <f t="shared" si="912"/>
        <v>630.90240000000244</v>
      </c>
      <c r="T3874" s="1">
        <f t="shared" si="913"/>
        <v>0</v>
      </c>
      <c r="U3874" s="1">
        <f t="shared" si="914"/>
        <v>0</v>
      </c>
      <c r="V3874" s="1">
        <f t="shared" si="915"/>
        <v>0</v>
      </c>
    </row>
    <row r="3875" spans="5:22" x14ac:dyDescent="0.25">
      <c r="E3875" s="4"/>
      <c r="M3875" s="4">
        <f t="shared" si="908"/>
        <v>173.1</v>
      </c>
      <c r="N3875" s="4"/>
      <c r="O3875" s="1">
        <f t="shared" si="909"/>
        <v>173.1</v>
      </c>
      <c r="P3875" s="1">
        <f t="shared" si="910"/>
        <v>0</v>
      </c>
      <c r="Q3875" s="1" t="str">
        <f t="shared" si="907"/>
        <v/>
      </c>
      <c r="R3875" s="1" t="str">
        <f t="shared" si="911"/>
        <v/>
      </c>
      <c r="S3875" s="1">
        <f t="shared" si="912"/>
        <v>630.90240000000244</v>
      </c>
      <c r="T3875" s="1">
        <f t="shared" si="913"/>
        <v>0</v>
      </c>
      <c r="U3875" s="1">
        <f t="shared" si="914"/>
        <v>0</v>
      </c>
      <c r="V3875" s="1">
        <f t="shared" si="915"/>
        <v>0</v>
      </c>
    </row>
    <row r="3876" spans="5:22" x14ac:dyDescent="0.25">
      <c r="E3876" s="4"/>
      <c r="M3876" s="4">
        <f t="shared" si="908"/>
        <v>173.1</v>
      </c>
      <c r="N3876" s="4"/>
      <c r="O3876" s="1">
        <f t="shared" si="909"/>
        <v>173.1</v>
      </c>
      <c r="P3876" s="1">
        <f t="shared" si="910"/>
        <v>0</v>
      </c>
      <c r="Q3876" s="1" t="str">
        <f t="shared" si="907"/>
        <v/>
      </c>
      <c r="R3876" s="1" t="str">
        <f t="shared" si="911"/>
        <v/>
      </c>
      <c r="S3876" s="1">
        <f t="shared" si="912"/>
        <v>630.90240000000244</v>
      </c>
      <c r="T3876" s="1">
        <f t="shared" si="913"/>
        <v>0</v>
      </c>
      <c r="U3876" s="1">
        <f t="shared" si="914"/>
        <v>0</v>
      </c>
      <c r="V3876" s="1">
        <f t="shared" si="915"/>
        <v>0</v>
      </c>
    </row>
    <row r="3877" spans="5:22" x14ac:dyDescent="0.25">
      <c r="E3877" s="4"/>
      <c r="M3877" s="4">
        <f t="shared" si="908"/>
        <v>173.1</v>
      </c>
      <c r="N3877" s="4"/>
      <c r="O3877" s="1">
        <f t="shared" si="909"/>
        <v>173.1</v>
      </c>
      <c r="P3877" s="1">
        <f t="shared" si="910"/>
        <v>0</v>
      </c>
      <c r="Q3877" s="1" t="str">
        <f t="shared" si="907"/>
        <v/>
      </c>
      <c r="R3877" s="1" t="str">
        <f t="shared" si="911"/>
        <v/>
      </c>
      <c r="S3877" s="1">
        <f t="shared" si="912"/>
        <v>630.90240000000244</v>
      </c>
      <c r="T3877" s="1">
        <f t="shared" si="913"/>
        <v>0</v>
      </c>
      <c r="U3877" s="1">
        <f t="shared" si="914"/>
        <v>0</v>
      </c>
      <c r="V3877" s="1">
        <f t="shared" si="915"/>
        <v>0</v>
      </c>
    </row>
    <row r="3878" spans="5:22" x14ac:dyDescent="0.25">
      <c r="E3878" s="4"/>
      <c r="M3878" s="4">
        <f t="shared" si="908"/>
        <v>173.1</v>
      </c>
      <c r="N3878" s="4"/>
      <c r="O3878" s="1">
        <f t="shared" si="909"/>
        <v>173.1</v>
      </c>
      <c r="P3878" s="1">
        <f t="shared" si="910"/>
        <v>0</v>
      </c>
      <c r="Q3878" s="1" t="str">
        <f t="shared" si="907"/>
        <v/>
      </c>
      <c r="R3878" s="1" t="str">
        <f t="shared" si="911"/>
        <v/>
      </c>
      <c r="S3878" s="1">
        <f t="shared" si="912"/>
        <v>630.90240000000244</v>
      </c>
      <c r="T3878" s="1">
        <f t="shared" si="913"/>
        <v>0</v>
      </c>
      <c r="U3878" s="1">
        <f t="shared" si="914"/>
        <v>0</v>
      </c>
      <c r="V3878" s="1">
        <f t="shared" si="915"/>
        <v>0</v>
      </c>
    </row>
    <row r="3879" spans="5:22" x14ac:dyDescent="0.25">
      <c r="E3879" s="4"/>
      <c r="M3879" s="4">
        <f t="shared" si="908"/>
        <v>173.1</v>
      </c>
      <c r="N3879" s="4"/>
      <c r="O3879" s="1">
        <f t="shared" si="909"/>
        <v>173.1</v>
      </c>
      <c r="P3879" s="1">
        <f t="shared" si="910"/>
        <v>0</v>
      </c>
      <c r="Q3879" s="1" t="str">
        <f t="shared" si="907"/>
        <v/>
      </c>
      <c r="R3879" s="1" t="str">
        <f t="shared" si="911"/>
        <v/>
      </c>
      <c r="S3879" s="1">
        <f t="shared" si="912"/>
        <v>630.90240000000244</v>
      </c>
      <c r="T3879" s="1">
        <f t="shared" si="913"/>
        <v>0</v>
      </c>
      <c r="U3879" s="1">
        <f t="shared" si="914"/>
        <v>0</v>
      </c>
      <c r="V3879" s="1">
        <f t="shared" si="915"/>
        <v>0</v>
      </c>
    </row>
    <row r="3880" spans="5:22" x14ac:dyDescent="0.25">
      <c r="E3880" s="4"/>
      <c r="M3880" s="4">
        <f t="shared" si="908"/>
        <v>173.1</v>
      </c>
      <c r="N3880" s="4"/>
      <c r="O3880" s="1">
        <f t="shared" si="909"/>
        <v>173.1</v>
      </c>
      <c r="P3880" s="1">
        <f t="shared" si="910"/>
        <v>0</v>
      </c>
      <c r="Q3880" s="1" t="str">
        <f t="shared" si="907"/>
        <v/>
      </c>
      <c r="R3880" s="1" t="str">
        <f t="shared" si="911"/>
        <v/>
      </c>
      <c r="S3880" s="1">
        <f t="shared" si="912"/>
        <v>630.90240000000244</v>
      </c>
      <c r="T3880" s="1">
        <f t="shared" si="913"/>
        <v>0</v>
      </c>
      <c r="U3880" s="1">
        <f t="shared" si="914"/>
        <v>0</v>
      </c>
      <c r="V3880" s="1">
        <f t="shared" si="915"/>
        <v>0</v>
      </c>
    </row>
    <row r="3881" spans="5:22" x14ac:dyDescent="0.25">
      <c r="E3881" s="4"/>
      <c r="M3881" s="4">
        <f t="shared" si="908"/>
        <v>173.1</v>
      </c>
      <c r="N3881" s="4"/>
      <c r="O3881" s="1">
        <f t="shared" si="909"/>
        <v>173.1</v>
      </c>
      <c r="P3881" s="1">
        <f t="shared" si="910"/>
        <v>0</v>
      </c>
      <c r="Q3881" s="1" t="str">
        <f t="shared" si="907"/>
        <v/>
      </c>
      <c r="R3881" s="1" t="str">
        <f t="shared" si="911"/>
        <v/>
      </c>
      <c r="S3881" s="1">
        <f t="shared" si="912"/>
        <v>630.90240000000244</v>
      </c>
      <c r="T3881" s="1">
        <f t="shared" si="913"/>
        <v>0</v>
      </c>
      <c r="U3881" s="1">
        <f t="shared" si="914"/>
        <v>0</v>
      </c>
      <c r="V3881" s="1">
        <f t="shared" si="915"/>
        <v>0</v>
      </c>
    </row>
    <row r="3882" spans="5:22" x14ac:dyDescent="0.25">
      <c r="E3882" s="4"/>
      <c r="M3882" s="4">
        <f t="shared" si="908"/>
        <v>173.1</v>
      </c>
      <c r="N3882" s="4"/>
      <c r="O3882" s="1">
        <f t="shared" si="909"/>
        <v>173.1</v>
      </c>
      <c r="P3882" s="1">
        <f t="shared" si="910"/>
        <v>0</v>
      </c>
      <c r="Q3882" s="1" t="str">
        <f t="shared" si="907"/>
        <v/>
      </c>
      <c r="R3882" s="1" t="str">
        <f t="shared" si="911"/>
        <v/>
      </c>
      <c r="S3882" s="1">
        <f t="shared" si="912"/>
        <v>630.90240000000244</v>
      </c>
      <c r="T3882" s="1">
        <f t="shared" si="913"/>
        <v>0</v>
      </c>
      <c r="U3882" s="1">
        <f t="shared" si="914"/>
        <v>0</v>
      </c>
      <c r="V3882" s="1">
        <f t="shared" si="915"/>
        <v>0</v>
      </c>
    </row>
    <row r="3883" spans="5:22" x14ac:dyDescent="0.25">
      <c r="E3883" s="4"/>
      <c r="M3883" s="4">
        <f t="shared" si="908"/>
        <v>173.1</v>
      </c>
      <c r="N3883" s="4"/>
      <c r="O3883" s="1">
        <f t="shared" si="909"/>
        <v>173.1</v>
      </c>
      <c r="P3883" s="1">
        <f t="shared" si="910"/>
        <v>0</v>
      </c>
      <c r="Q3883" s="1" t="str">
        <f t="shared" si="907"/>
        <v/>
      </c>
      <c r="R3883" s="1" t="str">
        <f t="shared" si="911"/>
        <v/>
      </c>
      <c r="S3883" s="1">
        <f t="shared" si="912"/>
        <v>630.90240000000244</v>
      </c>
      <c r="T3883" s="1">
        <f t="shared" si="913"/>
        <v>0</v>
      </c>
      <c r="U3883" s="1">
        <f t="shared" si="914"/>
        <v>0</v>
      </c>
      <c r="V3883" s="1">
        <f t="shared" si="915"/>
        <v>0</v>
      </c>
    </row>
    <row r="3884" spans="5:22" x14ac:dyDescent="0.25">
      <c r="E3884" s="4"/>
      <c r="M3884" s="4">
        <f t="shared" si="908"/>
        <v>173.1</v>
      </c>
      <c r="N3884" s="4"/>
      <c r="O3884" s="1">
        <f t="shared" si="909"/>
        <v>173.1</v>
      </c>
      <c r="P3884" s="1">
        <f t="shared" si="910"/>
        <v>0</v>
      </c>
      <c r="Q3884" s="1" t="str">
        <f t="shared" si="907"/>
        <v/>
      </c>
      <c r="R3884" s="1" t="str">
        <f t="shared" si="911"/>
        <v/>
      </c>
      <c r="S3884" s="1">
        <f t="shared" si="912"/>
        <v>630.90240000000244</v>
      </c>
      <c r="T3884" s="1">
        <f t="shared" si="913"/>
        <v>0</v>
      </c>
      <c r="U3884" s="1">
        <f t="shared" si="914"/>
        <v>0</v>
      </c>
      <c r="V3884" s="1">
        <f t="shared" si="915"/>
        <v>0</v>
      </c>
    </row>
    <row r="3885" spans="5:22" x14ac:dyDescent="0.25">
      <c r="E3885" s="4"/>
      <c r="M3885" s="4">
        <f t="shared" si="908"/>
        <v>173.1</v>
      </c>
      <c r="N3885" s="4"/>
      <c r="O3885" s="1">
        <f t="shared" si="909"/>
        <v>173.1</v>
      </c>
      <c r="P3885" s="1">
        <f t="shared" si="910"/>
        <v>0</v>
      </c>
      <c r="Q3885" s="1" t="str">
        <f t="shared" si="907"/>
        <v/>
      </c>
      <c r="R3885" s="1" t="str">
        <f t="shared" si="911"/>
        <v/>
      </c>
      <c r="S3885" s="1">
        <f t="shared" si="912"/>
        <v>630.90240000000244</v>
      </c>
      <c r="T3885" s="1">
        <f t="shared" si="913"/>
        <v>0</v>
      </c>
      <c r="U3885" s="1">
        <f t="shared" si="914"/>
        <v>0</v>
      </c>
      <c r="V3885" s="1">
        <f t="shared" si="915"/>
        <v>0</v>
      </c>
    </row>
    <row r="3886" spans="5:22" x14ac:dyDescent="0.25">
      <c r="E3886" s="4"/>
      <c r="M3886" s="4">
        <f t="shared" si="908"/>
        <v>173.1</v>
      </c>
      <c r="N3886" s="4"/>
      <c r="O3886" s="1">
        <f t="shared" si="909"/>
        <v>173.1</v>
      </c>
      <c r="P3886" s="1">
        <f t="shared" si="910"/>
        <v>0</v>
      </c>
      <c r="Q3886" s="1" t="str">
        <f t="shared" si="907"/>
        <v/>
      </c>
      <c r="R3886" s="1" t="str">
        <f t="shared" si="911"/>
        <v/>
      </c>
      <c r="S3886" s="1">
        <f t="shared" si="912"/>
        <v>630.90240000000244</v>
      </c>
      <c r="T3886" s="1">
        <f t="shared" si="913"/>
        <v>0</v>
      </c>
      <c r="U3886" s="1">
        <f t="shared" si="914"/>
        <v>0</v>
      </c>
      <c r="V3886" s="1">
        <f t="shared" si="915"/>
        <v>0</v>
      </c>
    </row>
    <row r="3887" spans="5:22" x14ac:dyDescent="0.25">
      <c r="E3887" s="4"/>
      <c r="M3887" s="4">
        <f t="shared" si="908"/>
        <v>173.1</v>
      </c>
      <c r="N3887" s="4"/>
      <c r="O3887" s="1">
        <f t="shared" si="909"/>
        <v>173.1</v>
      </c>
      <c r="P3887" s="1">
        <f t="shared" si="910"/>
        <v>0</v>
      </c>
      <c r="Q3887" s="1" t="str">
        <f t="shared" si="907"/>
        <v/>
      </c>
      <c r="R3887" s="1" t="str">
        <f t="shared" si="911"/>
        <v/>
      </c>
      <c r="S3887" s="1">
        <f t="shared" si="912"/>
        <v>630.90240000000244</v>
      </c>
      <c r="T3887" s="1">
        <f t="shared" si="913"/>
        <v>0</v>
      </c>
      <c r="U3887" s="1">
        <f t="shared" si="914"/>
        <v>0</v>
      </c>
      <c r="V3887" s="1">
        <f t="shared" si="915"/>
        <v>0</v>
      </c>
    </row>
    <row r="3888" spans="5:22" x14ac:dyDescent="0.25">
      <c r="E3888" s="4"/>
      <c r="M3888" s="4">
        <f t="shared" si="908"/>
        <v>173.1</v>
      </c>
      <c r="N3888" s="4"/>
      <c r="O3888" s="1">
        <f t="shared" si="909"/>
        <v>173.1</v>
      </c>
      <c r="P3888" s="1">
        <f t="shared" si="910"/>
        <v>0</v>
      </c>
      <c r="Q3888" s="1" t="str">
        <f t="shared" si="907"/>
        <v/>
      </c>
      <c r="R3888" s="1" t="str">
        <f t="shared" si="911"/>
        <v/>
      </c>
      <c r="S3888" s="1">
        <f t="shared" si="912"/>
        <v>630.90240000000244</v>
      </c>
      <c r="T3888" s="1">
        <f t="shared" si="913"/>
        <v>0</v>
      </c>
      <c r="U3888" s="1">
        <f t="shared" si="914"/>
        <v>0</v>
      </c>
      <c r="V3888" s="1">
        <f t="shared" si="915"/>
        <v>0</v>
      </c>
    </row>
    <row r="3889" spans="5:22" x14ac:dyDescent="0.25">
      <c r="E3889" s="4"/>
      <c r="M3889" s="4">
        <f t="shared" si="908"/>
        <v>173.1</v>
      </c>
      <c r="N3889" s="4"/>
      <c r="O3889" s="1">
        <f t="shared" si="909"/>
        <v>173.1</v>
      </c>
      <c r="P3889" s="1">
        <f t="shared" si="910"/>
        <v>0</v>
      </c>
      <c r="Q3889" s="1" t="str">
        <f t="shared" si="907"/>
        <v/>
      </c>
      <c r="R3889" s="1" t="str">
        <f t="shared" si="911"/>
        <v/>
      </c>
      <c r="S3889" s="1">
        <f t="shared" si="912"/>
        <v>630.90240000000244</v>
      </c>
      <c r="T3889" s="1">
        <f t="shared" si="913"/>
        <v>0</v>
      </c>
      <c r="U3889" s="1">
        <f t="shared" si="914"/>
        <v>0</v>
      </c>
      <c r="V3889" s="1">
        <f t="shared" si="915"/>
        <v>0</v>
      </c>
    </row>
    <row r="3890" spans="5:22" x14ac:dyDescent="0.25">
      <c r="E3890" s="4"/>
      <c r="M3890" s="4">
        <f t="shared" si="908"/>
        <v>173.1</v>
      </c>
      <c r="N3890" s="4"/>
      <c r="O3890" s="1">
        <f t="shared" si="909"/>
        <v>173.1</v>
      </c>
      <c r="P3890" s="1">
        <f t="shared" si="910"/>
        <v>0</v>
      </c>
      <c r="Q3890" s="1" t="str">
        <f t="shared" ref="Q3890:Q3953" si="916">IF(H3890&lt;&gt;"",IF(H3890=H3889,"",H3890),IF(H3888="","",MAX(H3889,Q3889)))</f>
        <v/>
      </c>
      <c r="R3890" s="1" t="str">
        <f t="shared" si="911"/>
        <v/>
      </c>
      <c r="S3890" s="1">
        <f t="shared" si="912"/>
        <v>630.90240000000244</v>
      </c>
      <c r="T3890" s="1">
        <f t="shared" si="913"/>
        <v>0</v>
      </c>
      <c r="U3890" s="1">
        <f t="shared" si="914"/>
        <v>0</v>
      </c>
      <c r="V3890" s="1">
        <f t="shared" si="915"/>
        <v>0</v>
      </c>
    </row>
    <row r="3891" spans="5:22" x14ac:dyDescent="0.25">
      <c r="E3891" s="4"/>
      <c r="M3891" s="4">
        <f t="shared" si="908"/>
        <v>173.1</v>
      </c>
      <c r="N3891" s="4"/>
      <c r="O3891" s="1">
        <f t="shared" si="909"/>
        <v>173.1</v>
      </c>
      <c r="P3891" s="1">
        <f t="shared" si="910"/>
        <v>0</v>
      </c>
      <c r="Q3891" s="1" t="str">
        <f t="shared" si="916"/>
        <v/>
      </c>
      <c r="R3891" s="1" t="str">
        <f t="shared" si="911"/>
        <v/>
      </c>
      <c r="S3891" s="1">
        <f t="shared" si="912"/>
        <v>630.90240000000244</v>
      </c>
      <c r="T3891" s="1">
        <f t="shared" si="913"/>
        <v>0</v>
      </c>
      <c r="U3891" s="1">
        <f t="shared" si="914"/>
        <v>0</v>
      </c>
      <c r="V3891" s="1">
        <f t="shared" si="915"/>
        <v>0</v>
      </c>
    </row>
    <row r="3892" spans="5:22" x14ac:dyDescent="0.25">
      <c r="E3892" s="4"/>
      <c r="M3892" s="4">
        <f t="shared" si="908"/>
        <v>173.1</v>
      </c>
      <c r="N3892" s="4"/>
      <c r="O3892" s="1">
        <f t="shared" si="909"/>
        <v>173.1</v>
      </c>
      <c r="P3892" s="1">
        <f t="shared" si="910"/>
        <v>0</v>
      </c>
      <c r="Q3892" s="1" t="str">
        <f t="shared" si="916"/>
        <v/>
      </c>
      <c r="R3892" s="1" t="str">
        <f t="shared" si="911"/>
        <v/>
      </c>
      <c r="S3892" s="1">
        <f t="shared" si="912"/>
        <v>630.90240000000244</v>
      </c>
      <c r="T3892" s="1">
        <f t="shared" si="913"/>
        <v>0</v>
      </c>
      <c r="U3892" s="1">
        <f t="shared" si="914"/>
        <v>0</v>
      </c>
      <c r="V3892" s="1">
        <f t="shared" si="915"/>
        <v>0</v>
      </c>
    </row>
    <row r="3893" spans="5:22" x14ac:dyDescent="0.25">
      <c r="E3893" s="4"/>
      <c r="M3893" s="4">
        <f t="shared" si="908"/>
        <v>173.1</v>
      </c>
      <c r="N3893" s="4"/>
      <c r="O3893" s="1">
        <f t="shared" si="909"/>
        <v>173.1</v>
      </c>
      <c r="P3893" s="1">
        <f t="shared" si="910"/>
        <v>0</v>
      </c>
      <c r="Q3893" s="1" t="str">
        <f t="shared" si="916"/>
        <v/>
      </c>
      <c r="R3893" s="1" t="str">
        <f t="shared" si="911"/>
        <v/>
      </c>
      <c r="S3893" s="1">
        <f t="shared" si="912"/>
        <v>630.90240000000244</v>
      </c>
      <c r="T3893" s="1">
        <f t="shared" si="913"/>
        <v>0</v>
      </c>
      <c r="U3893" s="1">
        <f t="shared" si="914"/>
        <v>0</v>
      </c>
      <c r="V3893" s="1">
        <f t="shared" si="915"/>
        <v>0</v>
      </c>
    </row>
    <row r="3894" spans="5:22" x14ac:dyDescent="0.25">
      <c r="E3894" s="4"/>
      <c r="M3894" s="4">
        <f t="shared" si="908"/>
        <v>173.1</v>
      </c>
      <c r="N3894" s="4"/>
      <c r="O3894" s="1">
        <f t="shared" si="909"/>
        <v>173.1</v>
      </c>
      <c r="P3894" s="1">
        <f t="shared" si="910"/>
        <v>0</v>
      </c>
      <c r="Q3894" s="1" t="str">
        <f t="shared" si="916"/>
        <v/>
      </c>
      <c r="R3894" s="1" t="str">
        <f t="shared" si="911"/>
        <v/>
      </c>
      <c r="S3894" s="1">
        <f t="shared" si="912"/>
        <v>630.90240000000244</v>
      </c>
      <c r="T3894" s="1">
        <f t="shared" si="913"/>
        <v>0</v>
      </c>
      <c r="U3894" s="1">
        <f t="shared" si="914"/>
        <v>0</v>
      </c>
      <c r="V3894" s="1">
        <f t="shared" si="915"/>
        <v>0</v>
      </c>
    </row>
    <row r="3895" spans="5:22" x14ac:dyDescent="0.25">
      <c r="E3895" s="4"/>
      <c r="M3895" s="4">
        <f t="shared" si="908"/>
        <v>173.1</v>
      </c>
      <c r="N3895" s="4"/>
      <c r="O3895" s="1">
        <f t="shared" si="909"/>
        <v>173.1</v>
      </c>
      <c r="P3895" s="1">
        <f t="shared" si="910"/>
        <v>0</v>
      </c>
      <c r="Q3895" s="1" t="str">
        <f t="shared" si="916"/>
        <v/>
      </c>
      <c r="R3895" s="1" t="str">
        <f t="shared" si="911"/>
        <v/>
      </c>
      <c r="S3895" s="1">
        <f t="shared" si="912"/>
        <v>630.90240000000244</v>
      </c>
      <c r="T3895" s="1">
        <f t="shared" si="913"/>
        <v>0</v>
      </c>
      <c r="U3895" s="1">
        <f t="shared" si="914"/>
        <v>0</v>
      </c>
      <c r="V3895" s="1">
        <f t="shared" si="915"/>
        <v>0</v>
      </c>
    </row>
    <row r="3896" spans="5:22" x14ac:dyDescent="0.25">
      <c r="E3896" s="4"/>
      <c r="M3896" s="4">
        <f t="shared" si="908"/>
        <v>173.1</v>
      </c>
      <c r="N3896" s="4"/>
      <c r="O3896" s="1">
        <f t="shared" si="909"/>
        <v>173.1</v>
      </c>
      <c r="P3896" s="1">
        <f t="shared" si="910"/>
        <v>0</v>
      </c>
      <c r="Q3896" s="1" t="str">
        <f t="shared" si="916"/>
        <v/>
      </c>
      <c r="R3896" s="1" t="str">
        <f t="shared" si="911"/>
        <v/>
      </c>
      <c r="S3896" s="1">
        <f t="shared" si="912"/>
        <v>630.90240000000244</v>
      </c>
      <c r="T3896" s="1">
        <f t="shared" si="913"/>
        <v>0</v>
      </c>
      <c r="U3896" s="1">
        <f t="shared" si="914"/>
        <v>0</v>
      </c>
      <c r="V3896" s="1">
        <f t="shared" si="915"/>
        <v>0</v>
      </c>
    </row>
    <row r="3897" spans="5:22" x14ac:dyDescent="0.25">
      <c r="E3897" s="4"/>
      <c r="M3897" s="4">
        <f t="shared" si="908"/>
        <v>173.1</v>
      </c>
      <c r="N3897" s="4"/>
      <c r="O3897" s="1">
        <f t="shared" si="909"/>
        <v>173.1</v>
      </c>
      <c r="P3897" s="1">
        <f t="shared" si="910"/>
        <v>0</v>
      </c>
      <c r="Q3897" s="1" t="str">
        <f t="shared" si="916"/>
        <v/>
      </c>
      <c r="R3897" s="1" t="str">
        <f t="shared" si="911"/>
        <v/>
      </c>
      <c r="S3897" s="1">
        <f t="shared" si="912"/>
        <v>630.90240000000244</v>
      </c>
      <c r="T3897" s="1">
        <f t="shared" si="913"/>
        <v>0</v>
      </c>
      <c r="U3897" s="1">
        <f t="shared" si="914"/>
        <v>0</v>
      </c>
      <c r="V3897" s="1">
        <f t="shared" si="915"/>
        <v>0</v>
      </c>
    </row>
    <row r="3898" spans="5:22" x14ac:dyDescent="0.25">
      <c r="E3898" s="4"/>
      <c r="M3898" s="4">
        <f t="shared" si="908"/>
        <v>173.1</v>
      </c>
      <c r="N3898" s="4"/>
      <c r="O3898" s="1">
        <f t="shared" si="909"/>
        <v>173.1</v>
      </c>
      <c r="P3898" s="1">
        <f t="shared" si="910"/>
        <v>0</v>
      </c>
      <c r="Q3898" s="1" t="str">
        <f t="shared" si="916"/>
        <v/>
      </c>
      <c r="R3898" s="1" t="str">
        <f t="shared" si="911"/>
        <v/>
      </c>
      <c r="S3898" s="1">
        <f t="shared" si="912"/>
        <v>630.90240000000244</v>
      </c>
      <c r="T3898" s="1">
        <f t="shared" si="913"/>
        <v>0</v>
      </c>
      <c r="U3898" s="1">
        <f t="shared" si="914"/>
        <v>0</v>
      </c>
      <c r="V3898" s="1">
        <f t="shared" si="915"/>
        <v>0</v>
      </c>
    </row>
    <row r="3899" spans="5:22" x14ac:dyDescent="0.25">
      <c r="E3899" s="4"/>
      <c r="M3899" s="4">
        <f t="shared" si="908"/>
        <v>173.1</v>
      </c>
      <c r="N3899" s="4"/>
      <c r="O3899" s="1">
        <f t="shared" si="909"/>
        <v>173.1</v>
      </c>
      <c r="P3899" s="1">
        <f t="shared" si="910"/>
        <v>0</v>
      </c>
      <c r="Q3899" s="1" t="str">
        <f t="shared" si="916"/>
        <v/>
      </c>
      <c r="R3899" s="1" t="str">
        <f t="shared" si="911"/>
        <v/>
      </c>
      <c r="S3899" s="1">
        <f t="shared" si="912"/>
        <v>630.90240000000244</v>
      </c>
      <c r="T3899" s="1">
        <f t="shared" si="913"/>
        <v>0</v>
      </c>
      <c r="U3899" s="1">
        <f t="shared" si="914"/>
        <v>0</v>
      </c>
      <c r="V3899" s="1">
        <f t="shared" si="915"/>
        <v>0</v>
      </c>
    </row>
    <row r="3900" spans="5:22" x14ac:dyDescent="0.25">
      <c r="E3900" s="4"/>
      <c r="M3900" s="4">
        <f t="shared" si="908"/>
        <v>173.1</v>
      </c>
      <c r="N3900" s="4"/>
      <c r="O3900" s="1">
        <f t="shared" si="909"/>
        <v>173.1</v>
      </c>
      <c r="P3900" s="1">
        <f t="shared" si="910"/>
        <v>0</v>
      </c>
      <c r="Q3900" s="1" t="str">
        <f t="shared" si="916"/>
        <v/>
      </c>
      <c r="R3900" s="1" t="str">
        <f t="shared" si="911"/>
        <v/>
      </c>
      <c r="S3900" s="1">
        <f t="shared" si="912"/>
        <v>630.90240000000244</v>
      </c>
      <c r="T3900" s="1">
        <f t="shared" si="913"/>
        <v>0</v>
      </c>
      <c r="U3900" s="1">
        <f t="shared" si="914"/>
        <v>0</v>
      </c>
      <c r="V3900" s="1">
        <f t="shared" si="915"/>
        <v>0</v>
      </c>
    </row>
    <row r="3901" spans="5:22" x14ac:dyDescent="0.25">
      <c r="E3901" s="4"/>
      <c r="M3901" s="4">
        <f t="shared" si="908"/>
        <v>173.1</v>
      </c>
      <c r="N3901" s="4"/>
      <c r="O3901" s="1">
        <f t="shared" si="909"/>
        <v>173.1</v>
      </c>
      <c r="P3901" s="1">
        <f t="shared" si="910"/>
        <v>0</v>
      </c>
      <c r="Q3901" s="1" t="str">
        <f t="shared" si="916"/>
        <v/>
      </c>
      <c r="R3901" s="1" t="str">
        <f t="shared" si="911"/>
        <v/>
      </c>
      <c r="S3901" s="1">
        <f t="shared" si="912"/>
        <v>630.90240000000244</v>
      </c>
      <c r="T3901" s="1">
        <f t="shared" si="913"/>
        <v>0</v>
      </c>
      <c r="U3901" s="1">
        <f t="shared" si="914"/>
        <v>0</v>
      </c>
      <c r="V3901" s="1">
        <f t="shared" si="915"/>
        <v>0</v>
      </c>
    </row>
    <row r="3902" spans="5:22" x14ac:dyDescent="0.25">
      <c r="E3902" s="4"/>
      <c r="M3902" s="4">
        <f t="shared" si="908"/>
        <v>173.1</v>
      </c>
      <c r="N3902" s="4"/>
      <c r="O3902" s="1">
        <f t="shared" si="909"/>
        <v>173.1</v>
      </c>
      <c r="P3902" s="1">
        <f t="shared" si="910"/>
        <v>0</v>
      </c>
      <c r="Q3902" s="1" t="str">
        <f t="shared" si="916"/>
        <v/>
      </c>
      <c r="R3902" s="1" t="str">
        <f t="shared" si="911"/>
        <v/>
      </c>
      <c r="S3902" s="1">
        <f t="shared" si="912"/>
        <v>630.90240000000244</v>
      </c>
      <c r="T3902" s="1">
        <f t="shared" si="913"/>
        <v>0</v>
      </c>
      <c r="U3902" s="1">
        <f t="shared" si="914"/>
        <v>0</v>
      </c>
      <c r="V3902" s="1">
        <f t="shared" si="915"/>
        <v>0</v>
      </c>
    </row>
    <row r="3903" spans="5:22" x14ac:dyDescent="0.25">
      <c r="E3903" s="4"/>
      <c r="M3903" s="4">
        <f t="shared" si="908"/>
        <v>173.1</v>
      </c>
      <c r="N3903" s="4"/>
      <c r="O3903" s="1">
        <f t="shared" si="909"/>
        <v>173.1</v>
      </c>
      <c r="P3903" s="1">
        <f t="shared" si="910"/>
        <v>0</v>
      </c>
      <c r="Q3903" s="1" t="str">
        <f t="shared" si="916"/>
        <v/>
      </c>
      <c r="R3903" s="1" t="str">
        <f t="shared" si="911"/>
        <v/>
      </c>
      <c r="S3903" s="1">
        <f t="shared" si="912"/>
        <v>630.90240000000244</v>
      </c>
      <c r="T3903" s="1">
        <f t="shared" si="913"/>
        <v>0</v>
      </c>
      <c r="U3903" s="1">
        <f t="shared" si="914"/>
        <v>0</v>
      </c>
      <c r="V3903" s="1">
        <f t="shared" si="915"/>
        <v>0</v>
      </c>
    </row>
    <row r="3904" spans="5:22" x14ac:dyDescent="0.25">
      <c r="E3904" s="4"/>
      <c r="M3904" s="4">
        <f t="shared" si="908"/>
        <v>173.1</v>
      </c>
      <c r="N3904" s="4"/>
      <c r="O3904" s="1">
        <f t="shared" si="909"/>
        <v>173.1</v>
      </c>
      <c r="P3904" s="1">
        <f t="shared" si="910"/>
        <v>0</v>
      </c>
      <c r="Q3904" s="1" t="str">
        <f t="shared" si="916"/>
        <v/>
      </c>
      <c r="R3904" s="1" t="str">
        <f t="shared" si="911"/>
        <v/>
      </c>
      <c r="S3904" s="1">
        <f t="shared" si="912"/>
        <v>630.90240000000244</v>
      </c>
      <c r="T3904" s="1">
        <f t="shared" si="913"/>
        <v>0</v>
      </c>
      <c r="U3904" s="1">
        <f t="shared" si="914"/>
        <v>0</v>
      </c>
      <c r="V3904" s="1">
        <f t="shared" si="915"/>
        <v>0</v>
      </c>
    </row>
    <row r="3905" spans="5:22" x14ac:dyDescent="0.25">
      <c r="E3905" s="4"/>
      <c r="M3905" s="4">
        <f t="shared" si="908"/>
        <v>173.1</v>
      </c>
      <c r="N3905" s="4"/>
      <c r="O3905" s="1">
        <f t="shared" si="909"/>
        <v>173.1</v>
      </c>
      <c r="P3905" s="1">
        <f t="shared" si="910"/>
        <v>0</v>
      </c>
      <c r="Q3905" s="1" t="str">
        <f t="shared" si="916"/>
        <v/>
      </c>
      <c r="R3905" s="1" t="str">
        <f t="shared" si="911"/>
        <v/>
      </c>
      <c r="S3905" s="1">
        <f t="shared" si="912"/>
        <v>630.90240000000244</v>
      </c>
      <c r="T3905" s="1">
        <f t="shared" si="913"/>
        <v>0</v>
      </c>
      <c r="U3905" s="1">
        <f t="shared" si="914"/>
        <v>0</v>
      </c>
      <c r="V3905" s="1">
        <f t="shared" si="915"/>
        <v>0</v>
      </c>
    </row>
    <row r="3906" spans="5:22" x14ac:dyDescent="0.25">
      <c r="E3906" s="4"/>
      <c r="M3906" s="4">
        <f t="shared" si="908"/>
        <v>173.1</v>
      </c>
      <c r="N3906" s="4"/>
      <c r="O3906" s="1">
        <f t="shared" si="909"/>
        <v>173.1</v>
      </c>
      <c r="P3906" s="1">
        <f t="shared" si="910"/>
        <v>0</v>
      </c>
      <c r="Q3906" s="1" t="str">
        <f t="shared" si="916"/>
        <v/>
      </c>
      <c r="R3906" s="1" t="str">
        <f t="shared" si="911"/>
        <v/>
      </c>
      <c r="S3906" s="1">
        <f t="shared" si="912"/>
        <v>630.90240000000244</v>
      </c>
      <c r="T3906" s="1">
        <f t="shared" si="913"/>
        <v>0</v>
      </c>
      <c r="U3906" s="1">
        <f t="shared" si="914"/>
        <v>0</v>
      </c>
      <c r="V3906" s="1">
        <f t="shared" si="915"/>
        <v>0</v>
      </c>
    </row>
    <row r="3907" spans="5:22" x14ac:dyDescent="0.25">
      <c r="E3907" s="4"/>
      <c r="M3907" s="4">
        <f t="shared" si="908"/>
        <v>173.1</v>
      </c>
      <c r="N3907" s="4"/>
      <c r="O3907" s="1">
        <f t="shared" si="909"/>
        <v>173.1</v>
      </c>
      <c r="P3907" s="1">
        <f t="shared" si="910"/>
        <v>0</v>
      </c>
      <c r="Q3907" s="1" t="str">
        <f t="shared" si="916"/>
        <v/>
      </c>
      <c r="R3907" s="1" t="str">
        <f t="shared" si="911"/>
        <v/>
      </c>
      <c r="S3907" s="1">
        <f t="shared" si="912"/>
        <v>630.90240000000244</v>
      </c>
      <c r="T3907" s="1">
        <f t="shared" si="913"/>
        <v>0</v>
      </c>
      <c r="U3907" s="1">
        <f t="shared" si="914"/>
        <v>0</v>
      </c>
      <c r="V3907" s="1">
        <f t="shared" si="915"/>
        <v>0</v>
      </c>
    </row>
    <row r="3908" spans="5:22" x14ac:dyDescent="0.25">
      <c r="E3908" s="4"/>
      <c r="M3908" s="4">
        <f t="shared" si="908"/>
        <v>173.1</v>
      </c>
      <c r="N3908" s="4"/>
      <c r="O3908" s="1">
        <f t="shared" si="909"/>
        <v>173.1</v>
      </c>
      <c r="P3908" s="1">
        <f t="shared" si="910"/>
        <v>0</v>
      </c>
      <c r="Q3908" s="1" t="str">
        <f t="shared" si="916"/>
        <v/>
      </c>
      <c r="R3908" s="1" t="str">
        <f t="shared" si="911"/>
        <v/>
      </c>
      <c r="S3908" s="1">
        <f t="shared" si="912"/>
        <v>630.90240000000244</v>
      </c>
      <c r="T3908" s="1">
        <f t="shared" si="913"/>
        <v>0</v>
      </c>
      <c r="U3908" s="1">
        <f t="shared" si="914"/>
        <v>0</v>
      </c>
      <c r="V3908" s="1">
        <f t="shared" si="915"/>
        <v>0</v>
      </c>
    </row>
    <row r="3909" spans="5:22" x14ac:dyDescent="0.25">
      <c r="E3909" s="4"/>
      <c r="M3909" s="4">
        <f t="shared" si="908"/>
        <v>173.1</v>
      </c>
      <c r="N3909" s="4"/>
      <c r="O3909" s="1">
        <f t="shared" si="909"/>
        <v>173.1</v>
      </c>
      <c r="P3909" s="1">
        <f t="shared" si="910"/>
        <v>0</v>
      </c>
      <c r="Q3909" s="1" t="str">
        <f t="shared" si="916"/>
        <v/>
      </c>
      <c r="R3909" s="1" t="str">
        <f t="shared" si="911"/>
        <v/>
      </c>
      <c r="S3909" s="1">
        <f t="shared" si="912"/>
        <v>630.90240000000244</v>
      </c>
      <c r="T3909" s="1">
        <f t="shared" si="913"/>
        <v>0</v>
      </c>
      <c r="U3909" s="1">
        <f t="shared" si="914"/>
        <v>0</v>
      </c>
      <c r="V3909" s="1">
        <f t="shared" si="915"/>
        <v>0</v>
      </c>
    </row>
    <row r="3910" spans="5:22" x14ac:dyDescent="0.25">
      <c r="E3910" s="4"/>
      <c r="M3910" s="4">
        <f t="shared" si="908"/>
        <v>173.1</v>
      </c>
      <c r="N3910" s="4"/>
      <c r="O3910" s="1">
        <f t="shared" si="909"/>
        <v>173.1</v>
      </c>
      <c r="P3910" s="1">
        <f t="shared" si="910"/>
        <v>0</v>
      </c>
      <c r="Q3910" s="1" t="str">
        <f t="shared" si="916"/>
        <v/>
      </c>
      <c r="R3910" s="1" t="str">
        <f t="shared" si="911"/>
        <v/>
      </c>
      <c r="S3910" s="1">
        <f t="shared" si="912"/>
        <v>630.90240000000244</v>
      </c>
      <c r="T3910" s="1">
        <f t="shared" si="913"/>
        <v>0</v>
      </c>
      <c r="U3910" s="1">
        <f t="shared" si="914"/>
        <v>0</v>
      </c>
      <c r="V3910" s="1">
        <f t="shared" si="915"/>
        <v>0</v>
      </c>
    </row>
    <row r="3911" spans="5:22" x14ac:dyDescent="0.25">
      <c r="E3911" s="4"/>
      <c r="M3911" s="4">
        <f t="shared" si="908"/>
        <v>173.1</v>
      </c>
      <c r="N3911" s="4"/>
      <c r="O3911" s="1">
        <f t="shared" si="909"/>
        <v>173.1</v>
      </c>
      <c r="P3911" s="1">
        <f t="shared" si="910"/>
        <v>0</v>
      </c>
      <c r="Q3911" s="1" t="str">
        <f t="shared" si="916"/>
        <v/>
      </c>
      <c r="R3911" s="1" t="str">
        <f t="shared" si="911"/>
        <v/>
      </c>
      <c r="S3911" s="1">
        <f t="shared" si="912"/>
        <v>630.90240000000244</v>
      </c>
      <c r="T3911" s="1">
        <f t="shared" si="913"/>
        <v>0</v>
      </c>
      <c r="U3911" s="1">
        <f t="shared" si="914"/>
        <v>0</v>
      </c>
      <c r="V3911" s="1">
        <f t="shared" si="915"/>
        <v>0</v>
      </c>
    </row>
    <row r="3912" spans="5:22" x14ac:dyDescent="0.25">
      <c r="E3912" s="4"/>
      <c r="M3912" s="4">
        <f t="shared" ref="M3912:M3975" si="917">E3912+M3911</f>
        <v>173.1</v>
      </c>
      <c r="N3912" s="4"/>
      <c r="O3912" s="1">
        <f t="shared" ref="O3912:O3975" si="918">E3911+O3911</f>
        <v>173.1</v>
      </c>
      <c r="P3912" s="1">
        <f t="shared" ref="P3912:P3975" si="919">F3912*52.8*E3912</f>
        <v>0</v>
      </c>
      <c r="Q3912" s="1" t="str">
        <f t="shared" si="916"/>
        <v/>
      </c>
      <c r="R3912" s="1" t="str">
        <f t="shared" ref="R3912:R3975" si="920">IF(I3912="",Q3912,IF(AND(H3912=H3911,I3912=I3911),"",I3912))</f>
        <v/>
      </c>
      <c r="S3912" s="1">
        <f t="shared" ref="S3912:S3975" si="921">S3911+U3911*T3911/100</f>
        <v>630.90240000000244</v>
      </c>
      <c r="T3912" s="1">
        <f t="shared" ref="T3912:T3975" si="922">IF(G3912="UNK",0,G3912)</f>
        <v>0</v>
      </c>
      <c r="U3912" s="1">
        <f t="shared" ref="U3912:U3975" si="923">E3912*5280</f>
        <v>0</v>
      </c>
      <c r="V3912" s="1">
        <f t="shared" ref="V3912:V3975" si="924">ABS(T3912*U3912)</f>
        <v>0</v>
      </c>
    </row>
    <row r="3913" spans="5:22" x14ac:dyDescent="0.25">
      <c r="E3913" s="4"/>
      <c r="M3913" s="4">
        <f t="shared" si="917"/>
        <v>173.1</v>
      </c>
      <c r="N3913" s="4"/>
      <c r="O3913" s="1">
        <f t="shared" si="918"/>
        <v>173.1</v>
      </c>
      <c r="P3913" s="1">
        <f t="shared" si="919"/>
        <v>0</v>
      </c>
      <c r="Q3913" s="1" t="str">
        <f t="shared" si="916"/>
        <v/>
      </c>
      <c r="R3913" s="1" t="str">
        <f t="shared" si="920"/>
        <v/>
      </c>
      <c r="S3913" s="1">
        <f t="shared" si="921"/>
        <v>630.90240000000244</v>
      </c>
      <c r="T3913" s="1">
        <f t="shared" si="922"/>
        <v>0</v>
      </c>
      <c r="U3913" s="1">
        <f t="shared" si="923"/>
        <v>0</v>
      </c>
      <c r="V3913" s="1">
        <f t="shared" si="924"/>
        <v>0</v>
      </c>
    </row>
    <row r="3914" spans="5:22" x14ac:dyDescent="0.25">
      <c r="E3914" s="4"/>
      <c r="M3914" s="4">
        <f t="shared" si="917"/>
        <v>173.1</v>
      </c>
      <c r="N3914" s="4"/>
      <c r="O3914" s="1">
        <f t="shared" si="918"/>
        <v>173.1</v>
      </c>
      <c r="P3914" s="1">
        <f t="shared" si="919"/>
        <v>0</v>
      </c>
      <c r="Q3914" s="1" t="str">
        <f t="shared" si="916"/>
        <v/>
      </c>
      <c r="R3914" s="1" t="str">
        <f t="shared" si="920"/>
        <v/>
      </c>
      <c r="S3914" s="1">
        <f t="shared" si="921"/>
        <v>630.90240000000244</v>
      </c>
      <c r="T3914" s="1">
        <f t="shared" si="922"/>
        <v>0</v>
      </c>
      <c r="U3914" s="1">
        <f t="shared" si="923"/>
        <v>0</v>
      </c>
      <c r="V3914" s="1">
        <f t="shared" si="924"/>
        <v>0</v>
      </c>
    </row>
    <row r="3915" spans="5:22" x14ac:dyDescent="0.25">
      <c r="E3915" s="4"/>
      <c r="M3915" s="4">
        <f t="shared" si="917"/>
        <v>173.1</v>
      </c>
      <c r="N3915" s="4"/>
      <c r="O3915" s="1">
        <f t="shared" si="918"/>
        <v>173.1</v>
      </c>
      <c r="P3915" s="1">
        <f t="shared" si="919"/>
        <v>0</v>
      </c>
      <c r="Q3915" s="1" t="str">
        <f t="shared" si="916"/>
        <v/>
      </c>
      <c r="R3915" s="1" t="str">
        <f t="shared" si="920"/>
        <v/>
      </c>
      <c r="S3915" s="1">
        <f t="shared" si="921"/>
        <v>630.90240000000244</v>
      </c>
      <c r="T3915" s="1">
        <f t="shared" si="922"/>
        <v>0</v>
      </c>
      <c r="U3915" s="1">
        <f t="shared" si="923"/>
        <v>0</v>
      </c>
      <c r="V3915" s="1">
        <f t="shared" si="924"/>
        <v>0</v>
      </c>
    </row>
    <row r="3916" spans="5:22" x14ac:dyDescent="0.25">
      <c r="E3916" s="4"/>
      <c r="M3916" s="4">
        <f t="shared" si="917"/>
        <v>173.1</v>
      </c>
      <c r="N3916" s="4"/>
      <c r="O3916" s="1">
        <f t="shared" si="918"/>
        <v>173.1</v>
      </c>
      <c r="P3916" s="1">
        <f t="shared" si="919"/>
        <v>0</v>
      </c>
      <c r="Q3916" s="1" t="str">
        <f t="shared" si="916"/>
        <v/>
      </c>
      <c r="R3916" s="1" t="str">
        <f t="shared" si="920"/>
        <v/>
      </c>
      <c r="S3916" s="1">
        <f t="shared" si="921"/>
        <v>630.90240000000244</v>
      </c>
      <c r="T3916" s="1">
        <f t="shared" si="922"/>
        <v>0</v>
      </c>
      <c r="U3916" s="1">
        <f t="shared" si="923"/>
        <v>0</v>
      </c>
      <c r="V3916" s="1">
        <f t="shared" si="924"/>
        <v>0</v>
      </c>
    </row>
    <row r="3917" spans="5:22" x14ac:dyDescent="0.25">
      <c r="E3917" s="4"/>
      <c r="M3917" s="4">
        <f t="shared" si="917"/>
        <v>173.1</v>
      </c>
      <c r="N3917" s="4"/>
      <c r="O3917" s="1">
        <f t="shared" si="918"/>
        <v>173.1</v>
      </c>
      <c r="P3917" s="1">
        <f t="shared" si="919"/>
        <v>0</v>
      </c>
      <c r="Q3917" s="1" t="str">
        <f t="shared" si="916"/>
        <v/>
      </c>
      <c r="R3917" s="1" t="str">
        <f t="shared" si="920"/>
        <v/>
      </c>
      <c r="S3917" s="1">
        <f t="shared" si="921"/>
        <v>630.90240000000244</v>
      </c>
      <c r="T3917" s="1">
        <f t="shared" si="922"/>
        <v>0</v>
      </c>
      <c r="U3917" s="1">
        <f t="shared" si="923"/>
        <v>0</v>
      </c>
      <c r="V3917" s="1">
        <f t="shared" si="924"/>
        <v>0</v>
      </c>
    </row>
    <row r="3918" spans="5:22" x14ac:dyDescent="0.25">
      <c r="E3918" s="4"/>
      <c r="M3918" s="4">
        <f t="shared" si="917"/>
        <v>173.1</v>
      </c>
      <c r="N3918" s="4"/>
      <c r="O3918" s="1">
        <f t="shared" si="918"/>
        <v>173.1</v>
      </c>
      <c r="P3918" s="1">
        <f t="shared" si="919"/>
        <v>0</v>
      </c>
      <c r="Q3918" s="1" t="str">
        <f t="shared" si="916"/>
        <v/>
      </c>
      <c r="R3918" s="1" t="str">
        <f t="shared" si="920"/>
        <v/>
      </c>
      <c r="S3918" s="1">
        <f t="shared" si="921"/>
        <v>630.90240000000244</v>
      </c>
      <c r="T3918" s="1">
        <f t="shared" si="922"/>
        <v>0</v>
      </c>
      <c r="U3918" s="1">
        <f t="shared" si="923"/>
        <v>0</v>
      </c>
      <c r="V3918" s="1">
        <f t="shared" si="924"/>
        <v>0</v>
      </c>
    </row>
    <row r="3919" spans="5:22" x14ac:dyDescent="0.25">
      <c r="E3919" s="4"/>
      <c r="M3919" s="4">
        <f t="shared" si="917"/>
        <v>173.1</v>
      </c>
      <c r="N3919" s="4"/>
      <c r="O3919" s="1">
        <f t="shared" si="918"/>
        <v>173.1</v>
      </c>
      <c r="P3919" s="1">
        <f t="shared" si="919"/>
        <v>0</v>
      </c>
      <c r="Q3919" s="1" t="str">
        <f t="shared" si="916"/>
        <v/>
      </c>
      <c r="R3919" s="1" t="str">
        <f t="shared" si="920"/>
        <v/>
      </c>
      <c r="S3919" s="1">
        <f t="shared" si="921"/>
        <v>630.90240000000244</v>
      </c>
      <c r="T3919" s="1">
        <f t="shared" si="922"/>
        <v>0</v>
      </c>
      <c r="U3919" s="1">
        <f t="shared" si="923"/>
        <v>0</v>
      </c>
      <c r="V3919" s="1">
        <f t="shared" si="924"/>
        <v>0</v>
      </c>
    </row>
    <row r="3920" spans="5:22" x14ac:dyDescent="0.25">
      <c r="E3920" s="4"/>
      <c r="M3920" s="4">
        <f t="shared" si="917"/>
        <v>173.1</v>
      </c>
      <c r="N3920" s="4"/>
      <c r="O3920" s="1">
        <f t="shared" si="918"/>
        <v>173.1</v>
      </c>
      <c r="P3920" s="1">
        <f t="shared" si="919"/>
        <v>0</v>
      </c>
      <c r="Q3920" s="1" t="str">
        <f t="shared" si="916"/>
        <v/>
      </c>
      <c r="R3920" s="1" t="str">
        <f t="shared" si="920"/>
        <v/>
      </c>
      <c r="S3920" s="1">
        <f t="shared" si="921"/>
        <v>630.90240000000244</v>
      </c>
      <c r="T3920" s="1">
        <f t="shared" si="922"/>
        <v>0</v>
      </c>
      <c r="U3920" s="1">
        <f t="shared" si="923"/>
        <v>0</v>
      </c>
      <c r="V3920" s="1">
        <f t="shared" si="924"/>
        <v>0</v>
      </c>
    </row>
    <row r="3921" spans="5:22" x14ac:dyDescent="0.25">
      <c r="E3921" s="4"/>
      <c r="M3921" s="4">
        <f t="shared" si="917"/>
        <v>173.1</v>
      </c>
      <c r="N3921" s="4"/>
      <c r="O3921" s="1">
        <f t="shared" si="918"/>
        <v>173.1</v>
      </c>
      <c r="P3921" s="1">
        <f t="shared" si="919"/>
        <v>0</v>
      </c>
      <c r="Q3921" s="1" t="str">
        <f t="shared" si="916"/>
        <v/>
      </c>
      <c r="R3921" s="1" t="str">
        <f t="shared" si="920"/>
        <v/>
      </c>
      <c r="S3921" s="1">
        <f t="shared" si="921"/>
        <v>630.90240000000244</v>
      </c>
      <c r="T3921" s="1">
        <f t="shared" si="922"/>
        <v>0</v>
      </c>
      <c r="U3921" s="1">
        <f t="shared" si="923"/>
        <v>0</v>
      </c>
      <c r="V3921" s="1">
        <f t="shared" si="924"/>
        <v>0</v>
      </c>
    </row>
    <row r="3922" spans="5:22" x14ac:dyDescent="0.25">
      <c r="E3922" s="4"/>
      <c r="M3922" s="4">
        <f t="shared" si="917"/>
        <v>173.1</v>
      </c>
      <c r="N3922" s="4"/>
      <c r="O3922" s="1">
        <f t="shared" si="918"/>
        <v>173.1</v>
      </c>
      <c r="P3922" s="1">
        <f t="shared" si="919"/>
        <v>0</v>
      </c>
      <c r="Q3922" s="1" t="str">
        <f t="shared" si="916"/>
        <v/>
      </c>
      <c r="R3922" s="1" t="str">
        <f t="shared" si="920"/>
        <v/>
      </c>
      <c r="S3922" s="1">
        <f t="shared" si="921"/>
        <v>630.90240000000244</v>
      </c>
      <c r="T3922" s="1">
        <f t="shared" si="922"/>
        <v>0</v>
      </c>
      <c r="U3922" s="1">
        <f t="shared" si="923"/>
        <v>0</v>
      </c>
      <c r="V3922" s="1">
        <f t="shared" si="924"/>
        <v>0</v>
      </c>
    </row>
    <row r="3923" spans="5:22" x14ac:dyDescent="0.25">
      <c r="E3923" s="4"/>
      <c r="M3923" s="4">
        <f t="shared" si="917"/>
        <v>173.1</v>
      </c>
      <c r="N3923" s="4"/>
      <c r="O3923" s="1">
        <f t="shared" si="918"/>
        <v>173.1</v>
      </c>
      <c r="P3923" s="1">
        <f t="shared" si="919"/>
        <v>0</v>
      </c>
      <c r="Q3923" s="1" t="str">
        <f t="shared" si="916"/>
        <v/>
      </c>
      <c r="R3923" s="1" t="str">
        <f t="shared" si="920"/>
        <v/>
      </c>
      <c r="S3923" s="1">
        <f t="shared" si="921"/>
        <v>630.90240000000244</v>
      </c>
      <c r="T3923" s="1">
        <f t="shared" si="922"/>
        <v>0</v>
      </c>
      <c r="U3923" s="1">
        <f t="shared" si="923"/>
        <v>0</v>
      </c>
      <c r="V3923" s="1">
        <f t="shared" si="924"/>
        <v>0</v>
      </c>
    </row>
    <row r="3924" spans="5:22" x14ac:dyDescent="0.25">
      <c r="E3924" s="4"/>
      <c r="M3924" s="4">
        <f t="shared" si="917"/>
        <v>173.1</v>
      </c>
      <c r="N3924" s="4"/>
      <c r="O3924" s="1">
        <f t="shared" si="918"/>
        <v>173.1</v>
      </c>
      <c r="P3924" s="1">
        <f t="shared" si="919"/>
        <v>0</v>
      </c>
      <c r="Q3924" s="1" t="str">
        <f t="shared" si="916"/>
        <v/>
      </c>
      <c r="R3924" s="1" t="str">
        <f t="shared" si="920"/>
        <v/>
      </c>
      <c r="S3924" s="1">
        <f t="shared" si="921"/>
        <v>630.90240000000244</v>
      </c>
      <c r="T3924" s="1">
        <f t="shared" si="922"/>
        <v>0</v>
      </c>
      <c r="U3924" s="1">
        <f t="shared" si="923"/>
        <v>0</v>
      </c>
      <c r="V3924" s="1">
        <f t="shared" si="924"/>
        <v>0</v>
      </c>
    </row>
    <row r="3925" spans="5:22" x14ac:dyDescent="0.25">
      <c r="E3925" s="4"/>
      <c r="M3925" s="4">
        <f t="shared" si="917"/>
        <v>173.1</v>
      </c>
      <c r="N3925" s="4"/>
      <c r="O3925" s="1">
        <f t="shared" si="918"/>
        <v>173.1</v>
      </c>
      <c r="P3925" s="1">
        <f t="shared" si="919"/>
        <v>0</v>
      </c>
      <c r="Q3925" s="1" t="str">
        <f t="shared" si="916"/>
        <v/>
      </c>
      <c r="R3925" s="1" t="str">
        <f t="shared" si="920"/>
        <v/>
      </c>
      <c r="S3925" s="1">
        <f t="shared" si="921"/>
        <v>630.90240000000244</v>
      </c>
      <c r="T3925" s="1">
        <f t="shared" si="922"/>
        <v>0</v>
      </c>
      <c r="U3925" s="1">
        <f t="shared" si="923"/>
        <v>0</v>
      </c>
      <c r="V3925" s="1">
        <f t="shared" si="924"/>
        <v>0</v>
      </c>
    </row>
    <row r="3926" spans="5:22" x14ac:dyDescent="0.25">
      <c r="E3926" s="4"/>
      <c r="M3926" s="4">
        <f t="shared" si="917"/>
        <v>173.1</v>
      </c>
      <c r="N3926" s="4"/>
      <c r="O3926" s="1">
        <f t="shared" si="918"/>
        <v>173.1</v>
      </c>
      <c r="P3926" s="1">
        <f t="shared" si="919"/>
        <v>0</v>
      </c>
      <c r="Q3926" s="1" t="str">
        <f t="shared" si="916"/>
        <v/>
      </c>
      <c r="R3926" s="1" t="str">
        <f t="shared" si="920"/>
        <v/>
      </c>
      <c r="S3926" s="1">
        <f t="shared" si="921"/>
        <v>630.90240000000244</v>
      </c>
      <c r="T3926" s="1">
        <f t="shared" si="922"/>
        <v>0</v>
      </c>
      <c r="U3926" s="1">
        <f t="shared" si="923"/>
        <v>0</v>
      </c>
      <c r="V3926" s="1">
        <f t="shared" si="924"/>
        <v>0</v>
      </c>
    </row>
    <row r="3927" spans="5:22" x14ac:dyDescent="0.25">
      <c r="E3927" s="4"/>
      <c r="M3927" s="4">
        <f t="shared" si="917"/>
        <v>173.1</v>
      </c>
      <c r="N3927" s="4"/>
      <c r="O3927" s="1">
        <f t="shared" si="918"/>
        <v>173.1</v>
      </c>
      <c r="P3927" s="1">
        <f t="shared" si="919"/>
        <v>0</v>
      </c>
      <c r="Q3927" s="1" t="str">
        <f t="shared" si="916"/>
        <v/>
      </c>
      <c r="R3927" s="1" t="str">
        <f t="shared" si="920"/>
        <v/>
      </c>
      <c r="S3927" s="1">
        <f t="shared" si="921"/>
        <v>630.90240000000244</v>
      </c>
      <c r="T3927" s="1">
        <f t="shared" si="922"/>
        <v>0</v>
      </c>
      <c r="U3927" s="1">
        <f t="shared" si="923"/>
        <v>0</v>
      </c>
      <c r="V3927" s="1">
        <f t="shared" si="924"/>
        <v>0</v>
      </c>
    </row>
    <row r="3928" spans="5:22" x14ac:dyDescent="0.25">
      <c r="E3928" s="4"/>
      <c r="M3928" s="4">
        <f t="shared" si="917"/>
        <v>173.1</v>
      </c>
      <c r="N3928" s="4"/>
      <c r="O3928" s="1">
        <f t="shared" si="918"/>
        <v>173.1</v>
      </c>
      <c r="P3928" s="1">
        <f t="shared" si="919"/>
        <v>0</v>
      </c>
      <c r="Q3928" s="1" t="str">
        <f t="shared" si="916"/>
        <v/>
      </c>
      <c r="R3928" s="1" t="str">
        <f t="shared" si="920"/>
        <v/>
      </c>
      <c r="S3928" s="1">
        <f t="shared" si="921"/>
        <v>630.90240000000244</v>
      </c>
      <c r="T3928" s="1">
        <f t="shared" si="922"/>
        <v>0</v>
      </c>
      <c r="U3928" s="1">
        <f t="shared" si="923"/>
        <v>0</v>
      </c>
      <c r="V3928" s="1">
        <f t="shared" si="924"/>
        <v>0</v>
      </c>
    </row>
    <row r="3929" spans="5:22" x14ac:dyDescent="0.25">
      <c r="E3929" s="4"/>
      <c r="M3929" s="4">
        <f t="shared" si="917"/>
        <v>173.1</v>
      </c>
      <c r="N3929" s="4"/>
      <c r="O3929" s="1">
        <f t="shared" si="918"/>
        <v>173.1</v>
      </c>
      <c r="P3929" s="1">
        <f t="shared" si="919"/>
        <v>0</v>
      </c>
      <c r="Q3929" s="1" t="str">
        <f t="shared" si="916"/>
        <v/>
      </c>
      <c r="R3929" s="1" t="str">
        <f t="shared" si="920"/>
        <v/>
      </c>
      <c r="S3929" s="1">
        <f t="shared" si="921"/>
        <v>630.90240000000244</v>
      </c>
      <c r="T3929" s="1">
        <f t="shared" si="922"/>
        <v>0</v>
      </c>
      <c r="U3929" s="1">
        <f t="shared" si="923"/>
        <v>0</v>
      </c>
      <c r="V3929" s="1">
        <f t="shared" si="924"/>
        <v>0</v>
      </c>
    </row>
    <row r="3930" spans="5:22" x14ac:dyDescent="0.25">
      <c r="E3930" s="4"/>
      <c r="M3930" s="4">
        <f t="shared" si="917"/>
        <v>173.1</v>
      </c>
      <c r="N3930" s="4"/>
      <c r="O3930" s="1">
        <f t="shared" si="918"/>
        <v>173.1</v>
      </c>
      <c r="P3930" s="1">
        <f t="shared" si="919"/>
        <v>0</v>
      </c>
      <c r="Q3930" s="1" t="str">
        <f t="shared" si="916"/>
        <v/>
      </c>
      <c r="R3930" s="1" t="str">
        <f t="shared" si="920"/>
        <v/>
      </c>
      <c r="S3930" s="1">
        <f t="shared" si="921"/>
        <v>630.90240000000244</v>
      </c>
      <c r="T3930" s="1">
        <f t="shared" si="922"/>
        <v>0</v>
      </c>
      <c r="U3930" s="1">
        <f t="shared" si="923"/>
        <v>0</v>
      </c>
      <c r="V3930" s="1">
        <f t="shared" si="924"/>
        <v>0</v>
      </c>
    </row>
    <row r="3931" spans="5:22" x14ac:dyDescent="0.25">
      <c r="E3931" s="4"/>
      <c r="M3931" s="4">
        <f t="shared" si="917"/>
        <v>173.1</v>
      </c>
      <c r="N3931" s="4"/>
      <c r="O3931" s="1">
        <f t="shared" si="918"/>
        <v>173.1</v>
      </c>
      <c r="P3931" s="1">
        <f t="shared" si="919"/>
        <v>0</v>
      </c>
      <c r="Q3931" s="1" t="str">
        <f t="shared" si="916"/>
        <v/>
      </c>
      <c r="R3931" s="1" t="str">
        <f t="shared" si="920"/>
        <v/>
      </c>
      <c r="S3931" s="1">
        <f t="shared" si="921"/>
        <v>630.90240000000244</v>
      </c>
      <c r="T3931" s="1">
        <f t="shared" si="922"/>
        <v>0</v>
      </c>
      <c r="U3931" s="1">
        <f t="shared" si="923"/>
        <v>0</v>
      </c>
      <c r="V3931" s="1">
        <f t="shared" si="924"/>
        <v>0</v>
      </c>
    </row>
    <row r="3932" spans="5:22" x14ac:dyDescent="0.25">
      <c r="E3932" s="4"/>
      <c r="M3932" s="4">
        <f t="shared" si="917"/>
        <v>173.1</v>
      </c>
      <c r="N3932" s="4"/>
      <c r="O3932" s="1">
        <f t="shared" si="918"/>
        <v>173.1</v>
      </c>
      <c r="P3932" s="1">
        <f t="shared" si="919"/>
        <v>0</v>
      </c>
      <c r="Q3932" s="1" t="str">
        <f t="shared" si="916"/>
        <v/>
      </c>
      <c r="R3932" s="1" t="str">
        <f t="shared" si="920"/>
        <v/>
      </c>
      <c r="S3932" s="1">
        <f t="shared" si="921"/>
        <v>630.90240000000244</v>
      </c>
      <c r="T3932" s="1">
        <f t="shared" si="922"/>
        <v>0</v>
      </c>
      <c r="U3932" s="1">
        <f t="shared" si="923"/>
        <v>0</v>
      </c>
      <c r="V3932" s="1">
        <f t="shared" si="924"/>
        <v>0</v>
      </c>
    </row>
    <row r="3933" spans="5:22" x14ac:dyDescent="0.25">
      <c r="E3933" s="4"/>
      <c r="M3933" s="4">
        <f t="shared" si="917"/>
        <v>173.1</v>
      </c>
      <c r="N3933" s="4"/>
      <c r="O3933" s="1">
        <f t="shared" si="918"/>
        <v>173.1</v>
      </c>
      <c r="P3933" s="1">
        <f t="shared" si="919"/>
        <v>0</v>
      </c>
      <c r="Q3933" s="1" t="str">
        <f t="shared" si="916"/>
        <v/>
      </c>
      <c r="R3933" s="1" t="str">
        <f t="shared" si="920"/>
        <v/>
      </c>
      <c r="S3933" s="1">
        <f t="shared" si="921"/>
        <v>630.90240000000244</v>
      </c>
      <c r="T3933" s="1">
        <f t="shared" si="922"/>
        <v>0</v>
      </c>
      <c r="U3933" s="1">
        <f t="shared" si="923"/>
        <v>0</v>
      </c>
      <c r="V3933" s="1">
        <f t="shared" si="924"/>
        <v>0</v>
      </c>
    </row>
    <row r="3934" spans="5:22" x14ac:dyDescent="0.25">
      <c r="E3934" s="4"/>
      <c r="M3934" s="4">
        <f t="shared" si="917"/>
        <v>173.1</v>
      </c>
      <c r="N3934" s="4"/>
      <c r="O3934" s="1">
        <f t="shared" si="918"/>
        <v>173.1</v>
      </c>
      <c r="P3934" s="1">
        <f t="shared" si="919"/>
        <v>0</v>
      </c>
      <c r="Q3934" s="1" t="str">
        <f t="shared" si="916"/>
        <v/>
      </c>
      <c r="R3934" s="1" t="str">
        <f t="shared" si="920"/>
        <v/>
      </c>
      <c r="S3934" s="1">
        <f t="shared" si="921"/>
        <v>630.90240000000244</v>
      </c>
      <c r="T3934" s="1">
        <f t="shared" si="922"/>
        <v>0</v>
      </c>
      <c r="U3934" s="1">
        <f t="shared" si="923"/>
        <v>0</v>
      </c>
      <c r="V3934" s="1">
        <f t="shared" si="924"/>
        <v>0</v>
      </c>
    </row>
    <row r="3935" spans="5:22" x14ac:dyDescent="0.25">
      <c r="E3935" s="4"/>
      <c r="M3935" s="4">
        <f t="shared" si="917"/>
        <v>173.1</v>
      </c>
      <c r="N3935" s="4"/>
      <c r="O3935" s="1">
        <f t="shared" si="918"/>
        <v>173.1</v>
      </c>
      <c r="P3935" s="1">
        <f t="shared" si="919"/>
        <v>0</v>
      </c>
      <c r="Q3935" s="1" t="str">
        <f t="shared" si="916"/>
        <v/>
      </c>
      <c r="R3935" s="1" t="str">
        <f t="shared" si="920"/>
        <v/>
      </c>
      <c r="S3935" s="1">
        <f t="shared" si="921"/>
        <v>630.90240000000244</v>
      </c>
      <c r="T3935" s="1">
        <f t="shared" si="922"/>
        <v>0</v>
      </c>
      <c r="U3935" s="1">
        <f t="shared" si="923"/>
        <v>0</v>
      </c>
      <c r="V3935" s="1">
        <f t="shared" si="924"/>
        <v>0</v>
      </c>
    </row>
    <row r="3936" spans="5:22" x14ac:dyDescent="0.25">
      <c r="E3936" s="4"/>
      <c r="M3936" s="4">
        <f t="shared" si="917"/>
        <v>173.1</v>
      </c>
      <c r="N3936" s="4"/>
      <c r="O3936" s="1">
        <f t="shared" si="918"/>
        <v>173.1</v>
      </c>
      <c r="P3936" s="1">
        <f t="shared" si="919"/>
        <v>0</v>
      </c>
      <c r="Q3936" s="1" t="str">
        <f t="shared" si="916"/>
        <v/>
      </c>
      <c r="R3936" s="1" t="str">
        <f t="shared" si="920"/>
        <v/>
      </c>
      <c r="S3936" s="1">
        <f t="shared" si="921"/>
        <v>630.90240000000244</v>
      </c>
      <c r="T3936" s="1">
        <f t="shared" si="922"/>
        <v>0</v>
      </c>
      <c r="U3936" s="1">
        <f t="shared" si="923"/>
        <v>0</v>
      </c>
      <c r="V3936" s="1">
        <f t="shared" si="924"/>
        <v>0</v>
      </c>
    </row>
    <row r="3937" spans="5:22" x14ac:dyDescent="0.25">
      <c r="E3937" s="4"/>
      <c r="M3937" s="4">
        <f t="shared" si="917"/>
        <v>173.1</v>
      </c>
      <c r="N3937" s="4"/>
      <c r="O3937" s="1">
        <f t="shared" si="918"/>
        <v>173.1</v>
      </c>
      <c r="P3937" s="1">
        <f t="shared" si="919"/>
        <v>0</v>
      </c>
      <c r="Q3937" s="1" t="str">
        <f t="shared" si="916"/>
        <v/>
      </c>
      <c r="R3937" s="1" t="str">
        <f t="shared" si="920"/>
        <v/>
      </c>
      <c r="S3937" s="1">
        <f t="shared" si="921"/>
        <v>630.90240000000244</v>
      </c>
      <c r="T3937" s="1">
        <f t="shared" si="922"/>
        <v>0</v>
      </c>
      <c r="U3937" s="1">
        <f t="shared" si="923"/>
        <v>0</v>
      </c>
      <c r="V3937" s="1">
        <f t="shared" si="924"/>
        <v>0</v>
      </c>
    </row>
    <row r="3938" spans="5:22" x14ac:dyDescent="0.25">
      <c r="E3938" s="4"/>
      <c r="M3938" s="4">
        <f t="shared" si="917"/>
        <v>173.1</v>
      </c>
      <c r="N3938" s="4"/>
      <c r="O3938" s="1">
        <f t="shared" si="918"/>
        <v>173.1</v>
      </c>
      <c r="P3938" s="1">
        <f t="shared" si="919"/>
        <v>0</v>
      </c>
      <c r="Q3938" s="1" t="str">
        <f t="shared" si="916"/>
        <v/>
      </c>
      <c r="R3938" s="1" t="str">
        <f t="shared" si="920"/>
        <v/>
      </c>
      <c r="S3938" s="1">
        <f t="shared" si="921"/>
        <v>630.90240000000244</v>
      </c>
      <c r="T3938" s="1">
        <f t="shared" si="922"/>
        <v>0</v>
      </c>
      <c r="U3938" s="1">
        <f t="shared" si="923"/>
        <v>0</v>
      </c>
      <c r="V3938" s="1">
        <f t="shared" si="924"/>
        <v>0</v>
      </c>
    </row>
    <row r="3939" spans="5:22" x14ac:dyDescent="0.25">
      <c r="E3939" s="4"/>
      <c r="M3939" s="4">
        <f t="shared" si="917"/>
        <v>173.1</v>
      </c>
      <c r="N3939" s="4"/>
      <c r="O3939" s="1">
        <f t="shared" si="918"/>
        <v>173.1</v>
      </c>
      <c r="P3939" s="1">
        <f t="shared" si="919"/>
        <v>0</v>
      </c>
      <c r="Q3939" s="1" t="str">
        <f t="shared" si="916"/>
        <v/>
      </c>
      <c r="R3939" s="1" t="str">
        <f t="shared" si="920"/>
        <v/>
      </c>
      <c r="S3939" s="1">
        <f t="shared" si="921"/>
        <v>630.90240000000244</v>
      </c>
      <c r="T3939" s="1">
        <f t="shared" si="922"/>
        <v>0</v>
      </c>
      <c r="U3939" s="1">
        <f t="shared" si="923"/>
        <v>0</v>
      </c>
      <c r="V3939" s="1">
        <f t="shared" si="924"/>
        <v>0</v>
      </c>
    </row>
    <row r="3940" spans="5:22" x14ac:dyDescent="0.25">
      <c r="E3940" s="4"/>
      <c r="M3940" s="4">
        <f t="shared" si="917"/>
        <v>173.1</v>
      </c>
      <c r="N3940" s="4"/>
      <c r="O3940" s="1">
        <f t="shared" si="918"/>
        <v>173.1</v>
      </c>
      <c r="P3940" s="1">
        <f t="shared" si="919"/>
        <v>0</v>
      </c>
      <c r="Q3940" s="1" t="str">
        <f t="shared" si="916"/>
        <v/>
      </c>
      <c r="R3940" s="1" t="str">
        <f t="shared" si="920"/>
        <v/>
      </c>
      <c r="S3940" s="1">
        <f t="shared" si="921"/>
        <v>630.90240000000244</v>
      </c>
      <c r="T3940" s="1">
        <f t="shared" si="922"/>
        <v>0</v>
      </c>
      <c r="U3940" s="1">
        <f t="shared" si="923"/>
        <v>0</v>
      </c>
      <c r="V3940" s="1">
        <f t="shared" si="924"/>
        <v>0</v>
      </c>
    </row>
    <row r="3941" spans="5:22" x14ac:dyDescent="0.25">
      <c r="E3941" s="4"/>
      <c r="M3941" s="4">
        <f t="shared" si="917"/>
        <v>173.1</v>
      </c>
      <c r="N3941" s="4"/>
      <c r="O3941" s="1">
        <f t="shared" si="918"/>
        <v>173.1</v>
      </c>
      <c r="P3941" s="1">
        <f t="shared" si="919"/>
        <v>0</v>
      </c>
      <c r="Q3941" s="1" t="str">
        <f t="shared" si="916"/>
        <v/>
      </c>
      <c r="R3941" s="1" t="str">
        <f t="shared" si="920"/>
        <v/>
      </c>
      <c r="S3941" s="1">
        <f t="shared" si="921"/>
        <v>630.90240000000244</v>
      </c>
      <c r="T3941" s="1">
        <f t="shared" si="922"/>
        <v>0</v>
      </c>
      <c r="U3941" s="1">
        <f t="shared" si="923"/>
        <v>0</v>
      </c>
      <c r="V3941" s="1">
        <f t="shared" si="924"/>
        <v>0</v>
      </c>
    </row>
    <row r="3942" spans="5:22" x14ac:dyDescent="0.25">
      <c r="E3942" s="4"/>
      <c r="M3942" s="4">
        <f t="shared" si="917"/>
        <v>173.1</v>
      </c>
      <c r="N3942" s="4"/>
      <c r="O3942" s="1">
        <f t="shared" si="918"/>
        <v>173.1</v>
      </c>
      <c r="P3942" s="1">
        <f t="shared" si="919"/>
        <v>0</v>
      </c>
      <c r="Q3942" s="1" t="str">
        <f t="shared" si="916"/>
        <v/>
      </c>
      <c r="R3942" s="1" t="str">
        <f t="shared" si="920"/>
        <v/>
      </c>
      <c r="S3942" s="1">
        <f t="shared" si="921"/>
        <v>630.90240000000244</v>
      </c>
      <c r="T3942" s="1">
        <f t="shared" si="922"/>
        <v>0</v>
      </c>
      <c r="U3942" s="1">
        <f t="shared" si="923"/>
        <v>0</v>
      </c>
      <c r="V3942" s="1">
        <f t="shared" si="924"/>
        <v>0</v>
      </c>
    </row>
    <row r="3943" spans="5:22" x14ac:dyDescent="0.25">
      <c r="E3943" s="4"/>
      <c r="M3943" s="4">
        <f t="shared" si="917"/>
        <v>173.1</v>
      </c>
      <c r="N3943" s="4"/>
      <c r="O3943" s="1">
        <f t="shared" si="918"/>
        <v>173.1</v>
      </c>
      <c r="P3943" s="1">
        <f t="shared" si="919"/>
        <v>0</v>
      </c>
      <c r="Q3943" s="1" t="str">
        <f t="shared" si="916"/>
        <v/>
      </c>
      <c r="R3943" s="1" t="str">
        <f t="shared" si="920"/>
        <v/>
      </c>
      <c r="S3943" s="1">
        <f t="shared" si="921"/>
        <v>630.90240000000244</v>
      </c>
      <c r="T3943" s="1">
        <f t="shared" si="922"/>
        <v>0</v>
      </c>
      <c r="U3943" s="1">
        <f t="shared" si="923"/>
        <v>0</v>
      </c>
      <c r="V3943" s="1">
        <f t="shared" si="924"/>
        <v>0</v>
      </c>
    </row>
    <row r="3944" spans="5:22" x14ac:dyDescent="0.25">
      <c r="E3944" s="4"/>
      <c r="M3944" s="4">
        <f t="shared" si="917"/>
        <v>173.1</v>
      </c>
      <c r="N3944" s="4"/>
      <c r="O3944" s="1">
        <f t="shared" si="918"/>
        <v>173.1</v>
      </c>
      <c r="P3944" s="1">
        <f t="shared" si="919"/>
        <v>0</v>
      </c>
      <c r="Q3944" s="1" t="str">
        <f t="shared" si="916"/>
        <v/>
      </c>
      <c r="R3944" s="1" t="str">
        <f t="shared" si="920"/>
        <v/>
      </c>
      <c r="S3944" s="1">
        <f t="shared" si="921"/>
        <v>630.90240000000244</v>
      </c>
      <c r="T3944" s="1">
        <f t="shared" si="922"/>
        <v>0</v>
      </c>
      <c r="U3944" s="1">
        <f t="shared" si="923"/>
        <v>0</v>
      </c>
      <c r="V3944" s="1">
        <f t="shared" si="924"/>
        <v>0</v>
      </c>
    </row>
    <row r="3945" spans="5:22" x14ac:dyDescent="0.25">
      <c r="E3945" s="4"/>
      <c r="M3945" s="4">
        <f t="shared" si="917"/>
        <v>173.1</v>
      </c>
      <c r="N3945" s="4"/>
      <c r="O3945" s="1">
        <f t="shared" si="918"/>
        <v>173.1</v>
      </c>
      <c r="P3945" s="1">
        <f t="shared" si="919"/>
        <v>0</v>
      </c>
      <c r="Q3945" s="1" t="str">
        <f t="shared" si="916"/>
        <v/>
      </c>
      <c r="R3945" s="1" t="str">
        <f t="shared" si="920"/>
        <v/>
      </c>
      <c r="S3945" s="1">
        <f t="shared" si="921"/>
        <v>630.90240000000244</v>
      </c>
      <c r="T3945" s="1">
        <f t="shared" si="922"/>
        <v>0</v>
      </c>
      <c r="U3945" s="1">
        <f t="shared" si="923"/>
        <v>0</v>
      </c>
      <c r="V3945" s="1">
        <f t="shared" si="924"/>
        <v>0</v>
      </c>
    </row>
    <row r="3946" spans="5:22" x14ac:dyDescent="0.25">
      <c r="E3946" s="4"/>
      <c r="M3946" s="4">
        <f t="shared" si="917"/>
        <v>173.1</v>
      </c>
      <c r="N3946" s="4"/>
      <c r="O3946" s="1">
        <f t="shared" si="918"/>
        <v>173.1</v>
      </c>
      <c r="P3946" s="1">
        <f t="shared" si="919"/>
        <v>0</v>
      </c>
      <c r="Q3946" s="1" t="str">
        <f t="shared" si="916"/>
        <v/>
      </c>
      <c r="R3946" s="1" t="str">
        <f t="shared" si="920"/>
        <v/>
      </c>
      <c r="S3946" s="1">
        <f t="shared" si="921"/>
        <v>630.90240000000244</v>
      </c>
      <c r="T3946" s="1">
        <f t="shared" si="922"/>
        <v>0</v>
      </c>
      <c r="U3946" s="1">
        <f t="shared" si="923"/>
        <v>0</v>
      </c>
      <c r="V3946" s="1">
        <f t="shared" si="924"/>
        <v>0</v>
      </c>
    </row>
    <row r="3947" spans="5:22" x14ac:dyDescent="0.25">
      <c r="E3947" s="4"/>
      <c r="M3947" s="4">
        <f t="shared" si="917"/>
        <v>173.1</v>
      </c>
      <c r="N3947" s="4"/>
      <c r="O3947" s="1">
        <f t="shared" si="918"/>
        <v>173.1</v>
      </c>
      <c r="P3947" s="1">
        <f t="shared" si="919"/>
        <v>0</v>
      </c>
      <c r="Q3947" s="1" t="str">
        <f t="shared" si="916"/>
        <v/>
      </c>
      <c r="R3947" s="1" t="str">
        <f t="shared" si="920"/>
        <v/>
      </c>
      <c r="S3947" s="1">
        <f t="shared" si="921"/>
        <v>630.90240000000244</v>
      </c>
      <c r="T3947" s="1">
        <f t="shared" si="922"/>
        <v>0</v>
      </c>
      <c r="U3947" s="1">
        <f t="shared" si="923"/>
        <v>0</v>
      </c>
      <c r="V3947" s="1">
        <f t="shared" si="924"/>
        <v>0</v>
      </c>
    </row>
    <row r="3948" spans="5:22" x14ac:dyDescent="0.25">
      <c r="E3948" s="4"/>
      <c r="M3948" s="4">
        <f t="shared" si="917"/>
        <v>173.1</v>
      </c>
      <c r="N3948" s="4"/>
      <c r="O3948" s="1">
        <f t="shared" si="918"/>
        <v>173.1</v>
      </c>
      <c r="P3948" s="1">
        <f t="shared" si="919"/>
        <v>0</v>
      </c>
      <c r="Q3948" s="1" t="str">
        <f t="shared" si="916"/>
        <v/>
      </c>
      <c r="R3948" s="1" t="str">
        <f t="shared" si="920"/>
        <v/>
      </c>
      <c r="S3948" s="1">
        <f t="shared" si="921"/>
        <v>630.90240000000244</v>
      </c>
      <c r="T3948" s="1">
        <f t="shared" si="922"/>
        <v>0</v>
      </c>
      <c r="U3948" s="1">
        <f t="shared" si="923"/>
        <v>0</v>
      </c>
      <c r="V3948" s="1">
        <f t="shared" si="924"/>
        <v>0</v>
      </c>
    </row>
    <row r="3949" spans="5:22" x14ac:dyDescent="0.25">
      <c r="E3949" s="4"/>
      <c r="M3949" s="4">
        <f t="shared" si="917"/>
        <v>173.1</v>
      </c>
      <c r="N3949" s="4"/>
      <c r="O3949" s="1">
        <f t="shared" si="918"/>
        <v>173.1</v>
      </c>
      <c r="P3949" s="1">
        <f t="shared" si="919"/>
        <v>0</v>
      </c>
      <c r="Q3949" s="1" t="str">
        <f t="shared" si="916"/>
        <v/>
      </c>
      <c r="R3949" s="1" t="str">
        <f t="shared" si="920"/>
        <v/>
      </c>
      <c r="S3949" s="1">
        <f t="shared" si="921"/>
        <v>630.90240000000244</v>
      </c>
      <c r="T3949" s="1">
        <f t="shared" si="922"/>
        <v>0</v>
      </c>
      <c r="U3949" s="1">
        <f t="shared" si="923"/>
        <v>0</v>
      </c>
      <c r="V3949" s="1">
        <f t="shared" si="924"/>
        <v>0</v>
      </c>
    </row>
    <row r="3950" spans="5:22" x14ac:dyDescent="0.25">
      <c r="E3950" s="4"/>
      <c r="M3950" s="4">
        <f t="shared" si="917"/>
        <v>173.1</v>
      </c>
      <c r="N3950" s="4"/>
      <c r="O3950" s="1">
        <f t="shared" si="918"/>
        <v>173.1</v>
      </c>
      <c r="P3950" s="1">
        <f t="shared" si="919"/>
        <v>0</v>
      </c>
      <c r="Q3950" s="1" t="str">
        <f t="shared" si="916"/>
        <v/>
      </c>
      <c r="R3950" s="1" t="str">
        <f t="shared" si="920"/>
        <v/>
      </c>
      <c r="S3950" s="1">
        <f t="shared" si="921"/>
        <v>630.90240000000244</v>
      </c>
      <c r="T3950" s="1">
        <f t="shared" si="922"/>
        <v>0</v>
      </c>
      <c r="U3950" s="1">
        <f t="shared" si="923"/>
        <v>0</v>
      </c>
      <c r="V3950" s="1">
        <f t="shared" si="924"/>
        <v>0</v>
      </c>
    </row>
    <row r="3951" spans="5:22" x14ac:dyDescent="0.25">
      <c r="E3951" s="4"/>
      <c r="M3951" s="4">
        <f t="shared" si="917"/>
        <v>173.1</v>
      </c>
      <c r="N3951" s="4"/>
      <c r="O3951" s="1">
        <f t="shared" si="918"/>
        <v>173.1</v>
      </c>
      <c r="P3951" s="1">
        <f t="shared" si="919"/>
        <v>0</v>
      </c>
      <c r="Q3951" s="1" t="str">
        <f t="shared" si="916"/>
        <v/>
      </c>
      <c r="R3951" s="1" t="str">
        <f t="shared" si="920"/>
        <v/>
      </c>
      <c r="S3951" s="1">
        <f t="shared" si="921"/>
        <v>630.90240000000244</v>
      </c>
      <c r="T3951" s="1">
        <f t="shared" si="922"/>
        <v>0</v>
      </c>
      <c r="U3951" s="1">
        <f t="shared" si="923"/>
        <v>0</v>
      </c>
      <c r="V3951" s="1">
        <f t="shared" si="924"/>
        <v>0</v>
      </c>
    </row>
    <row r="3952" spans="5:22" x14ac:dyDescent="0.25">
      <c r="E3952" s="4"/>
      <c r="M3952" s="4">
        <f t="shared" si="917"/>
        <v>173.1</v>
      </c>
      <c r="N3952" s="4"/>
      <c r="O3952" s="1">
        <f t="shared" si="918"/>
        <v>173.1</v>
      </c>
      <c r="P3952" s="1">
        <f t="shared" si="919"/>
        <v>0</v>
      </c>
      <c r="Q3952" s="1" t="str">
        <f t="shared" si="916"/>
        <v/>
      </c>
      <c r="R3952" s="1" t="str">
        <f t="shared" si="920"/>
        <v/>
      </c>
      <c r="S3952" s="1">
        <f t="shared" si="921"/>
        <v>630.90240000000244</v>
      </c>
      <c r="T3952" s="1">
        <f t="shared" si="922"/>
        <v>0</v>
      </c>
      <c r="U3952" s="1">
        <f t="shared" si="923"/>
        <v>0</v>
      </c>
      <c r="V3952" s="1">
        <f t="shared" si="924"/>
        <v>0</v>
      </c>
    </row>
    <row r="3953" spans="5:22" x14ac:dyDescent="0.25">
      <c r="E3953" s="4"/>
      <c r="M3953" s="4">
        <f t="shared" si="917"/>
        <v>173.1</v>
      </c>
      <c r="N3953" s="4"/>
      <c r="O3953" s="1">
        <f t="shared" si="918"/>
        <v>173.1</v>
      </c>
      <c r="P3953" s="1">
        <f t="shared" si="919"/>
        <v>0</v>
      </c>
      <c r="Q3953" s="1" t="str">
        <f t="shared" si="916"/>
        <v/>
      </c>
      <c r="R3953" s="1" t="str">
        <f t="shared" si="920"/>
        <v/>
      </c>
      <c r="S3953" s="1">
        <f t="shared" si="921"/>
        <v>630.90240000000244</v>
      </c>
      <c r="T3953" s="1">
        <f t="shared" si="922"/>
        <v>0</v>
      </c>
      <c r="U3953" s="1">
        <f t="shared" si="923"/>
        <v>0</v>
      </c>
      <c r="V3953" s="1">
        <f t="shared" si="924"/>
        <v>0</v>
      </c>
    </row>
    <row r="3954" spans="5:22" x14ac:dyDescent="0.25">
      <c r="E3954" s="4"/>
      <c r="M3954" s="4">
        <f t="shared" si="917"/>
        <v>173.1</v>
      </c>
      <c r="N3954" s="4"/>
      <c r="O3954" s="1">
        <f t="shared" si="918"/>
        <v>173.1</v>
      </c>
      <c r="P3954" s="1">
        <f t="shared" si="919"/>
        <v>0</v>
      </c>
      <c r="Q3954" s="1" t="str">
        <f t="shared" ref="Q3954:Q4017" si="925">IF(H3954&lt;&gt;"",IF(H3954=H3953,"",H3954),IF(H3952="","",MAX(H3953,Q3953)))</f>
        <v/>
      </c>
      <c r="R3954" s="1" t="str">
        <f t="shared" si="920"/>
        <v/>
      </c>
      <c r="S3954" s="1">
        <f t="shared" si="921"/>
        <v>630.90240000000244</v>
      </c>
      <c r="T3954" s="1">
        <f t="shared" si="922"/>
        <v>0</v>
      </c>
      <c r="U3954" s="1">
        <f t="shared" si="923"/>
        <v>0</v>
      </c>
      <c r="V3954" s="1">
        <f t="shared" si="924"/>
        <v>0</v>
      </c>
    </row>
    <row r="3955" spans="5:22" x14ac:dyDescent="0.25">
      <c r="E3955" s="4"/>
      <c r="M3955" s="4">
        <f t="shared" si="917"/>
        <v>173.1</v>
      </c>
      <c r="N3955" s="4"/>
      <c r="O3955" s="1">
        <f t="shared" si="918"/>
        <v>173.1</v>
      </c>
      <c r="P3955" s="1">
        <f t="shared" si="919"/>
        <v>0</v>
      </c>
      <c r="Q3955" s="1" t="str">
        <f t="shared" si="925"/>
        <v/>
      </c>
      <c r="R3955" s="1" t="str">
        <f t="shared" si="920"/>
        <v/>
      </c>
      <c r="S3955" s="1">
        <f t="shared" si="921"/>
        <v>630.90240000000244</v>
      </c>
      <c r="T3955" s="1">
        <f t="shared" si="922"/>
        <v>0</v>
      </c>
      <c r="U3955" s="1">
        <f t="shared" si="923"/>
        <v>0</v>
      </c>
      <c r="V3955" s="1">
        <f t="shared" si="924"/>
        <v>0</v>
      </c>
    </row>
    <row r="3956" spans="5:22" x14ac:dyDescent="0.25">
      <c r="E3956" s="4"/>
      <c r="M3956" s="4">
        <f t="shared" si="917"/>
        <v>173.1</v>
      </c>
      <c r="N3956" s="4"/>
      <c r="O3956" s="1">
        <f t="shared" si="918"/>
        <v>173.1</v>
      </c>
      <c r="P3956" s="1">
        <f t="shared" si="919"/>
        <v>0</v>
      </c>
      <c r="Q3956" s="1" t="str">
        <f t="shared" si="925"/>
        <v/>
      </c>
      <c r="R3956" s="1" t="str">
        <f t="shared" si="920"/>
        <v/>
      </c>
      <c r="S3956" s="1">
        <f t="shared" si="921"/>
        <v>630.90240000000244</v>
      </c>
      <c r="T3956" s="1">
        <f t="shared" si="922"/>
        <v>0</v>
      </c>
      <c r="U3956" s="1">
        <f t="shared" si="923"/>
        <v>0</v>
      </c>
      <c r="V3956" s="1">
        <f t="shared" si="924"/>
        <v>0</v>
      </c>
    </row>
    <row r="3957" spans="5:22" x14ac:dyDescent="0.25">
      <c r="E3957" s="4"/>
      <c r="M3957" s="4">
        <f t="shared" si="917"/>
        <v>173.1</v>
      </c>
      <c r="N3957" s="4"/>
      <c r="O3957" s="1">
        <f t="shared" si="918"/>
        <v>173.1</v>
      </c>
      <c r="P3957" s="1">
        <f t="shared" si="919"/>
        <v>0</v>
      </c>
      <c r="Q3957" s="1" t="str">
        <f t="shared" si="925"/>
        <v/>
      </c>
      <c r="R3957" s="1" t="str">
        <f t="shared" si="920"/>
        <v/>
      </c>
      <c r="S3957" s="1">
        <f t="shared" si="921"/>
        <v>630.90240000000244</v>
      </c>
      <c r="T3957" s="1">
        <f t="shared" si="922"/>
        <v>0</v>
      </c>
      <c r="U3957" s="1">
        <f t="shared" si="923"/>
        <v>0</v>
      </c>
      <c r="V3957" s="1">
        <f t="shared" si="924"/>
        <v>0</v>
      </c>
    </row>
    <row r="3958" spans="5:22" x14ac:dyDescent="0.25">
      <c r="E3958" s="4"/>
      <c r="M3958" s="4">
        <f t="shared" si="917"/>
        <v>173.1</v>
      </c>
      <c r="N3958" s="4"/>
      <c r="O3958" s="1">
        <f t="shared" si="918"/>
        <v>173.1</v>
      </c>
      <c r="P3958" s="1">
        <f t="shared" si="919"/>
        <v>0</v>
      </c>
      <c r="Q3958" s="1" t="str">
        <f t="shared" si="925"/>
        <v/>
      </c>
      <c r="R3958" s="1" t="str">
        <f t="shared" si="920"/>
        <v/>
      </c>
      <c r="S3958" s="1">
        <f t="shared" si="921"/>
        <v>630.90240000000244</v>
      </c>
      <c r="T3958" s="1">
        <f t="shared" si="922"/>
        <v>0</v>
      </c>
      <c r="U3958" s="1">
        <f t="shared" si="923"/>
        <v>0</v>
      </c>
      <c r="V3958" s="1">
        <f t="shared" si="924"/>
        <v>0</v>
      </c>
    </row>
    <row r="3959" spans="5:22" x14ac:dyDescent="0.25">
      <c r="E3959" s="4"/>
      <c r="M3959" s="4">
        <f t="shared" si="917"/>
        <v>173.1</v>
      </c>
      <c r="N3959" s="4"/>
      <c r="O3959" s="1">
        <f t="shared" si="918"/>
        <v>173.1</v>
      </c>
      <c r="P3959" s="1">
        <f t="shared" si="919"/>
        <v>0</v>
      </c>
      <c r="Q3959" s="1" t="str">
        <f t="shared" si="925"/>
        <v/>
      </c>
      <c r="R3959" s="1" t="str">
        <f t="shared" si="920"/>
        <v/>
      </c>
      <c r="S3959" s="1">
        <f t="shared" si="921"/>
        <v>630.90240000000244</v>
      </c>
      <c r="T3959" s="1">
        <f t="shared" si="922"/>
        <v>0</v>
      </c>
      <c r="U3959" s="1">
        <f t="shared" si="923"/>
        <v>0</v>
      </c>
      <c r="V3959" s="1">
        <f t="shared" si="924"/>
        <v>0</v>
      </c>
    </row>
    <row r="3960" spans="5:22" x14ac:dyDescent="0.25">
      <c r="E3960" s="4"/>
      <c r="M3960" s="4">
        <f t="shared" si="917"/>
        <v>173.1</v>
      </c>
      <c r="N3960" s="4"/>
      <c r="O3960" s="1">
        <f t="shared" si="918"/>
        <v>173.1</v>
      </c>
      <c r="P3960" s="1">
        <f t="shared" si="919"/>
        <v>0</v>
      </c>
      <c r="Q3960" s="1" t="str">
        <f t="shared" si="925"/>
        <v/>
      </c>
      <c r="R3960" s="1" t="str">
        <f t="shared" si="920"/>
        <v/>
      </c>
      <c r="S3960" s="1">
        <f t="shared" si="921"/>
        <v>630.90240000000244</v>
      </c>
      <c r="T3960" s="1">
        <f t="shared" si="922"/>
        <v>0</v>
      </c>
      <c r="U3960" s="1">
        <f t="shared" si="923"/>
        <v>0</v>
      </c>
      <c r="V3960" s="1">
        <f t="shared" si="924"/>
        <v>0</v>
      </c>
    </row>
    <row r="3961" spans="5:22" x14ac:dyDescent="0.25">
      <c r="E3961" s="4"/>
      <c r="M3961" s="4">
        <f t="shared" si="917"/>
        <v>173.1</v>
      </c>
      <c r="N3961" s="4"/>
      <c r="O3961" s="1">
        <f t="shared" si="918"/>
        <v>173.1</v>
      </c>
      <c r="P3961" s="1">
        <f t="shared" si="919"/>
        <v>0</v>
      </c>
      <c r="Q3961" s="1" t="str">
        <f t="shared" si="925"/>
        <v/>
      </c>
      <c r="R3961" s="1" t="str">
        <f t="shared" si="920"/>
        <v/>
      </c>
      <c r="S3961" s="1">
        <f t="shared" si="921"/>
        <v>630.90240000000244</v>
      </c>
      <c r="T3961" s="1">
        <f t="shared" si="922"/>
        <v>0</v>
      </c>
      <c r="U3961" s="1">
        <f t="shared" si="923"/>
        <v>0</v>
      </c>
      <c r="V3961" s="1">
        <f t="shared" si="924"/>
        <v>0</v>
      </c>
    </row>
    <row r="3962" spans="5:22" x14ac:dyDescent="0.25">
      <c r="E3962" s="4"/>
      <c r="M3962" s="4">
        <f t="shared" si="917"/>
        <v>173.1</v>
      </c>
      <c r="N3962" s="4"/>
      <c r="O3962" s="1">
        <f t="shared" si="918"/>
        <v>173.1</v>
      </c>
      <c r="P3962" s="1">
        <f t="shared" si="919"/>
        <v>0</v>
      </c>
      <c r="Q3962" s="1" t="str">
        <f t="shared" si="925"/>
        <v/>
      </c>
      <c r="R3962" s="1" t="str">
        <f t="shared" si="920"/>
        <v/>
      </c>
      <c r="S3962" s="1">
        <f t="shared" si="921"/>
        <v>630.90240000000244</v>
      </c>
      <c r="T3962" s="1">
        <f t="shared" si="922"/>
        <v>0</v>
      </c>
      <c r="U3962" s="1">
        <f t="shared" si="923"/>
        <v>0</v>
      </c>
      <c r="V3962" s="1">
        <f t="shared" si="924"/>
        <v>0</v>
      </c>
    </row>
    <row r="3963" spans="5:22" x14ac:dyDescent="0.25">
      <c r="E3963" s="4"/>
      <c r="M3963" s="4">
        <f t="shared" si="917"/>
        <v>173.1</v>
      </c>
      <c r="N3963" s="4"/>
      <c r="O3963" s="1">
        <f t="shared" si="918"/>
        <v>173.1</v>
      </c>
      <c r="P3963" s="1">
        <f t="shared" si="919"/>
        <v>0</v>
      </c>
      <c r="Q3963" s="1" t="str">
        <f t="shared" si="925"/>
        <v/>
      </c>
      <c r="R3963" s="1" t="str">
        <f t="shared" si="920"/>
        <v/>
      </c>
      <c r="S3963" s="1">
        <f t="shared" si="921"/>
        <v>630.90240000000244</v>
      </c>
      <c r="T3963" s="1">
        <f t="shared" si="922"/>
        <v>0</v>
      </c>
      <c r="U3963" s="1">
        <f t="shared" si="923"/>
        <v>0</v>
      </c>
      <c r="V3963" s="1">
        <f t="shared" si="924"/>
        <v>0</v>
      </c>
    </row>
    <row r="3964" spans="5:22" x14ac:dyDescent="0.25">
      <c r="E3964" s="4"/>
      <c r="M3964" s="4">
        <f t="shared" si="917"/>
        <v>173.1</v>
      </c>
      <c r="N3964" s="4"/>
      <c r="O3964" s="1">
        <f t="shared" si="918"/>
        <v>173.1</v>
      </c>
      <c r="P3964" s="1">
        <f t="shared" si="919"/>
        <v>0</v>
      </c>
      <c r="Q3964" s="1" t="str">
        <f t="shared" si="925"/>
        <v/>
      </c>
      <c r="R3964" s="1" t="str">
        <f t="shared" si="920"/>
        <v/>
      </c>
      <c r="S3964" s="1">
        <f t="shared" si="921"/>
        <v>630.90240000000244</v>
      </c>
      <c r="T3964" s="1">
        <f t="shared" si="922"/>
        <v>0</v>
      </c>
      <c r="U3964" s="1">
        <f t="shared" si="923"/>
        <v>0</v>
      </c>
      <c r="V3964" s="1">
        <f t="shared" si="924"/>
        <v>0</v>
      </c>
    </row>
    <row r="3965" spans="5:22" x14ac:dyDescent="0.25">
      <c r="E3965" s="4"/>
      <c r="M3965" s="4">
        <f t="shared" si="917"/>
        <v>173.1</v>
      </c>
      <c r="N3965" s="4"/>
      <c r="O3965" s="1">
        <f t="shared" si="918"/>
        <v>173.1</v>
      </c>
      <c r="P3965" s="1">
        <f t="shared" si="919"/>
        <v>0</v>
      </c>
      <c r="Q3965" s="1" t="str">
        <f t="shared" si="925"/>
        <v/>
      </c>
      <c r="R3965" s="1" t="str">
        <f t="shared" si="920"/>
        <v/>
      </c>
      <c r="S3965" s="1">
        <f t="shared" si="921"/>
        <v>630.90240000000244</v>
      </c>
      <c r="T3965" s="1">
        <f t="shared" si="922"/>
        <v>0</v>
      </c>
      <c r="U3965" s="1">
        <f t="shared" si="923"/>
        <v>0</v>
      </c>
      <c r="V3965" s="1">
        <f t="shared" si="924"/>
        <v>0</v>
      </c>
    </row>
    <row r="3966" spans="5:22" x14ac:dyDescent="0.25">
      <c r="E3966" s="4"/>
      <c r="M3966" s="4">
        <f t="shared" si="917"/>
        <v>173.1</v>
      </c>
      <c r="N3966" s="4"/>
      <c r="O3966" s="1">
        <f t="shared" si="918"/>
        <v>173.1</v>
      </c>
      <c r="P3966" s="1">
        <f t="shared" si="919"/>
        <v>0</v>
      </c>
      <c r="Q3966" s="1" t="str">
        <f t="shared" si="925"/>
        <v/>
      </c>
      <c r="R3966" s="1" t="str">
        <f t="shared" si="920"/>
        <v/>
      </c>
      <c r="S3966" s="1">
        <f t="shared" si="921"/>
        <v>630.90240000000244</v>
      </c>
      <c r="T3966" s="1">
        <f t="shared" si="922"/>
        <v>0</v>
      </c>
      <c r="U3966" s="1">
        <f t="shared" si="923"/>
        <v>0</v>
      </c>
      <c r="V3966" s="1">
        <f t="shared" si="924"/>
        <v>0</v>
      </c>
    </row>
    <row r="3967" spans="5:22" x14ac:dyDescent="0.25">
      <c r="E3967" s="4"/>
      <c r="M3967" s="4">
        <f t="shared" si="917"/>
        <v>173.1</v>
      </c>
      <c r="N3967" s="4"/>
      <c r="O3967" s="1">
        <f t="shared" si="918"/>
        <v>173.1</v>
      </c>
      <c r="P3967" s="1">
        <f t="shared" si="919"/>
        <v>0</v>
      </c>
      <c r="Q3967" s="1" t="str">
        <f t="shared" si="925"/>
        <v/>
      </c>
      <c r="R3967" s="1" t="str">
        <f t="shared" si="920"/>
        <v/>
      </c>
      <c r="S3967" s="1">
        <f t="shared" si="921"/>
        <v>630.90240000000244</v>
      </c>
      <c r="T3967" s="1">
        <f t="shared" si="922"/>
        <v>0</v>
      </c>
      <c r="U3967" s="1">
        <f t="shared" si="923"/>
        <v>0</v>
      </c>
      <c r="V3967" s="1">
        <f t="shared" si="924"/>
        <v>0</v>
      </c>
    </row>
    <row r="3968" spans="5:22" x14ac:dyDescent="0.25">
      <c r="E3968" s="4"/>
      <c r="M3968" s="4">
        <f t="shared" si="917"/>
        <v>173.1</v>
      </c>
      <c r="N3968" s="4"/>
      <c r="O3968" s="1">
        <f t="shared" si="918"/>
        <v>173.1</v>
      </c>
      <c r="P3968" s="1">
        <f t="shared" si="919"/>
        <v>0</v>
      </c>
      <c r="Q3968" s="1" t="str">
        <f t="shared" si="925"/>
        <v/>
      </c>
      <c r="R3968" s="1" t="str">
        <f t="shared" si="920"/>
        <v/>
      </c>
      <c r="S3968" s="1">
        <f t="shared" si="921"/>
        <v>630.90240000000244</v>
      </c>
      <c r="T3968" s="1">
        <f t="shared" si="922"/>
        <v>0</v>
      </c>
      <c r="U3968" s="1">
        <f t="shared" si="923"/>
        <v>0</v>
      </c>
      <c r="V3968" s="1">
        <f t="shared" si="924"/>
        <v>0</v>
      </c>
    </row>
    <row r="3969" spans="5:22" x14ac:dyDescent="0.25">
      <c r="E3969" s="4"/>
      <c r="M3969" s="4">
        <f t="shared" si="917"/>
        <v>173.1</v>
      </c>
      <c r="N3969" s="4"/>
      <c r="O3969" s="1">
        <f t="shared" si="918"/>
        <v>173.1</v>
      </c>
      <c r="P3969" s="1">
        <f t="shared" si="919"/>
        <v>0</v>
      </c>
      <c r="Q3969" s="1" t="str">
        <f t="shared" si="925"/>
        <v/>
      </c>
      <c r="R3969" s="1" t="str">
        <f t="shared" si="920"/>
        <v/>
      </c>
      <c r="S3969" s="1">
        <f t="shared" si="921"/>
        <v>630.90240000000244</v>
      </c>
      <c r="T3969" s="1">
        <f t="shared" si="922"/>
        <v>0</v>
      </c>
      <c r="U3969" s="1">
        <f t="shared" si="923"/>
        <v>0</v>
      </c>
      <c r="V3969" s="1">
        <f t="shared" si="924"/>
        <v>0</v>
      </c>
    </row>
    <row r="3970" spans="5:22" x14ac:dyDescent="0.25">
      <c r="E3970" s="4"/>
      <c r="M3970" s="4">
        <f t="shared" si="917"/>
        <v>173.1</v>
      </c>
      <c r="N3970" s="4"/>
      <c r="O3970" s="1">
        <f t="shared" si="918"/>
        <v>173.1</v>
      </c>
      <c r="P3970" s="1">
        <f t="shared" si="919"/>
        <v>0</v>
      </c>
      <c r="Q3970" s="1" t="str">
        <f t="shared" si="925"/>
        <v/>
      </c>
      <c r="R3970" s="1" t="str">
        <f t="shared" si="920"/>
        <v/>
      </c>
      <c r="S3970" s="1">
        <f t="shared" si="921"/>
        <v>630.90240000000244</v>
      </c>
      <c r="T3970" s="1">
        <f t="shared" si="922"/>
        <v>0</v>
      </c>
      <c r="U3970" s="1">
        <f t="shared" si="923"/>
        <v>0</v>
      </c>
      <c r="V3970" s="1">
        <f t="shared" si="924"/>
        <v>0</v>
      </c>
    </row>
    <row r="3971" spans="5:22" x14ac:dyDescent="0.25">
      <c r="E3971" s="4"/>
      <c r="M3971" s="4">
        <f t="shared" si="917"/>
        <v>173.1</v>
      </c>
      <c r="N3971" s="4"/>
      <c r="O3971" s="1">
        <f t="shared" si="918"/>
        <v>173.1</v>
      </c>
      <c r="P3971" s="1">
        <f t="shared" si="919"/>
        <v>0</v>
      </c>
      <c r="Q3971" s="1" t="str">
        <f t="shared" si="925"/>
        <v/>
      </c>
      <c r="R3971" s="1" t="str">
        <f t="shared" si="920"/>
        <v/>
      </c>
      <c r="S3971" s="1">
        <f t="shared" si="921"/>
        <v>630.90240000000244</v>
      </c>
      <c r="T3971" s="1">
        <f t="shared" si="922"/>
        <v>0</v>
      </c>
      <c r="U3971" s="1">
        <f t="shared" si="923"/>
        <v>0</v>
      </c>
      <c r="V3971" s="1">
        <f t="shared" si="924"/>
        <v>0</v>
      </c>
    </row>
    <row r="3972" spans="5:22" x14ac:dyDescent="0.25">
      <c r="E3972" s="4"/>
      <c r="M3972" s="4">
        <f t="shared" si="917"/>
        <v>173.1</v>
      </c>
      <c r="N3972" s="4"/>
      <c r="O3972" s="1">
        <f t="shared" si="918"/>
        <v>173.1</v>
      </c>
      <c r="P3972" s="1">
        <f t="shared" si="919"/>
        <v>0</v>
      </c>
      <c r="Q3972" s="1" t="str">
        <f t="shared" si="925"/>
        <v/>
      </c>
      <c r="R3972" s="1" t="str">
        <f t="shared" si="920"/>
        <v/>
      </c>
      <c r="S3972" s="1">
        <f t="shared" si="921"/>
        <v>630.90240000000244</v>
      </c>
      <c r="T3972" s="1">
        <f t="shared" si="922"/>
        <v>0</v>
      </c>
      <c r="U3972" s="1">
        <f t="shared" si="923"/>
        <v>0</v>
      </c>
      <c r="V3972" s="1">
        <f t="shared" si="924"/>
        <v>0</v>
      </c>
    </row>
    <row r="3973" spans="5:22" x14ac:dyDescent="0.25">
      <c r="E3973" s="4"/>
      <c r="M3973" s="4">
        <f t="shared" si="917"/>
        <v>173.1</v>
      </c>
      <c r="N3973" s="4"/>
      <c r="O3973" s="1">
        <f t="shared" si="918"/>
        <v>173.1</v>
      </c>
      <c r="P3973" s="1">
        <f t="shared" si="919"/>
        <v>0</v>
      </c>
      <c r="Q3973" s="1" t="str">
        <f t="shared" si="925"/>
        <v/>
      </c>
      <c r="R3973" s="1" t="str">
        <f t="shared" si="920"/>
        <v/>
      </c>
      <c r="S3973" s="1">
        <f t="shared" si="921"/>
        <v>630.90240000000244</v>
      </c>
      <c r="T3973" s="1">
        <f t="shared" si="922"/>
        <v>0</v>
      </c>
      <c r="U3973" s="1">
        <f t="shared" si="923"/>
        <v>0</v>
      </c>
      <c r="V3973" s="1">
        <f t="shared" si="924"/>
        <v>0</v>
      </c>
    </row>
    <row r="3974" spans="5:22" x14ac:dyDescent="0.25">
      <c r="E3974" s="4"/>
      <c r="M3974" s="4">
        <f t="shared" si="917"/>
        <v>173.1</v>
      </c>
      <c r="N3974" s="4"/>
      <c r="O3974" s="1">
        <f t="shared" si="918"/>
        <v>173.1</v>
      </c>
      <c r="P3974" s="1">
        <f t="shared" si="919"/>
        <v>0</v>
      </c>
      <c r="Q3974" s="1" t="str">
        <f t="shared" si="925"/>
        <v/>
      </c>
      <c r="R3974" s="1" t="str">
        <f t="shared" si="920"/>
        <v/>
      </c>
      <c r="S3974" s="1">
        <f t="shared" si="921"/>
        <v>630.90240000000244</v>
      </c>
      <c r="T3974" s="1">
        <f t="shared" si="922"/>
        <v>0</v>
      </c>
      <c r="U3974" s="1">
        <f t="shared" si="923"/>
        <v>0</v>
      </c>
      <c r="V3974" s="1">
        <f t="shared" si="924"/>
        <v>0</v>
      </c>
    </row>
    <row r="3975" spans="5:22" x14ac:dyDescent="0.25">
      <c r="E3975" s="4"/>
      <c r="M3975" s="4">
        <f t="shared" si="917"/>
        <v>173.1</v>
      </c>
      <c r="N3975" s="4"/>
      <c r="O3975" s="1">
        <f t="shared" si="918"/>
        <v>173.1</v>
      </c>
      <c r="P3975" s="1">
        <f t="shared" si="919"/>
        <v>0</v>
      </c>
      <c r="Q3975" s="1" t="str">
        <f t="shared" si="925"/>
        <v/>
      </c>
      <c r="R3975" s="1" t="str">
        <f t="shared" si="920"/>
        <v/>
      </c>
      <c r="S3975" s="1">
        <f t="shared" si="921"/>
        <v>630.90240000000244</v>
      </c>
      <c r="T3975" s="1">
        <f t="shared" si="922"/>
        <v>0</v>
      </c>
      <c r="U3975" s="1">
        <f t="shared" si="923"/>
        <v>0</v>
      </c>
      <c r="V3975" s="1">
        <f t="shared" si="924"/>
        <v>0</v>
      </c>
    </row>
    <row r="3976" spans="5:22" x14ac:dyDescent="0.25">
      <c r="E3976" s="4"/>
      <c r="M3976" s="4">
        <f t="shared" ref="M3976:M4039" si="926">E3976+M3975</f>
        <v>173.1</v>
      </c>
      <c r="N3976" s="4"/>
      <c r="O3976" s="1">
        <f t="shared" ref="O3976:O4039" si="927">E3975+O3975</f>
        <v>173.1</v>
      </c>
      <c r="P3976" s="1">
        <f t="shared" ref="P3976:P4039" si="928">F3976*52.8*E3976</f>
        <v>0</v>
      </c>
      <c r="Q3976" s="1" t="str">
        <f t="shared" si="925"/>
        <v/>
      </c>
      <c r="R3976" s="1" t="str">
        <f t="shared" ref="R3976:R4039" si="929">IF(I3976="",Q3976,IF(AND(H3976=H3975,I3976=I3975),"",I3976))</f>
        <v/>
      </c>
      <c r="S3976" s="1">
        <f t="shared" ref="S3976:S4039" si="930">S3975+U3975*T3975/100</f>
        <v>630.90240000000244</v>
      </c>
      <c r="T3976" s="1">
        <f t="shared" ref="T3976:T4039" si="931">IF(G3976="UNK",0,G3976)</f>
        <v>0</v>
      </c>
      <c r="U3976" s="1">
        <f t="shared" ref="U3976:U4039" si="932">E3976*5280</f>
        <v>0</v>
      </c>
      <c r="V3976" s="1">
        <f t="shared" ref="V3976:V4039" si="933">ABS(T3976*U3976)</f>
        <v>0</v>
      </c>
    </row>
    <row r="3977" spans="5:22" x14ac:dyDescent="0.25">
      <c r="E3977" s="4"/>
      <c r="M3977" s="4">
        <f t="shared" si="926"/>
        <v>173.1</v>
      </c>
      <c r="N3977" s="4"/>
      <c r="O3977" s="1">
        <f t="shared" si="927"/>
        <v>173.1</v>
      </c>
      <c r="P3977" s="1">
        <f t="shared" si="928"/>
        <v>0</v>
      </c>
      <c r="Q3977" s="1" t="str">
        <f t="shared" si="925"/>
        <v/>
      </c>
      <c r="R3977" s="1" t="str">
        <f t="shared" si="929"/>
        <v/>
      </c>
      <c r="S3977" s="1">
        <f t="shared" si="930"/>
        <v>630.90240000000244</v>
      </c>
      <c r="T3977" s="1">
        <f t="shared" si="931"/>
        <v>0</v>
      </c>
      <c r="U3977" s="1">
        <f t="shared" si="932"/>
        <v>0</v>
      </c>
      <c r="V3977" s="1">
        <f t="shared" si="933"/>
        <v>0</v>
      </c>
    </row>
    <row r="3978" spans="5:22" x14ac:dyDescent="0.25">
      <c r="E3978" s="4"/>
      <c r="M3978" s="4">
        <f t="shared" si="926"/>
        <v>173.1</v>
      </c>
      <c r="N3978" s="4"/>
      <c r="O3978" s="1">
        <f t="shared" si="927"/>
        <v>173.1</v>
      </c>
      <c r="P3978" s="1">
        <f t="shared" si="928"/>
        <v>0</v>
      </c>
      <c r="Q3978" s="1" t="str">
        <f t="shared" si="925"/>
        <v/>
      </c>
      <c r="R3978" s="1" t="str">
        <f t="shared" si="929"/>
        <v/>
      </c>
      <c r="S3978" s="1">
        <f t="shared" si="930"/>
        <v>630.90240000000244</v>
      </c>
      <c r="T3978" s="1">
        <f t="shared" si="931"/>
        <v>0</v>
      </c>
      <c r="U3978" s="1">
        <f t="shared" si="932"/>
        <v>0</v>
      </c>
      <c r="V3978" s="1">
        <f t="shared" si="933"/>
        <v>0</v>
      </c>
    </row>
    <row r="3979" spans="5:22" x14ac:dyDescent="0.25">
      <c r="E3979" s="4"/>
      <c r="M3979" s="4">
        <f t="shared" si="926"/>
        <v>173.1</v>
      </c>
      <c r="N3979" s="4"/>
      <c r="O3979" s="1">
        <f t="shared" si="927"/>
        <v>173.1</v>
      </c>
      <c r="P3979" s="1">
        <f t="shared" si="928"/>
        <v>0</v>
      </c>
      <c r="Q3979" s="1" t="str">
        <f t="shared" si="925"/>
        <v/>
      </c>
      <c r="R3979" s="1" t="str">
        <f t="shared" si="929"/>
        <v/>
      </c>
      <c r="S3979" s="1">
        <f t="shared" si="930"/>
        <v>630.90240000000244</v>
      </c>
      <c r="T3979" s="1">
        <f t="shared" si="931"/>
        <v>0</v>
      </c>
      <c r="U3979" s="1">
        <f t="shared" si="932"/>
        <v>0</v>
      </c>
      <c r="V3979" s="1">
        <f t="shared" si="933"/>
        <v>0</v>
      </c>
    </row>
    <row r="3980" spans="5:22" x14ac:dyDescent="0.25">
      <c r="E3980" s="4"/>
      <c r="M3980" s="4">
        <f t="shared" si="926"/>
        <v>173.1</v>
      </c>
      <c r="N3980" s="4"/>
      <c r="O3980" s="1">
        <f t="shared" si="927"/>
        <v>173.1</v>
      </c>
      <c r="P3980" s="1">
        <f t="shared" si="928"/>
        <v>0</v>
      </c>
      <c r="Q3980" s="1" t="str">
        <f t="shared" si="925"/>
        <v/>
      </c>
      <c r="R3980" s="1" t="str">
        <f t="shared" si="929"/>
        <v/>
      </c>
      <c r="S3980" s="1">
        <f t="shared" si="930"/>
        <v>630.90240000000244</v>
      </c>
      <c r="T3980" s="1">
        <f t="shared" si="931"/>
        <v>0</v>
      </c>
      <c r="U3980" s="1">
        <f t="shared" si="932"/>
        <v>0</v>
      </c>
      <c r="V3980" s="1">
        <f t="shared" si="933"/>
        <v>0</v>
      </c>
    </row>
    <row r="3981" spans="5:22" x14ac:dyDescent="0.25">
      <c r="E3981" s="4"/>
      <c r="M3981" s="4">
        <f t="shared" si="926"/>
        <v>173.1</v>
      </c>
      <c r="N3981" s="4"/>
      <c r="O3981" s="1">
        <f t="shared" si="927"/>
        <v>173.1</v>
      </c>
      <c r="P3981" s="1">
        <f t="shared" si="928"/>
        <v>0</v>
      </c>
      <c r="Q3981" s="1" t="str">
        <f t="shared" si="925"/>
        <v/>
      </c>
      <c r="R3981" s="1" t="str">
        <f t="shared" si="929"/>
        <v/>
      </c>
      <c r="S3981" s="1">
        <f t="shared" si="930"/>
        <v>630.90240000000244</v>
      </c>
      <c r="T3981" s="1">
        <f t="shared" si="931"/>
        <v>0</v>
      </c>
      <c r="U3981" s="1">
        <f t="shared" si="932"/>
        <v>0</v>
      </c>
      <c r="V3981" s="1">
        <f t="shared" si="933"/>
        <v>0</v>
      </c>
    </row>
    <row r="3982" spans="5:22" x14ac:dyDescent="0.25">
      <c r="E3982" s="4"/>
      <c r="M3982" s="4">
        <f t="shared" si="926"/>
        <v>173.1</v>
      </c>
      <c r="N3982" s="4"/>
      <c r="O3982" s="1">
        <f t="shared" si="927"/>
        <v>173.1</v>
      </c>
      <c r="P3982" s="1">
        <f t="shared" si="928"/>
        <v>0</v>
      </c>
      <c r="Q3982" s="1" t="str">
        <f t="shared" si="925"/>
        <v/>
      </c>
      <c r="R3982" s="1" t="str">
        <f t="shared" si="929"/>
        <v/>
      </c>
      <c r="S3982" s="1">
        <f t="shared" si="930"/>
        <v>630.90240000000244</v>
      </c>
      <c r="T3982" s="1">
        <f t="shared" si="931"/>
        <v>0</v>
      </c>
      <c r="U3982" s="1">
        <f t="shared" si="932"/>
        <v>0</v>
      </c>
      <c r="V3982" s="1">
        <f t="shared" si="933"/>
        <v>0</v>
      </c>
    </row>
    <row r="3983" spans="5:22" x14ac:dyDescent="0.25">
      <c r="E3983" s="4"/>
      <c r="M3983" s="4">
        <f t="shared" si="926"/>
        <v>173.1</v>
      </c>
      <c r="N3983" s="4"/>
      <c r="O3983" s="1">
        <f t="shared" si="927"/>
        <v>173.1</v>
      </c>
      <c r="P3983" s="1">
        <f t="shared" si="928"/>
        <v>0</v>
      </c>
      <c r="Q3983" s="1" t="str">
        <f t="shared" si="925"/>
        <v/>
      </c>
      <c r="R3983" s="1" t="str">
        <f t="shared" si="929"/>
        <v/>
      </c>
      <c r="S3983" s="1">
        <f t="shared" si="930"/>
        <v>630.90240000000244</v>
      </c>
      <c r="T3983" s="1">
        <f t="shared" si="931"/>
        <v>0</v>
      </c>
      <c r="U3983" s="1">
        <f t="shared" si="932"/>
        <v>0</v>
      </c>
      <c r="V3983" s="1">
        <f t="shared" si="933"/>
        <v>0</v>
      </c>
    </row>
    <row r="3984" spans="5:22" x14ac:dyDescent="0.25">
      <c r="E3984" s="4"/>
      <c r="M3984" s="4">
        <f t="shared" si="926"/>
        <v>173.1</v>
      </c>
      <c r="N3984" s="4"/>
      <c r="O3984" s="1">
        <f t="shared" si="927"/>
        <v>173.1</v>
      </c>
      <c r="P3984" s="1">
        <f t="shared" si="928"/>
        <v>0</v>
      </c>
      <c r="Q3984" s="1" t="str">
        <f t="shared" si="925"/>
        <v/>
      </c>
      <c r="R3984" s="1" t="str">
        <f t="shared" si="929"/>
        <v/>
      </c>
      <c r="S3984" s="1">
        <f t="shared" si="930"/>
        <v>630.90240000000244</v>
      </c>
      <c r="T3984" s="1">
        <f t="shared" si="931"/>
        <v>0</v>
      </c>
      <c r="U3984" s="1">
        <f t="shared" si="932"/>
        <v>0</v>
      </c>
      <c r="V3984" s="1">
        <f t="shared" si="933"/>
        <v>0</v>
      </c>
    </row>
    <row r="3985" spans="5:22" x14ac:dyDescent="0.25">
      <c r="E3985" s="4"/>
      <c r="M3985" s="4">
        <f t="shared" si="926"/>
        <v>173.1</v>
      </c>
      <c r="N3985" s="4"/>
      <c r="O3985" s="1">
        <f t="shared" si="927"/>
        <v>173.1</v>
      </c>
      <c r="P3985" s="1">
        <f t="shared" si="928"/>
        <v>0</v>
      </c>
      <c r="Q3985" s="1" t="str">
        <f t="shared" si="925"/>
        <v/>
      </c>
      <c r="R3985" s="1" t="str">
        <f t="shared" si="929"/>
        <v/>
      </c>
      <c r="S3985" s="1">
        <f t="shared" si="930"/>
        <v>630.90240000000244</v>
      </c>
      <c r="T3985" s="1">
        <f t="shared" si="931"/>
        <v>0</v>
      </c>
      <c r="U3985" s="1">
        <f t="shared" si="932"/>
        <v>0</v>
      </c>
      <c r="V3985" s="1">
        <f t="shared" si="933"/>
        <v>0</v>
      </c>
    </row>
    <row r="3986" spans="5:22" x14ac:dyDescent="0.25">
      <c r="E3986" s="4"/>
      <c r="M3986" s="4">
        <f t="shared" si="926"/>
        <v>173.1</v>
      </c>
      <c r="N3986" s="4"/>
      <c r="O3986" s="1">
        <f t="shared" si="927"/>
        <v>173.1</v>
      </c>
      <c r="P3986" s="1">
        <f t="shared" si="928"/>
        <v>0</v>
      </c>
      <c r="Q3986" s="1" t="str">
        <f t="shared" si="925"/>
        <v/>
      </c>
      <c r="R3986" s="1" t="str">
        <f t="shared" si="929"/>
        <v/>
      </c>
      <c r="S3986" s="1">
        <f t="shared" si="930"/>
        <v>630.90240000000244</v>
      </c>
      <c r="T3986" s="1">
        <f t="shared" si="931"/>
        <v>0</v>
      </c>
      <c r="U3986" s="1">
        <f t="shared" si="932"/>
        <v>0</v>
      </c>
      <c r="V3986" s="1">
        <f t="shared" si="933"/>
        <v>0</v>
      </c>
    </row>
    <row r="3987" spans="5:22" x14ac:dyDescent="0.25">
      <c r="E3987" s="4"/>
      <c r="M3987" s="4">
        <f t="shared" si="926"/>
        <v>173.1</v>
      </c>
      <c r="N3987" s="4"/>
      <c r="O3987" s="1">
        <f t="shared" si="927"/>
        <v>173.1</v>
      </c>
      <c r="P3987" s="1">
        <f t="shared" si="928"/>
        <v>0</v>
      </c>
      <c r="Q3987" s="1" t="str">
        <f t="shared" si="925"/>
        <v/>
      </c>
      <c r="R3987" s="1" t="str">
        <f t="shared" si="929"/>
        <v/>
      </c>
      <c r="S3987" s="1">
        <f t="shared" si="930"/>
        <v>630.90240000000244</v>
      </c>
      <c r="T3987" s="1">
        <f t="shared" si="931"/>
        <v>0</v>
      </c>
      <c r="U3987" s="1">
        <f t="shared" si="932"/>
        <v>0</v>
      </c>
      <c r="V3987" s="1">
        <f t="shared" si="933"/>
        <v>0</v>
      </c>
    </row>
    <row r="3988" spans="5:22" x14ac:dyDescent="0.25">
      <c r="E3988" s="4"/>
      <c r="M3988" s="4">
        <f t="shared" si="926"/>
        <v>173.1</v>
      </c>
      <c r="N3988" s="4"/>
      <c r="O3988" s="1">
        <f t="shared" si="927"/>
        <v>173.1</v>
      </c>
      <c r="P3988" s="1">
        <f t="shared" si="928"/>
        <v>0</v>
      </c>
      <c r="Q3988" s="1" t="str">
        <f t="shared" si="925"/>
        <v/>
      </c>
      <c r="R3988" s="1" t="str">
        <f t="shared" si="929"/>
        <v/>
      </c>
      <c r="S3988" s="1">
        <f t="shared" si="930"/>
        <v>630.90240000000244</v>
      </c>
      <c r="T3988" s="1">
        <f t="shared" si="931"/>
        <v>0</v>
      </c>
      <c r="U3988" s="1">
        <f t="shared" si="932"/>
        <v>0</v>
      </c>
      <c r="V3988" s="1">
        <f t="shared" si="933"/>
        <v>0</v>
      </c>
    </row>
    <row r="3989" spans="5:22" x14ac:dyDescent="0.25">
      <c r="E3989" s="4"/>
      <c r="M3989" s="4">
        <f t="shared" si="926"/>
        <v>173.1</v>
      </c>
      <c r="N3989" s="4"/>
      <c r="O3989" s="1">
        <f t="shared" si="927"/>
        <v>173.1</v>
      </c>
      <c r="P3989" s="1">
        <f t="shared" si="928"/>
        <v>0</v>
      </c>
      <c r="Q3989" s="1" t="str">
        <f t="shared" si="925"/>
        <v/>
      </c>
      <c r="R3989" s="1" t="str">
        <f t="shared" si="929"/>
        <v/>
      </c>
      <c r="S3989" s="1">
        <f t="shared" si="930"/>
        <v>630.90240000000244</v>
      </c>
      <c r="T3989" s="1">
        <f t="shared" si="931"/>
        <v>0</v>
      </c>
      <c r="U3989" s="1">
        <f t="shared" si="932"/>
        <v>0</v>
      </c>
      <c r="V3989" s="1">
        <f t="shared" si="933"/>
        <v>0</v>
      </c>
    </row>
    <row r="3990" spans="5:22" x14ac:dyDescent="0.25">
      <c r="E3990" s="4"/>
      <c r="M3990" s="4">
        <f t="shared" si="926"/>
        <v>173.1</v>
      </c>
      <c r="N3990" s="4"/>
      <c r="O3990" s="1">
        <f t="shared" si="927"/>
        <v>173.1</v>
      </c>
      <c r="P3990" s="1">
        <f t="shared" si="928"/>
        <v>0</v>
      </c>
      <c r="Q3990" s="1" t="str">
        <f t="shared" si="925"/>
        <v/>
      </c>
      <c r="R3990" s="1" t="str">
        <f t="shared" si="929"/>
        <v/>
      </c>
      <c r="S3990" s="1">
        <f t="shared" si="930"/>
        <v>630.90240000000244</v>
      </c>
      <c r="T3990" s="1">
        <f t="shared" si="931"/>
        <v>0</v>
      </c>
      <c r="U3990" s="1">
        <f t="shared" si="932"/>
        <v>0</v>
      </c>
      <c r="V3990" s="1">
        <f t="shared" si="933"/>
        <v>0</v>
      </c>
    </row>
    <row r="3991" spans="5:22" x14ac:dyDescent="0.25">
      <c r="E3991" s="4"/>
      <c r="M3991" s="4">
        <f t="shared" si="926"/>
        <v>173.1</v>
      </c>
      <c r="N3991" s="4"/>
      <c r="O3991" s="1">
        <f t="shared" si="927"/>
        <v>173.1</v>
      </c>
      <c r="P3991" s="1">
        <f t="shared" si="928"/>
        <v>0</v>
      </c>
      <c r="Q3991" s="1" t="str">
        <f t="shared" si="925"/>
        <v/>
      </c>
      <c r="R3991" s="1" t="str">
        <f t="shared" si="929"/>
        <v/>
      </c>
      <c r="S3991" s="1">
        <f t="shared" si="930"/>
        <v>630.90240000000244</v>
      </c>
      <c r="T3991" s="1">
        <f t="shared" si="931"/>
        <v>0</v>
      </c>
      <c r="U3991" s="1">
        <f t="shared" si="932"/>
        <v>0</v>
      </c>
      <c r="V3991" s="1">
        <f t="shared" si="933"/>
        <v>0</v>
      </c>
    </row>
    <row r="3992" spans="5:22" x14ac:dyDescent="0.25">
      <c r="E3992" s="4"/>
      <c r="M3992" s="4">
        <f t="shared" si="926"/>
        <v>173.1</v>
      </c>
      <c r="N3992" s="4"/>
      <c r="O3992" s="1">
        <f t="shared" si="927"/>
        <v>173.1</v>
      </c>
      <c r="P3992" s="1">
        <f t="shared" si="928"/>
        <v>0</v>
      </c>
      <c r="Q3992" s="1" t="str">
        <f t="shared" si="925"/>
        <v/>
      </c>
      <c r="R3992" s="1" t="str">
        <f t="shared" si="929"/>
        <v/>
      </c>
      <c r="S3992" s="1">
        <f t="shared" si="930"/>
        <v>630.90240000000244</v>
      </c>
      <c r="T3992" s="1">
        <f t="shared" si="931"/>
        <v>0</v>
      </c>
      <c r="U3992" s="1">
        <f t="shared" si="932"/>
        <v>0</v>
      </c>
      <c r="V3992" s="1">
        <f t="shared" si="933"/>
        <v>0</v>
      </c>
    </row>
    <row r="3993" spans="5:22" x14ac:dyDescent="0.25">
      <c r="E3993" s="4"/>
      <c r="M3993" s="4">
        <f t="shared" si="926"/>
        <v>173.1</v>
      </c>
      <c r="N3993" s="4"/>
      <c r="O3993" s="1">
        <f t="shared" si="927"/>
        <v>173.1</v>
      </c>
      <c r="P3993" s="1">
        <f t="shared" si="928"/>
        <v>0</v>
      </c>
      <c r="Q3993" s="1" t="str">
        <f t="shared" si="925"/>
        <v/>
      </c>
      <c r="R3993" s="1" t="str">
        <f t="shared" si="929"/>
        <v/>
      </c>
      <c r="S3993" s="1">
        <f t="shared" si="930"/>
        <v>630.90240000000244</v>
      </c>
      <c r="T3993" s="1">
        <f t="shared" si="931"/>
        <v>0</v>
      </c>
      <c r="U3993" s="1">
        <f t="shared" si="932"/>
        <v>0</v>
      </c>
      <c r="V3993" s="1">
        <f t="shared" si="933"/>
        <v>0</v>
      </c>
    </row>
    <row r="3994" spans="5:22" x14ac:dyDescent="0.25">
      <c r="E3994" s="4"/>
      <c r="M3994" s="4">
        <f t="shared" si="926"/>
        <v>173.1</v>
      </c>
      <c r="N3994" s="4"/>
      <c r="O3994" s="1">
        <f t="shared" si="927"/>
        <v>173.1</v>
      </c>
      <c r="P3994" s="1">
        <f t="shared" si="928"/>
        <v>0</v>
      </c>
      <c r="Q3994" s="1" t="str">
        <f t="shared" si="925"/>
        <v/>
      </c>
      <c r="R3994" s="1" t="str">
        <f t="shared" si="929"/>
        <v/>
      </c>
      <c r="S3994" s="1">
        <f t="shared" si="930"/>
        <v>630.90240000000244</v>
      </c>
      <c r="T3994" s="1">
        <f t="shared" si="931"/>
        <v>0</v>
      </c>
      <c r="U3994" s="1">
        <f t="shared" si="932"/>
        <v>0</v>
      </c>
      <c r="V3994" s="1">
        <f t="shared" si="933"/>
        <v>0</v>
      </c>
    </row>
    <row r="3995" spans="5:22" x14ac:dyDescent="0.25">
      <c r="E3995" s="4"/>
      <c r="M3995" s="4">
        <f t="shared" si="926"/>
        <v>173.1</v>
      </c>
      <c r="N3995" s="4"/>
      <c r="O3995" s="1">
        <f t="shared" si="927"/>
        <v>173.1</v>
      </c>
      <c r="P3995" s="1">
        <f t="shared" si="928"/>
        <v>0</v>
      </c>
      <c r="Q3995" s="1" t="str">
        <f t="shared" si="925"/>
        <v/>
      </c>
      <c r="R3995" s="1" t="str">
        <f t="shared" si="929"/>
        <v/>
      </c>
      <c r="S3995" s="1">
        <f t="shared" si="930"/>
        <v>630.90240000000244</v>
      </c>
      <c r="T3995" s="1">
        <f t="shared" si="931"/>
        <v>0</v>
      </c>
      <c r="U3995" s="1">
        <f t="shared" si="932"/>
        <v>0</v>
      </c>
      <c r="V3995" s="1">
        <f t="shared" si="933"/>
        <v>0</v>
      </c>
    </row>
    <row r="3996" spans="5:22" x14ac:dyDescent="0.25">
      <c r="E3996" s="4"/>
      <c r="M3996" s="4">
        <f t="shared" si="926"/>
        <v>173.1</v>
      </c>
      <c r="N3996" s="4"/>
      <c r="O3996" s="1">
        <f t="shared" si="927"/>
        <v>173.1</v>
      </c>
      <c r="P3996" s="1">
        <f t="shared" si="928"/>
        <v>0</v>
      </c>
      <c r="Q3996" s="1" t="str">
        <f t="shared" si="925"/>
        <v/>
      </c>
      <c r="R3996" s="1" t="str">
        <f t="shared" si="929"/>
        <v/>
      </c>
      <c r="S3996" s="1">
        <f t="shared" si="930"/>
        <v>630.90240000000244</v>
      </c>
      <c r="T3996" s="1">
        <f t="shared" si="931"/>
        <v>0</v>
      </c>
      <c r="U3996" s="1">
        <f t="shared" si="932"/>
        <v>0</v>
      </c>
      <c r="V3996" s="1">
        <f t="shared" si="933"/>
        <v>0</v>
      </c>
    </row>
    <row r="3997" spans="5:22" x14ac:dyDescent="0.25">
      <c r="E3997" s="4"/>
      <c r="M3997" s="4">
        <f t="shared" si="926"/>
        <v>173.1</v>
      </c>
      <c r="N3997" s="4"/>
      <c r="O3997" s="1">
        <f t="shared" si="927"/>
        <v>173.1</v>
      </c>
      <c r="P3997" s="1">
        <f t="shared" si="928"/>
        <v>0</v>
      </c>
      <c r="Q3997" s="1" t="str">
        <f t="shared" si="925"/>
        <v/>
      </c>
      <c r="R3997" s="1" t="str">
        <f t="shared" si="929"/>
        <v/>
      </c>
      <c r="S3997" s="1">
        <f t="shared" si="930"/>
        <v>630.90240000000244</v>
      </c>
      <c r="T3997" s="1">
        <f t="shared" si="931"/>
        <v>0</v>
      </c>
      <c r="U3997" s="1">
        <f t="shared" si="932"/>
        <v>0</v>
      </c>
      <c r="V3997" s="1">
        <f t="shared" si="933"/>
        <v>0</v>
      </c>
    </row>
    <row r="3998" spans="5:22" x14ac:dyDescent="0.25">
      <c r="E3998" s="4"/>
      <c r="M3998" s="4">
        <f t="shared" si="926"/>
        <v>173.1</v>
      </c>
      <c r="N3998" s="4"/>
      <c r="O3998" s="1">
        <f t="shared" si="927"/>
        <v>173.1</v>
      </c>
      <c r="P3998" s="1">
        <f t="shared" si="928"/>
        <v>0</v>
      </c>
      <c r="Q3998" s="1" t="str">
        <f t="shared" si="925"/>
        <v/>
      </c>
      <c r="R3998" s="1" t="str">
        <f t="shared" si="929"/>
        <v/>
      </c>
      <c r="S3998" s="1">
        <f t="shared" si="930"/>
        <v>630.90240000000244</v>
      </c>
      <c r="T3998" s="1">
        <f t="shared" si="931"/>
        <v>0</v>
      </c>
      <c r="U3998" s="1">
        <f t="shared" si="932"/>
        <v>0</v>
      </c>
      <c r="V3998" s="1">
        <f t="shared" si="933"/>
        <v>0</v>
      </c>
    </row>
    <row r="3999" spans="5:22" x14ac:dyDescent="0.25">
      <c r="E3999" s="4"/>
      <c r="M3999" s="4">
        <f t="shared" si="926"/>
        <v>173.1</v>
      </c>
      <c r="N3999" s="4"/>
      <c r="O3999" s="1">
        <f t="shared" si="927"/>
        <v>173.1</v>
      </c>
      <c r="P3999" s="1">
        <f t="shared" si="928"/>
        <v>0</v>
      </c>
      <c r="Q3999" s="1" t="str">
        <f t="shared" si="925"/>
        <v/>
      </c>
      <c r="R3999" s="1" t="str">
        <f t="shared" si="929"/>
        <v/>
      </c>
      <c r="S3999" s="1">
        <f t="shared" si="930"/>
        <v>630.90240000000244</v>
      </c>
      <c r="T3999" s="1">
        <f t="shared" si="931"/>
        <v>0</v>
      </c>
      <c r="U3999" s="1">
        <f t="shared" si="932"/>
        <v>0</v>
      </c>
      <c r="V3999" s="1">
        <f t="shared" si="933"/>
        <v>0</v>
      </c>
    </row>
    <row r="4000" spans="5:22" x14ac:dyDescent="0.25">
      <c r="E4000" s="4"/>
      <c r="M4000" s="4">
        <f t="shared" si="926"/>
        <v>173.1</v>
      </c>
      <c r="N4000" s="4"/>
      <c r="O4000" s="1">
        <f t="shared" si="927"/>
        <v>173.1</v>
      </c>
      <c r="P4000" s="1">
        <f t="shared" si="928"/>
        <v>0</v>
      </c>
      <c r="Q4000" s="1" t="str">
        <f t="shared" si="925"/>
        <v/>
      </c>
      <c r="R4000" s="1" t="str">
        <f t="shared" si="929"/>
        <v/>
      </c>
      <c r="S4000" s="1">
        <f t="shared" si="930"/>
        <v>630.90240000000244</v>
      </c>
      <c r="T4000" s="1">
        <f t="shared" si="931"/>
        <v>0</v>
      </c>
      <c r="U4000" s="1">
        <f t="shared" si="932"/>
        <v>0</v>
      </c>
      <c r="V4000" s="1">
        <f t="shared" si="933"/>
        <v>0</v>
      </c>
    </row>
    <row r="4001" spans="5:22" x14ac:dyDescent="0.25">
      <c r="E4001" s="4"/>
      <c r="M4001" s="4">
        <f t="shared" si="926"/>
        <v>173.1</v>
      </c>
      <c r="N4001" s="4"/>
      <c r="O4001" s="1">
        <f t="shared" si="927"/>
        <v>173.1</v>
      </c>
      <c r="P4001" s="1">
        <f t="shared" si="928"/>
        <v>0</v>
      </c>
      <c r="Q4001" s="1" t="str">
        <f t="shared" si="925"/>
        <v/>
      </c>
      <c r="R4001" s="1" t="str">
        <f t="shared" si="929"/>
        <v/>
      </c>
      <c r="S4001" s="1">
        <f t="shared" si="930"/>
        <v>630.90240000000244</v>
      </c>
      <c r="T4001" s="1">
        <f t="shared" si="931"/>
        <v>0</v>
      </c>
      <c r="U4001" s="1">
        <f t="shared" si="932"/>
        <v>0</v>
      </c>
      <c r="V4001" s="1">
        <f t="shared" si="933"/>
        <v>0</v>
      </c>
    </row>
    <row r="4002" spans="5:22" x14ac:dyDescent="0.25">
      <c r="E4002" s="4"/>
      <c r="M4002" s="4">
        <f t="shared" si="926"/>
        <v>173.1</v>
      </c>
      <c r="N4002" s="4"/>
      <c r="O4002" s="1">
        <f t="shared" si="927"/>
        <v>173.1</v>
      </c>
      <c r="P4002" s="1">
        <f t="shared" si="928"/>
        <v>0</v>
      </c>
      <c r="Q4002" s="1" t="str">
        <f t="shared" si="925"/>
        <v/>
      </c>
      <c r="R4002" s="1" t="str">
        <f t="shared" si="929"/>
        <v/>
      </c>
      <c r="S4002" s="1">
        <f t="shared" si="930"/>
        <v>630.90240000000244</v>
      </c>
      <c r="T4002" s="1">
        <f t="shared" si="931"/>
        <v>0</v>
      </c>
      <c r="U4002" s="1">
        <f t="shared" si="932"/>
        <v>0</v>
      </c>
      <c r="V4002" s="1">
        <f t="shared" si="933"/>
        <v>0</v>
      </c>
    </row>
    <row r="4003" spans="5:22" x14ac:dyDescent="0.25">
      <c r="E4003" s="4"/>
      <c r="M4003" s="4">
        <f t="shared" si="926"/>
        <v>173.1</v>
      </c>
      <c r="N4003" s="4"/>
      <c r="O4003" s="1">
        <f t="shared" si="927"/>
        <v>173.1</v>
      </c>
      <c r="P4003" s="1">
        <f t="shared" si="928"/>
        <v>0</v>
      </c>
      <c r="Q4003" s="1" t="str">
        <f t="shared" si="925"/>
        <v/>
      </c>
      <c r="R4003" s="1" t="str">
        <f t="shared" si="929"/>
        <v/>
      </c>
      <c r="S4003" s="1">
        <f t="shared" si="930"/>
        <v>630.90240000000244</v>
      </c>
      <c r="T4003" s="1">
        <f t="shared" si="931"/>
        <v>0</v>
      </c>
      <c r="U4003" s="1">
        <f t="shared" si="932"/>
        <v>0</v>
      </c>
      <c r="V4003" s="1">
        <f t="shared" si="933"/>
        <v>0</v>
      </c>
    </row>
    <row r="4004" spans="5:22" x14ac:dyDescent="0.25">
      <c r="E4004" s="4"/>
      <c r="M4004" s="4">
        <f t="shared" si="926"/>
        <v>173.1</v>
      </c>
      <c r="N4004" s="4"/>
      <c r="O4004" s="1">
        <f t="shared" si="927"/>
        <v>173.1</v>
      </c>
      <c r="P4004" s="1">
        <f t="shared" si="928"/>
        <v>0</v>
      </c>
      <c r="Q4004" s="1" t="str">
        <f t="shared" si="925"/>
        <v/>
      </c>
      <c r="R4004" s="1" t="str">
        <f t="shared" si="929"/>
        <v/>
      </c>
      <c r="S4004" s="1">
        <f t="shared" si="930"/>
        <v>630.90240000000244</v>
      </c>
      <c r="T4004" s="1">
        <f t="shared" si="931"/>
        <v>0</v>
      </c>
      <c r="U4004" s="1">
        <f t="shared" si="932"/>
        <v>0</v>
      </c>
      <c r="V4004" s="1">
        <f t="shared" si="933"/>
        <v>0</v>
      </c>
    </row>
    <row r="4005" spans="5:22" x14ac:dyDescent="0.25">
      <c r="E4005" s="4"/>
      <c r="M4005" s="4">
        <f t="shared" si="926"/>
        <v>173.1</v>
      </c>
      <c r="N4005" s="4"/>
      <c r="O4005" s="1">
        <f t="shared" si="927"/>
        <v>173.1</v>
      </c>
      <c r="P4005" s="1">
        <f t="shared" si="928"/>
        <v>0</v>
      </c>
      <c r="Q4005" s="1" t="str">
        <f t="shared" si="925"/>
        <v/>
      </c>
      <c r="R4005" s="1" t="str">
        <f t="shared" si="929"/>
        <v/>
      </c>
      <c r="S4005" s="1">
        <f t="shared" si="930"/>
        <v>630.90240000000244</v>
      </c>
      <c r="T4005" s="1">
        <f t="shared" si="931"/>
        <v>0</v>
      </c>
      <c r="U4005" s="1">
        <f t="shared" si="932"/>
        <v>0</v>
      </c>
      <c r="V4005" s="1">
        <f t="shared" si="933"/>
        <v>0</v>
      </c>
    </row>
    <row r="4006" spans="5:22" x14ac:dyDescent="0.25">
      <c r="E4006" s="4"/>
      <c r="M4006" s="4">
        <f t="shared" si="926"/>
        <v>173.1</v>
      </c>
      <c r="N4006" s="4"/>
      <c r="O4006" s="1">
        <f t="shared" si="927"/>
        <v>173.1</v>
      </c>
      <c r="P4006" s="1">
        <f t="shared" si="928"/>
        <v>0</v>
      </c>
      <c r="Q4006" s="1" t="str">
        <f t="shared" si="925"/>
        <v/>
      </c>
      <c r="R4006" s="1" t="str">
        <f t="shared" si="929"/>
        <v/>
      </c>
      <c r="S4006" s="1">
        <f t="shared" si="930"/>
        <v>630.90240000000244</v>
      </c>
      <c r="T4006" s="1">
        <f t="shared" si="931"/>
        <v>0</v>
      </c>
      <c r="U4006" s="1">
        <f t="shared" si="932"/>
        <v>0</v>
      </c>
      <c r="V4006" s="1">
        <f t="shared" si="933"/>
        <v>0</v>
      </c>
    </row>
    <row r="4007" spans="5:22" x14ac:dyDescent="0.25">
      <c r="E4007" s="4"/>
      <c r="M4007" s="4">
        <f t="shared" si="926"/>
        <v>173.1</v>
      </c>
      <c r="N4007" s="4"/>
      <c r="O4007" s="1">
        <f t="shared" si="927"/>
        <v>173.1</v>
      </c>
      <c r="P4007" s="1">
        <f t="shared" si="928"/>
        <v>0</v>
      </c>
      <c r="Q4007" s="1" t="str">
        <f t="shared" si="925"/>
        <v/>
      </c>
      <c r="R4007" s="1" t="str">
        <f t="shared" si="929"/>
        <v/>
      </c>
      <c r="S4007" s="1">
        <f t="shared" si="930"/>
        <v>630.90240000000244</v>
      </c>
      <c r="T4007" s="1">
        <f t="shared" si="931"/>
        <v>0</v>
      </c>
      <c r="U4007" s="1">
        <f t="shared" si="932"/>
        <v>0</v>
      </c>
      <c r="V4007" s="1">
        <f t="shared" si="933"/>
        <v>0</v>
      </c>
    </row>
    <row r="4008" spans="5:22" x14ac:dyDescent="0.25">
      <c r="E4008" s="4"/>
      <c r="M4008" s="4">
        <f t="shared" si="926"/>
        <v>173.1</v>
      </c>
      <c r="N4008" s="4"/>
      <c r="O4008" s="1">
        <f t="shared" si="927"/>
        <v>173.1</v>
      </c>
      <c r="P4008" s="1">
        <f t="shared" si="928"/>
        <v>0</v>
      </c>
      <c r="Q4008" s="1" t="str">
        <f t="shared" si="925"/>
        <v/>
      </c>
      <c r="R4008" s="1" t="str">
        <f t="shared" si="929"/>
        <v/>
      </c>
      <c r="S4008" s="1">
        <f t="shared" si="930"/>
        <v>630.90240000000244</v>
      </c>
      <c r="T4008" s="1">
        <f t="shared" si="931"/>
        <v>0</v>
      </c>
      <c r="U4008" s="1">
        <f t="shared" si="932"/>
        <v>0</v>
      </c>
      <c r="V4008" s="1">
        <f t="shared" si="933"/>
        <v>0</v>
      </c>
    </row>
    <row r="4009" spans="5:22" x14ac:dyDescent="0.25">
      <c r="E4009" s="4"/>
      <c r="M4009" s="4">
        <f t="shared" si="926"/>
        <v>173.1</v>
      </c>
      <c r="N4009" s="4"/>
      <c r="O4009" s="1">
        <f t="shared" si="927"/>
        <v>173.1</v>
      </c>
      <c r="P4009" s="1">
        <f t="shared" si="928"/>
        <v>0</v>
      </c>
      <c r="Q4009" s="1" t="str">
        <f t="shared" si="925"/>
        <v/>
      </c>
      <c r="R4009" s="1" t="str">
        <f t="shared" si="929"/>
        <v/>
      </c>
      <c r="S4009" s="1">
        <f t="shared" si="930"/>
        <v>630.90240000000244</v>
      </c>
      <c r="T4009" s="1">
        <f t="shared" si="931"/>
        <v>0</v>
      </c>
      <c r="U4009" s="1">
        <f t="shared" si="932"/>
        <v>0</v>
      </c>
      <c r="V4009" s="1">
        <f t="shared" si="933"/>
        <v>0</v>
      </c>
    </row>
    <row r="4010" spans="5:22" x14ac:dyDescent="0.25">
      <c r="E4010" s="4"/>
      <c r="M4010" s="4">
        <f t="shared" si="926"/>
        <v>173.1</v>
      </c>
      <c r="N4010" s="4"/>
      <c r="O4010" s="1">
        <f t="shared" si="927"/>
        <v>173.1</v>
      </c>
      <c r="P4010" s="1">
        <f t="shared" si="928"/>
        <v>0</v>
      </c>
      <c r="Q4010" s="1" t="str">
        <f t="shared" si="925"/>
        <v/>
      </c>
      <c r="R4010" s="1" t="str">
        <f t="shared" si="929"/>
        <v/>
      </c>
      <c r="S4010" s="1">
        <f t="shared" si="930"/>
        <v>630.90240000000244</v>
      </c>
      <c r="T4010" s="1">
        <f t="shared" si="931"/>
        <v>0</v>
      </c>
      <c r="U4010" s="1">
        <f t="shared" si="932"/>
        <v>0</v>
      </c>
      <c r="V4010" s="1">
        <f t="shared" si="933"/>
        <v>0</v>
      </c>
    </row>
    <row r="4011" spans="5:22" x14ac:dyDescent="0.25">
      <c r="E4011" s="4"/>
      <c r="M4011" s="4">
        <f t="shared" si="926"/>
        <v>173.1</v>
      </c>
      <c r="N4011" s="4"/>
      <c r="O4011" s="1">
        <f t="shared" si="927"/>
        <v>173.1</v>
      </c>
      <c r="P4011" s="1">
        <f t="shared" si="928"/>
        <v>0</v>
      </c>
      <c r="Q4011" s="1" t="str">
        <f t="shared" si="925"/>
        <v/>
      </c>
      <c r="R4011" s="1" t="str">
        <f t="shared" si="929"/>
        <v/>
      </c>
      <c r="S4011" s="1">
        <f t="shared" si="930"/>
        <v>630.90240000000244</v>
      </c>
      <c r="T4011" s="1">
        <f t="shared" si="931"/>
        <v>0</v>
      </c>
      <c r="U4011" s="1">
        <f t="shared" si="932"/>
        <v>0</v>
      </c>
      <c r="V4011" s="1">
        <f t="shared" si="933"/>
        <v>0</v>
      </c>
    </row>
    <row r="4012" spans="5:22" x14ac:dyDescent="0.25">
      <c r="E4012" s="4"/>
      <c r="M4012" s="4">
        <f t="shared" si="926"/>
        <v>173.1</v>
      </c>
      <c r="N4012" s="4"/>
      <c r="O4012" s="1">
        <f t="shared" si="927"/>
        <v>173.1</v>
      </c>
      <c r="P4012" s="1">
        <f t="shared" si="928"/>
        <v>0</v>
      </c>
      <c r="Q4012" s="1" t="str">
        <f t="shared" si="925"/>
        <v/>
      </c>
      <c r="R4012" s="1" t="str">
        <f t="shared" si="929"/>
        <v/>
      </c>
      <c r="S4012" s="1">
        <f t="shared" si="930"/>
        <v>630.90240000000244</v>
      </c>
      <c r="T4012" s="1">
        <f t="shared" si="931"/>
        <v>0</v>
      </c>
      <c r="U4012" s="1">
        <f t="shared" si="932"/>
        <v>0</v>
      </c>
      <c r="V4012" s="1">
        <f t="shared" si="933"/>
        <v>0</v>
      </c>
    </row>
    <row r="4013" spans="5:22" x14ac:dyDescent="0.25">
      <c r="E4013" s="4"/>
      <c r="M4013" s="4">
        <f t="shared" si="926"/>
        <v>173.1</v>
      </c>
      <c r="N4013" s="4"/>
      <c r="O4013" s="1">
        <f t="shared" si="927"/>
        <v>173.1</v>
      </c>
      <c r="P4013" s="1">
        <f t="shared" si="928"/>
        <v>0</v>
      </c>
      <c r="Q4013" s="1" t="str">
        <f t="shared" si="925"/>
        <v/>
      </c>
      <c r="R4013" s="1" t="str">
        <f t="shared" si="929"/>
        <v/>
      </c>
      <c r="S4013" s="1">
        <f t="shared" si="930"/>
        <v>630.90240000000244</v>
      </c>
      <c r="T4013" s="1">
        <f t="shared" si="931"/>
        <v>0</v>
      </c>
      <c r="U4013" s="1">
        <f t="shared" si="932"/>
        <v>0</v>
      </c>
      <c r="V4013" s="1">
        <f t="shared" si="933"/>
        <v>0</v>
      </c>
    </row>
    <row r="4014" spans="5:22" x14ac:dyDescent="0.25">
      <c r="E4014" s="4"/>
      <c r="M4014" s="4">
        <f t="shared" si="926"/>
        <v>173.1</v>
      </c>
      <c r="N4014" s="4"/>
      <c r="O4014" s="1">
        <f t="shared" si="927"/>
        <v>173.1</v>
      </c>
      <c r="P4014" s="1">
        <f t="shared" si="928"/>
        <v>0</v>
      </c>
      <c r="Q4014" s="1" t="str">
        <f t="shared" si="925"/>
        <v/>
      </c>
      <c r="R4014" s="1" t="str">
        <f t="shared" si="929"/>
        <v/>
      </c>
      <c r="S4014" s="1">
        <f t="shared" si="930"/>
        <v>630.90240000000244</v>
      </c>
      <c r="T4014" s="1">
        <f t="shared" si="931"/>
        <v>0</v>
      </c>
      <c r="U4014" s="1">
        <f t="shared" si="932"/>
        <v>0</v>
      </c>
      <c r="V4014" s="1">
        <f t="shared" si="933"/>
        <v>0</v>
      </c>
    </row>
    <row r="4015" spans="5:22" x14ac:dyDescent="0.25">
      <c r="E4015" s="4"/>
      <c r="M4015" s="4">
        <f t="shared" si="926"/>
        <v>173.1</v>
      </c>
      <c r="N4015" s="4"/>
      <c r="O4015" s="1">
        <f t="shared" si="927"/>
        <v>173.1</v>
      </c>
      <c r="P4015" s="1">
        <f t="shared" si="928"/>
        <v>0</v>
      </c>
      <c r="Q4015" s="1" t="str">
        <f t="shared" si="925"/>
        <v/>
      </c>
      <c r="R4015" s="1" t="str">
        <f t="shared" si="929"/>
        <v/>
      </c>
      <c r="S4015" s="1">
        <f t="shared" si="930"/>
        <v>630.90240000000244</v>
      </c>
      <c r="T4015" s="1">
        <f t="shared" si="931"/>
        <v>0</v>
      </c>
      <c r="U4015" s="1">
        <f t="shared" si="932"/>
        <v>0</v>
      </c>
      <c r="V4015" s="1">
        <f t="shared" si="933"/>
        <v>0</v>
      </c>
    </row>
    <row r="4016" spans="5:22" x14ac:dyDescent="0.25">
      <c r="E4016" s="4"/>
      <c r="M4016" s="4">
        <f t="shared" si="926"/>
        <v>173.1</v>
      </c>
      <c r="N4016" s="4"/>
      <c r="O4016" s="1">
        <f t="shared" si="927"/>
        <v>173.1</v>
      </c>
      <c r="P4016" s="1">
        <f t="shared" si="928"/>
        <v>0</v>
      </c>
      <c r="Q4016" s="1" t="str">
        <f t="shared" si="925"/>
        <v/>
      </c>
      <c r="R4016" s="1" t="str">
        <f t="shared" si="929"/>
        <v/>
      </c>
      <c r="S4016" s="1">
        <f t="shared" si="930"/>
        <v>630.90240000000244</v>
      </c>
      <c r="T4016" s="1">
        <f t="shared" si="931"/>
        <v>0</v>
      </c>
      <c r="U4016" s="1">
        <f t="shared" si="932"/>
        <v>0</v>
      </c>
      <c r="V4016" s="1">
        <f t="shared" si="933"/>
        <v>0</v>
      </c>
    </row>
    <row r="4017" spans="5:22" x14ac:dyDescent="0.25">
      <c r="E4017" s="4"/>
      <c r="M4017" s="4">
        <f t="shared" si="926"/>
        <v>173.1</v>
      </c>
      <c r="N4017" s="4"/>
      <c r="O4017" s="1">
        <f t="shared" si="927"/>
        <v>173.1</v>
      </c>
      <c r="P4017" s="1">
        <f t="shared" si="928"/>
        <v>0</v>
      </c>
      <c r="Q4017" s="1" t="str">
        <f t="shared" si="925"/>
        <v/>
      </c>
      <c r="R4017" s="1" t="str">
        <f t="shared" si="929"/>
        <v/>
      </c>
      <c r="S4017" s="1">
        <f t="shared" si="930"/>
        <v>630.90240000000244</v>
      </c>
      <c r="T4017" s="1">
        <f t="shared" si="931"/>
        <v>0</v>
      </c>
      <c r="U4017" s="1">
        <f t="shared" si="932"/>
        <v>0</v>
      </c>
      <c r="V4017" s="1">
        <f t="shared" si="933"/>
        <v>0</v>
      </c>
    </row>
    <row r="4018" spans="5:22" x14ac:dyDescent="0.25">
      <c r="E4018" s="4"/>
      <c r="M4018" s="4">
        <f t="shared" si="926"/>
        <v>173.1</v>
      </c>
      <c r="N4018" s="4"/>
      <c r="O4018" s="1">
        <f t="shared" si="927"/>
        <v>173.1</v>
      </c>
      <c r="P4018" s="1">
        <f t="shared" si="928"/>
        <v>0</v>
      </c>
      <c r="Q4018" s="1" t="str">
        <f t="shared" ref="Q4018:Q4081" si="934">IF(H4018&lt;&gt;"",IF(H4018=H4017,"",H4018),IF(H4016="","",MAX(H4017,Q4017)))</f>
        <v/>
      </c>
      <c r="R4018" s="1" t="str">
        <f t="shared" si="929"/>
        <v/>
      </c>
      <c r="S4018" s="1">
        <f t="shared" si="930"/>
        <v>630.90240000000244</v>
      </c>
      <c r="T4018" s="1">
        <f t="shared" si="931"/>
        <v>0</v>
      </c>
      <c r="U4018" s="1">
        <f t="shared" si="932"/>
        <v>0</v>
      </c>
      <c r="V4018" s="1">
        <f t="shared" si="933"/>
        <v>0</v>
      </c>
    </row>
    <row r="4019" spans="5:22" x14ac:dyDescent="0.25">
      <c r="E4019" s="4"/>
      <c r="M4019" s="4">
        <f t="shared" si="926"/>
        <v>173.1</v>
      </c>
      <c r="N4019" s="4"/>
      <c r="O4019" s="1">
        <f t="shared" si="927"/>
        <v>173.1</v>
      </c>
      <c r="P4019" s="1">
        <f t="shared" si="928"/>
        <v>0</v>
      </c>
      <c r="Q4019" s="1" t="str">
        <f t="shared" si="934"/>
        <v/>
      </c>
      <c r="R4019" s="1" t="str">
        <f t="shared" si="929"/>
        <v/>
      </c>
      <c r="S4019" s="1">
        <f t="shared" si="930"/>
        <v>630.90240000000244</v>
      </c>
      <c r="T4019" s="1">
        <f t="shared" si="931"/>
        <v>0</v>
      </c>
      <c r="U4019" s="1">
        <f t="shared" si="932"/>
        <v>0</v>
      </c>
      <c r="V4019" s="1">
        <f t="shared" si="933"/>
        <v>0</v>
      </c>
    </row>
    <row r="4020" spans="5:22" x14ac:dyDescent="0.25">
      <c r="E4020" s="4"/>
      <c r="M4020" s="4">
        <f t="shared" si="926"/>
        <v>173.1</v>
      </c>
      <c r="N4020" s="4"/>
      <c r="O4020" s="1">
        <f t="shared" si="927"/>
        <v>173.1</v>
      </c>
      <c r="P4020" s="1">
        <f t="shared" si="928"/>
        <v>0</v>
      </c>
      <c r="Q4020" s="1" t="str">
        <f t="shared" si="934"/>
        <v/>
      </c>
      <c r="R4020" s="1" t="str">
        <f t="shared" si="929"/>
        <v/>
      </c>
      <c r="S4020" s="1">
        <f t="shared" si="930"/>
        <v>630.90240000000244</v>
      </c>
      <c r="T4020" s="1">
        <f t="shared" si="931"/>
        <v>0</v>
      </c>
      <c r="U4020" s="1">
        <f t="shared" si="932"/>
        <v>0</v>
      </c>
      <c r="V4020" s="1">
        <f t="shared" si="933"/>
        <v>0</v>
      </c>
    </row>
    <row r="4021" spans="5:22" x14ac:dyDescent="0.25">
      <c r="E4021" s="4"/>
      <c r="M4021" s="4">
        <f t="shared" si="926"/>
        <v>173.1</v>
      </c>
      <c r="N4021" s="4"/>
      <c r="O4021" s="1">
        <f t="shared" si="927"/>
        <v>173.1</v>
      </c>
      <c r="P4021" s="1">
        <f t="shared" si="928"/>
        <v>0</v>
      </c>
      <c r="Q4021" s="1" t="str">
        <f t="shared" si="934"/>
        <v/>
      </c>
      <c r="R4021" s="1" t="str">
        <f t="shared" si="929"/>
        <v/>
      </c>
      <c r="S4021" s="1">
        <f t="shared" si="930"/>
        <v>630.90240000000244</v>
      </c>
      <c r="T4021" s="1">
        <f t="shared" si="931"/>
        <v>0</v>
      </c>
      <c r="U4021" s="1">
        <f t="shared" si="932"/>
        <v>0</v>
      </c>
      <c r="V4021" s="1">
        <f t="shared" si="933"/>
        <v>0</v>
      </c>
    </row>
    <row r="4022" spans="5:22" x14ac:dyDescent="0.25">
      <c r="E4022" s="4"/>
      <c r="M4022" s="4">
        <f t="shared" si="926"/>
        <v>173.1</v>
      </c>
      <c r="N4022" s="4"/>
      <c r="O4022" s="1">
        <f t="shared" si="927"/>
        <v>173.1</v>
      </c>
      <c r="P4022" s="1">
        <f t="shared" si="928"/>
        <v>0</v>
      </c>
      <c r="Q4022" s="1" t="str">
        <f t="shared" si="934"/>
        <v/>
      </c>
      <c r="R4022" s="1" t="str">
        <f t="shared" si="929"/>
        <v/>
      </c>
      <c r="S4022" s="1">
        <f t="shared" si="930"/>
        <v>630.90240000000244</v>
      </c>
      <c r="T4022" s="1">
        <f t="shared" si="931"/>
        <v>0</v>
      </c>
      <c r="U4022" s="1">
        <f t="shared" si="932"/>
        <v>0</v>
      </c>
      <c r="V4022" s="1">
        <f t="shared" si="933"/>
        <v>0</v>
      </c>
    </row>
    <row r="4023" spans="5:22" x14ac:dyDescent="0.25">
      <c r="E4023" s="4"/>
      <c r="M4023" s="4">
        <f t="shared" si="926"/>
        <v>173.1</v>
      </c>
      <c r="N4023" s="4"/>
      <c r="O4023" s="1">
        <f t="shared" si="927"/>
        <v>173.1</v>
      </c>
      <c r="P4023" s="1">
        <f t="shared" si="928"/>
        <v>0</v>
      </c>
      <c r="Q4023" s="1" t="str">
        <f t="shared" si="934"/>
        <v/>
      </c>
      <c r="R4023" s="1" t="str">
        <f t="shared" si="929"/>
        <v/>
      </c>
      <c r="S4023" s="1">
        <f t="shared" si="930"/>
        <v>630.90240000000244</v>
      </c>
      <c r="T4023" s="1">
        <f t="shared" si="931"/>
        <v>0</v>
      </c>
      <c r="U4023" s="1">
        <f t="shared" si="932"/>
        <v>0</v>
      </c>
      <c r="V4023" s="1">
        <f t="shared" si="933"/>
        <v>0</v>
      </c>
    </row>
    <row r="4024" spans="5:22" x14ac:dyDescent="0.25">
      <c r="E4024" s="4"/>
      <c r="M4024" s="4">
        <f t="shared" si="926"/>
        <v>173.1</v>
      </c>
      <c r="N4024" s="4"/>
      <c r="O4024" s="1">
        <f t="shared" si="927"/>
        <v>173.1</v>
      </c>
      <c r="P4024" s="1">
        <f t="shared" si="928"/>
        <v>0</v>
      </c>
      <c r="Q4024" s="1" t="str">
        <f t="shared" si="934"/>
        <v/>
      </c>
      <c r="R4024" s="1" t="str">
        <f t="shared" si="929"/>
        <v/>
      </c>
      <c r="S4024" s="1">
        <f t="shared" si="930"/>
        <v>630.90240000000244</v>
      </c>
      <c r="T4024" s="1">
        <f t="shared" si="931"/>
        <v>0</v>
      </c>
      <c r="U4024" s="1">
        <f t="shared" si="932"/>
        <v>0</v>
      </c>
      <c r="V4024" s="1">
        <f t="shared" si="933"/>
        <v>0</v>
      </c>
    </row>
    <row r="4025" spans="5:22" x14ac:dyDescent="0.25">
      <c r="E4025" s="4"/>
      <c r="M4025" s="4">
        <f t="shared" si="926"/>
        <v>173.1</v>
      </c>
      <c r="N4025" s="4"/>
      <c r="O4025" s="1">
        <f t="shared" si="927"/>
        <v>173.1</v>
      </c>
      <c r="P4025" s="1">
        <f t="shared" si="928"/>
        <v>0</v>
      </c>
      <c r="Q4025" s="1" t="str">
        <f t="shared" si="934"/>
        <v/>
      </c>
      <c r="R4025" s="1" t="str">
        <f t="shared" si="929"/>
        <v/>
      </c>
      <c r="S4025" s="1">
        <f t="shared" si="930"/>
        <v>630.90240000000244</v>
      </c>
      <c r="T4025" s="1">
        <f t="shared" si="931"/>
        <v>0</v>
      </c>
      <c r="U4025" s="1">
        <f t="shared" si="932"/>
        <v>0</v>
      </c>
      <c r="V4025" s="1">
        <f t="shared" si="933"/>
        <v>0</v>
      </c>
    </row>
    <row r="4026" spans="5:22" x14ac:dyDescent="0.25">
      <c r="E4026" s="4"/>
      <c r="M4026" s="4">
        <f t="shared" si="926"/>
        <v>173.1</v>
      </c>
      <c r="N4026" s="4"/>
      <c r="O4026" s="1">
        <f t="shared" si="927"/>
        <v>173.1</v>
      </c>
      <c r="P4026" s="1">
        <f t="shared" si="928"/>
        <v>0</v>
      </c>
      <c r="Q4026" s="1" t="str">
        <f t="shared" si="934"/>
        <v/>
      </c>
      <c r="R4026" s="1" t="str">
        <f t="shared" si="929"/>
        <v/>
      </c>
      <c r="S4026" s="1">
        <f t="shared" si="930"/>
        <v>630.90240000000244</v>
      </c>
      <c r="T4026" s="1">
        <f t="shared" si="931"/>
        <v>0</v>
      </c>
      <c r="U4026" s="1">
        <f t="shared" si="932"/>
        <v>0</v>
      </c>
      <c r="V4026" s="1">
        <f t="shared" si="933"/>
        <v>0</v>
      </c>
    </row>
    <row r="4027" spans="5:22" x14ac:dyDescent="0.25">
      <c r="E4027" s="4"/>
      <c r="M4027" s="4">
        <f t="shared" si="926"/>
        <v>173.1</v>
      </c>
      <c r="N4027" s="4"/>
      <c r="O4027" s="1">
        <f t="shared" si="927"/>
        <v>173.1</v>
      </c>
      <c r="P4027" s="1">
        <f t="shared" si="928"/>
        <v>0</v>
      </c>
      <c r="Q4027" s="1" t="str">
        <f t="shared" si="934"/>
        <v/>
      </c>
      <c r="R4027" s="1" t="str">
        <f t="shared" si="929"/>
        <v/>
      </c>
      <c r="S4027" s="1">
        <f t="shared" si="930"/>
        <v>630.90240000000244</v>
      </c>
      <c r="T4027" s="1">
        <f t="shared" si="931"/>
        <v>0</v>
      </c>
      <c r="U4027" s="1">
        <f t="shared" si="932"/>
        <v>0</v>
      </c>
      <c r="V4027" s="1">
        <f t="shared" si="933"/>
        <v>0</v>
      </c>
    </row>
    <row r="4028" spans="5:22" x14ac:dyDescent="0.25">
      <c r="E4028" s="4"/>
      <c r="M4028" s="4">
        <f t="shared" si="926"/>
        <v>173.1</v>
      </c>
      <c r="N4028" s="4"/>
      <c r="O4028" s="1">
        <f t="shared" si="927"/>
        <v>173.1</v>
      </c>
      <c r="P4028" s="1">
        <f t="shared" si="928"/>
        <v>0</v>
      </c>
      <c r="Q4028" s="1" t="str">
        <f t="shared" si="934"/>
        <v/>
      </c>
      <c r="R4028" s="1" t="str">
        <f t="shared" si="929"/>
        <v/>
      </c>
      <c r="S4028" s="1">
        <f t="shared" si="930"/>
        <v>630.90240000000244</v>
      </c>
      <c r="T4028" s="1">
        <f t="shared" si="931"/>
        <v>0</v>
      </c>
      <c r="U4028" s="1">
        <f t="shared" si="932"/>
        <v>0</v>
      </c>
      <c r="V4028" s="1">
        <f t="shared" si="933"/>
        <v>0</v>
      </c>
    </row>
    <row r="4029" spans="5:22" x14ac:dyDescent="0.25">
      <c r="E4029" s="4"/>
      <c r="M4029" s="4">
        <f t="shared" si="926"/>
        <v>173.1</v>
      </c>
      <c r="N4029" s="4"/>
      <c r="O4029" s="1">
        <f t="shared" si="927"/>
        <v>173.1</v>
      </c>
      <c r="P4029" s="1">
        <f t="shared" si="928"/>
        <v>0</v>
      </c>
      <c r="Q4029" s="1" t="str">
        <f t="shared" si="934"/>
        <v/>
      </c>
      <c r="R4029" s="1" t="str">
        <f t="shared" si="929"/>
        <v/>
      </c>
      <c r="S4029" s="1">
        <f t="shared" si="930"/>
        <v>630.90240000000244</v>
      </c>
      <c r="T4029" s="1">
        <f t="shared" si="931"/>
        <v>0</v>
      </c>
      <c r="U4029" s="1">
        <f t="shared" si="932"/>
        <v>0</v>
      </c>
      <c r="V4029" s="1">
        <f t="shared" si="933"/>
        <v>0</v>
      </c>
    </row>
    <row r="4030" spans="5:22" x14ac:dyDescent="0.25">
      <c r="E4030" s="4"/>
      <c r="M4030" s="4">
        <f t="shared" si="926"/>
        <v>173.1</v>
      </c>
      <c r="N4030" s="4"/>
      <c r="O4030" s="1">
        <f t="shared" si="927"/>
        <v>173.1</v>
      </c>
      <c r="P4030" s="1">
        <f t="shared" si="928"/>
        <v>0</v>
      </c>
      <c r="Q4030" s="1" t="str">
        <f t="shared" si="934"/>
        <v/>
      </c>
      <c r="R4030" s="1" t="str">
        <f t="shared" si="929"/>
        <v/>
      </c>
      <c r="S4030" s="1">
        <f t="shared" si="930"/>
        <v>630.90240000000244</v>
      </c>
      <c r="T4030" s="1">
        <f t="shared" si="931"/>
        <v>0</v>
      </c>
      <c r="U4030" s="1">
        <f t="shared" si="932"/>
        <v>0</v>
      </c>
      <c r="V4030" s="1">
        <f t="shared" si="933"/>
        <v>0</v>
      </c>
    </row>
    <row r="4031" spans="5:22" x14ac:dyDescent="0.25">
      <c r="E4031" s="4"/>
      <c r="M4031" s="4">
        <f t="shared" si="926"/>
        <v>173.1</v>
      </c>
      <c r="N4031" s="4"/>
      <c r="O4031" s="1">
        <f t="shared" si="927"/>
        <v>173.1</v>
      </c>
      <c r="P4031" s="1">
        <f t="shared" si="928"/>
        <v>0</v>
      </c>
      <c r="Q4031" s="1" t="str">
        <f t="shared" si="934"/>
        <v/>
      </c>
      <c r="R4031" s="1" t="str">
        <f t="shared" si="929"/>
        <v/>
      </c>
      <c r="S4031" s="1">
        <f t="shared" si="930"/>
        <v>630.90240000000244</v>
      </c>
      <c r="T4031" s="1">
        <f t="shared" si="931"/>
        <v>0</v>
      </c>
      <c r="U4031" s="1">
        <f t="shared" si="932"/>
        <v>0</v>
      </c>
      <c r="V4031" s="1">
        <f t="shared" si="933"/>
        <v>0</v>
      </c>
    </row>
    <row r="4032" spans="5:22" x14ac:dyDescent="0.25">
      <c r="E4032" s="4"/>
      <c r="M4032" s="4">
        <f t="shared" si="926"/>
        <v>173.1</v>
      </c>
      <c r="N4032" s="4"/>
      <c r="O4032" s="1">
        <f t="shared" si="927"/>
        <v>173.1</v>
      </c>
      <c r="P4032" s="1">
        <f t="shared" si="928"/>
        <v>0</v>
      </c>
      <c r="Q4032" s="1" t="str">
        <f t="shared" si="934"/>
        <v/>
      </c>
      <c r="R4032" s="1" t="str">
        <f t="shared" si="929"/>
        <v/>
      </c>
      <c r="S4032" s="1">
        <f t="shared" si="930"/>
        <v>630.90240000000244</v>
      </c>
      <c r="T4032" s="1">
        <f t="shared" si="931"/>
        <v>0</v>
      </c>
      <c r="U4032" s="1">
        <f t="shared" si="932"/>
        <v>0</v>
      </c>
      <c r="V4032" s="1">
        <f t="shared" si="933"/>
        <v>0</v>
      </c>
    </row>
    <row r="4033" spans="5:22" x14ac:dyDescent="0.25">
      <c r="E4033" s="4"/>
      <c r="M4033" s="4">
        <f t="shared" si="926"/>
        <v>173.1</v>
      </c>
      <c r="N4033" s="4"/>
      <c r="O4033" s="1">
        <f t="shared" si="927"/>
        <v>173.1</v>
      </c>
      <c r="P4033" s="1">
        <f t="shared" si="928"/>
        <v>0</v>
      </c>
      <c r="Q4033" s="1" t="str">
        <f t="shared" si="934"/>
        <v/>
      </c>
      <c r="R4033" s="1" t="str">
        <f t="shared" si="929"/>
        <v/>
      </c>
      <c r="S4033" s="1">
        <f t="shared" si="930"/>
        <v>630.90240000000244</v>
      </c>
      <c r="T4033" s="1">
        <f t="shared" si="931"/>
        <v>0</v>
      </c>
      <c r="U4033" s="1">
        <f t="shared" si="932"/>
        <v>0</v>
      </c>
      <c r="V4033" s="1">
        <f t="shared" si="933"/>
        <v>0</v>
      </c>
    </row>
    <row r="4034" spans="5:22" x14ac:dyDescent="0.25">
      <c r="E4034" s="4"/>
      <c r="M4034" s="4">
        <f t="shared" si="926"/>
        <v>173.1</v>
      </c>
      <c r="N4034" s="4"/>
      <c r="O4034" s="1">
        <f t="shared" si="927"/>
        <v>173.1</v>
      </c>
      <c r="P4034" s="1">
        <f t="shared" si="928"/>
        <v>0</v>
      </c>
      <c r="Q4034" s="1" t="str">
        <f t="shared" si="934"/>
        <v/>
      </c>
      <c r="R4034" s="1" t="str">
        <f t="shared" si="929"/>
        <v/>
      </c>
      <c r="S4034" s="1">
        <f t="shared" si="930"/>
        <v>630.90240000000244</v>
      </c>
      <c r="T4034" s="1">
        <f t="shared" si="931"/>
        <v>0</v>
      </c>
      <c r="U4034" s="1">
        <f t="shared" si="932"/>
        <v>0</v>
      </c>
      <c r="V4034" s="1">
        <f t="shared" si="933"/>
        <v>0</v>
      </c>
    </row>
    <row r="4035" spans="5:22" x14ac:dyDescent="0.25">
      <c r="E4035" s="4"/>
      <c r="M4035" s="4">
        <f t="shared" si="926"/>
        <v>173.1</v>
      </c>
      <c r="N4035" s="4"/>
      <c r="O4035" s="1">
        <f t="shared" si="927"/>
        <v>173.1</v>
      </c>
      <c r="P4035" s="1">
        <f t="shared" si="928"/>
        <v>0</v>
      </c>
      <c r="Q4035" s="1" t="str">
        <f t="shared" si="934"/>
        <v/>
      </c>
      <c r="R4035" s="1" t="str">
        <f t="shared" si="929"/>
        <v/>
      </c>
      <c r="S4035" s="1">
        <f t="shared" si="930"/>
        <v>630.90240000000244</v>
      </c>
      <c r="T4035" s="1">
        <f t="shared" si="931"/>
        <v>0</v>
      </c>
      <c r="U4035" s="1">
        <f t="shared" si="932"/>
        <v>0</v>
      </c>
      <c r="V4035" s="1">
        <f t="shared" si="933"/>
        <v>0</v>
      </c>
    </row>
    <row r="4036" spans="5:22" x14ac:dyDescent="0.25">
      <c r="E4036" s="4"/>
      <c r="M4036" s="4">
        <f t="shared" si="926"/>
        <v>173.1</v>
      </c>
      <c r="N4036" s="4"/>
      <c r="O4036" s="1">
        <f t="shared" si="927"/>
        <v>173.1</v>
      </c>
      <c r="P4036" s="1">
        <f t="shared" si="928"/>
        <v>0</v>
      </c>
      <c r="Q4036" s="1" t="str">
        <f t="shared" si="934"/>
        <v/>
      </c>
      <c r="R4036" s="1" t="str">
        <f t="shared" si="929"/>
        <v/>
      </c>
      <c r="S4036" s="1">
        <f t="shared" si="930"/>
        <v>630.90240000000244</v>
      </c>
      <c r="T4036" s="1">
        <f t="shared" si="931"/>
        <v>0</v>
      </c>
      <c r="U4036" s="1">
        <f t="shared" si="932"/>
        <v>0</v>
      </c>
      <c r="V4036" s="1">
        <f t="shared" si="933"/>
        <v>0</v>
      </c>
    </row>
    <row r="4037" spans="5:22" x14ac:dyDescent="0.25">
      <c r="E4037" s="4"/>
      <c r="M4037" s="4">
        <f t="shared" si="926"/>
        <v>173.1</v>
      </c>
      <c r="N4037" s="4"/>
      <c r="O4037" s="1">
        <f t="shared" si="927"/>
        <v>173.1</v>
      </c>
      <c r="P4037" s="1">
        <f t="shared" si="928"/>
        <v>0</v>
      </c>
      <c r="Q4037" s="1" t="str">
        <f t="shared" si="934"/>
        <v/>
      </c>
      <c r="R4037" s="1" t="str">
        <f t="shared" si="929"/>
        <v/>
      </c>
      <c r="S4037" s="1">
        <f t="shared" si="930"/>
        <v>630.90240000000244</v>
      </c>
      <c r="T4037" s="1">
        <f t="shared" si="931"/>
        <v>0</v>
      </c>
      <c r="U4037" s="1">
        <f t="shared" si="932"/>
        <v>0</v>
      </c>
      <c r="V4037" s="1">
        <f t="shared" si="933"/>
        <v>0</v>
      </c>
    </row>
    <row r="4038" spans="5:22" x14ac:dyDescent="0.25">
      <c r="E4038" s="4"/>
      <c r="M4038" s="4">
        <f t="shared" si="926"/>
        <v>173.1</v>
      </c>
      <c r="N4038" s="4"/>
      <c r="O4038" s="1">
        <f t="shared" si="927"/>
        <v>173.1</v>
      </c>
      <c r="P4038" s="1">
        <f t="shared" si="928"/>
        <v>0</v>
      </c>
      <c r="Q4038" s="1" t="str">
        <f t="shared" si="934"/>
        <v/>
      </c>
      <c r="R4038" s="1" t="str">
        <f t="shared" si="929"/>
        <v/>
      </c>
      <c r="S4038" s="1">
        <f t="shared" si="930"/>
        <v>630.90240000000244</v>
      </c>
      <c r="T4038" s="1">
        <f t="shared" si="931"/>
        <v>0</v>
      </c>
      <c r="U4038" s="1">
        <f t="shared" si="932"/>
        <v>0</v>
      </c>
      <c r="V4038" s="1">
        <f t="shared" si="933"/>
        <v>0</v>
      </c>
    </row>
    <row r="4039" spans="5:22" x14ac:dyDescent="0.25">
      <c r="E4039" s="4"/>
      <c r="M4039" s="4">
        <f t="shared" si="926"/>
        <v>173.1</v>
      </c>
      <c r="N4039" s="4"/>
      <c r="O4039" s="1">
        <f t="shared" si="927"/>
        <v>173.1</v>
      </c>
      <c r="P4039" s="1">
        <f t="shared" si="928"/>
        <v>0</v>
      </c>
      <c r="Q4039" s="1" t="str">
        <f t="shared" si="934"/>
        <v/>
      </c>
      <c r="R4039" s="1" t="str">
        <f t="shared" si="929"/>
        <v/>
      </c>
      <c r="S4039" s="1">
        <f t="shared" si="930"/>
        <v>630.90240000000244</v>
      </c>
      <c r="T4039" s="1">
        <f t="shared" si="931"/>
        <v>0</v>
      </c>
      <c r="U4039" s="1">
        <f t="shared" si="932"/>
        <v>0</v>
      </c>
      <c r="V4039" s="1">
        <f t="shared" si="933"/>
        <v>0</v>
      </c>
    </row>
    <row r="4040" spans="5:22" x14ac:dyDescent="0.25">
      <c r="E4040" s="4"/>
      <c r="M4040" s="4">
        <f t="shared" ref="M4040:M4103" si="935">E4040+M4039</f>
        <v>173.1</v>
      </c>
      <c r="N4040" s="4"/>
      <c r="O4040" s="1">
        <f t="shared" ref="O4040:O4103" si="936">E4039+O4039</f>
        <v>173.1</v>
      </c>
      <c r="P4040" s="1">
        <f t="shared" ref="P4040:P4103" si="937">F4040*52.8*E4040</f>
        <v>0</v>
      </c>
      <c r="Q4040" s="1" t="str">
        <f t="shared" si="934"/>
        <v/>
      </c>
      <c r="R4040" s="1" t="str">
        <f t="shared" ref="R4040:R4103" si="938">IF(I4040="",Q4040,IF(AND(H4040=H4039,I4040=I4039),"",I4040))</f>
        <v/>
      </c>
      <c r="S4040" s="1">
        <f t="shared" ref="S4040:S4103" si="939">S4039+U4039*T4039/100</f>
        <v>630.90240000000244</v>
      </c>
      <c r="T4040" s="1">
        <f t="shared" ref="T4040:T4103" si="940">IF(G4040="UNK",0,G4040)</f>
        <v>0</v>
      </c>
      <c r="U4040" s="1">
        <f t="shared" ref="U4040:U4103" si="941">E4040*5280</f>
        <v>0</v>
      </c>
      <c r="V4040" s="1">
        <f t="shared" ref="V4040:V4103" si="942">ABS(T4040*U4040)</f>
        <v>0</v>
      </c>
    </row>
    <row r="4041" spans="5:22" x14ac:dyDescent="0.25">
      <c r="E4041" s="4"/>
      <c r="M4041" s="4">
        <f t="shared" si="935"/>
        <v>173.1</v>
      </c>
      <c r="N4041" s="4"/>
      <c r="O4041" s="1">
        <f t="shared" si="936"/>
        <v>173.1</v>
      </c>
      <c r="P4041" s="1">
        <f t="shared" si="937"/>
        <v>0</v>
      </c>
      <c r="Q4041" s="1" t="str">
        <f t="shared" si="934"/>
        <v/>
      </c>
      <c r="R4041" s="1" t="str">
        <f t="shared" si="938"/>
        <v/>
      </c>
      <c r="S4041" s="1">
        <f t="shared" si="939"/>
        <v>630.90240000000244</v>
      </c>
      <c r="T4041" s="1">
        <f t="shared" si="940"/>
        <v>0</v>
      </c>
      <c r="U4041" s="1">
        <f t="shared" si="941"/>
        <v>0</v>
      </c>
      <c r="V4041" s="1">
        <f t="shared" si="942"/>
        <v>0</v>
      </c>
    </row>
    <row r="4042" spans="5:22" x14ac:dyDescent="0.25">
      <c r="E4042" s="4"/>
      <c r="M4042" s="4">
        <f t="shared" si="935"/>
        <v>173.1</v>
      </c>
      <c r="N4042" s="4"/>
      <c r="O4042" s="1">
        <f t="shared" si="936"/>
        <v>173.1</v>
      </c>
      <c r="P4042" s="1">
        <f t="shared" si="937"/>
        <v>0</v>
      </c>
      <c r="Q4042" s="1" t="str">
        <f t="shared" si="934"/>
        <v/>
      </c>
      <c r="R4042" s="1" t="str">
        <f t="shared" si="938"/>
        <v/>
      </c>
      <c r="S4042" s="1">
        <f t="shared" si="939"/>
        <v>630.90240000000244</v>
      </c>
      <c r="T4042" s="1">
        <f t="shared" si="940"/>
        <v>0</v>
      </c>
      <c r="U4042" s="1">
        <f t="shared" si="941"/>
        <v>0</v>
      </c>
      <c r="V4042" s="1">
        <f t="shared" si="942"/>
        <v>0</v>
      </c>
    </row>
    <row r="4043" spans="5:22" x14ac:dyDescent="0.25">
      <c r="E4043" s="4"/>
      <c r="M4043" s="4">
        <f t="shared" si="935"/>
        <v>173.1</v>
      </c>
      <c r="N4043" s="4"/>
      <c r="O4043" s="1">
        <f t="shared" si="936"/>
        <v>173.1</v>
      </c>
      <c r="P4043" s="1">
        <f t="shared" si="937"/>
        <v>0</v>
      </c>
      <c r="Q4043" s="1" t="str">
        <f t="shared" si="934"/>
        <v/>
      </c>
      <c r="R4043" s="1" t="str">
        <f t="shared" si="938"/>
        <v/>
      </c>
      <c r="S4043" s="1">
        <f t="shared" si="939"/>
        <v>630.90240000000244</v>
      </c>
      <c r="T4043" s="1">
        <f t="shared" si="940"/>
        <v>0</v>
      </c>
      <c r="U4043" s="1">
        <f t="shared" si="941"/>
        <v>0</v>
      </c>
      <c r="V4043" s="1">
        <f t="shared" si="942"/>
        <v>0</v>
      </c>
    </row>
    <row r="4044" spans="5:22" x14ac:dyDescent="0.25">
      <c r="E4044" s="4"/>
      <c r="M4044" s="4">
        <f t="shared" si="935"/>
        <v>173.1</v>
      </c>
      <c r="N4044" s="4"/>
      <c r="O4044" s="1">
        <f t="shared" si="936"/>
        <v>173.1</v>
      </c>
      <c r="P4044" s="1">
        <f t="shared" si="937"/>
        <v>0</v>
      </c>
      <c r="Q4044" s="1" t="str">
        <f t="shared" si="934"/>
        <v/>
      </c>
      <c r="R4044" s="1" t="str">
        <f t="shared" si="938"/>
        <v/>
      </c>
      <c r="S4044" s="1">
        <f t="shared" si="939"/>
        <v>630.90240000000244</v>
      </c>
      <c r="T4044" s="1">
        <f t="shared" si="940"/>
        <v>0</v>
      </c>
      <c r="U4044" s="1">
        <f t="shared" si="941"/>
        <v>0</v>
      </c>
      <c r="V4044" s="1">
        <f t="shared" si="942"/>
        <v>0</v>
      </c>
    </row>
    <row r="4045" spans="5:22" x14ac:dyDescent="0.25">
      <c r="E4045" s="4"/>
      <c r="M4045" s="4">
        <f t="shared" si="935"/>
        <v>173.1</v>
      </c>
      <c r="N4045" s="4"/>
      <c r="O4045" s="1">
        <f t="shared" si="936"/>
        <v>173.1</v>
      </c>
      <c r="P4045" s="1">
        <f t="shared" si="937"/>
        <v>0</v>
      </c>
      <c r="Q4045" s="1" t="str">
        <f t="shared" si="934"/>
        <v/>
      </c>
      <c r="R4045" s="1" t="str">
        <f t="shared" si="938"/>
        <v/>
      </c>
      <c r="S4045" s="1">
        <f t="shared" si="939"/>
        <v>630.90240000000244</v>
      </c>
      <c r="T4045" s="1">
        <f t="shared" si="940"/>
        <v>0</v>
      </c>
      <c r="U4045" s="1">
        <f t="shared" si="941"/>
        <v>0</v>
      </c>
      <c r="V4045" s="1">
        <f t="shared" si="942"/>
        <v>0</v>
      </c>
    </row>
    <row r="4046" spans="5:22" x14ac:dyDescent="0.25">
      <c r="E4046" s="4"/>
      <c r="M4046" s="4">
        <f t="shared" si="935"/>
        <v>173.1</v>
      </c>
      <c r="N4046" s="4"/>
      <c r="O4046" s="1">
        <f t="shared" si="936"/>
        <v>173.1</v>
      </c>
      <c r="P4046" s="1">
        <f t="shared" si="937"/>
        <v>0</v>
      </c>
      <c r="Q4046" s="1" t="str">
        <f t="shared" si="934"/>
        <v/>
      </c>
      <c r="R4046" s="1" t="str">
        <f t="shared" si="938"/>
        <v/>
      </c>
      <c r="S4046" s="1">
        <f t="shared" si="939"/>
        <v>630.90240000000244</v>
      </c>
      <c r="T4046" s="1">
        <f t="shared" si="940"/>
        <v>0</v>
      </c>
      <c r="U4046" s="1">
        <f t="shared" si="941"/>
        <v>0</v>
      </c>
      <c r="V4046" s="1">
        <f t="shared" si="942"/>
        <v>0</v>
      </c>
    </row>
    <row r="4047" spans="5:22" x14ac:dyDescent="0.25">
      <c r="E4047" s="4"/>
      <c r="M4047" s="4">
        <f t="shared" si="935"/>
        <v>173.1</v>
      </c>
      <c r="N4047" s="4"/>
      <c r="O4047" s="1">
        <f t="shared" si="936"/>
        <v>173.1</v>
      </c>
      <c r="P4047" s="1">
        <f t="shared" si="937"/>
        <v>0</v>
      </c>
      <c r="Q4047" s="1" t="str">
        <f t="shared" si="934"/>
        <v/>
      </c>
      <c r="R4047" s="1" t="str">
        <f t="shared" si="938"/>
        <v/>
      </c>
      <c r="S4047" s="1">
        <f t="shared" si="939"/>
        <v>630.90240000000244</v>
      </c>
      <c r="T4047" s="1">
        <f t="shared" si="940"/>
        <v>0</v>
      </c>
      <c r="U4047" s="1">
        <f t="shared" si="941"/>
        <v>0</v>
      </c>
      <c r="V4047" s="1">
        <f t="shared" si="942"/>
        <v>0</v>
      </c>
    </row>
    <row r="4048" spans="5:22" x14ac:dyDescent="0.25">
      <c r="E4048" s="4"/>
      <c r="M4048" s="4">
        <f t="shared" si="935"/>
        <v>173.1</v>
      </c>
      <c r="N4048" s="4"/>
      <c r="O4048" s="1">
        <f t="shared" si="936"/>
        <v>173.1</v>
      </c>
      <c r="P4048" s="1">
        <f t="shared" si="937"/>
        <v>0</v>
      </c>
      <c r="Q4048" s="1" t="str">
        <f t="shared" si="934"/>
        <v/>
      </c>
      <c r="R4048" s="1" t="str">
        <f t="shared" si="938"/>
        <v/>
      </c>
      <c r="S4048" s="1">
        <f t="shared" si="939"/>
        <v>630.90240000000244</v>
      </c>
      <c r="T4048" s="1">
        <f t="shared" si="940"/>
        <v>0</v>
      </c>
      <c r="U4048" s="1">
        <f t="shared" si="941"/>
        <v>0</v>
      </c>
      <c r="V4048" s="1">
        <f t="shared" si="942"/>
        <v>0</v>
      </c>
    </row>
    <row r="4049" spans="5:22" x14ac:dyDescent="0.25">
      <c r="E4049" s="4"/>
      <c r="M4049" s="4">
        <f t="shared" si="935"/>
        <v>173.1</v>
      </c>
      <c r="N4049" s="4"/>
      <c r="O4049" s="1">
        <f t="shared" si="936"/>
        <v>173.1</v>
      </c>
      <c r="P4049" s="1">
        <f t="shared" si="937"/>
        <v>0</v>
      </c>
      <c r="Q4049" s="1" t="str">
        <f t="shared" si="934"/>
        <v/>
      </c>
      <c r="R4049" s="1" t="str">
        <f t="shared" si="938"/>
        <v/>
      </c>
      <c r="S4049" s="1">
        <f t="shared" si="939"/>
        <v>630.90240000000244</v>
      </c>
      <c r="T4049" s="1">
        <f t="shared" si="940"/>
        <v>0</v>
      </c>
      <c r="U4049" s="1">
        <f t="shared" si="941"/>
        <v>0</v>
      </c>
      <c r="V4049" s="1">
        <f t="shared" si="942"/>
        <v>0</v>
      </c>
    </row>
    <row r="4050" spans="5:22" x14ac:dyDescent="0.25">
      <c r="E4050" s="4"/>
      <c r="M4050" s="4">
        <f t="shared" si="935"/>
        <v>173.1</v>
      </c>
      <c r="N4050" s="4"/>
      <c r="O4050" s="1">
        <f t="shared" si="936"/>
        <v>173.1</v>
      </c>
      <c r="P4050" s="1">
        <f t="shared" si="937"/>
        <v>0</v>
      </c>
      <c r="Q4050" s="1" t="str">
        <f t="shared" si="934"/>
        <v/>
      </c>
      <c r="R4050" s="1" t="str">
        <f t="shared" si="938"/>
        <v/>
      </c>
      <c r="S4050" s="1">
        <f t="shared" si="939"/>
        <v>630.90240000000244</v>
      </c>
      <c r="T4050" s="1">
        <f t="shared" si="940"/>
        <v>0</v>
      </c>
      <c r="U4050" s="1">
        <f t="shared" si="941"/>
        <v>0</v>
      </c>
      <c r="V4050" s="1">
        <f t="shared" si="942"/>
        <v>0</v>
      </c>
    </row>
    <row r="4051" spans="5:22" x14ac:dyDescent="0.25">
      <c r="E4051" s="4"/>
      <c r="M4051" s="4">
        <f t="shared" si="935"/>
        <v>173.1</v>
      </c>
      <c r="N4051" s="4"/>
      <c r="O4051" s="1">
        <f t="shared" si="936"/>
        <v>173.1</v>
      </c>
      <c r="P4051" s="1">
        <f t="shared" si="937"/>
        <v>0</v>
      </c>
      <c r="Q4051" s="1" t="str">
        <f t="shared" si="934"/>
        <v/>
      </c>
      <c r="R4051" s="1" t="str">
        <f t="shared" si="938"/>
        <v/>
      </c>
      <c r="S4051" s="1">
        <f t="shared" si="939"/>
        <v>630.90240000000244</v>
      </c>
      <c r="T4051" s="1">
        <f t="shared" si="940"/>
        <v>0</v>
      </c>
      <c r="U4051" s="1">
        <f t="shared" si="941"/>
        <v>0</v>
      </c>
      <c r="V4051" s="1">
        <f t="shared" si="942"/>
        <v>0</v>
      </c>
    </row>
    <row r="4052" spans="5:22" x14ac:dyDescent="0.25">
      <c r="E4052" s="4"/>
      <c r="M4052" s="4">
        <f t="shared" si="935"/>
        <v>173.1</v>
      </c>
      <c r="N4052" s="4"/>
      <c r="O4052" s="1">
        <f t="shared" si="936"/>
        <v>173.1</v>
      </c>
      <c r="P4052" s="1">
        <f t="shared" si="937"/>
        <v>0</v>
      </c>
      <c r="Q4052" s="1" t="str">
        <f t="shared" si="934"/>
        <v/>
      </c>
      <c r="R4052" s="1" t="str">
        <f t="shared" si="938"/>
        <v/>
      </c>
      <c r="S4052" s="1">
        <f t="shared" si="939"/>
        <v>630.90240000000244</v>
      </c>
      <c r="T4052" s="1">
        <f t="shared" si="940"/>
        <v>0</v>
      </c>
      <c r="U4052" s="1">
        <f t="shared" si="941"/>
        <v>0</v>
      </c>
      <c r="V4052" s="1">
        <f t="shared" si="942"/>
        <v>0</v>
      </c>
    </row>
    <row r="4053" spans="5:22" x14ac:dyDescent="0.25">
      <c r="E4053" s="4"/>
      <c r="M4053" s="4">
        <f t="shared" si="935"/>
        <v>173.1</v>
      </c>
      <c r="N4053" s="4"/>
      <c r="O4053" s="1">
        <f t="shared" si="936"/>
        <v>173.1</v>
      </c>
      <c r="P4053" s="1">
        <f t="shared" si="937"/>
        <v>0</v>
      </c>
      <c r="Q4053" s="1" t="str">
        <f t="shared" si="934"/>
        <v/>
      </c>
      <c r="R4053" s="1" t="str">
        <f t="shared" si="938"/>
        <v/>
      </c>
      <c r="S4053" s="1">
        <f t="shared" si="939"/>
        <v>630.90240000000244</v>
      </c>
      <c r="T4053" s="1">
        <f t="shared" si="940"/>
        <v>0</v>
      </c>
      <c r="U4053" s="1">
        <f t="shared" si="941"/>
        <v>0</v>
      </c>
      <c r="V4053" s="1">
        <f t="shared" si="942"/>
        <v>0</v>
      </c>
    </row>
    <row r="4054" spans="5:22" x14ac:dyDescent="0.25">
      <c r="E4054" s="4"/>
      <c r="M4054" s="4">
        <f t="shared" si="935"/>
        <v>173.1</v>
      </c>
      <c r="N4054" s="4"/>
      <c r="O4054" s="1">
        <f t="shared" si="936"/>
        <v>173.1</v>
      </c>
      <c r="P4054" s="1">
        <f t="shared" si="937"/>
        <v>0</v>
      </c>
      <c r="Q4054" s="1" t="str">
        <f t="shared" si="934"/>
        <v/>
      </c>
      <c r="R4054" s="1" t="str">
        <f t="shared" si="938"/>
        <v/>
      </c>
      <c r="S4054" s="1">
        <f t="shared" si="939"/>
        <v>630.90240000000244</v>
      </c>
      <c r="T4054" s="1">
        <f t="shared" si="940"/>
        <v>0</v>
      </c>
      <c r="U4054" s="1">
        <f t="shared" si="941"/>
        <v>0</v>
      </c>
      <c r="V4054" s="1">
        <f t="shared" si="942"/>
        <v>0</v>
      </c>
    </row>
    <row r="4055" spans="5:22" x14ac:dyDescent="0.25">
      <c r="E4055" s="4"/>
      <c r="M4055" s="4">
        <f t="shared" si="935"/>
        <v>173.1</v>
      </c>
      <c r="N4055" s="4"/>
      <c r="O4055" s="1">
        <f t="shared" si="936"/>
        <v>173.1</v>
      </c>
      <c r="P4055" s="1">
        <f t="shared" si="937"/>
        <v>0</v>
      </c>
      <c r="Q4055" s="1" t="str">
        <f t="shared" si="934"/>
        <v/>
      </c>
      <c r="R4055" s="1" t="str">
        <f t="shared" si="938"/>
        <v/>
      </c>
      <c r="S4055" s="1">
        <f t="shared" si="939"/>
        <v>630.90240000000244</v>
      </c>
      <c r="T4055" s="1">
        <f t="shared" si="940"/>
        <v>0</v>
      </c>
      <c r="U4055" s="1">
        <f t="shared" si="941"/>
        <v>0</v>
      </c>
      <c r="V4055" s="1">
        <f t="shared" si="942"/>
        <v>0</v>
      </c>
    </row>
    <row r="4056" spans="5:22" x14ac:dyDescent="0.25">
      <c r="E4056" s="4"/>
      <c r="M4056" s="4">
        <f t="shared" si="935"/>
        <v>173.1</v>
      </c>
      <c r="N4056" s="4"/>
      <c r="O4056" s="1">
        <f t="shared" si="936"/>
        <v>173.1</v>
      </c>
      <c r="P4056" s="1">
        <f t="shared" si="937"/>
        <v>0</v>
      </c>
      <c r="Q4056" s="1" t="str">
        <f t="shared" si="934"/>
        <v/>
      </c>
      <c r="R4056" s="1" t="str">
        <f t="shared" si="938"/>
        <v/>
      </c>
      <c r="S4056" s="1">
        <f t="shared" si="939"/>
        <v>630.90240000000244</v>
      </c>
      <c r="T4056" s="1">
        <f t="shared" si="940"/>
        <v>0</v>
      </c>
      <c r="U4056" s="1">
        <f t="shared" si="941"/>
        <v>0</v>
      </c>
      <c r="V4056" s="1">
        <f t="shared" si="942"/>
        <v>0</v>
      </c>
    </row>
    <row r="4057" spans="5:22" x14ac:dyDescent="0.25">
      <c r="E4057" s="4"/>
      <c r="M4057" s="4">
        <f t="shared" si="935"/>
        <v>173.1</v>
      </c>
      <c r="N4057" s="4"/>
      <c r="O4057" s="1">
        <f t="shared" si="936"/>
        <v>173.1</v>
      </c>
      <c r="P4057" s="1">
        <f t="shared" si="937"/>
        <v>0</v>
      </c>
      <c r="Q4057" s="1" t="str">
        <f t="shared" si="934"/>
        <v/>
      </c>
      <c r="R4057" s="1" t="str">
        <f t="shared" si="938"/>
        <v/>
      </c>
      <c r="S4057" s="1">
        <f t="shared" si="939"/>
        <v>630.90240000000244</v>
      </c>
      <c r="T4057" s="1">
        <f t="shared" si="940"/>
        <v>0</v>
      </c>
      <c r="U4057" s="1">
        <f t="shared" si="941"/>
        <v>0</v>
      </c>
      <c r="V4057" s="1">
        <f t="shared" si="942"/>
        <v>0</v>
      </c>
    </row>
    <row r="4058" spans="5:22" x14ac:dyDescent="0.25">
      <c r="E4058" s="4"/>
      <c r="M4058" s="4">
        <f t="shared" si="935"/>
        <v>173.1</v>
      </c>
      <c r="N4058" s="4"/>
      <c r="O4058" s="1">
        <f t="shared" si="936"/>
        <v>173.1</v>
      </c>
      <c r="P4058" s="1">
        <f t="shared" si="937"/>
        <v>0</v>
      </c>
      <c r="Q4058" s="1" t="str">
        <f t="shared" si="934"/>
        <v/>
      </c>
      <c r="R4058" s="1" t="str">
        <f t="shared" si="938"/>
        <v/>
      </c>
      <c r="S4058" s="1">
        <f t="shared" si="939"/>
        <v>630.90240000000244</v>
      </c>
      <c r="T4058" s="1">
        <f t="shared" si="940"/>
        <v>0</v>
      </c>
      <c r="U4058" s="1">
        <f t="shared" si="941"/>
        <v>0</v>
      </c>
      <c r="V4058" s="1">
        <f t="shared" si="942"/>
        <v>0</v>
      </c>
    </row>
    <row r="4059" spans="5:22" x14ac:dyDescent="0.25">
      <c r="E4059" s="4"/>
      <c r="M4059" s="4">
        <f t="shared" si="935"/>
        <v>173.1</v>
      </c>
      <c r="N4059" s="4"/>
      <c r="O4059" s="1">
        <f t="shared" si="936"/>
        <v>173.1</v>
      </c>
      <c r="P4059" s="1">
        <f t="shared" si="937"/>
        <v>0</v>
      </c>
      <c r="Q4059" s="1" t="str">
        <f t="shared" si="934"/>
        <v/>
      </c>
      <c r="R4059" s="1" t="str">
        <f t="shared" si="938"/>
        <v/>
      </c>
      <c r="S4059" s="1">
        <f t="shared" si="939"/>
        <v>630.90240000000244</v>
      </c>
      <c r="T4059" s="1">
        <f t="shared" si="940"/>
        <v>0</v>
      </c>
      <c r="U4059" s="1">
        <f t="shared" si="941"/>
        <v>0</v>
      </c>
      <c r="V4059" s="1">
        <f t="shared" si="942"/>
        <v>0</v>
      </c>
    </row>
    <row r="4060" spans="5:22" x14ac:dyDescent="0.25">
      <c r="E4060" s="4"/>
      <c r="M4060" s="4">
        <f t="shared" si="935"/>
        <v>173.1</v>
      </c>
      <c r="N4060" s="4"/>
      <c r="O4060" s="1">
        <f t="shared" si="936"/>
        <v>173.1</v>
      </c>
      <c r="P4060" s="1">
        <f t="shared" si="937"/>
        <v>0</v>
      </c>
      <c r="Q4060" s="1" t="str">
        <f t="shared" si="934"/>
        <v/>
      </c>
      <c r="R4060" s="1" t="str">
        <f t="shared" si="938"/>
        <v/>
      </c>
      <c r="S4060" s="1">
        <f t="shared" si="939"/>
        <v>630.90240000000244</v>
      </c>
      <c r="T4060" s="1">
        <f t="shared" si="940"/>
        <v>0</v>
      </c>
      <c r="U4060" s="1">
        <f t="shared" si="941"/>
        <v>0</v>
      </c>
      <c r="V4060" s="1">
        <f t="shared" si="942"/>
        <v>0</v>
      </c>
    </row>
    <row r="4061" spans="5:22" x14ac:dyDescent="0.25">
      <c r="E4061" s="4"/>
      <c r="M4061" s="4">
        <f t="shared" si="935"/>
        <v>173.1</v>
      </c>
      <c r="N4061" s="4"/>
      <c r="O4061" s="1">
        <f t="shared" si="936"/>
        <v>173.1</v>
      </c>
      <c r="P4061" s="1">
        <f t="shared" si="937"/>
        <v>0</v>
      </c>
      <c r="Q4061" s="1" t="str">
        <f t="shared" si="934"/>
        <v/>
      </c>
      <c r="R4061" s="1" t="str">
        <f t="shared" si="938"/>
        <v/>
      </c>
      <c r="S4061" s="1">
        <f t="shared" si="939"/>
        <v>630.90240000000244</v>
      </c>
      <c r="T4061" s="1">
        <f t="shared" si="940"/>
        <v>0</v>
      </c>
      <c r="U4061" s="1">
        <f t="shared" si="941"/>
        <v>0</v>
      </c>
      <c r="V4061" s="1">
        <f t="shared" si="942"/>
        <v>0</v>
      </c>
    </row>
    <row r="4062" spans="5:22" x14ac:dyDescent="0.25">
      <c r="E4062" s="4"/>
      <c r="M4062" s="4">
        <f t="shared" si="935"/>
        <v>173.1</v>
      </c>
      <c r="N4062" s="4"/>
      <c r="O4062" s="1">
        <f t="shared" si="936"/>
        <v>173.1</v>
      </c>
      <c r="P4062" s="1">
        <f t="shared" si="937"/>
        <v>0</v>
      </c>
      <c r="Q4062" s="1" t="str">
        <f t="shared" si="934"/>
        <v/>
      </c>
      <c r="R4062" s="1" t="str">
        <f t="shared" si="938"/>
        <v/>
      </c>
      <c r="S4062" s="1">
        <f t="shared" si="939"/>
        <v>630.90240000000244</v>
      </c>
      <c r="T4062" s="1">
        <f t="shared" si="940"/>
        <v>0</v>
      </c>
      <c r="U4062" s="1">
        <f t="shared" si="941"/>
        <v>0</v>
      </c>
      <c r="V4062" s="1">
        <f t="shared" si="942"/>
        <v>0</v>
      </c>
    </row>
    <row r="4063" spans="5:22" x14ac:dyDescent="0.25">
      <c r="E4063" s="4"/>
      <c r="M4063" s="4">
        <f t="shared" si="935"/>
        <v>173.1</v>
      </c>
      <c r="N4063" s="4"/>
      <c r="O4063" s="1">
        <f t="shared" si="936"/>
        <v>173.1</v>
      </c>
      <c r="P4063" s="1">
        <f t="shared" si="937"/>
        <v>0</v>
      </c>
      <c r="Q4063" s="1" t="str">
        <f t="shared" si="934"/>
        <v/>
      </c>
      <c r="R4063" s="1" t="str">
        <f t="shared" si="938"/>
        <v/>
      </c>
      <c r="S4063" s="1">
        <f t="shared" si="939"/>
        <v>630.90240000000244</v>
      </c>
      <c r="T4063" s="1">
        <f t="shared" si="940"/>
        <v>0</v>
      </c>
      <c r="U4063" s="1">
        <f t="shared" si="941"/>
        <v>0</v>
      </c>
      <c r="V4063" s="1">
        <f t="shared" si="942"/>
        <v>0</v>
      </c>
    </row>
    <row r="4064" spans="5:22" x14ac:dyDescent="0.25">
      <c r="E4064" s="4"/>
      <c r="M4064" s="4">
        <f t="shared" si="935"/>
        <v>173.1</v>
      </c>
      <c r="N4064" s="4"/>
      <c r="O4064" s="1">
        <f t="shared" si="936"/>
        <v>173.1</v>
      </c>
      <c r="P4064" s="1">
        <f t="shared" si="937"/>
        <v>0</v>
      </c>
      <c r="Q4064" s="1" t="str">
        <f t="shared" si="934"/>
        <v/>
      </c>
      <c r="R4064" s="1" t="str">
        <f t="shared" si="938"/>
        <v/>
      </c>
      <c r="S4064" s="1">
        <f t="shared" si="939"/>
        <v>630.90240000000244</v>
      </c>
      <c r="T4064" s="1">
        <f t="shared" si="940"/>
        <v>0</v>
      </c>
      <c r="U4064" s="1">
        <f t="shared" si="941"/>
        <v>0</v>
      </c>
      <c r="V4064" s="1">
        <f t="shared" si="942"/>
        <v>0</v>
      </c>
    </row>
    <row r="4065" spans="5:22" x14ac:dyDescent="0.25">
      <c r="E4065" s="4"/>
      <c r="M4065" s="4">
        <f t="shared" si="935"/>
        <v>173.1</v>
      </c>
      <c r="N4065" s="4"/>
      <c r="O4065" s="1">
        <f t="shared" si="936"/>
        <v>173.1</v>
      </c>
      <c r="P4065" s="1">
        <f t="shared" si="937"/>
        <v>0</v>
      </c>
      <c r="Q4065" s="1" t="str">
        <f t="shared" si="934"/>
        <v/>
      </c>
      <c r="R4065" s="1" t="str">
        <f t="shared" si="938"/>
        <v/>
      </c>
      <c r="S4065" s="1">
        <f t="shared" si="939"/>
        <v>630.90240000000244</v>
      </c>
      <c r="T4065" s="1">
        <f t="shared" si="940"/>
        <v>0</v>
      </c>
      <c r="U4065" s="1">
        <f t="shared" si="941"/>
        <v>0</v>
      </c>
      <c r="V4065" s="1">
        <f t="shared" si="942"/>
        <v>0</v>
      </c>
    </row>
    <row r="4066" spans="5:22" x14ac:dyDescent="0.25">
      <c r="E4066" s="4"/>
      <c r="M4066" s="4">
        <f t="shared" si="935"/>
        <v>173.1</v>
      </c>
      <c r="N4066" s="4"/>
      <c r="O4066" s="1">
        <f t="shared" si="936"/>
        <v>173.1</v>
      </c>
      <c r="P4066" s="1">
        <f t="shared" si="937"/>
        <v>0</v>
      </c>
      <c r="Q4066" s="1" t="str">
        <f t="shared" si="934"/>
        <v/>
      </c>
      <c r="R4066" s="1" t="str">
        <f t="shared" si="938"/>
        <v/>
      </c>
      <c r="S4066" s="1">
        <f t="shared" si="939"/>
        <v>630.90240000000244</v>
      </c>
      <c r="T4066" s="1">
        <f t="shared" si="940"/>
        <v>0</v>
      </c>
      <c r="U4066" s="1">
        <f t="shared" si="941"/>
        <v>0</v>
      </c>
      <c r="V4066" s="1">
        <f t="shared" si="942"/>
        <v>0</v>
      </c>
    </row>
    <row r="4067" spans="5:22" x14ac:dyDescent="0.25">
      <c r="E4067" s="4"/>
      <c r="M4067" s="4">
        <f t="shared" si="935"/>
        <v>173.1</v>
      </c>
      <c r="N4067" s="4"/>
      <c r="O4067" s="1">
        <f t="shared" si="936"/>
        <v>173.1</v>
      </c>
      <c r="P4067" s="1">
        <f t="shared" si="937"/>
        <v>0</v>
      </c>
      <c r="Q4067" s="1" t="str">
        <f t="shared" si="934"/>
        <v/>
      </c>
      <c r="R4067" s="1" t="str">
        <f t="shared" si="938"/>
        <v/>
      </c>
      <c r="S4067" s="1">
        <f t="shared" si="939"/>
        <v>630.90240000000244</v>
      </c>
      <c r="T4067" s="1">
        <f t="shared" si="940"/>
        <v>0</v>
      </c>
      <c r="U4067" s="1">
        <f t="shared" si="941"/>
        <v>0</v>
      </c>
      <c r="V4067" s="1">
        <f t="shared" si="942"/>
        <v>0</v>
      </c>
    </row>
    <row r="4068" spans="5:22" x14ac:dyDescent="0.25">
      <c r="E4068" s="4"/>
      <c r="M4068" s="4">
        <f t="shared" si="935"/>
        <v>173.1</v>
      </c>
      <c r="N4068" s="4"/>
      <c r="O4068" s="1">
        <f t="shared" si="936"/>
        <v>173.1</v>
      </c>
      <c r="P4068" s="1">
        <f t="shared" si="937"/>
        <v>0</v>
      </c>
      <c r="Q4068" s="1" t="str">
        <f t="shared" si="934"/>
        <v/>
      </c>
      <c r="R4068" s="1" t="str">
        <f t="shared" si="938"/>
        <v/>
      </c>
      <c r="S4068" s="1">
        <f t="shared" si="939"/>
        <v>630.90240000000244</v>
      </c>
      <c r="T4068" s="1">
        <f t="shared" si="940"/>
        <v>0</v>
      </c>
      <c r="U4068" s="1">
        <f t="shared" si="941"/>
        <v>0</v>
      </c>
      <c r="V4068" s="1">
        <f t="shared" si="942"/>
        <v>0</v>
      </c>
    </row>
    <row r="4069" spans="5:22" x14ac:dyDescent="0.25">
      <c r="E4069" s="4"/>
      <c r="M4069" s="4">
        <f t="shared" si="935"/>
        <v>173.1</v>
      </c>
      <c r="N4069" s="4"/>
      <c r="O4069" s="1">
        <f t="shared" si="936"/>
        <v>173.1</v>
      </c>
      <c r="P4069" s="1">
        <f t="shared" si="937"/>
        <v>0</v>
      </c>
      <c r="Q4069" s="1" t="str">
        <f t="shared" si="934"/>
        <v/>
      </c>
      <c r="R4069" s="1" t="str">
        <f t="shared" si="938"/>
        <v/>
      </c>
      <c r="S4069" s="1">
        <f t="shared" si="939"/>
        <v>630.90240000000244</v>
      </c>
      <c r="T4069" s="1">
        <f t="shared" si="940"/>
        <v>0</v>
      </c>
      <c r="U4069" s="1">
        <f t="shared" si="941"/>
        <v>0</v>
      </c>
      <c r="V4069" s="1">
        <f t="shared" si="942"/>
        <v>0</v>
      </c>
    </row>
    <row r="4070" spans="5:22" x14ac:dyDescent="0.25">
      <c r="E4070" s="4"/>
      <c r="M4070" s="4">
        <f t="shared" si="935"/>
        <v>173.1</v>
      </c>
      <c r="N4070" s="4"/>
      <c r="O4070" s="1">
        <f t="shared" si="936"/>
        <v>173.1</v>
      </c>
      <c r="P4070" s="1">
        <f t="shared" si="937"/>
        <v>0</v>
      </c>
      <c r="Q4070" s="1" t="str">
        <f t="shared" si="934"/>
        <v/>
      </c>
      <c r="R4070" s="1" t="str">
        <f t="shared" si="938"/>
        <v/>
      </c>
      <c r="S4070" s="1">
        <f t="shared" si="939"/>
        <v>630.90240000000244</v>
      </c>
      <c r="T4070" s="1">
        <f t="shared" si="940"/>
        <v>0</v>
      </c>
      <c r="U4070" s="1">
        <f t="shared" si="941"/>
        <v>0</v>
      </c>
      <c r="V4070" s="1">
        <f t="shared" si="942"/>
        <v>0</v>
      </c>
    </row>
    <row r="4071" spans="5:22" x14ac:dyDescent="0.25">
      <c r="E4071" s="4"/>
      <c r="M4071" s="4">
        <f t="shared" si="935"/>
        <v>173.1</v>
      </c>
      <c r="N4071" s="4"/>
      <c r="O4071" s="1">
        <f t="shared" si="936"/>
        <v>173.1</v>
      </c>
      <c r="P4071" s="1">
        <f t="shared" si="937"/>
        <v>0</v>
      </c>
      <c r="Q4071" s="1" t="str">
        <f t="shared" si="934"/>
        <v/>
      </c>
      <c r="R4071" s="1" t="str">
        <f t="shared" si="938"/>
        <v/>
      </c>
      <c r="S4071" s="1">
        <f t="shared" si="939"/>
        <v>630.90240000000244</v>
      </c>
      <c r="T4071" s="1">
        <f t="shared" si="940"/>
        <v>0</v>
      </c>
      <c r="U4071" s="1">
        <f t="shared" si="941"/>
        <v>0</v>
      </c>
      <c r="V4071" s="1">
        <f t="shared" si="942"/>
        <v>0</v>
      </c>
    </row>
    <row r="4072" spans="5:22" x14ac:dyDescent="0.25">
      <c r="E4072" s="4"/>
      <c r="M4072" s="4">
        <f t="shared" si="935"/>
        <v>173.1</v>
      </c>
      <c r="N4072" s="4"/>
      <c r="O4072" s="1">
        <f t="shared" si="936"/>
        <v>173.1</v>
      </c>
      <c r="P4072" s="1">
        <f t="shared" si="937"/>
        <v>0</v>
      </c>
      <c r="Q4072" s="1" t="str">
        <f t="shared" si="934"/>
        <v/>
      </c>
      <c r="R4072" s="1" t="str">
        <f t="shared" si="938"/>
        <v/>
      </c>
      <c r="S4072" s="1">
        <f t="shared" si="939"/>
        <v>630.90240000000244</v>
      </c>
      <c r="T4072" s="1">
        <f t="shared" si="940"/>
        <v>0</v>
      </c>
      <c r="U4072" s="1">
        <f t="shared" si="941"/>
        <v>0</v>
      </c>
      <c r="V4072" s="1">
        <f t="shared" si="942"/>
        <v>0</v>
      </c>
    </row>
    <row r="4073" spans="5:22" x14ac:dyDescent="0.25">
      <c r="E4073" s="4"/>
      <c r="M4073" s="4">
        <f t="shared" si="935"/>
        <v>173.1</v>
      </c>
      <c r="N4073" s="4"/>
      <c r="O4073" s="1">
        <f t="shared" si="936"/>
        <v>173.1</v>
      </c>
      <c r="P4073" s="1">
        <f t="shared" si="937"/>
        <v>0</v>
      </c>
      <c r="Q4073" s="1" t="str">
        <f t="shared" si="934"/>
        <v/>
      </c>
      <c r="R4073" s="1" t="str">
        <f t="shared" si="938"/>
        <v/>
      </c>
      <c r="S4073" s="1">
        <f t="shared" si="939"/>
        <v>630.90240000000244</v>
      </c>
      <c r="T4073" s="1">
        <f t="shared" si="940"/>
        <v>0</v>
      </c>
      <c r="U4073" s="1">
        <f t="shared" si="941"/>
        <v>0</v>
      </c>
      <c r="V4073" s="1">
        <f t="shared" si="942"/>
        <v>0</v>
      </c>
    </row>
    <row r="4074" spans="5:22" x14ac:dyDescent="0.25">
      <c r="E4074" s="4"/>
      <c r="M4074" s="4">
        <f t="shared" si="935"/>
        <v>173.1</v>
      </c>
      <c r="N4074" s="4"/>
      <c r="O4074" s="1">
        <f t="shared" si="936"/>
        <v>173.1</v>
      </c>
      <c r="P4074" s="1">
        <f t="shared" si="937"/>
        <v>0</v>
      </c>
      <c r="Q4074" s="1" t="str">
        <f t="shared" si="934"/>
        <v/>
      </c>
      <c r="R4074" s="1" t="str">
        <f t="shared" si="938"/>
        <v/>
      </c>
      <c r="S4074" s="1">
        <f t="shared" si="939"/>
        <v>630.90240000000244</v>
      </c>
      <c r="T4074" s="1">
        <f t="shared" si="940"/>
        <v>0</v>
      </c>
      <c r="U4074" s="1">
        <f t="shared" si="941"/>
        <v>0</v>
      </c>
      <c r="V4074" s="1">
        <f t="shared" si="942"/>
        <v>0</v>
      </c>
    </row>
    <row r="4075" spans="5:22" x14ac:dyDescent="0.25">
      <c r="E4075" s="4"/>
      <c r="M4075" s="4">
        <f t="shared" si="935"/>
        <v>173.1</v>
      </c>
      <c r="N4075" s="4"/>
      <c r="O4075" s="1">
        <f t="shared" si="936"/>
        <v>173.1</v>
      </c>
      <c r="P4075" s="1">
        <f t="shared" si="937"/>
        <v>0</v>
      </c>
      <c r="Q4075" s="1" t="str">
        <f t="shared" si="934"/>
        <v/>
      </c>
      <c r="R4075" s="1" t="str">
        <f t="shared" si="938"/>
        <v/>
      </c>
      <c r="S4075" s="1">
        <f t="shared" si="939"/>
        <v>630.90240000000244</v>
      </c>
      <c r="T4075" s="1">
        <f t="shared" si="940"/>
        <v>0</v>
      </c>
      <c r="U4075" s="1">
        <f t="shared" si="941"/>
        <v>0</v>
      </c>
      <c r="V4075" s="1">
        <f t="shared" si="942"/>
        <v>0</v>
      </c>
    </row>
    <row r="4076" spans="5:22" x14ac:dyDescent="0.25">
      <c r="E4076" s="4"/>
      <c r="M4076" s="4">
        <f t="shared" si="935"/>
        <v>173.1</v>
      </c>
      <c r="N4076" s="4"/>
      <c r="O4076" s="1">
        <f t="shared" si="936"/>
        <v>173.1</v>
      </c>
      <c r="P4076" s="1">
        <f t="shared" si="937"/>
        <v>0</v>
      </c>
      <c r="Q4076" s="1" t="str">
        <f t="shared" si="934"/>
        <v/>
      </c>
      <c r="R4076" s="1" t="str">
        <f t="shared" si="938"/>
        <v/>
      </c>
      <c r="S4076" s="1">
        <f t="shared" si="939"/>
        <v>630.90240000000244</v>
      </c>
      <c r="T4076" s="1">
        <f t="shared" si="940"/>
        <v>0</v>
      </c>
      <c r="U4076" s="1">
        <f t="shared" si="941"/>
        <v>0</v>
      </c>
      <c r="V4076" s="1">
        <f t="shared" si="942"/>
        <v>0</v>
      </c>
    </row>
    <row r="4077" spans="5:22" x14ac:dyDescent="0.25">
      <c r="E4077" s="4"/>
      <c r="M4077" s="4">
        <f t="shared" si="935"/>
        <v>173.1</v>
      </c>
      <c r="N4077" s="4"/>
      <c r="O4077" s="1">
        <f t="shared" si="936"/>
        <v>173.1</v>
      </c>
      <c r="P4077" s="1">
        <f t="shared" si="937"/>
        <v>0</v>
      </c>
      <c r="Q4077" s="1" t="str">
        <f t="shared" si="934"/>
        <v/>
      </c>
      <c r="R4077" s="1" t="str">
        <f t="shared" si="938"/>
        <v/>
      </c>
      <c r="S4077" s="1">
        <f t="shared" si="939"/>
        <v>630.90240000000244</v>
      </c>
      <c r="T4077" s="1">
        <f t="shared" si="940"/>
        <v>0</v>
      </c>
      <c r="U4077" s="1">
        <f t="shared" si="941"/>
        <v>0</v>
      </c>
      <c r="V4077" s="1">
        <f t="shared" si="942"/>
        <v>0</v>
      </c>
    </row>
    <row r="4078" spans="5:22" x14ac:dyDescent="0.25">
      <c r="E4078" s="4"/>
      <c r="M4078" s="4">
        <f t="shared" si="935"/>
        <v>173.1</v>
      </c>
      <c r="N4078" s="4"/>
      <c r="O4078" s="1">
        <f t="shared" si="936"/>
        <v>173.1</v>
      </c>
      <c r="P4078" s="1">
        <f t="shared" si="937"/>
        <v>0</v>
      </c>
      <c r="Q4078" s="1" t="str">
        <f t="shared" si="934"/>
        <v/>
      </c>
      <c r="R4078" s="1" t="str">
        <f t="shared" si="938"/>
        <v/>
      </c>
      <c r="S4078" s="1">
        <f t="shared" si="939"/>
        <v>630.90240000000244</v>
      </c>
      <c r="T4078" s="1">
        <f t="shared" si="940"/>
        <v>0</v>
      </c>
      <c r="U4078" s="1">
        <f t="shared" si="941"/>
        <v>0</v>
      </c>
      <c r="V4078" s="1">
        <f t="shared" si="942"/>
        <v>0</v>
      </c>
    </row>
    <row r="4079" spans="5:22" x14ac:dyDescent="0.25">
      <c r="E4079" s="4"/>
      <c r="M4079" s="4">
        <f t="shared" si="935"/>
        <v>173.1</v>
      </c>
      <c r="N4079" s="4"/>
      <c r="O4079" s="1">
        <f t="shared" si="936"/>
        <v>173.1</v>
      </c>
      <c r="P4079" s="1">
        <f t="shared" si="937"/>
        <v>0</v>
      </c>
      <c r="Q4079" s="1" t="str">
        <f t="shared" si="934"/>
        <v/>
      </c>
      <c r="R4079" s="1" t="str">
        <f t="shared" si="938"/>
        <v/>
      </c>
      <c r="S4079" s="1">
        <f t="shared" si="939"/>
        <v>630.90240000000244</v>
      </c>
      <c r="T4079" s="1">
        <f t="shared" si="940"/>
        <v>0</v>
      </c>
      <c r="U4079" s="1">
        <f t="shared" si="941"/>
        <v>0</v>
      </c>
      <c r="V4079" s="1">
        <f t="shared" si="942"/>
        <v>0</v>
      </c>
    </row>
    <row r="4080" spans="5:22" x14ac:dyDescent="0.25">
      <c r="E4080" s="4"/>
      <c r="M4080" s="4">
        <f t="shared" si="935"/>
        <v>173.1</v>
      </c>
      <c r="N4080" s="4"/>
      <c r="O4080" s="1">
        <f t="shared" si="936"/>
        <v>173.1</v>
      </c>
      <c r="P4080" s="1">
        <f t="shared" si="937"/>
        <v>0</v>
      </c>
      <c r="Q4080" s="1" t="str">
        <f t="shared" si="934"/>
        <v/>
      </c>
      <c r="R4080" s="1" t="str">
        <f t="shared" si="938"/>
        <v/>
      </c>
      <c r="S4080" s="1">
        <f t="shared" si="939"/>
        <v>630.90240000000244</v>
      </c>
      <c r="T4080" s="1">
        <f t="shared" si="940"/>
        <v>0</v>
      </c>
      <c r="U4080" s="1">
        <f t="shared" si="941"/>
        <v>0</v>
      </c>
      <c r="V4080" s="1">
        <f t="shared" si="942"/>
        <v>0</v>
      </c>
    </row>
    <row r="4081" spans="5:22" x14ac:dyDescent="0.25">
      <c r="E4081" s="4"/>
      <c r="M4081" s="4">
        <f t="shared" si="935"/>
        <v>173.1</v>
      </c>
      <c r="N4081" s="4"/>
      <c r="O4081" s="1">
        <f t="shared" si="936"/>
        <v>173.1</v>
      </c>
      <c r="P4081" s="1">
        <f t="shared" si="937"/>
        <v>0</v>
      </c>
      <c r="Q4081" s="1" t="str">
        <f t="shared" si="934"/>
        <v/>
      </c>
      <c r="R4081" s="1" t="str">
        <f t="shared" si="938"/>
        <v/>
      </c>
      <c r="S4081" s="1">
        <f t="shared" si="939"/>
        <v>630.90240000000244</v>
      </c>
      <c r="T4081" s="1">
        <f t="shared" si="940"/>
        <v>0</v>
      </c>
      <c r="U4081" s="1">
        <f t="shared" si="941"/>
        <v>0</v>
      </c>
      <c r="V4081" s="1">
        <f t="shared" si="942"/>
        <v>0</v>
      </c>
    </row>
    <row r="4082" spans="5:22" x14ac:dyDescent="0.25">
      <c r="E4082" s="4"/>
      <c r="M4082" s="4">
        <f t="shared" si="935"/>
        <v>173.1</v>
      </c>
      <c r="N4082" s="4"/>
      <c r="O4082" s="1">
        <f t="shared" si="936"/>
        <v>173.1</v>
      </c>
      <c r="P4082" s="1">
        <f t="shared" si="937"/>
        <v>0</v>
      </c>
      <c r="Q4082" s="1" t="str">
        <f t="shared" ref="Q4082:Q4145" si="943">IF(H4082&lt;&gt;"",IF(H4082=H4081,"",H4082),IF(H4080="","",MAX(H4081,Q4081)))</f>
        <v/>
      </c>
      <c r="R4082" s="1" t="str">
        <f t="shared" si="938"/>
        <v/>
      </c>
      <c r="S4082" s="1">
        <f t="shared" si="939"/>
        <v>630.90240000000244</v>
      </c>
      <c r="T4082" s="1">
        <f t="shared" si="940"/>
        <v>0</v>
      </c>
      <c r="U4082" s="1">
        <f t="shared" si="941"/>
        <v>0</v>
      </c>
      <c r="V4082" s="1">
        <f t="shared" si="942"/>
        <v>0</v>
      </c>
    </row>
    <row r="4083" spans="5:22" x14ac:dyDescent="0.25">
      <c r="E4083" s="4"/>
      <c r="M4083" s="4">
        <f t="shared" si="935"/>
        <v>173.1</v>
      </c>
      <c r="N4083" s="4"/>
      <c r="O4083" s="1">
        <f t="shared" si="936"/>
        <v>173.1</v>
      </c>
      <c r="P4083" s="1">
        <f t="shared" si="937"/>
        <v>0</v>
      </c>
      <c r="Q4083" s="1" t="str">
        <f t="shared" si="943"/>
        <v/>
      </c>
      <c r="R4083" s="1" t="str">
        <f t="shared" si="938"/>
        <v/>
      </c>
      <c r="S4083" s="1">
        <f t="shared" si="939"/>
        <v>630.90240000000244</v>
      </c>
      <c r="T4083" s="1">
        <f t="shared" si="940"/>
        <v>0</v>
      </c>
      <c r="U4083" s="1">
        <f t="shared" si="941"/>
        <v>0</v>
      </c>
      <c r="V4083" s="1">
        <f t="shared" si="942"/>
        <v>0</v>
      </c>
    </row>
    <row r="4084" spans="5:22" x14ac:dyDescent="0.25">
      <c r="E4084" s="4"/>
      <c r="M4084" s="4">
        <f t="shared" si="935"/>
        <v>173.1</v>
      </c>
      <c r="N4084" s="4"/>
      <c r="O4084" s="1">
        <f t="shared" si="936"/>
        <v>173.1</v>
      </c>
      <c r="P4084" s="1">
        <f t="shared" si="937"/>
        <v>0</v>
      </c>
      <c r="Q4084" s="1" t="str">
        <f t="shared" si="943"/>
        <v/>
      </c>
      <c r="R4084" s="1" t="str">
        <f t="shared" si="938"/>
        <v/>
      </c>
      <c r="S4084" s="1">
        <f t="shared" si="939"/>
        <v>630.90240000000244</v>
      </c>
      <c r="T4084" s="1">
        <f t="shared" si="940"/>
        <v>0</v>
      </c>
      <c r="U4084" s="1">
        <f t="shared" si="941"/>
        <v>0</v>
      </c>
      <c r="V4084" s="1">
        <f t="shared" si="942"/>
        <v>0</v>
      </c>
    </row>
    <row r="4085" spans="5:22" x14ac:dyDescent="0.25">
      <c r="E4085" s="4"/>
      <c r="M4085" s="4">
        <f t="shared" si="935"/>
        <v>173.1</v>
      </c>
      <c r="N4085" s="4"/>
      <c r="O4085" s="1">
        <f t="shared" si="936"/>
        <v>173.1</v>
      </c>
      <c r="P4085" s="1">
        <f t="shared" si="937"/>
        <v>0</v>
      </c>
      <c r="Q4085" s="1" t="str">
        <f t="shared" si="943"/>
        <v/>
      </c>
      <c r="R4085" s="1" t="str">
        <f t="shared" si="938"/>
        <v/>
      </c>
      <c r="S4085" s="1">
        <f t="shared" si="939"/>
        <v>630.90240000000244</v>
      </c>
      <c r="T4085" s="1">
        <f t="shared" si="940"/>
        <v>0</v>
      </c>
      <c r="U4085" s="1">
        <f t="shared" si="941"/>
        <v>0</v>
      </c>
      <c r="V4085" s="1">
        <f t="shared" si="942"/>
        <v>0</v>
      </c>
    </row>
    <row r="4086" spans="5:22" x14ac:dyDescent="0.25">
      <c r="E4086" s="4"/>
      <c r="M4086" s="4">
        <f t="shared" si="935"/>
        <v>173.1</v>
      </c>
      <c r="N4086" s="4"/>
      <c r="O4086" s="1">
        <f t="shared" si="936"/>
        <v>173.1</v>
      </c>
      <c r="P4086" s="1">
        <f t="shared" si="937"/>
        <v>0</v>
      </c>
      <c r="Q4086" s="1" t="str">
        <f t="shared" si="943"/>
        <v/>
      </c>
      <c r="R4086" s="1" t="str">
        <f t="shared" si="938"/>
        <v/>
      </c>
      <c r="S4086" s="1">
        <f t="shared" si="939"/>
        <v>630.90240000000244</v>
      </c>
      <c r="T4086" s="1">
        <f t="shared" si="940"/>
        <v>0</v>
      </c>
      <c r="U4086" s="1">
        <f t="shared" si="941"/>
        <v>0</v>
      </c>
      <c r="V4086" s="1">
        <f t="shared" si="942"/>
        <v>0</v>
      </c>
    </row>
    <row r="4087" spans="5:22" x14ac:dyDescent="0.25">
      <c r="E4087" s="4"/>
      <c r="M4087" s="4">
        <f t="shared" si="935"/>
        <v>173.1</v>
      </c>
      <c r="N4087" s="4"/>
      <c r="O4087" s="1">
        <f t="shared" si="936"/>
        <v>173.1</v>
      </c>
      <c r="P4087" s="1">
        <f t="shared" si="937"/>
        <v>0</v>
      </c>
      <c r="Q4087" s="1" t="str">
        <f t="shared" si="943"/>
        <v/>
      </c>
      <c r="R4087" s="1" t="str">
        <f t="shared" si="938"/>
        <v/>
      </c>
      <c r="S4087" s="1">
        <f t="shared" si="939"/>
        <v>630.90240000000244</v>
      </c>
      <c r="T4087" s="1">
        <f t="shared" si="940"/>
        <v>0</v>
      </c>
      <c r="U4087" s="1">
        <f t="shared" si="941"/>
        <v>0</v>
      </c>
      <c r="V4087" s="1">
        <f t="shared" si="942"/>
        <v>0</v>
      </c>
    </row>
    <row r="4088" spans="5:22" x14ac:dyDescent="0.25">
      <c r="E4088" s="4"/>
      <c r="M4088" s="4">
        <f t="shared" si="935"/>
        <v>173.1</v>
      </c>
      <c r="N4088" s="4"/>
      <c r="O4088" s="1">
        <f t="shared" si="936"/>
        <v>173.1</v>
      </c>
      <c r="P4088" s="1">
        <f t="shared" si="937"/>
        <v>0</v>
      </c>
      <c r="Q4088" s="1" t="str">
        <f t="shared" si="943"/>
        <v/>
      </c>
      <c r="R4088" s="1" t="str">
        <f t="shared" si="938"/>
        <v/>
      </c>
      <c r="S4088" s="1">
        <f t="shared" si="939"/>
        <v>630.90240000000244</v>
      </c>
      <c r="T4088" s="1">
        <f t="shared" si="940"/>
        <v>0</v>
      </c>
      <c r="U4088" s="1">
        <f t="shared" si="941"/>
        <v>0</v>
      </c>
      <c r="V4088" s="1">
        <f t="shared" si="942"/>
        <v>0</v>
      </c>
    </row>
    <row r="4089" spans="5:22" x14ac:dyDescent="0.25">
      <c r="E4089" s="4"/>
      <c r="M4089" s="4">
        <f t="shared" si="935"/>
        <v>173.1</v>
      </c>
      <c r="N4089" s="4"/>
      <c r="O4089" s="1">
        <f t="shared" si="936"/>
        <v>173.1</v>
      </c>
      <c r="P4089" s="1">
        <f t="shared" si="937"/>
        <v>0</v>
      </c>
      <c r="Q4089" s="1" t="str">
        <f t="shared" si="943"/>
        <v/>
      </c>
      <c r="R4089" s="1" t="str">
        <f t="shared" si="938"/>
        <v/>
      </c>
      <c r="S4089" s="1">
        <f t="shared" si="939"/>
        <v>630.90240000000244</v>
      </c>
      <c r="T4089" s="1">
        <f t="shared" si="940"/>
        <v>0</v>
      </c>
      <c r="U4089" s="1">
        <f t="shared" si="941"/>
        <v>0</v>
      </c>
      <c r="V4089" s="1">
        <f t="shared" si="942"/>
        <v>0</v>
      </c>
    </row>
    <row r="4090" spans="5:22" x14ac:dyDescent="0.25">
      <c r="E4090" s="4"/>
      <c r="M4090" s="4">
        <f t="shared" si="935"/>
        <v>173.1</v>
      </c>
      <c r="N4090" s="4"/>
      <c r="O4090" s="1">
        <f t="shared" si="936"/>
        <v>173.1</v>
      </c>
      <c r="P4090" s="1">
        <f t="shared" si="937"/>
        <v>0</v>
      </c>
      <c r="Q4090" s="1" t="str">
        <f t="shared" si="943"/>
        <v/>
      </c>
      <c r="R4090" s="1" t="str">
        <f t="shared" si="938"/>
        <v/>
      </c>
      <c r="S4090" s="1">
        <f t="shared" si="939"/>
        <v>630.90240000000244</v>
      </c>
      <c r="T4090" s="1">
        <f t="shared" si="940"/>
        <v>0</v>
      </c>
      <c r="U4090" s="1">
        <f t="shared" si="941"/>
        <v>0</v>
      </c>
      <c r="V4090" s="1">
        <f t="shared" si="942"/>
        <v>0</v>
      </c>
    </row>
    <row r="4091" spans="5:22" x14ac:dyDescent="0.25">
      <c r="E4091" s="4"/>
      <c r="M4091" s="4">
        <f t="shared" si="935"/>
        <v>173.1</v>
      </c>
      <c r="N4091" s="4"/>
      <c r="O4091" s="1">
        <f t="shared" si="936"/>
        <v>173.1</v>
      </c>
      <c r="P4091" s="1">
        <f t="shared" si="937"/>
        <v>0</v>
      </c>
      <c r="Q4091" s="1" t="str">
        <f t="shared" si="943"/>
        <v/>
      </c>
      <c r="R4091" s="1" t="str">
        <f t="shared" si="938"/>
        <v/>
      </c>
      <c r="S4091" s="1">
        <f t="shared" si="939"/>
        <v>630.90240000000244</v>
      </c>
      <c r="T4091" s="1">
        <f t="shared" si="940"/>
        <v>0</v>
      </c>
      <c r="U4091" s="1">
        <f t="shared" si="941"/>
        <v>0</v>
      </c>
      <c r="V4091" s="1">
        <f t="shared" si="942"/>
        <v>0</v>
      </c>
    </row>
    <row r="4092" spans="5:22" x14ac:dyDescent="0.25">
      <c r="E4092" s="4"/>
      <c r="M4092" s="4">
        <f t="shared" si="935"/>
        <v>173.1</v>
      </c>
      <c r="N4092" s="4"/>
      <c r="O4092" s="1">
        <f t="shared" si="936"/>
        <v>173.1</v>
      </c>
      <c r="P4092" s="1">
        <f t="shared" si="937"/>
        <v>0</v>
      </c>
      <c r="Q4092" s="1" t="str">
        <f t="shared" si="943"/>
        <v/>
      </c>
      <c r="R4092" s="1" t="str">
        <f t="shared" si="938"/>
        <v/>
      </c>
      <c r="S4092" s="1">
        <f t="shared" si="939"/>
        <v>630.90240000000244</v>
      </c>
      <c r="T4092" s="1">
        <f t="shared" si="940"/>
        <v>0</v>
      </c>
      <c r="U4092" s="1">
        <f t="shared" si="941"/>
        <v>0</v>
      </c>
      <c r="V4092" s="1">
        <f t="shared" si="942"/>
        <v>0</v>
      </c>
    </row>
    <row r="4093" spans="5:22" x14ac:dyDescent="0.25">
      <c r="E4093" s="4"/>
      <c r="M4093" s="4">
        <f t="shared" si="935"/>
        <v>173.1</v>
      </c>
      <c r="N4093" s="4"/>
      <c r="O4093" s="1">
        <f t="shared" si="936"/>
        <v>173.1</v>
      </c>
      <c r="P4093" s="1">
        <f t="shared" si="937"/>
        <v>0</v>
      </c>
      <c r="Q4093" s="1" t="str">
        <f t="shared" si="943"/>
        <v/>
      </c>
      <c r="R4093" s="1" t="str">
        <f t="shared" si="938"/>
        <v/>
      </c>
      <c r="S4093" s="1">
        <f t="shared" si="939"/>
        <v>630.90240000000244</v>
      </c>
      <c r="T4093" s="1">
        <f t="shared" si="940"/>
        <v>0</v>
      </c>
      <c r="U4093" s="1">
        <f t="shared" si="941"/>
        <v>0</v>
      </c>
      <c r="V4093" s="1">
        <f t="shared" si="942"/>
        <v>0</v>
      </c>
    </row>
    <row r="4094" spans="5:22" x14ac:dyDescent="0.25">
      <c r="E4094" s="4"/>
      <c r="M4094" s="4">
        <f t="shared" si="935"/>
        <v>173.1</v>
      </c>
      <c r="N4094" s="4"/>
      <c r="O4094" s="1">
        <f t="shared" si="936"/>
        <v>173.1</v>
      </c>
      <c r="P4094" s="1">
        <f t="shared" si="937"/>
        <v>0</v>
      </c>
      <c r="Q4094" s="1" t="str">
        <f t="shared" si="943"/>
        <v/>
      </c>
      <c r="R4094" s="1" t="str">
        <f t="shared" si="938"/>
        <v/>
      </c>
      <c r="S4094" s="1">
        <f t="shared" si="939"/>
        <v>630.90240000000244</v>
      </c>
      <c r="T4094" s="1">
        <f t="shared" si="940"/>
        <v>0</v>
      </c>
      <c r="U4094" s="1">
        <f t="shared" si="941"/>
        <v>0</v>
      </c>
      <c r="V4094" s="1">
        <f t="shared" si="942"/>
        <v>0</v>
      </c>
    </row>
    <row r="4095" spans="5:22" x14ac:dyDescent="0.25">
      <c r="E4095" s="4"/>
      <c r="M4095" s="4">
        <f t="shared" si="935"/>
        <v>173.1</v>
      </c>
      <c r="N4095" s="4"/>
      <c r="O4095" s="1">
        <f t="shared" si="936"/>
        <v>173.1</v>
      </c>
      <c r="P4095" s="1">
        <f t="shared" si="937"/>
        <v>0</v>
      </c>
      <c r="Q4095" s="1" t="str">
        <f t="shared" si="943"/>
        <v/>
      </c>
      <c r="R4095" s="1" t="str">
        <f t="shared" si="938"/>
        <v/>
      </c>
      <c r="S4095" s="1">
        <f t="shared" si="939"/>
        <v>630.90240000000244</v>
      </c>
      <c r="T4095" s="1">
        <f t="shared" si="940"/>
        <v>0</v>
      </c>
      <c r="U4095" s="1">
        <f t="shared" si="941"/>
        <v>0</v>
      </c>
      <c r="V4095" s="1">
        <f t="shared" si="942"/>
        <v>0</v>
      </c>
    </row>
    <row r="4096" spans="5:22" x14ac:dyDescent="0.25">
      <c r="E4096" s="4"/>
      <c r="M4096" s="4">
        <f t="shared" si="935"/>
        <v>173.1</v>
      </c>
      <c r="N4096" s="4"/>
      <c r="O4096" s="1">
        <f t="shared" si="936"/>
        <v>173.1</v>
      </c>
      <c r="P4096" s="1">
        <f t="shared" si="937"/>
        <v>0</v>
      </c>
      <c r="Q4096" s="1" t="str">
        <f t="shared" si="943"/>
        <v/>
      </c>
      <c r="R4096" s="1" t="str">
        <f t="shared" si="938"/>
        <v/>
      </c>
      <c r="S4096" s="1">
        <f t="shared" si="939"/>
        <v>630.90240000000244</v>
      </c>
      <c r="T4096" s="1">
        <f t="shared" si="940"/>
        <v>0</v>
      </c>
      <c r="U4096" s="1">
        <f t="shared" si="941"/>
        <v>0</v>
      </c>
      <c r="V4096" s="1">
        <f t="shared" si="942"/>
        <v>0</v>
      </c>
    </row>
    <row r="4097" spans="5:22" x14ac:dyDescent="0.25">
      <c r="E4097" s="4"/>
      <c r="M4097" s="4">
        <f t="shared" si="935"/>
        <v>173.1</v>
      </c>
      <c r="N4097" s="4"/>
      <c r="O4097" s="1">
        <f t="shared" si="936"/>
        <v>173.1</v>
      </c>
      <c r="P4097" s="1">
        <f t="shared" si="937"/>
        <v>0</v>
      </c>
      <c r="Q4097" s="1" t="str">
        <f t="shared" si="943"/>
        <v/>
      </c>
      <c r="R4097" s="1" t="str">
        <f t="shared" si="938"/>
        <v/>
      </c>
      <c r="S4097" s="1">
        <f t="shared" si="939"/>
        <v>630.90240000000244</v>
      </c>
      <c r="T4097" s="1">
        <f t="shared" si="940"/>
        <v>0</v>
      </c>
      <c r="U4097" s="1">
        <f t="shared" si="941"/>
        <v>0</v>
      </c>
      <c r="V4097" s="1">
        <f t="shared" si="942"/>
        <v>0</v>
      </c>
    </row>
    <row r="4098" spans="5:22" x14ac:dyDescent="0.25">
      <c r="E4098" s="4"/>
      <c r="M4098" s="4">
        <f t="shared" si="935"/>
        <v>173.1</v>
      </c>
      <c r="N4098" s="4"/>
      <c r="O4098" s="1">
        <f t="shared" si="936"/>
        <v>173.1</v>
      </c>
      <c r="P4098" s="1">
        <f t="shared" si="937"/>
        <v>0</v>
      </c>
      <c r="Q4098" s="1" t="str">
        <f t="shared" si="943"/>
        <v/>
      </c>
      <c r="R4098" s="1" t="str">
        <f t="shared" si="938"/>
        <v/>
      </c>
      <c r="S4098" s="1">
        <f t="shared" si="939"/>
        <v>630.90240000000244</v>
      </c>
      <c r="T4098" s="1">
        <f t="shared" si="940"/>
        <v>0</v>
      </c>
      <c r="U4098" s="1">
        <f t="shared" si="941"/>
        <v>0</v>
      </c>
      <c r="V4098" s="1">
        <f t="shared" si="942"/>
        <v>0</v>
      </c>
    </row>
    <row r="4099" spans="5:22" x14ac:dyDescent="0.25">
      <c r="E4099" s="4"/>
      <c r="M4099" s="4">
        <f t="shared" si="935"/>
        <v>173.1</v>
      </c>
      <c r="N4099" s="4"/>
      <c r="O4099" s="1">
        <f t="shared" si="936"/>
        <v>173.1</v>
      </c>
      <c r="P4099" s="1">
        <f t="shared" si="937"/>
        <v>0</v>
      </c>
      <c r="Q4099" s="1" t="str">
        <f t="shared" si="943"/>
        <v/>
      </c>
      <c r="R4099" s="1" t="str">
        <f t="shared" si="938"/>
        <v/>
      </c>
      <c r="S4099" s="1">
        <f t="shared" si="939"/>
        <v>630.90240000000244</v>
      </c>
      <c r="T4099" s="1">
        <f t="shared" si="940"/>
        <v>0</v>
      </c>
      <c r="U4099" s="1">
        <f t="shared" si="941"/>
        <v>0</v>
      </c>
      <c r="V4099" s="1">
        <f t="shared" si="942"/>
        <v>0</v>
      </c>
    </row>
    <row r="4100" spans="5:22" x14ac:dyDescent="0.25">
      <c r="E4100" s="4"/>
      <c r="M4100" s="4">
        <f t="shared" si="935"/>
        <v>173.1</v>
      </c>
      <c r="N4100" s="4"/>
      <c r="O4100" s="1">
        <f t="shared" si="936"/>
        <v>173.1</v>
      </c>
      <c r="P4100" s="1">
        <f t="shared" si="937"/>
        <v>0</v>
      </c>
      <c r="Q4100" s="1" t="str">
        <f t="shared" si="943"/>
        <v/>
      </c>
      <c r="R4100" s="1" t="str">
        <f t="shared" si="938"/>
        <v/>
      </c>
      <c r="S4100" s="1">
        <f t="shared" si="939"/>
        <v>630.90240000000244</v>
      </c>
      <c r="T4100" s="1">
        <f t="shared" si="940"/>
        <v>0</v>
      </c>
      <c r="U4100" s="1">
        <f t="shared" si="941"/>
        <v>0</v>
      </c>
      <c r="V4100" s="1">
        <f t="shared" si="942"/>
        <v>0</v>
      </c>
    </row>
    <row r="4101" spans="5:22" x14ac:dyDescent="0.25">
      <c r="E4101" s="4"/>
      <c r="M4101" s="4">
        <f t="shared" si="935"/>
        <v>173.1</v>
      </c>
      <c r="N4101" s="4"/>
      <c r="O4101" s="1">
        <f t="shared" si="936"/>
        <v>173.1</v>
      </c>
      <c r="P4101" s="1">
        <f t="shared" si="937"/>
        <v>0</v>
      </c>
      <c r="Q4101" s="1" t="str">
        <f t="shared" si="943"/>
        <v/>
      </c>
      <c r="R4101" s="1" t="str">
        <f t="shared" si="938"/>
        <v/>
      </c>
      <c r="S4101" s="1">
        <f t="shared" si="939"/>
        <v>630.90240000000244</v>
      </c>
      <c r="T4101" s="1">
        <f t="shared" si="940"/>
        <v>0</v>
      </c>
      <c r="U4101" s="1">
        <f t="shared" si="941"/>
        <v>0</v>
      </c>
      <c r="V4101" s="1">
        <f t="shared" si="942"/>
        <v>0</v>
      </c>
    </row>
    <row r="4102" spans="5:22" x14ac:dyDescent="0.25">
      <c r="E4102" s="4"/>
      <c r="M4102" s="4">
        <f t="shared" si="935"/>
        <v>173.1</v>
      </c>
      <c r="N4102" s="4"/>
      <c r="O4102" s="1">
        <f t="shared" si="936"/>
        <v>173.1</v>
      </c>
      <c r="P4102" s="1">
        <f t="shared" si="937"/>
        <v>0</v>
      </c>
      <c r="Q4102" s="1" t="str">
        <f t="shared" si="943"/>
        <v/>
      </c>
      <c r="R4102" s="1" t="str">
        <f t="shared" si="938"/>
        <v/>
      </c>
      <c r="S4102" s="1">
        <f t="shared" si="939"/>
        <v>630.90240000000244</v>
      </c>
      <c r="T4102" s="1">
        <f t="shared" si="940"/>
        <v>0</v>
      </c>
      <c r="U4102" s="1">
        <f t="shared" si="941"/>
        <v>0</v>
      </c>
      <c r="V4102" s="1">
        <f t="shared" si="942"/>
        <v>0</v>
      </c>
    </row>
    <row r="4103" spans="5:22" x14ac:dyDescent="0.25">
      <c r="E4103" s="4"/>
      <c r="M4103" s="4">
        <f t="shared" si="935"/>
        <v>173.1</v>
      </c>
      <c r="N4103" s="4"/>
      <c r="O4103" s="1">
        <f t="shared" si="936"/>
        <v>173.1</v>
      </c>
      <c r="P4103" s="1">
        <f t="shared" si="937"/>
        <v>0</v>
      </c>
      <c r="Q4103" s="1" t="str">
        <f t="shared" si="943"/>
        <v/>
      </c>
      <c r="R4103" s="1" t="str">
        <f t="shared" si="938"/>
        <v/>
      </c>
      <c r="S4103" s="1">
        <f t="shared" si="939"/>
        <v>630.90240000000244</v>
      </c>
      <c r="T4103" s="1">
        <f t="shared" si="940"/>
        <v>0</v>
      </c>
      <c r="U4103" s="1">
        <f t="shared" si="941"/>
        <v>0</v>
      </c>
      <c r="V4103" s="1">
        <f t="shared" si="942"/>
        <v>0</v>
      </c>
    </row>
    <row r="4104" spans="5:22" x14ac:dyDescent="0.25">
      <c r="E4104" s="4"/>
      <c r="M4104" s="4">
        <f t="shared" ref="M4104:M4167" si="944">E4104+M4103</f>
        <v>173.1</v>
      </c>
      <c r="N4104" s="4"/>
      <c r="O4104" s="1">
        <f t="shared" ref="O4104:O4167" si="945">E4103+O4103</f>
        <v>173.1</v>
      </c>
      <c r="P4104" s="1">
        <f t="shared" ref="P4104:P4167" si="946">F4104*52.8*E4104</f>
        <v>0</v>
      </c>
      <c r="Q4104" s="1" t="str">
        <f t="shared" si="943"/>
        <v/>
      </c>
      <c r="R4104" s="1" t="str">
        <f t="shared" ref="R4104:R4167" si="947">IF(I4104="",Q4104,IF(AND(H4104=H4103,I4104=I4103),"",I4104))</f>
        <v/>
      </c>
      <c r="S4104" s="1">
        <f t="shared" ref="S4104:S4167" si="948">S4103+U4103*T4103/100</f>
        <v>630.90240000000244</v>
      </c>
      <c r="T4104" s="1">
        <f t="shared" ref="T4104:T4167" si="949">IF(G4104="UNK",0,G4104)</f>
        <v>0</v>
      </c>
      <c r="U4104" s="1">
        <f t="shared" ref="U4104:U4167" si="950">E4104*5280</f>
        <v>0</v>
      </c>
      <c r="V4104" s="1">
        <f t="shared" ref="V4104:V4167" si="951">ABS(T4104*U4104)</f>
        <v>0</v>
      </c>
    </row>
    <row r="4105" spans="5:22" x14ac:dyDescent="0.25">
      <c r="E4105" s="4"/>
      <c r="M4105" s="4">
        <f t="shared" si="944"/>
        <v>173.1</v>
      </c>
      <c r="N4105" s="4"/>
      <c r="O4105" s="1">
        <f t="shared" si="945"/>
        <v>173.1</v>
      </c>
      <c r="P4105" s="1">
        <f t="shared" si="946"/>
        <v>0</v>
      </c>
      <c r="Q4105" s="1" t="str">
        <f t="shared" si="943"/>
        <v/>
      </c>
      <c r="R4105" s="1" t="str">
        <f t="shared" si="947"/>
        <v/>
      </c>
      <c r="S4105" s="1">
        <f t="shared" si="948"/>
        <v>630.90240000000244</v>
      </c>
      <c r="T4105" s="1">
        <f t="shared" si="949"/>
        <v>0</v>
      </c>
      <c r="U4105" s="1">
        <f t="shared" si="950"/>
        <v>0</v>
      </c>
      <c r="V4105" s="1">
        <f t="shared" si="951"/>
        <v>0</v>
      </c>
    </row>
    <row r="4106" spans="5:22" x14ac:dyDescent="0.25">
      <c r="E4106" s="4"/>
      <c r="M4106" s="4">
        <f t="shared" si="944"/>
        <v>173.1</v>
      </c>
      <c r="N4106" s="4"/>
      <c r="O4106" s="1">
        <f t="shared" si="945"/>
        <v>173.1</v>
      </c>
      <c r="P4106" s="1">
        <f t="shared" si="946"/>
        <v>0</v>
      </c>
      <c r="Q4106" s="1" t="str">
        <f t="shared" si="943"/>
        <v/>
      </c>
      <c r="R4106" s="1" t="str">
        <f t="shared" si="947"/>
        <v/>
      </c>
      <c r="S4106" s="1">
        <f t="shared" si="948"/>
        <v>630.90240000000244</v>
      </c>
      <c r="T4106" s="1">
        <f t="shared" si="949"/>
        <v>0</v>
      </c>
      <c r="U4106" s="1">
        <f t="shared" si="950"/>
        <v>0</v>
      </c>
      <c r="V4106" s="1">
        <f t="shared" si="951"/>
        <v>0</v>
      </c>
    </row>
    <row r="4107" spans="5:22" x14ac:dyDescent="0.25">
      <c r="E4107" s="4"/>
      <c r="M4107" s="4">
        <f t="shared" si="944"/>
        <v>173.1</v>
      </c>
      <c r="N4107" s="4"/>
      <c r="O4107" s="1">
        <f t="shared" si="945"/>
        <v>173.1</v>
      </c>
      <c r="P4107" s="1">
        <f t="shared" si="946"/>
        <v>0</v>
      </c>
      <c r="Q4107" s="1" t="str">
        <f t="shared" si="943"/>
        <v/>
      </c>
      <c r="R4107" s="1" t="str">
        <f t="shared" si="947"/>
        <v/>
      </c>
      <c r="S4107" s="1">
        <f t="shared" si="948"/>
        <v>630.90240000000244</v>
      </c>
      <c r="T4107" s="1">
        <f t="shared" si="949"/>
        <v>0</v>
      </c>
      <c r="U4107" s="1">
        <f t="shared" si="950"/>
        <v>0</v>
      </c>
      <c r="V4107" s="1">
        <f t="shared" si="951"/>
        <v>0</v>
      </c>
    </row>
    <row r="4108" spans="5:22" x14ac:dyDescent="0.25">
      <c r="E4108" s="4"/>
      <c r="M4108" s="4">
        <f t="shared" si="944"/>
        <v>173.1</v>
      </c>
      <c r="N4108" s="4"/>
      <c r="O4108" s="1">
        <f t="shared" si="945"/>
        <v>173.1</v>
      </c>
      <c r="P4108" s="1">
        <f t="shared" si="946"/>
        <v>0</v>
      </c>
      <c r="Q4108" s="1" t="str">
        <f t="shared" si="943"/>
        <v/>
      </c>
      <c r="R4108" s="1" t="str">
        <f t="shared" si="947"/>
        <v/>
      </c>
      <c r="S4108" s="1">
        <f t="shared" si="948"/>
        <v>630.90240000000244</v>
      </c>
      <c r="T4108" s="1">
        <f t="shared" si="949"/>
        <v>0</v>
      </c>
      <c r="U4108" s="1">
        <f t="shared" si="950"/>
        <v>0</v>
      </c>
      <c r="V4108" s="1">
        <f t="shared" si="951"/>
        <v>0</v>
      </c>
    </row>
    <row r="4109" spans="5:22" x14ac:dyDescent="0.25">
      <c r="E4109" s="4"/>
      <c r="M4109" s="4">
        <f t="shared" si="944"/>
        <v>173.1</v>
      </c>
      <c r="N4109" s="4"/>
      <c r="O4109" s="1">
        <f t="shared" si="945"/>
        <v>173.1</v>
      </c>
      <c r="P4109" s="1">
        <f t="shared" si="946"/>
        <v>0</v>
      </c>
      <c r="Q4109" s="1" t="str">
        <f t="shared" si="943"/>
        <v/>
      </c>
      <c r="R4109" s="1" t="str">
        <f t="shared" si="947"/>
        <v/>
      </c>
      <c r="S4109" s="1">
        <f t="shared" si="948"/>
        <v>630.90240000000244</v>
      </c>
      <c r="T4109" s="1">
        <f t="shared" si="949"/>
        <v>0</v>
      </c>
      <c r="U4109" s="1">
        <f t="shared" si="950"/>
        <v>0</v>
      </c>
      <c r="V4109" s="1">
        <f t="shared" si="951"/>
        <v>0</v>
      </c>
    </row>
    <row r="4110" spans="5:22" x14ac:dyDescent="0.25">
      <c r="E4110" s="4"/>
      <c r="M4110" s="4">
        <f t="shared" si="944"/>
        <v>173.1</v>
      </c>
      <c r="N4110" s="4"/>
      <c r="O4110" s="1">
        <f t="shared" si="945"/>
        <v>173.1</v>
      </c>
      <c r="P4110" s="1">
        <f t="shared" si="946"/>
        <v>0</v>
      </c>
      <c r="Q4110" s="1" t="str">
        <f t="shared" si="943"/>
        <v/>
      </c>
      <c r="R4110" s="1" t="str">
        <f t="shared" si="947"/>
        <v/>
      </c>
      <c r="S4110" s="1">
        <f t="shared" si="948"/>
        <v>630.90240000000244</v>
      </c>
      <c r="T4110" s="1">
        <f t="shared" si="949"/>
        <v>0</v>
      </c>
      <c r="U4110" s="1">
        <f t="shared" si="950"/>
        <v>0</v>
      </c>
      <c r="V4110" s="1">
        <f t="shared" si="951"/>
        <v>0</v>
      </c>
    </row>
    <row r="4111" spans="5:22" x14ac:dyDescent="0.25">
      <c r="E4111" s="4"/>
      <c r="M4111" s="4">
        <f t="shared" si="944"/>
        <v>173.1</v>
      </c>
      <c r="N4111" s="4"/>
      <c r="O4111" s="1">
        <f t="shared" si="945"/>
        <v>173.1</v>
      </c>
      <c r="P4111" s="1">
        <f t="shared" si="946"/>
        <v>0</v>
      </c>
      <c r="Q4111" s="1" t="str">
        <f t="shared" si="943"/>
        <v/>
      </c>
      <c r="R4111" s="1" t="str">
        <f t="shared" si="947"/>
        <v/>
      </c>
      <c r="S4111" s="1">
        <f t="shared" si="948"/>
        <v>630.90240000000244</v>
      </c>
      <c r="T4111" s="1">
        <f t="shared" si="949"/>
        <v>0</v>
      </c>
      <c r="U4111" s="1">
        <f t="shared" si="950"/>
        <v>0</v>
      </c>
      <c r="V4111" s="1">
        <f t="shared" si="951"/>
        <v>0</v>
      </c>
    </row>
    <row r="4112" spans="5:22" x14ac:dyDescent="0.25">
      <c r="E4112" s="4"/>
      <c r="M4112" s="4">
        <f t="shared" si="944"/>
        <v>173.1</v>
      </c>
      <c r="N4112" s="4"/>
      <c r="O4112" s="1">
        <f t="shared" si="945"/>
        <v>173.1</v>
      </c>
      <c r="P4112" s="1">
        <f t="shared" si="946"/>
        <v>0</v>
      </c>
      <c r="Q4112" s="1" t="str">
        <f t="shared" si="943"/>
        <v/>
      </c>
      <c r="R4112" s="1" t="str">
        <f t="shared" si="947"/>
        <v/>
      </c>
      <c r="S4112" s="1">
        <f t="shared" si="948"/>
        <v>630.90240000000244</v>
      </c>
      <c r="T4112" s="1">
        <f t="shared" si="949"/>
        <v>0</v>
      </c>
      <c r="U4112" s="1">
        <f t="shared" si="950"/>
        <v>0</v>
      </c>
      <c r="V4112" s="1">
        <f t="shared" si="951"/>
        <v>0</v>
      </c>
    </row>
    <row r="4113" spans="5:22" x14ac:dyDescent="0.25">
      <c r="E4113" s="4"/>
      <c r="M4113" s="4">
        <f t="shared" si="944"/>
        <v>173.1</v>
      </c>
      <c r="N4113" s="4"/>
      <c r="O4113" s="1">
        <f t="shared" si="945"/>
        <v>173.1</v>
      </c>
      <c r="P4113" s="1">
        <f t="shared" si="946"/>
        <v>0</v>
      </c>
      <c r="Q4113" s="1" t="str">
        <f t="shared" si="943"/>
        <v/>
      </c>
      <c r="R4113" s="1" t="str">
        <f t="shared" si="947"/>
        <v/>
      </c>
      <c r="S4113" s="1">
        <f t="shared" si="948"/>
        <v>630.90240000000244</v>
      </c>
      <c r="T4113" s="1">
        <f t="shared" si="949"/>
        <v>0</v>
      </c>
      <c r="U4113" s="1">
        <f t="shared" si="950"/>
        <v>0</v>
      </c>
      <c r="V4113" s="1">
        <f t="shared" si="951"/>
        <v>0</v>
      </c>
    </row>
    <row r="4114" spans="5:22" x14ac:dyDescent="0.25">
      <c r="E4114" s="4"/>
      <c r="M4114" s="4">
        <f t="shared" si="944"/>
        <v>173.1</v>
      </c>
      <c r="N4114" s="4"/>
      <c r="O4114" s="1">
        <f t="shared" si="945"/>
        <v>173.1</v>
      </c>
      <c r="P4114" s="1">
        <f t="shared" si="946"/>
        <v>0</v>
      </c>
      <c r="Q4114" s="1" t="str">
        <f t="shared" si="943"/>
        <v/>
      </c>
      <c r="R4114" s="1" t="str">
        <f t="shared" si="947"/>
        <v/>
      </c>
      <c r="S4114" s="1">
        <f t="shared" si="948"/>
        <v>630.90240000000244</v>
      </c>
      <c r="T4114" s="1">
        <f t="shared" si="949"/>
        <v>0</v>
      </c>
      <c r="U4114" s="1">
        <f t="shared" si="950"/>
        <v>0</v>
      </c>
      <c r="V4114" s="1">
        <f t="shared" si="951"/>
        <v>0</v>
      </c>
    </row>
    <row r="4115" spans="5:22" x14ac:dyDescent="0.25">
      <c r="E4115" s="4"/>
      <c r="M4115" s="4">
        <f t="shared" si="944"/>
        <v>173.1</v>
      </c>
      <c r="N4115" s="4"/>
      <c r="O4115" s="1">
        <f t="shared" si="945"/>
        <v>173.1</v>
      </c>
      <c r="P4115" s="1">
        <f t="shared" si="946"/>
        <v>0</v>
      </c>
      <c r="Q4115" s="1" t="str">
        <f t="shared" si="943"/>
        <v/>
      </c>
      <c r="R4115" s="1" t="str">
        <f t="shared" si="947"/>
        <v/>
      </c>
      <c r="S4115" s="1">
        <f t="shared" si="948"/>
        <v>630.90240000000244</v>
      </c>
      <c r="T4115" s="1">
        <f t="shared" si="949"/>
        <v>0</v>
      </c>
      <c r="U4115" s="1">
        <f t="shared" si="950"/>
        <v>0</v>
      </c>
      <c r="V4115" s="1">
        <f t="shared" si="951"/>
        <v>0</v>
      </c>
    </row>
    <row r="4116" spans="5:22" x14ac:dyDescent="0.25">
      <c r="E4116" s="4"/>
      <c r="M4116" s="4">
        <f t="shared" si="944"/>
        <v>173.1</v>
      </c>
      <c r="N4116" s="4"/>
      <c r="O4116" s="1">
        <f t="shared" si="945"/>
        <v>173.1</v>
      </c>
      <c r="P4116" s="1">
        <f t="shared" si="946"/>
        <v>0</v>
      </c>
      <c r="Q4116" s="1" t="str">
        <f t="shared" si="943"/>
        <v/>
      </c>
      <c r="R4116" s="1" t="str">
        <f t="shared" si="947"/>
        <v/>
      </c>
      <c r="S4116" s="1">
        <f t="shared" si="948"/>
        <v>630.90240000000244</v>
      </c>
      <c r="T4116" s="1">
        <f t="shared" si="949"/>
        <v>0</v>
      </c>
      <c r="U4116" s="1">
        <f t="shared" si="950"/>
        <v>0</v>
      </c>
      <c r="V4116" s="1">
        <f t="shared" si="951"/>
        <v>0</v>
      </c>
    </row>
    <row r="4117" spans="5:22" x14ac:dyDescent="0.25">
      <c r="E4117" s="4"/>
      <c r="M4117" s="4">
        <f t="shared" si="944"/>
        <v>173.1</v>
      </c>
      <c r="N4117" s="4"/>
      <c r="O4117" s="1">
        <f t="shared" si="945"/>
        <v>173.1</v>
      </c>
      <c r="P4117" s="1">
        <f t="shared" si="946"/>
        <v>0</v>
      </c>
      <c r="Q4117" s="1" t="str">
        <f t="shared" si="943"/>
        <v/>
      </c>
      <c r="R4117" s="1" t="str">
        <f t="shared" si="947"/>
        <v/>
      </c>
      <c r="S4117" s="1">
        <f t="shared" si="948"/>
        <v>630.90240000000244</v>
      </c>
      <c r="T4117" s="1">
        <f t="shared" si="949"/>
        <v>0</v>
      </c>
      <c r="U4117" s="1">
        <f t="shared" si="950"/>
        <v>0</v>
      </c>
      <c r="V4117" s="1">
        <f t="shared" si="951"/>
        <v>0</v>
      </c>
    </row>
    <row r="4118" spans="5:22" x14ac:dyDescent="0.25">
      <c r="E4118" s="4"/>
      <c r="M4118" s="4">
        <f t="shared" si="944"/>
        <v>173.1</v>
      </c>
      <c r="N4118" s="4"/>
      <c r="O4118" s="1">
        <f t="shared" si="945"/>
        <v>173.1</v>
      </c>
      <c r="P4118" s="1">
        <f t="shared" si="946"/>
        <v>0</v>
      </c>
      <c r="Q4118" s="1" t="str">
        <f t="shared" si="943"/>
        <v/>
      </c>
      <c r="R4118" s="1" t="str">
        <f t="shared" si="947"/>
        <v/>
      </c>
      <c r="S4118" s="1">
        <f t="shared" si="948"/>
        <v>630.90240000000244</v>
      </c>
      <c r="T4118" s="1">
        <f t="shared" si="949"/>
        <v>0</v>
      </c>
      <c r="U4118" s="1">
        <f t="shared" si="950"/>
        <v>0</v>
      </c>
      <c r="V4118" s="1">
        <f t="shared" si="951"/>
        <v>0</v>
      </c>
    </row>
    <row r="4119" spans="5:22" x14ac:dyDescent="0.25">
      <c r="E4119" s="4"/>
      <c r="M4119" s="4">
        <f t="shared" si="944"/>
        <v>173.1</v>
      </c>
      <c r="N4119" s="4"/>
      <c r="O4119" s="1">
        <f t="shared" si="945"/>
        <v>173.1</v>
      </c>
      <c r="P4119" s="1">
        <f t="shared" si="946"/>
        <v>0</v>
      </c>
      <c r="Q4119" s="1" t="str">
        <f t="shared" si="943"/>
        <v/>
      </c>
      <c r="R4119" s="1" t="str">
        <f t="shared" si="947"/>
        <v/>
      </c>
      <c r="S4119" s="1">
        <f t="shared" si="948"/>
        <v>630.90240000000244</v>
      </c>
      <c r="T4119" s="1">
        <f t="shared" si="949"/>
        <v>0</v>
      </c>
      <c r="U4119" s="1">
        <f t="shared" si="950"/>
        <v>0</v>
      </c>
      <c r="V4119" s="1">
        <f t="shared" si="951"/>
        <v>0</v>
      </c>
    </row>
    <row r="4120" spans="5:22" x14ac:dyDescent="0.25">
      <c r="E4120" s="4"/>
      <c r="M4120" s="4">
        <f t="shared" si="944"/>
        <v>173.1</v>
      </c>
      <c r="N4120" s="4"/>
      <c r="O4120" s="1">
        <f t="shared" si="945"/>
        <v>173.1</v>
      </c>
      <c r="P4120" s="1">
        <f t="shared" si="946"/>
        <v>0</v>
      </c>
      <c r="Q4120" s="1" t="str">
        <f t="shared" si="943"/>
        <v/>
      </c>
      <c r="R4120" s="1" t="str">
        <f t="shared" si="947"/>
        <v/>
      </c>
      <c r="S4120" s="1">
        <f t="shared" si="948"/>
        <v>630.90240000000244</v>
      </c>
      <c r="T4120" s="1">
        <f t="shared" si="949"/>
        <v>0</v>
      </c>
      <c r="U4120" s="1">
        <f t="shared" si="950"/>
        <v>0</v>
      </c>
      <c r="V4120" s="1">
        <f t="shared" si="951"/>
        <v>0</v>
      </c>
    </row>
    <row r="4121" spans="5:22" x14ac:dyDescent="0.25">
      <c r="E4121" s="4"/>
      <c r="M4121" s="4">
        <f t="shared" si="944"/>
        <v>173.1</v>
      </c>
      <c r="N4121" s="4"/>
      <c r="O4121" s="1">
        <f t="shared" si="945"/>
        <v>173.1</v>
      </c>
      <c r="P4121" s="1">
        <f t="shared" si="946"/>
        <v>0</v>
      </c>
      <c r="Q4121" s="1" t="str">
        <f t="shared" si="943"/>
        <v/>
      </c>
      <c r="R4121" s="1" t="str">
        <f t="shared" si="947"/>
        <v/>
      </c>
      <c r="S4121" s="1">
        <f t="shared" si="948"/>
        <v>630.90240000000244</v>
      </c>
      <c r="T4121" s="1">
        <f t="shared" si="949"/>
        <v>0</v>
      </c>
      <c r="U4121" s="1">
        <f t="shared" si="950"/>
        <v>0</v>
      </c>
      <c r="V4121" s="1">
        <f t="shared" si="951"/>
        <v>0</v>
      </c>
    </row>
    <row r="4122" spans="5:22" x14ac:dyDescent="0.25">
      <c r="E4122" s="4"/>
      <c r="M4122" s="4">
        <f t="shared" si="944"/>
        <v>173.1</v>
      </c>
      <c r="N4122" s="4"/>
      <c r="O4122" s="1">
        <f t="shared" si="945"/>
        <v>173.1</v>
      </c>
      <c r="P4122" s="1">
        <f t="shared" si="946"/>
        <v>0</v>
      </c>
      <c r="Q4122" s="1" t="str">
        <f t="shared" si="943"/>
        <v/>
      </c>
      <c r="R4122" s="1" t="str">
        <f t="shared" si="947"/>
        <v/>
      </c>
      <c r="S4122" s="1">
        <f t="shared" si="948"/>
        <v>630.90240000000244</v>
      </c>
      <c r="T4122" s="1">
        <f t="shared" si="949"/>
        <v>0</v>
      </c>
      <c r="U4122" s="1">
        <f t="shared" si="950"/>
        <v>0</v>
      </c>
      <c r="V4122" s="1">
        <f t="shared" si="951"/>
        <v>0</v>
      </c>
    </row>
    <row r="4123" spans="5:22" x14ac:dyDescent="0.25">
      <c r="E4123" s="4"/>
      <c r="M4123" s="4">
        <f t="shared" si="944"/>
        <v>173.1</v>
      </c>
      <c r="N4123" s="4"/>
      <c r="O4123" s="1">
        <f t="shared" si="945"/>
        <v>173.1</v>
      </c>
      <c r="P4123" s="1">
        <f t="shared" si="946"/>
        <v>0</v>
      </c>
      <c r="Q4123" s="1" t="str">
        <f t="shared" si="943"/>
        <v/>
      </c>
      <c r="R4123" s="1" t="str">
        <f t="shared" si="947"/>
        <v/>
      </c>
      <c r="S4123" s="1">
        <f t="shared" si="948"/>
        <v>630.90240000000244</v>
      </c>
      <c r="T4123" s="1">
        <f t="shared" si="949"/>
        <v>0</v>
      </c>
      <c r="U4123" s="1">
        <f t="shared" si="950"/>
        <v>0</v>
      </c>
      <c r="V4123" s="1">
        <f t="shared" si="951"/>
        <v>0</v>
      </c>
    </row>
    <row r="4124" spans="5:22" x14ac:dyDescent="0.25">
      <c r="E4124" s="4"/>
      <c r="M4124" s="4">
        <f t="shared" si="944"/>
        <v>173.1</v>
      </c>
      <c r="N4124" s="4"/>
      <c r="O4124" s="1">
        <f t="shared" si="945"/>
        <v>173.1</v>
      </c>
      <c r="P4124" s="1">
        <f t="shared" si="946"/>
        <v>0</v>
      </c>
      <c r="Q4124" s="1" t="str">
        <f t="shared" si="943"/>
        <v/>
      </c>
      <c r="R4124" s="1" t="str">
        <f t="shared" si="947"/>
        <v/>
      </c>
      <c r="S4124" s="1">
        <f t="shared" si="948"/>
        <v>630.90240000000244</v>
      </c>
      <c r="T4124" s="1">
        <f t="shared" si="949"/>
        <v>0</v>
      </c>
      <c r="U4124" s="1">
        <f t="shared" si="950"/>
        <v>0</v>
      </c>
      <c r="V4124" s="1">
        <f t="shared" si="951"/>
        <v>0</v>
      </c>
    </row>
    <row r="4125" spans="5:22" x14ac:dyDescent="0.25">
      <c r="E4125" s="4"/>
      <c r="M4125" s="4">
        <f t="shared" si="944"/>
        <v>173.1</v>
      </c>
      <c r="N4125" s="4"/>
      <c r="O4125" s="1">
        <f t="shared" si="945"/>
        <v>173.1</v>
      </c>
      <c r="P4125" s="1">
        <f t="shared" si="946"/>
        <v>0</v>
      </c>
      <c r="Q4125" s="1" t="str">
        <f t="shared" si="943"/>
        <v/>
      </c>
      <c r="R4125" s="1" t="str">
        <f t="shared" si="947"/>
        <v/>
      </c>
      <c r="S4125" s="1">
        <f t="shared" si="948"/>
        <v>630.90240000000244</v>
      </c>
      <c r="T4125" s="1">
        <f t="shared" si="949"/>
        <v>0</v>
      </c>
      <c r="U4125" s="1">
        <f t="shared" si="950"/>
        <v>0</v>
      </c>
      <c r="V4125" s="1">
        <f t="shared" si="951"/>
        <v>0</v>
      </c>
    </row>
    <row r="4126" spans="5:22" x14ac:dyDescent="0.25">
      <c r="E4126" s="4"/>
      <c r="M4126" s="4">
        <f t="shared" si="944"/>
        <v>173.1</v>
      </c>
      <c r="N4126" s="4"/>
      <c r="O4126" s="1">
        <f t="shared" si="945"/>
        <v>173.1</v>
      </c>
      <c r="P4126" s="1">
        <f t="shared" si="946"/>
        <v>0</v>
      </c>
      <c r="Q4126" s="1" t="str">
        <f t="shared" si="943"/>
        <v/>
      </c>
      <c r="R4126" s="1" t="str">
        <f t="shared" si="947"/>
        <v/>
      </c>
      <c r="S4126" s="1">
        <f t="shared" si="948"/>
        <v>630.90240000000244</v>
      </c>
      <c r="T4126" s="1">
        <f t="shared" si="949"/>
        <v>0</v>
      </c>
      <c r="U4126" s="1">
        <f t="shared" si="950"/>
        <v>0</v>
      </c>
      <c r="V4126" s="1">
        <f t="shared" si="951"/>
        <v>0</v>
      </c>
    </row>
    <row r="4127" spans="5:22" x14ac:dyDescent="0.25">
      <c r="E4127" s="4"/>
      <c r="M4127" s="4">
        <f t="shared" si="944"/>
        <v>173.1</v>
      </c>
      <c r="N4127" s="4"/>
      <c r="O4127" s="1">
        <f t="shared" si="945"/>
        <v>173.1</v>
      </c>
      <c r="P4127" s="1">
        <f t="shared" si="946"/>
        <v>0</v>
      </c>
      <c r="Q4127" s="1" t="str">
        <f t="shared" si="943"/>
        <v/>
      </c>
      <c r="R4127" s="1" t="str">
        <f t="shared" si="947"/>
        <v/>
      </c>
      <c r="S4127" s="1">
        <f t="shared" si="948"/>
        <v>630.90240000000244</v>
      </c>
      <c r="T4127" s="1">
        <f t="shared" si="949"/>
        <v>0</v>
      </c>
      <c r="U4127" s="1">
        <f t="shared" si="950"/>
        <v>0</v>
      </c>
      <c r="V4127" s="1">
        <f t="shared" si="951"/>
        <v>0</v>
      </c>
    </row>
    <row r="4128" spans="5:22" x14ac:dyDescent="0.25">
      <c r="E4128" s="4"/>
      <c r="M4128" s="4">
        <f t="shared" si="944"/>
        <v>173.1</v>
      </c>
      <c r="N4128" s="4"/>
      <c r="O4128" s="1">
        <f t="shared" si="945"/>
        <v>173.1</v>
      </c>
      <c r="P4128" s="1">
        <f t="shared" si="946"/>
        <v>0</v>
      </c>
      <c r="Q4128" s="1" t="str">
        <f t="shared" si="943"/>
        <v/>
      </c>
      <c r="R4128" s="1" t="str">
        <f t="shared" si="947"/>
        <v/>
      </c>
      <c r="S4128" s="1">
        <f t="shared" si="948"/>
        <v>630.90240000000244</v>
      </c>
      <c r="T4128" s="1">
        <f t="shared" si="949"/>
        <v>0</v>
      </c>
      <c r="U4128" s="1">
        <f t="shared" si="950"/>
        <v>0</v>
      </c>
      <c r="V4128" s="1">
        <f t="shared" si="951"/>
        <v>0</v>
      </c>
    </row>
    <row r="4129" spans="5:22" x14ac:dyDescent="0.25">
      <c r="E4129" s="4"/>
      <c r="M4129" s="4">
        <f t="shared" si="944"/>
        <v>173.1</v>
      </c>
      <c r="N4129" s="4"/>
      <c r="O4129" s="1">
        <f t="shared" si="945"/>
        <v>173.1</v>
      </c>
      <c r="P4129" s="1">
        <f t="shared" si="946"/>
        <v>0</v>
      </c>
      <c r="Q4129" s="1" t="str">
        <f t="shared" si="943"/>
        <v/>
      </c>
      <c r="R4129" s="1" t="str">
        <f t="shared" si="947"/>
        <v/>
      </c>
      <c r="S4129" s="1">
        <f t="shared" si="948"/>
        <v>630.90240000000244</v>
      </c>
      <c r="T4129" s="1">
        <f t="shared" si="949"/>
        <v>0</v>
      </c>
      <c r="U4129" s="1">
        <f t="shared" si="950"/>
        <v>0</v>
      </c>
      <c r="V4129" s="1">
        <f t="shared" si="951"/>
        <v>0</v>
      </c>
    </row>
    <row r="4130" spans="5:22" x14ac:dyDescent="0.25">
      <c r="E4130" s="4"/>
      <c r="M4130" s="4">
        <f t="shared" si="944"/>
        <v>173.1</v>
      </c>
      <c r="N4130" s="4"/>
      <c r="O4130" s="1">
        <f t="shared" si="945"/>
        <v>173.1</v>
      </c>
      <c r="P4130" s="1">
        <f t="shared" si="946"/>
        <v>0</v>
      </c>
      <c r="Q4130" s="1" t="str">
        <f t="shared" si="943"/>
        <v/>
      </c>
      <c r="R4130" s="1" t="str">
        <f t="shared" si="947"/>
        <v/>
      </c>
      <c r="S4130" s="1">
        <f t="shared" si="948"/>
        <v>630.90240000000244</v>
      </c>
      <c r="T4130" s="1">
        <f t="shared" si="949"/>
        <v>0</v>
      </c>
      <c r="U4130" s="1">
        <f t="shared" si="950"/>
        <v>0</v>
      </c>
      <c r="V4130" s="1">
        <f t="shared" si="951"/>
        <v>0</v>
      </c>
    </row>
    <row r="4131" spans="5:22" x14ac:dyDescent="0.25">
      <c r="E4131" s="4"/>
      <c r="M4131" s="4">
        <f t="shared" si="944"/>
        <v>173.1</v>
      </c>
      <c r="N4131" s="4"/>
      <c r="O4131" s="1">
        <f t="shared" si="945"/>
        <v>173.1</v>
      </c>
      <c r="P4131" s="1">
        <f t="shared" si="946"/>
        <v>0</v>
      </c>
      <c r="Q4131" s="1" t="str">
        <f t="shared" si="943"/>
        <v/>
      </c>
      <c r="R4131" s="1" t="str">
        <f t="shared" si="947"/>
        <v/>
      </c>
      <c r="S4131" s="1">
        <f t="shared" si="948"/>
        <v>630.90240000000244</v>
      </c>
      <c r="T4131" s="1">
        <f t="shared" si="949"/>
        <v>0</v>
      </c>
      <c r="U4131" s="1">
        <f t="shared" si="950"/>
        <v>0</v>
      </c>
      <c r="V4131" s="1">
        <f t="shared" si="951"/>
        <v>0</v>
      </c>
    </row>
    <row r="4132" spans="5:22" x14ac:dyDescent="0.25">
      <c r="E4132" s="4"/>
      <c r="M4132" s="4">
        <f t="shared" si="944"/>
        <v>173.1</v>
      </c>
      <c r="N4132" s="4"/>
      <c r="O4132" s="1">
        <f t="shared" si="945"/>
        <v>173.1</v>
      </c>
      <c r="P4132" s="1">
        <f t="shared" si="946"/>
        <v>0</v>
      </c>
      <c r="Q4132" s="1" t="str">
        <f t="shared" si="943"/>
        <v/>
      </c>
      <c r="R4132" s="1" t="str">
        <f t="shared" si="947"/>
        <v/>
      </c>
      <c r="S4132" s="1">
        <f t="shared" si="948"/>
        <v>630.90240000000244</v>
      </c>
      <c r="T4132" s="1">
        <f t="shared" si="949"/>
        <v>0</v>
      </c>
      <c r="U4132" s="1">
        <f t="shared" si="950"/>
        <v>0</v>
      </c>
      <c r="V4132" s="1">
        <f t="shared" si="951"/>
        <v>0</v>
      </c>
    </row>
    <row r="4133" spans="5:22" x14ac:dyDescent="0.25">
      <c r="E4133" s="4"/>
      <c r="M4133" s="4">
        <f t="shared" si="944"/>
        <v>173.1</v>
      </c>
      <c r="N4133" s="4"/>
      <c r="O4133" s="1">
        <f t="shared" si="945"/>
        <v>173.1</v>
      </c>
      <c r="P4133" s="1">
        <f t="shared" si="946"/>
        <v>0</v>
      </c>
      <c r="Q4133" s="1" t="str">
        <f t="shared" si="943"/>
        <v/>
      </c>
      <c r="R4133" s="1" t="str">
        <f t="shared" si="947"/>
        <v/>
      </c>
      <c r="S4133" s="1">
        <f t="shared" si="948"/>
        <v>630.90240000000244</v>
      </c>
      <c r="T4133" s="1">
        <f t="shared" si="949"/>
        <v>0</v>
      </c>
      <c r="U4133" s="1">
        <f t="shared" si="950"/>
        <v>0</v>
      </c>
      <c r="V4133" s="1">
        <f t="shared" si="951"/>
        <v>0</v>
      </c>
    </row>
    <row r="4134" spans="5:22" x14ac:dyDescent="0.25">
      <c r="E4134" s="4"/>
      <c r="M4134" s="4">
        <f t="shared" si="944"/>
        <v>173.1</v>
      </c>
      <c r="N4134" s="4"/>
      <c r="O4134" s="1">
        <f t="shared" si="945"/>
        <v>173.1</v>
      </c>
      <c r="P4134" s="1">
        <f t="shared" si="946"/>
        <v>0</v>
      </c>
      <c r="Q4134" s="1" t="str">
        <f t="shared" si="943"/>
        <v/>
      </c>
      <c r="R4134" s="1" t="str">
        <f t="shared" si="947"/>
        <v/>
      </c>
      <c r="S4134" s="1">
        <f t="shared" si="948"/>
        <v>630.90240000000244</v>
      </c>
      <c r="T4134" s="1">
        <f t="shared" si="949"/>
        <v>0</v>
      </c>
      <c r="U4134" s="1">
        <f t="shared" si="950"/>
        <v>0</v>
      </c>
      <c r="V4134" s="1">
        <f t="shared" si="951"/>
        <v>0</v>
      </c>
    </row>
    <row r="4135" spans="5:22" x14ac:dyDescent="0.25">
      <c r="E4135" s="4"/>
      <c r="M4135" s="4">
        <f t="shared" si="944"/>
        <v>173.1</v>
      </c>
      <c r="N4135" s="4"/>
      <c r="O4135" s="1">
        <f t="shared" si="945"/>
        <v>173.1</v>
      </c>
      <c r="P4135" s="1">
        <f t="shared" si="946"/>
        <v>0</v>
      </c>
      <c r="Q4135" s="1" t="str">
        <f t="shared" si="943"/>
        <v/>
      </c>
      <c r="R4135" s="1" t="str">
        <f t="shared" si="947"/>
        <v/>
      </c>
      <c r="S4135" s="1">
        <f t="shared" si="948"/>
        <v>630.90240000000244</v>
      </c>
      <c r="T4135" s="1">
        <f t="shared" si="949"/>
        <v>0</v>
      </c>
      <c r="U4135" s="1">
        <f t="shared" si="950"/>
        <v>0</v>
      </c>
      <c r="V4135" s="1">
        <f t="shared" si="951"/>
        <v>0</v>
      </c>
    </row>
    <row r="4136" spans="5:22" x14ac:dyDescent="0.25">
      <c r="E4136" s="4"/>
      <c r="M4136" s="4">
        <f t="shared" si="944"/>
        <v>173.1</v>
      </c>
      <c r="N4136" s="4"/>
      <c r="O4136" s="1">
        <f t="shared" si="945"/>
        <v>173.1</v>
      </c>
      <c r="P4136" s="1">
        <f t="shared" si="946"/>
        <v>0</v>
      </c>
      <c r="Q4136" s="1" t="str">
        <f t="shared" si="943"/>
        <v/>
      </c>
      <c r="R4136" s="1" t="str">
        <f t="shared" si="947"/>
        <v/>
      </c>
      <c r="S4136" s="1">
        <f t="shared" si="948"/>
        <v>630.90240000000244</v>
      </c>
      <c r="T4136" s="1">
        <f t="shared" si="949"/>
        <v>0</v>
      </c>
      <c r="U4136" s="1">
        <f t="shared" si="950"/>
        <v>0</v>
      </c>
      <c r="V4136" s="1">
        <f t="shared" si="951"/>
        <v>0</v>
      </c>
    </row>
    <row r="4137" spans="5:22" x14ac:dyDescent="0.25">
      <c r="E4137" s="4"/>
      <c r="M4137" s="4">
        <f t="shared" si="944"/>
        <v>173.1</v>
      </c>
      <c r="N4137" s="4"/>
      <c r="O4137" s="1">
        <f t="shared" si="945"/>
        <v>173.1</v>
      </c>
      <c r="P4137" s="1">
        <f t="shared" si="946"/>
        <v>0</v>
      </c>
      <c r="Q4137" s="1" t="str">
        <f t="shared" si="943"/>
        <v/>
      </c>
      <c r="R4137" s="1" t="str">
        <f t="shared" si="947"/>
        <v/>
      </c>
      <c r="S4137" s="1">
        <f t="shared" si="948"/>
        <v>630.90240000000244</v>
      </c>
      <c r="T4137" s="1">
        <f t="shared" si="949"/>
        <v>0</v>
      </c>
      <c r="U4137" s="1">
        <f t="shared" si="950"/>
        <v>0</v>
      </c>
      <c r="V4137" s="1">
        <f t="shared" si="951"/>
        <v>0</v>
      </c>
    </row>
    <row r="4138" spans="5:22" x14ac:dyDescent="0.25">
      <c r="E4138" s="4"/>
      <c r="M4138" s="4">
        <f t="shared" si="944"/>
        <v>173.1</v>
      </c>
      <c r="N4138" s="4"/>
      <c r="O4138" s="1">
        <f t="shared" si="945"/>
        <v>173.1</v>
      </c>
      <c r="P4138" s="1">
        <f t="shared" si="946"/>
        <v>0</v>
      </c>
      <c r="Q4138" s="1" t="str">
        <f t="shared" si="943"/>
        <v/>
      </c>
      <c r="R4138" s="1" t="str">
        <f t="shared" si="947"/>
        <v/>
      </c>
      <c r="S4138" s="1">
        <f t="shared" si="948"/>
        <v>630.90240000000244</v>
      </c>
      <c r="T4138" s="1">
        <f t="shared" si="949"/>
        <v>0</v>
      </c>
      <c r="U4138" s="1">
        <f t="shared" si="950"/>
        <v>0</v>
      </c>
      <c r="V4138" s="1">
        <f t="shared" si="951"/>
        <v>0</v>
      </c>
    </row>
    <row r="4139" spans="5:22" x14ac:dyDescent="0.25">
      <c r="E4139" s="4"/>
      <c r="M4139" s="4">
        <f t="shared" si="944"/>
        <v>173.1</v>
      </c>
      <c r="N4139" s="4"/>
      <c r="O4139" s="1">
        <f t="shared" si="945"/>
        <v>173.1</v>
      </c>
      <c r="P4139" s="1">
        <f t="shared" si="946"/>
        <v>0</v>
      </c>
      <c r="Q4139" s="1" t="str">
        <f t="shared" si="943"/>
        <v/>
      </c>
      <c r="R4139" s="1" t="str">
        <f t="shared" si="947"/>
        <v/>
      </c>
      <c r="S4139" s="1">
        <f t="shared" si="948"/>
        <v>630.90240000000244</v>
      </c>
      <c r="T4139" s="1">
        <f t="shared" si="949"/>
        <v>0</v>
      </c>
      <c r="U4139" s="1">
        <f t="shared" si="950"/>
        <v>0</v>
      </c>
      <c r="V4139" s="1">
        <f t="shared" si="951"/>
        <v>0</v>
      </c>
    </row>
    <row r="4140" spans="5:22" x14ac:dyDescent="0.25">
      <c r="E4140" s="4"/>
      <c r="M4140" s="4">
        <f t="shared" si="944"/>
        <v>173.1</v>
      </c>
      <c r="N4140" s="4"/>
      <c r="O4140" s="1">
        <f t="shared" si="945"/>
        <v>173.1</v>
      </c>
      <c r="P4140" s="1">
        <f t="shared" si="946"/>
        <v>0</v>
      </c>
      <c r="Q4140" s="1" t="str">
        <f t="shared" si="943"/>
        <v/>
      </c>
      <c r="R4140" s="1" t="str">
        <f t="shared" si="947"/>
        <v/>
      </c>
      <c r="S4140" s="1">
        <f t="shared" si="948"/>
        <v>630.90240000000244</v>
      </c>
      <c r="T4140" s="1">
        <f t="shared" si="949"/>
        <v>0</v>
      </c>
      <c r="U4140" s="1">
        <f t="shared" si="950"/>
        <v>0</v>
      </c>
      <c r="V4140" s="1">
        <f t="shared" si="951"/>
        <v>0</v>
      </c>
    </row>
    <row r="4141" spans="5:22" x14ac:dyDescent="0.25">
      <c r="E4141" s="4"/>
      <c r="M4141" s="4">
        <f t="shared" si="944"/>
        <v>173.1</v>
      </c>
      <c r="N4141" s="4"/>
      <c r="O4141" s="1">
        <f t="shared" si="945"/>
        <v>173.1</v>
      </c>
      <c r="P4141" s="1">
        <f t="shared" si="946"/>
        <v>0</v>
      </c>
      <c r="Q4141" s="1" t="str">
        <f t="shared" si="943"/>
        <v/>
      </c>
      <c r="R4141" s="1" t="str">
        <f t="shared" si="947"/>
        <v/>
      </c>
      <c r="S4141" s="1">
        <f t="shared" si="948"/>
        <v>630.90240000000244</v>
      </c>
      <c r="T4141" s="1">
        <f t="shared" si="949"/>
        <v>0</v>
      </c>
      <c r="U4141" s="1">
        <f t="shared" si="950"/>
        <v>0</v>
      </c>
      <c r="V4141" s="1">
        <f t="shared" si="951"/>
        <v>0</v>
      </c>
    </row>
    <row r="4142" spans="5:22" x14ac:dyDescent="0.25">
      <c r="E4142" s="4"/>
      <c r="M4142" s="4">
        <f t="shared" si="944"/>
        <v>173.1</v>
      </c>
      <c r="N4142" s="4"/>
      <c r="O4142" s="1">
        <f t="shared" si="945"/>
        <v>173.1</v>
      </c>
      <c r="P4142" s="1">
        <f t="shared" si="946"/>
        <v>0</v>
      </c>
      <c r="Q4142" s="1" t="str">
        <f t="shared" si="943"/>
        <v/>
      </c>
      <c r="R4142" s="1" t="str">
        <f t="shared" si="947"/>
        <v/>
      </c>
      <c r="S4142" s="1">
        <f t="shared" si="948"/>
        <v>630.90240000000244</v>
      </c>
      <c r="T4142" s="1">
        <f t="shared" si="949"/>
        <v>0</v>
      </c>
      <c r="U4142" s="1">
        <f t="shared" si="950"/>
        <v>0</v>
      </c>
      <c r="V4142" s="1">
        <f t="shared" si="951"/>
        <v>0</v>
      </c>
    </row>
    <row r="4143" spans="5:22" x14ac:dyDescent="0.25">
      <c r="E4143" s="4"/>
      <c r="M4143" s="4">
        <f t="shared" si="944"/>
        <v>173.1</v>
      </c>
      <c r="N4143" s="4"/>
      <c r="O4143" s="1">
        <f t="shared" si="945"/>
        <v>173.1</v>
      </c>
      <c r="P4143" s="1">
        <f t="shared" si="946"/>
        <v>0</v>
      </c>
      <c r="Q4143" s="1" t="str">
        <f t="shared" si="943"/>
        <v/>
      </c>
      <c r="R4143" s="1" t="str">
        <f t="shared" si="947"/>
        <v/>
      </c>
      <c r="S4143" s="1">
        <f t="shared" si="948"/>
        <v>630.90240000000244</v>
      </c>
      <c r="T4143" s="1">
        <f t="shared" si="949"/>
        <v>0</v>
      </c>
      <c r="U4143" s="1">
        <f t="shared" si="950"/>
        <v>0</v>
      </c>
      <c r="V4143" s="1">
        <f t="shared" si="951"/>
        <v>0</v>
      </c>
    </row>
    <row r="4144" spans="5:22" x14ac:dyDescent="0.25">
      <c r="E4144" s="4"/>
      <c r="M4144" s="4">
        <f t="shared" si="944"/>
        <v>173.1</v>
      </c>
      <c r="N4144" s="4"/>
      <c r="O4144" s="1">
        <f t="shared" si="945"/>
        <v>173.1</v>
      </c>
      <c r="P4144" s="1">
        <f t="shared" si="946"/>
        <v>0</v>
      </c>
      <c r="Q4144" s="1" t="str">
        <f t="shared" si="943"/>
        <v/>
      </c>
      <c r="R4144" s="1" t="str">
        <f t="shared" si="947"/>
        <v/>
      </c>
      <c r="S4144" s="1">
        <f t="shared" si="948"/>
        <v>630.90240000000244</v>
      </c>
      <c r="T4144" s="1">
        <f t="shared" si="949"/>
        <v>0</v>
      </c>
      <c r="U4144" s="1">
        <f t="shared" si="950"/>
        <v>0</v>
      </c>
      <c r="V4144" s="1">
        <f t="shared" si="951"/>
        <v>0</v>
      </c>
    </row>
    <row r="4145" spans="5:22" x14ac:dyDescent="0.25">
      <c r="E4145" s="4"/>
      <c r="M4145" s="4">
        <f t="shared" si="944"/>
        <v>173.1</v>
      </c>
      <c r="N4145" s="4"/>
      <c r="O4145" s="1">
        <f t="shared" si="945"/>
        <v>173.1</v>
      </c>
      <c r="P4145" s="1">
        <f t="shared" si="946"/>
        <v>0</v>
      </c>
      <c r="Q4145" s="1" t="str">
        <f t="shared" si="943"/>
        <v/>
      </c>
      <c r="R4145" s="1" t="str">
        <f t="shared" si="947"/>
        <v/>
      </c>
      <c r="S4145" s="1">
        <f t="shared" si="948"/>
        <v>630.90240000000244</v>
      </c>
      <c r="T4145" s="1">
        <f t="shared" si="949"/>
        <v>0</v>
      </c>
      <c r="U4145" s="1">
        <f t="shared" si="950"/>
        <v>0</v>
      </c>
      <c r="V4145" s="1">
        <f t="shared" si="951"/>
        <v>0</v>
      </c>
    </row>
    <row r="4146" spans="5:22" x14ac:dyDescent="0.25">
      <c r="E4146" s="4"/>
      <c r="M4146" s="4">
        <f t="shared" si="944"/>
        <v>173.1</v>
      </c>
      <c r="N4146" s="4"/>
      <c r="O4146" s="1">
        <f t="shared" si="945"/>
        <v>173.1</v>
      </c>
      <c r="P4146" s="1">
        <f t="shared" si="946"/>
        <v>0</v>
      </c>
      <c r="Q4146" s="1" t="str">
        <f t="shared" ref="Q4146:Q4209" si="952">IF(H4146&lt;&gt;"",IF(H4146=H4145,"",H4146),IF(H4144="","",MAX(H4145,Q4145)))</f>
        <v/>
      </c>
      <c r="R4146" s="1" t="str">
        <f t="shared" si="947"/>
        <v/>
      </c>
      <c r="S4146" s="1">
        <f t="shared" si="948"/>
        <v>630.90240000000244</v>
      </c>
      <c r="T4146" s="1">
        <f t="shared" si="949"/>
        <v>0</v>
      </c>
      <c r="U4146" s="1">
        <f t="shared" si="950"/>
        <v>0</v>
      </c>
      <c r="V4146" s="1">
        <f t="shared" si="951"/>
        <v>0</v>
      </c>
    </row>
    <row r="4147" spans="5:22" x14ac:dyDescent="0.25">
      <c r="E4147" s="4"/>
      <c r="M4147" s="4">
        <f t="shared" si="944"/>
        <v>173.1</v>
      </c>
      <c r="N4147" s="4"/>
      <c r="O4147" s="1">
        <f t="shared" si="945"/>
        <v>173.1</v>
      </c>
      <c r="P4147" s="1">
        <f t="shared" si="946"/>
        <v>0</v>
      </c>
      <c r="Q4147" s="1" t="str">
        <f t="shared" si="952"/>
        <v/>
      </c>
      <c r="R4147" s="1" t="str">
        <f t="shared" si="947"/>
        <v/>
      </c>
      <c r="S4147" s="1">
        <f t="shared" si="948"/>
        <v>630.90240000000244</v>
      </c>
      <c r="T4147" s="1">
        <f t="shared" si="949"/>
        <v>0</v>
      </c>
      <c r="U4147" s="1">
        <f t="shared" si="950"/>
        <v>0</v>
      </c>
      <c r="V4147" s="1">
        <f t="shared" si="951"/>
        <v>0</v>
      </c>
    </row>
    <row r="4148" spans="5:22" x14ac:dyDescent="0.25">
      <c r="E4148" s="4"/>
      <c r="M4148" s="4">
        <f t="shared" si="944"/>
        <v>173.1</v>
      </c>
      <c r="N4148" s="4"/>
      <c r="O4148" s="1">
        <f t="shared" si="945"/>
        <v>173.1</v>
      </c>
      <c r="P4148" s="1">
        <f t="shared" si="946"/>
        <v>0</v>
      </c>
      <c r="Q4148" s="1" t="str">
        <f t="shared" si="952"/>
        <v/>
      </c>
      <c r="R4148" s="1" t="str">
        <f t="shared" si="947"/>
        <v/>
      </c>
      <c r="S4148" s="1">
        <f t="shared" si="948"/>
        <v>630.90240000000244</v>
      </c>
      <c r="T4148" s="1">
        <f t="shared" si="949"/>
        <v>0</v>
      </c>
      <c r="U4148" s="1">
        <f t="shared" si="950"/>
        <v>0</v>
      </c>
      <c r="V4148" s="1">
        <f t="shared" si="951"/>
        <v>0</v>
      </c>
    </row>
    <row r="4149" spans="5:22" x14ac:dyDescent="0.25">
      <c r="E4149" s="4"/>
      <c r="M4149" s="4">
        <f t="shared" si="944"/>
        <v>173.1</v>
      </c>
      <c r="N4149" s="4"/>
      <c r="O4149" s="1">
        <f t="shared" si="945"/>
        <v>173.1</v>
      </c>
      <c r="P4149" s="1">
        <f t="shared" si="946"/>
        <v>0</v>
      </c>
      <c r="Q4149" s="1" t="str">
        <f t="shared" si="952"/>
        <v/>
      </c>
      <c r="R4149" s="1" t="str">
        <f t="shared" si="947"/>
        <v/>
      </c>
      <c r="S4149" s="1">
        <f t="shared" si="948"/>
        <v>630.90240000000244</v>
      </c>
      <c r="T4149" s="1">
        <f t="shared" si="949"/>
        <v>0</v>
      </c>
      <c r="U4149" s="1">
        <f t="shared" si="950"/>
        <v>0</v>
      </c>
      <c r="V4149" s="1">
        <f t="shared" si="951"/>
        <v>0</v>
      </c>
    </row>
    <row r="4150" spans="5:22" x14ac:dyDescent="0.25">
      <c r="E4150" s="4"/>
      <c r="M4150" s="4">
        <f t="shared" si="944"/>
        <v>173.1</v>
      </c>
      <c r="N4150" s="4"/>
      <c r="O4150" s="1">
        <f t="shared" si="945"/>
        <v>173.1</v>
      </c>
      <c r="P4150" s="1">
        <f t="shared" si="946"/>
        <v>0</v>
      </c>
      <c r="Q4150" s="1" t="str">
        <f t="shared" si="952"/>
        <v/>
      </c>
      <c r="R4150" s="1" t="str">
        <f t="shared" si="947"/>
        <v/>
      </c>
      <c r="S4150" s="1">
        <f t="shared" si="948"/>
        <v>630.90240000000244</v>
      </c>
      <c r="T4150" s="1">
        <f t="shared" si="949"/>
        <v>0</v>
      </c>
      <c r="U4150" s="1">
        <f t="shared" si="950"/>
        <v>0</v>
      </c>
      <c r="V4150" s="1">
        <f t="shared" si="951"/>
        <v>0</v>
      </c>
    </row>
    <row r="4151" spans="5:22" x14ac:dyDescent="0.25">
      <c r="E4151" s="4"/>
      <c r="M4151" s="4">
        <f t="shared" si="944"/>
        <v>173.1</v>
      </c>
      <c r="N4151" s="4"/>
      <c r="O4151" s="1">
        <f t="shared" si="945"/>
        <v>173.1</v>
      </c>
      <c r="P4151" s="1">
        <f t="shared" si="946"/>
        <v>0</v>
      </c>
      <c r="Q4151" s="1" t="str">
        <f t="shared" si="952"/>
        <v/>
      </c>
      <c r="R4151" s="1" t="str">
        <f t="shared" si="947"/>
        <v/>
      </c>
      <c r="S4151" s="1">
        <f t="shared" si="948"/>
        <v>630.90240000000244</v>
      </c>
      <c r="T4151" s="1">
        <f t="shared" si="949"/>
        <v>0</v>
      </c>
      <c r="U4151" s="1">
        <f t="shared" si="950"/>
        <v>0</v>
      </c>
      <c r="V4151" s="1">
        <f t="shared" si="951"/>
        <v>0</v>
      </c>
    </row>
    <row r="4152" spans="5:22" x14ac:dyDescent="0.25">
      <c r="E4152" s="4"/>
      <c r="M4152" s="4">
        <f t="shared" si="944"/>
        <v>173.1</v>
      </c>
      <c r="N4152" s="4"/>
      <c r="O4152" s="1">
        <f t="shared" si="945"/>
        <v>173.1</v>
      </c>
      <c r="P4152" s="1">
        <f t="shared" si="946"/>
        <v>0</v>
      </c>
      <c r="Q4152" s="1" t="str">
        <f t="shared" si="952"/>
        <v/>
      </c>
      <c r="R4152" s="1" t="str">
        <f t="shared" si="947"/>
        <v/>
      </c>
      <c r="S4152" s="1">
        <f t="shared" si="948"/>
        <v>630.90240000000244</v>
      </c>
      <c r="T4152" s="1">
        <f t="shared" si="949"/>
        <v>0</v>
      </c>
      <c r="U4152" s="1">
        <f t="shared" si="950"/>
        <v>0</v>
      </c>
      <c r="V4152" s="1">
        <f t="shared" si="951"/>
        <v>0</v>
      </c>
    </row>
    <row r="4153" spans="5:22" x14ac:dyDescent="0.25">
      <c r="E4153" s="4"/>
      <c r="M4153" s="4">
        <f t="shared" si="944"/>
        <v>173.1</v>
      </c>
      <c r="N4153" s="4"/>
      <c r="O4153" s="1">
        <f t="shared" si="945"/>
        <v>173.1</v>
      </c>
      <c r="P4153" s="1">
        <f t="shared" si="946"/>
        <v>0</v>
      </c>
      <c r="Q4153" s="1" t="str">
        <f t="shared" si="952"/>
        <v/>
      </c>
      <c r="R4153" s="1" t="str">
        <f t="shared" si="947"/>
        <v/>
      </c>
      <c r="S4153" s="1">
        <f t="shared" si="948"/>
        <v>630.90240000000244</v>
      </c>
      <c r="T4153" s="1">
        <f t="shared" si="949"/>
        <v>0</v>
      </c>
      <c r="U4153" s="1">
        <f t="shared" si="950"/>
        <v>0</v>
      </c>
      <c r="V4153" s="1">
        <f t="shared" si="951"/>
        <v>0</v>
      </c>
    </row>
    <row r="4154" spans="5:22" x14ac:dyDescent="0.25">
      <c r="E4154" s="4"/>
      <c r="M4154" s="4">
        <f t="shared" si="944"/>
        <v>173.1</v>
      </c>
      <c r="N4154" s="4"/>
      <c r="O4154" s="1">
        <f t="shared" si="945"/>
        <v>173.1</v>
      </c>
      <c r="P4154" s="1">
        <f t="shared" si="946"/>
        <v>0</v>
      </c>
      <c r="Q4154" s="1" t="str">
        <f t="shared" si="952"/>
        <v/>
      </c>
      <c r="R4154" s="1" t="str">
        <f t="shared" si="947"/>
        <v/>
      </c>
      <c r="S4154" s="1">
        <f t="shared" si="948"/>
        <v>630.90240000000244</v>
      </c>
      <c r="T4154" s="1">
        <f t="shared" si="949"/>
        <v>0</v>
      </c>
      <c r="U4154" s="1">
        <f t="shared" si="950"/>
        <v>0</v>
      </c>
      <c r="V4154" s="1">
        <f t="shared" si="951"/>
        <v>0</v>
      </c>
    </row>
    <row r="4155" spans="5:22" x14ac:dyDescent="0.25">
      <c r="E4155" s="4"/>
      <c r="M4155" s="4">
        <f t="shared" si="944"/>
        <v>173.1</v>
      </c>
      <c r="N4155" s="4"/>
      <c r="O4155" s="1">
        <f t="shared" si="945"/>
        <v>173.1</v>
      </c>
      <c r="P4155" s="1">
        <f t="shared" si="946"/>
        <v>0</v>
      </c>
      <c r="Q4155" s="1" t="str">
        <f t="shared" si="952"/>
        <v/>
      </c>
      <c r="R4155" s="1" t="str">
        <f t="shared" si="947"/>
        <v/>
      </c>
      <c r="S4155" s="1">
        <f t="shared" si="948"/>
        <v>630.90240000000244</v>
      </c>
      <c r="T4155" s="1">
        <f t="shared" si="949"/>
        <v>0</v>
      </c>
      <c r="U4155" s="1">
        <f t="shared" si="950"/>
        <v>0</v>
      </c>
      <c r="V4155" s="1">
        <f t="shared" si="951"/>
        <v>0</v>
      </c>
    </row>
    <row r="4156" spans="5:22" x14ac:dyDescent="0.25">
      <c r="E4156" s="4"/>
      <c r="M4156" s="4">
        <f t="shared" si="944"/>
        <v>173.1</v>
      </c>
      <c r="N4156" s="4"/>
      <c r="O4156" s="1">
        <f t="shared" si="945"/>
        <v>173.1</v>
      </c>
      <c r="P4156" s="1">
        <f t="shared" si="946"/>
        <v>0</v>
      </c>
      <c r="Q4156" s="1" t="str">
        <f t="shared" si="952"/>
        <v/>
      </c>
      <c r="R4156" s="1" t="str">
        <f t="shared" si="947"/>
        <v/>
      </c>
      <c r="S4156" s="1">
        <f t="shared" si="948"/>
        <v>630.90240000000244</v>
      </c>
      <c r="T4156" s="1">
        <f t="shared" si="949"/>
        <v>0</v>
      </c>
      <c r="U4156" s="1">
        <f t="shared" si="950"/>
        <v>0</v>
      </c>
      <c r="V4156" s="1">
        <f t="shared" si="951"/>
        <v>0</v>
      </c>
    </row>
    <row r="4157" spans="5:22" x14ac:dyDescent="0.25">
      <c r="E4157" s="4"/>
      <c r="M4157" s="4">
        <f t="shared" si="944"/>
        <v>173.1</v>
      </c>
      <c r="N4157" s="4"/>
      <c r="O4157" s="1">
        <f t="shared" si="945"/>
        <v>173.1</v>
      </c>
      <c r="P4157" s="1">
        <f t="shared" si="946"/>
        <v>0</v>
      </c>
      <c r="Q4157" s="1" t="str">
        <f t="shared" si="952"/>
        <v/>
      </c>
      <c r="R4157" s="1" t="str">
        <f t="shared" si="947"/>
        <v/>
      </c>
      <c r="S4157" s="1">
        <f t="shared" si="948"/>
        <v>630.90240000000244</v>
      </c>
      <c r="T4157" s="1">
        <f t="shared" si="949"/>
        <v>0</v>
      </c>
      <c r="U4157" s="1">
        <f t="shared" si="950"/>
        <v>0</v>
      </c>
      <c r="V4157" s="1">
        <f t="shared" si="951"/>
        <v>0</v>
      </c>
    </row>
    <row r="4158" spans="5:22" x14ac:dyDescent="0.25">
      <c r="E4158" s="4"/>
      <c r="M4158" s="4">
        <f t="shared" si="944"/>
        <v>173.1</v>
      </c>
      <c r="N4158" s="4"/>
      <c r="O4158" s="1">
        <f t="shared" si="945"/>
        <v>173.1</v>
      </c>
      <c r="P4158" s="1">
        <f t="shared" si="946"/>
        <v>0</v>
      </c>
      <c r="Q4158" s="1" t="str">
        <f t="shared" si="952"/>
        <v/>
      </c>
      <c r="R4158" s="1" t="str">
        <f t="shared" si="947"/>
        <v/>
      </c>
      <c r="S4158" s="1">
        <f t="shared" si="948"/>
        <v>630.90240000000244</v>
      </c>
      <c r="T4158" s="1">
        <f t="shared" si="949"/>
        <v>0</v>
      </c>
      <c r="U4158" s="1">
        <f t="shared" si="950"/>
        <v>0</v>
      </c>
      <c r="V4158" s="1">
        <f t="shared" si="951"/>
        <v>0</v>
      </c>
    </row>
    <row r="4159" spans="5:22" x14ac:dyDescent="0.25">
      <c r="E4159" s="4"/>
      <c r="M4159" s="4">
        <f t="shared" si="944"/>
        <v>173.1</v>
      </c>
      <c r="N4159" s="4"/>
      <c r="O4159" s="1">
        <f t="shared" si="945"/>
        <v>173.1</v>
      </c>
      <c r="P4159" s="1">
        <f t="shared" si="946"/>
        <v>0</v>
      </c>
      <c r="Q4159" s="1" t="str">
        <f t="shared" si="952"/>
        <v/>
      </c>
      <c r="R4159" s="1" t="str">
        <f t="shared" si="947"/>
        <v/>
      </c>
      <c r="S4159" s="1">
        <f t="shared" si="948"/>
        <v>630.90240000000244</v>
      </c>
      <c r="T4159" s="1">
        <f t="shared" si="949"/>
        <v>0</v>
      </c>
      <c r="U4159" s="1">
        <f t="shared" si="950"/>
        <v>0</v>
      </c>
      <c r="V4159" s="1">
        <f t="shared" si="951"/>
        <v>0</v>
      </c>
    </row>
    <row r="4160" spans="5:22" x14ac:dyDescent="0.25">
      <c r="E4160" s="4"/>
      <c r="M4160" s="4">
        <f t="shared" si="944"/>
        <v>173.1</v>
      </c>
      <c r="N4160" s="4"/>
      <c r="O4160" s="1">
        <f t="shared" si="945"/>
        <v>173.1</v>
      </c>
      <c r="P4160" s="1">
        <f t="shared" si="946"/>
        <v>0</v>
      </c>
      <c r="Q4160" s="1" t="str">
        <f t="shared" si="952"/>
        <v/>
      </c>
      <c r="R4160" s="1" t="str">
        <f t="shared" si="947"/>
        <v/>
      </c>
      <c r="S4160" s="1">
        <f t="shared" si="948"/>
        <v>630.90240000000244</v>
      </c>
      <c r="T4160" s="1">
        <f t="shared" si="949"/>
        <v>0</v>
      </c>
      <c r="U4160" s="1">
        <f t="shared" si="950"/>
        <v>0</v>
      </c>
      <c r="V4160" s="1">
        <f t="shared" si="951"/>
        <v>0</v>
      </c>
    </row>
    <row r="4161" spans="5:22" x14ac:dyDescent="0.25">
      <c r="E4161" s="4"/>
      <c r="M4161" s="4">
        <f t="shared" si="944"/>
        <v>173.1</v>
      </c>
      <c r="N4161" s="4"/>
      <c r="O4161" s="1">
        <f t="shared" si="945"/>
        <v>173.1</v>
      </c>
      <c r="P4161" s="1">
        <f t="shared" si="946"/>
        <v>0</v>
      </c>
      <c r="Q4161" s="1" t="str">
        <f t="shared" si="952"/>
        <v/>
      </c>
      <c r="R4161" s="1" t="str">
        <f t="shared" si="947"/>
        <v/>
      </c>
      <c r="S4161" s="1">
        <f t="shared" si="948"/>
        <v>630.90240000000244</v>
      </c>
      <c r="T4161" s="1">
        <f t="shared" si="949"/>
        <v>0</v>
      </c>
      <c r="U4161" s="1">
        <f t="shared" si="950"/>
        <v>0</v>
      </c>
      <c r="V4161" s="1">
        <f t="shared" si="951"/>
        <v>0</v>
      </c>
    </row>
    <row r="4162" spans="5:22" x14ac:dyDescent="0.25">
      <c r="E4162" s="4"/>
      <c r="M4162" s="4">
        <f t="shared" si="944"/>
        <v>173.1</v>
      </c>
      <c r="N4162" s="4"/>
      <c r="O4162" s="1">
        <f t="shared" si="945"/>
        <v>173.1</v>
      </c>
      <c r="P4162" s="1">
        <f t="shared" si="946"/>
        <v>0</v>
      </c>
      <c r="Q4162" s="1" t="str">
        <f t="shared" si="952"/>
        <v/>
      </c>
      <c r="R4162" s="1" t="str">
        <f t="shared" si="947"/>
        <v/>
      </c>
      <c r="S4162" s="1">
        <f t="shared" si="948"/>
        <v>630.90240000000244</v>
      </c>
      <c r="T4162" s="1">
        <f t="shared" si="949"/>
        <v>0</v>
      </c>
      <c r="U4162" s="1">
        <f t="shared" si="950"/>
        <v>0</v>
      </c>
      <c r="V4162" s="1">
        <f t="shared" si="951"/>
        <v>0</v>
      </c>
    </row>
    <row r="4163" spans="5:22" x14ac:dyDescent="0.25">
      <c r="E4163" s="4"/>
      <c r="M4163" s="4">
        <f t="shared" si="944"/>
        <v>173.1</v>
      </c>
      <c r="N4163" s="4"/>
      <c r="O4163" s="1">
        <f t="shared" si="945"/>
        <v>173.1</v>
      </c>
      <c r="P4163" s="1">
        <f t="shared" si="946"/>
        <v>0</v>
      </c>
      <c r="Q4163" s="1" t="str">
        <f t="shared" si="952"/>
        <v/>
      </c>
      <c r="R4163" s="1" t="str">
        <f t="shared" si="947"/>
        <v/>
      </c>
      <c r="S4163" s="1">
        <f t="shared" si="948"/>
        <v>630.90240000000244</v>
      </c>
      <c r="T4163" s="1">
        <f t="shared" si="949"/>
        <v>0</v>
      </c>
      <c r="U4163" s="1">
        <f t="shared" si="950"/>
        <v>0</v>
      </c>
      <c r="V4163" s="1">
        <f t="shared" si="951"/>
        <v>0</v>
      </c>
    </row>
    <row r="4164" spans="5:22" x14ac:dyDescent="0.25">
      <c r="E4164" s="4"/>
      <c r="M4164" s="4">
        <f t="shared" si="944"/>
        <v>173.1</v>
      </c>
      <c r="N4164" s="4"/>
      <c r="O4164" s="1">
        <f t="shared" si="945"/>
        <v>173.1</v>
      </c>
      <c r="P4164" s="1">
        <f t="shared" si="946"/>
        <v>0</v>
      </c>
      <c r="Q4164" s="1" t="str">
        <f t="shared" si="952"/>
        <v/>
      </c>
      <c r="R4164" s="1" t="str">
        <f t="shared" si="947"/>
        <v/>
      </c>
      <c r="S4164" s="1">
        <f t="shared" si="948"/>
        <v>630.90240000000244</v>
      </c>
      <c r="T4164" s="1">
        <f t="shared" si="949"/>
        <v>0</v>
      </c>
      <c r="U4164" s="1">
        <f t="shared" si="950"/>
        <v>0</v>
      </c>
      <c r="V4164" s="1">
        <f t="shared" si="951"/>
        <v>0</v>
      </c>
    </row>
    <row r="4165" spans="5:22" x14ac:dyDescent="0.25">
      <c r="E4165" s="4"/>
      <c r="M4165" s="4">
        <f t="shared" si="944"/>
        <v>173.1</v>
      </c>
      <c r="N4165" s="4"/>
      <c r="O4165" s="1">
        <f t="shared" si="945"/>
        <v>173.1</v>
      </c>
      <c r="P4165" s="1">
        <f t="shared" si="946"/>
        <v>0</v>
      </c>
      <c r="Q4165" s="1" t="str">
        <f t="shared" si="952"/>
        <v/>
      </c>
      <c r="R4165" s="1" t="str">
        <f t="shared" si="947"/>
        <v/>
      </c>
      <c r="S4165" s="1">
        <f t="shared" si="948"/>
        <v>630.90240000000244</v>
      </c>
      <c r="T4165" s="1">
        <f t="shared" si="949"/>
        <v>0</v>
      </c>
      <c r="U4165" s="1">
        <f t="shared" si="950"/>
        <v>0</v>
      </c>
      <c r="V4165" s="1">
        <f t="shared" si="951"/>
        <v>0</v>
      </c>
    </row>
    <row r="4166" spans="5:22" x14ac:dyDescent="0.25">
      <c r="E4166" s="4"/>
      <c r="M4166" s="4">
        <f t="shared" si="944"/>
        <v>173.1</v>
      </c>
      <c r="N4166" s="4"/>
      <c r="O4166" s="1">
        <f t="shared" si="945"/>
        <v>173.1</v>
      </c>
      <c r="P4166" s="1">
        <f t="shared" si="946"/>
        <v>0</v>
      </c>
      <c r="Q4166" s="1" t="str">
        <f t="shared" si="952"/>
        <v/>
      </c>
      <c r="R4166" s="1" t="str">
        <f t="shared" si="947"/>
        <v/>
      </c>
      <c r="S4166" s="1">
        <f t="shared" si="948"/>
        <v>630.90240000000244</v>
      </c>
      <c r="T4166" s="1">
        <f t="shared" si="949"/>
        <v>0</v>
      </c>
      <c r="U4166" s="1">
        <f t="shared" si="950"/>
        <v>0</v>
      </c>
      <c r="V4166" s="1">
        <f t="shared" si="951"/>
        <v>0</v>
      </c>
    </row>
    <row r="4167" spans="5:22" x14ac:dyDescent="0.25">
      <c r="E4167" s="4"/>
      <c r="M4167" s="4">
        <f t="shared" si="944"/>
        <v>173.1</v>
      </c>
      <c r="N4167" s="4"/>
      <c r="O4167" s="1">
        <f t="shared" si="945"/>
        <v>173.1</v>
      </c>
      <c r="P4167" s="1">
        <f t="shared" si="946"/>
        <v>0</v>
      </c>
      <c r="Q4167" s="1" t="str">
        <f t="shared" si="952"/>
        <v/>
      </c>
      <c r="R4167" s="1" t="str">
        <f t="shared" si="947"/>
        <v/>
      </c>
      <c r="S4167" s="1">
        <f t="shared" si="948"/>
        <v>630.90240000000244</v>
      </c>
      <c r="T4167" s="1">
        <f t="shared" si="949"/>
        <v>0</v>
      </c>
      <c r="U4167" s="1">
        <f t="shared" si="950"/>
        <v>0</v>
      </c>
      <c r="V4167" s="1">
        <f t="shared" si="951"/>
        <v>0</v>
      </c>
    </row>
    <row r="4168" spans="5:22" x14ac:dyDescent="0.25">
      <c r="E4168" s="4"/>
      <c r="M4168" s="4">
        <f t="shared" ref="M4168:M4231" si="953">E4168+M4167</f>
        <v>173.1</v>
      </c>
      <c r="N4168" s="4"/>
      <c r="O4168" s="1">
        <f t="shared" ref="O4168:O4231" si="954">E4167+O4167</f>
        <v>173.1</v>
      </c>
      <c r="P4168" s="1">
        <f t="shared" ref="P4168:P4231" si="955">F4168*52.8*E4168</f>
        <v>0</v>
      </c>
      <c r="Q4168" s="1" t="str">
        <f t="shared" si="952"/>
        <v/>
      </c>
      <c r="R4168" s="1" t="str">
        <f t="shared" ref="R4168:R4231" si="956">IF(I4168="",Q4168,IF(AND(H4168=H4167,I4168=I4167),"",I4168))</f>
        <v/>
      </c>
      <c r="S4168" s="1">
        <f t="shared" ref="S4168:S4231" si="957">S4167+U4167*T4167/100</f>
        <v>630.90240000000244</v>
      </c>
      <c r="T4168" s="1">
        <f t="shared" ref="T4168:T4231" si="958">IF(G4168="UNK",0,G4168)</f>
        <v>0</v>
      </c>
      <c r="U4168" s="1">
        <f t="shared" ref="U4168:U4231" si="959">E4168*5280</f>
        <v>0</v>
      </c>
      <c r="V4168" s="1">
        <f t="shared" ref="V4168:V4231" si="960">ABS(T4168*U4168)</f>
        <v>0</v>
      </c>
    </row>
    <row r="4169" spans="5:22" x14ac:dyDescent="0.25">
      <c r="E4169" s="4"/>
      <c r="M4169" s="4">
        <f t="shared" si="953"/>
        <v>173.1</v>
      </c>
      <c r="N4169" s="4"/>
      <c r="O4169" s="1">
        <f t="shared" si="954"/>
        <v>173.1</v>
      </c>
      <c r="P4169" s="1">
        <f t="shared" si="955"/>
        <v>0</v>
      </c>
      <c r="Q4169" s="1" t="str">
        <f t="shared" si="952"/>
        <v/>
      </c>
      <c r="R4169" s="1" t="str">
        <f t="shared" si="956"/>
        <v/>
      </c>
      <c r="S4169" s="1">
        <f t="shared" si="957"/>
        <v>630.90240000000244</v>
      </c>
      <c r="T4169" s="1">
        <f t="shared" si="958"/>
        <v>0</v>
      </c>
      <c r="U4169" s="1">
        <f t="shared" si="959"/>
        <v>0</v>
      </c>
      <c r="V4169" s="1">
        <f t="shared" si="960"/>
        <v>0</v>
      </c>
    </row>
    <row r="4170" spans="5:22" x14ac:dyDescent="0.25">
      <c r="E4170" s="4"/>
      <c r="M4170" s="4">
        <f t="shared" si="953"/>
        <v>173.1</v>
      </c>
      <c r="N4170" s="4"/>
      <c r="O4170" s="1">
        <f t="shared" si="954"/>
        <v>173.1</v>
      </c>
      <c r="P4170" s="1">
        <f t="shared" si="955"/>
        <v>0</v>
      </c>
      <c r="Q4170" s="1" t="str">
        <f t="shared" si="952"/>
        <v/>
      </c>
      <c r="R4170" s="1" t="str">
        <f t="shared" si="956"/>
        <v/>
      </c>
      <c r="S4170" s="1">
        <f t="shared" si="957"/>
        <v>630.90240000000244</v>
      </c>
      <c r="T4170" s="1">
        <f t="shared" si="958"/>
        <v>0</v>
      </c>
      <c r="U4170" s="1">
        <f t="shared" si="959"/>
        <v>0</v>
      </c>
      <c r="V4170" s="1">
        <f t="shared" si="960"/>
        <v>0</v>
      </c>
    </row>
    <row r="4171" spans="5:22" x14ac:dyDescent="0.25">
      <c r="E4171" s="4"/>
      <c r="M4171" s="4">
        <f t="shared" si="953"/>
        <v>173.1</v>
      </c>
      <c r="N4171" s="4"/>
      <c r="O4171" s="1">
        <f t="shared" si="954"/>
        <v>173.1</v>
      </c>
      <c r="P4171" s="1">
        <f t="shared" si="955"/>
        <v>0</v>
      </c>
      <c r="Q4171" s="1" t="str">
        <f t="shared" si="952"/>
        <v/>
      </c>
      <c r="R4171" s="1" t="str">
        <f t="shared" si="956"/>
        <v/>
      </c>
      <c r="S4171" s="1">
        <f t="shared" si="957"/>
        <v>630.90240000000244</v>
      </c>
      <c r="T4171" s="1">
        <f t="shared" si="958"/>
        <v>0</v>
      </c>
      <c r="U4171" s="1">
        <f t="shared" si="959"/>
        <v>0</v>
      </c>
      <c r="V4171" s="1">
        <f t="shared" si="960"/>
        <v>0</v>
      </c>
    </row>
    <row r="4172" spans="5:22" x14ac:dyDescent="0.25">
      <c r="E4172" s="4"/>
      <c r="M4172" s="4">
        <f t="shared" si="953"/>
        <v>173.1</v>
      </c>
      <c r="N4172" s="4"/>
      <c r="O4172" s="1">
        <f t="shared" si="954"/>
        <v>173.1</v>
      </c>
      <c r="P4172" s="1">
        <f t="shared" si="955"/>
        <v>0</v>
      </c>
      <c r="Q4172" s="1" t="str">
        <f t="shared" si="952"/>
        <v/>
      </c>
      <c r="R4172" s="1" t="str">
        <f t="shared" si="956"/>
        <v/>
      </c>
      <c r="S4172" s="1">
        <f t="shared" si="957"/>
        <v>630.90240000000244</v>
      </c>
      <c r="T4172" s="1">
        <f t="shared" si="958"/>
        <v>0</v>
      </c>
      <c r="U4172" s="1">
        <f t="shared" si="959"/>
        <v>0</v>
      </c>
      <c r="V4172" s="1">
        <f t="shared" si="960"/>
        <v>0</v>
      </c>
    </row>
    <row r="4173" spans="5:22" x14ac:dyDescent="0.25">
      <c r="E4173" s="4"/>
      <c r="M4173" s="4">
        <f t="shared" si="953"/>
        <v>173.1</v>
      </c>
      <c r="N4173" s="4"/>
      <c r="O4173" s="1">
        <f t="shared" si="954"/>
        <v>173.1</v>
      </c>
      <c r="P4173" s="1">
        <f t="shared" si="955"/>
        <v>0</v>
      </c>
      <c r="Q4173" s="1" t="str">
        <f t="shared" si="952"/>
        <v/>
      </c>
      <c r="R4173" s="1" t="str">
        <f t="shared" si="956"/>
        <v/>
      </c>
      <c r="S4173" s="1">
        <f t="shared" si="957"/>
        <v>630.90240000000244</v>
      </c>
      <c r="T4173" s="1">
        <f t="shared" si="958"/>
        <v>0</v>
      </c>
      <c r="U4173" s="1">
        <f t="shared" si="959"/>
        <v>0</v>
      </c>
      <c r="V4173" s="1">
        <f t="shared" si="960"/>
        <v>0</v>
      </c>
    </row>
    <row r="4174" spans="5:22" x14ac:dyDescent="0.25">
      <c r="E4174" s="4"/>
      <c r="M4174" s="4">
        <f t="shared" si="953"/>
        <v>173.1</v>
      </c>
      <c r="N4174" s="4"/>
      <c r="O4174" s="1">
        <f t="shared" si="954"/>
        <v>173.1</v>
      </c>
      <c r="P4174" s="1">
        <f t="shared" si="955"/>
        <v>0</v>
      </c>
      <c r="Q4174" s="1" t="str">
        <f t="shared" si="952"/>
        <v/>
      </c>
      <c r="R4174" s="1" t="str">
        <f t="shared" si="956"/>
        <v/>
      </c>
      <c r="S4174" s="1">
        <f t="shared" si="957"/>
        <v>630.90240000000244</v>
      </c>
      <c r="T4174" s="1">
        <f t="shared" si="958"/>
        <v>0</v>
      </c>
      <c r="U4174" s="1">
        <f t="shared" si="959"/>
        <v>0</v>
      </c>
      <c r="V4174" s="1">
        <f t="shared" si="960"/>
        <v>0</v>
      </c>
    </row>
    <row r="4175" spans="5:22" x14ac:dyDescent="0.25">
      <c r="E4175" s="4"/>
      <c r="M4175" s="4">
        <f t="shared" si="953"/>
        <v>173.1</v>
      </c>
      <c r="N4175" s="4"/>
      <c r="O4175" s="1">
        <f t="shared" si="954"/>
        <v>173.1</v>
      </c>
      <c r="P4175" s="1">
        <f t="shared" si="955"/>
        <v>0</v>
      </c>
      <c r="Q4175" s="1" t="str">
        <f t="shared" si="952"/>
        <v/>
      </c>
      <c r="R4175" s="1" t="str">
        <f t="shared" si="956"/>
        <v/>
      </c>
      <c r="S4175" s="1">
        <f t="shared" si="957"/>
        <v>630.90240000000244</v>
      </c>
      <c r="T4175" s="1">
        <f t="shared" si="958"/>
        <v>0</v>
      </c>
      <c r="U4175" s="1">
        <f t="shared" si="959"/>
        <v>0</v>
      </c>
      <c r="V4175" s="1">
        <f t="shared" si="960"/>
        <v>0</v>
      </c>
    </row>
    <row r="4176" spans="5:22" x14ac:dyDescent="0.25">
      <c r="E4176" s="4"/>
      <c r="M4176" s="4">
        <f t="shared" si="953"/>
        <v>173.1</v>
      </c>
      <c r="N4176" s="4"/>
      <c r="O4176" s="1">
        <f t="shared" si="954"/>
        <v>173.1</v>
      </c>
      <c r="P4176" s="1">
        <f t="shared" si="955"/>
        <v>0</v>
      </c>
      <c r="Q4176" s="1" t="str">
        <f t="shared" si="952"/>
        <v/>
      </c>
      <c r="R4176" s="1" t="str">
        <f t="shared" si="956"/>
        <v/>
      </c>
      <c r="S4176" s="1">
        <f t="shared" si="957"/>
        <v>630.90240000000244</v>
      </c>
      <c r="T4176" s="1">
        <f t="shared" si="958"/>
        <v>0</v>
      </c>
      <c r="U4176" s="1">
        <f t="shared" si="959"/>
        <v>0</v>
      </c>
      <c r="V4176" s="1">
        <f t="shared" si="960"/>
        <v>0</v>
      </c>
    </row>
    <row r="4177" spans="5:22" x14ac:dyDescent="0.25">
      <c r="E4177" s="4"/>
      <c r="M4177" s="4">
        <f t="shared" si="953"/>
        <v>173.1</v>
      </c>
      <c r="N4177" s="4"/>
      <c r="O4177" s="1">
        <f t="shared" si="954"/>
        <v>173.1</v>
      </c>
      <c r="P4177" s="1">
        <f t="shared" si="955"/>
        <v>0</v>
      </c>
      <c r="Q4177" s="1" t="str">
        <f t="shared" si="952"/>
        <v/>
      </c>
      <c r="R4177" s="1" t="str">
        <f t="shared" si="956"/>
        <v/>
      </c>
      <c r="S4177" s="1">
        <f t="shared" si="957"/>
        <v>630.90240000000244</v>
      </c>
      <c r="T4177" s="1">
        <f t="shared" si="958"/>
        <v>0</v>
      </c>
      <c r="U4177" s="1">
        <f t="shared" si="959"/>
        <v>0</v>
      </c>
      <c r="V4177" s="1">
        <f t="shared" si="960"/>
        <v>0</v>
      </c>
    </row>
    <row r="4178" spans="5:22" x14ac:dyDescent="0.25">
      <c r="E4178" s="4"/>
      <c r="M4178" s="4">
        <f t="shared" si="953"/>
        <v>173.1</v>
      </c>
      <c r="N4178" s="4"/>
      <c r="O4178" s="1">
        <f t="shared" si="954"/>
        <v>173.1</v>
      </c>
      <c r="P4178" s="1">
        <f t="shared" si="955"/>
        <v>0</v>
      </c>
      <c r="Q4178" s="1" t="str">
        <f t="shared" si="952"/>
        <v/>
      </c>
      <c r="R4178" s="1" t="str">
        <f t="shared" si="956"/>
        <v/>
      </c>
      <c r="S4178" s="1">
        <f t="shared" si="957"/>
        <v>630.90240000000244</v>
      </c>
      <c r="T4178" s="1">
        <f t="shared" si="958"/>
        <v>0</v>
      </c>
      <c r="U4178" s="1">
        <f t="shared" si="959"/>
        <v>0</v>
      </c>
      <c r="V4178" s="1">
        <f t="shared" si="960"/>
        <v>0</v>
      </c>
    </row>
    <row r="4179" spans="5:22" x14ac:dyDescent="0.25">
      <c r="E4179" s="4"/>
      <c r="M4179" s="4">
        <f t="shared" si="953"/>
        <v>173.1</v>
      </c>
      <c r="N4179" s="4"/>
      <c r="O4179" s="1">
        <f t="shared" si="954"/>
        <v>173.1</v>
      </c>
      <c r="P4179" s="1">
        <f t="shared" si="955"/>
        <v>0</v>
      </c>
      <c r="Q4179" s="1" t="str">
        <f t="shared" si="952"/>
        <v/>
      </c>
      <c r="R4179" s="1" t="str">
        <f t="shared" si="956"/>
        <v/>
      </c>
      <c r="S4179" s="1">
        <f t="shared" si="957"/>
        <v>630.90240000000244</v>
      </c>
      <c r="T4179" s="1">
        <f t="shared" si="958"/>
        <v>0</v>
      </c>
      <c r="U4179" s="1">
        <f t="shared" si="959"/>
        <v>0</v>
      </c>
      <c r="V4179" s="1">
        <f t="shared" si="960"/>
        <v>0</v>
      </c>
    </row>
    <row r="4180" spans="5:22" x14ac:dyDescent="0.25">
      <c r="E4180" s="4"/>
      <c r="M4180" s="4">
        <f t="shared" si="953"/>
        <v>173.1</v>
      </c>
      <c r="N4180" s="4"/>
      <c r="O4180" s="1">
        <f t="shared" si="954"/>
        <v>173.1</v>
      </c>
      <c r="P4180" s="1">
        <f t="shared" si="955"/>
        <v>0</v>
      </c>
      <c r="Q4180" s="1" t="str">
        <f t="shared" si="952"/>
        <v/>
      </c>
      <c r="R4180" s="1" t="str">
        <f t="shared" si="956"/>
        <v/>
      </c>
      <c r="S4180" s="1">
        <f t="shared" si="957"/>
        <v>630.90240000000244</v>
      </c>
      <c r="T4180" s="1">
        <f t="shared" si="958"/>
        <v>0</v>
      </c>
      <c r="U4180" s="1">
        <f t="shared" si="959"/>
        <v>0</v>
      </c>
      <c r="V4180" s="1">
        <f t="shared" si="960"/>
        <v>0</v>
      </c>
    </row>
    <row r="4181" spans="5:22" x14ac:dyDescent="0.25">
      <c r="E4181" s="4"/>
      <c r="M4181" s="4">
        <f t="shared" si="953"/>
        <v>173.1</v>
      </c>
      <c r="N4181" s="4"/>
      <c r="O4181" s="1">
        <f t="shared" si="954"/>
        <v>173.1</v>
      </c>
      <c r="P4181" s="1">
        <f t="shared" si="955"/>
        <v>0</v>
      </c>
      <c r="Q4181" s="1" t="str">
        <f t="shared" si="952"/>
        <v/>
      </c>
      <c r="R4181" s="1" t="str">
        <f t="shared" si="956"/>
        <v/>
      </c>
      <c r="S4181" s="1">
        <f t="shared" si="957"/>
        <v>630.90240000000244</v>
      </c>
      <c r="T4181" s="1">
        <f t="shared" si="958"/>
        <v>0</v>
      </c>
      <c r="U4181" s="1">
        <f t="shared" si="959"/>
        <v>0</v>
      </c>
      <c r="V4181" s="1">
        <f t="shared" si="960"/>
        <v>0</v>
      </c>
    </row>
    <row r="4182" spans="5:22" x14ac:dyDescent="0.25">
      <c r="E4182" s="4"/>
      <c r="M4182" s="4">
        <f t="shared" si="953"/>
        <v>173.1</v>
      </c>
      <c r="N4182" s="4"/>
      <c r="O4182" s="1">
        <f t="shared" si="954"/>
        <v>173.1</v>
      </c>
      <c r="P4182" s="1">
        <f t="shared" si="955"/>
        <v>0</v>
      </c>
      <c r="Q4182" s="1" t="str">
        <f t="shared" si="952"/>
        <v/>
      </c>
      <c r="R4182" s="1" t="str">
        <f t="shared" si="956"/>
        <v/>
      </c>
      <c r="S4182" s="1">
        <f t="shared" si="957"/>
        <v>630.90240000000244</v>
      </c>
      <c r="T4182" s="1">
        <f t="shared" si="958"/>
        <v>0</v>
      </c>
      <c r="U4182" s="1">
        <f t="shared" si="959"/>
        <v>0</v>
      </c>
      <c r="V4182" s="1">
        <f t="shared" si="960"/>
        <v>0</v>
      </c>
    </row>
    <row r="4183" spans="5:22" x14ac:dyDescent="0.25">
      <c r="E4183" s="4"/>
      <c r="M4183" s="4">
        <f t="shared" si="953"/>
        <v>173.1</v>
      </c>
      <c r="N4183" s="4"/>
      <c r="O4183" s="1">
        <f t="shared" si="954"/>
        <v>173.1</v>
      </c>
      <c r="P4183" s="1">
        <f t="shared" si="955"/>
        <v>0</v>
      </c>
      <c r="Q4183" s="1" t="str">
        <f t="shared" si="952"/>
        <v/>
      </c>
      <c r="R4183" s="1" t="str">
        <f t="shared" si="956"/>
        <v/>
      </c>
      <c r="S4183" s="1">
        <f t="shared" si="957"/>
        <v>630.90240000000244</v>
      </c>
      <c r="T4183" s="1">
        <f t="shared" si="958"/>
        <v>0</v>
      </c>
      <c r="U4183" s="1">
        <f t="shared" si="959"/>
        <v>0</v>
      </c>
      <c r="V4183" s="1">
        <f t="shared" si="960"/>
        <v>0</v>
      </c>
    </row>
    <row r="4184" spans="5:22" x14ac:dyDescent="0.25">
      <c r="E4184" s="4"/>
      <c r="M4184" s="4">
        <f t="shared" si="953"/>
        <v>173.1</v>
      </c>
      <c r="N4184" s="4"/>
      <c r="O4184" s="1">
        <f t="shared" si="954"/>
        <v>173.1</v>
      </c>
      <c r="P4184" s="1">
        <f t="shared" si="955"/>
        <v>0</v>
      </c>
      <c r="Q4184" s="1" t="str">
        <f t="shared" si="952"/>
        <v/>
      </c>
      <c r="R4184" s="1" t="str">
        <f t="shared" si="956"/>
        <v/>
      </c>
      <c r="S4184" s="1">
        <f t="shared" si="957"/>
        <v>630.90240000000244</v>
      </c>
      <c r="T4184" s="1">
        <f t="shared" si="958"/>
        <v>0</v>
      </c>
      <c r="U4184" s="1">
        <f t="shared" si="959"/>
        <v>0</v>
      </c>
      <c r="V4184" s="1">
        <f t="shared" si="960"/>
        <v>0</v>
      </c>
    </row>
    <row r="4185" spans="5:22" x14ac:dyDescent="0.25">
      <c r="E4185" s="4"/>
      <c r="M4185" s="4">
        <f t="shared" si="953"/>
        <v>173.1</v>
      </c>
      <c r="N4185" s="4"/>
      <c r="O4185" s="1">
        <f t="shared" si="954"/>
        <v>173.1</v>
      </c>
      <c r="P4185" s="1">
        <f t="shared" si="955"/>
        <v>0</v>
      </c>
      <c r="Q4185" s="1" t="str">
        <f t="shared" si="952"/>
        <v/>
      </c>
      <c r="R4185" s="1" t="str">
        <f t="shared" si="956"/>
        <v/>
      </c>
      <c r="S4185" s="1">
        <f t="shared" si="957"/>
        <v>630.90240000000244</v>
      </c>
      <c r="T4185" s="1">
        <f t="shared" si="958"/>
        <v>0</v>
      </c>
      <c r="U4185" s="1">
        <f t="shared" si="959"/>
        <v>0</v>
      </c>
      <c r="V4185" s="1">
        <f t="shared" si="960"/>
        <v>0</v>
      </c>
    </row>
    <row r="4186" spans="5:22" x14ac:dyDescent="0.25">
      <c r="E4186" s="4"/>
      <c r="M4186" s="4">
        <f t="shared" si="953"/>
        <v>173.1</v>
      </c>
      <c r="N4186" s="4"/>
      <c r="O4186" s="1">
        <f t="shared" si="954"/>
        <v>173.1</v>
      </c>
      <c r="P4186" s="1">
        <f t="shared" si="955"/>
        <v>0</v>
      </c>
      <c r="Q4186" s="1" t="str">
        <f t="shared" si="952"/>
        <v/>
      </c>
      <c r="R4186" s="1" t="str">
        <f t="shared" si="956"/>
        <v/>
      </c>
      <c r="S4186" s="1">
        <f t="shared" si="957"/>
        <v>630.90240000000244</v>
      </c>
      <c r="T4186" s="1">
        <f t="shared" si="958"/>
        <v>0</v>
      </c>
      <c r="U4186" s="1">
        <f t="shared" si="959"/>
        <v>0</v>
      </c>
      <c r="V4186" s="1">
        <f t="shared" si="960"/>
        <v>0</v>
      </c>
    </row>
    <row r="4187" spans="5:22" x14ac:dyDescent="0.25">
      <c r="E4187" s="4"/>
      <c r="M4187" s="4">
        <f t="shared" si="953"/>
        <v>173.1</v>
      </c>
      <c r="N4187" s="4"/>
      <c r="O4187" s="1">
        <f t="shared" si="954"/>
        <v>173.1</v>
      </c>
      <c r="P4187" s="1">
        <f t="shared" si="955"/>
        <v>0</v>
      </c>
      <c r="Q4187" s="1" t="str">
        <f t="shared" si="952"/>
        <v/>
      </c>
      <c r="R4187" s="1" t="str">
        <f t="shared" si="956"/>
        <v/>
      </c>
      <c r="S4187" s="1">
        <f t="shared" si="957"/>
        <v>630.90240000000244</v>
      </c>
      <c r="T4187" s="1">
        <f t="shared" si="958"/>
        <v>0</v>
      </c>
      <c r="U4187" s="1">
        <f t="shared" si="959"/>
        <v>0</v>
      </c>
      <c r="V4187" s="1">
        <f t="shared" si="960"/>
        <v>0</v>
      </c>
    </row>
    <row r="4188" spans="5:22" x14ac:dyDescent="0.25">
      <c r="E4188" s="4"/>
      <c r="M4188" s="4">
        <f t="shared" si="953"/>
        <v>173.1</v>
      </c>
      <c r="N4188" s="4"/>
      <c r="O4188" s="1">
        <f t="shared" si="954"/>
        <v>173.1</v>
      </c>
      <c r="P4188" s="1">
        <f t="shared" si="955"/>
        <v>0</v>
      </c>
      <c r="Q4188" s="1" t="str">
        <f t="shared" si="952"/>
        <v/>
      </c>
      <c r="R4188" s="1" t="str">
        <f t="shared" si="956"/>
        <v/>
      </c>
      <c r="S4188" s="1">
        <f t="shared" si="957"/>
        <v>630.90240000000244</v>
      </c>
      <c r="T4188" s="1">
        <f t="shared" si="958"/>
        <v>0</v>
      </c>
      <c r="U4188" s="1">
        <f t="shared" si="959"/>
        <v>0</v>
      </c>
      <c r="V4188" s="1">
        <f t="shared" si="960"/>
        <v>0</v>
      </c>
    </row>
    <row r="4189" spans="5:22" x14ac:dyDescent="0.25">
      <c r="E4189" s="4"/>
      <c r="M4189" s="4">
        <f t="shared" si="953"/>
        <v>173.1</v>
      </c>
      <c r="N4189" s="4"/>
      <c r="O4189" s="1">
        <f t="shared" si="954"/>
        <v>173.1</v>
      </c>
      <c r="P4189" s="1">
        <f t="shared" si="955"/>
        <v>0</v>
      </c>
      <c r="Q4189" s="1" t="str">
        <f t="shared" si="952"/>
        <v/>
      </c>
      <c r="R4189" s="1" t="str">
        <f t="shared" si="956"/>
        <v/>
      </c>
      <c r="S4189" s="1">
        <f t="shared" si="957"/>
        <v>630.90240000000244</v>
      </c>
      <c r="T4189" s="1">
        <f t="shared" si="958"/>
        <v>0</v>
      </c>
      <c r="U4189" s="1">
        <f t="shared" si="959"/>
        <v>0</v>
      </c>
      <c r="V4189" s="1">
        <f t="shared" si="960"/>
        <v>0</v>
      </c>
    </row>
    <row r="4190" spans="5:22" x14ac:dyDescent="0.25">
      <c r="E4190" s="4"/>
      <c r="M4190" s="4">
        <f t="shared" si="953"/>
        <v>173.1</v>
      </c>
      <c r="N4190" s="4"/>
      <c r="O4190" s="1">
        <f t="shared" si="954"/>
        <v>173.1</v>
      </c>
      <c r="P4190" s="1">
        <f t="shared" si="955"/>
        <v>0</v>
      </c>
      <c r="Q4190" s="1" t="str">
        <f t="shared" si="952"/>
        <v/>
      </c>
      <c r="R4190" s="1" t="str">
        <f t="shared" si="956"/>
        <v/>
      </c>
      <c r="S4190" s="1">
        <f t="shared" si="957"/>
        <v>630.90240000000244</v>
      </c>
      <c r="T4190" s="1">
        <f t="shared" si="958"/>
        <v>0</v>
      </c>
      <c r="U4190" s="1">
        <f t="shared" si="959"/>
        <v>0</v>
      </c>
      <c r="V4190" s="1">
        <f t="shared" si="960"/>
        <v>0</v>
      </c>
    </row>
    <row r="4191" spans="5:22" x14ac:dyDescent="0.25">
      <c r="E4191" s="4"/>
      <c r="M4191" s="4">
        <f t="shared" si="953"/>
        <v>173.1</v>
      </c>
      <c r="N4191" s="4"/>
      <c r="O4191" s="1">
        <f t="shared" si="954"/>
        <v>173.1</v>
      </c>
      <c r="P4191" s="1">
        <f t="shared" si="955"/>
        <v>0</v>
      </c>
      <c r="Q4191" s="1" t="str">
        <f t="shared" si="952"/>
        <v/>
      </c>
      <c r="R4191" s="1" t="str">
        <f t="shared" si="956"/>
        <v/>
      </c>
      <c r="S4191" s="1">
        <f t="shared" si="957"/>
        <v>630.90240000000244</v>
      </c>
      <c r="T4191" s="1">
        <f t="shared" si="958"/>
        <v>0</v>
      </c>
      <c r="U4191" s="1">
        <f t="shared" si="959"/>
        <v>0</v>
      </c>
      <c r="V4191" s="1">
        <f t="shared" si="960"/>
        <v>0</v>
      </c>
    </row>
    <row r="4192" spans="5:22" x14ac:dyDescent="0.25">
      <c r="E4192" s="4"/>
      <c r="M4192" s="4">
        <f t="shared" si="953"/>
        <v>173.1</v>
      </c>
      <c r="N4192" s="4"/>
      <c r="O4192" s="1">
        <f t="shared" si="954"/>
        <v>173.1</v>
      </c>
      <c r="P4192" s="1">
        <f t="shared" si="955"/>
        <v>0</v>
      </c>
      <c r="Q4192" s="1" t="str">
        <f t="shared" si="952"/>
        <v/>
      </c>
      <c r="R4192" s="1" t="str">
        <f t="shared" si="956"/>
        <v/>
      </c>
      <c r="S4192" s="1">
        <f t="shared" si="957"/>
        <v>630.90240000000244</v>
      </c>
      <c r="T4192" s="1">
        <f t="shared" si="958"/>
        <v>0</v>
      </c>
      <c r="U4192" s="1">
        <f t="shared" si="959"/>
        <v>0</v>
      </c>
      <c r="V4192" s="1">
        <f t="shared" si="960"/>
        <v>0</v>
      </c>
    </row>
    <row r="4193" spans="5:22" x14ac:dyDescent="0.25">
      <c r="E4193" s="4"/>
      <c r="M4193" s="4">
        <f t="shared" si="953"/>
        <v>173.1</v>
      </c>
      <c r="N4193" s="4"/>
      <c r="O4193" s="1">
        <f t="shared" si="954"/>
        <v>173.1</v>
      </c>
      <c r="P4193" s="1">
        <f t="shared" si="955"/>
        <v>0</v>
      </c>
      <c r="Q4193" s="1" t="str">
        <f t="shared" si="952"/>
        <v/>
      </c>
      <c r="R4193" s="1" t="str">
        <f t="shared" si="956"/>
        <v/>
      </c>
      <c r="S4193" s="1">
        <f t="shared" si="957"/>
        <v>630.90240000000244</v>
      </c>
      <c r="T4193" s="1">
        <f t="shared" si="958"/>
        <v>0</v>
      </c>
      <c r="U4193" s="1">
        <f t="shared" si="959"/>
        <v>0</v>
      </c>
      <c r="V4193" s="1">
        <f t="shared" si="960"/>
        <v>0</v>
      </c>
    </row>
    <row r="4194" spans="5:22" x14ac:dyDescent="0.25">
      <c r="E4194" s="4"/>
      <c r="M4194" s="4">
        <f t="shared" si="953"/>
        <v>173.1</v>
      </c>
      <c r="N4194" s="4"/>
      <c r="O4194" s="1">
        <f t="shared" si="954"/>
        <v>173.1</v>
      </c>
      <c r="P4194" s="1">
        <f t="shared" si="955"/>
        <v>0</v>
      </c>
      <c r="Q4194" s="1" t="str">
        <f t="shared" si="952"/>
        <v/>
      </c>
      <c r="R4194" s="1" t="str">
        <f t="shared" si="956"/>
        <v/>
      </c>
      <c r="S4194" s="1">
        <f t="shared" si="957"/>
        <v>630.90240000000244</v>
      </c>
      <c r="T4194" s="1">
        <f t="shared" si="958"/>
        <v>0</v>
      </c>
      <c r="U4194" s="1">
        <f t="shared" si="959"/>
        <v>0</v>
      </c>
      <c r="V4194" s="1">
        <f t="shared" si="960"/>
        <v>0</v>
      </c>
    </row>
    <row r="4195" spans="5:22" x14ac:dyDescent="0.25">
      <c r="E4195" s="4"/>
      <c r="M4195" s="4">
        <f t="shared" si="953"/>
        <v>173.1</v>
      </c>
      <c r="N4195" s="4"/>
      <c r="O4195" s="1">
        <f t="shared" si="954"/>
        <v>173.1</v>
      </c>
      <c r="P4195" s="1">
        <f t="shared" si="955"/>
        <v>0</v>
      </c>
      <c r="Q4195" s="1" t="str">
        <f t="shared" si="952"/>
        <v/>
      </c>
      <c r="R4195" s="1" t="str">
        <f t="shared" si="956"/>
        <v/>
      </c>
      <c r="S4195" s="1">
        <f t="shared" si="957"/>
        <v>630.90240000000244</v>
      </c>
      <c r="T4195" s="1">
        <f t="shared" si="958"/>
        <v>0</v>
      </c>
      <c r="U4195" s="1">
        <f t="shared" si="959"/>
        <v>0</v>
      </c>
      <c r="V4195" s="1">
        <f t="shared" si="960"/>
        <v>0</v>
      </c>
    </row>
    <row r="4196" spans="5:22" x14ac:dyDescent="0.25">
      <c r="E4196" s="4"/>
      <c r="M4196" s="4">
        <f t="shared" si="953"/>
        <v>173.1</v>
      </c>
      <c r="N4196" s="4"/>
      <c r="O4196" s="1">
        <f t="shared" si="954"/>
        <v>173.1</v>
      </c>
      <c r="P4196" s="1">
        <f t="shared" si="955"/>
        <v>0</v>
      </c>
      <c r="Q4196" s="1" t="str">
        <f t="shared" si="952"/>
        <v/>
      </c>
      <c r="R4196" s="1" t="str">
        <f t="shared" si="956"/>
        <v/>
      </c>
      <c r="S4196" s="1">
        <f t="shared" si="957"/>
        <v>630.90240000000244</v>
      </c>
      <c r="T4196" s="1">
        <f t="shared" si="958"/>
        <v>0</v>
      </c>
      <c r="U4196" s="1">
        <f t="shared" si="959"/>
        <v>0</v>
      </c>
      <c r="V4196" s="1">
        <f t="shared" si="960"/>
        <v>0</v>
      </c>
    </row>
    <row r="4197" spans="5:22" x14ac:dyDescent="0.25">
      <c r="E4197" s="4"/>
      <c r="M4197" s="4">
        <f t="shared" si="953"/>
        <v>173.1</v>
      </c>
      <c r="N4197" s="4"/>
      <c r="O4197" s="1">
        <f t="shared" si="954"/>
        <v>173.1</v>
      </c>
      <c r="P4197" s="1">
        <f t="shared" si="955"/>
        <v>0</v>
      </c>
      <c r="Q4197" s="1" t="str">
        <f t="shared" si="952"/>
        <v/>
      </c>
      <c r="R4197" s="1" t="str">
        <f t="shared" si="956"/>
        <v/>
      </c>
      <c r="S4197" s="1">
        <f t="shared" si="957"/>
        <v>630.90240000000244</v>
      </c>
      <c r="T4197" s="1">
        <f t="shared" si="958"/>
        <v>0</v>
      </c>
      <c r="U4197" s="1">
        <f t="shared" si="959"/>
        <v>0</v>
      </c>
      <c r="V4197" s="1">
        <f t="shared" si="960"/>
        <v>0</v>
      </c>
    </row>
    <row r="4198" spans="5:22" x14ac:dyDescent="0.25">
      <c r="E4198" s="4"/>
      <c r="M4198" s="4">
        <f t="shared" si="953"/>
        <v>173.1</v>
      </c>
      <c r="N4198" s="4"/>
      <c r="O4198" s="1">
        <f t="shared" si="954"/>
        <v>173.1</v>
      </c>
      <c r="P4198" s="1">
        <f t="shared" si="955"/>
        <v>0</v>
      </c>
      <c r="Q4198" s="1" t="str">
        <f t="shared" si="952"/>
        <v/>
      </c>
      <c r="R4198" s="1" t="str">
        <f t="shared" si="956"/>
        <v/>
      </c>
      <c r="S4198" s="1">
        <f t="shared" si="957"/>
        <v>630.90240000000244</v>
      </c>
      <c r="T4198" s="1">
        <f t="shared" si="958"/>
        <v>0</v>
      </c>
      <c r="U4198" s="1">
        <f t="shared" si="959"/>
        <v>0</v>
      </c>
      <c r="V4198" s="1">
        <f t="shared" si="960"/>
        <v>0</v>
      </c>
    </row>
    <row r="4199" spans="5:22" x14ac:dyDescent="0.25">
      <c r="E4199" s="4"/>
      <c r="M4199" s="4">
        <f t="shared" si="953"/>
        <v>173.1</v>
      </c>
      <c r="N4199" s="4"/>
      <c r="O4199" s="1">
        <f t="shared" si="954"/>
        <v>173.1</v>
      </c>
      <c r="P4199" s="1">
        <f t="shared" si="955"/>
        <v>0</v>
      </c>
      <c r="Q4199" s="1" t="str">
        <f t="shared" si="952"/>
        <v/>
      </c>
      <c r="R4199" s="1" t="str">
        <f t="shared" si="956"/>
        <v/>
      </c>
      <c r="S4199" s="1">
        <f t="shared" si="957"/>
        <v>630.90240000000244</v>
      </c>
      <c r="T4199" s="1">
        <f t="shared" si="958"/>
        <v>0</v>
      </c>
      <c r="U4199" s="1">
        <f t="shared" si="959"/>
        <v>0</v>
      </c>
      <c r="V4199" s="1">
        <f t="shared" si="960"/>
        <v>0</v>
      </c>
    </row>
    <row r="4200" spans="5:22" x14ac:dyDescent="0.25">
      <c r="E4200" s="4"/>
      <c r="M4200" s="4">
        <f t="shared" si="953"/>
        <v>173.1</v>
      </c>
      <c r="N4200" s="4"/>
      <c r="O4200" s="1">
        <f t="shared" si="954"/>
        <v>173.1</v>
      </c>
      <c r="P4200" s="1">
        <f t="shared" si="955"/>
        <v>0</v>
      </c>
      <c r="Q4200" s="1" t="str">
        <f t="shared" si="952"/>
        <v/>
      </c>
      <c r="R4200" s="1" t="str">
        <f t="shared" si="956"/>
        <v/>
      </c>
      <c r="S4200" s="1">
        <f t="shared" si="957"/>
        <v>630.90240000000244</v>
      </c>
      <c r="T4200" s="1">
        <f t="shared" si="958"/>
        <v>0</v>
      </c>
      <c r="U4200" s="1">
        <f t="shared" si="959"/>
        <v>0</v>
      </c>
      <c r="V4200" s="1">
        <f t="shared" si="960"/>
        <v>0</v>
      </c>
    </row>
    <row r="4201" spans="5:22" x14ac:dyDescent="0.25">
      <c r="E4201" s="4"/>
      <c r="M4201" s="4">
        <f t="shared" si="953"/>
        <v>173.1</v>
      </c>
      <c r="N4201" s="4"/>
      <c r="O4201" s="1">
        <f t="shared" si="954"/>
        <v>173.1</v>
      </c>
      <c r="P4201" s="1">
        <f t="shared" si="955"/>
        <v>0</v>
      </c>
      <c r="Q4201" s="1" t="str">
        <f t="shared" si="952"/>
        <v/>
      </c>
      <c r="R4201" s="1" t="str">
        <f t="shared" si="956"/>
        <v/>
      </c>
      <c r="S4201" s="1">
        <f t="shared" si="957"/>
        <v>630.90240000000244</v>
      </c>
      <c r="T4201" s="1">
        <f t="shared" si="958"/>
        <v>0</v>
      </c>
      <c r="U4201" s="1">
        <f t="shared" si="959"/>
        <v>0</v>
      </c>
      <c r="V4201" s="1">
        <f t="shared" si="960"/>
        <v>0</v>
      </c>
    </row>
    <row r="4202" spans="5:22" x14ac:dyDescent="0.25">
      <c r="E4202" s="4"/>
      <c r="M4202" s="4">
        <f t="shared" si="953"/>
        <v>173.1</v>
      </c>
      <c r="N4202" s="4"/>
      <c r="O4202" s="1">
        <f t="shared" si="954"/>
        <v>173.1</v>
      </c>
      <c r="P4202" s="1">
        <f t="shared" si="955"/>
        <v>0</v>
      </c>
      <c r="Q4202" s="1" t="str">
        <f t="shared" si="952"/>
        <v/>
      </c>
      <c r="R4202" s="1" t="str">
        <f t="shared" si="956"/>
        <v/>
      </c>
      <c r="S4202" s="1">
        <f t="shared" si="957"/>
        <v>630.90240000000244</v>
      </c>
      <c r="T4202" s="1">
        <f t="shared" si="958"/>
        <v>0</v>
      </c>
      <c r="U4202" s="1">
        <f t="shared" si="959"/>
        <v>0</v>
      </c>
      <c r="V4202" s="1">
        <f t="shared" si="960"/>
        <v>0</v>
      </c>
    </row>
    <row r="4203" spans="5:22" x14ac:dyDescent="0.25">
      <c r="E4203" s="4"/>
      <c r="M4203" s="4">
        <f t="shared" si="953"/>
        <v>173.1</v>
      </c>
      <c r="N4203" s="4"/>
      <c r="O4203" s="1">
        <f t="shared" si="954"/>
        <v>173.1</v>
      </c>
      <c r="P4203" s="1">
        <f t="shared" si="955"/>
        <v>0</v>
      </c>
      <c r="Q4203" s="1" t="str">
        <f t="shared" si="952"/>
        <v/>
      </c>
      <c r="R4203" s="1" t="str">
        <f t="shared" si="956"/>
        <v/>
      </c>
      <c r="S4203" s="1">
        <f t="shared" si="957"/>
        <v>630.90240000000244</v>
      </c>
      <c r="T4203" s="1">
        <f t="shared" si="958"/>
        <v>0</v>
      </c>
      <c r="U4203" s="1">
        <f t="shared" si="959"/>
        <v>0</v>
      </c>
      <c r="V4203" s="1">
        <f t="shared" si="960"/>
        <v>0</v>
      </c>
    </row>
    <row r="4204" spans="5:22" x14ac:dyDescent="0.25">
      <c r="E4204" s="4"/>
      <c r="M4204" s="4">
        <f t="shared" si="953"/>
        <v>173.1</v>
      </c>
      <c r="N4204" s="4"/>
      <c r="O4204" s="1">
        <f t="shared" si="954"/>
        <v>173.1</v>
      </c>
      <c r="P4204" s="1">
        <f t="shared" si="955"/>
        <v>0</v>
      </c>
      <c r="Q4204" s="1" t="str">
        <f t="shared" si="952"/>
        <v/>
      </c>
      <c r="R4204" s="1" t="str">
        <f t="shared" si="956"/>
        <v/>
      </c>
      <c r="S4204" s="1">
        <f t="shared" si="957"/>
        <v>630.90240000000244</v>
      </c>
      <c r="T4204" s="1">
        <f t="shared" si="958"/>
        <v>0</v>
      </c>
      <c r="U4204" s="1">
        <f t="shared" si="959"/>
        <v>0</v>
      </c>
      <c r="V4204" s="1">
        <f t="shared" si="960"/>
        <v>0</v>
      </c>
    </row>
    <row r="4205" spans="5:22" x14ac:dyDescent="0.25">
      <c r="E4205" s="4"/>
      <c r="M4205" s="4">
        <f t="shared" si="953"/>
        <v>173.1</v>
      </c>
      <c r="N4205" s="4"/>
      <c r="O4205" s="1">
        <f t="shared" si="954"/>
        <v>173.1</v>
      </c>
      <c r="P4205" s="1">
        <f t="shared" si="955"/>
        <v>0</v>
      </c>
      <c r="Q4205" s="1" t="str">
        <f t="shared" si="952"/>
        <v/>
      </c>
      <c r="R4205" s="1" t="str">
        <f t="shared" si="956"/>
        <v/>
      </c>
      <c r="S4205" s="1">
        <f t="shared" si="957"/>
        <v>630.90240000000244</v>
      </c>
      <c r="T4205" s="1">
        <f t="shared" si="958"/>
        <v>0</v>
      </c>
      <c r="U4205" s="1">
        <f t="shared" si="959"/>
        <v>0</v>
      </c>
      <c r="V4205" s="1">
        <f t="shared" si="960"/>
        <v>0</v>
      </c>
    </row>
    <row r="4206" spans="5:22" x14ac:dyDescent="0.25">
      <c r="E4206" s="4"/>
      <c r="M4206" s="4">
        <f t="shared" si="953"/>
        <v>173.1</v>
      </c>
      <c r="N4206" s="4"/>
      <c r="O4206" s="1">
        <f t="shared" si="954"/>
        <v>173.1</v>
      </c>
      <c r="P4206" s="1">
        <f t="shared" si="955"/>
        <v>0</v>
      </c>
      <c r="Q4206" s="1" t="str">
        <f t="shared" si="952"/>
        <v/>
      </c>
      <c r="R4206" s="1" t="str">
        <f t="shared" si="956"/>
        <v/>
      </c>
      <c r="S4206" s="1">
        <f t="shared" si="957"/>
        <v>630.90240000000244</v>
      </c>
      <c r="T4206" s="1">
        <f t="shared" si="958"/>
        <v>0</v>
      </c>
      <c r="U4206" s="1">
        <f t="shared" si="959"/>
        <v>0</v>
      </c>
      <c r="V4206" s="1">
        <f t="shared" si="960"/>
        <v>0</v>
      </c>
    </row>
    <row r="4207" spans="5:22" x14ac:dyDescent="0.25">
      <c r="E4207" s="4"/>
      <c r="M4207" s="4">
        <f t="shared" si="953"/>
        <v>173.1</v>
      </c>
      <c r="N4207" s="4"/>
      <c r="O4207" s="1">
        <f t="shared" si="954"/>
        <v>173.1</v>
      </c>
      <c r="P4207" s="1">
        <f t="shared" si="955"/>
        <v>0</v>
      </c>
      <c r="Q4207" s="1" t="str">
        <f t="shared" si="952"/>
        <v/>
      </c>
      <c r="R4207" s="1" t="str">
        <f t="shared" si="956"/>
        <v/>
      </c>
      <c r="S4207" s="1">
        <f t="shared" si="957"/>
        <v>630.90240000000244</v>
      </c>
      <c r="T4207" s="1">
        <f t="shared" si="958"/>
        <v>0</v>
      </c>
      <c r="U4207" s="1">
        <f t="shared" si="959"/>
        <v>0</v>
      </c>
      <c r="V4207" s="1">
        <f t="shared" si="960"/>
        <v>0</v>
      </c>
    </row>
    <row r="4208" spans="5:22" x14ac:dyDescent="0.25">
      <c r="E4208" s="4"/>
      <c r="M4208" s="4">
        <f t="shared" si="953"/>
        <v>173.1</v>
      </c>
      <c r="N4208" s="4"/>
      <c r="O4208" s="1">
        <f t="shared" si="954"/>
        <v>173.1</v>
      </c>
      <c r="P4208" s="1">
        <f t="shared" si="955"/>
        <v>0</v>
      </c>
      <c r="Q4208" s="1" t="str">
        <f t="shared" si="952"/>
        <v/>
      </c>
      <c r="R4208" s="1" t="str">
        <f t="shared" si="956"/>
        <v/>
      </c>
      <c r="S4208" s="1">
        <f t="shared" si="957"/>
        <v>630.90240000000244</v>
      </c>
      <c r="T4208" s="1">
        <f t="shared" si="958"/>
        <v>0</v>
      </c>
      <c r="U4208" s="1">
        <f t="shared" si="959"/>
        <v>0</v>
      </c>
      <c r="V4208" s="1">
        <f t="shared" si="960"/>
        <v>0</v>
      </c>
    </row>
    <row r="4209" spans="5:22" x14ac:dyDescent="0.25">
      <c r="E4209" s="4"/>
      <c r="M4209" s="4">
        <f t="shared" si="953"/>
        <v>173.1</v>
      </c>
      <c r="N4209" s="4"/>
      <c r="O4209" s="1">
        <f t="shared" si="954"/>
        <v>173.1</v>
      </c>
      <c r="P4209" s="1">
        <f t="shared" si="955"/>
        <v>0</v>
      </c>
      <c r="Q4209" s="1" t="str">
        <f t="shared" si="952"/>
        <v/>
      </c>
      <c r="R4209" s="1" t="str">
        <f t="shared" si="956"/>
        <v/>
      </c>
      <c r="S4209" s="1">
        <f t="shared" si="957"/>
        <v>630.90240000000244</v>
      </c>
      <c r="T4209" s="1">
        <f t="shared" si="958"/>
        <v>0</v>
      </c>
      <c r="U4209" s="1">
        <f t="shared" si="959"/>
        <v>0</v>
      </c>
      <c r="V4209" s="1">
        <f t="shared" si="960"/>
        <v>0</v>
      </c>
    </row>
    <row r="4210" spans="5:22" x14ac:dyDescent="0.25">
      <c r="E4210" s="4"/>
      <c r="M4210" s="4">
        <f t="shared" si="953"/>
        <v>173.1</v>
      </c>
      <c r="N4210" s="4"/>
      <c r="O4210" s="1">
        <f t="shared" si="954"/>
        <v>173.1</v>
      </c>
      <c r="P4210" s="1">
        <f t="shared" si="955"/>
        <v>0</v>
      </c>
      <c r="Q4210" s="1" t="str">
        <f t="shared" ref="Q4210:Q4273" si="961">IF(H4210&lt;&gt;"",IF(H4210=H4209,"",H4210),IF(H4208="","",MAX(H4209,Q4209)))</f>
        <v/>
      </c>
      <c r="R4210" s="1" t="str">
        <f t="shared" si="956"/>
        <v/>
      </c>
      <c r="S4210" s="1">
        <f t="shared" si="957"/>
        <v>630.90240000000244</v>
      </c>
      <c r="T4210" s="1">
        <f t="shared" si="958"/>
        <v>0</v>
      </c>
      <c r="U4210" s="1">
        <f t="shared" si="959"/>
        <v>0</v>
      </c>
      <c r="V4210" s="1">
        <f t="shared" si="960"/>
        <v>0</v>
      </c>
    </row>
    <row r="4211" spans="5:22" x14ac:dyDescent="0.25">
      <c r="E4211" s="4"/>
      <c r="M4211" s="4">
        <f t="shared" si="953"/>
        <v>173.1</v>
      </c>
      <c r="N4211" s="4"/>
      <c r="O4211" s="1">
        <f t="shared" si="954"/>
        <v>173.1</v>
      </c>
      <c r="P4211" s="1">
        <f t="shared" si="955"/>
        <v>0</v>
      </c>
      <c r="Q4211" s="1" t="str">
        <f t="shared" si="961"/>
        <v/>
      </c>
      <c r="R4211" s="1" t="str">
        <f t="shared" si="956"/>
        <v/>
      </c>
      <c r="S4211" s="1">
        <f t="shared" si="957"/>
        <v>630.90240000000244</v>
      </c>
      <c r="T4211" s="1">
        <f t="shared" si="958"/>
        <v>0</v>
      </c>
      <c r="U4211" s="1">
        <f t="shared" si="959"/>
        <v>0</v>
      </c>
      <c r="V4211" s="1">
        <f t="shared" si="960"/>
        <v>0</v>
      </c>
    </row>
    <row r="4212" spans="5:22" x14ac:dyDescent="0.25">
      <c r="E4212" s="4"/>
      <c r="M4212" s="4">
        <f t="shared" si="953"/>
        <v>173.1</v>
      </c>
      <c r="N4212" s="4"/>
      <c r="O4212" s="1">
        <f t="shared" si="954"/>
        <v>173.1</v>
      </c>
      <c r="P4212" s="1">
        <f t="shared" si="955"/>
        <v>0</v>
      </c>
      <c r="Q4212" s="1" t="str">
        <f t="shared" si="961"/>
        <v/>
      </c>
      <c r="R4212" s="1" t="str">
        <f t="shared" si="956"/>
        <v/>
      </c>
      <c r="S4212" s="1">
        <f t="shared" si="957"/>
        <v>630.90240000000244</v>
      </c>
      <c r="T4212" s="1">
        <f t="shared" si="958"/>
        <v>0</v>
      </c>
      <c r="U4212" s="1">
        <f t="shared" si="959"/>
        <v>0</v>
      </c>
      <c r="V4212" s="1">
        <f t="shared" si="960"/>
        <v>0</v>
      </c>
    </row>
    <row r="4213" spans="5:22" x14ac:dyDescent="0.25">
      <c r="E4213" s="4"/>
      <c r="M4213" s="4">
        <f t="shared" si="953"/>
        <v>173.1</v>
      </c>
      <c r="N4213" s="4"/>
      <c r="O4213" s="1">
        <f t="shared" si="954"/>
        <v>173.1</v>
      </c>
      <c r="P4213" s="1">
        <f t="shared" si="955"/>
        <v>0</v>
      </c>
      <c r="Q4213" s="1" t="str">
        <f t="shared" si="961"/>
        <v/>
      </c>
      <c r="R4213" s="1" t="str">
        <f t="shared" si="956"/>
        <v/>
      </c>
      <c r="S4213" s="1">
        <f t="shared" si="957"/>
        <v>630.90240000000244</v>
      </c>
      <c r="T4213" s="1">
        <f t="shared" si="958"/>
        <v>0</v>
      </c>
      <c r="U4213" s="1">
        <f t="shared" si="959"/>
        <v>0</v>
      </c>
      <c r="V4213" s="1">
        <f t="shared" si="960"/>
        <v>0</v>
      </c>
    </row>
    <row r="4214" spans="5:22" x14ac:dyDescent="0.25">
      <c r="E4214" s="4"/>
      <c r="M4214" s="4">
        <f t="shared" si="953"/>
        <v>173.1</v>
      </c>
      <c r="N4214" s="4"/>
      <c r="O4214" s="1">
        <f t="shared" si="954"/>
        <v>173.1</v>
      </c>
      <c r="P4214" s="1">
        <f t="shared" si="955"/>
        <v>0</v>
      </c>
      <c r="Q4214" s="1" t="str">
        <f t="shared" si="961"/>
        <v/>
      </c>
      <c r="R4214" s="1" t="str">
        <f t="shared" si="956"/>
        <v/>
      </c>
      <c r="S4214" s="1">
        <f t="shared" si="957"/>
        <v>630.90240000000244</v>
      </c>
      <c r="T4214" s="1">
        <f t="shared" si="958"/>
        <v>0</v>
      </c>
      <c r="U4214" s="1">
        <f t="shared" si="959"/>
        <v>0</v>
      </c>
      <c r="V4214" s="1">
        <f t="shared" si="960"/>
        <v>0</v>
      </c>
    </row>
    <row r="4215" spans="5:22" x14ac:dyDescent="0.25">
      <c r="E4215" s="4"/>
      <c r="M4215" s="4">
        <f t="shared" si="953"/>
        <v>173.1</v>
      </c>
      <c r="N4215" s="4"/>
      <c r="O4215" s="1">
        <f t="shared" si="954"/>
        <v>173.1</v>
      </c>
      <c r="P4215" s="1">
        <f t="shared" si="955"/>
        <v>0</v>
      </c>
      <c r="Q4215" s="1" t="str">
        <f t="shared" si="961"/>
        <v/>
      </c>
      <c r="R4215" s="1" t="str">
        <f t="shared" si="956"/>
        <v/>
      </c>
      <c r="S4215" s="1">
        <f t="shared" si="957"/>
        <v>630.90240000000244</v>
      </c>
      <c r="T4215" s="1">
        <f t="shared" si="958"/>
        <v>0</v>
      </c>
      <c r="U4215" s="1">
        <f t="shared" si="959"/>
        <v>0</v>
      </c>
      <c r="V4215" s="1">
        <f t="shared" si="960"/>
        <v>0</v>
      </c>
    </row>
    <row r="4216" spans="5:22" x14ac:dyDescent="0.25">
      <c r="E4216" s="4"/>
      <c r="M4216" s="4">
        <f t="shared" si="953"/>
        <v>173.1</v>
      </c>
      <c r="N4216" s="4"/>
      <c r="O4216" s="1">
        <f t="shared" si="954"/>
        <v>173.1</v>
      </c>
      <c r="P4216" s="1">
        <f t="shared" si="955"/>
        <v>0</v>
      </c>
      <c r="Q4216" s="1" t="str">
        <f t="shared" si="961"/>
        <v/>
      </c>
      <c r="R4216" s="1" t="str">
        <f t="shared" si="956"/>
        <v/>
      </c>
      <c r="S4216" s="1">
        <f t="shared" si="957"/>
        <v>630.90240000000244</v>
      </c>
      <c r="T4216" s="1">
        <f t="shared" si="958"/>
        <v>0</v>
      </c>
      <c r="U4216" s="1">
        <f t="shared" si="959"/>
        <v>0</v>
      </c>
      <c r="V4216" s="1">
        <f t="shared" si="960"/>
        <v>0</v>
      </c>
    </row>
    <row r="4217" spans="5:22" x14ac:dyDescent="0.25">
      <c r="E4217" s="4"/>
      <c r="M4217" s="4">
        <f t="shared" si="953"/>
        <v>173.1</v>
      </c>
      <c r="N4217" s="4"/>
      <c r="O4217" s="1">
        <f t="shared" si="954"/>
        <v>173.1</v>
      </c>
      <c r="P4217" s="1">
        <f t="shared" si="955"/>
        <v>0</v>
      </c>
      <c r="Q4217" s="1" t="str">
        <f t="shared" si="961"/>
        <v/>
      </c>
      <c r="R4217" s="1" t="str">
        <f t="shared" si="956"/>
        <v/>
      </c>
      <c r="S4217" s="1">
        <f t="shared" si="957"/>
        <v>630.90240000000244</v>
      </c>
      <c r="T4217" s="1">
        <f t="shared" si="958"/>
        <v>0</v>
      </c>
      <c r="U4217" s="1">
        <f t="shared" si="959"/>
        <v>0</v>
      </c>
      <c r="V4217" s="1">
        <f t="shared" si="960"/>
        <v>0</v>
      </c>
    </row>
    <row r="4218" spans="5:22" x14ac:dyDescent="0.25">
      <c r="E4218" s="4"/>
      <c r="M4218" s="4">
        <f t="shared" si="953"/>
        <v>173.1</v>
      </c>
      <c r="N4218" s="4"/>
      <c r="O4218" s="1">
        <f t="shared" si="954"/>
        <v>173.1</v>
      </c>
      <c r="P4218" s="1">
        <f t="shared" si="955"/>
        <v>0</v>
      </c>
      <c r="Q4218" s="1" t="str">
        <f t="shared" si="961"/>
        <v/>
      </c>
      <c r="R4218" s="1" t="str">
        <f t="shared" si="956"/>
        <v/>
      </c>
      <c r="S4218" s="1">
        <f t="shared" si="957"/>
        <v>630.90240000000244</v>
      </c>
      <c r="T4218" s="1">
        <f t="shared" si="958"/>
        <v>0</v>
      </c>
      <c r="U4218" s="1">
        <f t="shared" si="959"/>
        <v>0</v>
      </c>
      <c r="V4218" s="1">
        <f t="shared" si="960"/>
        <v>0</v>
      </c>
    </row>
    <row r="4219" spans="5:22" x14ac:dyDescent="0.25">
      <c r="E4219" s="4"/>
      <c r="M4219" s="4">
        <f t="shared" si="953"/>
        <v>173.1</v>
      </c>
      <c r="N4219" s="4"/>
      <c r="O4219" s="1">
        <f t="shared" si="954"/>
        <v>173.1</v>
      </c>
      <c r="P4219" s="1">
        <f t="shared" si="955"/>
        <v>0</v>
      </c>
      <c r="Q4219" s="1" t="str">
        <f t="shared" si="961"/>
        <v/>
      </c>
      <c r="R4219" s="1" t="str">
        <f t="shared" si="956"/>
        <v/>
      </c>
      <c r="S4219" s="1">
        <f t="shared" si="957"/>
        <v>630.90240000000244</v>
      </c>
      <c r="T4219" s="1">
        <f t="shared" si="958"/>
        <v>0</v>
      </c>
      <c r="U4219" s="1">
        <f t="shared" si="959"/>
        <v>0</v>
      </c>
      <c r="V4219" s="1">
        <f t="shared" si="960"/>
        <v>0</v>
      </c>
    </row>
    <row r="4220" spans="5:22" x14ac:dyDescent="0.25">
      <c r="E4220" s="4"/>
      <c r="M4220" s="4">
        <f t="shared" si="953"/>
        <v>173.1</v>
      </c>
      <c r="N4220" s="4"/>
      <c r="O4220" s="1">
        <f t="shared" si="954"/>
        <v>173.1</v>
      </c>
      <c r="P4220" s="1">
        <f t="shared" si="955"/>
        <v>0</v>
      </c>
      <c r="Q4220" s="1" t="str">
        <f t="shared" si="961"/>
        <v/>
      </c>
      <c r="R4220" s="1" t="str">
        <f t="shared" si="956"/>
        <v/>
      </c>
      <c r="S4220" s="1">
        <f t="shared" si="957"/>
        <v>630.90240000000244</v>
      </c>
      <c r="T4220" s="1">
        <f t="shared" si="958"/>
        <v>0</v>
      </c>
      <c r="U4220" s="1">
        <f t="shared" si="959"/>
        <v>0</v>
      </c>
      <c r="V4220" s="1">
        <f t="shared" si="960"/>
        <v>0</v>
      </c>
    </row>
    <row r="4221" spans="5:22" x14ac:dyDescent="0.25">
      <c r="E4221" s="4"/>
      <c r="M4221" s="4">
        <f t="shared" si="953"/>
        <v>173.1</v>
      </c>
      <c r="N4221" s="4"/>
      <c r="O4221" s="1">
        <f t="shared" si="954"/>
        <v>173.1</v>
      </c>
      <c r="P4221" s="1">
        <f t="shared" si="955"/>
        <v>0</v>
      </c>
      <c r="Q4221" s="1" t="str">
        <f t="shared" si="961"/>
        <v/>
      </c>
      <c r="R4221" s="1" t="str">
        <f t="shared" si="956"/>
        <v/>
      </c>
      <c r="S4221" s="1">
        <f t="shared" si="957"/>
        <v>630.90240000000244</v>
      </c>
      <c r="T4221" s="1">
        <f t="shared" si="958"/>
        <v>0</v>
      </c>
      <c r="U4221" s="1">
        <f t="shared" si="959"/>
        <v>0</v>
      </c>
      <c r="V4221" s="1">
        <f t="shared" si="960"/>
        <v>0</v>
      </c>
    </row>
    <row r="4222" spans="5:22" x14ac:dyDescent="0.25">
      <c r="E4222" s="4"/>
      <c r="M4222" s="4">
        <f t="shared" si="953"/>
        <v>173.1</v>
      </c>
      <c r="N4222" s="4"/>
      <c r="O4222" s="1">
        <f t="shared" si="954"/>
        <v>173.1</v>
      </c>
      <c r="P4222" s="1">
        <f t="shared" si="955"/>
        <v>0</v>
      </c>
      <c r="Q4222" s="1" t="str">
        <f t="shared" si="961"/>
        <v/>
      </c>
      <c r="R4222" s="1" t="str">
        <f t="shared" si="956"/>
        <v/>
      </c>
      <c r="S4222" s="1">
        <f t="shared" si="957"/>
        <v>630.90240000000244</v>
      </c>
      <c r="T4222" s="1">
        <f t="shared" si="958"/>
        <v>0</v>
      </c>
      <c r="U4222" s="1">
        <f t="shared" si="959"/>
        <v>0</v>
      </c>
      <c r="V4222" s="1">
        <f t="shared" si="960"/>
        <v>0</v>
      </c>
    </row>
    <row r="4223" spans="5:22" x14ac:dyDescent="0.25">
      <c r="E4223" s="4"/>
      <c r="M4223" s="4">
        <f t="shared" si="953"/>
        <v>173.1</v>
      </c>
      <c r="N4223" s="4"/>
      <c r="O4223" s="1">
        <f t="shared" si="954"/>
        <v>173.1</v>
      </c>
      <c r="P4223" s="1">
        <f t="shared" si="955"/>
        <v>0</v>
      </c>
      <c r="Q4223" s="1" t="str">
        <f t="shared" si="961"/>
        <v/>
      </c>
      <c r="R4223" s="1" t="str">
        <f t="shared" si="956"/>
        <v/>
      </c>
      <c r="S4223" s="1">
        <f t="shared" si="957"/>
        <v>630.90240000000244</v>
      </c>
      <c r="T4223" s="1">
        <f t="shared" si="958"/>
        <v>0</v>
      </c>
      <c r="U4223" s="1">
        <f t="shared" si="959"/>
        <v>0</v>
      </c>
      <c r="V4223" s="1">
        <f t="shared" si="960"/>
        <v>0</v>
      </c>
    </row>
    <row r="4224" spans="5:22" x14ac:dyDescent="0.25">
      <c r="E4224" s="4"/>
      <c r="M4224" s="4">
        <f t="shared" si="953"/>
        <v>173.1</v>
      </c>
      <c r="N4224" s="4"/>
      <c r="O4224" s="1">
        <f t="shared" si="954"/>
        <v>173.1</v>
      </c>
      <c r="P4224" s="1">
        <f t="shared" si="955"/>
        <v>0</v>
      </c>
      <c r="Q4224" s="1" t="str">
        <f t="shared" si="961"/>
        <v/>
      </c>
      <c r="R4224" s="1" t="str">
        <f t="shared" si="956"/>
        <v/>
      </c>
      <c r="S4224" s="1">
        <f t="shared" si="957"/>
        <v>630.90240000000244</v>
      </c>
      <c r="T4224" s="1">
        <f t="shared" si="958"/>
        <v>0</v>
      </c>
      <c r="U4224" s="1">
        <f t="shared" si="959"/>
        <v>0</v>
      </c>
      <c r="V4224" s="1">
        <f t="shared" si="960"/>
        <v>0</v>
      </c>
    </row>
    <row r="4225" spans="5:22" x14ac:dyDescent="0.25">
      <c r="E4225" s="4"/>
      <c r="M4225" s="4">
        <f t="shared" si="953"/>
        <v>173.1</v>
      </c>
      <c r="N4225" s="4"/>
      <c r="O4225" s="1">
        <f t="shared" si="954"/>
        <v>173.1</v>
      </c>
      <c r="P4225" s="1">
        <f t="shared" si="955"/>
        <v>0</v>
      </c>
      <c r="Q4225" s="1" t="str">
        <f t="shared" si="961"/>
        <v/>
      </c>
      <c r="R4225" s="1" t="str">
        <f t="shared" si="956"/>
        <v/>
      </c>
      <c r="S4225" s="1">
        <f t="shared" si="957"/>
        <v>630.90240000000244</v>
      </c>
      <c r="T4225" s="1">
        <f t="shared" si="958"/>
        <v>0</v>
      </c>
      <c r="U4225" s="1">
        <f t="shared" si="959"/>
        <v>0</v>
      </c>
      <c r="V4225" s="1">
        <f t="shared" si="960"/>
        <v>0</v>
      </c>
    </row>
    <row r="4226" spans="5:22" x14ac:dyDescent="0.25">
      <c r="E4226" s="4"/>
      <c r="M4226" s="4">
        <f t="shared" si="953"/>
        <v>173.1</v>
      </c>
      <c r="N4226" s="4"/>
      <c r="O4226" s="1">
        <f t="shared" si="954"/>
        <v>173.1</v>
      </c>
      <c r="P4226" s="1">
        <f t="shared" si="955"/>
        <v>0</v>
      </c>
      <c r="Q4226" s="1" t="str">
        <f t="shared" si="961"/>
        <v/>
      </c>
      <c r="R4226" s="1" t="str">
        <f t="shared" si="956"/>
        <v/>
      </c>
      <c r="S4226" s="1">
        <f t="shared" si="957"/>
        <v>630.90240000000244</v>
      </c>
      <c r="T4226" s="1">
        <f t="shared" si="958"/>
        <v>0</v>
      </c>
      <c r="U4226" s="1">
        <f t="shared" si="959"/>
        <v>0</v>
      </c>
      <c r="V4226" s="1">
        <f t="shared" si="960"/>
        <v>0</v>
      </c>
    </row>
    <row r="4227" spans="5:22" x14ac:dyDescent="0.25">
      <c r="E4227" s="4"/>
      <c r="M4227" s="4">
        <f t="shared" si="953"/>
        <v>173.1</v>
      </c>
      <c r="N4227" s="4"/>
      <c r="O4227" s="1">
        <f t="shared" si="954"/>
        <v>173.1</v>
      </c>
      <c r="P4227" s="1">
        <f t="shared" si="955"/>
        <v>0</v>
      </c>
      <c r="Q4227" s="1" t="str">
        <f t="shared" si="961"/>
        <v/>
      </c>
      <c r="R4227" s="1" t="str">
        <f t="shared" si="956"/>
        <v/>
      </c>
      <c r="S4227" s="1">
        <f t="shared" si="957"/>
        <v>630.90240000000244</v>
      </c>
      <c r="T4227" s="1">
        <f t="shared" si="958"/>
        <v>0</v>
      </c>
      <c r="U4227" s="1">
        <f t="shared" si="959"/>
        <v>0</v>
      </c>
      <c r="V4227" s="1">
        <f t="shared" si="960"/>
        <v>0</v>
      </c>
    </row>
    <row r="4228" spans="5:22" x14ac:dyDescent="0.25">
      <c r="E4228" s="4"/>
      <c r="M4228" s="4">
        <f t="shared" si="953"/>
        <v>173.1</v>
      </c>
      <c r="N4228" s="4"/>
      <c r="O4228" s="1">
        <f t="shared" si="954"/>
        <v>173.1</v>
      </c>
      <c r="P4228" s="1">
        <f t="shared" si="955"/>
        <v>0</v>
      </c>
      <c r="Q4228" s="1" t="str">
        <f t="shared" si="961"/>
        <v/>
      </c>
      <c r="R4228" s="1" t="str">
        <f t="shared" si="956"/>
        <v/>
      </c>
      <c r="S4228" s="1">
        <f t="shared" si="957"/>
        <v>630.90240000000244</v>
      </c>
      <c r="T4228" s="1">
        <f t="shared" si="958"/>
        <v>0</v>
      </c>
      <c r="U4228" s="1">
        <f t="shared" si="959"/>
        <v>0</v>
      </c>
      <c r="V4228" s="1">
        <f t="shared" si="960"/>
        <v>0</v>
      </c>
    </row>
    <row r="4229" spans="5:22" x14ac:dyDescent="0.25">
      <c r="E4229" s="4"/>
      <c r="M4229" s="4">
        <f t="shared" si="953"/>
        <v>173.1</v>
      </c>
      <c r="N4229" s="4"/>
      <c r="O4229" s="1">
        <f t="shared" si="954"/>
        <v>173.1</v>
      </c>
      <c r="P4229" s="1">
        <f t="shared" si="955"/>
        <v>0</v>
      </c>
      <c r="Q4229" s="1" t="str">
        <f t="shared" si="961"/>
        <v/>
      </c>
      <c r="R4229" s="1" t="str">
        <f t="shared" si="956"/>
        <v/>
      </c>
      <c r="S4229" s="1">
        <f t="shared" si="957"/>
        <v>630.90240000000244</v>
      </c>
      <c r="T4229" s="1">
        <f t="shared" si="958"/>
        <v>0</v>
      </c>
      <c r="U4229" s="1">
        <f t="shared" si="959"/>
        <v>0</v>
      </c>
      <c r="V4229" s="1">
        <f t="shared" si="960"/>
        <v>0</v>
      </c>
    </row>
    <row r="4230" spans="5:22" x14ac:dyDescent="0.25">
      <c r="E4230" s="4"/>
      <c r="M4230" s="4">
        <f t="shared" si="953"/>
        <v>173.1</v>
      </c>
      <c r="N4230" s="4"/>
      <c r="O4230" s="1">
        <f t="shared" si="954"/>
        <v>173.1</v>
      </c>
      <c r="P4230" s="1">
        <f t="shared" si="955"/>
        <v>0</v>
      </c>
      <c r="Q4230" s="1" t="str">
        <f t="shared" si="961"/>
        <v/>
      </c>
      <c r="R4230" s="1" t="str">
        <f t="shared" si="956"/>
        <v/>
      </c>
      <c r="S4230" s="1">
        <f t="shared" si="957"/>
        <v>630.90240000000244</v>
      </c>
      <c r="T4230" s="1">
        <f t="shared" si="958"/>
        <v>0</v>
      </c>
      <c r="U4230" s="1">
        <f t="shared" si="959"/>
        <v>0</v>
      </c>
      <c r="V4230" s="1">
        <f t="shared" si="960"/>
        <v>0</v>
      </c>
    </row>
    <row r="4231" spans="5:22" x14ac:dyDescent="0.25">
      <c r="E4231" s="4"/>
      <c r="M4231" s="4">
        <f t="shared" si="953"/>
        <v>173.1</v>
      </c>
      <c r="N4231" s="4"/>
      <c r="O4231" s="1">
        <f t="shared" si="954"/>
        <v>173.1</v>
      </c>
      <c r="P4231" s="1">
        <f t="shared" si="955"/>
        <v>0</v>
      </c>
      <c r="Q4231" s="1" t="str">
        <f t="shared" si="961"/>
        <v/>
      </c>
      <c r="R4231" s="1" t="str">
        <f t="shared" si="956"/>
        <v/>
      </c>
      <c r="S4231" s="1">
        <f t="shared" si="957"/>
        <v>630.90240000000244</v>
      </c>
      <c r="T4231" s="1">
        <f t="shared" si="958"/>
        <v>0</v>
      </c>
      <c r="U4231" s="1">
        <f t="shared" si="959"/>
        <v>0</v>
      </c>
      <c r="V4231" s="1">
        <f t="shared" si="960"/>
        <v>0</v>
      </c>
    </row>
    <row r="4232" spans="5:22" x14ac:dyDescent="0.25">
      <c r="E4232" s="4"/>
      <c r="M4232" s="4">
        <f t="shared" ref="M4232:M4295" si="962">E4232+M4231</f>
        <v>173.1</v>
      </c>
      <c r="N4232" s="4"/>
      <c r="O4232" s="1">
        <f t="shared" ref="O4232:O4295" si="963">E4231+O4231</f>
        <v>173.1</v>
      </c>
      <c r="P4232" s="1">
        <f t="shared" ref="P4232:P4295" si="964">F4232*52.8*E4232</f>
        <v>0</v>
      </c>
      <c r="Q4232" s="1" t="str">
        <f t="shared" si="961"/>
        <v/>
      </c>
      <c r="R4232" s="1" t="str">
        <f t="shared" ref="R4232:R4295" si="965">IF(I4232="",Q4232,IF(AND(H4232=H4231,I4232=I4231),"",I4232))</f>
        <v/>
      </c>
      <c r="S4232" s="1">
        <f t="shared" ref="S4232:S4295" si="966">S4231+U4231*T4231/100</f>
        <v>630.90240000000244</v>
      </c>
      <c r="T4232" s="1">
        <f t="shared" ref="T4232:T4295" si="967">IF(G4232="UNK",0,G4232)</f>
        <v>0</v>
      </c>
      <c r="U4232" s="1">
        <f t="shared" ref="U4232:U4295" si="968">E4232*5280</f>
        <v>0</v>
      </c>
      <c r="V4232" s="1">
        <f t="shared" ref="V4232:V4295" si="969">ABS(T4232*U4232)</f>
        <v>0</v>
      </c>
    </row>
    <row r="4233" spans="5:22" x14ac:dyDescent="0.25">
      <c r="E4233" s="4"/>
      <c r="M4233" s="4">
        <f t="shared" si="962"/>
        <v>173.1</v>
      </c>
      <c r="N4233" s="4"/>
      <c r="O4233" s="1">
        <f t="shared" si="963"/>
        <v>173.1</v>
      </c>
      <c r="P4233" s="1">
        <f t="shared" si="964"/>
        <v>0</v>
      </c>
      <c r="Q4233" s="1" t="str">
        <f t="shared" si="961"/>
        <v/>
      </c>
      <c r="R4233" s="1" t="str">
        <f t="shared" si="965"/>
        <v/>
      </c>
      <c r="S4233" s="1">
        <f t="shared" si="966"/>
        <v>630.90240000000244</v>
      </c>
      <c r="T4233" s="1">
        <f t="shared" si="967"/>
        <v>0</v>
      </c>
      <c r="U4233" s="1">
        <f t="shared" si="968"/>
        <v>0</v>
      </c>
      <c r="V4233" s="1">
        <f t="shared" si="969"/>
        <v>0</v>
      </c>
    </row>
    <row r="4234" spans="5:22" x14ac:dyDescent="0.25">
      <c r="E4234" s="4"/>
      <c r="M4234" s="4">
        <f t="shared" si="962"/>
        <v>173.1</v>
      </c>
      <c r="N4234" s="4"/>
      <c r="O4234" s="1">
        <f t="shared" si="963"/>
        <v>173.1</v>
      </c>
      <c r="P4234" s="1">
        <f t="shared" si="964"/>
        <v>0</v>
      </c>
      <c r="Q4234" s="1" t="str">
        <f t="shared" si="961"/>
        <v/>
      </c>
      <c r="R4234" s="1" t="str">
        <f t="shared" si="965"/>
        <v/>
      </c>
      <c r="S4234" s="1">
        <f t="shared" si="966"/>
        <v>630.90240000000244</v>
      </c>
      <c r="T4234" s="1">
        <f t="shared" si="967"/>
        <v>0</v>
      </c>
      <c r="U4234" s="1">
        <f t="shared" si="968"/>
        <v>0</v>
      </c>
      <c r="V4234" s="1">
        <f t="shared" si="969"/>
        <v>0</v>
      </c>
    </row>
    <row r="4235" spans="5:22" x14ac:dyDescent="0.25">
      <c r="E4235" s="4"/>
      <c r="M4235" s="4">
        <f t="shared" si="962"/>
        <v>173.1</v>
      </c>
      <c r="N4235" s="4"/>
      <c r="O4235" s="1">
        <f t="shared" si="963"/>
        <v>173.1</v>
      </c>
      <c r="P4235" s="1">
        <f t="shared" si="964"/>
        <v>0</v>
      </c>
      <c r="Q4235" s="1" t="str">
        <f t="shared" si="961"/>
        <v/>
      </c>
      <c r="R4235" s="1" t="str">
        <f t="shared" si="965"/>
        <v/>
      </c>
      <c r="S4235" s="1">
        <f t="shared" si="966"/>
        <v>630.90240000000244</v>
      </c>
      <c r="T4235" s="1">
        <f t="shared" si="967"/>
        <v>0</v>
      </c>
      <c r="U4235" s="1">
        <f t="shared" si="968"/>
        <v>0</v>
      </c>
      <c r="V4235" s="1">
        <f t="shared" si="969"/>
        <v>0</v>
      </c>
    </row>
    <row r="4236" spans="5:22" x14ac:dyDescent="0.25">
      <c r="E4236" s="4"/>
      <c r="M4236" s="4">
        <f t="shared" si="962"/>
        <v>173.1</v>
      </c>
      <c r="N4236" s="4"/>
      <c r="O4236" s="1">
        <f t="shared" si="963"/>
        <v>173.1</v>
      </c>
      <c r="P4236" s="1">
        <f t="shared" si="964"/>
        <v>0</v>
      </c>
      <c r="Q4236" s="1" t="str">
        <f t="shared" si="961"/>
        <v/>
      </c>
      <c r="R4236" s="1" t="str">
        <f t="shared" si="965"/>
        <v/>
      </c>
      <c r="S4236" s="1">
        <f t="shared" si="966"/>
        <v>630.90240000000244</v>
      </c>
      <c r="T4236" s="1">
        <f t="shared" si="967"/>
        <v>0</v>
      </c>
      <c r="U4236" s="1">
        <f t="shared" si="968"/>
        <v>0</v>
      </c>
      <c r="V4236" s="1">
        <f t="shared" si="969"/>
        <v>0</v>
      </c>
    </row>
    <row r="4237" spans="5:22" x14ac:dyDescent="0.25">
      <c r="E4237" s="4"/>
      <c r="M4237" s="4">
        <f t="shared" si="962"/>
        <v>173.1</v>
      </c>
      <c r="N4237" s="4"/>
      <c r="O4237" s="1">
        <f t="shared" si="963"/>
        <v>173.1</v>
      </c>
      <c r="P4237" s="1">
        <f t="shared" si="964"/>
        <v>0</v>
      </c>
      <c r="Q4237" s="1" t="str">
        <f t="shared" si="961"/>
        <v/>
      </c>
      <c r="R4237" s="1" t="str">
        <f t="shared" si="965"/>
        <v/>
      </c>
      <c r="S4237" s="1">
        <f t="shared" si="966"/>
        <v>630.90240000000244</v>
      </c>
      <c r="T4237" s="1">
        <f t="shared" si="967"/>
        <v>0</v>
      </c>
      <c r="U4237" s="1">
        <f t="shared" si="968"/>
        <v>0</v>
      </c>
      <c r="V4237" s="1">
        <f t="shared" si="969"/>
        <v>0</v>
      </c>
    </row>
    <row r="4238" spans="5:22" x14ac:dyDescent="0.25">
      <c r="E4238" s="4"/>
      <c r="M4238" s="4">
        <f t="shared" si="962"/>
        <v>173.1</v>
      </c>
      <c r="N4238" s="4"/>
      <c r="O4238" s="1">
        <f t="shared" si="963"/>
        <v>173.1</v>
      </c>
      <c r="P4238" s="1">
        <f t="shared" si="964"/>
        <v>0</v>
      </c>
      <c r="Q4238" s="1" t="str">
        <f t="shared" si="961"/>
        <v/>
      </c>
      <c r="R4238" s="1" t="str">
        <f t="shared" si="965"/>
        <v/>
      </c>
      <c r="S4238" s="1">
        <f t="shared" si="966"/>
        <v>630.90240000000244</v>
      </c>
      <c r="T4238" s="1">
        <f t="shared" si="967"/>
        <v>0</v>
      </c>
      <c r="U4238" s="1">
        <f t="shared" si="968"/>
        <v>0</v>
      </c>
      <c r="V4238" s="1">
        <f t="shared" si="969"/>
        <v>0</v>
      </c>
    </row>
    <row r="4239" spans="5:22" x14ac:dyDescent="0.25">
      <c r="E4239" s="4"/>
      <c r="M4239" s="4">
        <f t="shared" si="962"/>
        <v>173.1</v>
      </c>
      <c r="N4239" s="4"/>
      <c r="O4239" s="1">
        <f t="shared" si="963"/>
        <v>173.1</v>
      </c>
      <c r="P4239" s="1">
        <f t="shared" si="964"/>
        <v>0</v>
      </c>
      <c r="Q4239" s="1" t="str">
        <f t="shared" si="961"/>
        <v/>
      </c>
      <c r="R4239" s="1" t="str">
        <f t="shared" si="965"/>
        <v/>
      </c>
      <c r="S4239" s="1">
        <f t="shared" si="966"/>
        <v>630.90240000000244</v>
      </c>
      <c r="T4239" s="1">
        <f t="shared" si="967"/>
        <v>0</v>
      </c>
      <c r="U4239" s="1">
        <f t="shared" si="968"/>
        <v>0</v>
      </c>
      <c r="V4239" s="1">
        <f t="shared" si="969"/>
        <v>0</v>
      </c>
    </row>
    <row r="4240" spans="5:22" x14ac:dyDescent="0.25">
      <c r="E4240" s="4"/>
      <c r="M4240" s="4">
        <f t="shared" si="962"/>
        <v>173.1</v>
      </c>
      <c r="N4240" s="4"/>
      <c r="O4240" s="1">
        <f t="shared" si="963"/>
        <v>173.1</v>
      </c>
      <c r="P4240" s="1">
        <f t="shared" si="964"/>
        <v>0</v>
      </c>
      <c r="Q4240" s="1" t="str">
        <f t="shared" si="961"/>
        <v/>
      </c>
      <c r="R4240" s="1" t="str">
        <f t="shared" si="965"/>
        <v/>
      </c>
      <c r="S4240" s="1">
        <f t="shared" si="966"/>
        <v>630.90240000000244</v>
      </c>
      <c r="T4240" s="1">
        <f t="shared" si="967"/>
        <v>0</v>
      </c>
      <c r="U4240" s="1">
        <f t="shared" si="968"/>
        <v>0</v>
      </c>
      <c r="V4240" s="1">
        <f t="shared" si="969"/>
        <v>0</v>
      </c>
    </row>
    <row r="4241" spans="5:22" x14ac:dyDescent="0.25">
      <c r="E4241" s="4"/>
      <c r="M4241" s="4">
        <f t="shared" si="962"/>
        <v>173.1</v>
      </c>
      <c r="N4241" s="4"/>
      <c r="O4241" s="1">
        <f t="shared" si="963"/>
        <v>173.1</v>
      </c>
      <c r="P4241" s="1">
        <f t="shared" si="964"/>
        <v>0</v>
      </c>
      <c r="Q4241" s="1" t="str">
        <f t="shared" si="961"/>
        <v/>
      </c>
      <c r="R4241" s="1" t="str">
        <f t="shared" si="965"/>
        <v/>
      </c>
      <c r="S4241" s="1">
        <f t="shared" si="966"/>
        <v>630.90240000000244</v>
      </c>
      <c r="T4241" s="1">
        <f t="shared" si="967"/>
        <v>0</v>
      </c>
      <c r="U4241" s="1">
        <f t="shared" si="968"/>
        <v>0</v>
      </c>
      <c r="V4241" s="1">
        <f t="shared" si="969"/>
        <v>0</v>
      </c>
    </row>
    <row r="4242" spans="5:22" x14ac:dyDescent="0.25">
      <c r="E4242" s="4"/>
      <c r="M4242" s="4">
        <f t="shared" si="962"/>
        <v>173.1</v>
      </c>
      <c r="N4242" s="4"/>
      <c r="O4242" s="1">
        <f t="shared" si="963"/>
        <v>173.1</v>
      </c>
      <c r="P4242" s="1">
        <f t="shared" si="964"/>
        <v>0</v>
      </c>
      <c r="Q4242" s="1" t="str">
        <f t="shared" si="961"/>
        <v/>
      </c>
      <c r="R4242" s="1" t="str">
        <f t="shared" si="965"/>
        <v/>
      </c>
      <c r="S4242" s="1">
        <f t="shared" si="966"/>
        <v>630.90240000000244</v>
      </c>
      <c r="T4242" s="1">
        <f t="shared" si="967"/>
        <v>0</v>
      </c>
      <c r="U4242" s="1">
        <f t="shared" si="968"/>
        <v>0</v>
      </c>
      <c r="V4242" s="1">
        <f t="shared" si="969"/>
        <v>0</v>
      </c>
    </row>
    <row r="4243" spans="5:22" x14ac:dyDescent="0.25">
      <c r="E4243" s="4"/>
      <c r="M4243" s="4">
        <f t="shared" si="962"/>
        <v>173.1</v>
      </c>
      <c r="N4243" s="4"/>
      <c r="O4243" s="1">
        <f t="shared" si="963"/>
        <v>173.1</v>
      </c>
      <c r="P4243" s="1">
        <f t="shared" si="964"/>
        <v>0</v>
      </c>
      <c r="Q4243" s="1" t="str">
        <f t="shared" si="961"/>
        <v/>
      </c>
      <c r="R4243" s="1" t="str">
        <f t="shared" si="965"/>
        <v/>
      </c>
      <c r="S4243" s="1">
        <f t="shared" si="966"/>
        <v>630.90240000000244</v>
      </c>
      <c r="T4243" s="1">
        <f t="shared" si="967"/>
        <v>0</v>
      </c>
      <c r="U4243" s="1">
        <f t="shared" si="968"/>
        <v>0</v>
      </c>
      <c r="V4243" s="1">
        <f t="shared" si="969"/>
        <v>0</v>
      </c>
    </row>
    <row r="4244" spans="5:22" x14ac:dyDescent="0.25">
      <c r="E4244" s="4"/>
      <c r="M4244" s="4">
        <f t="shared" si="962"/>
        <v>173.1</v>
      </c>
      <c r="N4244" s="4"/>
      <c r="O4244" s="1">
        <f t="shared" si="963"/>
        <v>173.1</v>
      </c>
      <c r="P4244" s="1">
        <f t="shared" si="964"/>
        <v>0</v>
      </c>
      <c r="Q4244" s="1" t="str">
        <f t="shared" si="961"/>
        <v/>
      </c>
      <c r="R4244" s="1" t="str">
        <f t="shared" si="965"/>
        <v/>
      </c>
      <c r="S4244" s="1">
        <f t="shared" si="966"/>
        <v>630.90240000000244</v>
      </c>
      <c r="T4244" s="1">
        <f t="shared" si="967"/>
        <v>0</v>
      </c>
      <c r="U4244" s="1">
        <f t="shared" si="968"/>
        <v>0</v>
      </c>
      <c r="V4244" s="1">
        <f t="shared" si="969"/>
        <v>0</v>
      </c>
    </row>
    <row r="4245" spans="5:22" x14ac:dyDescent="0.25">
      <c r="E4245" s="4"/>
      <c r="M4245" s="4">
        <f t="shared" si="962"/>
        <v>173.1</v>
      </c>
      <c r="N4245" s="4"/>
      <c r="O4245" s="1">
        <f t="shared" si="963"/>
        <v>173.1</v>
      </c>
      <c r="P4245" s="1">
        <f t="shared" si="964"/>
        <v>0</v>
      </c>
      <c r="Q4245" s="1" t="str">
        <f t="shared" si="961"/>
        <v/>
      </c>
      <c r="R4245" s="1" t="str">
        <f t="shared" si="965"/>
        <v/>
      </c>
      <c r="S4245" s="1">
        <f t="shared" si="966"/>
        <v>630.90240000000244</v>
      </c>
      <c r="T4245" s="1">
        <f t="shared" si="967"/>
        <v>0</v>
      </c>
      <c r="U4245" s="1">
        <f t="shared" si="968"/>
        <v>0</v>
      </c>
      <c r="V4245" s="1">
        <f t="shared" si="969"/>
        <v>0</v>
      </c>
    </row>
    <row r="4246" spans="5:22" x14ac:dyDescent="0.25">
      <c r="E4246" s="4"/>
      <c r="M4246" s="4">
        <f t="shared" si="962"/>
        <v>173.1</v>
      </c>
      <c r="N4246" s="4"/>
      <c r="O4246" s="1">
        <f t="shared" si="963"/>
        <v>173.1</v>
      </c>
      <c r="P4246" s="1">
        <f t="shared" si="964"/>
        <v>0</v>
      </c>
      <c r="Q4246" s="1" t="str">
        <f t="shared" si="961"/>
        <v/>
      </c>
      <c r="R4246" s="1" t="str">
        <f t="shared" si="965"/>
        <v/>
      </c>
      <c r="S4246" s="1">
        <f t="shared" si="966"/>
        <v>630.90240000000244</v>
      </c>
      <c r="T4246" s="1">
        <f t="shared" si="967"/>
        <v>0</v>
      </c>
      <c r="U4246" s="1">
        <f t="shared" si="968"/>
        <v>0</v>
      </c>
      <c r="V4246" s="1">
        <f t="shared" si="969"/>
        <v>0</v>
      </c>
    </row>
    <row r="4247" spans="5:22" x14ac:dyDescent="0.25">
      <c r="E4247" s="4"/>
      <c r="M4247" s="4">
        <f t="shared" si="962"/>
        <v>173.1</v>
      </c>
      <c r="N4247" s="4"/>
      <c r="O4247" s="1">
        <f t="shared" si="963"/>
        <v>173.1</v>
      </c>
      <c r="P4247" s="1">
        <f t="shared" si="964"/>
        <v>0</v>
      </c>
      <c r="Q4247" s="1" t="str">
        <f t="shared" si="961"/>
        <v/>
      </c>
      <c r="R4247" s="1" t="str">
        <f t="shared" si="965"/>
        <v/>
      </c>
      <c r="S4247" s="1">
        <f t="shared" si="966"/>
        <v>630.90240000000244</v>
      </c>
      <c r="T4247" s="1">
        <f t="shared" si="967"/>
        <v>0</v>
      </c>
      <c r="U4247" s="1">
        <f t="shared" si="968"/>
        <v>0</v>
      </c>
      <c r="V4247" s="1">
        <f t="shared" si="969"/>
        <v>0</v>
      </c>
    </row>
    <row r="4248" spans="5:22" x14ac:dyDescent="0.25">
      <c r="E4248" s="4"/>
      <c r="M4248" s="4">
        <f t="shared" si="962"/>
        <v>173.1</v>
      </c>
      <c r="N4248" s="4"/>
      <c r="O4248" s="1">
        <f t="shared" si="963"/>
        <v>173.1</v>
      </c>
      <c r="P4248" s="1">
        <f t="shared" si="964"/>
        <v>0</v>
      </c>
      <c r="Q4248" s="1" t="str">
        <f t="shared" si="961"/>
        <v/>
      </c>
      <c r="R4248" s="1" t="str">
        <f t="shared" si="965"/>
        <v/>
      </c>
      <c r="S4248" s="1">
        <f t="shared" si="966"/>
        <v>630.90240000000244</v>
      </c>
      <c r="T4248" s="1">
        <f t="shared" si="967"/>
        <v>0</v>
      </c>
      <c r="U4248" s="1">
        <f t="shared" si="968"/>
        <v>0</v>
      </c>
      <c r="V4248" s="1">
        <f t="shared" si="969"/>
        <v>0</v>
      </c>
    </row>
    <row r="4249" spans="5:22" x14ac:dyDescent="0.25">
      <c r="E4249" s="4"/>
      <c r="M4249" s="4">
        <f t="shared" si="962"/>
        <v>173.1</v>
      </c>
      <c r="N4249" s="4"/>
      <c r="O4249" s="1">
        <f t="shared" si="963"/>
        <v>173.1</v>
      </c>
      <c r="P4249" s="1">
        <f t="shared" si="964"/>
        <v>0</v>
      </c>
      <c r="Q4249" s="1" t="str">
        <f t="shared" si="961"/>
        <v/>
      </c>
      <c r="R4249" s="1" t="str">
        <f t="shared" si="965"/>
        <v/>
      </c>
      <c r="S4249" s="1">
        <f t="shared" si="966"/>
        <v>630.90240000000244</v>
      </c>
      <c r="T4249" s="1">
        <f t="shared" si="967"/>
        <v>0</v>
      </c>
      <c r="U4249" s="1">
        <f t="shared" si="968"/>
        <v>0</v>
      </c>
      <c r="V4249" s="1">
        <f t="shared" si="969"/>
        <v>0</v>
      </c>
    </row>
    <row r="4250" spans="5:22" x14ac:dyDescent="0.25">
      <c r="E4250" s="4"/>
      <c r="M4250" s="4">
        <f t="shared" si="962"/>
        <v>173.1</v>
      </c>
      <c r="N4250" s="4"/>
      <c r="O4250" s="1">
        <f t="shared" si="963"/>
        <v>173.1</v>
      </c>
      <c r="P4250" s="1">
        <f t="shared" si="964"/>
        <v>0</v>
      </c>
      <c r="Q4250" s="1" t="str">
        <f t="shared" si="961"/>
        <v/>
      </c>
      <c r="R4250" s="1" t="str">
        <f t="shared" si="965"/>
        <v/>
      </c>
      <c r="S4250" s="1">
        <f t="shared" si="966"/>
        <v>630.90240000000244</v>
      </c>
      <c r="T4250" s="1">
        <f t="shared" si="967"/>
        <v>0</v>
      </c>
      <c r="U4250" s="1">
        <f t="shared" si="968"/>
        <v>0</v>
      </c>
      <c r="V4250" s="1">
        <f t="shared" si="969"/>
        <v>0</v>
      </c>
    </row>
    <row r="4251" spans="5:22" x14ac:dyDescent="0.25">
      <c r="E4251" s="4"/>
      <c r="M4251" s="4">
        <f t="shared" si="962"/>
        <v>173.1</v>
      </c>
      <c r="N4251" s="4"/>
      <c r="O4251" s="1">
        <f t="shared" si="963"/>
        <v>173.1</v>
      </c>
      <c r="P4251" s="1">
        <f t="shared" si="964"/>
        <v>0</v>
      </c>
      <c r="Q4251" s="1" t="str">
        <f t="shared" si="961"/>
        <v/>
      </c>
      <c r="R4251" s="1" t="str">
        <f t="shared" si="965"/>
        <v/>
      </c>
      <c r="S4251" s="1">
        <f t="shared" si="966"/>
        <v>630.90240000000244</v>
      </c>
      <c r="T4251" s="1">
        <f t="shared" si="967"/>
        <v>0</v>
      </c>
      <c r="U4251" s="1">
        <f t="shared" si="968"/>
        <v>0</v>
      </c>
      <c r="V4251" s="1">
        <f t="shared" si="969"/>
        <v>0</v>
      </c>
    </row>
    <row r="4252" spans="5:22" x14ac:dyDescent="0.25">
      <c r="E4252" s="4"/>
      <c r="M4252" s="4">
        <f t="shared" si="962"/>
        <v>173.1</v>
      </c>
      <c r="N4252" s="4"/>
      <c r="O4252" s="1">
        <f t="shared" si="963"/>
        <v>173.1</v>
      </c>
      <c r="P4252" s="1">
        <f t="shared" si="964"/>
        <v>0</v>
      </c>
      <c r="Q4252" s="1" t="str">
        <f t="shared" si="961"/>
        <v/>
      </c>
      <c r="R4252" s="1" t="str">
        <f t="shared" si="965"/>
        <v/>
      </c>
      <c r="S4252" s="1">
        <f t="shared" si="966"/>
        <v>630.90240000000244</v>
      </c>
      <c r="T4252" s="1">
        <f t="shared" si="967"/>
        <v>0</v>
      </c>
      <c r="U4252" s="1">
        <f t="shared" si="968"/>
        <v>0</v>
      </c>
      <c r="V4252" s="1">
        <f t="shared" si="969"/>
        <v>0</v>
      </c>
    </row>
    <row r="4253" spans="5:22" x14ac:dyDescent="0.25">
      <c r="E4253" s="4"/>
      <c r="M4253" s="4">
        <f t="shared" si="962"/>
        <v>173.1</v>
      </c>
      <c r="N4253" s="4"/>
      <c r="O4253" s="1">
        <f t="shared" si="963"/>
        <v>173.1</v>
      </c>
      <c r="P4253" s="1">
        <f t="shared" si="964"/>
        <v>0</v>
      </c>
      <c r="Q4253" s="1" t="str">
        <f t="shared" si="961"/>
        <v/>
      </c>
      <c r="R4253" s="1" t="str">
        <f t="shared" si="965"/>
        <v/>
      </c>
      <c r="S4253" s="1">
        <f t="shared" si="966"/>
        <v>630.90240000000244</v>
      </c>
      <c r="T4253" s="1">
        <f t="shared" si="967"/>
        <v>0</v>
      </c>
      <c r="U4253" s="1">
        <f t="shared" si="968"/>
        <v>0</v>
      </c>
      <c r="V4253" s="1">
        <f t="shared" si="969"/>
        <v>0</v>
      </c>
    </row>
    <row r="4254" spans="5:22" x14ac:dyDescent="0.25">
      <c r="E4254" s="4"/>
      <c r="M4254" s="4">
        <f t="shared" si="962"/>
        <v>173.1</v>
      </c>
      <c r="N4254" s="4"/>
      <c r="O4254" s="1">
        <f t="shared" si="963"/>
        <v>173.1</v>
      </c>
      <c r="P4254" s="1">
        <f t="shared" si="964"/>
        <v>0</v>
      </c>
      <c r="Q4254" s="1" t="str">
        <f t="shared" si="961"/>
        <v/>
      </c>
      <c r="R4254" s="1" t="str">
        <f t="shared" si="965"/>
        <v/>
      </c>
      <c r="S4254" s="1">
        <f t="shared" si="966"/>
        <v>630.90240000000244</v>
      </c>
      <c r="T4254" s="1">
        <f t="shared" si="967"/>
        <v>0</v>
      </c>
      <c r="U4254" s="1">
        <f t="shared" si="968"/>
        <v>0</v>
      </c>
      <c r="V4254" s="1">
        <f t="shared" si="969"/>
        <v>0</v>
      </c>
    </row>
    <row r="4255" spans="5:22" x14ac:dyDescent="0.25">
      <c r="E4255" s="4"/>
      <c r="M4255" s="4">
        <f t="shared" si="962"/>
        <v>173.1</v>
      </c>
      <c r="N4255" s="4"/>
      <c r="O4255" s="1">
        <f t="shared" si="963"/>
        <v>173.1</v>
      </c>
      <c r="P4255" s="1">
        <f t="shared" si="964"/>
        <v>0</v>
      </c>
      <c r="Q4255" s="1" t="str">
        <f t="shared" si="961"/>
        <v/>
      </c>
      <c r="R4255" s="1" t="str">
        <f t="shared" si="965"/>
        <v/>
      </c>
      <c r="S4255" s="1">
        <f t="shared" si="966"/>
        <v>630.90240000000244</v>
      </c>
      <c r="T4255" s="1">
        <f t="shared" si="967"/>
        <v>0</v>
      </c>
      <c r="U4255" s="1">
        <f t="shared" si="968"/>
        <v>0</v>
      </c>
      <c r="V4255" s="1">
        <f t="shared" si="969"/>
        <v>0</v>
      </c>
    </row>
    <row r="4256" spans="5:22" x14ac:dyDescent="0.25">
      <c r="E4256" s="4"/>
      <c r="M4256" s="4">
        <f t="shared" si="962"/>
        <v>173.1</v>
      </c>
      <c r="N4256" s="4"/>
      <c r="O4256" s="1">
        <f t="shared" si="963"/>
        <v>173.1</v>
      </c>
      <c r="P4256" s="1">
        <f t="shared" si="964"/>
        <v>0</v>
      </c>
      <c r="Q4256" s="1" t="str">
        <f t="shared" si="961"/>
        <v/>
      </c>
      <c r="R4256" s="1" t="str">
        <f t="shared" si="965"/>
        <v/>
      </c>
      <c r="S4256" s="1">
        <f t="shared" si="966"/>
        <v>630.90240000000244</v>
      </c>
      <c r="T4256" s="1">
        <f t="shared" si="967"/>
        <v>0</v>
      </c>
      <c r="U4256" s="1">
        <f t="shared" si="968"/>
        <v>0</v>
      </c>
      <c r="V4256" s="1">
        <f t="shared" si="969"/>
        <v>0</v>
      </c>
    </row>
    <row r="4257" spans="5:22" x14ac:dyDescent="0.25">
      <c r="E4257" s="4"/>
      <c r="M4257" s="4">
        <f t="shared" si="962"/>
        <v>173.1</v>
      </c>
      <c r="N4257" s="4"/>
      <c r="O4257" s="1">
        <f t="shared" si="963"/>
        <v>173.1</v>
      </c>
      <c r="P4257" s="1">
        <f t="shared" si="964"/>
        <v>0</v>
      </c>
      <c r="Q4257" s="1" t="str">
        <f t="shared" si="961"/>
        <v/>
      </c>
      <c r="R4257" s="1" t="str">
        <f t="shared" si="965"/>
        <v/>
      </c>
      <c r="S4257" s="1">
        <f t="shared" si="966"/>
        <v>630.90240000000244</v>
      </c>
      <c r="T4257" s="1">
        <f t="shared" si="967"/>
        <v>0</v>
      </c>
      <c r="U4257" s="1">
        <f t="shared" si="968"/>
        <v>0</v>
      </c>
      <c r="V4257" s="1">
        <f t="shared" si="969"/>
        <v>0</v>
      </c>
    </row>
    <row r="4258" spans="5:22" x14ac:dyDescent="0.25">
      <c r="E4258" s="4"/>
      <c r="M4258" s="4">
        <f t="shared" si="962"/>
        <v>173.1</v>
      </c>
      <c r="N4258" s="4"/>
      <c r="O4258" s="1">
        <f t="shared" si="963"/>
        <v>173.1</v>
      </c>
      <c r="P4258" s="1">
        <f t="shared" si="964"/>
        <v>0</v>
      </c>
      <c r="Q4258" s="1" t="str">
        <f t="shared" si="961"/>
        <v/>
      </c>
      <c r="R4258" s="1" t="str">
        <f t="shared" si="965"/>
        <v/>
      </c>
      <c r="S4258" s="1">
        <f t="shared" si="966"/>
        <v>630.90240000000244</v>
      </c>
      <c r="T4258" s="1">
        <f t="shared" si="967"/>
        <v>0</v>
      </c>
      <c r="U4258" s="1">
        <f t="shared" si="968"/>
        <v>0</v>
      </c>
      <c r="V4258" s="1">
        <f t="shared" si="969"/>
        <v>0</v>
      </c>
    </row>
    <row r="4259" spans="5:22" x14ac:dyDescent="0.25">
      <c r="E4259" s="4"/>
      <c r="M4259" s="4">
        <f t="shared" si="962"/>
        <v>173.1</v>
      </c>
      <c r="N4259" s="4"/>
      <c r="O4259" s="1">
        <f t="shared" si="963"/>
        <v>173.1</v>
      </c>
      <c r="P4259" s="1">
        <f t="shared" si="964"/>
        <v>0</v>
      </c>
      <c r="Q4259" s="1" t="str">
        <f t="shared" si="961"/>
        <v/>
      </c>
      <c r="R4259" s="1" t="str">
        <f t="shared" si="965"/>
        <v/>
      </c>
      <c r="S4259" s="1">
        <f t="shared" si="966"/>
        <v>630.90240000000244</v>
      </c>
      <c r="T4259" s="1">
        <f t="shared" si="967"/>
        <v>0</v>
      </c>
      <c r="U4259" s="1">
        <f t="shared" si="968"/>
        <v>0</v>
      </c>
      <c r="V4259" s="1">
        <f t="shared" si="969"/>
        <v>0</v>
      </c>
    </row>
    <row r="4260" spans="5:22" x14ac:dyDescent="0.25">
      <c r="E4260" s="4"/>
      <c r="M4260" s="4">
        <f t="shared" si="962"/>
        <v>173.1</v>
      </c>
      <c r="N4260" s="4"/>
      <c r="O4260" s="1">
        <f t="shared" si="963"/>
        <v>173.1</v>
      </c>
      <c r="P4260" s="1">
        <f t="shared" si="964"/>
        <v>0</v>
      </c>
      <c r="Q4260" s="1" t="str">
        <f t="shared" si="961"/>
        <v/>
      </c>
      <c r="R4260" s="1" t="str">
        <f t="shared" si="965"/>
        <v/>
      </c>
      <c r="S4260" s="1">
        <f t="shared" si="966"/>
        <v>630.90240000000244</v>
      </c>
      <c r="T4260" s="1">
        <f t="shared" si="967"/>
        <v>0</v>
      </c>
      <c r="U4260" s="1">
        <f t="shared" si="968"/>
        <v>0</v>
      </c>
      <c r="V4260" s="1">
        <f t="shared" si="969"/>
        <v>0</v>
      </c>
    </row>
    <row r="4261" spans="5:22" x14ac:dyDescent="0.25">
      <c r="E4261" s="4"/>
      <c r="M4261" s="4">
        <f t="shared" si="962"/>
        <v>173.1</v>
      </c>
      <c r="N4261" s="4"/>
      <c r="O4261" s="1">
        <f t="shared" si="963"/>
        <v>173.1</v>
      </c>
      <c r="P4261" s="1">
        <f t="shared" si="964"/>
        <v>0</v>
      </c>
      <c r="Q4261" s="1" t="str">
        <f t="shared" si="961"/>
        <v/>
      </c>
      <c r="R4261" s="1" t="str">
        <f t="shared" si="965"/>
        <v/>
      </c>
      <c r="S4261" s="1">
        <f t="shared" si="966"/>
        <v>630.90240000000244</v>
      </c>
      <c r="T4261" s="1">
        <f t="shared" si="967"/>
        <v>0</v>
      </c>
      <c r="U4261" s="1">
        <f t="shared" si="968"/>
        <v>0</v>
      </c>
      <c r="V4261" s="1">
        <f t="shared" si="969"/>
        <v>0</v>
      </c>
    </row>
    <row r="4262" spans="5:22" x14ac:dyDescent="0.25">
      <c r="E4262" s="4"/>
      <c r="M4262" s="4">
        <f t="shared" si="962"/>
        <v>173.1</v>
      </c>
      <c r="N4262" s="4"/>
      <c r="O4262" s="1">
        <f t="shared" si="963"/>
        <v>173.1</v>
      </c>
      <c r="P4262" s="1">
        <f t="shared" si="964"/>
        <v>0</v>
      </c>
      <c r="Q4262" s="1" t="str">
        <f t="shared" si="961"/>
        <v/>
      </c>
      <c r="R4262" s="1" t="str">
        <f t="shared" si="965"/>
        <v/>
      </c>
      <c r="S4262" s="1">
        <f t="shared" si="966"/>
        <v>630.90240000000244</v>
      </c>
      <c r="T4262" s="1">
        <f t="shared" si="967"/>
        <v>0</v>
      </c>
      <c r="U4262" s="1">
        <f t="shared" si="968"/>
        <v>0</v>
      </c>
      <c r="V4262" s="1">
        <f t="shared" si="969"/>
        <v>0</v>
      </c>
    </row>
    <row r="4263" spans="5:22" x14ac:dyDescent="0.25">
      <c r="E4263" s="4"/>
      <c r="M4263" s="4">
        <f t="shared" si="962"/>
        <v>173.1</v>
      </c>
      <c r="N4263" s="4"/>
      <c r="O4263" s="1">
        <f t="shared" si="963"/>
        <v>173.1</v>
      </c>
      <c r="P4263" s="1">
        <f t="shared" si="964"/>
        <v>0</v>
      </c>
      <c r="Q4263" s="1" t="str">
        <f t="shared" si="961"/>
        <v/>
      </c>
      <c r="R4263" s="1" t="str">
        <f t="shared" si="965"/>
        <v/>
      </c>
      <c r="S4263" s="1">
        <f t="shared" si="966"/>
        <v>630.90240000000244</v>
      </c>
      <c r="T4263" s="1">
        <f t="shared" si="967"/>
        <v>0</v>
      </c>
      <c r="U4263" s="1">
        <f t="shared" si="968"/>
        <v>0</v>
      </c>
      <c r="V4263" s="1">
        <f t="shared" si="969"/>
        <v>0</v>
      </c>
    </row>
    <row r="4264" spans="5:22" x14ac:dyDescent="0.25">
      <c r="E4264" s="4"/>
      <c r="M4264" s="4">
        <f t="shared" si="962"/>
        <v>173.1</v>
      </c>
      <c r="N4264" s="4"/>
      <c r="O4264" s="1">
        <f t="shared" si="963"/>
        <v>173.1</v>
      </c>
      <c r="P4264" s="1">
        <f t="shared" si="964"/>
        <v>0</v>
      </c>
      <c r="Q4264" s="1" t="str">
        <f t="shared" si="961"/>
        <v/>
      </c>
      <c r="R4264" s="1" t="str">
        <f t="shared" si="965"/>
        <v/>
      </c>
      <c r="S4264" s="1">
        <f t="shared" si="966"/>
        <v>630.90240000000244</v>
      </c>
      <c r="T4264" s="1">
        <f t="shared" si="967"/>
        <v>0</v>
      </c>
      <c r="U4264" s="1">
        <f t="shared" si="968"/>
        <v>0</v>
      </c>
      <c r="V4264" s="1">
        <f t="shared" si="969"/>
        <v>0</v>
      </c>
    </row>
    <row r="4265" spans="5:22" x14ac:dyDescent="0.25">
      <c r="E4265" s="4"/>
      <c r="M4265" s="4">
        <f t="shared" si="962"/>
        <v>173.1</v>
      </c>
      <c r="N4265" s="4"/>
      <c r="O4265" s="1">
        <f t="shared" si="963"/>
        <v>173.1</v>
      </c>
      <c r="P4265" s="1">
        <f t="shared" si="964"/>
        <v>0</v>
      </c>
      <c r="Q4265" s="1" t="str">
        <f t="shared" si="961"/>
        <v/>
      </c>
      <c r="R4265" s="1" t="str">
        <f t="shared" si="965"/>
        <v/>
      </c>
      <c r="S4265" s="1">
        <f t="shared" si="966"/>
        <v>630.90240000000244</v>
      </c>
      <c r="T4265" s="1">
        <f t="shared" si="967"/>
        <v>0</v>
      </c>
      <c r="U4265" s="1">
        <f t="shared" si="968"/>
        <v>0</v>
      </c>
      <c r="V4265" s="1">
        <f t="shared" si="969"/>
        <v>0</v>
      </c>
    </row>
    <row r="4266" spans="5:22" x14ac:dyDescent="0.25">
      <c r="E4266" s="4"/>
      <c r="M4266" s="4">
        <f t="shared" si="962"/>
        <v>173.1</v>
      </c>
      <c r="N4266" s="4"/>
      <c r="O4266" s="1">
        <f t="shared" si="963"/>
        <v>173.1</v>
      </c>
      <c r="P4266" s="1">
        <f t="shared" si="964"/>
        <v>0</v>
      </c>
      <c r="Q4266" s="1" t="str">
        <f t="shared" si="961"/>
        <v/>
      </c>
      <c r="R4266" s="1" t="str">
        <f t="shared" si="965"/>
        <v/>
      </c>
      <c r="S4266" s="1">
        <f t="shared" si="966"/>
        <v>630.90240000000244</v>
      </c>
      <c r="T4266" s="1">
        <f t="shared" si="967"/>
        <v>0</v>
      </c>
      <c r="U4266" s="1">
        <f t="shared" si="968"/>
        <v>0</v>
      </c>
      <c r="V4266" s="1">
        <f t="shared" si="969"/>
        <v>0</v>
      </c>
    </row>
    <row r="4267" spans="5:22" x14ac:dyDescent="0.25">
      <c r="E4267" s="4"/>
      <c r="M4267" s="4">
        <f t="shared" si="962"/>
        <v>173.1</v>
      </c>
      <c r="N4267" s="4"/>
      <c r="O4267" s="1">
        <f t="shared" si="963"/>
        <v>173.1</v>
      </c>
      <c r="P4267" s="1">
        <f t="shared" si="964"/>
        <v>0</v>
      </c>
      <c r="Q4267" s="1" t="str">
        <f t="shared" si="961"/>
        <v/>
      </c>
      <c r="R4267" s="1" t="str">
        <f t="shared" si="965"/>
        <v/>
      </c>
      <c r="S4267" s="1">
        <f t="shared" si="966"/>
        <v>630.90240000000244</v>
      </c>
      <c r="T4267" s="1">
        <f t="shared" si="967"/>
        <v>0</v>
      </c>
      <c r="U4267" s="1">
        <f t="shared" si="968"/>
        <v>0</v>
      </c>
      <c r="V4267" s="1">
        <f t="shared" si="969"/>
        <v>0</v>
      </c>
    </row>
    <row r="4268" spans="5:22" x14ac:dyDescent="0.25">
      <c r="E4268" s="4"/>
      <c r="M4268" s="4">
        <f t="shared" si="962"/>
        <v>173.1</v>
      </c>
      <c r="N4268" s="4"/>
      <c r="O4268" s="1">
        <f t="shared" si="963"/>
        <v>173.1</v>
      </c>
      <c r="P4268" s="1">
        <f t="shared" si="964"/>
        <v>0</v>
      </c>
      <c r="Q4268" s="1" t="str">
        <f t="shared" si="961"/>
        <v/>
      </c>
      <c r="R4268" s="1" t="str">
        <f t="shared" si="965"/>
        <v/>
      </c>
      <c r="S4268" s="1">
        <f t="shared" si="966"/>
        <v>630.90240000000244</v>
      </c>
      <c r="T4268" s="1">
        <f t="shared" si="967"/>
        <v>0</v>
      </c>
      <c r="U4268" s="1">
        <f t="shared" si="968"/>
        <v>0</v>
      </c>
      <c r="V4268" s="1">
        <f t="shared" si="969"/>
        <v>0</v>
      </c>
    </row>
    <row r="4269" spans="5:22" x14ac:dyDescent="0.25">
      <c r="E4269" s="4"/>
      <c r="M4269" s="4">
        <f t="shared" si="962"/>
        <v>173.1</v>
      </c>
      <c r="N4269" s="4"/>
      <c r="O4269" s="1">
        <f t="shared" si="963"/>
        <v>173.1</v>
      </c>
      <c r="P4269" s="1">
        <f t="shared" si="964"/>
        <v>0</v>
      </c>
      <c r="Q4269" s="1" t="str">
        <f t="shared" si="961"/>
        <v/>
      </c>
      <c r="R4269" s="1" t="str">
        <f t="shared" si="965"/>
        <v/>
      </c>
      <c r="S4269" s="1">
        <f t="shared" si="966"/>
        <v>630.90240000000244</v>
      </c>
      <c r="T4269" s="1">
        <f t="shared" si="967"/>
        <v>0</v>
      </c>
      <c r="U4269" s="1">
        <f t="shared" si="968"/>
        <v>0</v>
      </c>
      <c r="V4269" s="1">
        <f t="shared" si="969"/>
        <v>0</v>
      </c>
    </row>
    <row r="4270" spans="5:22" x14ac:dyDescent="0.25">
      <c r="E4270" s="4"/>
      <c r="M4270" s="4">
        <f t="shared" si="962"/>
        <v>173.1</v>
      </c>
      <c r="N4270" s="4"/>
      <c r="O4270" s="1">
        <f t="shared" si="963"/>
        <v>173.1</v>
      </c>
      <c r="P4270" s="1">
        <f t="shared" si="964"/>
        <v>0</v>
      </c>
      <c r="Q4270" s="1" t="str">
        <f t="shared" si="961"/>
        <v/>
      </c>
      <c r="R4270" s="1" t="str">
        <f t="shared" si="965"/>
        <v/>
      </c>
      <c r="S4270" s="1">
        <f t="shared" si="966"/>
        <v>630.90240000000244</v>
      </c>
      <c r="T4270" s="1">
        <f t="shared" si="967"/>
        <v>0</v>
      </c>
      <c r="U4270" s="1">
        <f t="shared" si="968"/>
        <v>0</v>
      </c>
      <c r="V4270" s="1">
        <f t="shared" si="969"/>
        <v>0</v>
      </c>
    </row>
    <row r="4271" spans="5:22" x14ac:dyDescent="0.25">
      <c r="E4271" s="4"/>
      <c r="M4271" s="4">
        <f t="shared" si="962"/>
        <v>173.1</v>
      </c>
      <c r="N4271" s="4"/>
      <c r="O4271" s="1">
        <f t="shared" si="963"/>
        <v>173.1</v>
      </c>
      <c r="P4271" s="1">
        <f t="shared" si="964"/>
        <v>0</v>
      </c>
      <c r="Q4271" s="1" t="str">
        <f t="shared" si="961"/>
        <v/>
      </c>
      <c r="R4271" s="1" t="str">
        <f t="shared" si="965"/>
        <v/>
      </c>
      <c r="S4271" s="1">
        <f t="shared" si="966"/>
        <v>630.90240000000244</v>
      </c>
      <c r="T4271" s="1">
        <f t="shared" si="967"/>
        <v>0</v>
      </c>
      <c r="U4271" s="1">
        <f t="shared" si="968"/>
        <v>0</v>
      </c>
      <c r="V4271" s="1">
        <f t="shared" si="969"/>
        <v>0</v>
      </c>
    </row>
    <row r="4272" spans="5:22" x14ac:dyDescent="0.25">
      <c r="E4272" s="4"/>
      <c r="M4272" s="4">
        <f t="shared" si="962"/>
        <v>173.1</v>
      </c>
      <c r="N4272" s="4"/>
      <c r="O4272" s="1">
        <f t="shared" si="963"/>
        <v>173.1</v>
      </c>
      <c r="P4272" s="1">
        <f t="shared" si="964"/>
        <v>0</v>
      </c>
      <c r="Q4272" s="1" t="str">
        <f t="shared" si="961"/>
        <v/>
      </c>
      <c r="R4272" s="1" t="str">
        <f t="shared" si="965"/>
        <v/>
      </c>
      <c r="S4272" s="1">
        <f t="shared" si="966"/>
        <v>630.90240000000244</v>
      </c>
      <c r="T4272" s="1">
        <f t="shared" si="967"/>
        <v>0</v>
      </c>
      <c r="U4272" s="1">
        <f t="shared" si="968"/>
        <v>0</v>
      </c>
      <c r="V4272" s="1">
        <f t="shared" si="969"/>
        <v>0</v>
      </c>
    </row>
    <row r="4273" spans="5:22" x14ac:dyDescent="0.25">
      <c r="E4273" s="4"/>
      <c r="M4273" s="4">
        <f t="shared" si="962"/>
        <v>173.1</v>
      </c>
      <c r="N4273" s="4"/>
      <c r="O4273" s="1">
        <f t="shared" si="963"/>
        <v>173.1</v>
      </c>
      <c r="P4273" s="1">
        <f t="shared" si="964"/>
        <v>0</v>
      </c>
      <c r="Q4273" s="1" t="str">
        <f t="shared" si="961"/>
        <v/>
      </c>
      <c r="R4273" s="1" t="str">
        <f t="shared" si="965"/>
        <v/>
      </c>
      <c r="S4273" s="1">
        <f t="shared" si="966"/>
        <v>630.90240000000244</v>
      </c>
      <c r="T4273" s="1">
        <f t="shared" si="967"/>
        <v>0</v>
      </c>
      <c r="U4273" s="1">
        <f t="shared" si="968"/>
        <v>0</v>
      </c>
      <c r="V4273" s="1">
        <f t="shared" si="969"/>
        <v>0</v>
      </c>
    </row>
    <row r="4274" spans="5:22" x14ac:dyDescent="0.25">
      <c r="E4274" s="4"/>
      <c r="M4274" s="4">
        <f t="shared" si="962"/>
        <v>173.1</v>
      </c>
      <c r="N4274" s="4"/>
      <c r="O4274" s="1">
        <f t="shared" si="963"/>
        <v>173.1</v>
      </c>
      <c r="P4274" s="1">
        <f t="shared" si="964"/>
        <v>0</v>
      </c>
      <c r="Q4274" s="1" t="str">
        <f t="shared" ref="Q4274:Q4337" si="970">IF(H4274&lt;&gt;"",IF(H4274=H4273,"",H4274),IF(H4272="","",MAX(H4273,Q4273)))</f>
        <v/>
      </c>
      <c r="R4274" s="1" t="str">
        <f t="shared" si="965"/>
        <v/>
      </c>
      <c r="S4274" s="1">
        <f t="shared" si="966"/>
        <v>630.90240000000244</v>
      </c>
      <c r="T4274" s="1">
        <f t="shared" si="967"/>
        <v>0</v>
      </c>
      <c r="U4274" s="1">
        <f t="shared" si="968"/>
        <v>0</v>
      </c>
      <c r="V4274" s="1">
        <f t="shared" si="969"/>
        <v>0</v>
      </c>
    </row>
    <row r="4275" spans="5:22" x14ac:dyDescent="0.25">
      <c r="E4275" s="4"/>
      <c r="M4275" s="4">
        <f t="shared" si="962"/>
        <v>173.1</v>
      </c>
      <c r="N4275" s="4"/>
      <c r="O4275" s="1">
        <f t="shared" si="963"/>
        <v>173.1</v>
      </c>
      <c r="P4275" s="1">
        <f t="shared" si="964"/>
        <v>0</v>
      </c>
      <c r="Q4275" s="1" t="str">
        <f t="shared" si="970"/>
        <v/>
      </c>
      <c r="R4275" s="1" t="str">
        <f t="shared" si="965"/>
        <v/>
      </c>
      <c r="S4275" s="1">
        <f t="shared" si="966"/>
        <v>630.90240000000244</v>
      </c>
      <c r="T4275" s="1">
        <f t="shared" si="967"/>
        <v>0</v>
      </c>
      <c r="U4275" s="1">
        <f t="shared" si="968"/>
        <v>0</v>
      </c>
      <c r="V4275" s="1">
        <f t="shared" si="969"/>
        <v>0</v>
      </c>
    </row>
    <row r="4276" spans="5:22" x14ac:dyDescent="0.25">
      <c r="E4276" s="4"/>
      <c r="M4276" s="4">
        <f t="shared" si="962"/>
        <v>173.1</v>
      </c>
      <c r="N4276" s="4"/>
      <c r="O4276" s="1">
        <f t="shared" si="963"/>
        <v>173.1</v>
      </c>
      <c r="P4276" s="1">
        <f t="shared" si="964"/>
        <v>0</v>
      </c>
      <c r="Q4276" s="1" t="str">
        <f t="shared" si="970"/>
        <v/>
      </c>
      <c r="R4276" s="1" t="str">
        <f t="shared" si="965"/>
        <v/>
      </c>
      <c r="S4276" s="1">
        <f t="shared" si="966"/>
        <v>630.90240000000244</v>
      </c>
      <c r="T4276" s="1">
        <f t="shared" si="967"/>
        <v>0</v>
      </c>
      <c r="U4276" s="1">
        <f t="shared" si="968"/>
        <v>0</v>
      </c>
      <c r="V4276" s="1">
        <f t="shared" si="969"/>
        <v>0</v>
      </c>
    </row>
    <row r="4277" spans="5:22" x14ac:dyDescent="0.25">
      <c r="E4277" s="4"/>
      <c r="M4277" s="4">
        <f t="shared" si="962"/>
        <v>173.1</v>
      </c>
      <c r="N4277" s="4"/>
      <c r="O4277" s="1">
        <f t="shared" si="963"/>
        <v>173.1</v>
      </c>
      <c r="P4277" s="1">
        <f t="shared" si="964"/>
        <v>0</v>
      </c>
      <c r="Q4277" s="1" t="str">
        <f t="shared" si="970"/>
        <v/>
      </c>
      <c r="R4277" s="1" t="str">
        <f t="shared" si="965"/>
        <v/>
      </c>
      <c r="S4277" s="1">
        <f t="shared" si="966"/>
        <v>630.90240000000244</v>
      </c>
      <c r="T4277" s="1">
        <f t="shared" si="967"/>
        <v>0</v>
      </c>
      <c r="U4277" s="1">
        <f t="shared" si="968"/>
        <v>0</v>
      </c>
      <c r="V4277" s="1">
        <f t="shared" si="969"/>
        <v>0</v>
      </c>
    </row>
    <row r="4278" spans="5:22" x14ac:dyDescent="0.25">
      <c r="E4278" s="4"/>
      <c r="M4278" s="4">
        <f t="shared" si="962"/>
        <v>173.1</v>
      </c>
      <c r="N4278" s="4"/>
      <c r="O4278" s="1">
        <f t="shared" si="963"/>
        <v>173.1</v>
      </c>
      <c r="P4278" s="1">
        <f t="shared" si="964"/>
        <v>0</v>
      </c>
      <c r="Q4278" s="1" t="str">
        <f t="shared" si="970"/>
        <v/>
      </c>
      <c r="R4278" s="1" t="str">
        <f t="shared" si="965"/>
        <v/>
      </c>
      <c r="S4278" s="1">
        <f t="shared" si="966"/>
        <v>630.90240000000244</v>
      </c>
      <c r="T4278" s="1">
        <f t="shared" si="967"/>
        <v>0</v>
      </c>
      <c r="U4278" s="1">
        <f t="shared" si="968"/>
        <v>0</v>
      </c>
      <c r="V4278" s="1">
        <f t="shared" si="969"/>
        <v>0</v>
      </c>
    </row>
    <row r="4279" spans="5:22" x14ac:dyDescent="0.25">
      <c r="E4279" s="4"/>
      <c r="M4279" s="4">
        <f t="shared" si="962"/>
        <v>173.1</v>
      </c>
      <c r="N4279" s="4"/>
      <c r="O4279" s="1">
        <f t="shared" si="963"/>
        <v>173.1</v>
      </c>
      <c r="P4279" s="1">
        <f t="shared" si="964"/>
        <v>0</v>
      </c>
      <c r="Q4279" s="1" t="str">
        <f t="shared" si="970"/>
        <v/>
      </c>
      <c r="R4279" s="1" t="str">
        <f t="shared" si="965"/>
        <v/>
      </c>
      <c r="S4279" s="1">
        <f t="shared" si="966"/>
        <v>630.90240000000244</v>
      </c>
      <c r="T4279" s="1">
        <f t="shared" si="967"/>
        <v>0</v>
      </c>
      <c r="U4279" s="1">
        <f t="shared" si="968"/>
        <v>0</v>
      </c>
      <c r="V4279" s="1">
        <f t="shared" si="969"/>
        <v>0</v>
      </c>
    </row>
    <row r="4280" spans="5:22" x14ac:dyDescent="0.25">
      <c r="E4280" s="4"/>
      <c r="M4280" s="4">
        <f t="shared" si="962"/>
        <v>173.1</v>
      </c>
      <c r="N4280" s="4"/>
      <c r="O4280" s="1">
        <f t="shared" si="963"/>
        <v>173.1</v>
      </c>
      <c r="P4280" s="1">
        <f t="shared" si="964"/>
        <v>0</v>
      </c>
      <c r="Q4280" s="1" t="str">
        <f t="shared" si="970"/>
        <v/>
      </c>
      <c r="R4280" s="1" t="str">
        <f t="shared" si="965"/>
        <v/>
      </c>
      <c r="S4280" s="1">
        <f t="shared" si="966"/>
        <v>630.90240000000244</v>
      </c>
      <c r="T4280" s="1">
        <f t="shared" si="967"/>
        <v>0</v>
      </c>
      <c r="U4280" s="1">
        <f t="shared" si="968"/>
        <v>0</v>
      </c>
      <c r="V4280" s="1">
        <f t="shared" si="969"/>
        <v>0</v>
      </c>
    </row>
    <row r="4281" spans="5:22" x14ac:dyDescent="0.25">
      <c r="E4281" s="4"/>
      <c r="M4281" s="4">
        <f t="shared" si="962"/>
        <v>173.1</v>
      </c>
      <c r="N4281" s="4"/>
      <c r="O4281" s="1">
        <f t="shared" si="963"/>
        <v>173.1</v>
      </c>
      <c r="P4281" s="1">
        <f t="shared" si="964"/>
        <v>0</v>
      </c>
      <c r="Q4281" s="1" t="str">
        <f t="shared" si="970"/>
        <v/>
      </c>
      <c r="R4281" s="1" t="str">
        <f t="shared" si="965"/>
        <v/>
      </c>
      <c r="S4281" s="1">
        <f t="shared" si="966"/>
        <v>630.90240000000244</v>
      </c>
      <c r="T4281" s="1">
        <f t="shared" si="967"/>
        <v>0</v>
      </c>
      <c r="U4281" s="1">
        <f t="shared" si="968"/>
        <v>0</v>
      </c>
      <c r="V4281" s="1">
        <f t="shared" si="969"/>
        <v>0</v>
      </c>
    </row>
    <row r="4282" spans="5:22" x14ac:dyDescent="0.25">
      <c r="E4282" s="4"/>
      <c r="M4282" s="4">
        <f t="shared" si="962"/>
        <v>173.1</v>
      </c>
      <c r="N4282" s="4"/>
      <c r="O4282" s="1">
        <f t="shared" si="963"/>
        <v>173.1</v>
      </c>
      <c r="P4282" s="1">
        <f t="shared" si="964"/>
        <v>0</v>
      </c>
      <c r="Q4282" s="1" t="str">
        <f t="shared" si="970"/>
        <v/>
      </c>
      <c r="R4282" s="1" t="str">
        <f t="shared" si="965"/>
        <v/>
      </c>
      <c r="S4282" s="1">
        <f t="shared" si="966"/>
        <v>630.90240000000244</v>
      </c>
      <c r="T4282" s="1">
        <f t="shared" si="967"/>
        <v>0</v>
      </c>
      <c r="U4282" s="1">
        <f t="shared" si="968"/>
        <v>0</v>
      </c>
      <c r="V4282" s="1">
        <f t="shared" si="969"/>
        <v>0</v>
      </c>
    </row>
    <row r="4283" spans="5:22" x14ac:dyDescent="0.25">
      <c r="E4283" s="4"/>
      <c r="M4283" s="4">
        <f t="shared" si="962"/>
        <v>173.1</v>
      </c>
      <c r="N4283" s="4"/>
      <c r="O4283" s="1">
        <f t="shared" si="963"/>
        <v>173.1</v>
      </c>
      <c r="P4283" s="1">
        <f t="shared" si="964"/>
        <v>0</v>
      </c>
      <c r="Q4283" s="1" t="str">
        <f t="shared" si="970"/>
        <v/>
      </c>
      <c r="R4283" s="1" t="str">
        <f t="shared" si="965"/>
        <v/>
      </c>
      <c r="S4283" s="1">
        <f t="shared" si="966"/>
        <v>630.90240000000244</v>
      </c>
      <c r="T4283" s="1">
        <f t="shared" si="967"/>
        <v>0</v>
      </c>
      <c r="U4283" s="1">
        <f t="shared" si="968"/>
        <v>0</v>
      </c>
      <c r="V4283" s="1">
        <f t="shared" si="969"/>
        <v>0</v>
      </c>
    </row>
    <row r="4284" spans="5:22" x14ac:dyDescent="0.25">
      <c r="E4284" s="4"/>
      <c r="M4284" s="4">
        <f t="shared" si="962"/>
        <v>173.1</v>
      </c>
      <c r="N4284" s="4"/>
      <c r="O4284" s="1">
        <f t="shared" si="963"/>
        <v>173.1</v>
      </c>
      <c r="P4284" s="1">
        <f t="shared" si="964"/>
        <v>0</v>
      </c>
      <c r="Q4284" s="1" t="str">
        <f t="shared" si="970"/>
        <v/>
      </c>
      <c r="R4284" s="1" t="str">
        <f t="shared" si="965"/>
        <v/>
      </c>
      <c r="S4284" s="1">
        <f t="shared" si="966"/>
        <v>630.90240000000244</v>
      </c>
      <c r="T4284" s="1">
        <f t="shared" si="967"/>
        <v>0</v>
      </c>
      <c r="U4284" s="1">
        <f t="shared" si="968"/>
        <v>0</v>
      </c>
      <c r="V4284" s="1">
        <f t="shared" si="969"/>
        <v>0</v>
      </c>
    </row>
    <row r="4285" spans="5:22" x14ac:dyDescent="0.25">
      <c r="E4285" s="4"/>
      <c r="M4285" s="4">
        <f t="shared" si="962"/>
        <v>173.1</v>
      </c>
      <c r="N4285" s="4"/>
      <c r="O4285" s="1">
        <f t="shared" si="963"/>
        <v>173.1</v>
      </c>
      <c r="P4285" s="1">
        <f t="shared" si="964"/>
        <v>0</v>
      </c>
      <c r="Q4285" s="1" t="str">
        <f t="shared" si="970"/>
        <v/>
      </c>
      <c r="R4285" s="1" t="str">
        <f t="shared" si="965"/>
        <v/>
      </c>
      <c r="S4285" s="1">
        <f t="shared" si="966"/>
        <v>630.90240000000244</v>
      </c>
      <c r="T4285" s="1">
        <f t="shared" si="967"/>
        <v>0</v>
      </c>
      <c r="U4285" s="1">
        <f t="shared" si="968"/>
        <v>0</v>
      </c>
      <c r="V4285" s="1">
        <f t="shared" si="969"/>
        <v>0</v>
      </c>
    </row>
    <row r="4286" spans="5:22" x14ac:dyDescent="0.25">
      <c r="E4286" s="4"/>
      <c r="M4286" s="4">
        <f t="shared" si="962"/>
        <v>173.1</v>
      </c>
      <c r="N4286" s="4"/>
      <c r="O4286" s="1">
        <f t="shared" si="963"/>
        <v>173.1</v>
      </c>
      <c r="P4286" s="1">
        <f t="shared" si="964"/>
        <v>0</v>
      </c>
      <c r="Q4286" s="1" t="str">
        <f t="shared" si="970"/>
        <v/>
      </c>
      <c r="R4286" s="1" t="str">
        <f t="shared" si="965"/>
        <v/>
      </c>
      <c r="S4286" s="1">
        <f t="shared" si="966"/>
        <v>630.90240000000244</v>
      </c>
      <c r="T4286" s="1">
        <f t="shared" si="967"/>
        <v>0</v>
      </c>
      <c r="U4286" s="1">
        <f t="shared" si="968"/>
        <v>0</v>
      </c>
      <c r="V4286" s="1">
        <f t="shared" si="969"/>
        <v>0</v>
      </c>
    </row>
    <row r="4287" spans="5:22" x14ac:dyDescent="0.25">
      <c r="E4287" s="4"/>
      <c r="M4287" s="4">
        <f t="shared" si="962"/>
        <v>173.1</v>
      </c>
      <c r="N4287" s="4"/>
      <c r="O4287" s="1">
        <f t="shared" si="963"/>
        <v>173.1</v>
      </c>
      <c r="P4287" s="1">
        <f t="shared" si="964"/>
        <v>0</v>
      </c>
      <c r="Q4287" s="1" t="str">
        <f t="shared" si="970"/>
        <v/>
      </c>
      <c r="R4287" s="1" t="str">
        <f t="shared" si="965"/>
        <v/>
      </c>
      <c r="S4287" s="1">
        <f t="shared" si="966"/>
        <v>630.90240000000244</v>
      </c>
      <c r="T4287" s="1">
        <f t="shared" si="967"/>
        <v>0</v>
      </c>
      <c r="U4287" s="1">
        <f t="shared" si="968"/>
        <v>0</v>
      </c>
      <c r="V4287" s="1">
        <f t="shared" si="969"/>
        <v>0</v>
      </c>
    </row>
    <row r="4288" spans="5:22" x14ac:dyDescent="0.25">
      <c r="E4288" s="4"/>
      <c r="M4288" s="4">
        <f t="shared" si="962"/>
        <v>173.1</v>
      </c>
      <c r="N4288" s="4"/>
      <c r="O4288" s="1">
        <f t="shared" si="963"/>
        <v>173.1</v>
      </c>
      <c r="P4288" s="1">
        <f t="shared" si="964"/>
        <v>0</v>
      </c>
      <c r="Q4288" s="1" t="str">
        <f t="shared" si="970"/>
        <v/>
      </c>
      <c r="R4288" s="1" t="str">
        <f t="shared" si="965"/>
        <v/>
      </c>
      <c r="S4288" s="1">
        <f t="shared" si="966"/>
        <v>630.90240000000244</v>
      </c>
      <c r="T4288" s="1">
        <f t="shared" si="967"/>
        <v>0</v>
      </c>
      <c r="U4288" s="1">
        <f t="shared" si="968"/>
        <v>0</v>
      </c>
      <c r="V4288" s="1">
        <f t="shared" si="969"/>
        <v>0</v>
      </c>
    </row>
    <row r="4289" spans="5:22" x14ac:dyDescent="0.25">
      <c r="E4289" s="4"/>
      <c r="M4289" s="4">
        <f t="shared" si="962"/>
        <v>173.1</v>
      </c>
      <c r="N4289" s="4"/>
      <c r="O4289" s="1">
        <f t="shared" si="963"/>
        <v>173.1</v>
      </c>
      <c r="P4289" s="1">
        <f t="shared" si="964"/>
        <v>0</v>
      </c>
      <c r="Q4289" s="1" t="str">
        <f t="shared" si="970"/>
        <v/>
      </c>
      <c r="R4289" s="1" t="str">
        <f t="shared" si="965"/>
        <v/>
      </c>
      <c r="S4289" s="1">
        <f t="shared" si="966"/>
        <v>630.90240000000244</v>
      </c>
      <c r="T4289" s="1">
        <f t="shared" si="967"/>
        <v>0</v>
      </c>
      <c r="U4289" s="1">
        <f t="shared" si="968"/>
        <v>0</v>
      </c>
      <c r="V4289" s="1">
        <f t="shared" si="969"/>
        <v>0</v>
      </c>
    </row>
    <row r="4290" spans="5:22" x14ac:dyDescent="0.25">
      <c r="E4290" s="4"/>
      <c r="M4290" s="4">
        <f t="shared" si="962"/>
        <v>173.1</v>
      </c>
      <c r="N4290" s="4"/>
      <c r="O4290" s="1">
        <f t="shared" si="963"/>
        <v>173.1</v>
      </c>
      <c r="P4290" s="1">
        <f t="shared" si="964"/>
        <v>0</v>
      </c>
      <c r="Q4290" s="1" t="str">
        <f t="shared" si="970"/>
        <v/>
      </c>
      <c r="R4290" s="1" t="str">
        <f t="shared" si="965"/>
        <v/>
      </c>
      <c r="S4290" s="1">
        <f t="shared" si="966"/>
        <v>630.90240000000244</v>
      </c>
      <c r="T4290" s="1">
        <f t="shared" si="967"/>
        <v>0</v>
      </c>
      <c r="U4290" s="1">
        <f t="shared" si="968"/>
        <v>0</v>
      </c>
      <c r="V4290" s="1">
        <f t="shared" si="969"/>
        <v>0</v>
      </c>
    </row>
    <row r="4291" spans="5:22" x14ac:dyDescent="0.25">
      <c r="E4291" s="4"/>
      <c r="M4291" s="4">
        <f t="shared" si="962"/>
        <v>173.1</v>
      </c>
      <c r="N4291" s="4"/>
      <c r="O4291" s="1">
        <f t="shared" si="963"/>
        <v>173.1</v>
      </c>
      <c r="P4291" s="1">
        <f t="shared" si="964"/>
        <v>0</v>
      </c>
      <c r="Q4291" s="1" t="str">
        <f t="shared" si="970"/>
        <v/>
      </c>
      <c r="R4291" s="1" t="str">
        <f t="shared" si="965"/>
        <v/>
      </c>
      <c r="S4291" s="1">
        <f t="shared" si="966"/>
        <v>630.90240000000244</v>
      </c>
      <c r="T4291" s="1">
        <f t="shared" si="967"/>
        <v>0</v>
      </c>
      <c r="U4291" s="1">
        <f t="shared" si="968"/>
        <v>0</v>
      </c>
      <c r="V4291" s="1">
        <f t="shared" si="969"/>
        <v>0</v>
      </c>
    </row>
    <row r="4292" spans="5:22" x14ac:dyDescent="0.25">
      <c r="E4292" s="4"/>
      <c r="M4292" s="4">
        <f t="shared" si="962"/>
        <v>173.1</v>
      </c>
      <c r="N4292" s="4"/>
      <c r="O4292" s="1">
        <f t="shared" si="963"/>
        <v>173.1</v>
      </c>
      <c r="P4292" s="1">
        <f t="shared" si="964"/>
        <v>0</v>
      </c>
      <c r="Q4292" s="1" t="str">
        <f t="shared" si="970"/>
        <v/>
      </c>
      <c r="R4292" s="1" t="str">
        <f t="shared" si="965"/>
        <v/>
      </c>
      <c r="S4292" s="1">
        <f t="shared" si="966"/>
        <v>630.90240000000244</v>
      </c>
      <c r="T4292" s="1">
        <f t="shared" si="967"/>
        <v>0</v>
      </c>
      <c r="U4292" s="1">
        <f t="shared" si="968"/>
        <v>0</v>
      </c>
      <c r="V4292" s="1">
        <f t="shared" si="969"/>
        <v>0</v>
      </c>
    </row>
    <row r="4293" spans="5:22" x14ac:dyDescent="0.25">
      <c r="E4293" s="4"/>
      <c r="M4293" s="4">
        <f t="shared" si="962"/>
        <v>173.1</v>
      </c>
      <c r="N4293" s="4"/>
      <c r="O4293" s="1">
        <f t="shared" si="963"/>
        <v>173.1</v>
      </c>
      <c r="P4293" s="1">
        <f t="shared" si="964"/>
        <v>0</v>
      </c>
      <c r="Q4293" s="1" t="str">
        <f t="shared" si="970"/>
        <v/>
      </c>
      <c r="R4293" s="1" t="str">
        <f t="shared" si="965"/>
        <v/>
      </c>
      <c r="S4293" s="1">
        <f t="shared" si="966"/>
        <v>630.90240000000244</v>
      </c>
      <c r="T4293" s="1">
        <f t="shared" si="967"/>
        <v>0</v>
      </c>
      <c r="U4293" s="1">
        <f t="shared" si="968"/>
        <v>0</v>
      </c>
      <c r="V4293" s="1">
        <f t="shared" si="969"/>
        <v>0</v>
      </c>
    </row>
    <row r="4294" spans="5:22" x14ac:dyDescent="0.25">
      <c r="E4294" s="4"/>
      <c r="M4294" s="4">
        <f t="shared" si="962"/>
        <v>173.1</v>
      </c>
      <c r="N4294" s="4"/>
      <c r="O4294" s="1">
        <f t="shared" si="963"/>
        <v>173.1</v>
      </c>
      <c r="P4294" s="1">
        <f t="shared" si="964"/>
        <v>0</v>
      </c>
      <c r="Q4294" s="1" t="str">
        <f t="shared" si="970"/>
        <v/>
      </c>
      <c r="R4294" s="1" t="str">
        <f t="shared" si="965"/>
        <v/>
      </c>
      <c r="S4294" s="1">
        <f t="shared" si="966"/>
        <v>630.90240000000244</v>
      </c>
      <c r="T4294" s="1">
        <f t="shared" si="967"/>
        <v>0</v>
      </c>
      <c r="U4294" s="1">
        <f t="shared" si="968"/>
        <v>0</v>
      </c>
      <c r="V4294" s="1">
        <f t="shared" si="969"/>
        <v>0</v>
      </c>
    </row>
    <row r="4295" spans="5:22" x14ac:dyDescent="0.25">
      <c r="E4295" s="4"/>
      <c r="M4295" s="4">
        <f t="shared" si="962"/>
        <v>173.1</v>
      </c>
      <c r="N4295" s="4"/>
      <c r="O4295" s="1">
        <f t="shared" si="963"/>
        <v>173.1</v>
      </c>
      <c r="P4295" s="1">
        <f t="shared" si="964"/>
        <v>0</v>
      </c>
      <c r="Q4295" s="1" t="str">
        <f t="shared" si="970"/>
        <v/>
      </c>
      <c r="R4295" s="1" t="str">
        <f t="shared" si="965"/>
        <v/>
      </c>
      <c r="S4295" s="1">
        <f t="shared" si="966"/>
        <v>630.90240000000244</v>
      </c>
      <c r="T4295" s="1">
        <f t="shared" si="967"/>
        <v>0</v>
      </c>
      <c r="U4295" s="1">
        <f t="shared" si="968"/>
        <v>0</v>
      </c>
      <c r="V4295" s="1">
        <f t="shared" si="969"/>
        <v>0</v>
      </c>
    </row>
    <row r="4296" spans="5:22" x14ac:dyDescent="0.25">
      <c r="E4296" s="4"/>
      <c r="M4296" s="4">
        <f t="shared" ref="M4296:M4359" si="971">E4296+M4295</f>
        <v>173.1</v>
      </c>
      <c r="N4296" s="4"/>
      <c r="O4296" s="1">
        <f t="shared" ref="O4296:O4359" si="972">E4295+O4295</f>
        <v>173.1</v>
      </c>
      <c r="P4296" s="1">
        <f t="shared" ref="P4296:P4359" si="973">F4296*52.8*E4296</f>
        <v>0</v>
      </c>
      <c r="Q4296" s="1" t="str">
        <f t="shared" si="970"/>
        <v/>
      </c>
      <c r="R4296" s="1" t="str">
        <f t="shared" ref="R4296:R4359" si="974">IF(I4296="",Q4296,IF(AND(H4296=H4295,I4296=I4295),"",I4296))</f>
        <v/>
      </c>
      <c r="S4296" s="1">
        <f t="shared" ref="S4296:S4359" si="975">S4295+U4295*T4295/100</f>
        <v>630.90240000000244</v>
      </c>
      <c r="T4296" s="1">
        <f t="shared" ref="T4296:T4359" si="976">IF(G4296="UNK",0,G4296)</f>
        <v>0</v>
      </c>
      <c r="U4296" s="1">
        <f t="shared" ref="U4296:U4359" si="977">E4296*5280</f>
        <v>0</v>
      </c>
      <c r="V4296" s="1">
        <f t="shared" ref="V4296:V4359" si="978">ABS(T4296*U4296)</f>
        <v>0</v>
      </c>
    </row>
    <row r="4297" spans="5:22" x14ac:dyDescent="0.25">
      <c r="E4297" s="4"/>
      <c r="M4297" s="4">
        <f t="shared" si="971"/>
        <v>173.1</v>
      </c>
      <c r="N4297" s="4"/>
      <c r="O4297" s="1">
        <f t="shared" si="972"/>
        <v>173.1</v>
      </c>
      <c r="P4297" s="1">
        <f t="shared" si="973"/>
        <v>0</v>
      </c>
      <c r="Q4297" s="1" t="str">
        <f t="shared" si="970"/>
        <v/>
      </c>
      <c r="R4297" s="1" t="str">
        <f t="shared" si="974"/>
        <v/>
      </c>
      <c r="S4297" s="1">
        <f t="shared" si="975"/>
        <v>630.90240000000244</v>
      </c>
      <c r="T4297" s="1">
        <f t="shared" si="976"/>
        <v>0</v>
      </c>
      <c r="U4297" s="1">
        <f t="shared" si="977"/>
        <v>0</v>
      </c>
      <c r="V4297" s="1">
        <f t="shared" si="978"/>
        <v>0</v>
      </c>
    </row>
    <row r="4298" spans="5:22" x14ac:dyDescent="0.25">
      <c r="E4298" s="4"/>
      <c r="M4298" s="4">
        <f t="shared" si="971"/>
        <v>173.1</v>
      </c>
      <c r="N4298" s="4"/>
      <c r="O4298" s="1">
        <f t="shared" si="972"/>
        <v>173.1</v>
      </c>
      <c r="P4298" s="1">
        <f t="shared" si="973"/>
        <v>0</v>
      </c>
      <c r="Q4298" s="1" t="str">
        <f t="shared" si="970"/>
        <v/>
      </c>
      <c r="R4298" s="1" t="str">
        <f t="shared" si="974"/>
        <v/>
      </c>
      <c r="S4298" s="1">
        <f t="shared" si="975"/>
        <v>630.90240000000244</v>
      </c>
      <c r="T4298" s="1">
        <f t="shared" si="976"/>
        <v>0</v>
      </c>
      <c r="U4298" s="1">
        <f t="shared" si="977"/>
        <v>0</v>
      </c>
      <c r="V4298" s="1">
        <f t="shared" si="978"/>
        <v>0</v>
      </c>
    </row>
    <row r="4299" spans="5:22" x14ac:dyDescent="0.25">
      <c r="E4299" s="4"/>
      <c r="M4299" s="4">
        <f t="shared" si="971"/>
        <v>173.1</v>
      </c>
      <c r="N4299" s="4"/>
      <c r="O4299" s="1">
        <f t="shared" si="972"/>
        <v>173.1</v>
      </c>
      <c r="P4299" s="1">
        <f t="shared" si="973"/>
        <v>0</v>
      </c>
      <c r="Q4299" s="1" t="str">
        <f t="shared" si="970"/>
        <v/>
      </c>
      <c r="R4299" s="1" t="str">
        <f t="shared" si="974"/>
        <v/>
      </c>
      <c r="S4299" s="1">
        <f t="shared" si="975"/>
        <v>630.90240000000244</v>
      </c>
      <c r="T4299" s="1">
        <f t="shared" si="976"/>
        <v>0</v>
      </c>
      <c r="U4299" s="1">
        <f t="shared" si="977"/>
        <v>0</v>
      </c>
      <c r="V4299" s="1">
        <f t="shared" si="978"/>
        <v>0</v>
      </c>
    </row>
    <row r="4300" spans="5:22" x14ac:dyDescent="0.25">
      <c r="E4300" s="4"/>
      <c r="M4300" s="4">
        <f t="shared" si="971"/>
        <v>173.1</v>
      </c>
      <c r="N4300" s="4"/>
      <c r="O4300" s="1">
        <f t="shared" si="972"/>
        <v>173.1</v>
      </c>
      <c r="P4300" s="1">
        <f t="shared" si="973"/>
        <v>0</v>
      </c>
      <c r="Q4300" s="1" t="str">
        <f t="shared" si="970"/>
        <v/>
      </c>
      <c r="R4300" s="1" t="str">
        <f t="shared" si="974"/>
        <v/>
      </c>
      <c r="S4300" s="1">
        <f t="shared" si="975"/>
        <v>630.90240000000244</v>
      </c>
      <c r="T4300" s="1">
        <f t="shared" si="976"/>
        <v>0</v>
      </c>
      <c r="U4300" s="1">
        <f t="shared" si="977"/>
        <v>0</v>
      </c>
      <c r="V4300" s="1">
        <f t="shared" si="978"/>
        <v>0</v>
      </c>
    </row>
    <row r="4301" spans="5:22" x14ac:dyDescent="0.25">
      <c r="E4301" s="4"/>
      <c r="M4301" s="4">
        <f t="shared" si="971"/>
        <v>173.1</v>
      </c>
      <c r="N4301" s="4"/>
      <c r="O4301" s="1">
        <f t="shared" si="972"/>
        <v>173.1</v>
      </c>
      <c r="P4301" s="1">
        <f t="shared" si="973"/>
        <v>0</v>
      </c>
      <c r="Q4301" s="1" t="str">
        <f t="shared" si="970"/>
        <v/>
      </c>
      <c r="R4301" s="1" t="str">
        <f t="shared" si="974"/>
        <v/>
      </c>
      <c r="S4301" s="1">
        <f t="shared" si="975"/>
        <v>630.90240000000244</v>
      </c>
      <c r="T4301" s="1">
        <f t="shared" si="976"/>
        <v>0</v>
      </c>
      <c r="U4301" s="1">
        <f t="shared" si="977"/>
        <v>0</v>
      </c>
      <c r="V4301" s="1">
        <f t="shared" si="978"/>
        <v>0</v>
      </c>
    </row>
    <row r="4302" spans="5:22" x14ac:dyDescent="0.25">
      <c r="E4302" s="4"/>
      <c r="M4302" s="4">
        <f t="shared" si="971"/>
        <v>173.1</v>
      </c>
      <c r="N4302" s="4"/>
      <c r="O4302" s="1">
        <f t="shared" si="972"/>
        <v>173.1</v>
      </c>
      <c r="P4302" s="1">
        <f t="shared" si="973"/>
        <v>0</v>
      </c>
      <c r="Q4302" s="1" t="str">
        <f t="shared" si="970"/>
        <v/>
      </c>
      <c r="R4302" s="1" t="str">
        <f t="shared" si="974"/>
        <v/>
      </c>
      <c r="S4302" s="1">
        <f t="shared" si="975"/>
        <v>630.90240000000244</v>
      </c>
      <c r="T4302" s="1">
        <f t="shared" si="976"/>
        <v>0</v>
      </c>
      <c r="U4302" s="1">
        <f t="shared" si="977"/>
        <v>0</v>
      </c>
      <c r="V4302" s="1">
        <f t="shared" si="978"/>
        <v>0</v>
      </c>
    </row>
    <row r="4303" spans="5:22" x14ac:dyDescent="0.25">
      <c r="E4303" s="4"/>
      <c r="M4303" s="4">
        <f t="shared" si="971"/>
        <v>173.1</v>
      </c>
      <c r="N4303" s="4"/>
      <c r="O4303" s="1">
        <f t="shared" si="972"/>
        <v>173.1</v>
      </c>
      <c r="P4303" s="1">
        <f t="shared" si="973"/>
        <v>0</v>
      </c>
      <c r="Q4303" s="1" t="str">
        <f t="shared" si="970"/>
        <v/>
      </c>
      <c r="R4303" s="1" t="str">
        <f t="shared" si="974"/>
        <v/>
      </c>
      <c r="S4303" s="1">
        <f t="shared" si="975"/>
        <v>630.90240000000244</v>
      </c>
      <c r="T4303" s="1">
        <f t="shared" si="976"/>
        <v>0</v>
      </c>
      <c r="U4303" s="1">
        <f t="shared" si="977"/>
        <v>0</v>
      </c>
      <c r="V4303" s="1">
        <f t="shared" si="978"/>
        <v>0</v>
      </c>
    </row>
    <row r="4304" spans="5:22" x14ac:dyDescent="0.25">
      <c r="E4304" s="4"/>
      <c r="M4304" s="4">
        <f t="shared" si="971"/>
        <v>173.1</v>
      </c>
      <c r="N4304" s="4"/>
      <c r="O4304" s="1">
        <f t="shared" si="972"/>
        <v>173.1</v>
      </c>
      <c r="P4304" s="1">
        <f t="shared" si="973"/>
        <v>0</v>
      </c>
      <c r="Q4304" s="1" t="str">
        <f t="shared" si="970"/>
        <v/>
      </c>
      <c r="R4304" s="1" t="str">
        <f t="shared" si="974"/>
        <v/>
      </c>
      <c r="S4304" s="1">
        <f t="shared" si="975"/>
        <v>630.90240000000244</v>
      </c>
      <c r="T4304" s="1">
        <f t="shared" si="976"/>
        <v>0</v>
      </c>
      <c r="U4304" s="1">
        <f t="shared" si="977"/>
        <v>0</v>
      </c>
      <c r="V4304" s="1">
        <f t="shared" si="978"/>
        <v>0</v>
      </c>
    </row>
    <row r="4305" spans="5:22" x14ac:dyDescent="0.25">
      <c r="E4305" s="4"/>
      <c r="M4305" s="4">
        <f t="shared" si="971"/>
        <v>173.1</v>
      </c>
      <c r="N4305" s="4"/>
      <c r="O4305" s="1">
        <f t="shared" si="972"/>
        <v>173.1</v>
      </c>
      <c r="P4305" s="1">
        <f t="shared" si="973"/>
        <v>0</v>
      </c>
      <c r="Q4305" s="1" t="str">
        <f t="shared" si="970"/>
        <v/>
      </c>
      <c r="R4305" s="1" t="str">
        <f t="shared" si="974"/>
        <v/>
      </c>
      <c r="S4305" s="1">
        <f t="shared" si="975"/>
        <v>630.90240000000244</v>
      </c>
      <c r="T4305" s="1">
        <f t="shared" si="976"/>
        <v>0</v>
      </c>
      <c r="U4305" s="1">
        <f t="shared" si="977"/>
        <v>0</v>
      </c>
      <c r="V4305" s="1">
        <f t="shared" si="978"/>
        <v>0</v>
      </c>
    </row>
    <row r="4306" spans="5:22" x14ac:dyDescent="0.25">
      <c r="E4306" s="4"/>
      <c r="M4306" s="4">
        <f t="shared" si="971"/>
        <v>173.1</v>
      </c>
      <c r="N4306" s="4"/>
      <c r="O4306" s="1">
        <f t="shared" si="972"/>
        <v>173.1</v>
      </c>
      <c r="P4306" s="1">
        <f t="shared" si="973"/>
        <v>0</v>
      </c>
      <c r="Q4306" s="1" t="str">
        <f t="shared" si="970"/>
        <v/>
      </c>
      <c r="R4306" s="1" t="str">
        <f t="shared" si="974"/>
        <v/>
      </c>
      <c r="S4306" s="1">
        <f t="shared" si="975"/>
        <v>630.90240000000244</v>
      </c>
      <c r="T4306" s="1">
        <f t="shared" si="976"/>
        <v>0</v>
      </c>
      <c r="U4306" s="1">
        <f t="shared" si="977"/>
        <v>0</v>
      </c>
      <c r="V4306" s="1">
        <f t="shared" si="978"/>
        <v>0</v>
      </c>
    </row>
    <row r="4307" spans="5:22" x14ac:dyDescent="0.25">
      <c r="E4307" s="4"/>
      <c r="M4307" s="4">
        <f t="shared" si="971"/>
        <v>173.1</v>
      </c>
      <c r="N4307" s="4"/>
      <c r="O4307" s="1">
        <f t="shared" si="972"/>
        <v>173.1</v>
      </c>
      <c r="P4307" s="1">
        <f t="shared" si="973"/>
        <v>0</v>
      </c>
      <c r="Q4307" s="1" t="str">
        <f t="shared" si="970"/>
        <v/>
      </c>
      <c r="R4307" s="1" t="str">
        <f t="shared" si="974"/>
        <v/>
      </c>
      <c r="S4307" s="1">
        <f t="shared" si="975"/>
        <v>630.90240000000244</v>
      </c>
      <c r="T4307" s="1">
        <f t="shared" si="976"/>
        <v>0</v>
      </c>
      <c r="U4307" s="1">
        <f t="shared" si="977"/>
        <v>0</v>
      </c>
      <c r="V4307" s="1">
        <f t="shared" si="978"/>
        <v>0</v>
      </c>
    </row>
    <row r="4308" spans="5:22" x14ac:dyDescent="0.25">
      <c r="E4308" s="4"/>
      <c r="M4308" s="4">
        <f t="shared" si="971"/>
        <v>173.1</v>
      </c>
      <c r="N4308" s="4"/>
      <c r="O4308" s="1">
        <f t="shared" si="972"/>
        <v>173.1</v>
      </c>
      <c r="P4308" s="1">
        <f t="shared" si="973"/>
        <v>0</v>
      </c>
      <c r="Q4308" s="1" t="str">
        <f t="shared" si="970"/>
        <v/>
      </c>
      <c r="R4308" s="1" t="str">
        <f t="shared" si="974"/>
        <v/>
      </c>
      <c r="S4308" s="1">
        <f t="shared" si="975"/>
        <v>630.90240000000244</v>
      </c>
      <c r="T4308" s="1">
        <f t="shared" si="976"/>
        <v>0</v>
      </c>
      <c r="U4308" s="1">
        <f t="shared" si="977"/>
        <v>0</v>
      </c>
      <c r="V4308" s="1">
        <f t="shared" si="978"/>
        <v>0</v>
      </c>
    </row>
    <row r="4309" spans="5:22" x14ac:dyDescent="0.25">
      <c r="E4309" s="4"/>
      <c r="M4309" s="4">
        <f t="shared" si="971"/>
        <v>173.1</v>
      </c>
      <c r="N4309" s="4"/>
      <c r="O4309" s="1">
        <f t="shared" si="972"/>
        <v>173.1</v>
      </c>
      <c r="P4309" s="1">
        <f t="shared" si="973"/>
        <v>0</v>
      </c>
      <c r="Q4309" s="1" t="str">
        <f t="shared" si="970"/>
        <v/>
      </c>
      <c r="R4309" s="1" t="str">
        <f t="shared" si="974"/>
        <v/>
      </c>
      <c r="S4309" s="1">
        <f t="shared" si="975"/>
        <v>630.90240000000244</v>
      </c>
      <c r="T4309" s="1">
        <f t="shared" si="976"/>
        <v>0</v>
      </c>
      <c r="U4309" s="1">
        <f t="shared" si="977"/>
        <v>0</v>
      </c>
      <c r="V4309" s="1">
        <f t="shared" si="978"/>
        <v>0</v>
      </c>
    </row>
    <row r="4310" spans="5:22" x14ac:dyDescent="0.25">
      <c r="E4310" s="4"/>
      <c r="M4310" s="4">
        <f t="shared" si="971"/>
        <v>173.1</v>
      </c>
      <c r="N4310" s="4"/>
      <c r="O4310" s="1">
        <f t="shared" si="972"/>
        <v>173.1</v>
      </c>
      <c r="P4310" s="1">
        <f t="shared" si="973"/>
        <v>0</v>
      </c>
      <c r="Q4310" s="1" t="str">
        <f t="shared" si="970"/>
        <v/>
      </c>
      <c r="R4310" s="1" t="str">
        <f t="shared" si="974"/>
        <v/>
      </c>
      <c r="S4310" s="1">
        <f t="shared" si="975"/>
        <v>630.90240000000244</v>
      </c>
      <c r="T4310" s="1">
        <f t="shared" si="976"/>
        <v>0</v>
      </c>
      <c r="U4310" s="1">
        <f t="shared" si="977"/>
        <v>0</v>
      </c>
      <c r="V4310" s="1">
        <f t="shared" si="978"/>
        <v>0</v>
      </c>
    </row>
    <row r="4311" spans="5:22" x14ac:dyDescent="0.25">
      <c r="E4311" s="4"/>
      <c r="M4311" s="4">
        <f t="shared" si="971"/>
        <v>173.1</v>
      </c>
      <c r="N4311" s="4"/>
      <c r="O4311" s="1">
        <f t="shared" si="972"/>
        <v>173.1</v>
      </c>
      <c r="P4311" s="1">
        <f t="shared" si="973"/>
        <v>0</v>
      </c>
      <c r="Q4311" s="1" t="str">
        <f t="shared" si="970"/>
        <v/>
      </c>
      <c r="R4311" s="1" t="str">
        <f t="shared" si="974"/>
        <v/>
      </c>
      <c r="S4311" s="1">
        <f t="shared" si="975"/>
        <v>630.90240000000244</v>
      </c>
      <c r="T4311" s="1">
        <f t="shared" si="976"/>
        <v>0</v>
      </c>
      <c r="U4311" s="1">
        <f t="shared" si="977"/>
        <v>0</v>
      </c>
      <c r="V4311" s="1">
        <f t="shared" si="978"/>
        <v>0</v>
      </c>
    </row>
    <row r="4312" spans="5:22" x14ac:dyDescent="0.25">
      <c r="E4312" s="4"/>
      <c r="M4312" s="4">
        <f t="shared" si="971"/>
        <v>173.1</v>
      </c>
      <c r="N4312" s="4"/>
      <c r="O4312" s="1">
        <f t="shared" si="972"/>
        <v>173.1</v>
      </c>
      <c r="P4312" s="1">
        <f t="shared" si="973"/>
        <v>0</v>
      </c>
      <c r="Q4312" s="1" t="str">
        <f t="shared" si="970"/>
        <v/>
      </c>
      <c r="R4312" s="1" t="str">
        <f t="shared" si="974"/>
        <v/>
      </c>
      <c r="S4312" s="1">
        <f t="shared" si="975"/>
        <v>630.90240000000244</v>
      </c>
      <c r="T4312" s="1">
        <f t="shared" si="976"/>
        <v>0</v>
      </c>
      <c r="U4312" s="1">
        <f t="shared" si="977"/>
        <v>0</v>
      </c>
      <c r="V4312" s="1">
        <f t="shared" si="978"/>
        <v>0</v>
      </c>
    </row>
    <row r="4313" spans="5:22" x14ac:dyDescent="0.25">
      <c r="E4313" s="4"/>
      <c r="M4313" s="4">
        <f t="shared" si="971"/>
        <v>173.1</v>
      </c>
      <c r="N4313" s="4"/>
      <c r="O4313" s="1">
        <f t="shared" si="972"/>
        <v>173.1</v>
      </c>
      <c r="P4313" s="1">
        <f t="shared" si="973"/>
        <v>0</v>
      </c>
      <c r="Q4313" s="1" t="str">
        <f t="shared" si="970"/>
        <v/>
      </c>
      <c r="R4313" s="1" t="str">
        <f t="shared" si="974"/>
        <v/>
      </c>
      <c r="S4313" s="1">
        <f t="shared" si="975"/>
        <v>630.90240000000244</v>
      </c>
      <c r="T4313" s="1">
        <f t="shared" si="976"/>
        <v>0</v>
      </c>
      <c r="U4313" s="1">
        <f t="shared" si="977"/>
        <v>0</v>
      </c>
      <c r="V4313" s="1">
        <f t="shared" si="978"/>
        <v>0</v>
      </c>
    </row>
    <row r="4314" spans="5:22" x14ac:dyDescent="0.25">
      <c r="E4314" s="4"/>
      <c r="M4314" s="4">
        <f t="shared" si="971"/>
        <v>173.1</v>
      </c>
      <c r="N4314" s="4"/>
      <c r="O4314" s="1">
        <f t="shared" si="972"/>
        <v>173.1</v>
      </c>
      <c r="P4314" s="1">
        <f t="shared" si="973"/>
        <v>0</v>
      </c>
      <c r="Q4314" s="1" t="str">
        <f t="shared" si="970"/>
        <v/>
      </c>
      <c r="R4314" s="1" t="str">
        <f t="shared" si="974"/>
        <v/>
      </c>
      <c r="S4314" s="1">
        <f t="shared" si="975"/>
        <v>630.90240000000244</v>
      </c>
      <c r="T4314" s="1">
        <f t="shared" si="976"/>
        <v>0</v>
      </c>
      <c r="U4314" s="1">
        <f t="shared" si="977"/>
        <v>0</v>
      </c>
      <c r="V4314" s="1">
        <f t="shared" si="978"/>
        <v>0</v>
      </c>
    </row>
    <row r="4315" spans="5:22" x14ac:dyDescent="0.25">
      <c r="E4315" s="4"/>
      <c r="M4315" s="4">
        <f t="shared" si="971"/>
        <v>173.1</v>
      </c>
      <c r="N4315" s="4"/>
      <c r="O4315" s="1">
        <f t="shared" si="972"/>
        <v>173.1</v>
      </c>
      <c r="P4315" s="1">
        <f t="shared" si="973"/>
        <v>0</v>
      </c>
      <c r="Q4315" s="1" t="str">
        <f t="shared" si="970"/>
        <v/>
      </c>
      <c r="R4315" s="1" t="str">
        <f t="shared" si="974"/>
        <v/>
      </c>
      <c r="S4315" s="1">
        <f t="shared" si="975"/>
        <v>630.90240000000244</v>
      </c>
      <c r="T4315" s="1">
        <f t="shared" si="976"/>
        <v>0</v>
      </c>
      <c r="U4315" s="1">
        <f t="shared" si="977"/>
        <v>0</v>
      </c>
      <c r="V4315" s="1">
        <f t="shared" si="978"/>
        <v>0</v>
      </c>
    </row>
    <row r="4316" spans="5:22" x14ac:dyDescent="0.25">
      <c r="E4316" s="4"/>
      <c r="M4316" s="4">
        <f t="shared" si="971"/>
        <v>173.1</v>
      </c>
      <c r="N4316" s="4"/>
      <c r="O4316" s="1">
        <f t="shared" si="972"/>
        <v>173.1</v>
      </c>
      <c r="P4316" s="1">
        <f t="shared" si="973"/>
        <v>0</v>
      </c>
      <c r="Q4316" s="1" t="str">
        <f t="shared" si="970"/>
        <v/>
      </c>
      <c r="R4316" s="1" t="str">
        <f t="shared" si="974"/>
        <v/>
      </c>
      <c r="S4316" s="1">
        <f t="shared" si="975"/>
        <v>630.90240000000244</v>
      </c>
      <c r="T4316" s="1">
        <f t="shared" si="976"/>
        <v>0</v>
      </c>
      <c r="U4316" s="1">
        <f t="shared" si="977"/>
        <v>0</v>
      </c>
      <c r="V4316" s="1">
        <f t="shared" si="978"/>
        <v>0</v>
      </c>
    </row>
    <row r="4317" spans="5:22" x14ac:dyDescent="0.25">
      <c r="E4317" s="4"/>
      <c r="M4317" s="4">
        <f t="shared" si="971"/>
        <v>173.1</v>
      </c>
      <c r="N4317" s="4"/>
      <c r="O4317" s="1">
        <f t="shared" si="972"/>
        <v>173.1</v>
      </c>
      <c r="P4317" s="1">
        <f t="shared" si="973"/>
        <v>0</v>
      </c>
      <c r="Q4317" s="1" t="str">
        <f t="shared" si="970"/>
        <v/>
      </c>
      <c r="R4317" s="1" t="str">
        <f t="shared" si="974"/>
        <v/>
      </c>
      <c r="S4317" s="1">
        <f t="shared" si="975"/>
        <v>630.90240000000244</v>
      </c>
      <c r="T4317" s="1">
        <f t="shared" si="976"/>
        <v>0</v>
      </c>
      <c r="U4317" s="1">
        <f t="shared" si="977"/>
        <v>0</v>
      </c>
      <c r="V4317" s="1">
        <f t="shared" si="978"/>
        <v>0</v>
      </c>
    </row>
    <row r="4318" spans="5:22" x14ac:dyDescent="0.25">
      <c r="E4318" s="4"/>
      <c r="M4318" s="4">
        <f t="shared" si="971"/>
        <v>173.1</v>
      </c>
      <c r="N4318" s="4"/>
      <c r="O4318" s="1">
        <f t="shared" si="972"/>
        <v>173.1</v>
      </c>
      <c r="P4318" s="1">
        <f t="shared" si="973"/>
        <v>0</v>
      </c>
      <c r="Q4318" s="1" t="str">
        <f t="shared" si="970"/>
        <v/>
      </c>
      <c r="R4318" s="1" t="str">
        <f t="shared" si="974"/>
        <v/>
      </c>
      <c r="S4318" s="1">
        <f t="shared" si="975"/>
        <v>630.90240000000244</v>
      </c>
      <c r="T4318" s="1">
        <f t="shared" si="976"/>
        <v>0</v>
      </c>
      <c r="U4318" s="1">
        <f t="shared" si="977"/>
        <v>0</v>
      </c>
      <c r="V4318" s="1">
        <f t="shared" si="978"/>
        <v>0</v>
      </c>
    </row>
    <row r="4319" spans="5:22" x14ac:dyDescent="0.25">
      <c r="E4319" s="4"/>
      <c r="M4319" s="4">
        <f t="shared" si="971"/>
        <v>173.1</v>
      </c>
      <c r="N4319" s="4"/>
      <c r="O4319" s="1">
        <f t="shared" si="972"/>
        <v>173.1</v>
      </c>
      <c r="P4319" s="1">
        <f t="shared" si="973"/>
        <v>0</v>
      </c>
      <c r="Q4319" s="1" t="str">
        <f t="shared" si="970"/>
        <v/>
      </c>
      <c r="R4319" s="1" t="str">
        <f t="shared" si="974"/>
        <v/>
      </c>
      <c r="S4319" s="1">
        <f t="shared" si="975"/>
        <v>630.90240000000244</v>
      </c>
      <c r="T4319" s="1">
        <f t="shared" si="976"/>
        <v>0</v>
      </c>
      <c r="U4319" s="1">
        <f t="shared" si="977"/>
        <v>0</v>
      </c>
      <c r="V4319" s="1">
        <f t="shared" si="978"/>
        <v>0</v>
      </c>
    </row>
    <row r="4320" spans="5:22" x14ac:dyDescent="0.25">
      <c r="E4320" s="4"/>
      <c r="M4320" s="4">
        <f t="shared" si="971"/>
        <v>173.1</v>
      </c>
      <c r="N4320" s="4"/>
      <c r="O4320" s="1">
        <f t="shared" si="972"/>
        <v>173.1</v>
      </c>
      <c r="P4320" s="1">
        <f t="shared" si="973"/>
        <v>0</v>
      </c>
      <c r="Q4320" s="1" t="str">
        <f t="shared" si="970"/>
        <v/>
      </c>
      <c r="R4320" s="1" t="str">
        <f t="shared" si="974"/>
        <v/>
      </c>
      <c r="S4320" s="1">
        <f t="shared" si="975"/>
        <v>630.90240000000244</v>
      </c>
      <c r="T4320" s="1">
        <f t="shared" si="976"/>
        <v>0</v>
      </c>
      <c r="U4320" s="1">
        <f t="shared" si="977"/>
        <v>0</v>
      </c>
      <c r="V4320" s="1">
        <f t="shared" si="978"/>
        <v>0</v>
      </c>
    </row>
    <row r="4321" spans="5:22" x14ac:dyDescent="0.25">
      <c r="E4321" s="4"/>
      <c r="M4321" s="4">
        <f t="shared" si="971"/>
        <v>173.1</v>
      </c>
      <c r="N4321" s="4"/>
      <c r="O4321" s="1">
        <f t="shared" si="972"/>
        <v>173.1</v>
      </c>
      <c r="P4321" s="1">
        <f t="shared" si="973"/>
        <v>0</v>
      </c>
      <c r="Q4321" s="1" t="str">
        <f t="shared" si="970"/>
        <v/>
      </c>
      <c r="R4321" s="1" t="str">
        <f t="shared" si="974"/>
        <v/>
      </c>
      <c r="S4321" s="1">
        <f t="shared" si="975"/>
        <v>630.90240000000244</v>
      </c>
      <c r="T4321" s="1">
        <f t="shared" si="976"/>
        <v>0</v>
      </c>
      <c r="U4321" s="1">
        <f t="shared" si="977"/>
        <v>0</v>
      </c>
      <c r="V4321" s="1">
        <f t="shared" si="978"/>
        <v>0</v>
      </c>
    </row>
    <row r="4322" spans="5:22" x14ac:dyDescent="0.25">
      <c r="E4322" s="4"/>
      <c r="M4322" s="4">
        <f t="shared" si="971"/>
        <v>173.1</v>
      </c>
      <c r="N4322" s="4"/>
      <c r="O4322" s="1">
        <f t="shared" si="972"/>
        <v>173.1</v>
      </c>
      <c r="P4322" s="1">
        <f t="shared" si="973"/>
        <v>0</v>
      </c>
      <c r="Q4322" s="1" t="str">
        <f t="shared" si="970"/>
        <v/>
      </c>
      <c r="R4322" s="1" t="str">
        <f t="shared" si="974"/>
        <v/>
      </c>
      <c r="S4322" s="1">
        <f t="shared" si="975"/>
        <v>630.90240000000244</v>
      </c>
      <c r="T4322" s="1">
        <f t="shared" si="976"/>
        <v>0</v>
      </c>
      <c r="U4322" s="1">
        <f t="shared" si="977"/>
        <v>0</v>
      </c>
      <c r="V4322" s="1">
        <f t="shared" si="978"/>
        <v>0</v>
      </c>
    </row>
    <row r="4323" spans="5:22" x14ac:dyDescent="0.25">
      <c r="E4323" s="4"/>
      <c r="M4323" s="4">
        <f t="shared" si="971"/>
        <v>173.1</v>
      </c>
      <c r="N4323" s="4"/>
      <c r="O4323" s="1">
        <f t="shared" si="972"/>
        <v>173.1</v>
      </c>
      <c r="P4323" s="1">
        <f t="shared" si="973"/>
        <v>0</v>
      </c>
      <c r="Q4323" s="1" t="str">
        <f t="shared" si="970"/>
        <v/>
      </c>
      <c r="R4323" s="1" t="str">
        <f t="shared" si="974"/>
        <v/>
      </c>
      <c r="S4323" s="1">
        <f t="shared" si="975"/>
        <v>630.90240000000244</v>
      </c>
      <c r="T4323" s="1">
        <f t="shared" si="976"/>
        <v>0</v>
      </c>
      <c r="U4323" s="1">
        <f t="shared" si="977"/>
        <v>0</v>
      </c>
      <c r="V4323" s="1">
        <f t="shared" si="978"/>
        <v>0</v>
      </c>
    </row>
    <row r="4324" spans="5:22" x14ac:dyDescent="0.25">
      <c r="E4324" s="4"/>
      <c r="M4324" s="4">
        <f t="shared" si="971"/>
        <v>173.1</v>
      </c>
      <c r="N4324" s="4"/>
      <c r="O4324" s="1">
        <f t="shared" si="972"/>
        <v>173.1</v>
      </c>
      <c r="P4324" s="1">
        <f t="shared" si="973"/>
        <v>0</v>
      </c>
      <c r="Q4324" s="1" t="str">
        <f t="shared" si="970"/>
        <v/>
      </c>
      <c r="R4324" s="1" t="str">
        <f t="shared" si="974"/>
        <v/>
      </c>
      <c r="S4324" s="1">
        <f t="shared" si="975"/>
        <v>630.90240000000244</v>
      </c>
      <c r="T4324" s="1">
        <f t="shared" si="976"/>
        <v>0</v>
      </c>
      <c r="U4324" s="1">
        <f t="shared" si="977"/>
        <v>0</v>
      </c>
      <c r="V4324" s="1">
        <f t="shared" si="978"/>
        <v>0</v>
      </c>
    </row>
    <row r="4325" spans="5:22" x14ac:dyDescent="0.25">
      <c r="E4325" s="4"/>
      <c r="M4325" s="4">
        <f t="shared" si="971"/>
        <v>173.1</v>
      </c>
      <c r="N4325" s="4"/>
      <c r="O4325" s="1">
        <f t="shared" si="972"/>
        <v>173.1</v>
      </c>
      <c r="P4325" s="1">
        <f t="shared" si="973"/>
        <v>0</v>
      </c>
      <c r="Q4325" s="1" t="str">
        <f t="shared" si="970"/>
        <v/>
      </c>
      <c r="R4325" s="1" t="str">
        <f t="shared" si="974"/>
        <v/>
      </c>
      <c r="S4325" s="1">
        <f t="shared" si="975"/>
        <v>630.90240000000244</v>
      </c>
      <c r="T4325" s="1">
        <f t="shared" si="976"/>
        <v>0</v>
      </c>
      <c r="U4325" s="1">
        <f t="shared" si="977"/>
        <v>0</v>
      </c>
      <c r="V4325" s="1">
        <f t="shared" si="978"/>
        <v>0</v>
      </c>
    </row>
    <row r="4326" spans="5:22" x14ac:dyDescent="0.25">
      <c r="E4326" s="4"/>
      <c r="M4326" s="4">
        <f t="shared" si="971"/>
        <v>173.1</v>
      </c>
      <c r="N4326" s="4"/>
      <c r="O4326" s="1">
        <f t="shared" si="972"/>
        <v>173.1</v>
      </c>
      <c r="P4326" s="1">
        <f t="shared" si="973"/>
        <v>0</v>
      </c>
      <c r="Q4326" s="1" t="str">
        <f t="shared" si="970"/>
        <v/>
      </c>
      <c r="R4326" s="1" t="str">
        <f t="shared" si="974"/>
        <v/>
      </c>
      <c r="S4326" s="1">
        <f t="shared" si="975"/>
        <v>630.90240000000244</v>
      </c>
      <c r="T4326" s="1">
        <f t="shared" si="976"/>
        <v>0</v>
      </c>
      <c r="U4326" s="1">
        <f t="shared" si="977"/>
        <v>0</v>
      </c>
      <c r="V4326" s="1">
        <f t="shared" si="978"/>
        <v>0</v>
      </c>
    </row>
    <row r="4327" spans="5:22" x14ac:dyDescent="0.25">
      <c r="E4327" s="4"/>
      <c r="M4327" s="4">
        <f t="shared" si="971"/>
        <v>173.1</v>
      </c>
      <c r="N4327" s="4"/>
      <c r="O4327" s="1">
        <f t="shared" si="972"/>
        <v>173.1</v>
      </c>
      <c r="P4327" s="1">
        <f t="shared" si="973"/>
        <v>0</v>
      </c>
      <c r="Q4327" s="1" t="str">
        <f t="shared" si="970"/>
        <v/>
      </c>
      <c r="R4327" s="1" t="str">
        <f t="shared" si="974"/>
        <v/>
      </c>
      <c r="S4327" s="1">
        <f t="shared" si="975"/>
        <v>630.90240000000244</v>
      </c>
      <c r="T4327" s="1">
        <f t="shared" si="976"/>
        <v>0</v>
      </c>
      <c r="U4327" s="1">
        <f t="shared" si="977"/>
        <v>0</v>
      </c>
      <c r="V4327" s="1">
        <f t="shared" si="978"/>
        <v>0</v>
      </c>
    </row>
    <row r="4328" spans="5:22" x14ac:dyDescent="0.25">
      <c r="E4328" s="4"/>
      <c r="M4328" s="4">
        <f t="shared" si="971"/>
        <v>173.1</v>
      </c>
      <c r="N4328" s="4"/>
      <c r="O4328" s="1">
        <f t="shared" si="972"/>
        <v>173.1</v>
      </c>
      <c r="P4328" s="1">
        <f t="shared" si="973"/>
        <v>0</v>
      </c>
      <c r="Q4328" s="1" t="str">
        <f t="shared" si="970"/>
        <v/>
      </c>
      <c r="R4328" s="1" t="str">
        <f t="shared" si="974"/>
        <v/>
      </c>
      <c r="S4328" s="1">
        <f t="shared" si="975"/>
        <v>630.90240000000244</v>
      </c>
      <c r="T4328" s="1">
        <f t="shared" si="976"/>
        <v>0</v>
      </c>
      <c r="U4328" s="1">
        <f t="shared" si="977"/>
        <v>0</v>
      </c>
      <c r="V4328" s="1">
        <f t="shared" si="978"/>
        <v>0</v>
      </c>
    </row>
    <row r="4329" spans="5:22" x14ac:dyDescent="0.25">
      <c r="E4329" s="4"/>
      <c r="M4329" s="4">
        <f t="shared" si="971"/>
        <v>173.1</v>
      </c>
      <c r="N4329" s="4"/>
      <c r="O4329" s="1">
        <f t="shared" si="972"/>
        <v>173.1</v>
      </c>
      <c r="P4329" s="1">
        <f t="shared" si="973"/>
        <v>0</v>
      </c>
      <c r="Q4329" s="1" t="str">
        <f t="shared" si="970"/>
        <v/>
      </c>
      <c r="R4329" s="1" t="str">
        <f t="shared" si="974"/>
        <v/>
      </c>
      <c r="S4329" s="1">
        <f t="shared" si="975"/>
        <v>630.90240000000244</v>
      </c>
      <c r="T4329" s="1">
        <f t="shared" si="976"/>
        <v>0</v>
      </c>
      <c r="U4329" s="1">
        <f t="shared" si="977"/>
        <v>0</v>
      </c>
      <c r="V4329" s="1">
        <f t="shared" si="978"/>
        <v>0</v>
      </c>
    </row>
    <row r="4330" spans="5:22" x14ac:dyDescent="0.25">
      <c r="E4330" s="4"/>
      <c r="M4330" s="4">
        <f t="shared" si="971"/>
        <v>173.1</v>
      </c>
      <c r="N4330" s="4"/>
      <c r="O4330" s="1">
        <f t="shared" si="972"/>
        <v>173.1</v>
      </c>
      <c r="P4330" s="1">
        <f t="shared" si="973"/>
        <v>0</v>
      </c>
      <c r="Q4330" s="1" t="str">
        <f t="shared" si="970"/>
        <v/>
      </c>
      <c r="R4330" s="1" t="str">
        <f t="shared" si="974"/>
        <v/>
      </c>
      <c r="S4330" s="1">
        <f t="shared" si="975"/>
        <v>630.90240000000244</v>
      </c>
      <c r="T4330" s="1">
        <f t="shared" si="976"/>
        <v>0</v>
      </c>
      <c r="U4330" s="1">
        <f t="shared" si="977"/>
        <v>0</v>
      </c>
      <c r="V4330" s="1">
        <f t="shared" si="978"/>
        <v>0</v>
      </c>
    </row>
    <row r="4331" spans="5:22" x14ac:dyDescent="0.25">
      <c r="E4331" s="4"/>
      <c r="M4331" s="4">
        <f t="shared" si="971"/>
        <v>173.1</v>
      </c>
      <c r="N4331" s="4"/>
      <c r="O4331" s="1">
        <f t="shared" si="972"/>
        <v>173.1</v>
      </c>
      <c r="P4331" s="1">
        <f t="shared" si="973"/>
        <v>0</v>
      </c>
      <c r="Q4331" s="1" t="str">
        <f t="shared" si="970"/>
        <v/>
      </c>
      <c r="R4331" s="1" t="str">
        <f t="shared" si="974"/>
        <v/>
      </c>
      <c r="S4331" s="1">
        <f t="shared" si="975"/>
        <v>630.90240000000244</v>
      </c>
      <c r="T4331" s="1">
        <f t="shared" si="976"/>
        <v>0</v>
      </c>
      <c r="U4331" s="1">
        <f t="shared" si="977"/>
        <v>0</v>
      </c>
      <c r="V4331" s="1">
        <f t="shared" si="978"/>
        <v>0</v>
      </c>
    </row>
    <row r="4332" spans="5:22" x14ac:dyDescent="0.25">
      <c r="E4332" s="4"/>
      <c r="M4332" s="4">
        <f t="shared" si="971"/>
        <v>173.1</v>
      </c>
      <c r="N4332" s="4"/>
      <c r="O4332" s="1">
        <f t="shared" si="972"/>
        <v>173.1</v>
      </c>
      <c r="P4332" s="1">
        <f t="shared" si="973"/>
        <v>0</v>
      </c>
      <c r="Q4332" s="1" t="str">
        <f t="shared" si="970"/>
        <v/>
      </c>
      <c r="R4332" s="1" t="str">
        <f t="shared" si="974"/>
        <v/>
      </c>
      <c r="S4332" s="1">
        <f t="shared" si="975"/>
        <v>630.90240000000244</v>
      </c>
      <c r="T4332" s="1">
        <f t="shared" si="976"/>
        <v>0</v>
      </c>
      <c r="U4332" s="1">
        <f t="shared" si="977"/>
        <v>0</v>
      </c>
      <c r="V4332" s="1">
        <f t="shared" si="978"/>
        <v>0</v>
      </c>
    </row>
    <row r="4333" spans="5:22" x14ac:dyDescent="0.25">
      <c r="E4333" s="4"/>
      <c r="M4333" s="4">
        <f t="shared" si="971"/>
        <v>173.1</v>
      </c>
      <c r="N4333" s="4"/>
      <c r="O4333" s="1">
        <f t="shared" si="972"/>
        <v>173.1</v>
      </c>
      <c r="P4333" s="1">
        <f t="shared" si="973"/>
        <v>0</v>
      </c>
      <c r="Q4333" s="1" t="str">
        <f t="shared" si="970"/>
        <v/>
      </c>
      <c r="R4333" s="1" t="str">
        <f t="shared" si="974"/>
        <v/>
      </c>
      <c r="S4333" s="1">
        <f t="shared" si="975"/>
        <v>630.90240000000244</v>
      </c>
      <c r="T4333" s="1">
        <f t="shared" si="976"/>
        <v>0</v>
      </c>
      <c r="U4333" s="1">
        <f t="shared" si="977"/>
        <v>0</v>
      </c>
      <c r="V4333" s="1">
        <f t="shared" si="978"/>
        <v>0</v>
      </c>
    </row>
    <row r="4334" spans="5:22" x14ac:dyDescent="0.25">
      <c r="E4334" s="4"/>
      <c r="M4334" s="4">
        <f t="shared" si="971"/>
        <v>173.1</v>
      </c>
      <c r="N4334" s="4"/>
      <c r="O4334" s="1">
        <f t="shared" si="972"/>
        <v>173.1</v>
      </c>
      <c r="P4334" s="1">
        <f t="shared" si="973"/>
        <v>0</v>
      </c>
      <c r="Q4334" s="1" t="str">
        <f t="shared" si="970"/>
        <v/>
      </c>
      <c r="R4334" s="1" t="str">
        <f t="shared" si="974"/>
        <v/>
      </c>
      <c r="S4334" s="1">
        <f t="shared" si="975"/>
        <v>630.90240000000244</v>
      </c>
      <c r="T4334" s="1">
        <f t="shared" si="976"/>
        <v>0</v>
      </c>
      <c r="U4334" s="1">
        <f t="shared" si="977"/>
        <v>0</v>
      </c>
      <c r="V4334" s="1">
        <f t="shared" si="978"/>
        <v>0</v>
      </c>
    </row>
    <row r="4335" spans="5:22" x14ac:dyDescent="0.25">
      <c r="E4335" s="4"/>
      <c r="M4335" s="4">
        <f t="shared" si="971"/>
        <v>173.1</v>
      </c>
      <c r="N4335" s="4"/>
      <c r="O4335" s="1">
        <f t="shared" si="972"/>
        <v>173.1</v>
      </c>
      <c r="P4335" s="1">
        <f t="shared" si="973"/>
        <v>0</v>
      </c>
      <c r="Q4335" s="1" t="str">
        <f t="shared" si="970"/>
        <v/>
      </c>
      <c r="R4335" s="1" t="str">
        <f t="shared" si="974"/>
        <v/>
      </c>
      <c r="S4335" s="1">
        <f t="shared" si="975"/>
        <v>630.90240000000244</v>
      </c>
      <c r="T4335" s="1">
        <f t="shared" si="976"/>
        <v>0</v>
      </c>
      <c r="U4335" s="1">
        <f t="shared" si="977"/>
        <v>0</v>
      </c>
      <c r="V4335" s="1">
        <f t="shared" si="978"/>
        <v>0</v>
      </c>
    </row>
    <row r="4336" spans="5:22" x14ac:dyDescent="0.25">
      <c r="E4336" s="4"/>
      <c r="M4336" s="4">
        <f t="shared" si="971"/>
        <v>173.1</v>
      </c>
      <c r="N4336" s="4"/>
      <c r="O4336" s="1">
        <f t="shared" si="972"/>
        <v>173.1</v>
      </c>
      <c r="P4336" s="1">
        <f t="shared" si="973"/>
        <v>0</v>
      </c>
      <c r="Q4336" s="1" t="str">
        <f t="shared" si="970"/>
        <v/>
      </c>
      <c r="R4336" s="1" t="str">
        <f t="shared" si="974"/>
        <v/>
      </c>
      <c r="S4336" s="1">
        <f t="shared" si="975"/>
        <v>630.90240000000244</v>
      </c>
      <c r="T4336" s="1">
        <f t="shared" si="976"/>
        <v>0</v>
      </c>
      <c r="U4336" s="1">
        <f t="shared" si="977"/>
        <v>0</v>
      </c>
      <c r="V4336" s="1">
        <f t="shared" si="978"/>
        <v>0</v>
      </c>
    </row>
    <row r="4337" spans="5:22" x14ac:dyDescent="0.25">
      <c r="E4337" s="4"/>
      <c r="M4337" s="4">
        <f t="shared" si="971"/>
        <v>173.1</v>
      </c>
      <c r="N4337" s="4"/>
      <c r="O4337" s="1">
        <f t="shared" si="972"/>
        <v>173.1</v>
      </c>
      <c r="P4337" s="1">
        <f t="shared" si="973"/>
        <v>0</v>
      </c>
      <c r="Q4337" s="1" t="str">
        <f t="shared" si="970"/>
        <v/>
      </c>
      <c r="R4337" s="1" t="str">
        <f t="shared" si="974"/>
        <v/>
      </c>
      <c r="S4337" s="1">
        <f t="shared" si="975"/>
        <v>630.90240000000244</v>
      </c>
      <c r="T4337" s="1">
        <f t="shared" si="976"/>
        <v>0</v>
      </c>
      <c r="U4337" s="1">
        <f t="shared" si="977"/>
        <v>0</v>
      </c>
      <c r="V4337" s="1">
        <f t="shared" si="978"/>
        <v>0</v>
      </c>
    </row>
    <row r="4338" spans="5:22" x14ac:dyDescent="0.25">
      <c r="E4338" s="4"/>
      <c r="M4338" s="4">
        <f t="shared" si="971"/>
        <v>173.1</v>
      </c>
      <c r="N4338" s="4"/>
      <c r="O4338" s="1">
        <f t="shared" si="972"/>
        <v>173.1</v>
      </c>
      <c r="P4338" s="1">
        <f t="shared" si="973"/>
        <v>0</v>
      </c>
      <c r="Q4338" s="1" t="str">
        <f t="shared" ref="Q4338:Q4401" si="979">IF(H4338&lt;&gt;"",IF(H4338=H4337,"",H4338),IF(H4336="","",MAX(H4337,Q4337)))</f>
        <v/>
      </c>
      <c r="R4338" s="1" t="str">
        <f t="shared" si="974"/>
        <v/>
      </c>
      <c r="S4338" s="1">
        <f t="shared" si="975"/>
        <v>630.90240000000244</v>
      </c>
      <c r="T4338" s="1">
        <f t="shared" si="976"/>
        <v>0</v>
      </c>
      <c r="U4338" s="1">
        <f t="shared" si="977"/>
        <v>0</v>
      </c>
      <c r="V4338" s="1">
        <f t="shared" si="978"/>
        <v>0</v>
      </c>
    </row>
    <row r="4339" spans="5:22" x14ac:dyDescent="0.25">
      <c r="E4339" s="4"/>
      <c r="M4339" s="4">
        <f t="shared" si="971"/>
        <v>173.1</v>
      </c>
      <c r="N4339" s="4"/>
      <c r="O4339" s="1">
        <f t="shared" si="972"/>
        <v>173.1</v>
      </c>
      <c r="P4339" s="1">
        <f t="shared" si="973"/>
        <v>0</v>
      </c>
      <c r="Q4339" s="1" t="str">
        <f t="shared" si="979"/>
        <v/>
      </c>
      <c r="R4339" s="1" t="str">
        <f t="shared" si="974"/>
        <v/>
      </c>
      <c r="S4339" s="1">
        <f t="shared" si="975"/>
        <v>630.90240000000244</v>
      </c>
      <c r="T4339" s="1">
        <f t="shared" si="976"/>
        <v>0</v>
      </c>
      <c r="U4339" s="1">
        <f t="shared" si="977"/>
        <v>0</v>
      </c>
      <c r="V4339" s="1">
        <f t="shared" si="978"/>
        <v>0</v>
      </c>
    </row>
    <row r="4340" spans="5:22" x14ac:dyDescent="0.25">
      <c r="E4340" s="4"/>
      <c r="M4340" s="4">
        <f t="shared" si="971"/>
        <v>173.1</v>
      </c>
      <c r="N4340" s="4"/>
      <c r="O4340" s="1">
        <f t="shared" si="972"/>
        <v>173.1</v>
      </c>
      <c r="P4340" s="1">
        <f t="shared" si="973"/>
        <v>0</v>
      </c>
      <c r="Q4340" s="1" t="str">
        <f t="shared" si="979"/>
        <v/>
      </c>
      <c r="R4340" s="1" t="str">
        <f t="shared" si="974"/>
        <v/>
      </c>
      <c r="S4340" s="1">
        <f t="shared" si="975"/>
        <v>630.90240000000244</v>
      </c>
      <c r="T4340" s="1">
        <f t="shared" si="976"/>
        <v>0</v>
      </c>
      <c r="U4340" s="1">
        <f t="shared" si="977"/>
        <v>0</v>
      </c>
      <c r="V4340" s="1">
        <f t="shared" si="978"/>
        <v>0</v>
      </c>
    </row>
    <row r="4341" spans="5:22" x14ac:dyDescent="0.25">
      <c r="E4341" s="4"/>
      <c r="M4341" s="4">
        <f t="shared" si="971"/>
        <v>173.1</v>
      </c>
      <c r="N4341" s="4"/>
      <c r="O4341" s="1">
        <f t="shared" si="972"/>
        <v>173.1</v>
      </c>
      <c r="P4341" s="1">
        <f t="shared" si="973"/>
        <v>0</v>
      </c>
      <c r="Q4341" s="1" t="str">
        <f t="shared" si="979"/>
        <v/>
      </c>
      <c r="R4341" s="1" t="str">
        <f t="shared" si="974"/>
        <v/>
      </c>
      <c r="S4341" s="1">
        <f t="shared" si="975"/>
        <v>630.90240000000244</v>
      </c>
      <c r="T4341" s="1">
        <f t="shared" si="976"/>
        <v>0</v>
      </c>
      <c r="U4341" s="1">
        <f t="shared" si="977"/>
        <v>0</v>
      </c>
      <c r="V4341" s="1">
        <f t="shared" si="978"/>
        <v>0</v>
      </c>
    </row>
    <row r="4342" spans="5:22" x14ac:dyDescent="0.25">
      <c r="E4342" s="4"/>
      <c r="M4342" s="4">
        <f t="shared" si="971"/>
        <v>173.1</v>
      </c>
      <c r="N4342" s="4"/>
      <c r="O4342" s="1">
        <f t="shared" si="972"/>
        <v>173.1</v>
      </c>
      <c r="P4342" s="1">
        <f t="shared" si="973"/>
        <v>0</v>
      </c>
      <c r="Q4342" s="1" t="str">
        <f t="shared" si="979"/>
        <v/>
      </c>
      <c r="R4342" s="1" t="str">
        <f t="shared" si="974"/>
        <v/>
      </c>
      <c r="S4342" s="1">
        <f t="shared" si="975"/>
        <v>630.90240000000244</v>
      </c>
      <c r="T4342" s="1">
        <f t="shared" si="976"/>
        <v>0</v>
      </c>
      <c r="U4342" s="1">
        <f t="shared" si="977"/>
        <v>0</v>
      </c>
      <c r="V4342" s="1">
        <f t="shared" si="978"/>
        <v>0</v>
      </c>
    </row>
    <row r="4343" spans="5:22" x14ac:dyDescent="0.25">
      <c r="E4343" s="4"/>
      <c r="M4343" s="4">
        <f t="shared" si="971"/>
        <v>173.1</v>
      </c>
      <c r="N4343" s="4"/>
      <c r="O4343" s="1">
        <f t="shared" si="972"/>
        <v>173.1</v>
      </c>
      <c r="P4343" s="1">
        <f t="shared" si="973"/>
        <v>0</v>
      </c>
      <c r="Q4343" s="1" t="str">
        <f t="shared" si="979"/>
        <v/>
      </c>
      <c r="R4343" s="1" t="str">
        <f t="shared" si="974"/>
        <v/>
      </c>
      <c r="S4343" s="1">
        <f t="shared" si="975"/>
        <v>630.90240000000244</v>
      </c>
      <c r="T4343" s="1">
        <f t="shared" si="976"/>
        <v>0</v>
      </c>
      <c r="U4343" s="1">
        <f t="shared" si="977"/>
        <v>0</v>
      </c>
      <c r="V4343" s="1">
        <f t="shared" si="978"/>
        <v>0</v>
      </c>
    </row>
    <row r="4344" spans="5:22" x14ac:dyDescent="0.25">
      <c r="E4344" s="4"/>
      <c r="M4344" s="4">
        <f t="shared" si="971"/>
        <v>173.1</v>
      </c>
      <c r="N4344" s="4"/>
      <c r="O4344" s="1">
        <f t="shared" si="972"/>
        <v>173.1</v>
      </c>
      <c r="P4344" s="1">
        <f t="shared" si="973"/>
        <v>0</v>
      </c>
      <c r="Q4344" s="1" t="str">
        <f t="shared" si="979"/>
        <v/>
      </c>
      <c r="R4344" s="1" t="str">
        <f t="shared" si="974"/>
        <v/>
      </c>
      <c r="S4344" s="1">
        <f t="shared" si="975"/>
        <v>630.90240000000244</v>
      </c>
      <c r="T4344" s="1">
        <f t="shared" si="976"/>
        <v>0</v>
      </c>
      <c r="U4344" s="1">
        <f t="shared" si="977"/>
        <v>0</v>
      </c>
      <c r="V4344" s="1">
        <f t="shared" si="978"/>
        <v>0</v>
      </c>
    </row>
    <row r="4345" spans="5:22" x14ac:dyDescent="0.25">
      <c r="E4345" s="4"/>
      <c r="M4345" s="4">
        <f t="shared" si="971"/>
        <v>173.1</v>
      </c>
      <c r="N4345" s="4"/>
      <c r="O4345" s="1">
        <f t="shared" si="972"/>
        <v>173.1</v>
      </c>
      <c r="P4345" s="1">
        <f t="shared" si="973"/>
        <v>0</v>
      </c>
      <c r="Q4345" s="1" t="str">
        <f t="shared" si="979"/>
        <v/>
      </c>
      <c r="R4345" s="1" t="str">
        <f t="shared" si="974"/>
        <v/>
      </c>
      <c r="S4345" s="1">
        <f t="shared" si="975"/>
        <v>630.90240000000244</v>
      </c>
      <c r="T4345" s="1">
        <f t="shared" si="976"/>
        <v>0</v>
      </c>
      <c r="U4345" s="1">
        <f t="shared" si="977"/>
        <v>0</v>
      </c>
      <c r="V4345" s="1">
        <f t="shared" si="978"/>
        <v>0</v>
      </c>
    </row>
    <row r="4346" spans="5:22" x14ac:dyDescent="0.25">
      <c r="E4346" s="4"/>
      <c r="M4346" s="4">
        <f t="shared" si="971"/>
        <v>173.1</v>
      </c>
      <c r="N4346" s="4"/>
      <c r="O4346" s="1">
        <f t="shared" si="972"/>
        <v>173.1</v>
      </c>
      <c r="P4346" s="1">
        <f t="shared" si="973"/>
        <v>0</v>
      </c>
      <c r="Q4346" s="1" t="str">
        <f t="shared" si="979"/>
        <v/>
      </c>
      <c r="R4346" s="1" t="str">
        <f t="shared" si="974"/>
        <v/>
      </c>
      <c r="S4346" s="1">
        <f t="shared" si="975"/>
        <v>630.90240000000244</v>
      </c>
      <c r="T4346" s="1">
        <f t="shared" si="976"/>
        <v>0</v>
      </c>
      <c r="U4346" s="1">
        <f t="shared" si="977"/>
        <v>0</v>
      </c>
      <c r="V4346" s="1">
        <f t="shared" si="978"/>
        <v>0</v>
      </c>
    </row>
    <row r="4347" spans="5:22" x14ac:dyDescent="0.25">
      <c r="E4347" s="4"/>
      <c r="M4347" s="4">
        <f t="shared" si="971"/>
        <v>173.1</v>
      </c>
      <c r="N4347" s="4"/>
      <c r="O4347" s="1">
        <f t="shared" si="972"/>
        <v>173.1</v>
      </c>
      <c r="P4347" s="1">
        <f t="shared" si="973"/>
        <v>0</v>
      </c>
      <c r="Q4347" s="1" t="str">
        <f t="shared" si="979"/>
        <v/>
      </c>
      <c r="R4347" s="1" t="str">
        <f t="shared" si="974"/>
        <v/>
      </c>
      <c r="S4347" s="1">
        <f t="shared" si="975"/>
        <v>630.90240000000244</v>
      </c>
      <c r="T4347" s="1">
        <f t="shared" si="976"/>
        <v>0</v>
      </c>
      <c r="U4347" s="1">
        <f t="shared" si="977"/>
        <v>0</v>
      </c>
      <c r="V4347" s="1">
        <f t="shared" si="978"/>
        <v>0</v>
      </c>
    </row>
    <row r="4348" spans="5:22" x14ac:dyDescent="0.25">
      <c r="E4348" s="4"/>
      <c r="M4348" s="4">
        <f t="shared" si="971"/>
        <v>173.1</v>
      </c>
      <c r="N4348" s="4"/>
      <c r="O4348" s="1">
        <f t="shared" si="972"/>
        <v>173.1</v>
      </c>
      <c r="P4348" s="1">
        <f t="shared" si="973"/>
        <v>0</v>
      </c>
      <c r="Q4348" s="1" t="str">
        <f t="shared" si="979"/>
        <v/>
      </c>
      <c r="R4348" s="1" t="str">
        <f t="shared" si="974"/>
        <v/>
      </c>
      <c r="S4348" s="1">
        <f t="shared" si="975"/>
        <v>630.90240000000244</v>
      </c>
      <c r="T4348" s="1">
        <f t="shared" si="976"/>
        <v>0</v>
      </c>
      <c r="U4348" s="1">
        <f t="shared" si="977"/>
        <v>0</v>
      </c>
      <c r="V4348" s="1">
        <f t="shared" si="978"/>
        <v>0</v>
      </c>
    </row>
    <row r="4349" spans="5:22" x14ac:dyDescent="0.25">
      <c r="E4349" s="4"/>
      <c r="M4349" s="4">
        <f t="shared" si="971"/>
        <v>173.1</v>
      </c>
      <c r="N4349" s="4"/>
      <c r="O4349" s="1">
        <f t="shared" si="972"/>
        <v>173.1</v>
      </c>
      <c r="P4349" s="1">
        <f t="shared" si="973"/>
        <v>0</v>
      </c>
      <c r="Q4349" s="1" t="str">
        <f t="shared" si="979"/>
        <v/>
      </c>
      <c r="R4349" s="1" t="str">
        <f t="shared" si="974"/>
        <v/>
      </c>
      <c r="S4349" s="1">
        <f t="shared" si="975"/>
        <v>630.90240000000244</v>
      </c>
      <c r="T4349" s="1">
        <f t="shared" si="976"/>
        <v>0</v>
      </c>
      <c r="U4349" s="1">
        <f t="shared" si="977"/>
        <v>0</v>
      </c>
      <c r="V4349" s="1">
        <f t="shared" si="978"/>
        <v>0</v>
      </c>
    </row>
    <row r="4350" spans="5:22" x14ac:dyDescent="0.25">
      <c r="E4350" s="4"/>
      <c r="M4350" s="4">
        <f t="shared" si="971"/>
        <v>173.1</v>
      </c>
      <c r="N4350" s="4"/>
      <c r="O4350" s="1">
        <f t="shared" si="972"/>
        <v>173.1</v>
      </c>
      <c r="P4350" s="1">
        <f t="shared" si="973"/>
        <v>0</v>
      </c>
      <c r="Q4350" s="1" t="str">
        <f t="shared" si="979"/>
        <v/>
      </c>
      <c r="R4350" s="1" t="str">
        <f t="shared" si="974"/>
        <v/>
      </c>
      <c r="S4350" s="1">
        <f t="shared" si="975"/>
        <v>630.90240000000244</v>
      </c>
      <c r="T4350" s="1">
        <f t="shared" si="976"/>
        <v>0</v>
      </c>
      <c r="U4350" s="1">
        <f t="shared" si="977"/>
        <v>0</v>
      </c>
      <c r="V4350" s="1">
        <f t="shared" si="978"/>
        <v>0</v>
      </c>
    </row>
    <row r="4351" spans="5:22" x14ac:dyDescent="0.25">
      <c r="E4351" s="4"/>
      <c r="M4351" s="4">
        <f t="shared" si="971"/>
        <v>173.1</v>
      </c>
      <c r="N4351" s="4"/>
      <c r="O4351" s="1">
        <f t="shared" si="972"/>
        <v>173.1</v>
      </c>
      <c r="P4351" s="1">
        <f t="shared" si="973"/>
        <v>0</v>
      </c>
      <c r="Q4351" s="1" t="str">
        <f t="shared" si="979"/>
        <v/>
      </c>
      <c r="R4351" s="1" t="str">
        <f t="shared" si="974"/>
        <v/>
      </c>
      <c r="S4351" s="1">
        <f t="shared" si="975"/>
        <v>630.90240000000244</v>
      </c>
      <c r="T4351" s="1">
        <f t="shared" si="976"/>
        <v>0</v>
      </c>
      <c r="U4351" s="1">
        <f t="shared" si="977"/>
        <v>0</v>
      </c>
      <c r="V4351" s="1">
        <f t="shared" si="978"/>
        <v>0</v>
      </c>
    </row>
    <row r="4352" spans="5:22" x14ac:dyDescent="0.25">
      <c r="E4352" s="4"/>
      <c r="M4352" s="4">
        <f t="shared" si="971"/>
        <v>173.1</v>
      </c>
      <c r="N4352" s="4"/>
      <c r="O4352" s="1">
        <f t="shared" si="972"/>
        <v>173.1</v>
      </c>
      <c r="P4352" s="1">
        <f t="shared" si="973"/>
        <v>0</v>
      </c>
      <c r="Q4352" s="1" t="str">
        <f t="shared" si="979"/>
        <v/>
      </c>
      <c r="R4352" s="1" t="str">
        <f t="shared" si="974"/>
        <v/>
      </c>
      <c r="S4352" s="1">
        <f t="shared" si="975"/>
        <v>630.90240000000244</v>
      </c>
      <c r="T4352" s="1">
        <f t="shared" si="976"/>
        <v>0</v>
      </c>
      <c r="U4352" s="1">
        <f t="shared" si="977"/>
        <v>0</v>
      </c>
      <c r="V4352" s="1">
        <f t="shared" si="978"/>
        <v>0</v>
      </c>
    </row>
    <row r="4353" spans="5:22" x14ac:dyDescent="0.25">
      <c r="E4353" s="4"/>
      <c r="M4353" s="4">
        <f t="shared" si="971"/>
        <v>173.1</v>
      </c>
      <c r="N4353" s="4"/>
      <c r="O4353" s="1">
        <f t="shared" si="972"/>
        <v>173.1</v>
      </c>
      <c r="P4353" s="1">
        <f t="shared" si="973"/>
        <v>0</v>
      </c>
      <c r="Q4353" s="1" t="str">
        <f t="shared" si="979"/>
        <v/>
      </c>
      <c r="R4353" s="1" t="str">
        <f t="shared" si="974"/>
        <v/>
      </c>
      <c r="S4353" s="1">
        <f t="shared" si="975"/>
        <v>630.90240000000244</v>
      </c>
      <c r="T4353" s="1">
        <f t="shared" si="976"/>
        <v>0</v>
      </c>
      <c r="U4353" s="1">
        <f t="shared" si="977"/>
        <v>0</v>
      </c>
      <c r="V4353" s="1">
        <f t="shared" si="978"/>
        <v>0</v>
      </c>
    </row>
    <row r="4354" spans="5:22" x14ac:dyDescent="0.25">
      <c r="E4354" s="4"/>
      <c r="M4354" s="4">
        <f t="shared" si="971"/>
        <v>173.1</v>
      </c>
      <c r="N4354" s="4"/>
      <c r="O4354" s="1">
        <f t="shared" si="972"/>
        <v>173.1</v>
      </c>
      <c r="P4354" s="1">
        <f t="shared" si="973"/>
        <v>0</v>
      </c>
      <c r="Q4354" s="1" t="str">
        <f t="shared" si="979"/>
        <v/>
      </c>
      <c r="R4354" s="1" t="str">
        <f t="shared" si="974"/>
        <v/>
      </c>
      <c r="S4354" s="1">
        <f t="shared" si="975"/>
        <v>630.90240000000244</v>
      </c>
      <c r="T4354" s="1">
        <f t="shared" si="976"/>
        <v>0</v>
      </c>
      <c r="U4354" s="1">
        <f t="shared" si="977"/>
        <v>0</v>
      </c>
      <c r="V4354" s="1">
        <f t="shared" si="978"/>
        <v>0</v>
      </c>
    </row>
    <row r="4355" spans="5:22" x14ac:dyDescent="0.25">
      <c r="E4355" s="4"/>
      <c r="M4355" s="4">
        <f t="shared" si="971"/>
        <v>173.1</v>
      </c>
      <c r="N4355" s="4"/>
      <c r="O4355" s="1">
        <f t="shared" si="972"/>
        <v>173.1</v>
      </c>
      <c r="P4355" s="1">
        <f t="shared" si="973"/>
        <v>0</v>
      </c>
      <c r="Q4355" s="1" t="str">
        <f t="shared" si="979"/>
        <v/>
      </c>
      <c r="R4355" s="1" t="str">
        <f t="shared" si="974"/>
        <v/>
      </c>
      <c r="S4355" s="1">
        <f t="shared" si="975"/>
        <v>630.90240000000244</v>
      </c>
      <c r="T4355" s="1">
        <f t="shared" si="976"/>
        <v>0</v>
      </c>
      <c r="U4355" s="1">
        <f t="shared" si="977"/>
        <v>0</v>
      </c>
      <c r="V4355" s="1">
        <f t="shared" si="978"/>
        <v>0</v>
      </c>
    </row>
    <row r="4356" spans="5:22" x14ac:dyDescent="0.25">
      <c r="E4356" s="4"/>
      <c r="M4356" s="4">
        <f t="shared" si="971"/>
        <v>173.1</v>
      </c>
      <c r="N4356" s="4"/>
      <c r="O4356" s="1">
        <f t="shared" si="972"/>
        <v>173.1</v>
      </c>
      <c r="P4356" s="1">
        <f t="shared" si="973"/>
        <v>0</v>
      </c>
      <c r="Q4356" s="1" t="str">
        <f t="shared" si="979"/>
        <v/>
      </c>
      <c r="R4356" s="1" t="str">
        <f t="shared" si="974"/>
        <v/>
      </c>
      <c r="S4356" s="1">
        <f t="shared" si="975"/>
        <v>630.90240000000244</v>
      </c>
      <c r="T4356" s="1">
        <f t="shared" si="976"/>
        <v>0</v>
      </c>
      <c r="U4356" s="1">
        <f t="shared" si="977"/>
        <v>0</v>
      </c>
      <c r="V4356" s="1">
        <f t="shared" si="978"/>
        <v>0</v>
      </c>
    </row>
    <row r="4357" spans="5:22" x14ac:dyDescent="0.25">
      <c r="E4357" s="4"/>
      <c r="M4357" s="4">
        <f t="shared" si="971"/>
        <v>173.1</v>
      </c>
      <c r="N4357" s="4"/>
      <c r="O4357" s="1">
        <f t="shared" si="972"/>
        <v>173.1</v>
      </c>
      <c r="P4357" s="1">
        <f t="shared" si="973"/>
        <v>0</v>
      </c>
      <c r="Q4357" s="1" t="str">
        <f t="shared" si="979"/>
        <v/>
      </c>
      <c r="R4357" s="1" t="str">
        <f t="shared" si="974"/>
        <v/>
      </c>
      <c r="S4357" s="1">
        <f t="shared" si="975"/>
        <v>630.90240000000244</v>
      </c>
      <c r="T4357" s="1">
        <f t="shared" si="976"/>
        <v>0</v>
      </c>
      <c r="U4357" s="1">
        <f t="shared" si="977"/>
        <v>0</v>
      </c>
      <c r="V4357" s="1">
        <f t="shared" si="978"/>
        <v>0</v>
      </c>
    </row>
    <row r="4358" spans="5:22" x14ac:dyDescent="0.25">
      <c r="E4358" s="4"/>
      <c r="M4358" s="4">
        <f t="shared" si="971"/>
        <v>173.1</v>
      </c>
      <c r="N4358" s="4"/>
      <c r="O4358" s="1">
        <f t="shared" si="972"/>
        <v>173.1</v>
      </c>
      <c r="P4358" s="1">
        <f t="shared" si="973"/>
        <v>0</v>
      </c>
      <c r="Q4358" s="1" t="str">
        <f t="shared" si="979"/>
        <v/>
      </c>
      <c r="R4358" s="1" t="str">
        <f t="shared" si="974"/>
        <v/>
      </c>
      <c r="S4358" s="1">
        <f t="shared" si="975"/>
        <v>630.90240000000244</v>
      </c>
      <c r="T4358" s="1">
        <f t="shared" si="976"/>
        <v>0</v>
      </c>
      <c r="U4358" s="1">
        <f t="shared" si="977"/>
        <v>0</v>
      </c>
      <c r="V4358" s="1">
        <f t="shared" si="978"/>
        <v>0</v>
      </c>
    </row>
    <row r="4359" spans="5:22" x14ac:dyDescent="0.25">
      <c r="E4359" s="4"/>
      <c r="M4359" s="4">
        <f t="shared" si="971"/>
        <v>173.1</v>
      </c>
      <c r="N4359" s="4"/>
      <c r="O4359" s="1">
        <f t="shared" si="972"/>
        <v>173.1</v>
      </c>
      <c r="P4359" s="1">
        <f t="shared" si="973"/>
        <v>0</v>
      </c>
      <c r="Q4359" s="1" t="str">
        <f t="shared" si="979"/>
        <v/>
      </c>
      <c r="R4359" s="1" t="str">
        <f t="shared" si="974"/>
        <v/>
      </c>
      <c r="S4359" s="1">
        <f t="shared" si="975"/>
        <v>630.90240000000244</v>
      </c>
      <c r="T4359" s="1">
        <f t="shared" si="976"/>
        <v>0</v>
      </c>
      <c r="U4359" s="1">
        <f t="shared" si="977"/>
        <v>0</v>
      </c>
      <c r="V4359" s="1">
        <f t="shared" si="978"/>
        <v>0</v>
      </c>
    </row>
    <row r="4360" spans="5:22" x14ac:dyDescent="0.25">
      <c r="E4360" s="4"/>
      <c r="M4360" s="4">
        <f t="shared" ref="M4360:M4423" si="980">E4360+M4359</f>
        <v>173.1</v>
      </c>
      <c r="N4360" s="4"/>
      <c r="O4360" s="1">
        <f t="shared" ref="O4360:O4423" si="981">E4359+O4359</f>
        <v>173.1</v>
      </c>
      <c r="P4360" s="1">
        <f t="shared" ref="P4360:P4423" si="982">F4360*52.8*E4360</f>
        <v>0</v>
      </c>
      <c r="Q4360" s="1" t="str">
        <f t="shared" si="979"/>
        <v/>
      </c>
      <c r="R4360" s="1" t="str">
        <f t="shared" ref="R4360:R4423" si="983">IF(I4360="",Q4360,IF(AND(H4360=H4359,I4360=I4359),"",I4360))</f>
        <v/>
      </c>
      <c r="S4360" s="1">
        <f t="shared" ref="S4360:S4423" si="984">S4359+U4359*T4359/100</f>
        <v>630.90240000000244</v>
      </c>
      <c r="T4360" s="1">
        <f t="shared" ref="T4360:T4423" si="985">IF(G4360="UNK",0,G4360)</f>
        <v>0</v>
      </c>
      <c r="U4360" s="1">
        <f t="shared" ref="U4360:U4423" si="986">E4360*5280</f>
        <v>0</v>
      </c>
      <c r="V4360" s="1">
        <f t="shared" ref="V4360:V4423" si="987">ABS(T4360*U4360)</f>
        <v>0</v>
      </c>
    </row>
    <row r="4361" spans="5:22" x14ac:dyDescent="0.25">
      <c r="E4361" s="4"/>
      <c r="M4361" s="4">
        <f t="shared" si="980"/>
        <v>173.1</v>
      </c>
      <c r="N4361" s="4"/>
      <c r="O4361" s="1">
        <f t="shared" si="981"/>
        <v>173.1</v>
      </c>
      <c r="P4361" s="1">
        <f t="shared" si="982"/>
        <v>0</v>
      </c>
      <c r="Q4361" s="1" t="str">
        <f t="shared" si="979"/>
        <v/>
      </c>
      <c r="R4361" s="1" t="str">
        <f t="shared" si="983"/>
        <v/>
      </c>
      <c r="S4361" s="1">
        <f t="shared" si="984"/>
        <v>630.90240000000244</v>
      </c>
      <c r="T4361" s="1">
        <f t="shared" si="985"/>
        <v>0</v>
      </c>
      <c r="U4361" s="1">
        <f t="shared" si="986"/>
        <v>0</v>
      </c>
      <c r="V4361" s="1">
        <f t="shared" si="987"/>
        <v>0</v>
      </c>
    </row>
    <row r="4362" spans="5:22" x14ac:dyDescent="0.25">
      <c r="E4362" s="4"/>
      <c r="M4362" s="4">
        <f t="shared" si="980"/>
        <v>173.1</v>
      </c>
      <c r="N4362" s="4"/>
      <c r="O4362" s="1">
        <f t="shared" si="981"/>
        <v>173.1</v>
      </c>
      <c r="P4362" s="1">
        <f t="shared" si="982"/>
        <v>0</v>
      </c>
      <c r="Q4362" s="1" t="str">
        <f t="shared" si="979"/>
        <v/>
      </c>
      <c r="R4362" s="1" t="str">
        <f t="shared" si="983"/>
        <v/>
      </c>
      <c r="S4362" s="1">
        <f t="shared" si="984"/>
        <v>630.90240000000244</v>
      </c>
      <c r="T4362" s="1">
        <f t="shared" si="985"/>
        <v>0</v>
      </c>
      <c r="U4362" s="1">
        <f t="shared" si="986"/>
        <v>0</v>
      </c>
      <c r="V4362" s="1">
        <f t="shared" si="987"/>
        <v>0</v>
      </c>
    </row>
    <row r="4363" spans="5:22" x14ac:dyDescent="0.25">
      <c r="E4363" s="4"/>
      <c r="M4363" s="4">
        <f t="shared" si="980"/>
        <v>173.1</v>
      </c>
      <c r="N4363" s="4"/>
      <c r="O4363" s="1">
        <f t="shared" si="981"/>
        <v>173.1</v>
      </c>
      <c r="P4363" s="1">
        <f t="shared" si="982"/>
        <v>0</v>
      </c>
      <c r="Q4363" s="1" t="str">
        <f t="shared" si="979"/>
        <v/>
      </c>
      <c r="R4363" s="1" t="str">
        <f t="shared" si="983"/>
        <v/>
      </c>
      <c r="S4363" s="1">
        <f t="shared" si="984"/>
        <v>630.90240000000244</v>
      </c>
      <c r="T4363" s="1">
        <f t="shared" si="985"/>
        <v>0</v>
      </c>
      <c r="U4363" s="1">
        <f t="shared" si="986"/>
        <v>0</v>
      </c>
      <c r="V4363" s="1">
        <f t="shared" si="987"/>
        <v>0</v>
      </c>
    </row>
    <row r="4364" spans="5:22" x14ac:dyDescent="0.25">
      <c r="E4364" s="4"/>
      <c r="M4364" s="4">
        <f t="shared" si="980"/>
        <v>173.1</v>
      </c>
      <c r="N4364" s="4"/>
      <c r="O4364" s="1">
        <f t="shared" si="981"/>
        <v>173.1</v>
      </c>
      <c r="P4364" s="1">
        <f t="shared" si="982"/>
        <v>0</v>
      </c>
      <c r="Q4364" s="1" t="str">
        <f t="shared" si="979"/>
        <v/>
      </c>
      <c r="R4364" s="1" t="str">
        <f t="shared" si="983"/>
        <v/>
      </c>
      <c r="S4364" s="1">
        <f t="shared" si="984"/>
        <v>630.90240000000244</v>
      </c>
      <c r="T4364" s="1">
        <f t="shared" si="985"/>
        <v>0</v>
      </c>
      <c r="U4364" s="1">
        <f t="shared" si="986"/>
        <v>0</v>
      </c>
      <c r="V4364" s="1">
        <f t="shared" si="987"/>
        <v>0</v>
      </c>
    </row>
    <row r="4365" spans="5:22" x14ac:dyDescent="0.25">
      <c r="E4365" s="4"/>
      <c r="M4365" s="4">
        <f t="shared" si="980"/>
        <v>173.1</v>
      </c>
      <c r="N4365" s="4"/>
      <c r="O4365" s="1">
        <f t="shared" si="981"/>
        <v>173.1</v>
      </c>
      <c r="P4365" s="1">
        <f t="shared" si="982"/>
        <v>0</v>
      </c>
      <c r="Q4365" s="1" t="str">
        <f t="shared" si="979"/>
        <v/>
      </c>
      <c r="R4365" s="1" t="str">
        <f t="shared" si="983"/>
        <v/>
      </c>
      <c r="S4365" s="1">
        <f t="shared" si="984"/>
        <v>630.90240000000244</v>
      </c>
      <c r="T4365" s="1">
        <f t="shared" si="985"/>
        <v>0</v>
      </c>
      <c r="U4365" s="1">
        <f t="shared" si="986"/>
        <v>0</v>
      </c>
      <c r="V4365" s="1">
        <f t="shared" si="987"/>
        <v>0</v>
      </c>
    </row>
    <row r="4366" spans="5:22" x14ac:dyDescent="0.25">
      <c r="E4366" s="4"/>
      <c r="M4366" s="4">
        <f t="shared" si="980"/>
        <v>173.1</v>
      </c>
      <c r="N4366" s="4"/>
      <c r="O4366" s="1">
        <f t="shared" si="981"/>
        <v>173.1</v>
      </c>
      <c r="P4366" s="1">
        <f t="shared" si="982"/>
        <v>0</v>
      </c>
      <c r="Q4366" s="1" t="str">
        <f t="shared" si="979"/>
        <v/>
      </c>
      <c r="R4366" s="1" t="str">
        <f t="shared" si="983"/>
        <v/>
      </c>
      <c r="S4366" s="1">
        <f t="shared" si="984"/>
        <v>630.90240000000244</v>
      </c>
      <c r="T4366" s="1">
        <f t="shared" si="985"/>
        <v>0</v>
      </c>
      <c r="U4366" s="1">
        <f t="shared" si="986"/>
        <v>0</v>
      </c>
      <c r="V4366" s="1">
        <f t="shared" si="987"/>
        <v>0</v>
      </c>
    </row>
    <row r="4367" spans="5:22" x14ac:dyDescent="0.25">
      <c r="E4367" s="4"/>
      <c r="M4367" s="4">
        <f t="shared" si="980"/>
        <v>173.1</v>
      </c>
      <c r="N4367" s="4"/>
      <c r="O4367" s="1">
        <f t="shared" si="981"/>
        <v>173.1</v>
      </c>
      <c r="P4367" s="1">
        <f t="shared" si="982"/>
        <v>0</v>
      </c>
      <c r="Q4367" s="1" t="str">
        <f t="shared" si="979"/>
        <v/>
      </c>
      <c r="R4367" s="1" t="str">
        <f t="shared" si="983"/>
        <v/>
      </c>
      <c r="S4367" s="1">
        <f t="shared" si="984"/>
        <v>630.90240000000244</v>
      </c>
      <c r="T4367" s="1">
        <f t="shared" si="985"/>
        <v>0</v>
      </c>
      <c r="U4367" s="1">
        <f t="shared" si="986"/>
        <v>0</v>
      </c>
      <c r="V4367" s="1">
        <f t="shared" si="987"/>
        <v>0</v>
      </c>
    </row>
    <row r="4368" spans="5:22" x14ac:dyDescent="0.25">
      <c r="E4368" s="4"/>
      <c r="M4368" s="4">
        <f t="shared" si="980"/>
        <v>173.1</v>
      </c>
      <c r="N4368" s="4"/>
      <c r="O4368" s="1">
        <f t="shared" si="981"/>
        <v>173.1</v>
      </c>
      <c r="P4368" s="1">
        <f t="shared" si="982"/>
        <v>0</v>
      </c>
      <c r="Q4368" s="1" t="str">
        <f t="shared" si="979"/>
        <v/>
      </c>
      <c r="R4368" s="1" t="str">
        <f t="shared" si="983"/>
        <v/>
      </c>
      <c r="S4368" s="1">
        <f t="shared" si="984"/>
        <v>630.90240000000244</v>
      </c>
      <c r="T4368" s="1">
        <f t="shared" si="985"/>
        <v>0</v>
      </c>
      <c r="U4368" s="1">
        <f t="shared" si="986"/>
        <v>0</v>
      </c>
      <c r="V4368" s="1">
        <f t="shared" si="987"/>
        <v>0</v>
      </c>
    </row>
    <row r="4369" spans="5:22" x14ac:dyDescent="0.25">
      <c r="E4369" s="4"/>
      <c r="M4369" s="4">
        <f t="shared" si="980"/>
        <v>173.1</v>
      </c>
      <c r="N4369" s="4"/>
      <c r="O4369" s="1">
        <f t="shared" si="981"/>
        <v>173.1</v>
      </c>
      <c r="P4369" s="1">
        <f t="shared" si="982"/>
        <v>0</v>
      </c>
      <c r="Q4369" s="1" t="str">
        <f t="shared" si="979"/>
        <v/>
      </c>
      <c r="R4369" s="1" t="str">
        <f t="shared" si="983"/>
        <v/>
      </c>
      <c r="S4369" s="1">
        <f t="shared" si="984"/>
        <v>630.90240000000244</v>
      </c>
      <c r="T4369" s="1">
        <f t="shared" si="985"/>
        <v>0</v>
      </c>
      <c r="U4369" s="1">
        <f t="shared" si="986"/>
        <v>0</v>
      </c>
      <c r="V4369" s="1">
        <f t="shared" si="987"/>
        <v>0</v>
      </c>
    </row>
    <row r="4370" spans="5:22" x14ac:dyDescent="0.25">
      <c r="E4370" s="4"/>
      <c r="M4370" s="4">
        <f t="shared" si="980"/>
        <v>173.1</v>
      </c>
      <c r="N4370" s="4"/>
      <c r="O4370" s="1">
        <f t="shared" si="981"/>
        <v>173.1</v>
      </c>
      <c r="P4370" s="1">
        <f t="shared" si="982"/>
        <v>0</v>
      </c>
      <c r="Q4370" s="1" t="str">
        <f t="shared" si="979"/>
        <v/>
      </c>
      <c r="R4370" s="1" t="str">
        <f t="shared" si="983"/>
        <v/>
      </c>
      <c r="S4370" s="1">
        <f t="shared" si="984"/>
        <v>630.90240000000244</v>
      </c>
      <c r="T4370" s="1">
        <f t="shared" si="985"/>
        <v>0</v>
      </c>
      <c r="U4370" s="1">
        <f t="shared" si="986"/>
        <v>0</v>
      </c>
      <c r="V4370" s="1">
        <f t="shared" si="987"/>
        <v>0</v>
      </c>
    </row>
    <row r="4371" spans="5:22" x14ac:dyDescent="0.25">
      <c r="E4371" s="4"/>
      <c r="M4371" s="4">
        <f t="shared" si="980"/>
        <v>173.1</v>
      </c>
      <c r="N4371" s="4"/>
      <c r="O4371" s="1">
        <f t="shared" si="981"/>
        <v>173.1</v>
      </c>
      <c r="P4371" s="1">
        <f t="shared" si="982"/>
        <v>0</v>
      </c>
      <c r="Q4371" s="1" t="str">
        <f t="shared" si="979"/>
        <v/>
      </c>
      <c r="R4371" s="1" t="str">
        <f t="shared" si="983"/>
        <v/>
      </c>
      <c r="S4371" s="1">
        <f t="shared" si="984"/>
        <v>630.90240000000244</v>
      </c>
      <c r="T4371" s="1">
        <f t="shared" si="985"/>
        <v>0</v>
      </c>
      <c r="U4371" s="1">
        <f t="shared" si="986"/>
        <v>0</v>
      </c>
      <c r="V4371" s="1">
        <f t="shared" si="987"/>
        <v>0</v>
      </c>
    </row>
    <row r="4372" spans="5:22" x14ac:dyDescent="0.25">
      <c r="E4372" s="4"/>
      <c r="M4372" s="4">
        <f t="shared" si="980"/>
        <v>173.1</v>
      </c>
      <c r="N4372" s="4"/>
      <c r="O4372" s="1">
        <f t="shared" si="981"/>
        <v>173.1</v>
      </c>
      <c r="P4372" s="1">
        <f t="shared" si="982"/>
        <v>0</v>
      </c>
      <c r="Q4372" s="1" t="str">
        <f t="shared" si="979"/>
        <v/>
      </c>
      <c r="R4372" s="1" t="str">
        <f t="shared" si="983"/>
        <v/>
      </c>
      <c r="S4372" s="1">
        <f t="shared" si="984"/>
        <v>630.90240000000244</v>
      </c>
      <c r="T4372" s="1">
        <f t="shared" si="985"/>
        <v>0</v>
      </c>
      <c r="U4372" s="1">
        <f t="shared" si="986"/>
        <v>0</v>
      </c>
      <c r="V4372" s="1">
        <f t="shared" si="987"/>
        <v>0</v>
      </c>
    </row>
    <row r="4373" spans="5:22" x14ac:dyDescent="0.25">
      <c r="E4373" s="4"/>
      <c r="M4373" s="4">
        <f t="shared" si="980"/>
        <v>173.1</v>
      </c>
      <c r="N4373" s="4"/>
      <c r="O4373" s="1">
        <f t="shared" si="981"/>
        <v>173.1</v>
      </c>
      <c r="P4373" s="1">
        <f t="shared" si="982"/>
        <v>0</v>
      </c>
      <c r="Q4373" s="1" t="str">
        <f t="shared" si="979"/>
        <v/>
      </c>
      <c r="R4373" s="1" t="str">
        <f t="shared" si="983"/>
        <v/>
      </c>
      <c r="S4373" s="1">
        <f t="shared" si="984"/>
        <v>630.90240000000244</v>
      </c>
      <c r="T4373" s="1">
        <f t="shared" si="985"/>
        <v>0</v>
      </c>
      <c r="U4373" s="1">
        <f t="shared" si="986"/>
        <v>0</v>
      </c>
      <c r="V4373" s="1">
        <f t="shared" si="987"/>
        <v>0</v>
      </c>
    </row>
    <row r="4374" spans="5:22" x14ac:dyDescent="0.25">
      <c r="E4374" s="4"/>
      <c r="M4374" s="4">
        <f t="shared" si="980"/>
        <v>173.1</v>
      </c>
      <c r="N4374" s="4"/>
      <c r="O4374" s="1">
        <f t="shared" si="981"/>
        <v>173.1</v>
      </c>
      <c r="P4374" s="1">
        <f t="shared" si="982"/>
        <v>0</v>
      </c>
      <c r="Q4374" s="1" t="str">
        <f t="shared" si="979"/>
        <v/>
      </c>
      <c r="R4374" s="1" t="str">
        <f t="shared" si="983"/>
        <v/>
      </c>
      <c r="S4374" s="1">
        <f t="shared" si="984"/>
        <v>630.90240000000244</v>
      </c>
      <c r="T4374" s="1">
        <f t="shared" si="985"/>
        <v>0</v>
      </c>
      <c r="U4374" s="1">
        <f t="shared" si="986"/>
        <v>0</v>
      </c>
      <c r="V4374" s="1">
        <f t="shared" si="987"/>
        <v>0</v>
      </c>
    </row>
    <row r="4375" spans="5:22" x14ac:dyDescent="0.25">
      <c r="E4375" s="4"/>
      <c r="M4375" s="4">
        <f t="shared" si="980"/>
        <v>173.1</v>
      </c>
      <c r="N4375" s="4"/>
      <c r="O4375" s="1">
        <f t="shared" si="981"/>
        <v>173.1</v>
      </c>
      <c r="P4375" s="1">
        <f t="shared" si="982"/>
        <v>0</v>
      </c>
      <c r="Q4375" s="1" t="str">
        <f t="shared" si="979"/>
        <v/>
      </c>
      <c r="R4375" s="1" t="str">
        <f t="shared" si="983"/>
        <v/>
      </c>
      <c r="S4375" s="1">
        <f t="shared" si="984"/>
        <v>630.90240000000244</v>
      </c>
      <c r="T4375" s="1">
        <f t="shared" si="985"/>
        <v>0</v>
      </c>
      <c r="U4375" s="1">
        <f t="shared" si="986"/>
        <v>0</v>
      </c>
      <c r="V4375" s="1">
        <f t="shared" si="987"/>
        <v>0</v>
      </c>
    </row>
    <row r="4376" spans="5:22" x14ac:dyDescent="0.25">
      <c r="E4376" s="4"/>
      <c r="M4376" s="4">
        <f t="shared" si="980"/>
        <v>173.1</v>
      </c>
      <c r="N4376" s="4"/>
      <c r="O4376" s="1">
        <f t="shared" si="981"/>
        <v>173.1</v>
      </c>
      <c r="P4376" s="1">
        <f t="shared" si="982"/>
        <v>0</v>
      </c>
      <c r="Q4376" s="1" t="str">
        <f t="shared" si="979"/>
        <v/>
      </c>
      <c r="R4376" s="1" t="str">
        <f t="shared" si="983"/>
        <v/>
      </c>
      <c r="S4376" s="1">
        <f t="shared" si="984"/>
        <v>630.90240000000244</v>
      </c>
      <c r="T4376" s="1">
        <f t="shared" si="985"/>
        <v>0</v>
      </c>
      <c r="U4376" s="1">
        <f t="shared" si="986"/>
        <v>0</v>
      </c>
      <c r="V4376" s="1">
        <f t="shared" si="987"/>
        <v>0</v>
      </c>
    </row>
    <row r="4377" spans="5:22" x14ac:dyDescent="0.25">
      <c r="E4377" s="4"/>
      <c r="M4377" s="4">
        <f t="shared" si="980"/>
        <v>173.1</v>
      </c>
      <c r="N4377" s="4"/>
      <c r="O4377" s="1">
        <f t="shared" si="981"/>
        <v>173.1</v>
      </c>
      <c r="P4377" s="1">
        <f t="shared" si="982"/>
        <v>0</v>
      </c>
      <c r="Q4377" s="1" t="str">
        <f t="shared" si="979"/>
        <v/>
      </c>
      <c r="R4377" s="1" t="str">
        <f t="shared" si="983"/>
        <v/>
      </c>
      <c r="S4377" s="1">
        <f t="shared" si="984"/>
        <v>630.90240000000244</v>
      </c>
      <c r="T4377" s="1">
        <f t="shared" si="985"/>
        <v>0</v>
      </c>
      <c r="U4377" s="1">
        <f t="shared" si="986"/>
        <v>0</v>
      </c>
      <c r="V4377" s="1">
        <f t="shared" si="987"/>
        <v>0</v>
      </c>
    </row>
    <row r="4378" spans="5:22" x14ac:dyDescent="0.25">
      <c r="E4378" s="4"/>
      <c r="M4378" s="4">
        <f t="shared" si="980"/>
        <v>173.1</v>
      </c>
      <c r="N4378" s="4"/>
      <c r="O4378" s="1">
        <f t="shared" si="981"/>
        <v>173.1</v>
      </c>
      <c r="P4378" s="1">
        <f t="shared" si="982"/>
        <v>0</v>
      </c>
      <c r="Q4378" s="1" t="str">
        <f t="shared" si="979"/>
        <v/>
      </c>
      <c r="R4378" s="1" t="str">
        <f t="shared" si="983"/>
        <v/>
      </c>
      <c r="S4378" s="1">
        <f t="shared" si="984"/>
        <v>630.90240000000244</v>
      </c>
      <c r="T4378" s="1">
        <f t="shared" si="985"/>
        <v>0</v>
      </c>
      <c r="U4378" s="1">
        <f t="shared" si="986"/>
        <v>0</v>
      </c>
      <c r="V4378" s="1">
        <f t="shared" si="987"/>
        <v>0</v>
      </c>
    </row>
    <row r="4379" spans="5:22" x14ac:dyDescent="0.25">
      <c r="E4379" s="4"/>
      <c r="M4379" s="4">
        <f t="shared" si="980"/>
        <v>173.1</v>
      </c>
      <c r="N4379" s="4"/>
      <c r="O4379" s="1">
        <f t="shared" si="981"/>
        <v>173.1</v>
      </c>
      <c r="P4379" s="1">
        <f t="shared" si="982"/>
        <v>0</v>
      </c>
      <c r="Q4379" s="1" t="str">
        <f t="shared" si="979"/>
        <v/>
      </c>
      <c r="R4379" s="1" t="str">
        <f t="shared" si="983"/>
        <v/>
      </c>
      <c r="S4379" s="1">
        <f t="shared" si="984"/>
        <v>630.90240000000244</v>
      </c>
      <c r="T4379" s="1">
        <f t="shared" si="985"/>
        <v>0</v>
      </c>
      <c r="U4379" s="1">
        <f t="shared" si="986"/>
        <v>0</v>
      </c>
      <c r="V4379" s="1">
        <f t="shared" si="987"/>
        <v>0</v>
      </c>
    </row>
    <row r="4380" spans="5:22" x14ac:dyDescent="0.25">
      <c r="E4380" s="4"/>
      <c r="M4380" s="4">
        <f t="shared" si="980"/>
        <v>173.1</v>
      </c>
      <c r="N4380" s="4"/>
      <c r="O4380" s="1">
        <f t="shared" si="981"/>
        <v>173.1</v>
      </c>
      <c r="P4380" s="1">
        <f t="shared" si="982"/>
        <v>0</v>
      </c>
      <c r="Q4380" s="1" t="str">
        <f t="shared" si="979"/>
        <v/>
      </c>
      <c r="R4380" s="1" t="str">
        <f t="shared" si="983"/>
        <v/>
      </c>
      <c r="S4380" s="1">
        <f t="shared" si="984"/>
        <v>630.90240000000244</v>
      </c>
      <c r="T4380" s="1">
        <f t="shared" si="985"/>
        <v>0</v>
      </c>
      <c r="U4380" s="1">
        <f t="shared" si="986"/>
        <v>0</v>
      </c>
      <c r="V4380" s="1">
        <f t="shared" si="987"/>
        <v>0</v>
      </c>
    </row>
    <row r="4381" spans="5:22" x14ac:dyDescent="0.25">
      <c r="E4381" s="4"/>
      <c r="M4381" s="4">
        <f t="shared" si="980"/>
        <v>173.1</v>
      </c>
      <c r="N4381" s="4"/>
      <c r="O4381" s="1">
        <f t="shared" si="981"/>
        <v>173.1</v>
      </c>
      <c r="P4381" s="1">
        <f t="shared" si="982"/>
        <v>0</v>
      </c>
      <c r="Q4381" s="1" t="str">
        <f t="shared" si="979"/>
        <v/>
      </c>
      <c r="R4381" s="1" t="str">
        <f t="shared" si="983"/>
        <v/>
      </c>
      <c r="S4381" s="1">
        <f t="shared" si="984"/>
        <v>630.90240000000244</v>
      </c>
      <c r="T4381" s="1">
        <f t="shared" si="985"/>
        <v>0</v>
      </c>
      <c r="U4381" s="1">
        <f t="shared" si="986"/>
        <v>0</v>
      </c>
      <c r="V4381" s="1">
        <f t="shared" si="987"/>
        <v>0</v>
      </c>
    </row>
    <row r="4382" spans="5:22" x14ac:dyDescent="0.25">
      <c r="E4382" s="4"/>
      <c r="M4382" s="4">
        <f t="shared" si="980"/>
        <v>173.1</v>
      </c>
      <c r="N4382" s="4"/>
      <c r="O4382" s="1">
        <f t="shared" si="981"/>
        <v>173.1</v>
      </c>
      <c r="P4382" s="1">
        <f t="shared" si="982"/>
        <v>0</v>
      </c>
      <c r="Q4382" s="1" t="str">
        <f t="shared" si="979"/>
        <v/>
      </c>
      <c r="R4382" s="1" t="str">
        <f t="shared" si="983"/>
        <v/>
      </c>
      <c r="S4382" s="1">
        <f t="shared" si="984"/>
        <v>630.90240000000244</v>
      </c>
      <c r="T4382" s="1">
        <f t="shared" si="985"/>
        <v>0</v>
      </c>
      <c r="U4382" s="1">
        <f t="shared" si="986"/>
        <v>0</v>
      </c>
      <c r="V4382" s="1">
        <f t="shared" si="987"/>
        <v>0</v>
      </c>
    </row>
    <row r="4383" spans="5:22" x14ac:dyDescent="0.25">
      <c r="E4383" s="4"/>
      <c r="M4383" s="4">
        <f t="shared" si="980"/>
        <v>173.1</v>
      </c>
      <c r="N4383" s="4"/>
      <c r="O4383" s="1">
        <f t="shared" si="981"/>
        <v>173.1</v>
      </c>
      <c r="P4383" s="1">
        <f t="shared" si="982"/>
        <v>0</v>
      </c>
      <c r="Q4383" s="1" t="str">
        <f t="shared" si="979"/>
        <v/>
      </c>
      <c r="R4383" s="1" t="str">
        <f t="shared" si="983"/>
        <v/>
      </c>
      <c r="S4383" s="1">
        <f t="shared" si="984"/>
        <v>630.90240000000244</v>
      </c>
      <c r="T4383" s="1">
        <f t="shared" si="985"/>
        <v>0</v>
      </c>
      <c r="U4383" s="1">
        <f t="shared" si="986"/>
        <v>0</v>
      </c>
      <c r="V4383" s="1">
        <f t="shared" si="987"/>
        <v>0</v>
      </c>
    </row>
    <row r="4384" spans="5:22" x14ac:dyDescent="0.25">
      <c r="E4384" s="4"/>
      <c r="M4384" s="4">
        <f t="shared" si="980"/>
        <v>173.1</v>
      </c>
      <c r="N4384" s="4"/>
      <c r="O4384" s="1">
        <f t="shared" si="981"/>
        <v>173.1</v>
      </c>
      <c r="P4384" s="1">
        <f t="shared" si="982"/>
        <v>0</v>
      </c>
      <c r="Q4384" s="1" t="str">
        <f t="shared" si="979"/>
        <v/>
      </c>
      <c r="R4384" s="1" t="str">
        <f t="shared" si="983"/>
        <v/>
      </c>
      <c r="S4384" s="1">
        <f t="shared" si="984"/>
        <v>630.90240000000244</v>
      </c>
      <c r="T4384" s="1">
        <f t="shared" si="985"/>
        <v>0</v>
      </c>
      <c r="U4384" s="1">
        <f t="shared" si="986"/>
        <v>0</v>
      </c>
      <c r="V4384" s="1">
        <f t="shared" si="987"/>
        <v>0</v>
      </c>
    </row>
    <row r="4385" spans="5:22" x14ac:dyDescent="0.25">
      <c r="E4385" s="4"/>
      <c r="M4385" s="4">
        <f t="shared" si="980"/>
        <v>173.1</v>
      </c>
      <c r="N4385" s="4"/>
      <c r="O4385" s="1">
        <f t="shared" si="981"/>
        <v>173.1</v>
      </c>
      <c r="P4385" s="1">
        <f t="shared" si="982"/>
        <v>0</v>
      </c>
      <c r="Q4385" s="1" t="str">
        <f t="shared" si="979"/>
        <v/>
      </c>
      <c r="R4385" s="1" t="str">
        <f t="shared" si="983"/>
        <v/>
      </c>
      <c r="S4385" s="1">
        <f t="shared" si="984"/>
        <v>630.90240000000244</v>
      </c>
      <c r="T4385" s="1">
        <f t="shared" si="985"/>
        <v>0</v>
      </c>
      <c r="U4385" s="1">
        <f t="shared" si="986"/>
        <v>0</v>
      </c>
      <c r="V4385" s="1">
        <f t="shared" si="987"/>
        <v>0</v>
      </c>
    </row>
    <row r="4386" spans="5:22" x14ac:dyDescent="0.25">
      <c r="E4386" s="4"/>
      <c r="M4386" s="4">
        <f t="shared" si="980"/>
        <v>173.1</v>
      </c>
      <c r="N4386" s="4"/>
      <c r="O4386" s="1">
        <f t="shared" si="981"/>
        <v>173.1</v>
      </c>
      <c r="P4386" s="1">
        <f t="shared" si="982"/>
        <v>0</v>
      </c>
      <c r="Q4386" s="1" t="str">
        <f t="shared" si="979"/>
        <v/>
      </c>
      <c r="R4386" s="1" t="str">
        <f t="shared" si="983"/>
        <v/>
      </c>
      <c r="S4386" s="1">
        <f t="shared" si="984"/>
        <v>630.90240000000244</v>
      </c>
      <c r="T4386" s="1">
        <f t="shared" si="985"/>
        <v>0</v>
      </c>
      <c r="U4386" s="1">
        <f t="shared" si="986"/>
        <v>0</v>
      </c>
      <c r="V4386" s="1">
        <f t="shared" si="987"/>
        <v>0</v>
      </c>
    </row>
    <row r="4387" spans="5:22" x14ac:dyDescent="0.25">
      <c r="E4387" s="4"/>
      <c r="M4387" s="4">
        <f t="shared" si="980"/>
        <v>173.1</v>
      </c>
      <c r="N4387" s="4"/>
      <c r="O4387" s="1">
        <f t="shared" si="981"/>
        <v>173.1</v>
      </c>
      <c r="P4387" s="1">
        <f t="shared" si="982"/>
        <v>0</v>
      </c>
      <c r="Q4387" s="1" t="str">
        <f t="shared" si="979"/>
        <v/>
      </c>
      <c r="R4387" s="1" t="str">
        <f t="shared" si="983"/>
        <v/>
      </c>
      <c r="S4387" s="1">
        <f t="shared" si="984"/>
        <v>630.90240000000244</v>
      </c>
      <c r="T4387" s="1">
        <f t="shared" si="985"/>
        <v>0</v>
      </c>
      <c r="U4387" s="1">
        <f t="shared" si="986"/>
        <v>0</v>
      </c>
      <c r="V4387" s="1">
        <f t="shared" si="987"/>
        <v>0</v>
      </c>
    </row>
    <row r="4388" spans="5:22" x14ac:dyDescent="0.25">
      <c r="E4388" s="4"/>
      <c r="M4388" s="4">
        <f t="shared" si="980"/>
        <v>173.1</v>
      </c>
      <c r="N4388" s="4"/>
      <c r="O4388" s="1">
        <f t="shared" si="981"/>
        <v>173.1</v>
      </c>
      <c r="P4388" s="1">
        <f t="shared" si="982"/>
        <v>0</v>
      </c>
      <c r="Q4388" s="1" t="str">
        <f t="shared" si="979"/>
        <v/>
      </c>
      <c r="R4388" s="1" t="str">
        <f t="shared" si="983"/>
        <v/>
      </c>
      <c r="S4388" s="1">
        <f t="shared" si="984"/>
        <v>630.90240000000244</v>
      </c>
      <c r="T4388" s="1">
        <f t="shared" si="985"/>
        <v>0</v>
      </c>
      <c r="U4388" s="1">
        <f t="shared" si="986"/>
        <v>0</v>
      </c>
      <c r="V4388" s="1">
        <f t="shared" si="987"/>
        <v>0</v>
      </c>
    </row>
    <row r="4389" spans="5:22" x14ac:dyDescent="0.25">
      <c r="E4389" s="4"/>
      <c r="M4389" s="4">
        <f t="shared" si="980"/>
        <v>173.1</v>
      </c>
      <c r="N4389" s="4"/>
      <c r="O4389" s="1">
        <f t="shared" si="981"/>
        <v>173.1</v>
      </c>
      <c r="P4389" s="1">
        <f t="shared" si="982"/>
        <v>0</v>
      </c>
      <c r="Q4389" s="1" t="str">
        <f t="shared" si="979"/>
        <v/>
      </c>
      <c r="R4389" s="1" t="str">
        <f t="shared" si="983"/>
        <v/>
      </c>
      <c r="S4389" s="1">
        <f t="shared" si="984"/>
        <v>630.90240000000244</v>
      </c>
      <c r="T4389" s="1">
        <f t="shared" si="985"/>
        <v>0</v>
      </c>
      <c r="U4389" s="1">
        <f t="shared" si="986"/>
        <v>0</v>
      </c>
      <c r="V4389" s="1">
        <f t="shared" si="987"/>
        <v>0</v>
      </c>
    </row>
    <row r="4390" spans="5:22" x14ac:dyDescent="0.25">
      <c r="E4390" s="4"/>
      <c r="M4390" s="4">
        <f t="shared" si="980"/>
        <v>173.1</v>
      </c>
      <c r="N4390" s="4"/>
      <c r="O4390" s="1">
        <f t="shared" si="981"/>
        <v>173.1</v>
      </c>
      <c r="P4390" s="1">
        <f t="shared" si="982"/>
        <v>0</v>
      </c>
      <c r="Q4390" s="1" t="str">
        <f t="shared" si="979"/>
        <v/>
      </c>
      <c r="R4390" s="1" t="str">
        <f t="shared" si="983"/>
        <v/>
      </c>
      <c r="S4390" s="1">
        <f t="shared" si="984"/>
        <v>630.90240000000244</v>
      </c>
      <c r="T4390" s="1">
        <f t="shared" si="985"/>
        <v>0</v>
      </c>
      <c r="U4390" s="1">
        <f t="shared" si="986"/>
        <v>0</v>
      </c>
      <c r="V4390" s="1">
        <f t="shared" si="987"/>
        <v>0</v>
      </c>
    </row>
    <row r="4391" spans="5:22" x14ac:dyDescent="0.25">
      <c r="E4391" s="4"/>
      <c r="M4391" s="4">
        <f t="shared" si="980"/>
        <v>173.1</v>
      </c>
      <c r="N4391" s="4"/>
      <c r="O4391" s="1">
        <f t="shared" si="981"/>
        <v>173.1</v>
      </c>
      <c r="P4391" s="1">
        <f t="shared" si="982"/>
        <v>0</v>
      </c>
      <c r="Q4391" s="1" t="str">
        <f t="shared" si="979"/>
        <v/>
      </c>
      <c r="R4391" s="1" t="str">
        <f t="shared" si="983"/>
        <v/>
      </c>
      <c r="S4391" s="1">
        <f t="shared" si="984"/>
        <v>630.90240000000244</v>
      </c>
      <c r="T4391" s="1">
        <f t="shared" si="985"/>
        <v>0</v>
      </c>
      <c r="U4391" s="1">
        <f t="shared" si="986"/>
        <v>0</v>
      </c>
      <c r="V4391" s="1">
        <f t="shared" si="987"/>
        <v>0</v>
      </c>
    </row>
    <row r="4392" spans="5:22" x14ac:dyDescent="0.25">
      <c r="E4392" s="4"/>
      <c r="M4392" s="4">
        <f t="shared" si="980"/>
        <v>173.1</v>
      </c>
      <c r="N4392" s="4"/>
      <c r="O4392" s="1">
        <f t="shared" si="981"/>
        <v>173.1</v>
      </c>
      <c r="P4392" s="1">
        <f t="shared" si="982"/>
        <v>0</v>
      </c>
      <c r="Q4392" s="1" t="str">
        <f t="shared" si="979"/>
        <v/>
      </c>
      <c r="R4392" s="1" t="str">
        <f t="shared" si="983"/>
        <v/>
      </c>
      <c r="S4392" s="1">
        <f t="shared" si="984"/>
        <v>630.90240000000244</v>
      </c>
      <c r="T4392" s="1">
        <f t="shared" si="985"/>
        <v>0</v>
      </c>
      <c r="U4392" s="1">
        <f t="shared" si="986"/>
        <v>0</v>
      </c>
      <c r="V4392" s="1">
        <f t="shared" si="987"/>
        <v>0</v>
      </c>
    </row>
    <row r="4393" spans="5:22" x14ac:dyDescent="0.25">
      <c r="E4393" s="4"/>
      <c r="M4393" s="4">
        <f t="shared" si="980"/>
        <v>173.1</v>
      </c>
      <c r="N4393" s="4"/>
      <c r="O4393" s="1">
        <f t="shared" si="981"/>
        <v>173.1</v>
      </c>
      <c r="P4393" s="1">
        <f t="shared" si="982"/>
        <v>0</v>
      </c>
      <c r="Q4393" s="1" t="str">
        <f t="shared" si="979"/>
        <v/>
      </c>
      <c r="R4393" s="1" t="str">
        <f t="shared" si="983"/>
        <v/>
      </c>
      <c r="S4393" s="1">
        <f t="shared" si="984"/>
        <v>630.90240000000244</v>
      </c>
      <c r="T4393" s="1">
        <f t="shared" si="985"/>
        <v>0</v>
      </c>
      <c r="U4393" s="1">
        <f t="shared" si="986"/>
        <v>0</v>
      </c>
      <c r="V4393" s="1">
        <f t="shared" si="987"/>
        <v>0</v>
      </c>
    </row>
    <row r="4394" spans="5:22" x14ac:dyDescent="0.25">
      <c r="E4394" s="4"/>
      <c r="M4394" s="4">
        <f t="shared" si="980"/>
        <v>173.1</v>
      </c>
      <c r="N4394" s="4"/>
      <c r="O4394" s="1">
        <f t="shared" si="981"/>
        <v>173.1</v>
      </c>
      <c r="P4394" s="1">
        <f t="shared" si="982"/>
        <v>0</v>
      </c>
      <c r="Q4394" s="1" t="str">
        <f t="shared" si="979"/>
        <v/>
      </c>
      <c r="R4394" s="1" t="str">
        <f t="shared" si="983"/>
        <v/>
      </c>
      <c r="S4394" s="1">
        <f t="shared" si="984"/>
        <v>630.90240000000244</v>
      </c>
      <c r="T4394" s="1">
        <f t="shared" si="985"/>
        <v>0</v>
      </c>
      <c r="U4394" s="1">
        <f t="shared" si="986"/>
        <v>0</v>
      </c>
      <c r="V4394" s="1">
        <f t="shared" si="987"/>
        <v>0</v>
      </c>
    </row>
    <row r="4395" spans="5:22" x14ac:dyDescent="0.25">
      <c r="E4395" s="4"/>
      <c r="M4395" s="4">
        <f t="shared" si="980"/>
        <v>173.1</v>
      </c>
      <c r="N4395" s="4"/>
      <c r="O4395" s="1">
        <f t="shared" si="981"/>
        <v>173.1</v>
      </c>
      <c r="P4395" s="1">
        <f t="shared" si="982"/>
        <v>0</v>
      </c>
      <c r="Q4395" s="1" t="str">
        <f t="shared" si="979"/>
        <v/>
      </c>
      <c r="R4395" s="1" t="str">
        <f t="shared" si="983"/>
        <v/>
      </c>
      <c r="S4395" s="1">
        <f t="shared" si="984"/>
        <v>630.90240000000244</v>
      </c>
      <c r="T4395" s="1">
        <f t="shared" si="985"/>
        <v>0</v>
      </c>
      <c r="U4395" s="1">
        <f t="shared" si="986"/>
        <v>0</v>
      </c>
      <c r="V4395" s="1">
        <f t="shared" si="987"/>
        <v>0</v>
      </c>
    </row>
    <row r="4396" spans="5:22" x14ac:dyDescent="0.25">
      <c r="E4396" s="4"/>
      <c r="M4396" s="4">
        <f t="shared" si="980"/>
        <v>173.1</v>
      </c>
      <c r="N4396" s="4"/>
      <c r="O4396" s="1">
        <f t="shared" si="981"/>
        <v>173.1</v>
      </c>
      <c r="P4396" s="1">
        <f t="shared" si="982"/>
        <v>0</v>
      </c>
      <c r="Q4396" s="1" t="str">
        <f t="shared" si="979"/>
        <v/>
      </c>
      <c r="R4396" s="1" t="str">
        <f t="shared" si="983"/>
        <v/>
      </c>
      <c r="S4396" s="1">
        <f t="shared" si="984"/>
        <v>630.90240000000244</v>
      </c>
      <c r="T4396" s="1">
        <f t="shared" si="985"/>
        <v>0</v>
      </c>
      <c r="U4396" s="1">
        <f t="shared" si="986"/>
        <v>0</v>
      </c>
      <c r="V4396" s="1">
        <f t="shared" si="987"/>
        <v>0</v>
      </c>
    </row>
    <row r="4397" spans="5:22" x14ac:dyDescent="0.25">
      <c r="E4397" s="4"/>
      <c r="M4397" s="4">
        <f t="shared" si="980"/>
        <v>173.1</v>
      </c>
      <c r="N4397" s="4"/>
      <c r="O4397" s="1">
        <f t="shared" si="981"/>
        <v>173.1</v>
      </c>
      <c r="P4397" s="1">
        <f t="shared" si="982"/>
        <v>0</v>
      </c>
      <c r="Q4397" s="1" t="str">
        <f t="shared" si="979"/>
        <v/>
      </c>
      <c r="R4397" s="1" t="str">
        <f t="shared" si="983"/>
        <v/>
      </c>
      <c r="S4397" s="1">
        <f t="shared" si="984"/>
        <v>630.90240000000244</v>
      </c>
      <c r="T4397" s="1">
        <f t="shared" si="985"/>
        <v>0</v>
      </c>
      <c r="U4397" s="1">
        <f t="shared" si="986"/>
        <v>0</v>
      </c>
      <c r="V4397" s="1">
        <f t="shared" si="987"/>
        <v>0</v>
      </c>
    </row>
    <row r="4398" spans="5:22" x14ac:dyDescent="0.25">
      <c r="E4398" s="4"/>
      <c r="M4398" s="4">
        <f t="shared" si="980"/>
        <v>173.1</v>
      </c>
      <c r="N4398" s="4"/>
      <c r="O4398" s="1">
        <f t="shared" si="981"/>
        <v>173.1</v>
      </c>
      <c r="P4398" s="1">
        <f t="shared" si="982"/>
        <v>0</v>
      </c>
      <c r="Q4398" s="1" t="str">
        <f t="shared" si="979"/>
        <v/>
      </c>
      <c r="R4398" s="1" t="str">
        <f t="shared" si="983"/>
        <v/>
      </c>
      <c r="S4398" s="1">
        <f t="shared" si="984"/>
        <v>630.90240000000244</v>
      </c>
      <c r="T4398" s="1">
        <f t="shared" si="985"/>
        <v>0</v>
      </c>
      <c r="U4398" s="1">
        <f t="shared" si="986"/>
        <v>0</v>
      </c>
      <c r="V4398" s="1">
        <f t="shared" si="987"/>
        <v>0</v>
      </c>
    </row>
    <row r="4399" spans="5:22" x14ac:dyDescent="0.25">
      <c r="E4399" s="4"/>
      <c r="M4399" s="4">
        <f t="shared" si="980"/>
        <v>173.1</v>
      </c>
      <c r="N4399" s="4"/>
      <c r="O4399" s="1">
        <f t="shared" si="981"/>
        <v>173.1</v>
      </c>
      <c r="P4399" s="1">
        <f t="shared" si="982"/>
        <v>0</v>
      </c>
      <c r="Q4399" s="1" t="str">
        <f t="shared" si="979"/>
        <v/>
      </c>
      <c r="R4399" s="1" t="str">
        <f t="shared" si="983"/>
        <v/>
      </c>
      <c r="S4399" s="1">
        <f t="shared" si="984"/>
        <v>630.90240000000244</v>
      </c>
      <c r="T4399" s="1">
        <f t="shared" si="985"/>
        <v>0</v>
      </c>
      <c r="U4399" s="1">
        <f t="shared" si="986"/>
        <v>0</v>
      </c>
      <c r="V4399" s="1">
        <f t="shared" si="987"/>
        <v>0</v>
      </c>
    </row>
    <row r="4400" spans="5:22" x14ac:dyDescent="0.25">
      <c r="E4400" s="4"/>
      <c r="M4400" s="4">
        <f t="shared" si="980"/>
        <v>173.1</v>
      </c>
      <c r="N4400" s="4"/>
      <c r="O4400" s="1">
        <f t="shared" si="981"/>
        <v>173.1</v>
      </c>
      <c r="P4400" s="1">
        <f t="shared" si="982"/>
        <v>0</v>
      </c>
      <c r="Q4400" s="1" t="str">
        <f t="shared" si="979"/>
        <v/>
      </c>
      <c r="R4400" s="1" t="str">
        <f t="shared" si="983"/>
        <v/>
      </c>
      <c r="S4400" s="1">
        <f t="shared" si="984"/>
        <v>630.90240000000244</v>
      </c>
      <c r="T4400" s="1">
        <f t="shared" si="985"/>
        <v>0</v>
      </c>
      <c r="U4400" s="1">
        <f t="shared" si="986"/>
        <v>0</v>
      </c>
      <c r="V4400" s="1">
        <f t="shared" si="987"/>
        <v>0</v>
      </c>
    </row>
    <row r="4401" spans="5:22" x14ac:dyDescent="0.25">
      <c r="E4401" s="4"/>
      <c r="M4401" s="4">
        <f t="shared" si="980"/>
        <v>173.1</v>
      </c>
      <c r="N4401" s="4"/>
      <c r="O4401" s="1">
        <f t="shared" si="981"/>
        <v>173.1</v>
      </c>
      <c r="P4401" s="1">
        <f t="shared" si="982"/>
        <v>0</v>
      </c>
      <c r="Q4401" s="1" t="str">
        <f t="shared" si="979"/>
        <v/>
      </c>
      <c r="R4401" s="1" t="str">
        <f t="shared" si="983"/>
        <v/>
      </c>
      <c r="S4401" s="1">
        <f t="shared" si="984"/>
        <v>630.90240000000244</v>
      </c>
      <c r="T4401" s="1">
        <f t="shared" si="985"/>
        <v>0</v>
      </c>
      <c r="U4401" s="1">
        <f t="shared" si="986"/>
        <v>0</v>
      </c>
      <c r="V4401" s="1">
        <f t="shared" si="987"/>
        <v>0</v>
      </c>
    </row>
    <row r="4402" spans="5:22" x14ac:dyDescent="0.25">
      <c r="E4402" s="4"/>
      <c r="M4402" s="4">
        <f t="shared" si="980"/>
        <v>173.1</v>
      </c>
      <c r="N4402" s="4"/>
      <c r="O4402" s="1">
        <f t="shared" si="981"/>
        <v>173.1</v>
      </c>
      <c r="P4402" s="1">
        <f t="shared" si="982"/>
        <v>0</v>
      </c>
      <c r="Q4402" s="1" t="str">
        <f t="shared" ref="Q4402:Q4465" si="988">IF(H4402&lt;&gt;"",IF(H4402=H4401,"",H4402),IF(H4400="","",MAX(H4401,Q4401)))</f>
        <v/>
      </c>
      <c r="R4402" s="1" t="str">
        <f t="shared" si="983"/>
        <v/>
      </c>
      <c r="S4402" s="1">
        <f t="shared" si="984"/>
        <v>630.90240000000244</v>
      </c>
      <c r="T4402" s="1">
        <f t="shared" si="985"/>
        <v>0</v>
      </c>
      <c r="U4402" s="1">
        <f t="shared" si="986"/>
        <v>0</v>
      </c>
      <c r="V4402" s="1">
        <f t="shared" si="987"/>
        <v>0</v>
      </c>
    </row>
    <row r="4403" spans="5:22" x14ac:dyDescent="0.25">
      <c r="E4403" s="4"/>
      <c r="M4403" s="4">
        <f t="shared" si="980"/>
        <v>173.1</v>
      </c>
      <c r="N4403" s="4"/>
      <c r="O4403" s="1">
        <f t="shared" si="981"/>
        <v>173.1</v>
      </c>
      <c r="P4403" s="1">
        <f t="shared" si="982"/>
        <v>0</v>
      </c>
      <c r="Q4403" s="1" t="str">
        <f t="shared" si="988"/>
        <v/>
      </c>
      <c r="R4403" s="1" t="str">
        <f t="shared" si="983"/>
        <v/>
      </c>
      <c r="S4403" s="1">
        <f t="shared" si="984"/>
        <v>630.90240000000244</v>
      </c>
      <c r="T4403" s="1">
        <f t="shared" si="985"/>
        <v>0</v>
      </c>
      <c r="U4403" s="1">
        <f t="shared" si="986"/>
        <v>0</v>
      </c>
      <c r="V4403" s="1">
        <f t="shared" si="987"/>
        <v>0</v>
      </c>
    </row>
    <row r="4404" spans="5:22" x14ac:dyDescent="0.25">
      <c r="E4404" s="4"/>
      <c r="M4404" s="4">
        <f t="shared" si="980"/>
        <v>173.1</v>
      </c>
      <c r="N4404" s="4"/>
      <c r="O4404" s="1">
        <f t="shared" si="981"/>
        <v>173.1</v>
      </c>
      <c r="P4404" s="1">
        <f t="shared" si="982"/>
        <v>0</v>
      </c>
      <c r="Q4404" s="1" t="str">
        <f t="shared" si="988"/>
        <v/>
      </c>
      <c r="R4404" s="1" t="str">
        <f t="shared" si="983"/>
        <v/>
      </c>
      <c r="S4404" s="1">
        <f t="shared" si="984"/>
        <v>630.90240000000244</v>
      </c>
      <c r="T4404" s="1">
        <f t="shared" si="985"/>
        <v>0</v>
      </c>
      <c r="U4404" s="1">
        <f t="shared" si="986"/>
        <v>0</v>
      </c>
      <c r="V4404" s="1">
        <f t="shared" si="987"/>
        <v>0</v>
      </c>
    </row>
    <row r="4405" spans="5:22" x14ac:dyDescent="0.25">
      <c r="E4405" s="4"/>
      <c r="M4405" s="4">
        <f t="shared" si="980"/>
        <v>173.1</v>
      </c>
      <c r="N4405" s="4"/>
      <c r="O4405" s="1">
        <f t="shared" si="981"/>
        <v>173.1</v>
      </c>
      <c r="P4405" s="1">
        <f t="shared" si="982"/>
        <v>0</v>
      </c>
      <c r="Q4405" s="1" t="str">
        <f t="shared" si="988"/>
        <v/>
      </c>
      <c r="R4405" s="1" t="str">
        <f t="shared" si="983"/>
        <v/>
      </c>
      <c r="S4405" s="1">
        <f t="shared" si="984"/>
        <v>630.90240000000244</v>
      </c>
      <c r="T4405" s="1">
        <f t="shared" si="985"/>
        <v>0</v>
      </c>
      <c r="U4405" s="1">
        <f t="shared" si="986"/>
        <v>0</v>
      </c>
      <c r="V4405" s="1">
        <f t="shared" si="987"/>
        <v>0</v>
      </c>
    </row>
    <row r="4406" spans="5:22" x14ac:dyDescent="0.25">
      <c r="E4406" s="4"/>
      <c r="M4406" s="4">
        <f t="shared" si="980"/>
        <v>173.1</v>
      </c>
      <c r="N4406" s="4"/>
      <c r="O4406" s="1">
        <f t="shared" si="981"/>
        <v>173.1</v>
      </c>
      <c r="P4406" s="1">
        <f t="shared" si="982"/>
        <v>0</v>
      </c>
      <c r="Q4406" s="1" t="str">
        <f t="shared" si="988"/>
        <v/>
      </c>
      <c r="R4406" s="1" t="str">
        <f t="shared" si="983"/>
        <v/>
      </c>
      <c r="S4406" s="1">
        <f t="shared" si="984"/>
        <v>630.90240000000244</v>
      </c>
      <c r="T4406" s="1">
        <f t="shared" si="985"/>
        <v>0</v>
      </c>
      <c r="U4406" s="1">
        <f t="shared" si="986"/>
        <v>0</v>
      </c>
      <c r="V4406" s="1">
        <f t="shared" si="987"/>
        <v>0</v>
      </c>
    </row>
    <row r="4407" spans="5:22" x14ac:dyDescent="0.25">
      <c r="E4407" s="4"/>
      <c r="M4407" s="4">
        <f t="shared" si="980"/>
        <v>173.1</v>
      </c>
      <c r="N4407" s="4"/>
      <c r="O4407" s="1">
        <f t="shared" si="981"/>
        <v>173.1</v>
      </c>
      <c r="P4407" s="1">
        <f t="shared" si="982"/>
        <v>0</v>
      </c>
      <c r="Q4407" s="1" t="str">
        <f t="shared" si="988"/>
        <v/>
      </c>
      <c r="R4407" s="1" t="str">
        <f t="shared" si="983"/>
        <v/>
      </c>
      <c r="S4407" s="1">
        <f t="shared" si="984"/>
        <v>630.90240000000244</v>
      </c>
      <c r="T4407" s="1">
        <f t="shared" si="985"/>
        <v>0</v>
      </c>
      <c r="U4407" s="1">
        <f t="shared" si="986"/>
        <v>0</v>
      </c>
      <c r="V4407" s="1">
        <f t="shared" si="987"/>
        <v>0</v>
      </c>
    </row>
    <row r="4408" spans="5:22" x14ac:dyDescent="0.25">
      <c r="E4408" s="4"/>
      <c r="M4408" s="4">
        <f t="shared" si="980"/>
        <v>173.1</v>
      </c>
      <c r="N4408" s="4"/>
      <c r="O4408" s="1">
        <f t="shared" si="981"/>
        <v>173.1</v>
      </c>
      <c r="P4408" s="1">
        <f t="shared" si="982"/>
        <v>0</v>
      </c>
      <c r="Q4408" s="1" t="str">
        <f t="shared" si="988"/>
        <v/>
      </c>
      <c r="R4408" s="1" t="str">
        <f t="shared" si="983"/>
        <v/>
      </c>
      <c r="S4408" s="1">
        <f t="shared" si="984"/>
        <v>630.90240000000244</v>
      </c>
      <c r="T4408" s="1">
        <f t="shared" si="985"/>
        <v>0</v>
      </c>
      <c r="U4408" s="1">
        <f t="shared" si="986"/>
        <v>0</v>
      </c>
      <c r="V4408" s="1">
        <f t="shared" si="987"/>
        <v>0</v>
      </c>
    </row>
    <row r="4409" spans="5:22" x14ac:dyDescent="0.25">
      <c r="E4409" s="4"/>
      <c r="M4409" s="4">
        <f t="shared" si="980"/>
        <v>173.1</v>
      </c>
      <c r="N4409" s="4"/>
      <c r="O4409" s="1">
        <f t="shared" si="981"/>
        <v>173.1</v>
      </c>
      <c r="P4409" s="1">
        <f t="shared" si="982"/>
        <v>0</v>
      </c>
      <c r="Q4409" s="1" t="str">
        <f t="shared" si="988"/>
        <v/>
      </c>
      <c r="R4409" s="1" t="str">
        <f t="shared" si="983"/>
        <v/>
      </c>
      <c r="S4409" s="1">
        <f t="shared" si="984"/>
        <v>630.90240000000244</v>
      </c>
      <c r="T4409" s="1">
        <f t="shared" si="985"/>
        <v>0</v>
      </c>
      <c r="U4409" s="1">
        <f t="shared" si="986"/>
        <v>0</v>
      </c>
      <c r="V4409" s="1">
        <f t="shared" si="987"/>
        <v>0</v>
      </c>
    </row>
    <row r="4410" spans="5:22" x14ac:dyDescent="0.25">
      <c r="E4410" s="4"/>
      <c r="M4410" s="4">
        <f t="shared" si="980"/>
        <v>173.1</v>
      </c>
      <c r="N4410" s="4"/>
      <c r="O4410" s="1">
        <f t="shared" si="981"/>
        <v>173.1</v>
      </c>
      <c r="P4410" s="1">
        <f t="shared" si="982"/>
        <v>0</v>
      </c>
      <c r="Q4410" s="1" t="str">
        <f t="shared" si="988"/>
        <v/>
      </c>
      <c r="R4410" s="1" t="str">
        <f t="shared" si="983"/>
        <v/>
      </c>
      <c r="S4410" s="1">
        <f t="shared" si="984"/>
        <v>630.90240000000244</v>
      </c>
      <c r="T4410" s="1">
        <f t="shared" si="985"/>
        <v>0</v>
      </c>
      <c r="U4410" s="1">
        <f t="shared" si="986"/>
        <v>0</v>
      </c>
      <c r="V4410" s="1">
        <f t="shared" si="987"/>
        <v>0</v>
      </c>
    </row>
    <row r="4411" spans="5:22" x14ac:dyDescent="0.25">
      <c r="E4411" s="4"/>
      <c r="M4411" s="4">
        <f t="shared" si="980"/>
        <v>173.1</v>
      </c>
      <c r="N4411" s="4"/>
      <c r="O4411" s="1">
        <f t="shared" si="981"/>
        <v>173.1</v>
      </c>
      <c r="P4411" s="1">
        <f t="shared" si="982"/>
        <v>0</v>
      </c>
      <c r="Q4411" s="1" t="str">
        <f t="shared" si="988"/>
        <v/>
      </c>
      <c r="R4411" s="1" t="str">
        <f t="shared" si="983"/>
        <v/>
      </c>
      <c r="S4411" s="1">
        <f t="shared" si="984"/>
        <v>630.90240000000244</v>
      </c>
      <c r="T4411" s="1">
        <f t="shared" si="985"/>
        <v>0</v>
      </c>
      <c r="U4411" s="1">
        <f t="shared" si="986"/>
        <v>0</v>
      </c>
      <c r="V4411" s="1">
        <f t="shared" si="987"/>
        <v>0</v>
      </c>
    </row>
    <row r="4412" spans="5:22" x14ac:dyDescent="0.25">
      <c r="E4412" s="4"/>
      <c r="M4412" s="4">
        <f t="shared" si="980"/>
        <v>173.1</v>
      </c>
      <c r="N4412" s="4"/>
      <c r="O4412" s="1">
        <f t="shared" si="981"/>
        <v>173.1</v>
      </c>
      <c r="P4412" s="1">
        <f t="shared" si="982"/>
        <v>0</v>
      </c>
      <c r="Q4412" s="1" t="str">
        <f t="shared" si="988"/>
        <v/>
      </c>
      <c r="R4412" s="1" t="str">
        <f t="shared" si="983"/>
        <v/>
      </c>
      <c r="S4412" s="1">
        <f t="shared" si="984"/>
        <v>630.90240000000244</v>
      </c>
      <c r="T4412" s="1">
        <f t="shared" si="985"/>
        <v>0</v>
      </c>
      <c r="U4412" s="1">
        <f t="shared" si="986"/>
        <v>0</v>
      </c>
      <c r="V4412" s="1">
        <f t="shared" si="987"/>
        <v>0</v>
      </c>
    </row>
    <row r="4413" spans="5:22" x14ac:dyDescent="0.25">
      <c r="E4413" s="4"/>
      <c r="M4413" s="4">
        <f t="shared" si="980"/>
        <v>173.1</v>
      </c>
      <c r="N4413" s="4"/>
      <c r="O4413" s="1">
        <f t="shared" si="981"/>
        <v>173.1</v>
      </c>
      <c r="P4413" s="1">
        <f t="shared" si="982"/>
        <v>0</v>
      </c>
      <c r="Q4413" s="1" t="str">
        <f t="shared" si="988"/>
        <v/>
      </c>
      <c r="R4413" s="1" t="str">
        <f t="shared" si="983"/>
        <v/>
      </c>
      <c r="S4413" s="1">
        <f t="shared" si="984"/>
        <v>630.90240000000244</v>
      </c>
      <c r="T4413" s="1">
        <f t="shared" si="985"/>
        <v>0</v>
      </c>
      <c r="U4413" s="1">
        <f t="shared" si="986"/>
        <v>0</v>
      </c>
      <c r="V4413" s="1">
        <f t="shared" si="987"/>
        <v>0</v>
      </c>
    </row>
    <row r="4414" spans="5:22" x14ac:dyDescent="0.25">
      <c r="E4414" s="4"/>
      <c r="M4414" s="4">
        <f t="shared" si="980"/>
        <v>173.1</v>
      </c>
      <c r="N4414" s="4"/>
      <c r="O4414" s="1">
        <f t="shared" si="981"/>
        <v>173.1</v>
      </c>
      <c r="P4414" s="1">
        <f t="shared" si="982"/>
        <v>0</v>
      </c>
      <c r="Q4414" s="1" t="str">
        <f t="shared" si="988"/>
        <v/>
      </c>
      <c r="R4414" s="1" t="str">
        <f t="shared" si="983"/>
        <v/>
      </c>
      <c r="S4414" s="1">
        <f t="shared" si="984"/>
        <v>630.90240000000244</v>
      </c>
      <c r="T4414" s="1">
        <f t="shared" si="985"/>
        <v>0</v>
      </c>
      <c r="U4414" s="1">
        <f t="shared" si="986"/>
        <v>0</v>
      </c>
      <c r="V4414" s="1">
        <f t="shared" si="987"/>
        <v>0</v>
      </c>
    </row>
    <row r="4415" spans="5:22" x14ac:dyDescent="0.25">
      <c r="E4415" s="4"/>
      <c r="M4415" s="4">
        <f t="shared" si="980"/>
        <v>173.1</v>
      </c>
      <c r="N4415" s="4"/>
      <c r="O4415" s="1">
        <f t="shared" si="981"/>
        <v>173.1</v>
      </c>
      <c r="P4415" s="1">
        <f t="shared" si="982"/>
        <v>0</v>
      </c>
      <c r="Q4415" s="1" t="str">
        <f t="shared" si="988"/>
        <v/>
      </c>
      <c r="R4415" s="1" t="str">
        <f t="shared" si="983"/>
        <v/>
      </c>
      <c r="S4415" s="1">
        <f t="shared" si="984"/>
        <v>630.90240000000244</v>
      </c>
      <c r="T4415" s="1">
        <f t="shared" si="985"/>
        <v>0</v>
      </c>
      <c r="U4415" s="1">
        <f t="shared" si="986"/>
        <v>0</v>
      </c>
      <c r="V4415" s="1">
        <f t="shared" si="987"/>
        <v>0</v>
      </c>
    </row>
    <row r="4416" spans="5:22" x14ac:dyDescent="0.25">
      <c r="E4416" s="4"/>
      <c r="M4416" s="4">
        <f t="shared" si="980"/>
        <v>173.1</v>
      </c>
      <c r="N4416" s="4"/>
      <c r="O4416" s="1">
        <f t="shared" si="981"/>
        <v>173.1</v>
      </c>
      <c r="P4416" s="1">
        <f t="shared" si="982"/>
        <v>0</v>
      </c>
      <c r="Q4416" s="1" t="str">
        <f t="shared" si="988"/>
        <v/>
      </c>
      <c r="R4416" s="1" t="str">
        <f t="shared" si="983"/>
        <v/>
      </c>
      <c r="S4416" s="1">
        <f t="shared" si="984"/>
        <v>630.90240000000244</v>
      </c>
      <c r="T4416" s="1">
        <f t="shared" si="985"/>
        <v>0</v>
      </c>
      <c r="U4416" s="1">
        <f t="shared" si="986"/>
        <v>0</v>
      </c>
      <c r="V4416" s="1">
        <f t="shared" si="987"/>
        <v>0</v>
      </c>
    </row>
    <row r="4417" spans="5:22" x14ac:dyDescent="0.25">
      <c r="E4417" s="4"/>
      <c r="M4417" s="4">
        <f t="shared" si="980"/>
        <v>173.1</v>
      </c>
      <c r="N4417" s="4"/>
      <c r="O4417" s="1">
        <f t="shared" si="981"/>
        <v>173.1</v>
      </c>
      <c r="P4417" s="1">
        <f t="shared" si="982"/>
        <v>0</v>
      </c>
      <c r="Q4417" s="1" t="str">
        <f t="shared" si="988"/>
        <v/>
      </c>
      <c r="R4417" s="1" t="str">
        <f t="shared" si="983"/>
        <v/>
      </c>
      <c r="S4417" s="1">
        <f t="shared" si="984"/>
        <v>630.90240000000244</v>
      </c>
      <c r="T4417" s="1">
        <f t="shared" si="985"/>
        <v>0</v>
      </c>
      <c r="U4417" s="1">
        <f t="shared" si="986"/>
        <v>0</v>
      </c>
      <c r="V4417" s="1">
        <f t="shared" si="987"/>
        <v>0</v>
      </c>
    </row>
    <row r="4418" spans="5:22" x14ac:dyDescent="0.25">
      <c r="E4418" s="4"/>
      <c r="M4418" s="4">
        <f t="shared" si="980"/>
        <v>173.1</v>
      </c>
      <c r="N4418" s="4"/>
      <c r="O4418" s="1">
        <f t="shared" si="981"/>
        <v>173.1</v>
      </c>
      <c r="P4418" s="1">
        <f t="shared" si="982"/>
        <v>0</v>
      </c>
      <c r="Q4418" s="1" t="str">
        <f t="shared" si="988"/>
        <v/>
      </c>
      <c r="R4418" s="1" t="str">
        <f t="shared" si="983"/>
        <v/>
      </c>
      <c r="S4418" s="1">
        <f t="shared" si="984"/>
        <v>630.90240000000244</v>
      </c>
      <c r="T4418" s="1">
        <f t="shared" si="985"/>
        <v>0</v>
      </c>
      <c r="U4418" s="1">
        <f t="shared" si="986"/>
        <v>0</v>
      </c>
      <c r="V4418" s="1">
        <f t="shared" si="987"/>
        <v>0</v>
      </c>
    </row>
    <row r="4419" spans="5:22" x14ac:dyDescent="0.25">
      <c r="E4419" s="4"/>
      <c r="M4419" s="4">
        <f t="shared" si="980"/>
        <v>173.1</v>
      </c>
      <c r="N4419" s="4"/>
      <c r="O4419" s="1">
        <f t="shared" si="981"/>
        <v>173.1</v>
      </c>
      <c r="P4419" s="1">
        <f t="shared" si="982"/>
        <v>0</v>
      </c>
      <c r="Q4419" s="1" t="str">
        <f t="shared" si="988"/>
        <v/>
      </c>
      <c r="R4419" s="1" t="str">
        <f t="shared" si="983"/>
        <v/>
      </c>
      <c r="S4419" s="1">
        <f t="shared" si="984"/>
        <v>630.90240000000244</v>
      </c>
      <c r="T4419" s="1">
        <f t="shared" si="985"/>
        <v>0</v>
      </c>
      <c r="U4419" s="1">
        <f t="shared" si="986"/>
        <v>0</v>
      </c>
      <c r="V4419" s="1">
        <f t="shared" si="987"/>
        <v>0</v>
      </c>
    </row>
    <row r="4420" spans="5:22" x14ac:dyDescent="0.25">
      <c r="E4420" s="4"/>
      <c r="M4420" s="4">
        <f t="shared" si="980"/>
        <v>173.1</v>
      </c>
      <c r="N4420" s="4"/>
      <c r="O4420" s="1">
        <f t="shared" si="981"/>
        <v>173.1</v>
      </c>
      <c r="P4420" s="1">
        <f t="shared" si="982"/>
        <v>0</v>
      </c>
      <c r="Q4420" s="1" t="str">
        <f t="shared" si="988"/>
        <v/>
      </c>
      <c r="R4420" s="1" t="str">
        <f t="shared" si="983"/>
        <v/>
      </c>
      <c r="S4420" s="1">
        <f t="shared" si="984"/>
        <v>630.90240000000244</v>
      </c>
      <c r="T4420" s="1">
        <f t="shared" si="985"/>
        <v>0</v>
      </c>
      <c r="U4420" s="1">
        <f t="shared" si="986"/>
        <v>0</v>
      </c>
      <c r="V4420" s="1">
        <f t="shared" si="987"/>
        <v>0</v>
      </c>
    </row>
    <row r="4421" spans="5:22" x14ac:dyDescent="0.25">
      <c r="E4421" s="4"/>
      <c r="M4421" s="4">
        <f t="shared" si="980"/>
        <v>173.1</v>
      </c>
      <c r="N4421" s="4"/>
      <c r="O4421" s="1">
        <f t="shared" si="981"/>
        <v>173.1</v>
      </c>
      <c r="P4421" s="1">
        <f t="shared" si="982"/>
        <v>0</v>
      </c>
      <c r="Q4421" s="1" t="str">
        <f t="shared" si="988"/>
        <v/>
      </c>
      <c r="R4421" s="1" t="str">
        <f t="shared" si="983"/>
        <v/>
      </c>
      <c r="S4421" s="1">
        <f t="shared" si="984"/>
        <v>630.90240000000244</v>
      </c>
      <c r="T4421" s="1">
        <f t="shared" si="985"/>
        <v>0</v>
      </c>
      <c r="U4421" s="1">
        <f t="shared" si="986"/>
        <v>0</v>
      </c>
      <c r="V4421" s="1">
        <f t="shared" si="987"/>
        <v>0</v>
      </c>
    </row>
    <row r="4422" spans="5:22" x14ac:dyDescent="0.25">
      <c r="E4422" s="4"/>
      <c r="M4422" s="4">
        <f t="shared" si="980"/>
        <v>173.1</v>
      </c>
      <c r="N4422" s="4"/>
      <c r="O4422" s="1">
        <f t="shared" si="981"/>
        <v>173.1</v>
      </c>
      <c r="P4422" s="1">
        <f t="shared" si="982"/>
        <v>0</v>
      </c>
      <c r="Q4422" s="1" t="str">
        <f t="shared" si="988"/>
        <v/>
      </c>
      <c r="R4422" s="1" t="str">
        <f t="shared" si="983"/>
        <v/>
      </c>
      <c r="S4422" s="1">
        <f t="shared" si="984"/>
        <v>630.90240000000244</v>
      </c>
      <c r="T4422" s="1">
        <f t="shared" si="985"/>
        <v>0</v>
      </c>
      <c r="U4422" s="1">
        <f t="shared" si="986"/>
        <v>0</v>
      </c>
      <c r="V4422" s="1">
        <f t="shared" si="987"/>
        <v>0</v>
      </c>
    </row>
    <row r="4423" spans="5:22" x14ac:dyDescent="0.25">
      <c r="E4423" s="4"/>
      <c r="M4423" s="4">
        <f t="shared" si="980"/>
        <v>173.1</v>
      </c>
      <c r="N4423" s="4"/>
      <c r="O4423" s="1">
        <f t="shared" si="981"/>
        <v>173.1</v>
      </c>
      <c r="P4423" s="1">
        <f t="shared" si="982"/>
        <v>0</v>
      </c>
      <c r="Q4423" s="1" t="str">
        <f t="shared" si="988"/>
        <v/>
      </c>
      <c r="R4423" s="1" t="str">
        <f t="shared" si="983"/>
        <v/>
      </c>
      <c r="S4423" s="1">
        <f t="shared" si="984"/>
        <v>630.90240000000244</v>
      </c>
      <c r="T4423" s="1">
        <f t="shared" si="985"/>
        <v>0</v>
      </c>
      <c r="U4423" s="1">
        <f t="shared" si="986"/>
        <v>0</v>
      </c>
      <c r="V4423" s="1">
        <f t="shared" si="987"/>
        <v>0</v>
      </c>
    </row>
    <row r="4424" spans="5:22" x14ac:dyDescent="0.25">
      <c r="E4424" s="4"/>
      <c r="M4424" s="4">
        <f t="shared" ref="M4424:M4487" si="989">E4424+M4423</f>
        <v>173.1</v>
      </c>
      <c r="N4424" s="4"/>
      <c r="O4424" s="1">
        <f t="shared" ref="O4424:O4487" si="990">E4423+O4423</f>
        <v>173.1</v>
      </c>
      <c r="P4424" s="1">
        <f t="shared" ref="P4424:P4487" si="991">F4424*52.8*E4424</f>
        <v>0</v>
      </c>
      <c r="Q4424" s="1" t="str">
        <f t="shared" si="988"/>
        <v/>
      </c>
      <c r="R4424" s="1" t="str">
        <f t="shared" ref="R4424:R4487" si="992">IF(I4424="",Q4424,IF(AND(H4424=H4423,I4424=I4423),"",I4424))</f>
        <v/>
      </c>
      <c r="S4424" s="1">
        <f t="shared" ref="S4424:S4487" si="993">S4423+U4423*T4423/100</f>
        <v>630.90240000000244</v>
      </c>
      <c r="T4424" s="1">
        <f t="shared" ref="T4424:T4487" si="994">IF(G4424="UNK",0,G4424)</f>
        <v>0</v>
      </c>
      <c r="U4424" s="1">
        <f t="shared" ref="U4424:U4487" si="995">E4424*5280</f>
        <v>0</v>
      </c>
      <c r="V4424" s="1">
        <f t="shared" ref="V4424:V4487" si="996">ABS(T4424*U4424)</f>
        <v>0</v>
      </c>
    </row>
    <row r="4425" spans="5:22" x14ac:dyDescent="0.25">
      <c r="E4425" s="4"/>
      <c r="M4425" s="4">
        <f t="shared" si="989"/>
        <v>173.1</v>
      </c>
      <c r="N4425" s="4"/>
      <c r="O4425" s="1">
        <f t="shared" si="990"/>
        <v>173.1</v>
      </c>
      <c r="P4425" s="1">
        <f t="shared" si="991"/>
        <v>0</v>
      </c>
      <c r="Q4425" s="1" t="str">
        <f t="shared" si="988"/>
        <v/>
      </c>
      <c r="R4425" s="1" t="str">
        <f t="shared" si="992"/>
        <v/>
      </c>
      <c r="S4425" s="1">
        <f t="shared" si="993"/>
        <v>630.90240000000244</v>
      </c>
      <c r="T4425" s="1">
        <f t="shared" si="994"/>
        <v>0</v>
      </c>
      <c r="U4425" s="1">
        <f t="shared" si="995"/>
        <v>0</v>
      </c>
      <c r="V4425" s="1">
        <f t="shared" si="996"/>
        <v>0</v>
      </c>
    </row>
    <row r="4426" spans="5:22" x14ac:dyDescent="0.25">
      <c r="E4426" s="4"/>
      <c r="M4426" s="4">
        <f t="shared" si="989"/>
        <v>173.1</v>
      </c>
      <c r="N4426" s="4"/>
      <c r="O4426" s="1">
        <f t="shared" si="990"/>
        <v>173.1</v>
      </c>
      <c r="P4426" s="1">
        <f t="shared" si="991"/>
        <v>0</v>
      </c>
      <c r="Q4426" s="1" t="str">
        <f t="shared" si="988"/>
        <v/>
      </c>
      <c r="R4426" s="1" t="str">
        <f t="shared" si="992"/>
        <v/>
      </c>
      <c r="S4426" s="1">
        <f t="shared" si="993"/>
        <v>630.90240000000244</v>
      </c>
      <c r="T4426" s="1">
        <f t="shared" si="994"/>
        <v>0</v>
      </c>
      <c r="U4426" s="1">
        <f t="shared" si="995"/>
        <v>0</v>
      </c>
      <c r="V4426" s="1">
        <f t="shared" si="996"/>
        <v>0</v>
      </c>
    </row>
    <row r="4427" spans="5:22" x14ac:dyDescent="0.25">
      <c r="E4427" s="4"/>
      <c r="M4427" s="4">
        <f t="shared" si="989"/>
        <v>173.1</v>
      </c>
      <c r="N4427" s="4"/>
      <c r="O4427" s="1">
        <f t="shared" si="990"/>
        <v>173.1</v>
      </c>
      <c r="P4427" s="1">
        <f t="shared" si="991"/>
        <v>0</v>
      </c>
      <c r="Q4427" s="1" t="str">
        <f t="shared" si="988"/>
        <v/>
      </c>
      <c r="R4427" s="1" t="str">
        <f t="shared" si="992"/>
        <v/>
      </c>
      <c r="S4427" s="1">
        <f t="shared" si="993"/>
        <v>630.90240000000244</v>
      </c>
      <c r="T4427" s="1">
        <f t="shared" si="994"/>
        <v>0</v>
      </c>
      <c r="U4427" s="1">
        <f t="shared" si="995"/>
        <v>0</v>
      </c>
      <c r="V4427" s="1">
        <f t="shared" si="996"/>
        <v>0</v>
      </c>
    </row>
    <row r="4428" spans="5:22" x14ac:dyDescent="0.25">
      <c r="E4428" s="4"/>
      <c r="M4428" s="4">
        <f t="shared" si="989"/>
        <v>173.1</v>
      </c>
      <c r="N4428" s="4"/>
      <c r="O4428" s="1">
        <f t="shared" si="990"/>
        <v>173.1</v>
      </c>
      <c r="P4428" s="1">
        <f t="shared" si="991"/>
        <v>0</v>
      </c>
      <c r="Q4428" s="1" t="str">
        <f t="shared" si="988"/>
        <v/>
      </c>
      <c r="R4428" s="1" t="str">
        <f t="shared" si="992"/>
        <v/>
      </c>
      <c r="S4428" s="1">
        <f t="shared" si="993"/>
        <v>630.90240000000244</v>
      </c>
      <c r="T4428" s="1">
        <f t="shared" si="994"/>
        <v>0</v>
      </c>
      <c r="U4428" s="1">
        <f t="shared" si="995"/>
        <v>0</v>
      </c>
      <c r="V4428" s="1">
        <f t="shared" si="996"/>
        <v>0</v>
      </c>
    </row>
    <row r="4429" spans="5:22" x14ac:dyDescent="0.25">
      <c r="E4429" s="4"/>
      <c r="M4429" s="4">
        <f t="shared" si="989"/>
        <v>173.1</v>
      </c>
      <c r="N4429" s="4"/>
      <c r="O4429" s="1">
        <f t="shared" si="990"/>
        <v>173.1</v>
      </c>
      <c r="P4429" s="1">
        <f t="shared" si="991"/>
        <v>0</v>
      </c>
      <c r="Q4429" s="1" t="str">
        <f t="shared" si="988"/>
        <v/>
      </c>
      <c r="R4429" s="1" t="str">
        <f t="shared" si="992"/>
        <v/>
      </c>
      <c r="S4429" s="1">
        <f t="shared" si="993"/>
        <v>630.90240000000244</v>
      </c>
      <c r="T4429" s="1">
        <f t="shared" si="994"/>
        <v>0</v>
      </c>
      <c r="U4429" s="1">
        <f t="shared" si="995"/>
        <v>0</v>
      </c>
      <c r="V4429" s="1">
        <f t="shared" si="996"/>
        <v>0</v>
      </c>
    </row>
    <row r="4430" spans="5:22" x14ac:dyDescent="0.25">
      <c r="E4430" s="4"/>
      <c r="M4430" s="4">
        <f t="shared" si="989"/>
        <v>173.1</v>
      </c>
      <c r="N4430" s="4"/>
      <c r="O4430" s="1">
        <f t="shared" si="990"/>
        <v>173.1</v>
      </c>
      <c r="P4430" s="1">
        <f t="shared" si="991"/>
        <v>0</v>
      </c>
      <c r="Q4430" s="1" t="str">
        <f t="shared" si="988"/>
        <v/>
      </c>
      <c r="R4430" s="1" t="str">
        <f t="shared" si="992"/>
        <v/>
      </c>
      <c r="S4430" s="1">
        <f t="shared" si="993"/>
        <v>630.90240000000244</v>
      </c>
      <c r="T4430" s="1">
        <f t="shared" si="994"/>
        <v>0</v>
      </c>
      <c r="U4430" s="1">
        <f t="shared" si="995"/>
        <v>0</v>
      </c>
      <c r="V4430" s="1">
        <f t="shared" si="996"/>
        <v>0</v>
      </c>
    </row>
    <row r="4431" spans="5:22" x14ac:dyDescent="0.25">
      <c r="E4431" s="4"/>
      <c r="M4431" s="4">
        <f t="shared" si="989"/>
        <v>173.1</v>
      </c>
      <c r="N4431" s="4"/>
      <c r="O4431" s="1">
        <f t="shared" si="990"/>
        <v>173.1</v>
      </c>
      <c r="P4431" s="1">
        <f t="shared" si="991"/>
        <v>0</v>
      </c>
      <c r="Q4431" s="1" t="str">
        <f t="shared" si="988"/>
        <v/>
      </c>
      <c r="R4431" s="1" t="str">
        <f t="shared" si="992"/>
        <v/>
      </c>
      <c r="S4431" s="1">
        <f t="shared" si="993"/>
        <v>630.90240000000244</v>
      </c>
      <c r="T4431" s="1">
        <f t="shared" si="994"/>
        <v>0</v>
      </c>
      <c r="U4431" s="1">
        <f t="shared" si="995"/>
        <v>0</v>
      </c>
      <c r="V4431" s="1">
        <f t="shared" si="996"/>
        <v>0</v>
      </c>
    </row>
    <row r="4432" spans="5:22" x14ac:dyDescent="0.25">
      <c r="E4432" s="4"/>
      <c r="M4432" s="4">
        <f t="shared" si="989"/>
        <v>173.1</v>
      </c>
      <c r="N4432" s="4"/>
      <c r="O4432" s="1">
        <f t="shared" si="990"/>
        <v>173.1</v>
      </c>
      <c r="P4432" s="1">
        <f t="shared" si="991"/>
        <v>0</v>
      </c>
      <c r="Q4432" s="1" t="str">
        <f t="shared" si="988"/>
        <v/>
      </c>
      <c r="R4432" s="1" t="str">
        <f t="shared" si="992"/>
        <v/>
      </c>
      <c r="S4432" s="1">
        <f t="shared" si="993"/>
        <v>630.90240000000244</v>
      </c>
      <c r="T4432" s="1">
        <f t="shared" si="994"/>
        <v>0</v>
      </c>
      <c r="U4432" s="1">
        <f t="shared" si="995"/>
        <v>0</v>
      </c>
      <c r="V4432" s="1">
        <f t="shared" si="996"/>
        <v>0</v>
      </c>
    </row>
    <row r="4433" spans="5:22" x14ac:dyDescent="0.25">
      <c r="E4433" s="4"/>
      <c r="M4433" s="4">
        <f t="shared" si="989"/>
        <v>173.1</v>
      </c>
      <c r="N4433" s="4"/>
      <c r="O4433" s="1">
        <f t="shared" si="990"/>
        <v>173.1</v>
      </c>
      <c r="P4433" s="1">
        <f t="shared" si="991"/>
        <v>0</v>
      </c>
      <c r="Q4433" s="1" t="str">
        <f t="shared" si="988"/>
        <v/>
      </c>
      <c r="R4433" s="1" t="str">
        <f t="shared" si="992"/>
        <v/>
      </c>
      <c r="S4433" s="1">
        <f t="shared" si="993"/>
        <v>630.90240000000244</v>
      </c>
      <c r="T4433" s="1">
        <f t="shared" si="994"/>
        <v>0</v>
      </c>
      <c r="U4433" s="1">
        <f t="shared" si="995"/>
        <v>0</v>
      </c>
      <c r="V4433" s="1">
        <f t="shared" si="996"/>
        <v>0</v>
      </c>
    </row>
    <row r="4434" spans="5:22" x14ac:dyDescent="0.25">
      <c r="E4434" s="4"/>
      <c r="M4434" s="4">
        <f t="shared" si="989"/>
        <v>173.1</v>
      </c>
      <c r="N4434" s="4"/>
      <c r="O4434" s="1">
        <f t="shared" si="990"/>
        <v>173.1</v>
      </c>
      <c r="P4434" s="1">
        <f t="shared" si="991"/>
        <v>0</v>
      </c>
      <c r="Q4434" s="1" t="str">
        <f t="shared" si="988"/>
        <v/>
      </c>
      <c r="R4434" s="1" t="str">
        <f t="shared" si="992"/>
        <v/>
      </c>
      <c r="S4434" s="1">
        <f t="shared" si="993"/>
        <v>630.90240000000244</v>
      </c>
      <c r="T4434" s="1">
        <f t="shared" si="994"/>
        <v>0</v>
      </c>
      <c r="U4434" s="1">
        <f t="shared" si="995"/>
        <v>0</v>
      </c>
      <c r="V4434" s="1">
        <f t="shared" si="996"/>
        <v>0</v>
      </c>
    </row>
    <row r="4435" spans="5:22" x14ac:dyDescent="0.25">
      <c r="E4435" s="4"/>
      <c r="M4435" s="4">
        <f t="shared" si="989"/>
        <v>173.1</v>
      </c>
      <c r="N4435" s="4"/>
      <c r="O4435" s="1">
        <f t="shared" si="990"/>
        <v>173.1</v>
      </c>
      <c r="P4435" s="1">
        <f t="shared" si="991"/>
        <v>0</v>
      </c>
      <c r="Q4435" s="1" t="str">
        <f t="shared" si="988"/>
        <v/>
      </c>
      <c r="R4435" s="1" t="str">
        <f t="shared" si="992"/>
        <v/>
      </c>
      <c r="S4435" s="1">
        <f t="shared" si="993"/>
        <v>630.90240000000244</v>
      </c>
      <c r="T4435" s="1">
        <f t="shared" si="994"/>
        <v>0</v>
      </c>
      <c r="U4435" s="1">
        <f t="shared" si="995"/>
        <v>0</v>
      </c>
      <c r="V4435" s="1">
        <f t="shared" si="996"/>
        <v>0</v>
      </c>
    </row>
    <row r="4436" spans="5:22" x14ac:dyDescent="0.25">
      <c r="E4436" s="4"/>
      <c r="M4436" s="4">
        <f t="shared" si="989"/>
        <v>173.1</v>
      </c>
      <c r="N4436" s="4"/>
      <c r="O4436" s="1">
        <f t="shared" si="990"/>
        <v>173.1</v>
      </c>
      <c r="P4436" s="1">
        <f t="shared" si="991"/>
        <v>0</v>
      </c>
      <c r="Q4436" s="1" t="str">
        <f t="shared" si="988"/>
        <v/>
      </c>
      <c r="R4436" s="1" t="str">
        <f t="shared" si="992"/>
        <v/>
      </c>
      <c r="S4436" s="1">
        <f t="shared" si="993"/>
        <v>630.90240000000244</v>
      </c>
      <c r="T4436" s="1">
        <f t="shared" si="994"/>
        <v>0</v>
      </c>
      <c r="U4436" s="1">
        <f t="shared" si="995"/>
        <v>0</v>
      </c>
      <c r="V4436" s="1">
        <f t="shared" si="996"/>
        <v>0</v>
      </c>
    </row>
    <row r="4437" spans="5:22" x14ac:dyDescent="0.25">
      <c r="E4437" s="4"/>
      <c r="M4437" s="4">
        <f t="shared" si="989"/>
        <v>173.1</v>
      </c>
      <c r="N4437" s="4"/>
      <c r="O4437" s="1">
        <f t="shared" si="990"/>
        <v>173.1</v>
      </c>
      <c r="P4437" s="1">
        <f t="shared" si="991"/>
        <v>0</v>
      </c>
      <c r="Q4437" s="1" t="str">
        <f t="shared" si="988"/>
        <v/>
      </c>
      <c r="R4437" s="1" t="str">
        <f t="shared" si="992"/>
        <v/>
      </c>
      <c r="S4437" s="1">
        <f t="shared" si="993"/>
        <v>630.90240000000244</v>
      </c>
      <c r="T4437" s="1">
        <f t="shared" si="994"/>
        <v>0</v>
      </c>
      <c r="U4437" s="1">
        <f t="shared" si="995"/>
        <v>0</v>
      </c>
      <c r="V4437" s="1">
        <f t="shared" si="996"/>
        <v>0</v>
      </c>
    </row>
    <row r="4438" spans="5:22" x14ac:dyDescent="0.25">
      <c r="E4438" s="4"/>
      <c r="M4438" s="4">
        <f t="shared" si="989"/>
        <v>173.1</v>
      </c>
      <c r="N4438" s="4"/>
      <c r="O4438" s="1">
        <f t="shared" si="990"/>
        <v>173.1</v>
      </c>
      <c r="P4438" s="1">
        <f t="shared" si="991"/>
        <v>0</v>
      </c>
      <c r="Q4438" s="1" t="str">
        <f t="shared" si="988"/>
        <v/>
      </c>
      <c r="R4438" s="1" t="str">
        <f t="shared" si="992"/>
        <v/>
      </c>
      <c r="S4438" s="1">
        <f t="shared" si="993"/>
        <v>630.90240000000244</v>
      </c>
      <c r="T4438" s="1">
        <f t="shared" si="994"/>
        <v>0</v>
      </c>
      <c r="U4438" s="1">
        <f t="shared" si="995"/>
        <v>0</v>
      </c>
      <c r="V4438" s="1">
        <f t="shared" si="996"/>
        <v>0</v>
      </c>
    </row>
    <row r="4439" spans="5:22" x14ac:dyDescent="0.25">
      <c r="E4439" s="4"/>
      <c r="M4439" s="4">
        <f t="shared" si="989"/>
        <v>173.1</v>
      </c>
      <c r="N4439" s="4"/>
      <c r="O4439" s="1">
        <f t="shared" si="990"/>
        <v>173.1</v>
      </c>
      <c r="P4439" s="1">
        <f t="shared" si="991"/>
        <v>0</v>
      </c>
      <c r="Q4439" s="1" t="str">
        <f t="shared" si="988"/>
        <v/>
      </c>
      <c r="R4439" s="1" t="str">
        <f t="shared" si="992"/>
        <v/>
      </c>
      <c r="S4439" s="1">
        <f t="shared" si="993"/>
        <v>630.90240000000244</v>
      </c>
      <c r="T4439" s="1">
        <f t="shared" si="994"/>
        <v>0</v>
      </c>
      <c r="U4439" s="1">
        <f t="shared" si="995"/>
        <v>0</v>
      </c>
      <c r="V4439" s="1">
        <f t="shared" si="996"/>
        <v>0</v>
      </c>
    </row>
    <row r="4440" spans="5:22" x14ac:dyDescent="0.25">
      <c r="E4440" s="4"/>
      <c r="M4440" s="4">
        <f t="shared" si="989"/>
        <v>173.1</v>
      </c>
      <c r="N4440" s="4"/>
      <c r="O4440" s="1">
        <f t="shared" si="990"/>
        <v>173.1</v>
      </c>
      <c r="P4440" s="1">
        <f t="shared" si="991"/>
        <v>0</v>
      </c>
      <c r="Q4440" s="1" t="str">
        <f t="shared" si="988"/>
        <v/>
      </c>
      <c r="R4440" s="1" t="str">
        <f t="shared" si="992"/>
        <v/>
      </c>
      <c r="S4440" s="1">
        <f t="shared" si="993"/>
        <v>630.90240000000244</v>
      </c>
      <c r="T4440" s="1">
        <f t="shared" si="994"/>
        <v>0</v>
      </c>
      <c r="U4440" s="1">
        <f t="shared" si="995"/>
        <v>0</v>
      </c>
      <c r="V4440" s="1">
        <f t="shared" si="996"/>
        <v>0</v>
      </c>
    </row>
    <row r="4441" spans="5:22" x14ac:dyDescent="0.25">
      <c r="E4441" s="4"/>
      <c r="M4441" s="4">
        <f t="shared" si="989"/>
        <v>173.1</v>
      </c>
      <c r="N4441" s="4"/>
      <c r="O4441" s="1">
        <f t="shared" si="990"/>
        <v>173.1</v>
      </c>
      <c r="P4441" s="1">
        <f t="shared" si="991"/>
        <v>0</v>
      </c>
      <c r="Q4441" s="1" t="str">
        <f t="shared" si="988"/>
        <v/>
      </c>
      <c r="R4441" s="1" t="str">
        <f t="shared" si="992"/>
        <v/>
      </c>
      <c r="S4441" s="1">
        <f t="shared" si="993"/>
        <v>630.90240000000244</v>
      </c>
      <c r="T4441" s="1">
        <f t="shared" si="994"/>
        <v>0</v>
      </c>
      <c r="U4441" s="1">
        <f t="shared" si="995"/>
        <v>0</v>
      </c>
      <c r="V4441" s="1">
        <f t="shared" si="996"/>
        <v>0</v>
      </c>
    </row>
    <row r="4442" spans="5:22" x14ac:dyDescent="0.25">
      <c r="E4442" s="4"/>
      <c r="M4442" s="4">
        <f t="shared" si="989"/>
        <v>173.1</v>
      </c>
      <c r="N4442" s="4"/>
      <c r="O4442" s="1">
        <f t="shared" si="990"/>
        <v>173.1</v>
      </c>
      <c r="P4442" s="1">
        <f t="shared" si="991"/>
        <v>0</v>
      </c>
      <c r="Q4442" s="1" t="str">
        <f t="shared" si="988"/>
        <v/>
      </c>
      <c r="R4442" s="1" t="str">
        <f t="shared" si="992"/>
        <v/>
      </c>
      <c r="S4442" s="1">
        <f t="shared" si="993"/>
        <v>630.90240000000244</v>
      </c>
      <c r="T4442" s="1">
        <f t="shared" si="994"/>
        <v>0</v>
      </c>
      <c r="U4442" s="1">
        <f t="shared" si="995"/>
        <v>0</v>
      </c>
      <c r="V4442" s="1">
        <f t="shared" si="996"/>
        <v>0</v>
      </c>
    </row>
    <row r="4443" spans="5:22" x14ac:dyDescent="0.25">
      <c r="E4443" s="4"/>
      <c r="M4443" s="4">
        <f t="shared" si="989"/>
        <v>173.1</v>
      </c>
      <c r="N4443" s="4"/>
      <c r="O4443" s="1">
        <f t="shared" si="990"/>
        <v>173.1</v>
      </c>
      <c r="P4443" s="1">
        <f t="shared" si="991"/>
        <v>0</v>
      </c>
      <c r="Q4443" s="1" t="str">
        <f t="shared" si="988"/>
        <v/>
      </c>
      <c r="R4443" s="1" t="str">
        <f t="shared" si="992"/>
        <v/>
      </c>
      <c r="S4443" s="1">
        <f t="shared" si="993"/>
        <v>630.90240000000244</v>
      </c>
      <c r="T4443" s="1">
        <f t="shared" si="994"/>
        <v>0</v>
      </c>
      <c r="U4443" s="1">
        <f t="shared" si="995"/>
        <v>0</v>
      </c>
      <c r="V4443" s="1">
        <f t="shared" si="996"/>
        <v>0</v>
      </c>
    </row>
    <row r="4444" spans="5:22" x14ac:dyDescent="0.25">
      <c r="E4444" s="4"/>
      <c r="M4444" s="4">
        <f t="shared" si="989"/>
        <v>173.1</v>
      </c>
      <c r="N4444" s="4"/>
      <c r="O4444" s="1">
        <f t="shared" si="990"/>
        <v>173.1</v>
      </c>
      <c r="P4444" s="1">
        <f t="shared" si="991"/>
        <v>0</v>
      </c>
      <c r="Q4444" s="1" t="str">
        <f t="shared" si="988"/>
        <v/>
      </c>
      <c r="R4444" s="1" t="str">
        <f t="shared" si="992"/>
        <v/>
      </c>
      <c r="S4444" s="1">
        <f t="shared" si="993"/>
        <v>630.90240000000244</v>
      </c>
      <c r="T4444" s="1">
        <f t="shared" si="994"/>
        <v>0</v>
      </c>
      <c r="U4444" s="1">
        <f t="shared" si="995"/>
        <v>0</v>
      </c>
      <c r="V4444" s="1">
        <f t="shared" si="996"/>
        <v>0</v>
      </c>
    </row>
    <row r="4445" spans="5:22" x14ac:dyDescent="0.25">
      <c r="E4445" s="4"/>
      <c r="M4445" s="4">
        <f t="shared" si="989"/>
        <v>173.1</v>
      </c>
      <c r="N4445" s="4"/>
      <c r="O4445" s="1">
        <f t="shared" si="990"/>
        <v>173.1</v>
      </c>
      <c r="P4445" s="1">
        <f t="shared" si="991"/>
        <v>0</v>
      </c>
      <c r="Q4445" s="1" t="str">
        <f t="shared" si="988"/>
        <v/>
      </c>
      <c r="R4445" s="1" t="str">
        <f t="shared" si="992"/>
        <v/>
      </c>
      <c r="S4445" s="1">
        <f t="shared" si="993"/>
        <v>630.90240000000244</v>
      </c>
      <c r="T4445" s="1">
        <f t="shared" si="994"/>
        <v>0</v>
      </c>
      <c r="U4445" s="1">
        <f t="shared" si="995"/>
        <v>0</v>
      </c>
      <c r="V4445" s="1">
        <f t="shared" si="996"/>
        <v>0</v>
      </c>
    </row>
    <row r="4446" spans="5:22" x14ac:dyDescent="0.25">
      <c r="E4446" s="4"/>
      <c r="M4446" s="4">
        <f t="shared" si="989"/>
        <v>173.1</v>
      </c>
      <c r="N4446" s="4"/>
      <c r="O4446" s="1">
        <f t="shared" si="990"/>
        <v>173.1</v>
      </c>
      <c r="P4446" s="1">
        <f t="shared" si="991"/>
        <v>0</v>
      </c>
      <c r="Q4446" s="1" t="str">
        <f t="shared" si="988"/>
        <v/>
      </c>
      <c r="R4446" s="1" t="str">
        <f t="shared" si="992"/>
        <v/>
      </c>
      <c r="S4446" s="1">
        <f t="shared" si="993"/>
        <v>630.90240000000244</v>
      </c>
      <c r="T4446" s="1">
        <f t="shared" si="994"/>
        <v>0</v>
      </c>
      <c r="U4446" s="1">
        <f t="shared" si="995"/>
        <v>0</v>
      </c>
      <c r="V4446" s="1">
        <f t="shared" si="996"/>
        <v>0</v>
      </c>
    </row>
    <row r="4447" spans="5:22" x14ac:dyDescent="0.25">
      <c r="E4447" s="4"/>
      <c r="M4447" s="4">
        <f t="shared" si="989"/>
        <v>173.1</v>
      </c>
      <c r="N4447" s="4"/>
      <c r="O4447" s="1">
        <f t="shared" si="990"/>
        <v>173.1</v>
      </c>
      <c r="P4447" s="1">
        <f t="shared" si="991"/>
        <v>0</v>
      </c>
      <c r="Q4447" s="1" t="str">
        <f t="shared" si="988"/>
        <v/>
      </c>
      <c r="R4447" s="1" t="str">
        <f t="shared" si="992"/>
        <v/>
      </c>
      <c r="S4447" s="1">
        <f t="shared" si="993"/>
        <v>630.90240000000244</v>
      </c>
      <c r="T4447" s="1">
        <f t="shared" si="994"/>
        <v>0</v>
      </c>
      <c r="U4447" s="1">
        <f t="shared" si="995"/>
        <v>0</v>
      </c>
      <c r="V4447" s="1">
        <f t="shared" si="996"/>
        <v>0</v>
      </c>
    </row>
    <row r="4448" spans="5:22" x14ac:dyDescent="0.25">
      <c r="E4448" s="4"/>
      <c r="M4448" s="4">
        <f t="shared" si="989"/>
        <v>173.1</v>
      </c>
      <c r="N4448" s="4"/>
      <c r="O4448" s="1">
        <f t="shared" si="990"/>
        <v>173.1</v>
      </c>
      <c r="P4448" s="1">
        <f t="shared" si="991"/>
        <v>0</v>
      </c>
      <c r="Q4448" s="1" t="str">
        <f t="shared" si="988"/>
        <v/>
      </c>
      <c r="R4448" s="1" t="str">
        <f t="shared" si="992"/>
        <v/>
      </c>
      <c r="S4448" s="1">
        <f t="shared" si="993"/>
        <v>630.90240000000244</v>
      </c>
      <c r="T4448" s="1">
        <f t="shared" si="994"/>
        <v>0</v>
      </c>
      <c r="U4448" s="1">
        <f t="shared" si="995"/>
        <v>0</v>
      </c>
      <c r="V4448" s="1">
        <f t="shared" si="996"/>
        <v>0</v>
      </c>
    </row>
    <row r="4449" spans="5:22" x14ac:dyDescent="0.25">
      <c r="E4449" s="4"/>
      <c r="M4449" s="4">
        <f t="shared" si="989"/>
        <v>173.1</v>
      </c>
      <c r="N4449" s="4"/>
      <c r="O4449" s="1">
        <f t="shared" si="990"/>
        <v>173.1</v>
      </c>
      <c r="P4449" s="1">
        <f t="shared" si="991"/>
        <v>0</v>
      </c>
      <c r="Q4449" s="1" t="str">
        <f t="shared" si="988"/>
        <v/>
      </c>
      <c r="R4449" s="1" t="str">
        <f t="shared" si="992"/>
        <v/>
      </c>
      <c r="S4449" s="1">
        <f t="shared" si="993"/>
        <v>630.90240000000244</v>
      </c>
      <c r="T4449" s="1">
        <f t="shared" si="994"/>
        <v>0</v>
      </c>
      <c r="U4449" s="1">
        <f t="shared" si="995"/>
        <v>0</v>
      </c>
      <c r="V4449" s="1">
        <f t="shared" si="996"/>
        <v>0</v>
      </c>
    </row>
    <row r="4450" spans="5:22" x14ac:dyDescent="0.25">
      <c r="E4450" s="4"/>
      <c r="M4450" s="4">
        <f t="shared" si="989"/>
        <v>173.1</v>
      </c>
      <c r="N4450" s="4"/>
      <c r="O4450" s="1">
        <f t="shared" si="990"/>
        <v>173.1</v>
      </c>
      <c r="P4450" s="1">
        <f t="shared" si="991"/>
        <v>0</v>
      </c>
      <c r="Q4450" s="1" t="str">
        <f t="shared" si="988"/>
        <v/>
      </c>
      <c r="R4450" s="1" t="str">
        <f t="shared" si="992"/>
        <v/>
      </c>
      <c r="S4450" s="1">
        <f t="shared" si="993"/>
        <v>630.90240000000244</v>
      </c>
      <c r="T4450" s="1">
        <f t="shared" si="994"/>
        <v>0</v>
      </c>
      <c r="U4450" s="1">
        <f t="shared" si="995"/>
        <v>0</v>
      </c>
      <c r="V4450" s="1">
        <f t="shared" si="996"/>
        <v>0</v>
      </c>
    </row>
    <row r="4451" spans="5:22" x14ac:dyDescent="0.25">
      <c r="E4451" s="4"/>
      <c r="M4451" s="4">
        <f t="shared" si="989"/>
        <v>173.1</v>
      </c>
      <c r="N4451" s="4"/>
      <c r="O4451" s="1">
        <f t="shared" si="990"/>
        <v>173.1</v>
      </c>
      <c r="P4451" s="1">
        <f t="shared" si="991"/>
        <v>0</v>
      </c>
      <c r="Q4451" s="1" t="str">
        <f t="shared" si="988"/>
        <v/>
      </c>
      <c r="R4451" s="1" t="str">
        <f t="shared" si="992"/>
        <v/>
      </c>
      <c r="S4451" s="1">
        <f t="shared" si="993"/>
        <v>630.90240000000244</v>
      </c>
      <c r="T4451" s="1">
        <f t="shared" si="994"/>
        <v>0</v>
      </c>
      <c r="U4451" s="1">
        <f t="shared" si="995"/>
        <v>0</v>
      </c>
      <c r="V4451" s="1">
        <f t="shared" si="996"/>
        <v>0</v>
      </c>
    </row>
    <row r="4452" spans="5:22" x14ac:dyDescent="0.25">
      <c r="E4452" s="4"/>
      <c r="M4452" s="4">
        <f t="shared" si="989"/>
        <v>173.1</v>
      </c>
      <c r="N4452" s="4"/>
      <c r="O4452" s="1">
        <f t="shared" si="990"/>
        <v>173.1</v>
      </c>
      <c r="P4452" s="1">
        <f t="shared" si="991"/>
        <v>0</v>
      </c>
      <c r="Q4452" s="1" t="str">
        <f t="shared" si="988"/>
        <v/>
      </c>
      <c r="R4452" s="1" t="str">
        <f t="shared" si="992"/>
        <v/>
      </c>
      <c r="S4452" s="1">
        <f t="shared" si="993"/>
        <v>630.90240000000244</v>
      </c>
      <c r="T4452" s="1">
        <f t="shared" si="994"/>
        <v>0</v>
      </c>
      <c r="U4452" s="1">
        <f t="shared" si="995"/>
        <v>0</v>
      </c>
      <c r="V4452" s="1">
        <f t="shared" si="996"/>
        <v>0</v>
      </c>
    </row>
    <row r="4453" spans="5:22" x14ac:dyDescent="0.25">
      <c r="E4453" s="4"/>
      <c r="M4453" s="4">
        <f t="shared" si="989"/>
        <v>173.1</v>
      </c>
      <c r="N4453" s="4"/>
      <c r="O4453" s="1">
        <f t="shared" si="990"/>
        <v>173.1</v>
      </c>
      <c r="P4453" s="1">
        <f t="shared" si="991"/>
        <v>0</v>
      </c>
      <c r="Q4453" s="1" t="str">
        <f t="shared" si="988"/>
        <v/>
      </c>
      <c r="R4453" s="1" t="str">
        <f t="shared" si="992"/>
        <v/>
      </c>
      <c r="S4453" s="1">
        <f t="shared" si="993"/>
        <v>630.90240000000244</v>
      </c>
      <c r="T4453" s="1">
        <f t="shared" si="994"/>
        <v>0</v>
      </c>
      <c r="U4453" s="1">
        <f t="shared" si="995"/>
        <v>0</v>
      </c>
      <c r="V4453" s="1">
        <f t="shared" si="996"/>
        <v>0</v>
      </c>
    </row>
    <row r="4454" spans="5:22" x14ac:dyDescent="0.25">
      <c r="E4454" s="4"/>
      <c r="M4454" s="4">
        <f t="shared" si="989"/>
        <v>173.1</v>
      </c>
      <c r="N4454" s="4"/>
      <c r="O4454" s="1">
        <f t="shared" si="990"/>
        <v>173.1</v>
      </c>
      <c r="P4454" s="1">
        <f t="shared" si="991"/>
        <v>0</v>
      </c>
      <c r="Q4454" s="1" t="str">
        <f t="shared" si="988"/>
        <v/>
      </c>
      <c r="R4454" s="1" t="str">
        <f t="shared" si="992"/>
        <v/>
      </c>
      <c r="S4454" s="1">
        <f t="shared" si="993"/>
        <v>630.90240000000244</v>
      </c>
      <c r="T4454" s="1">
        <f t="shared" si="994"/>
        <v>0</v>
      </c>
      <c r="U4454" s="1">
        <f t="shared" si="995"/>
        <v>0</v>
      </c>
      <c r="V4454" s="1">
        <f t="shared" si="996"/>
        <v>0</v>
      </c>
    </row>
    <row r="4455" spans="5:22" x14ac:dyDescent="0.25">
      <c r="E4455" s="4"/>
      <c r="M4455" s="4">
        <f t="shared" si="989"/>
        <v>173.1</v>
      </c>
      <c r="N4455" s="4"/>
      <c r="O4455" s="1">
        <f t="shared" si="990"/>
        <v>173.1</v>
      </c>
      <c r="P4455" s="1">
        <f t="shared" si="991"/>
        <v>0</v>
      </c>
      <c r="Q4455" s="1" t="str">
        <f t="shared" si="988"/>
        <v/>
      </c>
      <c r="R4455" s="1" t="str">
        <f t="shared" si="992"/>
        <v/>
      </c>
      <c r="S4455" s="1">
        <f t="shared" si="993"/>
        <v>630.90240000000244</v>
      </c>
      <c r="T4455" s="1">
        <f t="shared" si="994"/>
        <v>0</v>
      </c>
      <c r="U4455" s="1">
        <f t="shared" si="995"/>
        <v>0</v>
      </c>
      <c r="V4455" s="1">
        <f t="shared" si="996"/>
        <v>0</v>
      </c>
    </row>
    <row r="4456" spans="5:22" x14ac:dyDescent="0.25">
      <c r="E4456" s="4"/>
      <c r="M4456" s="4">
        <f t="shared" si="989"/>
        <v>173.1</v>
      </c>
      <c r="N4456" s="4"/>
      <c r="O4456" s="1">
        <f t="shared" si="990"/>
        <v>173.1</v>
      </c>
      <c r="P4456" s="1">
        <f t="shared" si="991"/>
        <v>0</v>
      </c>
      <c r="Q4456" s="1" t="str">
        <f t="shared" si="988"/>
        <v/>
      </c>
      <c r="R4456" s="1" t="str">
        <f t="shared" si="992"/>
        <v/>
      </c>
      <c r="S4456" s="1">
        <f t="shared" si="993"/>
        <v>630.90240000000244</v>
      </c>
      <c r="T4456" s="1">
        <f t="shared" si="994"/>
        <v>0</v>
      </c>
      <c r="U4456" s="1">
        <f t="shared" si="995"/>
        <v>0</v>
      </c>
      <c r="V4456" s="1">
        <f t="shared" si="996"/>
        <v>0</v>
      </c>
    </row>
    <row r="4457" spans="5:22" x14ac:dyDescent="0.25">
      <c r="E4457" s="4"/>
      <c r="M4457" s="4">
        <f t="shared" si="989"/>
        <v>173.1</v>
      </c>
      <c r="N4457" s="4"/>
      <c r="O4457" s="1">
        <f t="shared" si="990"/>
        <v>173.1</v>
      </c>
      <c r="P4457" s="1">
        <f t="shared" si="991"/>
        <v>0</v>
      </c>
      <c r="Q4457" s="1" t="str">
        <f t="shared" si="988"/>
        <v/>
      </c>
      <c r="R4457" s="1" t="str">
        <f t="shared" si="992"/>
        <v/>
      </c>
      <c r="S4457" s="1">
        <f t="shared" si="993"/>
        <v>630.90240000000244</v>
      </c>
      <c r="T4457" s="1">
        <f t="shared" si="994"/>
        <v>0</v>
      </c>
      <c r="U4457" s="1">
        <f t="shared" si="995"/>
        <v>0</v>
      </c>
      <c r="V4457" s="1">
        <f t="shared" si="996"/>
        <v>0</v>
      </c>
    </row>
    <row r="4458" spans="5:22" x14ac:dyDescent="0.25">
      <c r="E4458" s="4"/>
      <c r="M4458" s="4">
        <f t="shared" si="989"/>
        <v>173.1</v>
      </c>
      <c r="N4458" s="4"/>
      <c r="O4458" s="1">
        <f t="shared" si="990"/>
        <v>173.1</v>
      </c>
      <c r="P4458" s="1">
        <f t="shared" si="991"/>
        <v>0</v>
      </c>
      <c r="Q4458" s="1" t="str">
        <f t="shared" si="988"/>
        <v/>
      </c>
      <c r="R4458" s="1" t="str">
        <f t="shared" si="992"/>
        <v/>
      </c>
      <c r="S4458" s="1">
        <f t="shared" si="993"/>
        <v>630.90240000000244</v>
      </c>
      <c r="T4458" s="1">
        <f t="shared" si="994"/>
        <v>0</v>
      </c>
      <c r="U4458" s="1">
        <f t="shared" si="995"/>
        <v>0</v>
      </c>
      <c r="V4458" s="1">
        <f t="shared" si="996"/>
        <v>0</v>
      </c>
    </row>
    <row r="4459" spans="5:22" x14ac:dyDescent="0.25">
      <c r="E4459" s="4"/>
      <c r="M4459" s="4">
        <f t="shared" si="989"/>
        <v>173.1</v>
      </c>
      <c r="N4459" s="4"/>
      <c r="O4459" s="1">
        <f t="shared" si="990"/>
        <v>173.1</v>
      </c>
      <c r="P4459" s="1">
        <f t="shared" si="991"/>
        <v>0</v>
      </c>
      <c r="Q4459" s="1" t="str">
        <f t="shared" si="988"/>
        <v/>
      </c>
      <c r="R4459" s="1" t="str">
        <f t="shared" si="992"/>
        <v/>
      </c>
      <c r="S4459" s="1">
        <f t="shared" si="993"/>
        <v>630.90240000000244</v>
      </c>
      <c r="T4459" s="1">
        <f t="shared" si="994"/>
        <v>0</v>
      </c>
      <c r="U4459" s="1">
        <f t="shared" si="995"/>
        <v>0</v>
      </c>
      <c r="V4459" s="1">
        <f t="shared" si="996"/>
        <v>0</v>
      </c>
    </row>
    <row r="4460" spans="5:22" x14ac:dyDescent="0.25">
      <c r="E4460" s="4"/>
      <c r="M4460" s="4">
        <f t="shared" si="989"/>
        <v>173.1</v>
      </c>
      <c r="N4460" s="4"/>
      <c r="O4460" s="1">
        <f t="shared" si="990"/>
        <v>173.1</v>
      </c>
      <c r="P4460" s="1">
        <f t="shared" si="991"/>
        <v>0</v>
      </c>
      <c r="Q4460" s="1" t="str">
        <f t="shared" si="988"/>
        <v/>
      </c>
      <c r="R4460" s="1" t="str">
        <f t="shared" si="992"/>
        <v/>
      </c>
      <c r="S4460" s="1">
        <f t="shared" si="993"/>
        <v>630.90240000000244</v>
      </c>
      <c r="T4460" s="1">
        <f t="shared" si="994"/>
        <v>0</v>
      </c>
      <c r="U4460" s="1">
        <f t="shared" si="995"/>
        <v>0</v>
      </c>
      <c r="V4460" s="1">
        <f t="shared" si="996"/>
        <v>0</v>
      </c>
    </row>
    <row r="4461" spans="5:22" x14ac:dyDescent="0.25">
      <c r="E4461" s="4"/>
      <c r="M4461" s="4">
        <f t="shared" si="989"/>
        <v>173.1</v>
      </c>
      <c r="N4461" s="4"/>
      <c r="O4461" s="1">
        <f t="shared" si="990"/>
        <v>173.1</v>
      </c>
      <c r="P4461" s="1">
        <f t="shared" si="991"/>
        <v>0</v>
      </c>
      <c r="Q4461" s="1" t="str">
        <f t="shared" si="988"/>
        <v/>
      </c>
      <c r="R4461" s="1" t="str">
        <f t="shared" si="992"/>
        <v/>
      </c>
      <c r="S4461" s="1">
        <f t="shared" si="993"/>
        <v>630.90240000000244</v>
      </c>
      <c r="T4461" s="1">
        <f t="shared" si="994"/>
        <v>0</v>
      </c>
      <c r="U4461" s="1">
        <f t="shared" si="995"/>
        <v>0</v>
      </c>
      <c r="V4461" s="1">
        <f t="shared" si="996"/>
        <v>0</v>
      </c>
    </row>
    <row r="4462" spans="5:22" x14ac:dyDescent="0.25">
      <c r="E4462" s="4"/>
      <c r="M4462" s="4">
        <f t="shared" si="989"/>
        <v>173.1</v>
      </c>
      <c r="N4462" s="4"/>
      <c r="O4462" s="1">
        <f t="shared" si="990"/>
        <v>173.1</v>
      </c>
      <c r="P4462" s="1">
        <f t="shared" si="991"/>
        <v>0</v>
      </c>
      <c r="Q4462" s="1" t="str">
        <f t="shared" si="988"/>
        <v/>
      </c>
      <c r="R4462" s="1" t="str">
        <f t="shared" si="992"/>
        <v/>
      </c>
      <c r="S4462" s="1">
        <f t="shared" si="993"/>
        <v>630.90240000000244</v>
      </c>
      <c r="T4462" s="1">
        <f t="shared" si="994"/>
        <v>0</v>
      </c>
      <c r="U4462" s="1">
        <f t="shared" si="995"/>
        <v>0</v>
      </c>
      <c r="V4462" s="1">
        <f t="shared" si="996"/>
        <v>0</v>
      </c>
    </row>
    <row r="4463" spans="5:22" x14ac:dyDescent="0.25">
      <c r="E4463" s="4"/>
      <c r="M4463" s="4">
        <f t="shared" si="989"/>
        <v>173.1</v>
      </c>
      <c r="N4463" s="4"/>
      <c r="O4463" s="1">
        <f t="shared" si="990"/>
        <v>173.1</v>
      </c>
      <c r="P4463" s="1">
        <f t="shared" si="991"/>
        <v>0</v>
      </c>
      <c r="Q4463" s="1" t="str">
        <f t="shared" si="988"/>
        <v/>
      </c>
      <c r="R4463" s="1" t="str">
        <f t="shared" si="992"/>
        <v/>
      </c>
      <c r="S4463" s="1">
        <f t="shared" si="993"/>
        <v>630.90240000000244</v>
      </c>
      <c r="T4463" s="1">
        <f t="shared" si="994"/>
        <v>0</v>
      </c>
      <c r="U4463" s="1">
        <f t="shared" si="995"/>
        <v>0</v>
      </c>
      <c r="V4463" s="1">
        <f t="shared" si="996"/>
        <v>0</v>
      </c>
    </row>
    <row r="4464" spans="5:22" x14ac:dyDescent="0.25">
      <c r="E4464" s="4"/>
      <c r="M4464" s="4">
        <f t="shared" si="989"/>
        <v>173.1</v>
      </c>
      <c r="N4464" s="4"/>
      <c r="O4464" s="1">
        <f t="shared" si="990"/>
        <v>173.1</v>
      </c>
      <c r="P4464" s="1">
        <f t="shared" si="991"/>
        <v>0</v>
      </c>
      <c r="Q4464" s="1" t="str">
        <f t="shared" si="988"/>
        <v/>
      </c>
      <c r="R4464" s="1" t="str">
        <f t="shared" si="992"/>
        <v/>
      </c>
      <c r="S4464" s="1">
        <f t="shared" si="993"/>
        <v>630.90240000000244</v>
      </c>
      <c r="T4464" s="1">
        <f t="shared" si="994"/>
        <v>0</v>
      </c>
      <c r="U4464" s="1">
        <f t="shared" si="995"/>
        <v>0</v>
      </c>
      <c r="V4464" s="1">
        <f t="shared" si="996"/>
        <v>0</v>
      </c>
    </row>
    <row r="4465" spans="5:22" x14ac:dyDescent="0.25">
      <c r="E4465" s="4"/>
      <c r="M4465" s="4">
        <f t="shared" si="989"/>
        <v>173.1</v>
      </c>
      <c r="N4465" s="4"/>
      <c r="O4465" s="1">
        <f t="shared" si="990"/>
        <v>173.1</v>
      </c>
      <c r="P4465" s="1">
        <f t="shared" si="991"/>
        <v>0</v>
      </c>
      <c r="Q4465" s="1" t="str">
        <f t="shared" si="988"/>
        <v/>
      </c>
      <c r="R4465" s="1" t="str">
        <f t="shared" si="992"/>
        <v/>
      </c>
      <c r="S4465" s="1">
        <f t="shared" si="993"/>
        <v>630.90240000000244</v>
      </c>
      <c r="T4465" s="1">
        <f t="shared" si="994"/>
        <v>0</v>
      </c>
      <c r="U4465" s="1">
        <f t="shared" si="995"/>
        <v>0</v>
      </c>
      <c r="V4465" s="1">
        <f t="shared" si="996"/>
        <v>0</v>
      </c>
    </row>
    <row r="4466" spans="5:22" x14ac:dyDescent="0.25">
      <c r="E4466" s="4"/>
      <c r="M4466" s="4">
        <f t="shared" si="989"/>
        <v>173.1</v>
      </c>
      <c r="N4466" s="4"/>
      <c r="O4466" s="1">
        <f t="shared" si="990"/>
        <v>173.1</v>
      </c>
      <c r="P4466" s="1">
        <f t="shared" si="991"/>
        <v>0</v>
      </c>
      <c r="Q4466" s="1" t="str">
        <f t="shared" ref="Q4466:Q4529" si="997">IF(H4466&lt;&gt;"",IF(H4466=H4465,"",H4466),IF(H4464="","",MAX(H4465,Q4465)))</f>
        <v/>
      </c>
      <c r="R4466" s="1" t="str">
        <f t="shared" si="992"/>
        <v/>
      </c>
      <c r="S4466" s="1">
        <f t="shared" si="993"/>
        <v>630.90240000000244</v>
      </c>
      <c r="T4466" s="1">
        <f t="shared" si="994"/>
        <v>0</v>
      </c>
      <c r="U4466" s="1">
        <f t="shared" si="995"/>
        <v>0</v>
      </c>
      <c r="V4466" s="1">
        <f t="shared" si="996"/>
        <v>0</v>
      </c>
    </row>
    <row r="4467" spans="5:22" x14ac:dyDescent="0.25">
      <c r="E4467" s="4"/>
      <c r="M4467" s="4">
        <f t="shared" si="989"/>
        <v>173.1</v>
      </c>
      <c r="N4467" s="4"/>
      <c r="O4467" s="1">
        <f t="shared" si="990"/>
        <v>173.1</v>
      </c>
      <c r="P4467" s="1">
        <f t="shared" si="991"/>
        <v>0</v>
      </c>
      <c r="Q4467" s="1" t="str">
        <f t="shared" si="997"/>
        <v/>
      </c>
      <c r="R4467" s="1" t="str">
        <f t="shared" si="992"/>
        <v/>
      </c>
      <c r="S4467" s="1">
        <f t="shared" si="993"/>
        <v>630.90240000000244</v>
      </c>
      <c r="T4467" s="1">
        <f t="shared" si="994"/>
        <v>0</v>
      </c>
      <c r="U4467" s="1">
        <f t="shared" si="995"/>
        <v>0</v>
      </c>
      <c r="V4467" s="1">
        <f t="shared" si="996"/>
        <v>0</v>
      </c>
    </row>
    <row r="4468" spans="5:22" x14ac:dyDescent="0.25">
      <c r="E4468" s="4"/>
      <c r="M4468" s="4">
        <f t="shared" si="989"/>
        <v>173.1</v>
      </c>
      <c r="N4468" s="4"/>
      <c r="O4468" s="1">
        <f t="shared" si="990"/>
        <v>173.1</v>
      </c>
      <c r="P4468" s="1">
        <f t="shared" si="991"/>
        <v>0</v>
      </c>
      <c r="Q4468" s="1" t="str">
        <f t="shared" si="997"/>
        <v/>
      </c>
      <c r="R4468" s="1" t="str">
        <f t="shared" si="992"/>
        <v/>
      </c>
      <c r="S4468" s="1">
        <f t="shared" si="993"/>
        <v>630.90240000000244</v>
      </c>
      <c r="T4468" s="1">
        <f t="shared" si="994"/>
        <v>0</v>
      </c>
      <c r="U4468" s="1">
        <f t="shared" si="995"/>
        <v>0</v>
      </c>
      <c r="V4468" s="1">
        <f t="shared" si="996"/>
        <v>0</v>
      </c>
    </row>
    <row r="4469" spans="5:22" x14ac:dyDescent="0.25">
      <c r="E4469" s="4"/>
      <c r="M4469" s="4">
        <f t="shared" si="989"/>
        <v>173.1</v>
      </c>
      <c r="N4469" s="4"/>
      <c r="O4469" s="1">
        <f t="shared" si="990"/>
        <v>173.1</v>
      </c>
      <c r="P4469" s="1">
        <f t="shared" si="991"/>
        <v>0</v>
      </c>
      <c r="Q4469" s="1" t="str">
        <f t="shared" si="997"/>
        <v/>
      </c>
      <c r="R4469" s="1" t="str">
        <f t="shared" si="992"/>
        <v/>
      </c>
      <c r="S4469" s="1">
        <f t="shared" si="993"/>
        <v>630.90240000000244</v>
      </c>
      <c r="T4469" s="1">
        <f t="shared" si="994"/>
        <v>0</v>
      </c>
      <c r="U4469" s="1">
        <f t="shared" si="995"/>
        <v>0</v>
      </c>
      <c r="V4469" s="1">
        <f t="shared" si="996"/>
        <v>0</v>
      </c>
    </row>
    <row r="4470" spans="5:22" x14ac:dyDescent="0.25">
      <c r="E4470" s="4"/>
      <c r="M4470" s="4">
        <f t="shared" si="989"/>
        <v>173.1</v>
      </c>
      <c r="N4470" s="4"/>
      <c r="O4470" s="1">
        <f t="shared" si="990"/>
        <v>173.1</v>
      </c>
      <c r="P4470" s="1">
        <f t="shared" si="991"/>
        <v>0</v>
      </c>
      <c r="Q4470" s="1" t="str">
        <f t="shared" si="997"/>
        <v/>
      </c>
      <c r="R4470" s="1" t="str">
        <f t="shared" si="992"/>
        <v/>
      </c>
      <c r="S4470" s="1">
        <f t="shared" si="993"/>
        <v>630.90240000000244</v>
      </c>
      <c r="T4470" s="1">
        <f t="shared" si="994"/>
        <v>0</v>
      </c>
      <c r="U4470" s="1">
        <f t="shared" si="995"/>
        <v>0</v>
      </c>
      <c r="V4470" s="1">
        <f t="shared" si="996"/>
        <v>0</v>
      </c>
    </row>
    <row r="4471" spans="5:22" x14ac:dyDescent="0.25">
      <c r="E4471" s="4"/>
      <c r="M4471" s="4">
        <f t="shared" si="989"/>
        <v>173.1</v>
      </c>
      <c r="N4471" s="4"/>
      <c r="O4471" s="1">
        <f t="shared" si="990"/>
        <v>173.1</v>
      </c>
      <c r="P4471" s="1">
        <f t="shared" si="991"/>
        <v>0</v>
      </c>
      <c r="Q4471" s="1" t="str">
        <f t="shared" si="997"/>
        <v/>
      </c>
      <c r="R4471" s="1" t="str">
        <f t="shared" si="992"/>
        <v/>
      </c>
      <c r="S4471" s="1">
        <f t="shared" si="993"/>
        <v>630.90240000000244</v>
      </c>
      <c r="T4471" s="1">
        <f t="shared" si="994"/>
        <v>0</v>
      </c>
      <c r="U4471" s="1">
        <f t="shared" si="995"/>
        <v>0</v>
      </c>
      <c r="V4471" s="1">
        <f t="shared" si="996"/>
        <v>0</v>
      </c>
    </row>
    <row r="4472" spans="5:22" x14ac:dyDescent="0.25">
      <c r="E4472" s="4"/>
      <c r="M4472" s="4">
        <f t="shared" si="989"/>
        <v>173.1</v>
      </c>
      <c r="N4472" s="4"/>
      <c r="O4472" s="1">
        <f t="shared" si="990"/>
        <v>173.1</v>
      </c>
      <c r="P4472" s="1">
        <f t="shared" si="991"/>
        <v>0</v>
      </c>
      <c r="Q4472" s="1" t="str">
        <f t="shared" si="997"/>
        <v/>
      </c>
      <c r="R4472" s="1" t="str">
        <f t="shared" si="992"/>
        <v/>
      </c>
      <c r="S4472" s="1">
        <f t="shared" si="993"/>
        <v>630.90240000000244</v>
      </c>
      <c r="T4472" s="1">
        <f t="shared" si="994"/>
        <v>0</v>
      </c>
      <c r="U4472" s="1">
        <f t="shared" si="995"/>
        <v>0</v>
      </c>
      <c r="V4472" s="1">
        <f t="shared" si="996"/>
        <v>0</v>
      </c>
    </row>
    <row r="4473" spans="5:22" x14ac:dyDescent="0.25">
      <c r="E4473" s="4"/>
      <c r="M4473" s="4">
        <f t="shared" si="989"/>
        <v>173.1</v>
      </c>
      <c r="N4473" s="4"/>
      <c r="O4473" s="1">
        <f t="shared" si="990"/>
        <v>173.1</v>
      </c>
      <c r="P4473" s="1">
        <f t="shared" si="991"/>
        <v>0</v>
      </c>
      <c r="Q4473" s="1" t="str">
        <f t="shared" si="997"/>
        <v/>
      </c>
      <c r="R4473" s="1" t="str">
        <f t="shared" si="992"/>
        <v/>
      </c>
      <c r="S4473" s="1">
        <f t="shared" si="993"/>
        <v>630.90240000000244</v>
      </c>
      <c r="T4473" s="1">
        <f t="shared" si="994"/>
        <v>0</v>
      </c>
      <c r="U4473" s="1">
        <f t="shared" si="995"/>
        <v>0</v>
      </c>
      <c r="V4473" s="1">
        <f t="shared" si="996"/>
        <v>0</v>
      </c>
    </row>
    <row r="4474" spans="5:22" x14ac:dyDescent="0.25">
      <c r="E4474" s="4"/>
      <c r="M4474" s="4">
        <f t="shared" si="989"/>
        <v>173.1</v>
      </c>
      <c r="N4474" s="4"/>
      <c r="O4474" s="1">
        <f t="shared" si="990"/>
        <v>173.1</v>
      </c>
      <c r="P4474" s="1">
        <f t="shared" si="991"/>
        <v>0</v>
      </c>
      <c r="Q4474" s="1" t="str">
        <f t="shared" si="997"/>
        <v/>
      </c>
      <c r="R4474" s="1" t="str">
        <f t="shared" si="992"/>
        <v/>
      </c>
      <c r="S4474" s="1">
        <f t="shared" si="993"/>
        <v>630.90240000000244</v>
      </c>
      <c r="T4474" s="1">
        <f t="shared" si="994"/>
        <v>0</v>
      </c>
      <c r="U4474" s="1">
        <f t="shared" si="995"/>
        <v>0</v>
      </c>
      <c r="V4474" s="1">
        <f t="shared" si="996"/>
        <v>0</v>
      </c>
    </row>
    <row r="4475" spans="5:22" x14ac:dyDescent="0.25">
      <c r="E4475" s="4"/>
      <c r="M4475" s="4">
        <f t="shared" si="989"/>
        <v>173.1</v>
      </c>
      <c r="N4475" s="4"/>
      <c r="O4475" s="1">
        <f t="shared" si="990"/>
        <v>173.1</v>
      </c>
      <c r="P4475" s="1">
        <f t="shared" si="991"/>
        <v>0</v>
      </c>
      <c r="Q4475" s="1" t="str">
        <f t="shared" si="997"/>
        <v/>
      </c>
      <c r="R4475" s="1" t="str">
        <f t="shared" si="992"/>
        <v/>
      </c>
      <c r="S4475" s="1">
        <f t="shared" si="993"/>
        <v>630.90240000000244</v>
      </c>
      <c r="T4475" s="1">
        <f t="shared" si="994"/>
        <v>0</v>
      </c>
      <c r="U4475" s="1">
        <f t="shared" si="995"/>
        <v>0</v>
      </c>
      <c r="V4475" s="1">
        <f t="shared" si="996"/>
        <v>0</v>
      </c>
    </row>
    <row r="4476" spans="5:22" x14ac:dyDescent="0.25">
      <c r="E4476" s="4"/>
      <c r="M4476" s="4">
        <f t="shared" si="989"/>
        <v>173.1</v>
      </c>
      <c r="N4476" s="4"/>
      <c r="O4476" s="1">
        <f t="shared" si="990"/>
        <v>173.1</v>
      </c>
      <c r="P4476" s="1">
        <f t="shared" si="991"/>
        <v>0</v>
      </c>
      <c r="Q4476" s="1" t="str">
        <f t="shared" si="997"/>
        <v/>
      </c>
      <c r="R4476" s="1" t="str">
        <f t="shared" si="992"/>
        <v/>
      </c>
      <c r="S4476" s="1">
        <f t="shared" si="993"/>
        <v>630.90240000000244</v>
      </c>
      <c r="T4476" s="1">
        <f t="shared" si="994"/>
        <v>0</v>
      </c>
      <c r="U4476" s="1">
        <f t="shared" si="995"/>
        <v>0</v>
      </c>
      <c r="V4476" s="1">
        <f t="shared" si="996"/>
        <v>0</v>
      </c>
    </row>
    <row r="4477" spans="5:22" x14ac:dyDescent="0.25">
      <c r="E4477" s="4"/>
      <c r="M4477" s="4">
        <f t="shared" si="989"/>
        <v>173.1</v>
      </c>
      <c r="N4477" s="4"/>
      <c r="O4477" s="1">
        <f t="shared" si="990"/>
        <v>173.1</v>
      </c>
      <c r="P4477" s="1">
        <f t="shared" si="991"/>
        <v>0</v>
      </c>
      <c r="Q4477" s="1" t="str">
        <f t="shared" si="997"/>
        <v/>
      </c>
      <c r="R4477" s="1" t="str">
        <f t="shared" si="992"/>
        <v/>
      </c>
      <c r="S4477" s="1">
        <f t="shared" si="993"/>
        <v>630.90240000000244</v>
      </c>
      <c r="T4477" s="1">
        <f t="shared" si="994"/>
        <v>0</v>
      </c>
      <c r="U4477" s="1">
        <f t="shared" si="995"/>
        <v>0</v>
      </c>
      <c r="V4477" s="1">
        <f t="shared" si="996"/>
        <v>0</v>
      </c>
    </row>
    <row r="4478" spans="5:22" x14ac:dyDescent="0.25">
      <c r="E4478" s="4"/>
      <c r="M4478" s="4">
        <f t="shared" si="989"/>
        <v>173.1</v>
      </c>
      <c r="N4478" s="4"/>
      <c r="O4478" s="1">
        <f t="shared" si="990"/>
        <v>173.1</v>
      </c>
      <c r="P4478" s="1">
        <f t="shared" si="991"/>
        <v>0</v>
      </c>
      <c r="Q4478" s="1" t="str">
        <f t="shared" si="997"/>
        <v/>
      </c>
      <c r="R4478" s="1" t="str">
        <f t="shared" si="992"/>
        <v/>
      </c>
      <c r="S4478" s="1">
        <f t="shared" si="993"/>
        <v>630.90240000000244</v>
      </c>
      <c r="T4478" s="1">
        <f t="shared" si="994"/>
        <v>0</v>
      </c>
      <c r="U4478" s="1">
        <f t="shared" si="995"/>
        <v>0</v>
      </c>
      <c r="V4478" s="1">
        <f t="shared" si="996"/>
        <v>0</v>
      </c>
    </row>
    <row r="4479" spans="5:22" x14ac:dyDescent="0.25">
      <c r="E4479" s="4"/>
      <c r="M4479" s="4">
        <f t="shared" si="989"/>
        <v>173.1</v>
      </c>
      <c r="N4479" s="4"/>
      <c r="O4479" s="1">
        <f t="shared" si="990"/>
        <v>173.1</v>
      </c>
      <c r="P4479" s="1">
        <f t="shared" si="991"/>
        <v>0</v>
      </c>
      <c r="Q4479" s="1" t="str">
        <f t="shared" si="997"/>
        <v/>
      </c>
      <c r="R4479" s="1" t="str">
        <f t="shared" si="992"/>
        <v/>
      </c>
      <c r="S4479" s="1">
        <f t="shared" si="993"/>
        <v>630.90240000000244</v>
      </c>
      <c r="T4479" s="1">
        <f t="shared" si="994"/>
        <v>0</v>
      </c>
      <c r="U4479" s="1">
        <f t="shared" si="995"/>
        <v>0</v>
      </c>
      <c r="V4479" s="1">
        <f t="shared" si="996"/>
        <v>0</v>
      </c>
    </row>
    <row r="4480" spans="5:22" x14ac:dyDescent="0.25">
      <c r="E4480" s="4"/>
      <c r="M4480" s="4">
        <f t="shared" si="989"/>
        <v>173.1</v>
      </c>
      <c r="N4480" s="4"/>
      <c r="O4480" s="1">
        <f t="shared" si="990"/>
        <v>173.1</v>
      </c>
      <c r="P4480" s="1">
        <f t="shared" si="991"/>
        <v>0</v>
      </c>
      <c r="Q4480" s="1" t="str">
        <f t="shared" si="997"/>
        <v/>
      </c>
      <c r="R4480" s="1" t="str">
        <f t="shared" si="992"/>
        <v/>
      </c>
      <c r="S4480" s="1">
        <f t="shared" si="993"/>
        <v>630.90240000000244</v>
      </c>
      <c r="T4480" s="1">
        <f t="shared" si="994"/>
        <v>0</v>
      </c>
      <c r="U4480" s="1">
        <f t="shared" si="995"/>
        <v>0</v>
      </c>
      <c r="V4480" s="1">
        <f t="shared" si="996"/>
        <v>0</v>
      </c>
    </row>
    <row r="4481" spans="5:22" x14ac:dyDescent="0.25">
      <c r="E4481" s="4"/>
      <c r="M4481" s="4">
        <f t="shared" si="989"/>
        <v>173.1</v>
      </c>
      <c r="N4481" s="4"/>
      <c r="O4481" s="1">
        <f t="shared" si="990"/>
        <v>173.1</v>
      </c>
      <c r="P4481" s="1">
        <f t="shared" si="991"/>
        <v>0</v>
      </c>
      <c r="Q4481" s="1" t="str">
        <f t="shared" si="997"/>
        <v/>
      </c>
      <c r="R4481" s="1" t="str">
        <f t="shared" si="992"/>
        <v/>
      </c>
      <c r="S4481" s="1">
        <f t="shared" si="993"/>
        <v>630.90240000000244</v>
      </c>
      <c r="T4481" s="1">
        <f t="shared" si="994"/>
        <v>0</v>
      </c>
      <c r="U4481" s="1">
        <f t="shared" si="995"/>
        <v>0</v>
      </c>
      <c r="V4481" s="1">
        <f t="shared" si="996"/>
        <v>0</v>
      </c>
    </row>
    <row r="4482" spans="5:22" x14ac:dyDescent="0.25">
      <c r="E4482" s="4"/>
      <c r="M4482" s="4">
        <f t="shared" si="989"/>
        <v>173.1</v>
      </c>
      <c r="N4482" s="4"/>
      <c r="O4482" s="1">
        <f t="shared" si="990"/>
        <v>173.1</v>
      </c>
      <c r="P4482" s="1">
        <f t="shared" si="991"/>
        <v>0</v>
      </c>
      <c r="Q4482" s="1" t="str">
        <f t="shared" si="997"/>
        <v/>
      </c>
      <c r="R4482" s="1" t="str">
        <f t="shared" si="992"/>
        <v/>
      </c>
      <c r="S4482" s="1">
        <f t="shared" si="993"/>
        <v>630.90240000000244</v>
      </c>
      <c r="T4482" s="1">
        <f t="shared" si="994"/>
        <v>0</v>
      </c>
      <c r="U4482" s="1">
        <f t="shared" si="995"/>
        <v>0</v>
      </c>
      <c r="V4482" s="1">
        <f t="shared" si="996"/>
        <v>0</v>
      </c>
    </row>
    <row r="4483" spans="5:22" x14ac:dyDescent="0.25">
      <c r="E4483" s="4"/>
      <c r="M4483" s="4">
        <f t="shared" si="989"/>
        <v>173.1</v>
      </c>
      <c r="N4483" s="4"/>
      <c r="O4483" s="1">
        <f t="shared" si="990"/>
        <v>173.1</v>
      </c>
      <c r="P4483" s="1">
        <f t="shared" si="991"/>
        <v>0</v>
      </c>
      <c r="Q4483" s="1" t="str">
        <f t="shared" si="997"/>
        <v/>
      </c>
      <c r="R4483" s="1" t="str">
        <f t="shared" si="992"/>
        <v/>
      </c>
      <c r="S4483" s="1">
        <f t="shared" si="993"/>
        <v>630.90240000000244</v>
      </c>
      <c r="T4483" s="1">
        <f t="shared" si="994"/>
        <v>0</v>
      </c>
      <c r="U4483" s="1">
        <f t="shared" si="995"/>
        <v>0</v>
      </c>
      <c r="V4483" s="1">
        <f t="shared" si="996"/>
        <v>0</v>
      </c>
    </row>
    <row r="4484" spans="5:22" x14ac:dyDescent="0.25">
      <c r="E4484" s="4"/>
      <c r="M4484" s="4">
        <f t="shared" si="989"/>
        <v>173.1</v>
      </c>
      <c r="N4484" s="4"/>
      <c r="O4484" s="1">
        <f t="shared" si="990"/>
        <v>173.1</v>
      </c>
      <c r="P4484" s="1">
        <f t="shared" si="991"/>
        <v>0</v>
      </c>
      <c r="Q4484" s="1" t="str">
        <f t="shared" si="997"/>
        <v/>
      </c>
      <c r="R4484" s="1" t="str">
        <f t="shared" si="992"/>
        <v/>
      </c>
      <c r="S4484" s="1">
        <f t="shared" si="993"/>
        <v>630.90240000000244</v>
      </c>
      <c r="T4484" s="1">
        <f t="shared" si="994"/>
        <v>0</v>
      </c>
      <c r="U4484" s="1">
        <f t="shared" si="995"/>
        <v>0</v>
      </c>
      <c r="V4484" s="1">
        <f t="shared" si="996"/>
        <v>0</v>
      </c>
    </row>
    <row r="4485" spans="5:22" x14ac:dyDescent="0.25">
      <c r="E4485" s="4"/>
      <c r="M4485" s="4">
        <f t="shared" si="989"/>
        <v>173.1</v>
      </c>
      <c r="N4485" s="4"/>
      <c r="O4485" s="1">
        <f t="shared" si="990"/>
        <v>173.1</v>
      </c>
      <c r="P4485" s="1">
        <f t="shared" si="991"/>
        <v>0</v>
      </c>
      <c r="Q4485" s="1" t="str">
        <f t="shared" si="997"/>
        <v/>
      </c>
      <c r="R4485" s="1" t="str">
        <f t="shared" si="992"/>
        <v/>
      </c>
      <c r="S4485" s="1">
        <f t="shared" si="993"/>
        <v>630.90240000000244</v>
      </c>
      <c r="T4485" s="1">
        <f t="shared" si="994"/>
        <v>0</v>
      </c>
      <c r="U4485" s="1">
        <f t="shared" si="995"/>
        <v>0</v>
      </c>
      <c r="V4485" s="1">
        <f t="shared" si="996"/>
        <v>0</v>
      </c>
    </row>
    <row r="4486" spans="5:22" x14ac:dyDescent="0.25">
      <c r="E4486" s="4"/>
      <c r="M4486" s="4">
        <f t="shared" si="989"/>
        <v>173.1</v>
      </c>
      <c r="N4486" s="4"/>
      <c r="O4486" s="1">
        <f t="shared" si="990"/>
        <v>173.1</v>
      </c>
      <c r="P4486" s="1">
        <f t="shared" si="991"/>
        <v>0</v>
      </c>
      <c r="Q4486" s="1" t="str">
        <f t="shared" si="997"/>
        <v/>
      </c>
      <c r="R4486" s="1" t="str">
        <f t="shared" si="992"/>
        <v/>
      </c>
      <c r="S4486" s="1">
        <f t="shared" si="993"/>
        <v>630.90240000000244</v>
      </c>
      <c r="T4486" s="1">
        <f t="shared" si="994"/>
        <v>0</v>
      </c>
      <c r="U4486" s="1">
        <f t="shared" si="995"/>
        <v>0</v>
      </c>
      <c r="V4486" s="1">
        <f t="shared" si="996"/>
        <v>0</v>
      </c>
    </row>
    <row r="4487" spans="5:22" x14ac:dyDescent="0.25">
      <c r="E4487" s="4"/>
      <c r="M4487" s="4">
        <f t="shared" si="989"/>
        <v>173.1</v>
      </c>
      <c r="N4487" s="4"/>
      <c r="O4487" s="1">
        <f t="shared" si="990"/>
        <v>173.1</v>
      </c>
      <c r="P4487" s="1">
        <f t="shared" si="991"/>
        <v>0</v>
      </c>
      <c r="Q4487" s="1" t="str">
        <f t="shared" si="997"/>
        <v/>
      </c>
      <c r="R4487" s="1" t="str">
        <f t="shared" si="992"/>
        <v/>
      </c>
      <c r="S4487" s="1">
        <f t="shared" si="993"/>
        <v>630.90240000000244</v>
      </c>
      <c r="T4487" s="1">
        <f t="shared" si="994"/>
        <v>0</v>
      </c>
      <c r="U4487" s="1">
        <f t="shared" si="995"/>
        <v>0</v>
      </c>
      <c r="V4487" s="1">
        <f t="shared" si="996"/>
        <v>0</v>
      </c>
    </row>
    <row r="4488" spans="5:22" x14ac:dyDescent="0.25">
      <c r="E4488" s="4"/>
      <c r="M4488" s="4">
        <f t="shared" ref="M4488:M4551" si="998">E4488+M4487</f>
        <v>173.1</v>
      </c>
      <c r="N4488" s="4"/>
      <c r="O4488" s="1">
        <f t="shared" ref="O4488:O4551" si="999">E4487+O4487</f>
        <v>173.1</v>
      </c>
      <c r="P4488" s="1">
        <f t="shared" ref="P4488:P4551" si="1000">F4488*52.8*E4488</f>
        <v>0</v>
      </c>
      <c r="Q4488" s="1" t="str">
        <f t="shared" si="997"/>
        <v/>
      </c>
      <c r="R4488" s="1" t="str">
        <f t="shared" ref="R4488:R4551" si="1001">IF(I4488="",Q4488,IF(AND(H4488=H4487,I4488=I4487),"",I4488))</f>
        <v/>
      </c>
      <c r="S4488" s="1">
        <f t="shared" ref="S4488:S4551" si="1002">S4487+U4487*T4487/100</f>
        <v>630.90240000000244</v>
      </c>
      <c r="T4488" s="1">
        <f t="shared" ref="T4488:T4551" si="1003">IF(G4488="UNK",0,G4488)</f>
        <v>0</v>
      </c>
      <c r="U4488" s="1">
        <f t="shared" ref="U4488:U4551" si="1004">E4488*5280</f>
        <v>0</v>
      </c>
      <c r="V4488" s="1">
        <f t="shared" ref="V4488:V4551" si="1005">ABS(T4488*U4488)</f>
        <v>0</v>
      </c>
    </row>
    <row r="4489" spans="5:22" x14ac:dyDescent="0.25">
      <c r="E4489" s="4"/>
      <c r="M4489" s="4">
        <f t="shared" si="998"/>
        <v>173.1</v>
      </c>
      <c r="N4489" s="4"/>
      <c r="O4489" s="1">
        <f t="shared" si="999"/>
        <v>173.1</v>
      </c>
      <c r="P4489" s="1">
        <f t="shared" si="1000"/>
        <v>0</v>
      </c>
      <c r="Q4489" s="1" t="str">
        <f t="shared" si="997"/>
        <v/>
      </c>
      <c r="R4489" s="1" t="str">
        <f t="shared" si="1001"/>
        <v/>
      </c>
      <c r="S4489" s="1">
        <f t="shared" si="1002"/>
        <v>630.90240000000244</v>
      </c>
      <c r="T4489" s="1">
        <f t="shared" si="1003"/>
        <v>0</v>
      </c>
      <c r="U4489" s="1">
        <f t="shared" si="1004"/>
        <v>0</v>
      </c>
      <c r="V4489" s="1">
        <f t="shared" si="1005"/>
        <v>0</v>
      </c>
    </row>
    <row r="4490" spans="5:22" x14ac:dyDescent="0.25">
      <c r="E4490" s="4"/>
      <c r="M4490" s="4">
        <f t="shared" si="998"/>
        <v>173.1</v>
      </c>
      <c r="N4490" s="4"/>
      <c r="O4490" s="1">
        <f t="shared" si="999"/>
        <v>173.1</v>
      </c>
      <c r="P4490" s="1">
        <f t="shared" si="1000"/>
        <v>0</v>
      </c>
      <c r="Q4490" s="1" t="str">
        <f t="shared" si="997"/>
        <v/>
      </c>
      <c r="R4490" s="1" t="str">
        <f t="shared" si="1001"/>
        <v/>
      </c>
      <c r="S4490" s="1">
        <f t="shared" si="1002"/>
        <v>630.90240000000244</v>
      </c>
      <c r="T4490" s="1">
        <f t="shared" si="1003"/>
        <v>0</v>
      </c>
      <c r="U4490" s="1">
        <f t="shared" si="1004"/>
        <v>0</v>
      </c>
      <c r="V4490" s="1">
        <f t="shared" si="1005"/>
        <v>0</v>
      </c>
    </row>
    <row r="4491" spans="5:22" x14ac:dyDescent="0.25">
      <c r="E4491" s="4"/>
      <c r="M4491" s="4">
        <f t="shared" si="998"/>
        <v>173.1</v>
      </c>
      <c r="N4491" s="4"/>
      <c r="O4491" s="1">
        <f t="shared" si="999"/>
        <v>173.1</v>
      </c>
      <c r="P4491" s="1">
        <f t="shared" si="1000"/>
        <v>0</v>
      </c>
      <c r="Q4491" s="1" t="str">
        <f t="shared" si="997"/>
        <v/>
      </c>
      <c r="R4491" s="1" t="str">
        <f t="shared" si="1001"/>
        <v/>
      </c>
      <c r="S4491" s="1">
        <f t="shared" si="1002"/>
        <v>630.90240000000244</v>
      </c>
      <c r="T4491" s="1">
        <f t="shared" si="1003"/>
        <v>0</v>
      </c>
      <c r="U4491" s="1">
        <f t="shared" si="1004"/>
        <v>0</v>
      </c>
      <c r="V4491" s="1">
        <f t="shared" si="1005"/>
        <v>0</v>
      </c>
    </row>
    <row r="4492" spans="5:22" x14ac:dyDescent="0.25">
      <c r="E4492" s="4"/>
      <c r="M4492" s="4">
        <f t="shared" si="998"/>
        <v>173.1</v>
      </c>
      <c r="N4492" s="4"/>
      <c r="O4492" s="1">
        <f t="shared" si="999"/>
        <v>173.1</v>
      </c>
      <c r="P4492" s="1">
        <f t="shared" si="1000"/>
        <v>0</v>
      </c>
      <c r="Q4492" s="1" t="str">
        <f t="shared" si="997"/>
        <v/>
      </c>
      <c r="R4492" s="1" t="str">
        <f t="shared" si="1001"/>
        <v/>
      </c>
      <c r="S4492" s="1">
        <f t="shared" si="1002"/>
        <v>630.90240000000244</v>
      </c>
      <c r="T4492" s="1">
        <f t="shared" si="1003"/>
        <v>0</v>
      </c>
      <c r="U4492" s="1">
        <f t="shared" si="1004"/>
        <v>0</v>
      </c>
      <c r="V4492" s="1">
        <f t="shared" si="1005"/>
        <v>0</v>
      </c>
    </row>
    <row r="4493" spans="5:22" x14ac:dyDescent="0.25">
      <c r="E4493" s="4"/>
      <c r="M4493" s="4">
        <f t="shared" si="998"/>
        <v>173.1</v>
      </c>
      <c r="N4493" s="4"/>
      <c r="O4493" s="1">
        <f t="shared" si="999"/>
        <v>173.1</v>
      </c>
      <c r="P4493" s="1">
        <f t="shared" si="1000"/>
        <v>0</v>
      </c>
      <c r="Q4493" s="1" t="str">
        <f t="shared" si="997"/>
        <v/>
      </c>
      <c r="R4493" s="1" t="str">
        <f t="shared" si="1001"/>
        <v/>
      </c>
      <c r="S4493" s="1">
        <f t="shared" si="1002"/>
        <v>630.90240000000244</v>
      </c>
      <c r="T4493" s="1">
        <f t="shared" si="1003"/>
        <v>0</v>
      </c>
      <c r="U4493" s="1">
        <f t="shared" si="1004"/>
        <v>0</v>
      </c>
      <c r="V4493" s="1">
        <f t="shared" si="1005"/>
        <v>0</v>
      </c>
    </row>
    <row r="4494" spans="5:22" x14ac:dyDescent="0.25">
      <c r="E4494" s="4"/>
      <c r="M4494" s="4">
        <f t="shared" si="998"/>
        <v>173.1</v>
      </c>
      <c r="N4494" s="4"/>
      <c r="O4494" s="1">
        <f t="shared" si="999"/>
        <v>173.1</v>
      </c>
      <c r="P4494" s="1">
        <f t="shared" si="1000"/>
        <v>0</v>
      </c>
      <c r="Q4494" s="1" t="str">
        <f t="shared" si="997"/>
        <v/>
      </c>
      <c r="R4494" s="1" t="str">
        <f t="shared" si="1001"/>
        <v/>
      </c>
      <c r="S4494" s="1">
        <f t="shared" si="1002"/>
        <v>630.90240000000244</v>
      </c>
      <c r="T4494" s="1">
        <f t="shared" si="1003"/>
        <v>0</v>
      </c>
      <c r="U4494" s="1">
        <f t="shared" si="1004"/>
        <v>0</v>
      </c>
      <c r="V4494" s="1">
        <f t="shared" si="1005"/>
        <v>0</v>
      </c>
    </row>
    <row r="4495" spans="5:22" x14ac:dyDescent="0.25">
      <c r="E4495" s="4"/>
      <c r="M4495" s="4">
        <f t="shared" si="998"/>
        <v>173.1</v>
      </c>
      <c r="N4495" s="4"/>
      <c r="O4495" s="1">
        <f t="shared" si="999"/>
        <v>173.1</v>
      </c>
      <c r="P4495" s="1">
        <f t="shared" si="1000"/>
        <v>0</v>
      </c>
      <c r="Q4495" s="1" t="str">
        <f t="shared" si="997"/>
        <v/>
      </c>
      <c r="R4495" s="1" t="str">
        <f t="shared" si="1001"/>
        <v/>
      </c>
      <c r="S4495" s="1">
        <f t="shared" si="1002"/>
        <v>630.90240000000244</v>
      </c>
      <c r="T4495" s="1">
        <f t="shared" si="1003"/>
        <v>0</v>
      </c>
      <c r="U4495" s="1">
        <f t="shared" si="1004"/>
        <v>0</v>
      </c>
      <c r="V4495" s="1">
        <f t="shared" si="1005"/>
        <v>0</v>
      </c>
    </row>
    <row r="4496" spans="5:22" x14ac:dyDescent="0.25">
      <c r="E4496" s="4"/>
      <c r="M4496" s="4">
        <f t="shared" si="998"/>
        <v>173.1</v>
      </c>
      <c r="N4496" s="4"/>
      <c r="O4496" s="1">
        <f t="shared" si="999"/>
        <v>173.1</v>
      </c>
      <c r="P4496" s="1">
        <f t="shared" si="1000"/>
        <v>0</v>
      </c>
      <c r="Q4496" s="1" t="str">
        <f t="shared" si="997"/>
        <v/>
      </c>
      <c r="R4496" s="1" t="str">
        <f t="shared" si="1001"/>
        <v/>
      </c>
      <c r="S4496" s="1">
        <f t="shared" si="1002"/>
        <v>630.90240000000244</v>
      </c>
      <c r="T4496" s="1">
        <f t="shared" si="1003"/>
        <v>0</v>
      </c>
      <c r="U4496" s="1">
        <f t="shared" si="1004"/>
        <v>0</v>
      </c>
      <c r="V4496" s="1">
        <f t="shared" si="1005"/>
        <v>0</v>
      </c>
    </row>
    <row r="4497" spans="5:22" x14ac:dyDescent="0.25">
      <c r="E4497" s="4"/>
      <c r="M4497" s="4">
        <f t="shared" si="998"/>
        <v>173.1</v>
      </c>
      <c r="N4497" s="4"/>
      <c r="O4497" s="1">
        <f t="shared" si="999"/>
        <v>173.1</v>
      </c>
      <c r="P4497" s="1">
        <f t="shared" si="1000"/>
        <v>0</v>
      </c>
      <c r="Q4497" s="1" t="str">
        <f t="shared" si="997"/>
        <v/>
      </c>
      <c r="R4497" s="1" t="str">
        <f t="shared" si="1001"/>
        <v/>
      </c>
      <c r="S4497" s="1">
        <f t="shared" si="1002"/>
        <v>630.90240000000244</v>
      </c>
      <c r="T4497" s="1">
        <f t="shared" si="1003"/>
        <v>0</v>
      </c>
      <c r="U4497" s="1">
        <f t="shared" si="1004"/>
        <v>0</v>
      </c>
      <c r="V4497" s="1">
        <f t="shared" si="1005"/>
        <v>0</v>
      </c>
    </row>
    <row r="4498" spans="5:22" x14ac:dyDescent="0.25">
      <c r="E4498" s="4"/>
      <c r="M4498" s="4">
        <f t="shared" si="998"/>
        <v>173.1</v>
      </c>
      <c r="N4498" s="4"/>
      <c r="O4498" s="1">
        <f t="shared" si="999"/>
        <v>173.1</v>
      </c>
      <c r="P4498" s="1">
        <f t="shared" si="1000"/>
        <v>0</v>
      </c>
      <c r="Q4498" s="1" t="str">
        <f t="shared" si="997"/>
        <v/>
      </c>
      <c r="R4498" s="1" t="str">
        <f t="shared" si="1001"/>
        <v/>
      </c>
      <c r="S4498" s="1">
        <f t="shared" si="1002"/>
        <v>630.90240000000244</v>
      </c>
      <c r="T4498" s="1">
        <f t="shared" si="1003"/>
        <v>0</v>
      </c>
      <c r="U4498" s="1">
        <f t="shared" si="1004"/>
        <v>0</v>
      </c>
      <c r="V4498" s="1">
        <f t="shared" si="1005"/>
        <v>0</v>
      </c>
    </row>
    <row r="4499" spans="5:22" x14ac:dyDescent="0.25">
      <c r="E4499" s="4"/>
      <c r="M4499" s="4">
        <f t="shared" si="998"/>
        <v>173.1</v>
      </c>
      <c r="N4499" s="4"/>
      <c r="O4499" s="1">
        <f t="shared" si="999"/>
        <v>173.1</v>
      </c>
      <c r="P4499" s="1">
        <f t="shared" si="1000"/>
        <v>0</v>
      </c>
      <c r="Q4499" s="1" t="str">
        <f t="shared" si="997"/>
        <v/>
      </c>
      <c r="R4499" s="1" t="str">
        <f t="shared" si="1001"/>
        <v/>
      </c>
      <c r="S4499" s="1">
        <f t="shared" si="1002"/>
        <v>630.90240000000244</v>
      </c>
      <c r="T4499" s="1">
        <f t="shared" si="1003"/>
        <v>0</v>
      </c>
      <c r="U4499" s="1">
        <f t="shared" si="1004"/>
        <v>0</v>
      </c>
      <c r="V4499" s="1">
        <f t="shared" si="1005"/>
        <v>0</v>
      </c>
    </row>
    <row r="4500" spans="5:22" x14ac:dyDescent="0.25">
      <c r="E4500" s="4"/>
      <c r="M4500" s="4">
        <f t="shared" si="998"/>
        <v>173.1</v>
      </c>
      <c r="N4500" s="4"/>
      <c r="O4500" s="1">
        <f t="shared" si="999"/>
        <v>173.1</v>
      </c>
      <c r="P4500" s="1">
        <f t="shared" si="1000"/>
        <v>0</v>
      </c>
      <c r="Q4500" s="1" t="str">
        <f t="shared" si="997"/>
        <v/>
      </c>
      <c r="R4500" s="1" t="str">
        <f t="shared" si="1001"/>
        <v/>
      </c>
      <c r="S4500" s="1">
        <f t="shared" si="1002"/>
        <v>630.90240000000244</v>
      </c>
      <c r="T4500" s="1">
        <f t="shared" si="1003"/>
        <v>0</v>
      </c>
      <c r="U4500" s="1">
        <f t="shared" si="1004"/>
        <v>0</v>
      </c>
      <c r="V4500" s="1">
        <f t="shared" si="1005"/>
        <v>0</v>
      </c>
    </row>
    <row r="4501" spans="5:22" x14ac:dyDescent="0.25">
      <c r="E4501" s="4"/>
      <c r="M4501" s="4">
        <f t="shared" si="998"/>
        <v>173.1</v>
      </c>
      <c r="N4501" s="4"/>
      <c r="O4501" s="1">
        <f t="shared" si="999"/>
        <v>173.1</v>
      </c>
      <c r="P4501" s="1">
        <f t="shared" si="1000"/>
        <v>0</v>
      </c>
      <c r="Q4501" s="1" t="str">
        <f t="shared" si="997"/>
        <v/>
      </c>
      <c r="R4501" s="1" t="str">
        <f t="shared" si="1001"/>
        <v/>
      </c>
      <c r="S4501" s="1">
        <f t="shared" si="1002"/>
        <v>630.90240000000244</v>
      </c>
      <c r="T4501" s="1">
        <f t="shared" si="1003"/>
        <v>0</v>
      </c>
      <c r="U4501" s="1">
        <f t="shared" si="1004"/>
        <v>0</v>
      </c>
      <c r="V4501" s="1">
        <f t="shared" si="1005"/>
        <v>0</v>
      </c>
    </row>
    <row r="4502" spans="5:22" x14ac:dyDescent="0.25">
      <c r="E4502" s="4"/>
      <c r="M4502" s="4">
        <f t="shared" si="998"/>
        <v>173.1</v>
      </c>
      <c r="N4502" s="4"/>
      <c r="O4502" s="1">
        <f t="shared" si="999"/>
        <v>173.1</v>
      </c>
      <c r="P4502" s="1">
        <f t="shared" si="1000"/>
        <v>0</v>
      </c>
      <c r="Q4502" s="1" t="str">
        <f t="shared" si="997"/>
        <v/>
      </c>
      <c r="R4502" s="1" t="str">
        <f t="shared" si="1001"/>
        <v/>
      </c>
      <c r="S4502" s="1">
        <f t="shared" si="1002"/>
        <v>630.90240000000244</v>
      </c>
      <c r="T4502" s="1">
        <f t="shared" si="1003"/>
        <v>0</v>
      </c>
      <c r="U4502" s="1">
        <f t="shared" si="1004"/>
        <v>0</v>
      </c>
      <c r="V4502" s="1">
        <f t="shared" si="1005"/>
        <v>0</v>
      </c>
    </row>
    <row r="4503" spans="5:22" x14ac:dyDescent="0.25">
      <c r="E4503" s="4"/>
      <c r="M4503" s="4">
        <f t="shared" si="998"/>
        <v>173.1</v>
      </c>
      <c r="N4503" s="4"/>
      <c r="O4503" s="1">
        <f t="shared" si="999"/>
        <v>173.1</v>
      </c>
      <c r="P4503" s="1">
        <f t="shared" si="1000"/>
        <v>0</v>
      </c>
      <c r="Q4503" s="1" t="str">
        <f t="shared" si="997"/>
        <v/>
      </c>
      <c r="R4503" s="1" t="str">
        <f t="shared" si="1001"/>
        <v/>
      </c>
      <c r="S4503" s="1">
        <f t="shared" si="1002"/>
        <v>630.90240000000244</v>
      </c>
      <c r="T4503" s="1">
        <f t="shared" si="1003"/>
        <v>0</v>
      </c>
      <c r="U4503" s="1">
        <f t="shared" si="1004"/>
        <v>0</v>
      </c>
      <c r="V4503" s="1">
        <f t="shared" si="1005"/>
        <v>0</v>
      </c>
    </row>
    <row r="4504" spans="5:22" x14ac:dyDescent="0.25">
      <c r="E4504" s="4"/>
      <c r="M4504" s="4">
        <f t="shared" si="998"/>
        <v>173.1</v>
      </c>
      <c r="N4504" s="4"/>
      <c r="O4504" s="1">
        <f t="shared" si="999"/>
        <v>173.1</v>
      </c>
      <c r="P4504" s="1">
        <f t="shared" si="1000"/>
        <v>0</v>
      </c>
      <c r="Q4504" s="1" t="str">
        <f t="shared" si="997"/>
        <v/>
      </c>
      <c r="R4504" s="1" t="str">
        <f t="shared" si="1001"/>
        <v/>
      </c>
      <c r="S4504" s="1">
        <f t="shared" si="1002"/>
        <v>630.90240000000244</v>
      </c>
      <c r="T4504" s="1">
        <f t="shared" si="1003"/>
        <v>0</v>
      </c>
      <c r="U4504" s="1">
        <f t="shared" si="1004"/>
        <v>0</v>
      </c>
      <c r="V4504" s="1">
        <f t="shared" si="1005"/>
        <v>0</v>
      </c>
    </row>
    <row r="4505" spans="5:22" x14ac:dyDescent="0.25">
      <c r="E4505" s="4"/>
      <c r="M4505" s="4">
        <f t="shared" si="998"/>
        <v>173.1</v>
      </c>
      <c r="N4505" s="4"/>
      <c r="O4505" s="1">
        <f t="shared" si="999"/>
        <v>173.1</v>
      </c>
      <c r="P4505" s="1">
        <f t="shared" si="1000"/>
        <v>0</v>
      </c>
      <c r="Q4505" s="1" t="str">
        <f t="shared" si="997"/>
        <v/>
      </c>
      <c r="R4505" s="1" t="str">
        <f t="shared" si="1001"/>
        <v/>
      </c>
      <c r="S4505" s="1">
        <f t="shared" si="1002"/>
        <v>630.90240000000244</v>
      </c>
      <c r="T4505" s="1">
        <f t="shared" si="1003"/>
        <v>0</v>
      </c>
      <c r="U4505" s="1">
        <f t="shared" si="1004"/>
        <v>0</v>
      </c>
      <c r="V4505" s="1">
        <f t="shared" si="1005"/>
        <v>0</v>
      </c>
    </row>
    <row r="4506" spans="5:22" x14ac:dyDescent="0.25">
      <c r="E4506" s="4"/>
      <c r="M4506" s="4">
        <f t="shared" si="998"/>
        <v>173.1</v>
      </c>
      <c r="N4506" s="4"/>
      <c r="O4506" s="1">
        <f t="shared" si="999"/>
        <v>173.1</v>
      </c>
      <c r="P4506" s="1">
        <f t="shared" si="1000"/>
        <v>0</v>
      </c>
      <c r="Q4506" s="1" t="str">
        <f t="shared" si="997"/>
        <v/>
      </c>
      <c r="R4506" s="1" t="str">
        <f t="shared" si="1001"/>
        <v/>
      </c>
      <c r="S4506" s="1">
        <f t="shared" si="1002"/>
        <v>630.90240000000244</v>
      </c>
      <c r="T4506" s="1">
        <f t="shared" si="1003"/>
        <v>0</v>
      </c>
      <c r="U4506" s="1">
        <f t="shared" si="1004"/>
        <v>0</v>
      </c>
      <c r="V4506" s="1">
        <f t="shared" si="1005"/>
        <v>0</v>
      </c>
    </row>
    <row r="4507" spans="5:22" x14ac:dyDescent="0.25">
      <c r="E4507" s="4"/>
      <c r="M4507" s="4">
        <f t="shared" si="998"/>
        <v>173.1</v>
      </c>
      <c r="N4507" s="4"/>
      <c r="O4507" s="1">
        <f t="shared" si="999"/>
        <v>173.1</v>
      </c>
      <c r="P4507" s="1">
        <f t="shared" si="1000"/>
        <v>0</v>
      </c>
      <c r="Q4507" s="1" t="str">
        <f t="shared" si="997"/>
        <v/>
      </c>
      <c r="R4507" s="1" t="str">
        <f t="shared" si="1001"/>
        <v/>
      </c>
      <c r="S4507" s="1">
        <f t="shared" si="1002"/>
        <v>630.90240000000244</v>
      </c>
      <c r="T4507" s="1">
        <f t="shared" si="1003"/>
        <v>0</v>
      </c>
      <c r="U4507" s="1">
        <f t="shared" si="1004"/>
        <v>0</v>
      </c>
      <c r="V4507" s="1">
        <f t="shared" si="1005"/>
        <v>0</v>
      </c>
    </row>
    <row r="4508" spans="5:22" x14ac:dyDescent="0.25">
      <c r="E4508" s="4"/>
      <c r="M4508" s="4">
        <f t="shared" si="998"/>
        <v>173.1</v>
      </c>
      <c r="N4508" s="4"/>
      <c r="O4508" s="1">
        <f t="shared" si="999"/>
        <v>173.1</v>
      </c>
      <c r="P4508" s="1">
        <f t="shared" si="1000"/>
        <v>0</v>
      </c>
      <c r="Q4508" s="1" t="str">
        <f t="shared" si="997"/>
        <v/>
      </c>
      <c r="R4508" s="1" t="str">
        <f t="shared" si="1001"/>
        <v/>
      </c>
      <c r="S4508" s="1">
        <f t="shared" si="1002"/>
        <v>630.90240000000244</v>
      </c>
      <c r="T4508" s="1">
        <f t="shared" si="1003"/>
        <v>0</v>
      </c>
      <c r="U4508" s="1">
        <f t="shared" si="1004"/>
        <v>0</v>
      </c>
      <c r="V4508" s="1">
        <f t="shared" si="1005"/>
        <v>0</v>
      </c>
    </row>
    <row r="4509" spans="5:22" x14ac:dyDescent="0.25">
      <c r="E4509" s="4"/>
      <c r="M4509" s="4">
        <f t="shared" si="998"/>
        <v>173.1</v>
      </c>
      <c r="N4509" s="4"/>
      <c r="O4509" s="1">
        <f t="shared" si="999"/>
        <v>173.1</v>
      </c>
      <c r="P4509" s="1">
        <f t="shared" si="1000"/>
        <v>0</v>
      </c>
      <c r="Q4509" s="1" t="str">
        <f t="shared" si="997"/>
        <v/>
      </c>
      <c r="R4509" s="1" t="str">
        <f t="shared" si="1001"/>
        <v/>
      </c>
      <c r="S4509" s="1">
        <f t="shared" si="1002"/>
        <v>630.90240000000244</v>
      </c>
      <c r="T4509" s="1">
        <f t="shared" si="1003"/>
        <v>0</v>
      </c>
      <c r="U4509" s="1">
        <f t="shared" si="1004"/>
        <v>0</v>
      </c>
      <c r="V4509" s="1">
        <f t="shared" si="1005"/>
        <v>0</v>
      </c>
    </row>
    <row r="4510" spans="5:22" x14ac:dyDescent="0.25">
      <c r="E4510" s="4"/>
      <c r="M4510" s="4">
        <f t="shared" si="998"/>
        <v>173.1</v>
      </c>
      <c r="N4510" s="4"/>
      <c r="O4510" s="1">
        <f t="shared" si="999"/>
        <v>173.1</v>
      </c>
      <c r="P4510" s="1">
        <f t="shared" si="1000"/>
        <v>0</v>
      </c>
      <c r="Q4510" s="1" t="str">
        <f t="shared" si="997"/>
        <v/>
      </c>
      <c r="R4510" s="1" t="str">
        <f t="shared" si="1001"/>
        <v/>
      </c>
      <c r="S4510" s="1">
        <f t="shared" si="1002"/>
        <v>630.90240000000244</v>
      </c>
      <c r="T4510" s="1">
        <f t="shared" si="1003"/>
        <v>0</v>
      </c>
      <c r="U4510" s="1">
        <f t="shared" si="1004"/>
        <v>0</v>
      </c>
      <c r="V4510" s="1">
        <f t="shared" si="1005"/>
        <v>0</v>
      </c>
    </row>
    <row r="4511" spans="5:22" x14ac:dyDescent="0.25">
      <c r="E4511" s="4"/>
      <c r="M4511" s="4">
        <f t="shared" si="998"/>
        <v>173.1</v>
      </c>
      <c r="N4511" s="4"/>
      <c r="O4511" s="1">
        <f t="shared" si="999"/>
        <v>173.1</v>
      </c>
      <c r="P4511" s="1">
        <f t="shared" si="1000"/>
        <v>0</v>
      </c>
      <c r="Q4511" s="1" t="str">
        <f t="shared" si="997"/>
        <v/>
      </c>
      <c r="R4511" s="1" t="str">
        <f t="shared" si="1001"/>
        <v/>
      </c>
      <c r="S4511" s="1">
        <f t="shared" si="1002"/>
        <v>630.90240000000244</v>
      </c>
      <c r="T4511" s="1">
        <f t="shared" si="1003"/>
        <v>0</v>
      </c>
      <c r="U4511" s="1">
        <f t="shared" si="1004"/>
        <v>0</v>
      </c>
      <c r="V4511" s="1">
        <f t="shared" si="1005"/>
        <v>0</v>
      </c>
    </row>
    <row r="4512" spans="5:22" x14ac:dyDescent="0.25">
      <c r="E4512" s="4"/>
      <c r="M4512" s="4">
        <f t="shared" si="998"/>
        <v>173.1</v>
      </c>
      <c r="N4512" s="4"/>
      <c r="O4512" s="1">
        <f t="shared" si="999"/>
        <v>173.1</v>
      </c>
      <c r="P4512" s="1">
        <f t="shared" si="1000"/>
        <v>0</v>
      </c>
      <c r="Q4512" s="1" t="str">
        <f t="shared" si="997"/>
        <v/>
      </c>
      <c r="R4512" s="1" t="str">
        <f t="shared" si="1001"/>
        <v/>
      </c>
      <c r="S4512" s="1">
        <f t="shared" si="1002"/>
        <v>630.90240000000244</v>
      </c>
      <c r="T4512" s="1">
        <f t="shared" si="1003"/>
        <v>0</v>
      </c>
      <c r="U4512" s="1">
        <f t="shared" si="1004"/>
        <v>0</v>
      </c>
      <c r="V4512" s="1">
        <f t="shared" si="1005"/>
        <v>0</v>
      </c>
    </row>
    <row r="4513" spans="5:22" x14ac:dyDescent="0.25">
      <c r="E4513" s="4"/>
      <c r="M4513" s="4">
        <f t="shared" si="998"/>
        <v>173.1</v>
      </c>
      <c r="N4513" s="4"/>
      <c r="O4513" s="1">
        <f t="shared" si="999"/>
        <v>173.1</v>
      </c>
      <c r="P4513" s="1">
        <f t="shared" si="1000"/>
        <v>0</v>
      </c>
      <c r="Q4513" s="1" t="str">
        <f t="shared" si="997"/>
        <v/>
      </c>
      <c r="R4513" s="1" t="str">
        <f t="shared" si="1001"/>
        <v/>
      </c>
      <c r="S4513" s="1">
        <f t="shared" si="1002"/>
        <v>630.90240000000244</v>
      </c>
      <c r="T4513" s="1">
        <f t="shared" si="1003"/>
        <v>0</v>
      </c>
      <c r="U4513" s="1">
        <f t="shared" si="1004"/>
        <v>0</v>
      </c>
      <c r="V4513" s="1">
        <f t="shared" si="1005"/>
        <v>0</v>
      </c>
    </row>
    <row r="4514" spans="5:22" x14ac:dyDescent="0.25">
      <c r="E4514" s="4"/>
      <c r="M4514" s="4">
        <f t="shared" si="998"/>
        <v>173.1</v>
      </c>
      <c r="N4514" s="4"/>
      <c r="O4514" s="1">
        <f t="shared" si="999"/>
        <v>173.1</v>
      </c>
      <c r="P4514" s="1">
        <f t="shared" si="1000"/>
        <v>0</v>
      </c>
      <c r="Q4514" s="1" t="str">
        <f t="shared" si="997"/>
        <v/>
      </c>
      <c r="R4514" s="1" t="str">
        <f t="shared" si="1001"/>
        <v/>
      </c>
      <c r="S4514" s="1">
        <f t="shared" si="1002"/>
        <v>630.90240000000244</v>
      </c>
      <c r="T4514" s="1">
        <f t="shared" si="1003"/>
        <v>0</v>
      </c>
      <c r="U4514" s="1">
        <f t="shared" si="1004"/>
        <v>0</v>
      </c>
      <c r="V4514" s="1">
        <f t="shared" si="1005"/>
        <v>0</v>
      </c>
    </row>
    <row r="4515" spans="5:22" x14ac:dyDescent="0.25">
      <c r="E4515" s="4"/>
      <c r="M4515" s="4">
        <f t="shared" si="998"/>
        <v>173.1</v>
      </c>
      <c r="N4515" s="4"/>
      <c r="O4515" s="1">
        <f t="shared" si="999"/>
        <v>173.1</v>
      </c>
      <c r="P4515" s="1">
        <f t="shared" si="1000"/>
        <v>0</v>
      </c>
      <c r="Q4515" s="1" t="str">
        <f t="shared" si="997"/>
        <v/>
      </c>
      <c r="R4515" s="1" t="str">
        <f t="shared" si="1001"/>
        <v/>
      </c>
      <c r="S4515" s="1">
        <f t="shared" si="1002"/>
        <v>630.90240000000244</v>
      </c>
      <c r="T4515" s="1">
        <f t="shared" si="1003"/>
        <v>0</v>
      </c>
      <c r="U4515" s="1">
        <f t="shared" si="1004"/>
        <v>0</v>
      </c>
      <c r="V4515" s="1">
        <f t="shared" si="1005"/>
        <v>0</v>
      </c>
    </row>
    <row r="4516" spans="5:22" x14ac:dyDescent="0.25">
      <c r="E4516" s="4"/>
      <c r="M4516" s="4">
        <f t="shared" si="998"/>
        <v>173.1</v>
      </c>
      <c r="N4516" s="4"/>
      <c r="O4516" s="1">
        <f t="shared" si="999"/>
        <v>173.1</v>
      </c>
      <c r="P4516" s="1">
        <f t="shared" si="1000"/>
        <v>0</v>
      </c>
      <c r="Q4516" s="1" t="str">
        <f t="shared" si="997"/>
        <v/>
      </c>
      <c r="R4516" s="1" t="str">
        <f t="shared" si="1001"/>
        <v/>
      </c>
      <c r="S4516" s="1">
        <f t="shared" si="1002"/>
        <v>630.90240000000244</v>
      </c>
      <c r="T4516" s="1">
        <f t="shared" si="1003"/>
        <v>0</v>
      </c>
      <c r="U4516" s="1">
        <f t="shared" si="1004"/>
        <v>0</v>
      </c>
      <c r="V4516" s="1">
        <f t="shared" si="1005"/>
        <v>0</v>
      </c>
    </row>
    <row r="4517" spans="5:22" x14ac:dyDescent="0.25">
      <c r="E4517" s="4"/>
      <c r="M4517" s="4">
        <f t="shared" si="998"/>
        <v>173.1</v>
      </c>
      <c r="N4517" s="4"/>
      <c r="O4517" s="1">
        <f t="shared" si="999"/>
        <v>173.1</v>
      </c>
      <c r="P4517" s="1">
        <f t="shared" si="1000"/>
        <v>0</v>
      </c>
      <c r="Q4517" s="1" t="str">
        <f t="shared" si="997"/>
        <v/>
      </c>
      <c r="R4517" s="1" t="str">
        <f t="shared" si="1001"/>
        <v/>
      </c>
      <c r="S4517" s="1">
        <f t="shared" si="1002"/>
        <v>630.90240000000244</v>
      </c>
      <c r="T4517" s="1">
        <f t="shared" si="1003"/>
        <v>0</v>
      </c>
      <c r="U4517" s="1">
        <f t="shared" si="1004"/>
        <v>0</v>
      </c>
      <c r="V4517" s="1">
        <f t="shared" si="1005"/>
        <v>0</v>
      </c>
    </row>
    <row r="4518" spans="5:22" x14ac:dyDescent="0.25">
      <c r="E4518" s="4"/>
      <c r="M4518" s="4">
        <f t="shared" si="998"/>
        <v>173.1</v>
      </c>
      <c r="N4518" s="4"/>
      <c r="O4518" s="1">
        <f t="shared" si="999"/>
        <v>173.1</v>
      </c>
      <c r="P4518" s="1">
        <f t="shared" si="1000"/>
        <v>0</v>
      </c>
      <c r="Q4518" s="1" t="str">
        <f t="shared" si="997"/>
        <v/>
      </c>
      <c r="R4518" s="1" t="str">
        <f t="shared" si="1001"/>
        <v/>
      </c>
      <c r="S4518" s="1">
        <f t="shared" si="1002"/>
        <v>630.90240000000244</v>
      </c>
      <c r="T4518" s="1">
        <f t="shared" si="1003"/>
        <v>0</v>
      </c>
      <c r="U4518" s="1">
        <f t="shared" si="1004"/>
        <v>0</v>
      </c>
      <c r="V4518" s="1">
        <f t="shared" si="1005"/>
        <v>0</v>
      </c>
    </row>
    <row r="4519" spans="5:22" x14ac:dyDescent="0.25">
      <c r="E4519" s="4"/>
      <c r="M4519" s="4">
        <f t="shared" si="998"/>
        <v>173.1</v>
      </c>
      <c r="N4519" s="4"/>
      <c r="O4519" s="1">
        <f t="shared" si="999"/>
        <v>173.1</v>
      </c>
      <c r="P4519" s="1">
        <f t="shared" si="1000"/>
        <v>0</v>
      </c>
      <c r="Q4519" s="1" t="str">
        <f t="shared" si="997"/>
        <v/>
      </c>
      <c r="R4519" s="1" t="str">
        <f t="shared" si="1001"/>
        <v/>
      </c>
      <c r="S4519" s="1">
        <f t="shared" si="1002"/>
        <v>630.90240000000244</v>
      </c>
      <c r="T4519" s="1">
        <f t="shared" si="1003"/>
        <v>0</v>
      </c>
      <c r="U4519" s="1">
        <f t="shared" si="1004"/>
        <v>0</v>
      </c>
      <c r="V4519" s="1">
        <f t="shared" si="1005"/>
        <v>0</v>
      </c>
    </row>
    <row r="4520" spans="5:22" x14ac:dyDescent="0.25">
      <c r="E4520" s="4"/>
      <c r="M4520" s="4">
        <f t="shared" si="998"/>
        <v>173.1</v>
      </c>
      <c r="N4520" s="4"/>
      <c r="O4520" s="1">
        <f t="shared" si="999"/>
        <v>173.1</v>
      </c>
      <c r="P4520" s="1">
        <f t="shared" si="1000"/>
        <v>0</v>
      </c>
      <c r="Q4520" s="1" t="str">
        <f t="shared" si="997"/>
        <v/>
      </c>
      <c r="R4520" s="1" t="str">
        <f t="shared" si="1001"/>
        <v/>
      </c>
      <c r="S4520" s="1">
        <f t="shared" si="1002"/>
        <v>630.90240000000244</v>
      </c>
      <c r="T4520" s="1">
        <f t="shared" si="1003"/>
        <v>0</v>
      </c>
      <c r="U4520" s="1">
        <f t="shared" si="1004"/>
        <v>0</v>
      </c>
      <c r="V4520" s="1">
        <f t="shared" si="1005"/>
        <v>0</v>
      </c>
    </row>
    <row r="4521" spans="5:22" x14ac:dyDescent="0.25">
      <c r="E4521" s="4"/>
      <c r="M4521" s="4">
        <f t="shared" si="998"/>
        <v>173.1</v>
      </c>
      <c r="N4521" s="4"/>
      <c r="O4521" s="1">
        <f t="shared" si="999"/>
        <v>173.1</v>
      </c>
      <c r="P4521" s="1">
        <f t="shared" si="1000"/>
        <v>0</v>
      </c>
      <c r="Q4521" s="1" t="str">
        <f t="shared" si="997"/>
        <v/>
      </c>
      <c r="R4521" s="1" t="str">
        <f t="shared" si="1001"/>
        <v/>
      </c>
      <c r="S4521" s="1">
        <f t="shared" si="1002"/>
        <v>630.90240000000244</v>
      </c>
      <c r="T4521" s="1">
        <f t="shared" si="1003"/>
        <v>0</v>
      </c>
      <c r="U4521" s="1">
        <f t="shared" si="1004"/>
        <v>0</v>
      </c>
      <c r="V4521" s="1">
        <f t="shared" si="1005"/>
        <v>0</v>
      </c>
    </row>
    <row r="4522" spans="5:22" x14ac:dyDescent="0.25">
      <c r="E4522" s="4"/>
      <c r="M4522" s="4">
        <f t="shared" si="998"/>
        <v>173.1</v>
      </c>
      <c r="N4522" s="4"/>
      <c r="O4522" s="1">
        <f t="shared" si="999"/>
        <v>173.1</v>
      </c>
      <c r="P4522" s="1">
        <f t="shared" si="1000"/>
        <v>0</v>
      </c>
      <c r="Q4522" s="1" t="str">
        <f t="shared" si="997"/>
        <v/>
      </c>
      <c r="R4522" s="1" t="str">
        <f t="shared" si="1001"/>
        <v/>
      </c>
      <c r="S4522" s="1">
        <f t="shared" si="1002"/>
        <v>630.90240000000244</v>
      </c>
      <c r="T4522" s="1">
        <f t="shared" si="1003"/>
        <v>0</v>
      </c>
      <c r="U4522" s="1">
        <f t="shared" si="1004"/>
        <v>0</v>
      </c>
      <c r="V4522" s="1">
        <f t="shared" si="1005"/>
        <v>0</v>
      </c>
    </row>
    <row r="4523" spans="5:22" x14ac:dyDescent="0.25">
      <c r="E4523" s="4"/>
      <c r="M4523" s="4">
        <f t="shared" si="998"/>
        <v>173.1</v>
      </c>
      <c r="N4523" s="4"/>
      <c r="O4523" s="1">
        <f t="shared" si="999"/>
        <v>173.1</v>
      </c>
      <c r="P4523" s="1">
        <f t="shared" si="1000"/>
        <v>0</v>
      </c>
      <c r="Q4523" s="1" t="str">
        <f t="shared" si="997"/>
        <v/>
      </c>
      <c r="R4523" s="1" t="str">
        <f t="shared" si="1001"/>
        <v/>
      </c>
      <c r="S4523" s="1">
        <f t="shared" si="1002"/>
        <v>630.90240000000244</v>
      </c>
      <c r="T4523" s="1">
        <f t="shared" si="1003"/>
        <v>0</v>
      </c>
      <c r="U4523" s="1">
        <f t="shared" si="1004"/>
        <v>0</v>
      </c>
      <c r="V4523" s="1">
        <f t="shared" si="1005"/>
        <v>0</v>
      </c>
    </row>
    <row r="4524" spans="5:22" x14ac:dyDescent="0.25">
      <c r="E4524" s="4"/>
      <c r="M4524" s="4">
        <f t="shared" si="998"/>
        <v>173.1</v>
      </c>
      <c r="N4524" s="4"/>
      <c r="O4524" s="1">
        <f t="shared" si="999"/>
        <v>173.1</v>
      </c>
      <c r="P4524" s="1">
        <f t="shared" si="1000"/>
        <v>0</v>
      </c>
      <c r="Q4524" s="1" t="str">
        <f t="shared" si="997"/>
        <v/>
      </c>
      <c r="R4524" s="1" t="str">
        <f t="shared" si="1001"/>
        <v/>
      </c>
      <c r="S4524" s="1">
        <f t="shared" si="1002"/>
        <v>630.90240000000244</v>
      </c>
      <c r="T4524" s="1">
        <f t="shared" si="1003"/>
        <v>0</v>
      </c>
      <c r="U4524" s="1">
        <f t="shared" si="1004"/>
        <v>0</v>
      </c>
      <c r="V4524" s="1">
        <f t="shared" si="1005"/>
        <v>0</v>
      </c>
    </row>
    <row r="4525" spans="5:22" x14ac:dyDescent="0.25">
      <c r="E4525" s="4"/>
      <c r="M4525" s="4">
        <f t="shared" si="998"/>
        <v>173.1</v>
      </c>
      <c r="N4525" s="4"/>
      <c r="O4525" s="1">
        <f t="shared" si="999"/>
        <v>173.1</v>
      </c>
      <c r="P4525" s="1">
        <f t="shared" si="1000"/>
        <v>0</v>
      </c>
      <c r="Q4525" s="1" t="str">
        <f t="shared" si="997"/>
        <v/>
      </c>
      <c r="R4525" s="1" t="str">
        <f t="shared" si="1001"/>
        <v/>
      </c>
      <c r="S4525" s="1">
        <f t="shared" si="1002"/>
        <v>630.90240000000244</v>
      </c>
      <c r="T4525" s="1">
        <f t="shared" si="1003"/>
        <v>0</v>
      </c>
      <c r="U4525" s="1">
        <f t="shared" si="1004"/>
        <v>0</v>
      </c>
      <c r="V4525" s="1">
        <f t="shared" si="1005"/>
        <v>0</v>
      </c>
    </row>
    <row r="4526" spans="5:22" x14ac:dyDescent="0.25">
      <c r="E4526" s="4"/>
      <c r="M4526" s="4">
        <f t="shared" si="998"/>
        <v>173.1</v>
      </c>
      <c r="N4526" s="4"/>
      <c r="O4526" s="1">
        <f t="shared" si="999"/>
        <v>173.1</v>
      </c>
      <c r="P4526" s="1">
        <f t="shared" si="1000"/>
        <v>0</v>
      </c>
      <c r="Q4526" s="1" t="str">
        <f t="shared" si="997"/>
        <v/>
      </c>
      <c r="R4526" s="1" t="str">
        <f t="shared" si="1001"/>
        <v/>
      </c>
      <c r="S4526" s="1">
        <f t="shared" si="1002"/>
        <v>630.90240000000244</v>
      </c>
      <c r="T4526" s="1">
        <f t="shared" si="1003"/>
        <v>0</v>
      </c>
      <c r="U4526" s="1">
        <f t="shared" si="1004"/>
        <v>0</v>
      </c>
      <c r="V4526" s="1">
        <f t="shared" si="1005"/>
        <v>0</v>
      </c>
    </row>
    <row r="4527" spans="5:22" x14ac:dyDescent="0.25">
      <c r="E4527" s="4"/>
      <c r="M4527" s="4">
        <f t="shared" si="998"/>
        <v>173.1</v>
      </c>
      <c r="N4527" s="4"/>
      <c r="O4527" s="1">
        <f t="shared" si="999"/>
        <v>173.1</v>
      </c>
      <c r="P4527" s="1">
        <f t="shared" si="1000"/>
        <v>0</v>
      </c>
      <c r="Q4527" s="1" t="str">
        <f t="shared" si="997"/>
        <v/>
      </c>
      <c r="R4527" s="1" t="str">
        <f t="shared" si="1001"/>
        <v/>
      </c>
      <c r="S4527" s="1">
        <f t="shared" si="1002"/>
        <v>630.90240000000244</v>
      </c>
      <c r="T4527" s="1">
        <f t="shared" si="1003"/>
        <v>0</v>
      </c>
      <c r="U4527" s="1">
        <f t="shared" si="1004"/>
        <v>0</v>
      </c>
      <c r="V4527" s="1">
        <f t="shared" si="1005"/>
        <v>0</v>
      </c>
    </row>
    <row r="4528" spans="5:22" x14ac:dyDescent="0.25">
      <c r="E4528" s="4"/>
      <c r="M4528" s="4">
        <f t="shared" si="998"/>
        <v>173.1</v>
      </c>
      <c r="N4528" s="4"/>
      <c r="O4528" s="1">
        <f t="shared" si="999"/>
        <v>173.1</v>
      </c>
      <c r="P4528" s="1">
        <f t="shared" si="1000"/>
        <v>0</v>
      </c>
      <c r="Q4528" s="1" t="str">
        <f t="shared" si="997"/>
        <v/>
      </c>
      <c r="R4528" s="1" t="str">
        <f t="shared" si="1001"/>
        <v/>
      </c>
      <c r="S4528" s="1">
        <f t="shared" si="1002"/>
        <v>630.90240000000244</v>
      </c>
      <c r="T4528" s="1">
        <f t="shared" si="1003"/>
        <v>0</v>
      </c>
      <c r="U4528" s="1">
        <f t="shared" si="1004"/>
        <v>0</v>
      </c>
      <c r="V4528" s="1">
        <f t="shared" si="1005"/>
        <v>0</v>
      </c>
    </row>
    <row r="4529" spans="5:22" x14ac:dyDescent="0.25">
      <c r="E4529" s="4"/>
      <c r="M4529" s="4">
        <f t="shared" si="998"/>
        <v>173.1</v>
      </c>
      <c r="N4529" s="4"/>
      <c r="O4529" s="1">
        <f t="shared" si="999"/>
        <v>173.1</v>
      </c>
      <c r="P4529" s="1">
        <f t="shared" si="1000"/>
        <v>0</v>
      </c>
      <c r="Q4529" s="1" t="str">
        <f t="shared" si="997"/>
        <v/>
      </c>
      <c r="R4529" s="1" t="str">
        <f t="shared" si="1001"/>
        <v/>
      </c>
      <c r="S4529" s="1">
        <f t="shared" si="1002"/>
        <v>630.90240000000244</v>
      </c>
      <c r="T4529" s="1">
        <f t="shared" si="1003"/>
        <v>0</v>
      </c>
      <c r="U4529" s="1">
        <f t="shared" si="1004"/>
        <v>0</v>
      </c>
      <c r="V4529" s="1">
        <f t="shared" si="1005"/>
        <v>0</v>
      </c>
    </row>
    <row r="4530" spans="5:22" x14ac:dyDescent="0.25">
      <c r="E4530" s="4"/>
      <c r="M4530" s="4">
        <f t="shared" si="998"/>
        <v>173.1</v>
      </c>
      <c r="N4530" s="4"/>
      <c r="O4530" s="1">
        <f t="shared" si="999"/>
        <v>173.1</v>
      </c>
      <c r="P4530" s="1">
        <f t="shared" si="1000"/>
        <v>0</v>
      </c>
      <c r="Q4530" s="1" t="str">
        <f t="shared" ref="Q4530:Q4593" si="1006">IF(H4530&lt;&gt;"",IF(H4530=H4529,"",H4530),IF(H4528="","",MAX(H4529,Q4529)))</f>
        <v/>
      </c>
      <c r="R4530" s="1" t="str">
        <f t="shared" si="1001"/>
        <v/>
      </c>
      <c r="S4530" s="1">
        <f t="shared" si="1002"/>
        <v>630.90240000000244</v>
      </c>
      <c r="T4530" s="1">
        <f t="shared" si="1003"/>
        <v>0</v>
      </c>
      <c r="U4530" s="1">
        <f t="shared" si="1004"/>
        <v>0</v>
      </c>
      <c r="V4530" s="1">
        <f t="shared" si="1005"/>
        <v>0</v>
      </c>
    </row>
    <row r="4531" spans="5:22" x14ac:dyDescent="0.25">
      <c r="E4531" s="4"/>
      <c r="M4531" s="4">
        <f t="shared" si="998"/>
        <v>173.1</v>
      </c>
      <c r="N4531" s="4"/>
      <c r="O4531" s="1">
        <f t="shared" si="999"/>
        <v>173.1</v>
      </c>
      <c r="P4531" s="1">
        <f t="shared" si="1000"/>
        <v>0</v>
      </c>
      <c r="Q4531" s="1" t="str">
        <f t="shared" si="1006"/>
        <v/>
      </c>
      <c r="R4531" s="1" t="str">
        <f t="shared" si="1001"/>
        <v/>
      </c>
      <c r="S4531" s="1">
        <f t="shared" si="1002"/>
        <v>630.90240000000244</v>
      </c>
      <c r="T4531" s="1">
        <f t="shared" si="1003"/>
        <v>0</v>
      </c>
      <c r="U4531" s="1">
        <f t="shared" si="1004"/>
        <v>0</v>
      </c>
      <c r="V4531" s="1">
        <f t="shared" si="1005"/>
        <v>0</v>
      </c>
    </row>
    <row r="4532" spans="5:22" x14ac:dyDescent="0.25">
      <c r="E4532" s="4"/>
      <c r="M4532" s="4">
        <f t="shared" si="998"/>
        <v>173.1</v>
      </c>
      <c r="N4532" s="4"/>
      <c r="O4532" s="1">
        <f t="shared" si="999"/>
        <v>173.1</v>
      </c>
      <c r="P4532" s="1">
        <f t="shared" si="1000"/>
        <v>0</v>
      </c>
      <c r="Q4532" s="1" t="str">
        <f t="shared" si="1006"/>
        <v/>
      </c>
      <c r="R4532" s="1" t="str">
        <f t="shared" si="1001"/>
        <v/>
      </c>
      <c r="S4532" s="1">
        <f t="shared" si="1002"/>
        <v>630.90240000000244</v>
      </c>
      <c r="T4532" s="1">
        <f t="shared" si="1003"/>
        <v>0</v>
      </c>
      <c r="U4532" s="1">
        <f t="shared" si="1004"/>
        <v>0</v>
      </c>
      <c r="V4532" s="1">
        <f t="shared" si="1005"/>
        <v>0</v>
      </c>
    </row>
    <row r="4533" spans="5:22" x14ac:dyDescent="0.25">
      <c r="E4533" s="4"/>
      <c r="M4533" s="4">
        <f t="shared" si="998"/>
        <v>173.1</v>
      </c>
      <c r="N4533" s="4"/>
      <c r="O4533" s="1">
        <f t="shared" si="999"/>
        <v>173.1</v>
      </c>
      <c r="P4533" s="1">
        <f t="shared" si="1000"/>
        <v>0</v>
      </c>
      <c r="Q4533" s="1" t="str">
        <f t="shared" si="1006"/>
        <v/>
      </c>
      <c r="R4533" s="1" t="str">
        <f t="shared" si="1001"/>
        <v/>
      </c>
      <c r="S4533" s="1">
        <f t="shared" si="1002"/>
        <v>630.90240000000244</v>
      </c>
      <c r="T4533" s="1">
        <f t="shared" si="1003"/>
        <v>0</v>
      </c>
      <c r="U4533" s="1">
        <f t="shared" si="1004"/>
        <v>0</v>
      </c>
      <c r="V4533" s="1">
        <f t="shared" si="1005"/>
        <v>0</v>
      </c>
    </row>
    <row r="4534" spans="5:22" x14ac:dyDescent="0.25">
      <c r="E4534" s="4"/>
      <c r="M4534" s="4">
        <f t="shared" si="998"/>
        <v>173.1</v>
      </c>
      <c r="N4534" s="4"/>
      <c r="O4534" s="1">
        <f t="shared" si="999"/>
        <v>173.1</v>
      </c>
      <c r="P4534" s="1">
        <f t="shared" si="1000"/>
        <v>0</v>
      </c>
      <c r="Q4534" s="1" t="str">
        <f t="shared" si="1006"/>
        <v/>
      </c>
      <c r="R4534" s="1" t="str">
        <f t="shared" si="1001"/>
        <v/>
      </c>
      <c r="S4534" s="1">
        <f t="shared" si="1002"/>
        <v>630.90240000000244</v>
      </c>
      <c r="T4534" s="1">
        <f t="shared" si="1003"/>
        <v>0</v>
      </c>
      <c r="U4534" s="1">
        <f t="shared" si="1004"/>
        <v>0</v>
      </c>
      <c r="V4534" s="1">
        <f t="shared" si="1005"/>
        <v>0</v>
      </c>
    </row>
    <row r="4535" spans="5:22" x14ac:dyDescent="0.25">
      <c r="E4535" s="4"/>
      <c r="M4535" s="4">
        <f t="shared" si="998"/>
        <v>173.1</v>
      </c>
      <c r="N4535" s="4"/>
      <c r="O4535" s="1">
        <f t="shared" si="999"/>
        <v>173.1</v>
      </c>
      <c r="P4535" s="1">
        <f t="shared" si="1000"/>
        <v>0</v>
      </c>
      <c r="Q4535" s="1" t="str">
        <f t="shared" si="1006"/>
        <v/>
      </c>
      <c r="R4535" s="1" t="str">
        <f t="shared" si="1001"/>
        <v/>
      </c>
      <c r="S4535" s="1">
        <f t="shared" si="1002"/>
        <v>630.90240000000244</v>
      </c>
      <c r="T4535" s="1">
        <f t="shared" si="1003"/>
        <v>0</v>
      </c>
      <c r="U4535" s="1">
        <f t="shared" si="1004"/>
        <v>0</v>
      </c>
      <c r="V4535" s="1">
        <f t="shared" si="1005"/>
        <v>0</v>
      </c>
    </row>
    <row r="4536" spans="5:22" x14ac:dyDescent="0.25">
      <c r="E4536" s="4"/>
      <c r="M4536" s="4">
        <f t="shared" si="998"/>
        <v>173.1</v>
      </c>
      <c r="N4536" s="4"/>
      <c r="O4536" s="1">
        <f t="shared" si="999"/>
        <v>173.1</v>
      </c>
      <c r="P4536" s="1">
        <f t="shared" si="1000"/>
        <v>0</v>
      </c>
      <c r="Q4536" s="1" t="str">
        <f t="shared" si="1006"/>
        <v/>
      </c>
      <c r="R4536" s="1" t="str">
        <f t="shared" si="1001"/>
        <v/>
      </c>
      <c r="S4536" s="1">
        <f t="shared" si="1002"/>
        <v>630.90240000000244</v>
      </c>
      <c r="T4536" s="1">
        <f t="shared" si="1003"/>
        <v>0</v>
      </c>
      <c r="U4536" s="1">
        <f t="shared" si="1004"/>
        <v>0</v>
      </c>
      <c r="V4536" s="1">
        <f t="shared" si="1005"/>
        <v>0</v>
      </c>
    </row>
    <row r="4537" spans="5:22" x14ac:dyDescent="0.25">
      <c r="E4537" s="4"/>
      <c r="M4537" s="4">
        <f t="shared" si="998"/>
        <v>173.1</v>
      </c>
      <c r="N4537" s="4"/>
      <c r="O4537" s="1">
        <f t="shared" si="999"/>
        <v>173.1</v>
      </c>
      <c r="P4537" s="1">
        <f t="shared" si="1000"/>
        <v>0</v>
      </c>
      <c r="Q4537" s="1" t="str">
        <f t="shared" si="1006"/>
        <v/>
      </c>
      <c r="R4537" s="1" t="str">
        <f t="shared" si="1001"/>
        <v/>
      </c>
      <c r="S4537" s="1">
        <f t="shared" si="1002"/>
        <v>630.90240000000244</v>
      </c>
      <c r="T4537" s="1">
        <f t="shared" si="1003"/>
        <v>0</v>
      </c>
      <c r="U4537" s="1">
        <f t="shared" si="1004"/>
        <v>0</v>
      </c>
      <c r="V4537" s="1">
        <f t="shared" si="1005"/>
        <v>0</v>
      </c>
    </row>
    <row r="4538" spans="5:22" x14ac:dyDescent="0.25">
      <c r="E4538" s="4"/>
      <c r="M4538" s="4">
        <f t="shared" si="998"/>
        <v>173.1</v>
      </c>
      <c r="N4538" s="4"/>
      <c r="O4538" s="1">
        <f t="shared" si="999"/>
        <v>173.1</v>
      </c>
      <c r="P4538" s="1">
        <f t="shared" si="1000"/>
        <v>0</v>
      </c>
      <c r="Q4538" s="1" t="str">
        <f t="shared" si="1006"/>
        <v/>
      </c>
      <c r="R4538" s="1" t="str">
        <f t="shared" si="1001"/>
        <v/>
      </c>
      <c r="S4538" s="1">
        <f t="shared" si="1002"/>
        <v>630.90240000000244</v>
      </c>
      <c r="T4538" s="1">
        <f t="shared" si="1003"/>
        <v>0</v>
      </c>
      <c r="U4538" s="1">
        <f t="shared" si="1004"/>
        <v>0</v>
      </c>
      <c r="V4538" s="1">
        <f t="shared" si="1005"/>
        <v>0</v>
      </c>
    </row>
    <row r="4539" spans="5:22" x14ac:dyDescent="0.25">
      <c r="E4539" s="4"/>
      <c r="M4539" s="4">
        <f t="shared" si="998"/>
        <v>173.1</v>
      </c>
      <c r="N4539" s="4"/>
      <c r="O4539" s="1">
        <f t="shared" si="999"/>
        <v>173.1</v>
      </c>
      <c r="P4539" s="1">
        <f t="shared" si="1000"/>
        <v>0</v>
      </c>
      <c r="Q4539" s="1" t="str">
        <f t="shared" si="1006"/>
        <v/>
      </c>
      <c r="R4539" s="1" t="str">
        <f t="shared" si="1001"/>
        <v/>
      </c>
      <c r="S4539" s="1">
        <f t="shared" si="1002"/>
        <v>630.90240000000244</v>
      </c>
      <c r="T4539" s="1">
        <f t="shared" si="1003"/>
        <v>0</v>
      </c>
      <c r="U4539" s="1">
        <f t="shared" si="1004"/>
        <v>0</v>
      </c>
      <c r="V4539" s="1">
        <f t="shared" si="1005"/>
        <v>0</v>
      </c>
    </row>
    <row r="4540" spans="5:22" x14ac:dyDescent="0.25">
      <c r="E4540" s="4"/>
      <c r="M4540" s="4">
        <f t="shared" si="998"/>
        <v>173.1</v>
      </c>
      <c r="N4540" s="4"/>
      <c r="O4540" s="1">
        <f t="shared" si="999"/>
        <v>173.1</v>
      </c>
      <c r="P4540" s="1">
        <f t="shared" si="1000"/>
        <v>0</v>
      </c>
      <c r="Q4540" s="1" t="str">
        <f t="shared" si="1006"/>
        <v/>
      </c>
      <c r="R4540" s="1" t="str">
        <f t="shared" si="1001"/>
        <v/>
      </c>
      <c r="S4540" s="1">
        <f t="shared" si="1002"/>
        <v>630.90240000000244</v>
      </c>
      <c r="T4540" s="1">
        <f t="shared" si="1003"/>
        <v>0</v>
      </c>
      <c r="U4540" s="1">
        <f t="shared" si="1004"/>
        <v>0</v>
      </c>
      <c r="V4540" s="1">
        <f t="shared" si="1005"/>
        <v>0</v>
      </c>
    </row>
    <row r="4541" spans="5:22" x14ac:dyDescent="0.25">
      <c r="E4541" s="4"/>
      <c r="M4541" s="4">
        <f t="shared" si="998"/>
        <v>173.1</v>
      </c>
      <c r="N4541" s="4"/>
      <c r="O4541" s="1">
        <f t="shared" si="999"/>
        <v>173.1</v>
      </c>
      <c r="P4541" s="1">
        <f t="shared" si="1000"/>
        <v>0</v>
      </c>
      <c r="Q4541" s="1" t="str">
        <f t="shared" si="1006"/>
        <v/>
      </c>
      <c r="R4541" s="1" t="str">
        <f t="shared" si="1001"/>
        <v/>
      </c>
      <c r="S4541" s="1">
        <f t="shared" si="1002"/>
        <v>630.90240000000244</v>
      </c>
      <c r="T4541" s="1">
        <f t="shared" si="1003"/>
        <v>0</v>
      </c>
      <c r="U4541" s="1">
        <f t="shared" si="1004"/>
        <v>0</v>
      </c>
      <c r="V4541" s="1">
        <f t="shared" si="1005"/>
        <v>0</v>
      </c>
    </row>
    <row r="4542" spans="5:22" x14ac:dyDescent="0.25">
      <c r="E4542" s="4"/>
      <c r="M4542" s="4">
        <f t="shared" si="998"/>
        <v>173.1</v>
      </c>
      <c r="N4542" s="4"/>
      <c r="O4542" s="1">
        <f t="shared" si="999"/>
        <v>173.1</v>
      </c>
      <c r="P4542" s="1">
        <f t="shared" si="1000"/>
        <v>0</v>
      </c>
      <c r="Q4542" s="1" t="str">
        <f t="shared" si="1006"/>
        <v/>
      </c>
      <c r="R4542" s="1" t="str">
        <f t="shared" si="1001"/>
        <v/>
      </c>
      <c r="S4542" s="1">
        <f t="shared" si="1002"/>
        <v>630.90240000000244</v>
      </c>
      <c r="T4542" s="1">
        <f t="shared" si="1003"/>
        <v>0</v>
      </c>
      <c r="U4542" s="1">
        <f t="shared" si="1004"/>
        <v>0</v>
      </c>
      <c r="V4542" s="1">
        <f t="shared" si="1005"/>
        <v>0</v>
      </c>
    </row>
    <row r="4543" spans="5:22" x14ac:dyDescent="0.25">
      <c r="E4543" s="4"/>
      <c r="M4543" s="4">
        <f t="shared" si="998"/>
        <v>173.1</v>
      </c>
      <c r="N4543" s="4"/>
      <c r="O4543" s="1">
        <f t="shared" si="999"/>
        <v>173.1</v>
      </c>
      <c r="P4543" s="1">
        <f t="shared" si="1000"/>
        <v>0</v>
      </c>
      <c r="Q4543" s="1" t="str">
        <f t="shared" si="1006"/>
        <v/>
      </c>
      <c r="R4543" s="1" t="str">
        <f t="shared" si="1001"/>
        <v/>
      </c>
      <c r="S4543" s="1">
        <f t="shared" si="1002"/>
        <v>630.90240000000244</v>
      </c>
      <c r="T4543" s="1">
        <f t="shared" si="1003"/>
        <v>0</v>
      </c>
      <c r="U4543" s="1">
        <f t="shared" si="1004"/>
        <v>0</v>
      </c>
      <c r="V4543" s="1">
        <f t="shared" si="1005"/>
        <v>0</v>
      </c>
    </row>
    <row r="4544" spans="5:22" x14ac:dyDescent="0.25">
      <c r="E4544" s="4"/>
      <c r="M4544" s="4">
        <f t="shared" si="998"/>
        <v>173.1</v>
      </c>
      <c r="N4544" s="4"/>
      <c r="O4544" s="1">
        <f t="shared" si="999"/>
        <v>173.1</v>
      </c>
      <c r="P4544" s="1">
        <f t="shared" si="1000"/>
        <v>0</v>
      </c>
      <c r="Q4544" s="1" t="str">
        <f t="shared" si="1006"/>
        <v/>
      </c>
      <c r="R4544" s="1" t="str">
        <f t="shared" si="1001"/>
        <v/>
      </c>
      <c r="S4544" s="1">
        <f t="shared" si="1002"/>
        <v>630.90240000000244</v>
      </c>
      <c r="T4544" s="1">
        <f t="shared" si="1003"/>
        <v>0</v>
      </c>
      <c r="U4544" s="1">
        <f t="shared" si="1004"/>
        <v>0</v>
      </c>
      <c r="V4544" s="1">
        <f t="shared" si="1005"/>
        <v>0</v>
      </c>
    </row>
    <row r="4545" spans="5:22" x14ac:dyDescent="0.25">
      <c r="E4545" s="4"/>
      <c r="M4545" s="4">
        <f t="shared" si="998"/>
        <v>173.1</v>
      </c>
      <c r="N4545" s="4"/>
      <c r="O4545" s="1">
        <f t="shared" si="999"/>
        <v>173.1</v>
      </c>
      <c r="P4545" s="1">
        <f t="shared" si="1000"/>
        <v>0</v>
      </c>
      <c r="Q4545" s="1" t="str">
        <f t="shared" si="1006"/>
        <v/>
      </c>
      <c r="R4545" s="1" t="str">
        <f t="shared" si="1001"/>
        <v/>
      </c>
      <c r="S4545" s="1">
        <f t="shared" si="1002"/>
        <v>630.90240000000244</v>
      </c>
      <c r="T4545" s="1">
        <f t="shared" si="1003"/>
        <v>0</v>
      </c>
      <c r="U4545" s="1">
        <f t="shared" si="1004"/>
        <v>0</v>
      </c>
      <c r="V4545" s="1">
        <f t="shared" si="1005"/>
        <v>0</v>
      </c>
    </row>
    <row r="4546" spans="5:22" x14ac:dyDescent="0.25">
      <c r="E4546" s="4"/>
      <c r="M4546" s="4">
        <f t="shared" si="998"/>
        <v>173.1</v>
      </c>
      <c r="N4546" s="4"/>
      <c r="O4546" s="1">
        <f t="shared" si="999"/>
        <v>173.1</v>
      </c>
      <c r="P4546" s="1">
        <f t="shared" si="1000"/>
        <v>0</v>
      </c>
      <c r="Q4546" s="1" t="str">
        <f t="shared" si="1006"/>
        <v/>
      </c>
      <c r="R4546" s="1" t="str">
        <f t="shared" si="1001"/>
        <v/>
      </c>
      <c r="S4546" s="1">
        <f t="shared" si="1002"/>
        <v>630.90240000000244</v>
      </c>
      <c r="T4546" s="1">
        <f t="shared" si="1003"/>
        <v>0</v>
      </c>
      <c r="U4546" s="1">
        <f t="shared" si="1004"/>
        <v>0</v>
      </c>
      <c r="V4546" s="1">
        <f t="shared" si="1005"/>
        <v>0</v>
      </c>
    </row>
    <row r="4547" spans="5:22" x14ac:dyDescent="0.25">
      <c r="E4547" s="4"/>
      <c r="M4547" s="4">
        <f t="shared" si="998"/>
        <v>173.1</v>
      </c>
      <c r="N4547" s="4"/>
      <c r="O4547" s="1">
        <f t="shared" si="999"/>
        <v>173.1</v>
      </c>
      <c r="P4547" s="1">
        <f t="shared" si="1000"/>
        <v>0</v>
      </c>
      <c r="Q4547" s="1" t="str">
        <f t="shared" si="1006"/>
        <v/>
      </c>
      <c r="R4547" s="1" t="str">
        <f t="shared" si="1001"/>
        <v/>
      </c>
      <c r="S4547" s="1">
        <f t="shared" si="1002"/>
        <v>630.90240000000244</v>
      </c>
      <c r="T4547" s="1">
        <f t="shared" si="1003"/>
        <v>0</v>
      </c>
      <c r="U4547" s="1">
        <f t="shared" si="1004"/>
        <v>0</v>
      </c>
      <c r="V4547" s="1">
        <f t="shared" si="1005"/>
        <v>0</v>
      </c>
    </row>
    <row r="4548" spans="5:22" x14ac:dyDescent="0.25">
      <c r="E4548" s="4"/>
      <c r="M4548" s="4">
        <f t="shared" si="998"/>
        <v>173.1</v>
      </c>
      <c r="N4548" s="4"/>
      <c r="O4548" s="1">
        <f t="shared" si="999"/>
        <v>173.1</v>
      </c>
      <c r="P4548" s="1">
        <f t="shared" si="1000"/>
        <v>0</v>
      </c>
      <c r="Q4548" s="1" t="str">
        <f t="shared" si="1006"/>
        <v/>
      </c>
      <c r="R4548" s="1" t="str">
        <f t="shared" si="1001"/>
        <v/>
      </c>
      <c r="S4548" s="1">
        <f t="shared" si="1002"/>
        <v>630.90240000000244</v>
      </c>
      <c r="T4548" s="1">
        <f t="shared" si="1003"/>
        <v>0</v>
      </c>
      <c r="U4548" s="1">
        <f t="shared" si="1004"/>
        <v>0</v>
      </c>
      <c r="V4548" s="1">
        <f t="shared" si="1005"/>
        <v>0</v>
      </c>
    </row>
    <row r="4549" spans="5:22" x14ac:dyDescent="0.25">
      <c r="E4549" s="4"/>
      <c r="M4549" s="4">
        <f t="shared" si="998"/>
        <v>173.1</v>
      </c>
      <c r="N4549" s="4"/>
      <c r="O4549" s="1">
        <f t="shared" si="999"/>
        <v>173.1</v>
      </c>
      <c r="P4549" s="1">
        <f t="shared" si="1000"/>
        <v>0</v>
      </c>
      <c r="Q4549" s="1" t="str">
        <f t="shared" si="1006"/>
        <v/>
      </c>
      <c r="R4549" s="1" t="str">
        <f t="shared" si="1001"/>
        <v/>
      </c>
      <c r="S4549" s="1">
        <f t="shared" si="1002"/>
        <v>630.90240000000244</v>
      </c>
      <c r="T4549" s="1">
        <f t="shared" si="1003"/>
        <v>0</v>
      </c>
      <c r="U4549" s="1">
        <f t="shared" si="1004"/>
        <v>0</v>
      </c>
      <c r="V4549" s="1">
        <f t="shared" si="1005"/>
        <v>0</v>
      </c>
    </row>
    <row r="4550" spans="5:22" x14ac:dyDescent="0.25">
      <c r="E4550" s="4"/>
      <c r="M4550" s="4">
        <f t="shared" si="998"/>
        <v>173.1</v>
      </c>
      <c r="N4550" s="4"/>
      <c r="O4550" s="1">
        <f t="shared" si="999"/>
        <v>173.1</v>
      </c>
      <c r="P4550" s="1">
        <f t="shared" si="1000"/>
        <v>0</v>
      </c>
      <c r="Q4550" s="1" t="str">
        <f t="shared" si="1006"/>
        <v/>
      </c>
      <c r="R4550" s="1" t="str">
        <f t="shared" si="1001"/>
        <v/>
      </c>
      <c r="S4550" s="1">
        <f t="shared" si="1002"/>
        <v>630.90240000000244</v>
      </c>
      <c r="T4550" s="1">
        <f t="shared" si="1003"/>
        <v>0</v>
      </c>
      <c r="U4550" s="1">
        <f t="shared" si="1004"/>
        <v>0</v>
      </c>
      <c r="V4550" s="1">
        <f t="shared" si="1005"/>
        <v>0</v>
      </c>
    </row>
    <row r="4551" spans="5:22" x14ac:dyDescent="0.25">
      <c r="E4551" s="4"/>
      <c r="M4551" s="4">
        <f t="shared" si="998"/>
        <v>173.1</v>
      </c>
      <c r="N4551" s="4"/>
      <c r="O4551" s="1">
        <f t="shared" si="999"/>
        <v>173.1</v>
      </c>
      <c r="P4551" s="1">
        <f t="shared" si="1000"/>
        <v>0</v>
      </c>
      <c r="Q4551" s="1" t="str">
        <f t="shared" si="1006"/>
        <v/>
      </c>
      <c r="R4551" s="1" t="str">
        <f t="shared" si="1001"/>
        <v/>
      </c>
      <c r="S4551" s="1">
        <f t="shared" si="1002"/>
        <v>630.90240000000244</v>
      </c>
      <c r="T4551" s="1">
        <f t="shared" si="1003"/>
        <v>0</v>
      </c>
      <c r="U4551" s="1">
        <f t="shared" si="1004"/>
        <v>0</v>
      </c>
      <c r="V4551" s="1">
        <f t="shared" si="1005"/>
        <v>0</v>
      </c>
    </row>
    <row r="4552" spans="5:22" x14ac:dyDescent="0.25">
      <c r="E4552" s="4"/>
      <c r="M4552" s="4">
        <f t="shared" ref="M4552:M4615" si="1007">E4552+M4551</f>
        <v>173.1</v>
      </c>
      <c r="N4552" s="4"/>
      <c r="O4552" s="1">
        <f t="shared" ref="O4552:O4615" si="1008">E4551+O4551</f>
        <v>173.1</v>
      </c>
      <c r="P4552" s="1">
        <f t="shared" ref="P4552:P4615" si="1009">F4552*52.8*E4552</f>
        <v>0</v>
      </c>
      <c r="Q4552" s="1" t="str">
        <f t="shared" si="1006"/>
        <v/>
      </c>
      <c r="R4552" s="1" t="str">
        <f t="shared" ref="R4552:R4615" si="1010">IF(I4552="",Q4552,IF(AND(H4552=H4551,I4552=I4551),"",I4552))</f>
        <v/>
      </c>
      <c r="S4552" s="1">
        <f t="shared" ref="S4552:S4615" si="1011">S4551+U4551*T4551/100</f>
        <v>630.90240000000244</v>
      </c>
      <c r="T4552" s="1">
        <f t="shared" ref="T4552:T4615" si="1012">IF(G4552="UNK",0,G4552)</f>
        <v>0</v>
      </c>
      <c r="U4552" s="1">
        <f t="shared" ref="U4552:U4615" si="1013">E4552*5280</f>
        <v>0</v>
      </c>
      <c r="V4552" s="1">
        <f t="shared" ref="V4552:V4615" si="1014">ABS(T4552*U4552)</f>
        <v>0</v>
      </c>
    </row>
    <row r="4553" spans="5:22" x14ac:dyDescent="0.25">
      <c r="E4553" s="4"/>
      <c r="M4553" s="4">
        <f t="shared" si="1007"/>
        <v>173.1</v>
      </c>
      <c r="N4553" s="4"/>
      <c r="O4553" s="1">
        <f t="shared" si="1008"/>
        <v>173.1</v>
      </c>
      <c r="P4553" s="1">
        <f t="shared" si="1009"/>
        <v>0</v>
      </c>
      <c r="Q4553" s="1" t="str">
        <f t="shared" si="1006"/>
        <v/>
      </c>
      <c r="R4553" s="1" t="str">
        <f t="shared" si="1010"/>
        <v/>
      </c>
      <c r="S4553" s="1">
        <f t="shared" si="1011"/>
        <v>630.90240000000244</v>
      </c>
      <c r="T4553" s="1">
        <f t="shared" si="1012"/>
        <v>0</v>
      </c>
      <c r="U4553" s="1">
        <f t="shared" si="1013"/>
        <v>0</v>
      </c>
      <c r="V4553" s="1">
        <f t="shared" si="1014"/>
        <v>0</v>
      </c>
    </row>
    <row r="4554" spans="5:22" x14ac:dyDescent="0.25">
      <c r="E4554" s="4"/>
      <c r="M4554" s="4">
        <f t="shared" si="1007"/>
        <v>173.1</v>
      </c>
      <c r="N4554" s="4"/>
      <c r="O4554" s="1">
        <f t="shared" si="1008"/>
        <v>173.1</v>
      </c>
      <c r="P4554" s="1">
        <f t="shared" si="1009"/>
        <v>0</v>
      </c>
      <c r="Q4554" s="1" t="str">
        <f t="shared" si="1006"/>
        <v/>
      </c>
      <c r="R4554" s="1" t="str">
        <f t="shared" si="1010"/>
        <v/>
      </c>
      <c r="S4554" s="1">
        <f t="shared" si="1011"/>
        <v>630.90240000000244</v>
      </c>
      <c r="T4554" s="1">
        <f t="shared" si="1012"/>
        <v>0</v>
      </c>
      <c r="U4554" s="1">
        <f t="shared" si="1013"/>
        <v>0</v>
      </c>
      <c r="V4554" s="1">
        <f t="shared" si="1014"/>
        <v>0</v>
      </c>
    </row>
    <row r="4555" spans="5:22" x14ac:dyDescent="0.25">
      <c r="E4555" s="4"/>
      <c r="M4555" s="4">
        <f t="shared" si="1007"/>
        <v>173.1</v>
      </c>
      <c r="N4555" s="4"/>
      <c r="O4555" s="1">
        <f t="shared" si="1008"/>
        <v>173.1</v>
      </c>
      <c r="P4555" s="1">
        <f t="shared" si="1009"/>
        <v>0</v>
      </c>
      <c r="Q4555" s="1" t="str">
        <f t="shared" si="1006"/>
        <v/>
      </c>
      <c r="R4555" s="1" t="str">
        <f t="shared" si="1010"/>
        <v/>
      </c>
      <c r="S4555" s="1">
        <f t="shared" si="1011"/>
        <v>630.90240000000244</v>
      </c>
      <c r="T4555" s="1">
        <f t="shared" si="1012"/>
        <v>0</v>
      </c>
      <c r="U4555" s="1">
        <f t="shared" si="1013"/>
        <v>0</v>
      </c>
      <c r="V4555" s="1">
        <f t="shared" si="1014"/>
        <v>0</v>
      </c>
    </row>
    <row r="4556" spans="5:22" x14ac:dyDescent="0.25">
      <c r="E4556" s="4"/>
      <c r="M4556" s="4">
        <f t="shared" si="1007"/>
        <v>173.1</v>
      </c>
      <c r="N4556" s="4"/>
      <c r="O4556" s="1">
        <f t="shared" si="1008"/>
        <v>173.1</v>
      </c>
      <c r="P4556" s="1">
        <f t="shared" si="1009"/>
        <v>0</v>
      </c>
      <c r="Q4556" s="1" t="str">
        <f t="shared" si="1006"/>
        <v/>
      </c>
      <c r="R4556" s="1" t="str">
        <f t="shared" si="1010"/>
        <v/>
      </c>
      <c r="S4556" s="1">
        <f t="shared" si="1011"/>
        <v>630.90240000000244</v>
      </c>
      <c r="T4556" s="1">
        <f t="shared" si="1012"/>
        <v>0</v>
      </c>
      <c r="U4556" s="1">
        <f t="shared" si="1013"/>
        <v>0</v>
      </c>
      <c r="V4556" s="1">
        <f t="shared" si="1014"/>
        <v>0</v>
      </c>
    </row>
    <row r="4557" spans="5:22" x14ac:dyDescent="0.25">
      <c r="E4557" s="4"/>
      <c r="M4557" s="4">
        <f t="shared" si="1007"/>
        <v>173.1</v>
      </c>
      <c r="N4557" s="4"/>
      <c r="O4557" s="1">
        <f t="shared" si="1008"/>
        <v>173.1</v>
      </c>
      <c r="P4557" s="1">
        <f t="shared" si="1009"/>
        <v>0</v>
      </c>
      <c r="Q4557" s="1" t="str">
        <f t="shared" si="1006"/>
        <v/>
      </c>
      <c r="R4557" s="1" t="str">
        <f t="shared" si="1010"/>
        <v/>
      </c>
      <c r="S4557" s="1">
        <f t="shared" si="1011"/>
        <v>630.90240000000244</v>
      </c>
      <c r="T4557" s="1">
        <f t="shared" si="1012"/>
        <v>0</v>
      </c>
      <c r="U4557" s="1">
        <f t="shared" si="1013"/>
        <v>0</v>
      </c>
      <c r="V4557" s="1">
        <f t="shared" si="1014"/>
        <v>0</v>
      </c>
    </row>
    <row r="4558" spans="5:22" x14ac:dyDescent="0.25">
      <c r="E4558" s="4"/>
      <c r="M4558" s="4">
        <f t="shared" si="1007"/>
        <v>173.1</v>
      </c>
      <c r="N4558" s="4"/>
      <c r="O4558" s="1">
        <f t="shared" si="1008"/>
        <v>173.1</v>
      </c>
      <c r="P4558" s="1">
        <f t="shared" si="1009"/>
        <v>0</v>
      </c>
      <c r="Q4558" s="1" t="str">
        <f t="shared" si="1006"/>
        <v/>
      </c>
      <c r="R4558" s="1" t="str">
        <f t="shared" si="1010"/>
        <v/>
      </c>
      <c r="S4558" s="1">
        <f t="shared" si="1011"/>
        <v>630.90240000000244</v>
      </c>
      <c r="T4558" s="1">
        <f t="shared" si="1012"/>
        <v>0</v>
      </c>
      <c r="U4558" s="1">
        <f t="shared" si="1013"/>
        <v>0</v>
      </c>
      <c r="V4558" s="1">
        <f t="shared" si="1014"/>
        <v>0</v>
      </c>
    </row>
    <row r="4559" spans="5:22" x14ac:dyDescent="0.25">
      <c r="E4559" s="4"/>
      <c r="M4559" s="4">
        <f t="shared" si="1007"/>
        <v>173.1</v>
      </c>
      <c r="N4559" s="4"/>
      <c r="O4559" s="1">
        <f t="shared" si="1008"/>
        <v>173.1</v>
      </c>
      <c r="P4559" s="1">
        <f t="shared" si="1009"/>
        <v>0</v>
      </c>
      <c r="Q4559" s="1" t="str">
        <f t="shared" si="1006"/>
        <v/>
      </c>
      <c r="R4559" s="1" t="str">
        <f t="shared" si="1010"/>
        <v/>
      </c>
      <c r="S4559" s="1">
        <f t="shared" si="1011"/>
        <v>630.90240000000244</v>
      </c>
      <c r="T4559" s="1">
        <f t="shared" si="1012"/>
        <v>0</v>
      </c>
      <c r="U4559" s="1">
        <f t="shared" si="1013"/>
        <v>0</v>
      </c>
      <c r="V4559" s="1">
        <f t="shared" si="1014"/>
        <v>0</v>
      </c>
    </row>
    <row r="4560" spans="5:22" x14ac:dyDescent="0.25">
      <c r="E4560" s="4"/>
      <c r="M4560" s="4">
        <f t="shared" si="1007"/>
        <v>173.1</v>
      </c>
      <c r="N4560" s="4"/>
      <c r="O4560" s="1">
        <f t="shared" si="1008"/>
        <v>173.1</v>
      </c>
      <c r="P4560" s="1">
        <f t="shared" si="1009"/>
        <v>0</v>
      </c>
      <c r="Q4560" s="1" t="str">
        <f t="shared" si="1006"/>
        <v/>
      </c>
      <c r="R4560" s="1" t="str">
        <f t="shared" si="1010"/>
        <v/>
      </c>
      <c r="S4560" s="1">
        <f t="shared" si="1011"/>
        <v>630.90240000000244</v>
      </c>
      <c r="T4560" s="1">
        <f t="shared" si="1012"/>
        <v>0</v>
      </c>
      <c r="U4560" s="1">
        <f t="shared" si="1013"/>
        <v>0</v>
      </c>
      <c r="V4560" s="1">
        <f t="shared" si="1014"/>
        <v>0</v>
      </c>
    </row>
    <row r="4561" spans="5:22" x14ac:dyDescent="0.25">
      <c r="E4561" s="4"/>
      <c r="M4561" s="4">
        <f t="shared" si="1007"/>
        <v>173.1</v>
      </c>
      <c r="N4561" s="4"/>
      <c r="O4561" s="1">
        <f t="shared" si="1008"/>
        <v>173.1</v>
      </c>
      <c r="P4561" s="1">
        <f t="shared" si="1009"/>
        <v>0</v>
      </c>
      <c r="Q4561" s="1" t="str">
        <f t="shared" si="1006"/>
        <v/>
      </c>
      <c r="R4561" s="1" t="str">
        <f t="shared" si="1010"/>
        <v/>
      </c>
      <c r="S4561" s="1">
        <f t="shared" si="1011"/>
        <v>630.90240000000244</v>
      </c>
      <c r="T4561" s="1">
        <f t="shared" si="1012"/>
        <v>0</v>
      </c>
      <c r="U4561" s="1">
        <f t="shared" si="1013"/>
        <v>0</v>
      </c>
      <c r="V4561" s="1">
        <f t="shared" si="1014"/>
        <v>0</v>
      </c>
    </row>
    <row r="4562" spans="5:22" x14ac:dyDescent="0.25">
      <c r="E4562" s="4"/>
      <c r="M4562" s="4">
        <f t="shared" si="1007"/>
        <v>173.1</v>
      </c>
      <c r="N4562" s="4"/>
      <c r="O4562" s="1">
        <f t="shared" si="1008"/>
        <v>173.1</v>
      </c>
      <c r="P4562" s="1">
        <f t="shared" si="1009"/>
        <v>0</v>
      </c>
      <c r="Q4562" s="1" t="str">
        <f t="shared" si="1006"/>
        <v/>
      </c>
      <c r="R4562" s="1" t="str">
        <f t="shared" si="1010"/>
        <v/>
      </c>
      <c r="S4562" s="1">
        <f t="shared" si="1011"/>
        <v>630.90240000000244</v>
      </c>
      <c r="T4562" s="1">
        <f t="shared" si="1012"/>
        <v>0</v>
      </c>
      <c r="U4562" s="1">
        <f t="shared" si="1013"/>
        <v>0</v>
      </c>
      <c r="V4562" s="1">
        <f t="shared" si="1014"/>
        <v>0</v>
      </c>
    </row>
    <row r="4563" spans="5:22" x14ac:dyDescent="0.25">
      <c r="E4563" s="4"/>
      <c r="M4563" s="4">
        <f t="shared" si="1007"/>
        <v>173.1</v>
      </c>
      <c r="N4563" s="4"/>
      <c r="O4563" s="1">
        <f t="shared" si="1008"/>
        <v>173.1</v>
      </c>
      <c r="P4563" s="1">
        <f t="shared" si="1009"/>
        <v>0</v>
      </c>
      <c r="Q4563" s="1" t="str">
        <f t="shared" si="1006"/>
        <v/>
      </c>
      <c r="R4563" s="1" t="str">
        <f t="shared" si="1010"/>
        <v/>
      </c>
      <c r="S4563" s="1">
        <f t="shared" si="1011"/>
        <v>630.90240000000244</v>
      </c>
      <c r="T4563" s="1">
        <f t="shared" si="1012"/>
        <v>0</v>
      </c>
      <c r="U4563" s="1">
        <f t="shared" si="1013"/>
        <v>0</v>
      </c>
      <c r="V4563" s="1">
        <f t="shared" si="1014"/>
        <v>0</v>
      </c>
    </row>
    <row r="4564" spans="5:22" x14ac:dyDescent="0.25">
      <c r="E4564" s="4"/>
      <c r="M4564" s="4">
        <f t="shared" si="1007"/>
        <v>173.1</v>
      </c>
      <c r="N4564" s="4"/>
      <c r="O4564" s="1">
        <f t="shared" si="1008"/>
        <v>173.1</v>
      </c>
      <c r="P4564" s="1">
        <f t="shared" si="1009"/>
        <v>0</v>
      </c>
      <c r="Q4564" s="1" t="str">
        <f t="shared" si="1006"/>
        <v/>
      </c>
      <c r="R4564" s="1" t="str">
        <f t="shared" si="1010"/>
        <v/>
      </c>
      <c r="S4564" s="1">
        <f t="shared" si="1011"/>
        <v>630.90240000000244</v>
      </c>
      <c r="T4564" s="1">
        <f t="shared" si="1012"/>
        <v>0</v>
      </c>
      <c r="U4564" s="1">
        <f t="shared" si="1013"/>
        <v>0</v>
      </c>
      <c r="V4564" s="1">
        <f t="shared" si="1014"/>
        <v>0</v>
      </c>
    </row>
    <row r="4565" spans="5:22" x14ac:dyDescent="0.25">
      <c r="E4565" s="4"/>
      <c r="M4565" s="4">
        <f t="shared" si="1007"/>
        <v>173.1</v>
      </c>
      <c r="N4565" s="4"/>
      <c r="O4565" s="1">
        <f t="shared" si="1008"/>
        <v>173.1</v>
      </c>
      <c r="P4565" s="1">
        <f t="shared" si="1009"/>
        <v>0</v>
      </c>
      <c r="Q4565" s="1" t="str">
        <f t="shared" si="1006"/>
        <v/>
      </c>
      <c r="R4565" s="1" t="str">
        <f t="shared" si="1010"/>
        <v/>
      </c>
      <c r="S4565" s="1">
        <f t="shared" si="1011"/>
        <v>630.90240000000244</v>
      </c>
      <c r="T4565" s="1">
        <f t="shared" si="1012"/>
        <v>0</v>
      </c>
      <c r="U4565" s="1">
        <f t="shared" si="1013"/>
        <v>0</v>
      </c>
      <c r="V4565" s="1">
        <f t="shared" si="1014"/>
        <v>0</v>
      </c>
    </row>
    <row r="4566" spans="5:22" x14ac:dyDescent="0.25">
      <c r="E4566" s="4"/>
      <c r="M4566" s="4">
        <f t="shared" si="1007"/>
        <v>173.1</v>
      </c>
      <c r="N4566" s="4"/>
      <c r="O4566" s="1">
        <f t="shared" si="1008"/>
        <v>173.1</v>
      </c>
      <c r="P4566" s="1">
        <f t="shared" si="1009"/>
        <v>0</v>
      </c>
      <c r="Q4566" s="1" t="str">
        <f t="shared" si="1006"/>
        <v/>
      </c>
      <c r="R4566" s="1" t="str">
        <f t="shared" si="1010"/>
        <v/>
      </c>
      <c r="S4566" s="1">
        <f t="shared" si="1011"/>
        <v>630.90240000000244</v>
      </c>
      <c r="T4566" s="1">
        <f t="shared" si="1012"/>
        <v>0</v>
      </c>
      <c r="U4566" s="1">
        <f t="shared" si="1013"/>
        <v>0</v>
      </c>
      <c r="V4566" s="1">
        <f t="shared" si="1014"/>
        <v>0</v>
      </c>
    </row>
    <row r="4567" spans="5:22" x14ac:dyDescent="0.25">
      <c r="E4567" s="4"/>
      <c r="M4567" s="4">
        <f t="shared" si="1007"/>
        <v>173.1</v>
      </c>
      <c r="N4567" s="4"/>
      <c r="O4567" s="1">
        <f t="shared" si="1008"/>
        <v>173.1</v>
      </c>
      <c r="P4567" s="1">
        <f t="shared" si="1009"/>
        <v>0</v>
      </c>
      <c r="Q4567" s="1" t="str">
        <f t="shared" si="1006"/>
        <v/>
      </c>
      <c r="R4567" s="1" t="str">
        <f t="shared" si="1010"/>
        <v/>
      </c>
      <c r="S4567" s="1">
        <f t="shared" si="1011"/>
        <v>630.90240000000244</v>
      </c>
      <c r="T4567" s="1">
        <f t="shared" si="1012"/>
        <v>0</v>
      </c>
      <c r="U4567" s="1">
        <f t="shared" si="1013"/>
        <v>0</v>
      </c>
      <c r="V4567" s="1">
        <f t="shared" si="1014"/>
        <v>0</v>
      </c>
    </row>
    <row r="4568" spans="5:22" x14ac:dyDescent="0.25">
      <c r="E4568" s="4"/>
      <c r="M4568" s="4">
        <f t="shared" si="1007"/>
        <v>173.1</v>
      </c>
      <c r="N4568" s="4"/>
      <c r="O4568" s="1">
        <f t="shared" si="1008"/>
        <v>173.1</v>
      </c>
      <c r="P4568" s="1">
        <f t="shared" si="1009"/>
        <v>0</v>
      </c>
      <c r="Q4568" s="1" t="str">
        <f t="shared" si="1006"/>
        <v/>
      </c>
      <c r="R4568" s="1" t="str">
        <f t="shared" si="1010"/>
        <v/>
      </c>
      <c r="S4568" s="1">
        <f t="shared" si="1011"/>
        <v>630.90240000000244</v>
      </c>
      <c r="T4568" s="1">
        <f t="shared" si="1012"/>
        <v>0</v>
      </c>
      <c r="U4568" s="1">
        <f t="shared" si="1013"/>
        <v>0</v>
      </c>
      <c r="V4568" s="1">
        <f t="shared" si="1014"/>
        <v>0</v>
      </c>
    </row>
    <row r="4569" spans="5:22" x14ac:dyDescent="0.25">
      <c r="E4569" s="4"/>
      <c r="M4569" s="4">
        <f t="shared" si="1007"/>
        <v>173.1</v>
      </c>
      <c r="N4569" s="4"/>
      <c r="O4569" s="1">
        <f t="shared" si="1008"/>
        <v>173.1</v>
      </c>
      <c r="P4569" s="1">
        <f t="shared" si="1009"/>
        <v>0</v>
      </c>
      <c r="Q4569" s="1" t="str">
        <f t="shared" si="1006"/>
        <v/>
      </c>
      <c r="R4569" s="1" t="str">
        <f t="shared" si="1010"/>
        <v/>
      </c>
      <c r="S4569" s="1">
        <f t="shared" si="1011"/>
        <v>630.90240000000244</v>
      </c>
      <c r="T4569" s="1">
        <f t="shared" si="1012"/>
        <v>0</v>
      </c>
      <c r="U4569" s="1">
        <f t="shared" si="1013"/>
        <v>0</v>
      </c>
      <c r="V4569" s="1">
        <f t="shared" si="1014"/>
        <v>0</v>
      </c>
    </row>
    <row r="4570" spans="5:22" x14ac:dyDescent="0.25">
      <c r="E4570" s="4"/>
      <c r="M4570" s="4">
        <f t="shared" si="1007"/>
        <v>173.1</v>
      </c>
      <c r="N4570" s="4"/>
      <c r="O4570" s="1">
        <f t="shared" si="1008"/>
        <v>173.1</v>
      </c>
      <c r="P4570" s="1">
        <f t="shared" si="1009"/>
        <v>0</v>
      </c>
      <c r="Q4570" s="1" t="str">
        <f t="shared" si="1006"/>
        <v/>
      </c>
      <c r="R4570" s="1" t="str">
        <f t="shared" si="1010"/>
        <v/>
      </c>
      <c r="S4570" s="1">
        <f t="shared" si="1011"/>
        <v>630.90240000000244</v>
      </c>
      <c r="T4570" s="1">
        <f t="shared" si="1012"/>
        <v>0</v>
      </c>
      <c r="U4570" s="1">
        <f t="shared" si="1013"/>
        <v>0</v>
      </c>
      <c r="V4570" s="1">
        <f t="shared" si="1014"/>
        <v>0</v>
      </c>
    </row>
    <row r="4571" spans="5:22" x14ac:dyDescent="0.25">
      <c r="E4571" s="4"/>
      <c r="M4571" s="4">
        <f t="shared" si="1007"/>
        <v>173.1</v>
      </c>
      <c r="N4571" s="4"/>
      <c r="O4571" s="1">
        <f t="shared" si="1008"/>
        <v>173.1</v>
      </c>
      <c r="P4571" s="1">
        <f t="shared" si="1009"/>
        <v>0</v>
      </c>
      <c r="Q4571" s="1" t="str">
        <f t="shared" si="1006"/>
        <v/>
      </c>
      <c r="R4571" s="1" t="str">
        <f t="shared" si="1010"/>
        <v/>
      </c>
      <c r="S4571" s="1">
        <f t="shared" si="1011"/>
        <v>630.90240000000244</v>
      </c>
      <c r="T4571" s="1">
        <f t="shared" si="1012"/>
        <v>0</v>
      </c>
      <c r="U4571" s="1">
        <f t="shared" si="1013"/>
        <v>0</v>
      </c>
      <c r="V4571" s="1">
        <f t="shared" si="1014"/>
        <v>0</v>
      </c>
    </row>
    <row r="4572" spans="5:22" x14ac:dyDescent="0.25">
      <c r="E4572" s="4"/>
      <c r="M4572" s="4">
        <f t="shared" si="1007"/>
        <v>173.1</v>
      </c>
      <c r="N4572" s="4"/>
      <c r="O4572" s="1">
        <f t="shared" si="1008"/>
        <v>173.1</v>
      </c>
      <c r="P4572" s="1">
        <f t="shared" si="1009"/>
        <v>0</v>
      </c>
      <c r="Q4572" s="1" t="str">
        <f t="shared" si="1006"/>
        <v/>
      </c>
      <c r="R4572" s="1" t="str">
        <f t="shared" si="1010"/>
        <v/>
      </c>
      <c r="S4572" s="1">
        <f t="shared" si="1011"/>
        <v>630.90240000000244</v>
      </c>
      <c r="T4572" s="1">
        <f t="shared" si="1012"/>
        <v>0</v>
      </c>
      <c r="U4572" s="1">
        <f t="shared" si="1013"/>
        <v>0</v>
      </c>
      <c r="V4572" s="1">
        <f t="shared" si="1014"/>
        <v>0</v>
      </c>
    </row>
    <row r="4573" spans="5:22" x14ac:dyDescent="0.25">
      <c r="E4573" s="4"/>
      <c r="M4573" s="4">
        <f t="shared" si="1007"/>
        <v>173.1</v>
      </c>
      <c r="N4573" s="4"/>
      <c r="O4573" s="1">
        <f t="shared" si="1008"/>
        <v>173.1</v>
      </c>
      <c r="P4573" s="1">
        <f t="shared" si="1009"/>
        <v>0</v>
      </c>
      <c r="Q4573" s="1" t="str">
        <f t="shared" si="1006"/>
        <v/>
      </c>
      <c r="R4573" s="1" t="str">
        <f t="shared" si="1010"/>
        <v/>
      </c>
      <c r="S4573" s="1">
        <f t="shared" si="1011"/>
        <v>630.90240000000244</v>
      </c>
      <c r="T4573" s="1">
        <f t="shared" si="1012"/>
        <v>0</v>
      </c>
      <c r="U4573" s="1">
        <f t="shared" si="1013"/>
        <v>0</v>
      </c>
      <c r="V4573" s="1">
        <f t="shared" si="1014"/>
        <v>0</v>
      </c>
    </row>
    <row r="4574" spans="5:22" x14ac:dyDescent="0.25">
      <c r="E4574" s="4"/>
      <c r="M4574" s="4">
        <f t="shared" si="1007"/>
        <v>173.1</v>
      </c>
      <c r="N4574" s="4"/>
      <c r="O4574" s="1">
        <f t="shared" si="1008"/>
        <v>173.1</v>
      </c>
      <c r="P4574" s="1">
        <f t="shared" si="1009"/>
        <v>0</v>
      </c>
      <c r="Q4574" s="1" t="str">
        <f t="shared" si="1006"/>
        <v/>
      </c>
      <c r="R4574" s="1" t="str">
        <f t="shared" si="1010"/>
        <v/>
      </c>
      <c r="S4574" s="1">
        <f t="shared" si="1011"/>
        <v>630.90240000000244</v>
      </c>
      <c r="T4574" s="1">
        <f t="shared" si="1012"/>
        <v>0</v>
      </c>
      <c r="U4574" s="1">
        <f t="shared" si="1013"/>
        <v>0</v>
      </c>
      <c r="V4574" s="1">
        <f t="shared" si="1014"/>
        <v>0</v>
      </c>
    </row>
    <row r="4575" spans="5:22" x14ac:dyDescent="0.25">
      <c r="E4575" s="4"/>
      <c r="M4575" s="4">
        <f t="shared" si="1007"/>
        <v>173.1</v>
      </c>
      <c r="N4575" s="4"/>
      <c r="O4575" s="1">
        <f t="shared" si="1008"/>
        <v>173.1</v>
      </c>
      <c r="P4575" s="1">
        <f t="shared" si="1009"/>
        <v>0</v>
      </c>
      <c r="Q4575" s="1" t="str">
        <f t="shared" si="1006"/>
        <v/>
      </c>
      <c r="R4575" s="1" t="str">
        <f t="shared" si="1010"/>
        <v/>
      </c>
      <c r="S4575" s="1">
        <f t="shared" si="1011"/>
        <v>630.90240000000244</v>
      </c>
      <c r="T4575" s="1">
        <f t="shared" si="1012"/>
        <v>0</v>
      </c>
      <c r="U4575" s="1">
        <f t="shared" si="1013"/>
        <v>0</v>
      </c>
      <c r="V4575" s="1">
        <f t="shared" si="1014"/>
        <v>0</v>
      </c>
    </row>
    <row r="4576" spans="5:22" x14ac:dyDescent="0.25">
      <c r="E4576" s="4"/>
      <c r="M4576" s="4">
        <f t="shared" si="1007"/>
        <v>173.1</v>
      </c>
      <c r="N4576" s="4"/>
      <c r="O4576" s="1">
        <f t="shared" si="1008"/>
        <v>173.1</v>
      </c>
      <c r="P4576" s="1">
        <f t="shared" si="1009"/>
        <v>0</v>
      </c>
      <c r="Q4576" s="1" t="str">
        <f t="shared" si="1006"/>
        <v/>
      </c>
      <c r="R4576" s="1" t="str">
        <f t="shared" si="1010"/>
        <v/>
      </c>
      <c r="S4576" s="1">
        <f t="shared" si="1011"/>
        <v>630.90240000000244</v>
      </c>
      <c r="T4576" s="1">
        <f t="shared" si="1012"/>
        <v>0</v>
      </c>
      <c r="U4576" s="1">
        <f t="shared" si="1013"/>
        <v>0</v>
      </c>
      <c r="V4576" s="1">
        <f t="shared" si="1014"/>
        <v>0</v>
      </c>
    </row>
    <row r="4577" spans="5:22" x14ac:dyDescent="0.25">
      <c r="E4577" s="4"/>
      <c r="M4577" s="4">
        <f t="shared" si="1007"/>
        <v>173.1</v>
      </c>
      <c r="N4577" s="4"/>
      <c r="O4577" s="1">
        <f t="shared" si="1008"/>
        <v>173.1</v>
      </c>
      <c r="P4577" s="1">
        <f t="shared" si="1009"/>
        <v>0</v>
      </c>
      <c r="Q4577" s="1" t="str">
        <f t="shared" si="1006"/>
        <v/>
      </c>
      <c r="R4577" s="1" t="str">
        <f t="shared" si="1010"/>
        <v/>
      </c>
      <c r="S4577" s="1">
        <f t="shared" si="1011"/>
        <v>630.90240000000244</v>
      </c>
      <c r="T4577" s="1">
        <f t="shared" si="1012"/>
        <v>0</v>
      </c>
      <c r="U4577" s="1">
        <f t="shared" si="1013"/>
        <v>0</v>
      </c>
      <c r="V4577" s="1">
        <f t="shared" si="1014"/>
        <v>0</v>
      </c>
    </row>
    <row r="4578" spans="5:22" x14ac:dyDescent="0.25">
      <c r="E4578" s="4"/>
      <c r="M4578" s="4">
        <f t="shared" si="1007"/>
        <v>173.1</v>
      </c>
      <c r="N4578" s="4"/>
      <c r="O4578" s="1">
        <f t="shared" si="1008"/>
        <v>173.1</v>
      </c>
      <c r="P4578" s="1">
        <f t="shared" si="1009"/>
        <v>0</v>
      </c>
      <c r="Q4578" s="1" t="str">
        <f t="shared" si="1006"/>
        <v/>
      </c>
      <c r="R4578" s="1" t="str">
        <f t="shared" si="1010"/>
        <v/>
      </c>
      <c r="S4578" s="1">
        <f t="shared" si="1011"/>
        <v>630.90240000000244</v>
      </c>
      <c r="T4578" s="1">
        <f t="shared" si="1012"/>
        <v>0</v>
      </c>
      <c r="U4578" s="1">
        <f t="shared" si="1013"/>
        <v>0</v>
      </c>
      <c r="V4578" s="1">
        <f t="shared" si="1014"/>
        <v>0</v>
      </c>
    </row>
    <row r="4579" spans="5:22" x14ac:dyDescent="0.25">
      <c r="E4579" s="4"/>
      <c r="M4579" s="4">
        <f t="shared" si="1007"/>
        <v>173.1</v>
      </c>
      <c r="N4579" s="4"/>
      <c r="O4579" s="1">
        <f t="shared" si="1008"/>
        <v>173.1</v>
      </c>
      <c r="P4579" s="1">
        <f t="shared" si="1009"/>
        <v>0</v>
      </c>
      <c r="Q4579" s="1" t="str">
        <f t="shared" si="1006"/>
        <v/>
      </c>
      <c r="R4579" s="1" t="str">
        <f t="shared" si="1010"/>
        <v/>
      </c>
      <c r="S4579" s="1">
        <f t="shared" si="1011"/>
        <v>630.90240000000244</v>
      </c>
      <c r="T4579" s="1">
        <f t="shared" si="1012"/>
        <v>0</v>
      </c>
      <c r="U4579" s="1">
        <f t="shared" si="1013"/>
        <v>0</v>
      </c>
      <c r="V4579" s="1">
        <f t="shared" si="1014"/>
        <v>0</v>
      </c>
    </row>
    <row r="4580" spans="5:22" x14ac:dyDescent="0.25">
      <c r="E4580" s="4"/>
      <c r="M4580" s="4">
        <f t="shared" si="1007"/>
        <v>173.1</v>
      </c>
      <c r="N4580" s="4"/>
      <c r="O4580" s="1">
        <f t="shared" si="1008"/>
        <v>173.1</v>
      </c>
      <c r="P4580" s="1">
        <f t="shared" si="1009"/>
        <v>0</v>
      </c>
      <c r="Q4580" s="1" t="str">
        <f t="shared" si="1006"/>
        <v/>
      </c>
      <c r="R4580" s="1" t="str">
        <f t="shared" si="1010"/>
        <v/>
      </c>
      <c r="S4580" s="1">
        <f t="shared" si="1011"/>
        <v>630.90240000000244</v>
      </c>
      <c r="T4580" s="1">
        <f t="shared" si="1012"/>
        <v>0</v>
      </c>
      <c r="U4580" s="1">
        <f t="shared" si="1013"/>
        <v>0</v>
      </c>
      <c r="V4580" s="1">
        <f t="shared" si="1014"/>
        <v>0</v>
      </c>
    </row>
    <row r="4581" spans="5:22" x14ac:dyDescent="0.25">
      <c r="E4581" s="4"/>
      <c r="M4581" s="4">
        <f t="shared" si="1007"/>
        <v>173.1</v>
      </c>
      <c r="N4581" s="4"/>
      <c r="O4581" s="1">
        <f t="shared" si="1008"/>
        <v>173.1</v>
      </c>
      <c r="P4581" s="1">
        <f t="shared" si="1009"/>
        <v>0</v>
      </c>
      <c r="Q4581" s="1" t="str">
        <f t="shared" si="1006"/>
        <v/>
      </c>
      <c r="R4581" s="1" t="str">
        <f t="shared" si="1010"/>
        <v/>
      </c>
      <c r="S4581" s="1">
        <f t="shared" si="1011"/>
        <v>630.90240000000244</v>
      </c>
      <c r="T4581" s="1">
        <f t="shared" si="1012"/>
        <v>0</v>
      </c>
      <c r="U4581" s="1">
        <f t="shared" si="1013"/>
        <v>0</v>
      </c>
      <c r="V4581" s="1">
        <f t="shared" si="1014"/>
        <v>0</v>
      </c>
    </row>
    <row r="4582" spans="5:22" x14ac:dyDescent="0.25">
      <c r="E4582" s="4"/>
      <c r="M4582" s="4">
        <f t="shared" si="1007"/>
        <v>173.1</v>
      </c>
      <c r="N4582" s="4"/>
      <c r="O4582" s="1">
        <f t="shared" si="1008"/>
        <v>173.1</v>
      </c>
      <c r="P4582" s="1">
        <f t="shared" si="1009"/>
        <v>0</v>
      </c>
      <c r="Q4582" s="1" t="str">
        <f t="shared" si="1006"/>
        <v/>
      </c>
      <c r="R4582" s="1" t="str">
        <f t="shared" si="1010"/>
        <v/>
      </c>
      <c r="S4582" s="1">
        <f t="shared" si="1011"/>
        <v>630.90240000000244</v>
      </c>
      <c r="T4582" s="1">
        <f t="shared" si="1012"/>
        <v>0</v>
      </c>
      <c r="U4582" s="1">
        <f t="shared" si="1013"/>
        <v>0</v>
      </c>
      <c r="V4582" s="1">
        <f t="shared" si="1014"/>
        <v>0</v>
      </c>
    </row>
    <row r="4583" spans="5:22" x14ac:dyDescent="0.25">
      <c r="E4583" s="4"/>
      <c r="M4583" s="4">
        <f t="shared" si="1007"/>
        <v>173.1</v>
      </c>
      <c r="N4583" s="4"/>
      <c r="O4583" s="1">
        <f t="shared" si="1008"/>
        <v>173.1</v>
      </c>
      <c r="P4583" s="1">
        <f t="shared" si="1009"/>
        <v>0</v>
      </c>
      <c r="Q4583" s="1" t="str">
        <f t="shared" si="1006"/>
        <v/>
      </c>
      <c r="R4583" s="1" t="str">
        <f t="shared" si="1010"/>
        <v/>
      </c>
      <c r="S4583" s="1">
        <f t="shared" si="1011"/>
        <v>630.90240000000244</v>
      </c>
      <c r="T4583" s="1">
        <f t="shared" si="1012"/>
        <v>0</v>
      </c>
      <c r="U4583" s="1">
        <f t="shared" si="1013"/>
        <v>0</v>
      </c>
      <c r="V4583" s="1">
        <f t="shared" si="1014"/>
        <v>0</v>
      </c>
    </row>
    <row r="4584" spans="5:22" x14ac:dyDescent="0.25">
      <c r="E4584" s="4"/>
      <c r="M4584" s="4">
        <f t="shared" si="1007"/>
        <v>173.1</v>
      </c>
      <c r="N4584" s="4"/>
      <c r="O4584" s="1">
        <f t="shared" si="1008"/>
        <v>173.1</v>
      </c>
      <c r="P4584" s="1">
        <f t="shared" si="1009"/>
        <v>0</v>
      </c>
      <c r="Q4584" s="1" t="str">
        <f t="shared" si="1006"/>
        <v/>
      </c>
      <c r="R4584" s="1" t="str">
        <f t="shared" si="1010"/>
        <v/>
      </c>
      <c r="S4584" s="1">
        <f t="shared" si="1011"/>
        <v>630.90240000000244</v>
      </c>
      <c r="T4584" s="1">
        <f t="shared" si="1012"/>
        <v>0</v>
      </c>
      <c r="U4584" s="1">
        <f t="shared" si="1013"/>
        <v>0</v>
      </c>
      <c r="V4584" s="1">
        <f t="shared" si="1014"/>
        <v>0</v>
      </c>
    </row>
    <row r="4585" spans="5:22" x14ac:dyDescent="0.25">
      <c r="E4585" s="4"/>
      <c r="M4585" s="4">
        <f t="shared" si="1007"/>
        <v>173.1</v>
      </c>
      <c r="N4585" s="4"/>
      <c r="O4585" s="1">
        <f t="shared" si="1008"/>
        <v>173.1</v>
      </c>
      <c r="P4585" s="1">
        <f t="shared" si="1009"/>
        <v>0</v>
      </c>
      <c r="Q4585" s="1" t="str">
        <f t="shared" si="1006"/>
        <v/>
      </c>
      <c r="R4585" s="1" t="str">
        <f t="shared" si="1010"/>
        <v/>
      </c>
      <c r="S4585" s="1">
        <f t="shared" si="1011"/>
        <v>630.90240000000244</v>
      </c>
      <c r="T4585" s="1">
        <f t="shared" si="1012"/>
        <v>0</v>
      </c>
      <c r="U4585" s="1">
        <f t="shared" si="1013"/>
        <v>0</v>
      </c>
      <c r="V4585" s="1">
        <f t="shared" si="1014"/>
        <v>0</v>
      </c>
    </row>
    <row r="4586" spans="5:22" x14ac:dyDescent="0.25">
      <c r="E4586" s="4"/>
      <c r="M4586" s="4">
        <f t="shared" si="1007"/>
        <v>173.1</v>
      </c>
      <c r="N4586" s="4"/>
      <c r="O4586" s="1">
        <f t="shared" si="1008"/>
        <v>173.1</v>
      </c>
      <c r="P4586" s="1">
        <f t="shared" si="1009"/>
        <v>0</v>
      </c>
      <c r="Q4586" s="1" t="str">
        <f t="shared" si="1006"/>
        <v/>
      </c>
      <c r="R4586" s="1" t="str">
        <f t="shared" si="1010"/>
        <v/>
      </c>
      <c r="S4586" s="1">
        <f t="shared" si="1011"/>
        <v>630.90240000000244</v>
      </c>
      <c r="T4586" s="1">
        <f t="shared" si="1012"/>
        <v>0</v>
      </c>
      <c r="U4586" s="1">
        <f t="shared" si="1013"/>
        <v>0</v>
      </c>
      <c r="V4586" s="1">
        <f t="shared" si="1014"/>
        <v>0</v>
      </c>
    </row>
    <row r="4587" spans="5:22" x14ac:dyDescent="0.25">
      <c r="E4587" s="4"/>
      <c r="M4587" s="4">
        <f t="shared" si="1007"/>
        <v>173.1</v>
      </c>
      <c r="N4587" s="4"/>
      <c r="O4587" s="1">
        <f t="shared" si="1008"/>
        <v>173.1</v>
      </c>
      <c r="P4587" s="1">
        <f t="shared" si="1009"/>
        <v>0</v>
      </c>
      <c r="Q4587" s="1" t="str">
        <f t="shared" si="1006"/>
        <v/>
      </c>
      <c r="R4587" s="1" t="str">
        <f t="shared" si="1010"/>
        <v/>
      </c>
      <c r="S4587" s="1">
        <f t="shared" si="1011"/>
        <v>630.90240000000244</v>
      </c>
      <c r="T4587" s="1">
        <f t="shared" si="1012"/>
        <v>0</v>
      </c>
      <c r="U4587" s="1">
        <f t="shared" si="1013"/>
        <v>0</v>
      </c>
      <c r="V4587" s="1">
        <f t="shared" si="1014"/>
        <v>0</v>
      </c>
    </row>
    <row r="4588" spans="5:22" x14ac:dyDescent="0.25">
      <c r="E4588" s="4"/>
      <c r="M4588" s="4">
        <f t="shared" si="1007"/>
        <v>173.1</v>
      </c>
      <c r="N4588" s="4"/>
      <c r="O4588" s="1">
        <f t="shared" si="1008"/>
        <v>173.1</v>
      </c>
      <c r="P4588" s="1">
        <f t="shared" si="1009"/>
        <v>0</v>
      </c>
      <c r="Q4588" s="1" t="str">
        <f t="shared" si="1006"/>
        <v/>
      </c>
      <c r="R4588" s="1" t="str">
        <f t="shared" si="1010"/>
        <v/>
      </c>
      <c r="S4588" s="1">
        <f t="shared" si="1011"/>
        <v>630.90240000000244</v>
      </c>
      <c r="T4588" s="1">
        <f t="shared" si="1012"/>
        <v>0</v>
      </c>
      <c r="U4588" s="1">
        <f t="shared" si="1013"/>
        <v>0</v>
      </c>
      <c r="V4588" s="1">
        <f t="shared" si="1014"/>
        <v>0</v>
      </c>
    </row>
    <row r="4589" spans="5:22" x14ac:dyDescent="0.25">
      <c r="E4589" s="4"/>
      <c r="M4589" s="4">
        <f t="shared" si="1007"/>
        <v>173.1</v>
      </c>
      <c r="N4589" s="4"/>
      <c r="O4589" s="1">
        <f t="shared" si="1008"/>
        <v>173.1</v>
      </c>
      <c r="P4589" s="1">
        <f t="shared" si="1009"/>
        <v>0</v>
      </c>
      <c r="Q4589" s="1" t="str">
        <f t="shared" si="1006"/>
        <v/>
      </c>
      <c r="R4589" s="1" t="str">
        <f t="shared" si="1010"/>
        <v/>
      </c>
      <c r="S4589" s="1">
        <f t="shared" si="1011"/>
        <v>630.90240000000244</v>
      </c>
      <c r="T4589" s="1">
        <f t="shared" si="1012"/>
        <v>0</v>
      </c>
      <c r="U4589" s="1">
        <f t="shared" si="1013"/>
        <v>0</v>
      </c>
      <c r="V4589" s="1">
        <f t="shared" si="1014"/>
        <v>0</v>
      </c>
    </row>
    <row r="4590" spans="5:22" x14ac:dyDescent="0.25">
      <c r="E4590" s="4"/>
      <c r="M4590" s="4">
        <f t="shared" si="1007"/>
        <v>173.1</v>
      </c>
      <c r="N4590" s="4"/>
      <c r="O4590" s="1">
        <f t="shared" si="1008"/>
        <v>173.1</v>
      </c>
      <c r="P4590" s="1">
        <f t="shared" si="1009"/>
        <v>0</v>
      </c>
      <c r="Q4590" s="1" t="str">
        <f t="shared" si="1006"/>
        <v/>
      </c>
      <c r="R4590" s="1" t="str">
        <f t="shared" si="1010"/>
        <v/>
      </c>
      <c r="S4590" s="1">
        <f t="shared" si="1011"/>
        <v>630.90240000000244</v>
      </c>
      <c r="T4590" s="1">
        <f t="shared" si="1012"/>
        <v>0</v>
      </c>
      <c r="U4590" s="1">
        <f t="shared" si="1013"/>
        <v>0</v>
      </c>
      <c r="V4590" s="1">
        <f t="shared" si="1014"/>
        <v>0</v>
      </c>
    </row>
    <row r="4591" spans="5:22" x14ac:dyDescent="0.25">
      <c r="E4591" s="4"/>
      <c r="M4591" s="4">
        <f t="shared" si="1007"/>
        <v>173.1</v>
      </c>
      <c r="N4591" s="4"/>
      <c r="O4591" s="1">
        <f t="shared" si="1008"/>
        <v>173.1</v>
      </c>
      <c r="P4591" s="1">
        <f t="shared" si="1009"/>
        <v>0</v>
      </c>
      <c r="Q4591" s="1" t="str">
        <f t="shared" si="1006"/>
        <v/>
      </c>
      <c r="R4591" s="1" t="str">
        <f t="shared" si="1010"/>
        <v/>
      </c>
      <c r="S4591" s="1">
        <f t="shared" si="1011"/>
        <v>630.90240000000244</v>
      </c>
      <c r="T4591" s="1">
        <f t="shared" si="1012"/>
        <v>0</v>
      </c>
      <c r="U4591" s="1">
        <f t="shared" si="1013"/>
        <v>0</v>
      </c>
      <c r="V4591" s="1">
        <f t="shared" si="1014"/>
        <v>0</v>
      </c>
    </row>
    <row r="4592" spans="5:22" x14ac:dyDescent="0.25">
      <c r="E4592" s="4"/>
      <c r="M4592" s="4">
        <f t="shared" si="1007"/>
        <v>173.1</v>
      </c>
      <c r="N4592" s="4"/>
      <c r="O4592" s="1">
        <f t="shared" si="1008"/>
        <v>173.1</v>
      </c>
      <c r="P4592" s="1">
        <f t="shared" si="1009"/>
        <v>0</v>
      </c>
      <c r="Q4592" s="1" t="str">
        <f t="shared" si="1006"/>
        <v/>
      </c>
      <c r="R4592" s="1" t="str">
        <f t="shared" si="1010"/>
        <v/>
      </c>
      <c r="S4592" s="1">
        <f t="shared" si="1011"/>
        <v>630.90240000000244</v>
      </c>
      <c r="T4592" s="1">
        <f t="shared" si="1012"/>
        <v>0</v>
      </c>
      <c r="U4592" s="1">
        <f t="shared" si="1013"/>
        <v>0</v>
      </c>
      <c r="V4592" s="1">
        <f t="shared" si="1014"/>
        <v>0</v>
      </c>
    </row>
    <row r="4593" spans="5:22" x14ac:dyDescent="0.25">
      <c r="E4593" s="4"/>
      <c r="M4593" s="4">
        <f t="shared" si="1007"/>
        <v>173.1</v>
      </c>
      <c r="N4593" s="4"/>
      <c r="O4593" s="1">
        <f t="shared" si="1008"/>
        <v>173.1</v>
      </c>
      <c r="P4593" s="1">
        <f t="shared" si="1009"/>
        <v>0</v>
      </c>
      <c r="Q4593" s="1" t="str">
        <f t="shared" si="1006"/>
        <v/>
      </c>
      <c r="R4593" s="1" t="str">
        <f t="shared" si="1010"/>
        <v/>
      </c>
      <c r="S4593" s="1">
        <f t="shared" si="1011"/>
        <v>630.90240000000244</v>
      </c>
      <c r="T4593" s="1">
        <f t="shared" si="1012"/>
        <v>0</v>
      </c>
      <c r="U4593" s="1">
        <f t="shared" si="1013"/>
        <v>0</v>
      </c>
      <c r="V4593" s="1">
        <f t="shared" si="1014"/>
        <v>0</v>
      </c>
    </row>
    <row r="4594" spans="5:22" x14ac:dyDescent="0.25">
      <c r="E4594" s="4"/>
      <c r="M4594" s="4">
        <f t="shared" si="1007"/>
        <v>173.1</v>
      </c>
      <c r="N4594" s="4"/>
      <c r="O4594" s="1">
        <f t="shared" si="1008"/>
        <v>173.1</v>
      </c>
      <c r="P4594" s="1">
        <f t="shared" si="1009"/>
        <v>0</v>
      </c>
      <c r="Q4594" s="1" t="str">
        <f t="shared" ref="Q4594:Q4657" si="1015">IF(H4594&lt;&gt;"",IF(H4594=H4593,"",H4594),IF(H4592="","",MAX(H4593,Q4593)))</f>
        <v/>
      </c>
      <c r="R4594" s="1" t="str">
        <f t="shared" si="1010"/>
        <v/>
      </c>
      <c r="S4594" s="1">
        <f t="shared" si="1011"/>
        <v>630.90240000000244</v>
      </c>
      <c r="T4594" s="1">
        <f t="shared" si="1012"/>
        <v>0</v>
      </c>
      <c r="U4594" s="1">
        <f t="shared" si="1013"/>
        <v>0</v>
      </c>
      <c r="V4594" s="1">
        <f t="shared" si="1014"/>
        <v>0</v>
      </c>
    </row>
    <row r="4595" spans="5:22" x14ac:dyDescent="0.25">
      <c r="E4595" s="4"/>
      <c r="M4595" s="4">
        <f t="shared" si="1007"/>
        <v>173.1</v>
      </c>
      <c r="N4595" s="4"/>
      <c r="O4595" s="1">
        <f t="shared" si="1008"/>
        <v>173.1</v>
      </c>
      <c r="P4595" s="1">
        <f t="shared" si="1009"/>
        <v>0</v>
      </c>
      <c r="Q4595" s="1" t="str">
        <f t="shared" si="1015"/>
        <v/>
      </c>
      <c r="R4595" s="1" t="str">
        <f t="shared" si="1010"/>
        <v/>
      </c>
      <c r="S4595" s="1">
        <f t="shared" si="1011"/>
        <v>630.90240000000244</v>
      </c>
      <c r="T4595" s="1">
        <f t="shared" si="1012"/>
        <v>0</v>
      </c>
      <c r="U4595" s="1">
        <f t="shared" si="1013"/>
        <v>0</v>
      </c>
      <c r="V4595" s="1">
        <f t="shared" si="1014"/>
        <v>0</v>
      </c>
    </row>
    <row r="4596" spans="5:22" x14ac:dyDescent="0.25">
      <c r="E4596" s="4"/>
      <c r="M4596" s="4">
        <f t="shared" si="1007"/>
        <v>173.1</v>
      </c>
      <c r="N4596" s="4"/>
      <c r="O4596" s="1">
        <f t="shared" si="1008"/>
        <v>173.1</v>
      </c>
      <c r="P4596" s="1">
        <f t="shared" si="1009"/>
        <v>0</v>
      </c>
      <c r="Q4596" s="1" t="str">
        <f t="shared" si="1015"/>
        <v/>
      </c>
      <c r="R4596" s="1" t="str">
        <f t="shared" si="1010"/>
        <v/>
      </c>
      <c r="S4596" s="1">
        <f t="shared" si="1011"/>
        <v>630.90240000000244</v>
      </c>
      <c r="T4596" s="1">
        <f t="shared" si="1012"/>
        <v>0</v>
      </c>
      <c r="U4596" s="1">
        <f t="shared" si="1013"/>
        <v>0</v>
      </c>
      <c r="V4596" s="1">
        <f t="shared" si="1014"/>
        <v>0</v>
      </c>
    </row>
    <row r="4597" spans="5:22" x14ac:dyDescent="0.25">
      <c r="E4597" s="4"/>
      <c r="M4597" s="4">
        <f t="shared" si="1007"/>
        <v>173.1</v>
      </c>
      <c r="N4597" s="4"/>
      <c r="O4597" s="1">
        <f t="shared" si="1008"/>
        <v>173.1</v>
      </c>
      <c r="P4597" s="1">
        <f t="shared" si="1009"/>
        <v>0</v>
      </c>
      <c r="Q4597" s="1" t="str">
        <f t="shared" si="1015"/>
        <v/>
      </c>
      <c r="R4597" s="1" t="str">
        <f t="shared" si="1010"/>
        <v/>
      </c>
      <c r="S4597" s="1">
        <f t="shared" si="1011"/>
        <v>630.90240000000244</v>
      </c>
      <c r="T4597" s="1">
        <f t="shared" si="1012"/>
        <v>0</v>
      </c>
      <c r="U4597" s="1">
        <f t="shared" si="1013"/>
        <v>0</v>
      </c>
      <c r="V4597" s="1">
        <f t="shared" si="1014"/>
        <v>0</v>
      </c>
    </row>
    <row r="4598" spans="5:22" x14ac:dyDescent="0.25">
      <c r="E4598" s="4"/>
      <c r="M4598" s="4">
        <f t="shared" si="1007"/>
        <v>173.1</v>
      </c>
      <c r="N4598" s="4"/>
      <c r="O4598" s="1">
        <f t="shared" si="1008"/>
        <v>173.1</v>
      </c>
      <c r="P4598" s="1">
        <f t="shared" si="1009"/>
        <v>0</v>
      </c>
      <c r="Q4598" s="1" t="str">
        <f t="shared" si="1015"/>
        <v/>
      </c>
      <c r="R4598" s="1" t="str">
        <f t="shared" si="1010"/>
        <v/>
      </c>
      <c r="S4598" s="1">
        <f t="shared" si="1011"/>
        <v>630.90240000000244</v>
      </c>
      <c r="T4598" s="1">
        <f t="shared" si="1012"/>
        <v>0</v>
      </c>
      <c r="U4598" s="1">
        <f t="shared" si="1013"/>
        <v>0</v>
      </c>
      <c r="V4598" s="1">
        <f t="shared" si="1014"/>
        <v>0</v>
      </c>
    </row>
    <row r="4599" spans="5:22" x14ac:dyDescent="0.25">
      <c r="E4599" s="4"/>
      <c r="M4599" s="4">
        <f t="shared" si="1007"/>
        <v>173.1</v>
      </c>
      <c r="N4599" s="4"/>
      <c r="O4599" s="1">
        <f t="shared" si="1008"/>
        <v>173.1</v>
      </c>
      <c r="P4599" s="1">
        <f t="shared" si="1009"/>
        <v>0</v>
      </c>
      <c r="Q4599" s="1" t="str">
        <f t="shared" si="1015"/>
        <v/>
      </c>
      <c r="R4599" s="1" t="str">
        <f t="shared" si="1010"/>
        <v/>
      </c>
      <c r="S4599" s="1">
        <f t="shared" si="1011"/>
        <v>630.90240000000244</v>
      </c>
      <c r="T4599" s="1">
        <f t="shared" si="1012"/>
        <v>0</v>
      </c>
      <c r="U4599" s="1">
        <f t="shared" si="1013"/>
        <v>0</v>
      </c>
      <c r="V4599" s="1">
        <f t="shared" si="1014"/>
        <v>0</v>
      </c>
    </row>
    <row r="4600" spans="5:22" x14ac:dyDescent="0.25">
      <c r="E4600" s="4"/>
      <c r="M4600" s="4">
        <f t="shared" si="1007"/>
        <v>173.1</v>
      </c>
      <c r="N4600" s="4"/>
      <c r="O4600" s="1">
        <f t="shared" si="1008"/>
        <v>173.1</v>
      </c>
      <c r="P4600" s="1">
        <f t="shared" si="1009"/>
        <v>0</v>
      </c>
      <c r="Q4600" s="1" t="str">
        <f t="shared" si="1015"/>
        <v/>
      </c>
      <c r="R4600" s="1" t="str">
        <f t="shared" si="1010"/>
        <v/>
      </c>
      <c r="S4600" s="1">
        <f t="shared" si="1011"/>
        <v>630.90240000000244</v>
      </c>
      <c r="T4600" s="1">
        <f t="shared" si="1012"/>
        <v>0</v>
      </c>
      <c r="U4600" s="1">
        <f t="shared" si="1013"/>
        <v>0</v>
      </c>
      <c r="V4600" s="1">
        <f t="shared" si="1014"/>
        <v>0</v>
      </c>
    </row>
    <row r="4601" spans="5:22" x14ac:dyDescent="0.25">
      <c r="E4601" s="4"/>
      <c r="M4601" s="4">
        <f t="shared" si="1007"/>
        <v>173.1</v>
      </c>
      <c r="N4601" s="4"/>
      <c r="O4601" s="1">
        <f t="shared" si="1008"/>
        <v>173.1</v>
      </c>
      <c r="P4601" s="1">
        <f t="shared" si="1009"/>
        <v>0</v>
      </c>
      <c r="Q4601" s="1" t="str">
        <f t="shared" si="1015"/>
        <v/>
      </c>
      <c r="R4601" s="1" t="str">
        <f t="shared" si="1010"/>
        <v/>
      </c>
      <c r="S4601" s="1">
        <f t="shared" si="1011"/>
        <v>630.90240000000244</v>
      </c>
      <c r="T4601" s="1">
        <f t="shared" si="1012"/>
        <v>0</v>
      </c>
      <c r="U4601" s="1">
        <f t="shared" si="1013"/>
        <v>0</v>
      </c>
      <c r="V4601" s="1">
        <f t="shared" si="1014"/>
        <v>0</v>
      </c>
    </row>
    <row r="4602" spans="5:22" x14ac:dyDescent="0.25">
      <c r="E4602" s="4"/>
      <c r="M4602" s="4">
        <f t="shared" si="1007"/>
        <v>173.1</v>
      </c>
      <c r="N4602" s="4"/>
      <c r="O4602" s="1">
        <f t="shared" si="1008"/>
        <v>173.1</v>
      </c>
      <c r="P4602" s="1">
        <f t="shared" si="1009"/>
        <v>0</v>
      </c>
      <c r="Q4602" s="1" t="str">
        <f t="shared" si="1015"/>
        <v/>
      </c>
      <c r="R4602" s="1" t="str">
        <f t="shared" si="1010"/>
        <v/>
      </c>
      <c r="S4602" s="1">
        <f t="shared" si="1011"/>
        <v>630.90240000000244</v>
      </c>
      <c r="T4602" s="1">
        <f t="shared" si="1012"/>
        <v>0</v>
      </c>
      <c r="U4602" s="1">
        <f t="shared" si="1013"/>
        <v>0</v>
      </c>
      <c r="V4602" s="1">
        <f t="shared" si="1014"/>
        <v>0</v>
      </c>
    </row>
    <row r="4603" spans="5:22" x14ac:dyDescent="0.25">
      <c r="E4603" s="4"/>
      <c r="M4603" s="4">
        <f t="shared" si="1007"/>
        <v>173.1</v>
      </c>
      <c r="N4603" s="4"/>
      <c r="O4603" s="1">
        <f t="shared" si="1008"/>
        <v>173.1</v>
      </c>
      <c r="P4603" s="1">
        <f t="shared" si="1009"/>
        <v>0</v>
      </c>
      <c r="Q4603" s="1" t="str">
        <f t="shared" si="1015"/>
        <v/>
      </c>
      <c r="R4603" s="1" t="str">
        <f t="shared" si="1010"/>
        <v/>
      </c>
      <c r="S4603" s="1">
        <f t="shared" si="1011"/>
        <v>630.90240000000244</v>
      </c>
      <c r="T4603" s="1">
        <f t="shared" si="1012"/>
        <v>0</v>
      </c>
      <c r="U4603" s="1">
        <f t="shared" si="1013"/>
        <v>0</v>
      </c>
      <c r="V4603" s="1">
        <f t="shared" si="1014"/>
        <v>0</v>
      </c>
    </row>
    <row r="4604" spans="5:22" x14ac:dyDescent="0.25">
      <c r="E4604" s="4"/>
      <c r="M4604" s="4">
        <f t="shared" si="1007"/>
        <v>173.1</v>
      </c>
      <c r="N4604" s="4"/>
      <c r="O4604" s="1">
        <f t="shared" si="1008"/>
        <v>173.1</v>
      </c>
      <c r="P4604" s="1">
        <f t="shared" si="1009"/>
        <v>0</v>
      </c>
      <c r="Q4604" s="1" t="str">
        <f t="shared" si="1015"/>
        <v/>
      </c>
      <c r="R4604" s="1" t="str">
        <f t="shared" si="1010"/>
        <v/>
      </c>
      <c r="S4604" s="1">
        <f t="shared" si="1011"/>
        <v>630.90240000000244</v>
      </c>
      <c r="T4604" s="1">
        <f t="shared" si="1012"/>
        <v>0</v>
      </c>
      <c r="U4604" s="1">
        <f t="shared" si="1013"/>
        <v>0</v>
      </c>
      <c r="V4604" s="1">
        <f t="shared" si="1014"/>
        <v>0</v>
      </c>
    </row>
    <row r="4605" spans="5:22" x14ac:dyDescent="0.25">
      <c r="E4605" s="4"/>
      <c r="M4605" s="4">
        <f t="shared" si="1007"/>
        <v>173.1</v>
      </c>
      <c r="N4605" s="4"/>
      <c r="O4605" s="1">
        <f t="shared" si="1008"/>
        <v>173.1</v>
      </c>
      <c r="P4605" s="1">
        <f t="shared" si="1009"/>
        <v>0</v>
      </c>
      <c r="Q4605" s="1" t="str">
        <f t="shared" si="1015"/>
        <v/>
      </c>
      <c r="R4605" s="1" t="str">
        <f t="shared" si="1010"/>
        <v/>
      </c>
      <c r="S4605" s="1">
        <f t="shared" si="1011"/>
        <v>630.90240000000244</v>
      </c>
      <c r="T4605" s="1">
        <f t="shared" si="1012"/>
        <v>0</v>
      </c>
      <c r="U4605" s="1">
        <f t="shared" si="1013"/>
        <v>0</v>
      </c>
      <c r="V4605" s="1">
        <f t="shared" si="1014"/>
        <v>0</v>
      </c>
    </row>
    <row r="4606" spans="5:22" x14ac:dyDescent="0.25">
      <c r="E4606" s="4"/>
      <c r="M4606" s="4">
        <f t="shared" si="1007"/>
        <v>173.1</v>
      </c>
      <c r="N4606" s="4"/>
      <c r="O4606" s="1">
        <f t="shared" si="1008"/>
        <v>173.1</v>
      </c>
      <c r="P4606" s="1">
        <f t="shared" si="1009"/>
        <v>0</v>
      </c>
      <c r="Q4606" s="1" t="str">
        <f t="shared" si="1015"/>
        <v/>
      </c>
      <c r="R4606" s="1" t="str">
        <f t="shared" si="1010"/>
        <v/>
      </c>
      <c r="S4606" s="1">
        <f t="shared" si="1011"/>
        <v>630.90240000000244</v>
      </c>
      <c r="T4606" s="1">
        <f t="shared" si="1012"/>
        <v>0</v>
      </c>
      <c r="U4606" s="1">
        <f t="shared" si="1013"/>
        <v>0</v>
      </c>
      <c r="V4606" s="1">
        <f t="shared" si="1014"/>
        <v>0</v>
      </c>
    </row>
    <row r="4607" spans="5:22" x14ac:dyDescent="0.25">
      <c r="E4607" s="4"/>
      <c r="M4607" s="4">
        <f t="shared" si="1007"/>
        <v>173.1</v>
      </c>
      <c r="N4607" s="4"/>
      <c r="O4607" s="1">
        <f t="shared" si="1008"/>
        <v>173.1</v>
      </c>
      <c r="P4607" s="1">
        <f t="shared" si="1009"/>
        <v>0</v>
      </c>
      <c r="Q4607" s="1" t="str">
        <f t="shared" si="1015"/>
        <v/>
      </c>
      <c r="R4607" s="1" t="str">
        <f t="shared" si="1010"/>
        <v/>
      </c>
      <c r="S4607" s="1">
        <f t="shared" si="1011"/>
        <v>630.90240000000244</v>
      </c>
      <c r="T4607" s="1">
        <f t="shared" si="1012"/>
        <v>0</v>
      </c>
      <c r="U4607" s="1">
        <f t="shared" si="1013"/>
        <v>0</v>
      </c>
      <c r="V4607" s="1">
        <f t="shared" si="1014"/>
        <v>0</v>
      </c>
    </row>
    <row r="4608" spans="5:22" x14ac:dyDescent="0.25">
      <c r="E4608" s="4"/>
      <c r="M4608" s="4">
        <f t="shared" si="1007"/>
        <v>173.1</v>
      </c>
      <c r="N4608" s="4"/>
      <c r="O4608" s="1">
        <f t="shared" si="1008"/>
        <v>173.1</v>
      </c>
      <c r="P4608" s="1">
        <f t="shared" si="1009"/>
        <v>0</v>
      </c>
      <c r="Q4608" s="1" t="str">
        <f t="shared" si="1015"/>
        <v/>
      </c>
      <c r="R4608" s="1" t="str">
        <f t="shared" si="1010"/>
        <v/>
      </c>
      <c r="S4608" s="1">
        <f t="shared" si="1011"/>
        <v>630.90240000000244</v>
      </c>
      <c r="T4608" s="1">
        <f t="shared" si="1012"/>
        <v>0</v>
      </c>
      <c r="U4608" s="1">
        <f t="shared" si="1013"/>
        <v>0</v>
      </c>
      <c r="V4608" s="1">
        <f t="shared" si="1014"/>
        <v>0</v>
      </c>
    </row>
    <row r="4609" spans="5:22" x14ac:dyDescent="0.25">
      <c r="E4609" s="4"/>
      <c r="M4609" s="4">
        <f t="shared" si="1007"/>
        <v>173.1</v>
      </c>
      <c r="N4609" s="4"/>
      <c r="O4609" s="1">
        <f t="shared" si="1008"/>
        <v>173.1</v>
      </c>
      <c r="P4609" s="1">
        <f t="shared" si="1009"/>
        <v>0</v>
      </c>
      <c r="Q4609" s="1" t="str">
        <f t="shared" si="1015"/>
        <v/>
      </c>
      <c r="R4609" s="1" t="str">
        <f t="shared" si="1010"/>
        <v/>
      </c>
      <c r="S4609" s="1">
        <f t="shared" si="1011"/>
        <v>630.90240000000244</v>
      </c>
      <c r="T4609" s="1">
        <f t="shared" si="1012"/>
        <v>0</v>
      </c>
      <c r="U4609" s="1">
        <f t="shared" si="1013"/>
        <v>0</v>
      </c>
      <c r="V4609" s="1">
        <f t="shared" si="1014"/>
        <v>0</v>
      </c>
    </row>
    <row r="4610" spans="5:22" x14ac:dyDescent="0.25">
      <c r="E4610" s="4"/>
      <c r="M4610" s="4">
        <f t="shared" si="1007"/>
        <v>173.1</v>
      </c>
      <c r="N4610" s="4"/>
      <c r="O4610" s="1">
        <f t="shared" si="1008"/>
        <v>173.1</v>
      </c>
      <c r="P4610" s="1">
        <f t="shared" si="1009"/>
        <v>0</v>
      </c>
      <c r="Q4610" s="1" t="str">
        <f t="shared" si="1015"/>
        <v/>
      </c>
      <c r="R4610" s="1" t="str">
        <f t="shared" si="1010"/>
        <v/>
      </c>
      <c r="S4610" s="1">
        <f t="shared" si="1011"/>
        <v>630.90240000000244</v>
      </c>
      <c r="T4610" s="1">
        <f t="shared" si="1012"/>
        <v>0</v>
      </c>
      <c r="U4610" s="1">
        <f t="shared" si="1013"/>
        <v>0</v>
      </c>
      <c r="V4610" s="1">
        <f t="shared" si="1014"/>
        <v>0</v>
      </c>
    </row>
    <row r="4611" spans="5:22" x14ac:dyDescent="0.25">
      <c r="E4611" s="4"/>
      <c r="M4611" s="4">
        <f t="shared" si="1007"/>
        <v>173.1</v>
      </c>
      <c r="N4611" s="4"/>
      <c r="O4611" s="1">
        <f t="shared" si="1008"/>
        <v>173.1</v>
      </c>
      <c r="P4611" s="1">
        <f t="shared" si="1009"/>
        <v>0</v>
      </c>
      <c r="Q4611" s="1" t="str">
        <f t="shared" si="1015"/>
        <v/>
      </c>
      <c r="R4611" s="1" t="str">
        <f t="shared" si="1010"/>
        <v/>
      </c>
      <c r="S4611" s="1">
        <f t="shared" si="1011"/>
        <v>630.90240000000244</v>
      </c>
      <c r="T4611" s="1">
        <f t="shared" si="1012"/>
        <v>0</v>
      </c>
      <c r="U4611" s="1">
        <f t="shared" si="1013"/>
        <v>0</v>
      </c>
      <c r="V4611" s="1">
        <f t="shared" si="1014"/>
        <v>0</v>
      </c>
    </row>
    <row r="4612" spans="5:22" x14ac:dyDescent="0.25">
      <c r="E4612" s="4"/>
      <c r="M4612" s="4">
        <f t="shared" si="1007"/>
        <v>173.1</v>
      </c>
      <c r="N4612" s="4"/>
      <c r="O4612" s="1">
        <f t="shared" si="1008"/>
        <v>173.1</v>
      </c>
      <c r="P4612" s="1">
        <f t="shared" si="1009"/>
        <v>0</v>
      </c>
      <c r="Q4612" s="1" t="str">
        <f t="shared" si="1015"/>
        <v/>
      </c>
      <c r="R4612" s="1" t="str">
        <f t="shared" si="1010"/>
        <v/>
      </c>
      <c r="S4612" s="1">
        <f t="shared" si="1011"/>
        <v>630.90240000000244</v>
      </c>
      <c r="T4612" s="1">
        <f t="shared" si="1012"/>
        <v>0</v>
      </c>
      <c r="U4612" s="1">
        <f t="shared" si="1013"/>
        <v>0</v>
      </c>
      <c r="V4612" s="1">
        <f t="shared" si="1014"/>
        <v>0</v>
      </c>
    </row>
    <row r="4613" spans="5:22" x14ac:dyDescent="0.25">
      <c r="E4613" s="4"/>
      <c r="M4613" s="4">
        <f t="shared" si="1007"/>
        <v>173.1</v>
      </c>
      <c r="N4613" s="4"/>
      <c r="O4613" s="1">
        <f t="shared" si="1008"/>
        <v>173.1</v>
      </c>
      <c r="P4613" s="1">
        <f t="shared" si="1009"/>
        <v>0</v>
      </c>
      <c r="Q4613" s="1" t="str">
        <f t="shared" si="1015"/>
        <v/>
      </c>
      <c r="R4613" s="1" t="str">
        <f t="shared" si="1010"/>
        <v/>
      </c>
      <c r="S4613" s="1">
        <f t="shared" si="1011"/>
        <v>630.90240000000244</v>
      </c>
      <c r="T4613" s="1">
        <f t="shared" si="1012"/>
        <v>0</v>
      </c>
      <c r="U4613" s="1">
        <f t="shared" si="1013"/>
        <v>0</v>
      </c>
      <c r="V4613" s="1">
        <f t="shared" si="1014"/>
        <v>0</v>
      </c>
    </row>
    <row r="4614" spans="5:22" x14ac:dyDescent="0.25">
      <c r="E4614" s="4"/>
      <c r="M4614" s="4">
        <f t="shared" si="1007"/>
        <v>173.1</v>
      </c>
      <c r="N4614" s="4"/>
      <c r="O4614" s="1">
        <f t="shared" si="1008"/>
        <v>173.1</v>
      </c>
      <c r="P4614" s="1">
        <f t="shared" si="1009"/>
        <v>0</v>
      </c>
      <c r="Q4614" s="1" t="str">
        <f t="shared" si="1015"/>
        <v/>
      </c>
      <c r="R4614" s="1" t="str">
        <f t="shared" si="1010"/>
        <v/>
      </c>
      <c r="S4614" s="1">
        <f t="shared" si="1011"/>
        <v>630.90240000000244</v>
      </c>
      <c r="T4614" s="1">
        <f t="shared" si="1012"/>
        <v>0</v>
      </c>
      <c r="U4614" s="1">
        <f t="shared" si="1013"/>
        <v>0</v>
      </c>
      <c r="V4614" s="1">
        <f t="shared" si="1014"/>
        <v>0</v>
      </c>
    </row>
    <row r="4615" spans="5:22" x14ac:dyDescent="0.25">
      <c r="E4615" s="4"/>
      <c r="M4615" s="4">
        <f t="shared" si="1007"/>
        <v>173.1</v>
      </c>
      <c r="N4615" s="4"/>
      <c r="O4615" s="1">
        <f t="shared" si="1008"/>
        <v>173.1</v>
      </c>
      <c r="P4615" s="1">
        <f t="shared" si="1009"/>
        <v>0</v>
      </c>
      <c r="Q4615" s="1" t="str">
        <f t="shared" si="1015"/>
        <v/>
      </c>
      <c r="R4615" s="1" t="str">
        <f t="shared" si="1010"/>
        <v/>
      </c>
      <c r="S4615" s="1">
        <f t="shared" si="1011"/>
        <v>630.90240000000244</v>
      </c>
      <c r="T4615" s="1">
        <f t="shared" si="1012"/>
        <v>0</v>
      </c>
      <c r="U4615" s="1">
        <f t="shared" si="1013"/>
        <v>0</v>
      </c>
      <c r="V4615" s="1">
        <f t="shared" si="1014"/>
        <v>0</v>
      </c>
    </row>
    <row r="4616" spans="5:22" x14ac:dyDescent="0.25">
      <c r="E4616" s="4"/>
      <c r="M4616" s="4">
        <f t="shared" ref="M4616:M4679" si="1016">E4616+M4615</f>
        <v>173.1</v>
      </c>
      <c r="N4616" s="4"/>
      <c r="O4616" s="1">
        <f t="shared" ref="O4616:O4679" si="1017">E4615+O4615</f>
        <v>173.1</v>
      </c>
      <c r="P4616" s="1">
        <f t="shared" ref="P4616:P4679" si="1018">F4616*52.8*E4616</f>
        <v>0</v>
      </c>
      <c r="Q4616" s="1" t="str">
        <f t="shared" si="1015"/>
        <v/>
      </c>
      <c r="R4616" s="1" t="str">
        <f t="shared" ref="R4616:R4679" si="1019">IF(I4616="",Q4616,IF(AND(H4616=H4615,I4616=I4615),"",I4616))</f>
        <v/>
      </c>
      <c r="S4616" s="1">
        <f t="shared" ref="S4616:S4679" si="1020">S4615+U4615*T4615/100</f>
        <v>630.90240000000244</v>
      </c>
      <c r="T4616" s="1">
        <f t="shared" ref="T4616:T4679" si="1021">IF(G4616="UNK",0,G4616)</f>
        <v>0</v>
      </c>
      <c r="U4616" s="1">
        <f t="shared" ref="U4616:U4679" si="1022">E4616*5280</f>
        <v>0</v>
      </c>
      <c r="V4616" s="1">
        <f t="shared" ref="V4616:V4679" si="1023">ABS(T4616*U4616)</f>
        <v>0</v>
      </c>
    </row>
    <row r="4617" spans="5:22" x14ac:dyDescent="0.25">
      <c r="E4617" s="4"/>
      <c r="M4617" s="4">
        <f t="shared" si="1016"/>
        <v>173.1</v>
      </c>
      <c r="N4617" s="4"/>
      <c r="O4617" s="1">
        <f t="shared" si="1017"/>
        <v>173.1</v>
      </c>
      <c r="P4617" s="1">
        <f t="shared" si="1018"/>
        <v>0</v>
      </c>
      <c r="Q4617" s="1" t="str">
        <f t="shared" si="1015"/>
        <v/>
      </c>
      <c r="R4617" s="1" t="str">
        <f t="shared" si="1019"/>
        <v/>
      </c>
      <c r="S4617" s="1">
        <f t="shared" si="1020"/>
        <v>630.90240000000244</v>
      </c>
      <c r="T4617" s="1">
        <f t="shared" si="1021"/>
        <v>0</v>
      </c>
      <c r="U4617" s="1">
        <f t="shared" si="1022"/>
        <v>0</v>
      </c>
      <c r="V4617" s="1">
        <f t="shared" si="1023"/>
        <v>0</v>
      </c>
    </row>
    <row r="4618" spans="5:22" x14ac:dyDescent="0.25">
      <c r="E4618" s="4"/>
      <c r="M4618" s="4">
        <f t="shared" si="1016"/>
        <v>173.1</v>
      </c>
      <c r="N4618" s="4"/>
      <c r="O4618" s="1">
        <f t="shared" si="1017"/>
        <v>173.1</v>
      </c>
      <c r="P4618" s="1">
        <f t="shared" si="1018"/>
        <v>0</v>
      </c>
      <c r="Q4618" s="1" t="str">
        <f t="shared" si="1015"/>
        <v/>
      </c>
      <c r="R4618" s="1" t="str">
        <f t="shared" si="1019"/>
        <v/>
      </c>
      <c r="S4618" s="1">
        <f t="shared" si="1020"/>
        <v>630.90240000000244</v>
      </c>
      <c r="T4618" s="1">
        <f t="shared" si="1021"/>
        <v>0</v>
      </c>
      <c r="U4618" s="1">
        <f t="shared" si="1022"/>
        <v>0</v>
      </c>
      <c r="V4618" s="1">
        <f t="shared" si="1023"/>
        <v>0</v>
      </c>
    </row>
    <row r="4619" spans="5:22" x14ac:dyDescent="0.25">
      <c r="E4619" s="4"/>
      <c r="M4619" s="4">
        <f t="shared" si="1016"/>
        <v>173.1</v>
      </c>
      <c r="N4619" s="4"/>
      <c r="O4619" s="1">
        <f t="shared" si="1017"/>
        <v>173.1</v>
      </c>
      <c r="P4619" s="1">
        <f t="shared" si="1018"/>
        <v>0</v>
      </c>
      <c r="Q4619" s="1" t="str">
        <f t="shared" si="1015"/>
        <v/>
      </c>
      <c r="R4619" s="1" t="str">
        <f t="shared" si="1019"/>
        <v/>
      </c>
      <c r="S4619" s="1">
        <f t="shared" si="1020"/>
        <v>630.90240000000244</v>
      </c>
      <c r="T4619" s="1">
        <f t="shared" si="1021"/>
        <v>0</v>
      </c>
      <c r="U4619" s="1">
        <f t="shared" si="1022"/>
        <v>0</v>
      </c>
      <c r="V4619" s="1">
        <f t="shared" si="1023"/>
        <v>0</v>
      </c>
    </row>
    <row r="4620" spans="5:22" x14ac:dyDescent="0.25">
      <c r="E4620" s="4"/>
      <c r="M4620" s="4">
        <f t="shared" si="1016"/>
        <v>173.1</v>
      </c>
      <c r="N4620" s="4"/>
      <c r="O4620" s="1">
        <f t="shared" si="1017"/>
        <v>173.1</v>
      </c>
      <c r="P4620" s="1">
        <f t="shared" si="1018"/>
        <v>0</v>
      </c>
      <c r="Q4620" s="1" t="str">
        <f t="shared" si="1015"/>
        <v/>
      </c>
      <c r="R4620" s="1" t="str">
        <f t="shared" si="1019"/>
        <v/>
      </c>
      <c r="S4620" s="1">
        <f t="shared" si="1020"/>
        <v>630.90240000000244</v>
      </c>
      <c r="T4620" s="1">
        <f t="shared" si="1021"/>
        <v>0</v>
      </c>
      <c r="U4620" s="1">
        <f t="shared" si="1022"/>
        <v>0</v>
      </c>
      <c r="V4620" s="1">
        <f t="shared" si="1023"/>
        <v>0</v>
      </c>
    </row>
    <row r="4621" spans="5:22" x14ac:dyDescent="0.25">
      <c r="E4621" s="4"/>
      <c r="M4621" s="4">
        <f t="shared" si="1016"/>
        <v>173.1</v>
      </c>
      <c r="N4621" s="4"/>
      <c r="O4621" s="1">
        <f t="shared" si="1017"/>
        <v>173.1</v>
      </c>
      <c r="P4621" s="1">
        <f t="shared" si="1018"/>
        <v>0</v>
      </c>
      <c r="Q4621" s="1" t="str">
        <f t="shared" si="1015"/>
        <v/>
      </c>
      <c r="R4621" s="1" t="str">
        <f t="shared" si="1019"/>
        <v/>
      </c>
      <c r="S4621" s="1">
        <f t="shared" si="1020"/>
        <v>630.90240000000244</v>
      </c>
      <c r="T4621" s="1">
        <f t="shared" si="1021"/>
        <v>0</v>
      </c>
      <c r="U4621" s="1">
        <f t="shared" si="1022"/>
        <v>0</v>
      </c>
      <c r="V4621" s="1">
        <f t="shared" si="1023"/>
        <v>0</v>
      </c>
    </row>
    <row r="4622" spans="5:22" x14ac:dyDescent="0.25">
      <c r="E4622" s="4"/>
      <c r="M4622" s="4">
        <f t="shared" si="1016"/>
        <v>173.1</v>
      </c>
      <c r="N4622" s="4"/>
      <c r="O4622" s="1">
        <f t="shared" si="1017"/>
        <v>173.1</v>
      </c>
      <c r="P4622" s="1">
        <f t="shared" si="1018"/>
        <v>0</v>
      </c>
      <c r="Q4622" s="1" t="str">
        <f t="shared" si="1015"/>
        <v/>
      </c>
      <c r="R4622" s="1" t="str">
        <f t="shared" si="1019"/>
        <v/>
      </c>
      <c r="S4622" s="1">
        <f t="shared" si="1020"/>
        <v>630.90240000000244</v>
      </c>
      <c r="T4622" s="1">
        <f t="shared" si="1021"/>
        <v>0</v>
      </c>
      <c r="U4622" s="1">
        <f t="shared" si="1022"/>
        <v>0</v>
      </c>
      <c r="V4622" s="1">
        <f t="shared" si="1023"/>
        <v>0</v>
      </c>
    </row>
    <row r="4623" spans="5:22" x14ac:dyDescent="0.25">
      <c r="E4623" s="4"/>
      <c r="M4623" s="4">
        <f t="shared" si="1016"/>
        <v>173.1</v>
      </c>
      <c r="N4623" s="4"/>
      <c r="O4623" s="1">
        <f t="shared" si="1017"/>
        <v>173.1</v>
      </c>
      <c r="P4623" s="1">
        <f t="shared" si="1018"/>
        <v>0</v>
      </c>
      <c r="Q4623" s="1" t="str">
        <f t="shared" si="1015"/>
        <v/>
      </c>
      <c r="R4623" s="1" t="str">
        <f t="shared" si="1019"/>
        <v/>
      </c>
      <c r="S4623" s="1">
        <f t="shared" si="1020"/>
        <v>630.90240000000244</v>
      </c>
      <c r="T4623" s="1">
        <f t="shared" si="1021"/>
        <v>0</v>
      </c>
      <c r="U4623" s="1">
        <f t="shared" si="1022"/>
        <v>0</v>
      </c>
      <c r="V4623" s="1">
        <f t="shared" si="1023"/>
        <v>0</v>
      </c>
    </row>
    <row r="4624" spans="5:22" x14ac:dyDescent="0.25">
      <c r="E4624" s="4"/>
      <c r="M4624" s="4">
        <f t="shared" si="1016"/>
        <v>173.1</v>
      </c>
      <c r="N4624" s="4"/>
      <c r="O4624" s="1">
        <f t="shared" si="1017"/>
        <v>173.1</v>
      </c>
      <c r="P4624" s="1">
        <f t="shared" si="1018"/>
        <v>0</v>
      </c>
      <c r="Q4624" s="1" t="str">
        <f t="shared" si="1015"/>
        <v/>
      </c>
      <c r="R4624" s="1" t="str">
        <f t="shared" si="1019"/>
        <v/>
      </c>
      <c r="S4624" s="1">
        <f t="shared" si="1020"/>
        <v>630.90240000000244</v>
      </c>
      <c r="T4624" s="1">
        <f t="shared" si="1021"/>
        <v>0</v>
      </c>
      <c r="U4624" s="1">
        <f t="shared" si="1022"/>
        <v>0</v>
      </c>
      <c r="V4624" s="1">
        <f t="shared" si="1023"/>
        <v>0</v>
      </c>
    </row>
    <row r="4625" spans="5:22" x14ac:dyDescent="0.25">
      <c r="E4625" s="4"/>
      <c r="M4625" s="4">
        <f t="shared" si="1016"/>
        <v>173.1</v>
      </c>
      <c r="N4625" s="4"/>
      <c r="O4625" s="1">
        <f t="shared" si="1017"/>
        <v>173.1</v>
      </c>
      <c r="P4625" s="1">
        <f t="shared" si="1018"/>
        <v>0</v>
      </c>
      <c r="Q4625" s="1" t="str">
        <f t="shared" si="1015"/>
        <v/>
      </c>
      <c r="R4625" s="1" t="str">
        <f t="shared" si="1019"/>
        <v/>
      </c>
      <c r="S4625" s="1">
        <f t="shared" si="1020"/>
        <v>630.90240000000244</v>
      </c>
      <c r="T4625" s="1">
        <f t="shared" si="1021"/>
        <v>0</v>
      </c>
      <c r="U4625" s="1">
        <f t="shared" si="1022"/>
        <v>0</v>
      </c>
      <c r="V4625" s="1">
        <f t="shared" si="1023"/>
        <v>0</v>
      </c>
    </row>
    <row r="4626" spans="5:22" x14ac:dyDescent="0.25">
      <c r="E4626" s="4"/>
      <c r="M4626" s="4">
        <f t="shared" si="1016"/>
        <v>173.1</v>
      </c>
      <c r="N4626" s="4"/>
      <c r="O4626" s="1">
        <f t="shared" si="1017"/>
        <v>173.1</v>
      </c>
      <c r="P4626" s="1">
        <f t="shared" si="1018"/>
        <v>0</v>
      </c>
      <c r="Q4626" s="1" t="str">
        <f t="shared" si="1015"/>
        <v/>
      </c>
      <c r="R4626" s="1" t="str">
        <f t="shared" si="1019"/>
        <v/>
      </c>
      <c r="S4626" s="1">
        <f t="shared" si="1020"/>
        <v>630.90240000000244</v>
      </c>
      <c r="T4626" s="1">
        <f t="shared" si="1021"/>
        <v>0</v>
      </c>
      <c r="U4626" s="1">
        <f t="shared" si="1022"/>
        <v>0</v>
      </c>
      <c r="V4626" s="1">
        <f t="shared" si="1023"/>
        <v>0</v>
      </c>
    </row>
    <row r="4627" spans="5:22" x14ac:dyDescent="0.25">
      <c r="E4627" s="4"/>
      <c r="M4627" s="4">
        <f t="shared" si="1016"/>
        <v>173.1</v>
      </c>
      <c r="N4627" s="4"/>
      <c r="O4627" s="1">
        <f t="shared" si="1017"/>
        <v>173.1</v>
      </c>
      <c r="P4627" s="1">
        <f t="shared" si="1018"/>
        <v>0</v>
      </c>
      <c r="Q4627" s="1" t="str">
        <f t="shared" si="1015"/>
        <v/>
      </c>
      <c r="R4627" s="1" t="str">
        <f t="shared" si="1019"/>
        <v/>
      </c>
      <c r="S4627" s="1">
        <f t="shared" si="1020"/>
        <v>630.90240000000244</v>
      </c>
      <c r="T4627" s="1">
        <f t="shared" si="1021"/>
        <v>0</v>
      </c>
      <c r="U4627" s="1">
        <f t="shared" si="1022"/>
        <v>0</v>
      </c>
      <c r="V4627" s="1">
        <f t="shared" si="1023"/>
        <v>0</v>
      </c>
    </row>
    <row r="4628" spans="5:22" x14ac:dyDescent="0.25">
      <c r="E4628" s="4"/>
      <c r="M4628" s="4">
        <f t="shared" si="1016"/>
        <v>173.1</v>
      </c>
      <c r="N4628" s="4"/>
      <c r="O4628" s="1">
        <f t="shared" si="1017"/>
        <v>173.1</v>
      </c>
      <c r="P4628" s="1">
        <f t="shared" si="1018"/>
        <v>0</v>
      </c>
      <c r="Q4628" s="1" t="str">
        <f t="shared" si="1015"/>
        <v/>
      </c>
      <c r="R4628" s="1" t="str">
        <f t="shared" si="1019"/>
        <v/>
      </c>
      <c r="S4628" s="1">
        <f t="shared" si="1020"/>
        <v>630.90240000000244</v>
      </c>
      <c r="T4628" s="1">
        <f t="shared" si="1021"/>
        <v>0</v>
      </c>
      <c r="U4628" s="1">
        <f t="shared" si="1022"/>
        <v>0</v>
      </c>
      <c r="V4628" s="1">
        <f t="shared" si="1023"/>
        <v>0</v>
      </c>
    </row>
    <row r="4629" spans="5:22" x14ac:dyDescent="0.25">
      <c r="E4629" s="4"/>
      <c r="M4629" s="4">
        <f t="shared" si="1016"/>
        <v>173.1</v>
      </c>
      <c r="N4629" s="4"/>
      <c r="O4629" s="1">
        <f t="shared" si="1017"/>
        <v>173.1</v>
      </c>
      <c r="P4629" s="1">
        <f t="shared" si="1018"/>
        <v>0</v>
      </c>
      <c r="Q4629" s="1" t="str">
        <f t="shared" si="1015"/>
        <v/>
      </c>
      <c r="R4629" s="1" t="str">
        <f t="shared" si="1019"/>
        <v/>
      </c>
      <c r="S4629" s="1">
        <f t="shared" si="1020"/>
        <v>630.90240000000244</v>
      </c>
      <c r="T4629" s="1">
        <f t="shared" si="1021"/>
        <v>0</v>
      </c>
      <c r="U4629" s="1">
        <f t="shared" si="1022"/>
        <v>0</v>
      </c>
      <c r="V4629" s="1">
        <f t="shared" si="1023"/>
        <v>0</v>
      </c>
    </row>
    <row r="4630" spans="5:22" x14ac:dyDescent="0.25">
      <c r="E4630" s="4"/>
      <c r="M4630" s="4">
        <f t="shared" si="1016"/>
        <v>173.1</v>
      </c>
      <c r="N4630" s="4"/>
      <c r="O4630" s="1">
        <f t="shared" si="1017"/>
        <v>173.1</v>
      </c>
      <c r="P4630" s="1">
        <f t="shared" si="1018"/>
        <v>0</v>
      </c>
      <c r="Q4630" s="1" t="str">
        <f t="shared" si="1015"/>
        <v/>
      </c>
      <c r="R4630" s="1" t="str">
        <f t="shared" si="1019"/>
        <v/>
      </c>
      <c r="S4630" s="1">
        <f t="shared" si="1020"/>
        <v>630.90240000000244</v>
      </c>
      <c r="T4630" s="1">
        <f t="shared" si="1021"/>
        <v>0</v>
      </c>
      <c r="U4630" s="1">
        <f t="shared" si="1022"/>
        <v>0</v>
      </c>
      <c r="V4630" s="1">
        <f t="shared" si="1023"/>
        <v>0</v>
      </c>
    </row>
    <row r="4631" spans="5:22" x14ac:dyDescent="0.25">
      <c r="E4631" s="4"/>
      <c r="M4631" s="4">
        <f t="shared" si="1016"/>
        <v>173.1</v>
      </c>
      <c r="N4631" s="4"/>
      <c r="O4631" s="1">
        <f t="shared" si="1017"/>
        <v>173.1</v>
      </c>
      <c r="P4631" s="1">
        <f t="shared" si="1018"/>
        <v>0</v>
      </c>
      <c r="Q4631" s="1" t="str">
        <f t="shared" si="1015"/>
        <v/>
      </c>
      <c r="R4631" s="1" t="str">
        <f t="shared" si="1019"/>
        <v/>
      </c>
      <c r="S4631" s="1">
        <f t="shared" si="1020"/>
        <v>630.90240000000244</v>
      </c>
      <c r="T4631" s="1">
        <f t="shared" si="1021"/>
        <v>0</v>
      </c>
      <c r="U4631" s="1">
        <f t="shared" si="1022"/>
        <v>0</v>
      </c>
      <c r="V4631" s="1">
        <f t="shared" si="1023"/>
        <v>0</v>
      </c>
    </row>
    <row r="4632" spans="5:22" x14ac:dyDescent="0.25">
      <c r="E4632" s="4"/>
      <c r="M4632" s="4">
        <f t="shared" si="1016"/>
        <v>173.1</v>
      </c>
      <c r="N4632" s="4"/>
      <c r="O4632" s="1">
        <f t="shared" si="1017"/>
        <v>173.1</v>
      </c>
      <c r="P4632" s="1">
        <f t="shared" si="1018"/>
        <v>0</v>
      </c>
      <c r="Q4632" s="1" t="str">
        <f t="shared" si="1015"/>
        <v/>
      </c>
      <c r="R4632" s="1" t="str">
        <f t="shared" si="1019"/>
        <v/>
      </c>
      <c r="S4632" s="1">
        <f t="shared" si="1020"/>
        <v>630.90240000000244</v>
      </c>
      <c r="T4632" s="1">
        <f t="shared" si="1021"/>
        <v>0</v>
      </c>
      <c r="U4632" s="1">
        <f t="shared" si="1022"/>
        <v>0</v>
      </c>
      <c r="V4632" s="1">
        <f t="shared" si="1023"/>
        <v>0</v>
      </c>
    </row>
    <row r="4633" spans="5:22" x14ac:dyDescent="0.25">
      <c r="E4633" s="4"/>
      <c r="M4633" s="4">
        <f t="shared" si="1016"/>
        <v>173.1</v>
      </c>
      <c r="N4633" s="4"/>
      <c r="O4633" s="1">
        <f t="shared" si="1017"/>
        <v>173.1</v>
      </c>
      <c r="P4633" s="1">
        <f t="shared" si="1018"/>
        <v>0</v>
      </c>
      <c r="Q4633" s="1" t="str">
        <f t="shared" si="1015"/>
        <v/>
      </c>
      <c r="R4633" s="1" t="str">
        <f t="shared" si="1019"/>
        <v/>
      </c>
      <c r="S4633" s="1">
        <f t="shared" si="1020"/>
        <v>630.90240000000244</v>
      </c>
      <c r="T4633" s="1">
        <f t="shared" si="1021"/>
        <v>0</v>
      </c>
      <c r="U4633" s="1">
        <f t="shared" si="1022"/>
        <v>0</v>
      </c>
      <c r="V4633" s="1">
        <f t="shared" si="1023"/>
        <v>0</v>
      </c>
    </row>
    <row r="4634" spans="5:22" x14ac:dyDescent="0.25">
      <c r="E4634" s="4"/>
      <c r="M4634" s="4">
        <f t="shared" si="1016"/>
        <v>173.1</v>
      </c>
      <c r="N4634" s="4"/>
      <c r="O4634" s="1">
        <f t="shared" si="1017"/>
        <v>173.1</v>
      </c>
      <c r="P4634" s="1">
        <f t="shared" si="1018"/>
        <v>0</v>
      </c>
      <c r="Q4634" s="1" t="str">
        <f t="shared" si="1015"/>
        <v/>
      </c>
      <c r="R4634" s="1" t="str">
        <f t="shared" si="1019"/>
        <v/>
      </c>
      <c r="S4634" s="1">
        <f t="shared" si="1020"/>
        <v>630.90240000000244</v>
      </c>
      <c r="T4634" s="1">
        <f t="shared" si="1021"/>
        <v>0</v>
      </c>
      <c r="U4634" s="1">
        <f t="shared" si="1022"/>
        <v>0</v>
      </c>
      <c r="V4634" s="1">
        <f t="shared" si="1023"/>
        <v>0</v>
      </c>
    </row>
    <row r="4635" spans="5:22" x14ac:dyDescent="0.25">
      <c r="E4635" s="4"/>
      <c r="M4635" s="4">
        <f t="shared" si="1016"/>
        <v>173.1</v>
      </c>
      <c r="N4635" s="4"/>
      <c r="O4635" s="1">
        <f t="shared" si="1017"/>
        <v>173.1</v>
      </c>
      <c r="P4635" s="1">
        <f t="shared" si="1018"/>
        <v>0</v>
      </c>
      <c r="Q4635" s="1" t="str">
        <f t="shared" si="1015"/>
        <v/>
      </c>
      <c r="R4635" s="1" t="str">
        <f t="shared" si="1019"/>
        <v/>
      </c>
      <c r="S4635" s="1">
        <f t="shared" si="1020"/>
        <v>630.90240000000244</v>
      </c>
      <c r="T4635" s="1">
        <f t="shared" si="1021"/>
        <v>0</v>
      </c>
      <c r="U4635" s="1">
        <f t="shared" si="1022"/>
        <v>0</v>
      </c>
      <c r="V4635" s="1">
        <f t="shared" si="1023"/>
        <v>0</v>
      </c>
    </row>
    <row r="4636" spans="5:22" x14ac:dyDescent="0.25">
      <c r="E4636" s="4"/>
      <c r="M4636" s="4">
        <f t="shared" si="1016"/>
        <v>173.1</v>
      </c>
      <c r="N4636" s="4"/>
      <c r="O4636" s="1">
        <f t="shared" si="1017"/>
        <v>173.1</v>
      </c>
      <c r="P4636" s="1">
        <f t="shared" si="1018"/>
        <v>0</v>
      </c>
      <c r="Q4636" s="1" t="str">
        <f t="shared" si="1015"/>
        <v/>
      </c>
      <c r="R4636" s="1" t="str">
        <f t="shared" si="1019"/>
        <v/>
      </c>
      <c r="S4636" s="1">
        <f t="shared" si="1020"/>
        <v>630.90240000000244</v>
      </c>
      <c r="T4636" s="1">
        <f t="shared" si="1021"/>
        <v>0</v>
      </c>
      <c r="U4636" s="1">
        <f t="shared" si="1022"/>
        <v>0</v>
      </c>
      <c r="V4636" s="1">
        <f t="shared" si="1023"/>
        <v>0</v>
      </c>
    </row>
    <row r="4637" spans="5:22" x14ac:dyDescent="0.25">
      <c r="E4637" s="4"/>
      <c r="M4637" s="4">
        <f t="shared" si="1016"/>
        <v>173.1</v>
      </c>
      <c r="N4637" s="4"/>
      <c r="O4637" s="1">
        <f t="shared" si="1017"/>
        <v>173.1</v>
      </c>
      <c r="P4637" s="1">
        <f t="shared" si="1018"/>
        <v>0</v>
      </c>
      <c r="Q4637" s="1" t="str">
        <f t="shared" si="1015"/>
        <v/>
      </c>
      <c r="R4637" s="1" t="str">
        <f t="shared" si="1019"/>
        <v/>
      </c>
      <c r="S4637" s="1">
        <f t="shared" si="1020"/>
        <v>630.90240000000244</v>
      </c>
      <c r="T4637" s="1">
        <f t="shared" si="1021"/>
        <v>0</v>
      </c>
      <c r="U4637" s="1">
        <f t="shared" si="1022"/>
        <v>0</v>
      </c>
      <c r="V4637" s="1">
        <f t="shared" si="1023"/>
        <v>0</v>
      </c>
    </row>
    <row r="4638" spans="5:22" x14ac:dyDescent="0.25">
      <c r="E4638" s="4"/>
      <c r="M4638" s="4">
        <f t="shared" si="1016"/>
        <v>173.1</v>
      </c>
      <c r="N4638" s="4"/>
      <c r="O4638" s="1">
        <f t="shared" si="1017"/>
        <v>173.1</v>
      </c>
      <c r="P4638" s="1">
        <f t="shared" si="1018"/>
        <v>0</v>
      </c>
      <c r="Q4638" s="1" t="str">
        <f t="shared" si="1015"/>
        <v/>
      </c>
      <c r="R4638" s="1" t="str">
        <f t="shared" si="1019"/>
        <v/>
      </c>
      <c r="S4638" s="1">
        <f t="shared" si="1020"/>
        <v>630.90240000000244</v>
      </c>
      <c r="T4638" s="1">
        <f t="shared" si="1021"/>
        <v>0</v>
      </c>
      <c r="U4638" s="1">
        <f t="shared" si="1022"/>
        <v>0</v>
      </c>
      <c r="V4638" s="1">
        <f t="shared" si="1023"/>
        <v>0</v>
      </c>
    </row>
    <row r="4639" spans="5:22" x14ac:dyDescent="0.25">
      <c r="E4639" s="4"/>
      <c r="M4639" s="4">
        <f t="shared" si="1016"/>
        <v>173.1</v>
      </c>
      <c r="N4639" s="4"/>
      <c r="O4639" s="1">
        <f t="shared" si="1017"/>
        <v>173.1</v>
      </c>
      <c r="P4639" s="1">
        <f t="shared" si="1018"/>
        <v>0</v>
      </c>
      <c r="Q4639" s="1" t="str">
        <f t="shared" si="1015"/>
        <v/>
      </c>
      <c r="R4639" s="1" t="str">
        <f t="shared" si="1019"/>
        <v/>
      </c>
      <c r="S4639" s="1">
        <f t="shared" si="1020"/>
        <v>630.90240000000244</v>
      </c>
      <c r="T4639" s="1">
        <f t="shared" si="1021"/>
        <v>0</v>
      </c>
      <c r="U4639" s="1">
        <f t="shared" si="1022"/>
        <v>0</v>
      </c>
      <c r="V4639" s="1">
        <f t="shared" si="1023"/>
        <v>0</v>
      </c>
    </row>
    <row r="4640" spans="5:22" x14ac:dyDescent="0.25">
      <c r="E4640" s="4"/>
      <c r="M4640" s="4">
        <f t="shared" si="1016"/>
        <v>173.1</v>
      </c>
      <c r="N4640" s="4"/>
      <c r="O4640" s="1">
        <f t="shared" si="1017"/>
        <v>173.1</v>
      </c>
      <c r="P4640" s="1">
        <f t="shared" si="1018"/>
        <v>0</v>
      </c>
      <c r="Q4640" s="1" t="str">
        <f t="shared" si="1015"/>
        <v/>
      </c>
      <c r="R4640" s="1" t="str">
        <f t="shared" si="1019"/>
        <v/>
      </c>
      <c r="S4640" s="1">
        <f t="shared" si="1020"/>
        <v>630.90240000000244</v>
      </c>
      <c r="T4640" s="1">
        <f t="shared" si="1021"/>
        <v>0</v>
      </c>
      <c r="U4640" s="1">
        <f t="shared" si="1022"/>
        <v>0</v>
      </c>
      <c r="V4640" s="1">
        <f t="shared" si="1023"/>
        <v>0</v>
      </c>
    </row>
    <row r="4641" spans="5:22" x14ac:dyDescent="0.25">
      <c r="E4641" s="4"/>
      <c r="M4641" s="4">
        <f t="shared" si="1016"/>
        <v>173.1</v>
      </c>
      <c r="N4641" s="4"/>
      <c r="O4641" s="1">
        <f t="shared" si="1017"/>
        <v>173.1</v>
      </c>
      <c r="P4641" s="1">
        <f t="shared" si="1018"/>
        <v>0</v>
      </c>
      <c r="Q4641" s="1" t="str">
        <f t="shared" si="1015"/>
        <v/>
      </c>
      <c r="R4641" s="1" t="str">
        <f t="shared" si="1019"/>
        <v/>
      </c>
      <c r="S4641" s="1">
        <f t="shared" si="1020"/>
        <v>630.90240000000244</v>
      </c>
      <c r="T4641" s="1">
        <f t="shared" si="1021"/>
        <v>0</v>
      </c>
      <c r="U4641" s="1">
        <f t="shared" si="1022"/>
        <v>0</v>
      </c>
      <c r="V4641" s="1">
        <f t="shared" si="1023"/>
        <v>0</v>
      </c>
    </row>
    <row r="4642" spans="5:22" x14ac:dyDescent="0.25">
      <c r="E4642" s="4"/>
      <c r="M4642" s="4">
        <f t="shared" si="1016"/>
        <v>173.1</v>
      </c>
      <c r="N4642" s="4"/>
      <c r="O4642" s="1">
        <f t="shared" si="1017"/>
        <v>173.1</v>
      </c>
      <c r="P4642" s="1">
        <f t="shared" si="1018"/>
        <v>0</v>
      </c>
      <c r="Q4642" s="1" t="str">
        <f t="shared" si="1015"/>
        <v/>
      </c>
      <c r="R4642" s="1" t="str">
        <f t="shared" si="1019"/>
        <v/>
      </c>
      <c r="S4642" s="1">
        <f t="shared" si="1020"/>
        <v>630.90240000000244</v>
      </c>
      <c r="T4642" s="1">
        <f t="shared" si="1021"/>
        <v>0</v>
      </c>
      <c r="U4642" s="1">
        <f t="shared" si="1022"/>
        <v>0</v>
      </c>
      <c r="V4642" s="1">
        <f t="shared" si="1023"/>
        <v>0</v>
      </c>
    </row>
    <row r="4643" spans="5:22" x14ac:dyDescent="0.25">
      <c r="E4643" s="4"/>
      <c r="M4643" s="4">
        <f t="shared" si="1016"/>
        <v>173.1</v>
      </c>
      <c r="N4643" s="4"/>
      <c r="O4643" s="1">
        <f t="shared" si="1017"/>
        <v>173.1</v>
      </c>
      <c r="P4643" s="1">
        <f t="shared" si="1018"/>
        <v>0</v>
      </c>
      <c r="Q4643" s="1" t="str">
        <f t="shared" si="1015"/>
        <v/>
      </c>
      <c r="R4643" s="1" t="str">
        <f t="shared" si="1019"/>
        <v/>
      </c>
      <c r="S4643" s="1">
        <f t="shared" si="1020"/>
        <v>630.90240000000244</v>
      </c>
      <c r="T4643" s="1">
        <f t="shared" si="1021"/>
        <v>0</v>
      </c>
      <c r="U4643" s="1">
        <f t="shared" si="1022"/>
        <v>0</v>
      </c>
      <c r="V4643" s="1">
        <f t="shared" si="1023"/>
        <v>0</v>
      </c>
    </row>
    <row r="4644" spans="5:22" x14ac:dyDescent="0.25">
      <c r="E4644" s="4"/>
      <c r="M4644" s="4">
        <f t="shared" si="1016"/>
        <v>173.1</v>
      </c>
      <c r="N4644" s="4"/>
      <c r="O4644" s="1">
        <f t="shared" si="1017"/>
        <v>173.1</v>
      </c>
      <c r="P4644" s="1">
        <f t="shared" si="1018"/>
        <v>0</v>
      </c>
      <c r="Q4644" s="1" t="str">
        <f t="shared" si="1015"/>
        <v/>
      </c>
      <c r="R4644" s="1" t="str">
        <f t="shared" si="1019"/>
        <v/>
      </c>
      <c r="S4644" s="1">
        <f t="shared" si="1020"/>
        <v>630.90240000000244</v>
      </c>
      <c r="T4644" s="1">
        <f t="shared" si="1021"/>
        <v>0</v>
      </c>
      <c r="U4644" s="1">
        <f t="shared" si="1022"/>
        <v>0</v>
      </c>
      <c r="V4644" s="1">
        <f t="shared" si="1023"/>
        <v>0</v>
      </c>
    </row>
    <row r="4645" spans="5:22" x14ac:dyDescent="0.25">
      <c r="E4645" s="4"/>
      <c r="M4645" s="4">
        <f t="shared" si="1016"/>
        <v>173.1</v>
      </c>
      <c r="N4645" s="4"/>
      <c r="O4645" s="1">
        <f t="shared" si="1017"/>
        <v>173.1</v>
      </c>
      <c r="P4645" s="1">
        <f t="shared" si="1018"/>
        <v>0</v>
      </c>
      <c r="Q4645" s="1" t="str">
        <f t="shared" si="1015"/>
        <v/>
      </c>
      <c r="R4645" s="1" t="str">
        <f t="shared" si="1019"/>
        <v/>
      </c>
      <c r="S4645" s="1">
        <f t="shared" si="1020"/>
        <v>630.90240000000244</v>
      </c>
      <c r="T4645" s="1">
        <f t="shared" si="1021"/>
        <v>0</v>
      </c>
      <c r="U4645" s="1">
        <f t="shared" si="1022"/>
        <v>0</v>
      </c>
      <c r="V4645" s="1">
        <f t="shared" si="1023"/>
        <v>0</v>
      </c>
    </row>
    <row r="4646" spans="5:22" x14ac:dyDescent="0.25">
      <c r="E4646" s="4"/>
      <c r="M4646" s="4">
        <f t="shared" si="1016"/>
        <v>173.1</v>
      </c>
      <c r="N4646" s="4"/>
      <c r="O4646" s="1">
        <f t="shared" si="1017"/>
        <v>173.1</v>
      </c>
      <c r="P4646" s="1">
        <f t="shared" si="1018"/>
        <v>0</v>
      </c>
      <c r="Q4646" s="1" t="str">
        <f t="shared" si="1015"/>
        <v/>
      </c>
      <c r="R4646" s="1" t="str">
        <f t="shared" si="1019"/>
        <v/>
      </c>
      <c r="S4646" s="1">
        <f t="shared" si="1020"/>
        <v>630.90240000000244</v>
      </c>
      <c r="T4646" s="1">
        <f t="shared" si="1021"/>
        <v>0</v>
      </c>
      <c r="U4646" s="1">
        <f t="shared" si="1022"/>
        <v>0</v>
      </c>
      <c r="V4646" s="1">
        <f t="shared" si="1023"/>
        <v>0</v>
      </c>
    </row>
    <row r="4647" spans="5:22" x14ac:dyDescent="0.25">
      <c r="E4647" s="4"/>
      <c r="M4647" s="4">
        <f t="shared" si="1016"/>
        <v>173.1</v>
      </c>
      <c r="N4647" s="4"/>
      <c r="O4647" s="1">
        <f t="shared" si="1017"/>
        <v>173.1</v>
      </c>
      <c r="P4647" s="1">
        <f t="shared" si="1018"/>
        <v>0</v>
      </c>
      <c r="Q4647" s="1" t="str">
        <f t="shared" si="1015"/>
        <v/>
      </c>
      <c r="R4647" s="1" t="str">
        <f t="shared" si="1019"/>
        <v/>
      </c>
      <c r="S4647" s="1">
        <f t="shared" si="1020"/>
        <v>630.90240000000244</v>
      </c>
      <c r="T4647" s="1">
        <f t="shared" si="1021"/>
        <v>0</v>
      </c>
      <c r="U4647" s="1">
        <f t="shared" si="1022"/>
        <v>0</v>
      </c>
      <c r="V4647" s="1">
        <f t="shared" si="1023"/>
        <v>0</v>
      </c>
    </row>
    <row r="4648" spans="5:22" x14ac:dyDescent="0.25">
      <c r="E4648" s="4"/>
      <c r="M4648" s="4">
        <f t="shared" si="1016"/>
        <v>173.1</v>
      </c>
      <c r="N4648" s="4"/>
      <c r="O4648" s="1">
        <f t="shared" si="1017"/>
        <v>173.1</v>
      </c>
      <c r="P4648" s="1">
        <f t="shared" si="1018"/>
        <v>0</v>
      </c>
      <c r="Q4648" s="1" t="str">
        <f t="shared" si="1015"/>
        <v/>
      </c>
      <c r="R4648" s="1" t="str">
        <f t="shared" si="1019"/>
        <v/>
      </c>
      <c r="S4648" s="1">
        <f t="shared" si="1020"/>
        <v>630.90240000000244</v>
      </c>
      <c r="T4648" s="1">
        <f t="shared" si="1021"/>
        <v>0</v>
      </c>
      <c r="U4648" s="1">
        <f t="shared" si="1022"/>
        <v>0</v>
      </c>
      <c r="V4648" s="1">
        <f t="shared" si="1023"/>
        <v>0</v>
      </c>
    </row>
    <row r="4649" spans="5:22" x14ac:dyDescent="0.25">
      <c r="E4649" s="4"/>
      <c r="M4649" s="4">
        <f t="shared" si="1016"/>
        <v>173.1</v>
      </c>
      <c r="N4649" s="4"/>
      <c r="O4649" s="1">
        <f t="shared" si="1017"/>
        <v>173.1</v>
      </c>
      <c r="P4649" s="1">
        <f t="shared" si="1018"/>
        <v>0</v>
      </c>
      <c r="Q4649" s="1" t="str">
        <f t="shared" si="1015"/>
        <v/>
      </c>
      <c r="R4649" s="1" t="str">
        <f t="shared" si="1019"/>
        <v/>
      </c>
      <c r="S4649" s="1">
        <f t="shared" si="1020"/>
        <v>630.90240000000244</v>
      </c>
      <c r="T4649" s="1">
        <f t="shared" si="1021"/>
        <v>0</v>
      </c>
      <c r="U4649" s="1">
        <f t="shared" si="1022"/>
        <v>0</v>
      </c>
      <c r="V4649" s="1">
        <f t="shared" si="1023"/>
        <v>0</v>
      </c>
    </row>
    <row r="4650" spans="5:22" x14ac:dyDescent="0.25">
      <c r="E4650" s="4"/>
      <c r="M4650" s="4">
        <f t="shared" si="1016"/>
        <v>173.1</v>
      </c>
      <c r="N4650" s="4"/>
      <c r="O4650" s="1">
        <f t="shared" si="1017"/>
        <v>173.1</v>
      </c>
      <c r="P4650" s="1">
        <f t="shared" si="1018"/>
        <v>0</v>
      </c>
      <c r="Q4650" s="1" t="str">
        <f t="shared" si="1015"/>
        <v/>
      </c>
      <c r="R4650" s="1" t="str">
        <f t="shared" si="1019"/>
        <v/>
      </c>
      <c r="S4650" s="1">
        <f t="shared" si="1020"/>
        <v>630.90240000000244</v>
      </c>
      <c r="T4650" s="1">
        <f t="shared" si="1021"/>
        <v>0</v>
      </c>
      <c r="U4650" s="1">
        <f t="shared" si="1022"/>
        <v>0</v>
      </c>
      <c r="V4650" s="1">
        <f t="shared" si="1023"/>
        <v>0</v>
      </c>
    </row>
    <row r="4651" spans="5:22" x14ac:dyDescent="0.25">
      <c r="E4651" s="4"/>
      <c r="M4651" s="4">
        <f t="shared" si="1016"/>
        <v>173.1</v>
      </c>
      <c r="N4651" s="4"/>
      <c r="O4651" s="1">
        <f t="shared" si="1017"/>
        <v>173.1</v>
      </c>
      <c r="P4651" s="1">
        <f t="shared" si="1018"/>
        <v>0</v>
      </c>
      <c r="Q4651" s="1" t="str">
        <f t="shared" si="1015"/>
        <v/>
      </c>
      <c r="R4651" s="1" t="str">
        <f t="shared" si="1019"/>
        <v/>
      </c>
      <c r="S4651" s="1">
        <f t="shared" si="1020"/>
        <v>630.90240000000244</v>
      </c>
      <c r="T4651" s="1">
        <f t="shared" si="1021"/>
        <v>0</v>
      </c>
      <c r="U4651" s="1">
        <f t="shared" si="1022"/>
        <v>0</v>
      </c>
      <c r="V4651" s="1">
        <f t="shared" si="1023"/>
        <v>0</v>
      </c>
    </row>
    <row r="4652" spans="5:22" x14ac:dyDescent="0.25">
      <c r="E4652" s="4"/>
      <c r="M4652" s="4">
        <f t="shared" si="1016"/>
        <v>173.1</v>
      </c>
      <c r="N4652" s="4"/>
      <c r="O4652" s="1">
        <f t="shared" si="1017"/>
        <v>173.1</v>
      </c>
      <c r="P4652" s="1">
        <f t="shared" si="1018"/>
        <v>0</v>
      </c>
      <c r="Q4652" s="1" t="str">
        <f t="shared" si="1015"/>
        <v/>
      </c>
      <c r="R4652" s="1" t="str">
        <f t="shared" si="1019"/>
        <v/>
      </c>
      <c r="S4652" s="1">
        <f t="shared" si="1020"/>
        <v>630.90240000000244</v>
      </c>
      <c r="T4652" s="1">
        <f t="shared" si="1021"/>
        <v>0</v>
      </c>
      <c r="U4652" s="1">
        <f t="shared" si="1022"/>
        <v>0</v>
      </c>
      <c r="V4652" s="1">
        <f t="shared" si="1023"/>
        <v>0</v>
      </c>
    </row>
    <row r="4653" spans="5:22" x14ac:dyDescent="0.25">
      <c r="E4653" s="4"/>
      <c r="M4653" s="4">
        <f t="shared" si="1016"/>
        <v>173.1</v>
      </c>
      <c r="N4653" s="4"/>
      <c r="O4653" s="1">
        <f t="shared" si="1017"/>
        <v>173.1</v>
      </c>
      <c r="P4653" s="1">
        <f t="shared" si="1018"/>
        <v>0</v>
      </c>
      <c r="Q4653" s="1" t="str">
        <f t="shared" si="1015"/>
        <v/>
      </c>
      <c r="R4653" s="1" t="str">
        <f t="shared" si="1019"/>
        <v/>
      </c>
      <c r="S4653" s="1">
        <f t="shared" si="1020"/>
        <v>630.90240000000244</v>
      </c>
      <c r="T4653" s="1">
        <f t="shared" si="1021"/>
        <v>0</v>
      </c>
      <c r="U4653" s="1">
        <f t="shared" si="1022"/>
        <v>0</v>
      </c>
      <c r="V4653" s="1">
        <f t="shared" si="1023"/>
        <v>0</v>
      </c>
    </row>
    <row r="4654" spans="5:22" x14ac:dyDescent="0.25">
      <c r="E4654" s="4"/>
      <c r="M4654" s="4">
        <f t="shared" si="1016"/>
        <v>173.1</v>
      </c>
      <c r="N4654" s="4"/>
      <c r="O4654" s="1">
        <f t="shared" si="1017"/>
        <v>173.1</v>
      </c>
      <c r="P4654" s="1">
        <f t="shared" si="1018"/>
        <v>0</v>
      </c>
      <c r="Q4654" s="1" t="str">
        <f t="shared" si="1015"/>
        <v/>
      </c>
      <c r="R4654" s="1" t="str">
        <f t="shared" si="1019"/>
        <v/>
      </c>
      <c r="S4654" s="1">
        <f t="shared" si="1020"/>
        <v>630.90240000000244</v>
      </c>
      <c r="T4654" s="1">
        <f t="shared" si="1021"/>
        <v>0</v>
      </c>
      <c r="U4654" s="1">
        <f t="shared" si="1022"/>
        <v>0</v>
      </c>
      <c r="V4654" s="1">
        <f t="shared" si="1023"/>
        <v>0</v>
      </c>
    </row>
    <row r="4655" spans="5:22" x14ac:dyDescent="0.25">
      <c r="E4655" s="4"/>
      <c r="M4655" s="4">
        <f t="shared" si="1016"/>
        <v>173.1</v>
      </c>
      <c r="N4655" s="4"/>
      <c r="O4655" s="1">
        <f t="shared" si="1017"/>
        <v>173.1</v>
      </c>
      <c r="P4655" s="1">
        <f t="shared" si="1018"/>
        <v>0</v>
      </c>
      <c r="Q4655" s="1" t="str">
        <f t="shared" si="1015"/>
        <v/>
      </c>
      <c r="R4655" s="1" t="str">
        <f t="shared" si="1019"/>
        <v/>
      </c>
      <c r="S4655" s="1">
        <f t="shared" si="1020"/>
        <v>630.90240000000244</v>
      </c>
      <c r="T4655" s="1">
        <f t="shared" si="1021"/>
        <v>0</v>
      </c>
      <c r="U4655" s="1">
        <f t="shared" si="1022"/>
        <v>0</v>
      </c>
      <c r="V4655" s="1">
        <f t="shared" si="1023"/>
        <v>0</v>
      </c>
    </row>
    <row r="4656" spans="5:22" x14ac:dyDescent="0.25">
      <c r="E4656" s="4"/>
      <c r="M4656" s="4">
        <f t="shared" si="1016"/>
        <v>173.1</v>
      </c>
      <c r="N4656" s="4"/>
      <c r="O4656" s="1">
        <f t="shared" si="1017"/>
        <v>173.1</v>
      </c>
      <c r="P4656" s="1">
        <f t="shared" si="1018"/>
        <v>0</v>
      </c>
      <c r="Q4656" s="1" t="str">
        <f t="shared" si="1015"/>
        <v/>
      </c>
      <c r="R4656" s="1" t="str">
        <f t="shared" si="1019"/>
        <v/>
      </c>
      <c r="S4656" s="1">
        <f t="shared" si="1020"/>
        <v>630.90240000000244</v>
      </c>
      <c r="T4656" s="1">
        <f t="shared" si="1021"/>
        <v>0</v>
      </c>
      <c r="U4656" s="1">
        <f t="shared" si="1022"/>
        <v>0</v>
      </c>
      <c r="V4656" s="1">
        <f t="shared" si="1023"/>
        <v>0</v>
      </c>
    </row>
    <row r="4657" spans="5:22" x14ac:dyDescent="0.25">
      <c r="E4657" s="4"/>
      <c r="M4657" s="4">
        <f t="shared" si="1016"/>
        <v>173.1</v>
      </c>
      <c r="N4657" s="4"/>
      <c r="O4657" s="1">
        <f t="shared" si="1017"/>
        <v>173.1</v>
      </c>
      <c r="P4657" s="1">
        <f t="shared" si="1018"/>
        <v>0</v>
      </c>
      <c r="Q4657" s="1" t="str">
        <f t="shared" si="1015"/>
        <v/>
      </c>
      <c r="R4657" s="1" t="str">
        <f t="shared" si="1019"/>
        <v/>
      </c>
      <c r="S4657" s="1">
        <f t="shared" si="1020"/>
        <v>630.90240000000244</v>
      </c>
      <c r="T4657" s="1">
        <f t="shared" si="1021"/>
        <v>0</v>
      </c>
      <c r="U4657" s="1">
        <f t="shared" si="1022"/>
        <v>0</v>
      </c>
      <c r="V4657" s="1">
        <f t="shared" si="1023"/>
        <v>0</v>
      </c>
    </row>
    <row r="4658" spans="5:22" x14ac:dyDescent="0.25">
      <c r="E4658" s="4"/>
      <c r="M4658" s="4">
        <f t="shared" si="1016"/>
        <v>173.1</v>
      </c>
      <c r="N4658" s="4"/>
      <c r="O4658" s="1">
        <f t="shared" si="1017"/>
        <v>173.1</v>
      </c>
      <c r="P4658" s="1">
        <f t="shared" si="1018"/>
        <v>0</v>
      </c>
      <c r="Q4658" s="1" t="str">
        <f t="shared" ref="Q4658:Q4721" si="1024">IF(H4658&lt;&gt;"",IF(H4658=H4657,"",H4658),IF(H4656="","",MAX(H4657,Q4657)))</f>
        <v/>
      </c>
      <c r="R4658" s="1" t="str">
        <f t="shared" si="1019"/>
        <v/>
      </c>
      <c r="S4658" s="1">
        <f t="shared" si="1020"/>
        <v>630.90240000000244</v>
      </c>
      <c r="T4658" s="1">
        <f t="shared" si="1021"/>
        <v>0</v>
      </c>
      <c r="U4658" s="1">
        <f t="shared" si="1022"/>
        <v>0</v>
      </c>
      <c r="V4658" s="1">
        <f t="shared" si="1023"/>
        <v>0</v>
      </c>
    </row>
    <row r="4659" spans="5:22" x14ac:dyDescent="0.25">
      <c r="E4659" s="4"/>
      <c r="M4659" s="4">
        <f t="shared" si="1016"/>
        <v>173.1</v>
      </c>
      <c r="N4659" s="4"/>
      <c r="O4659" s="1">
        <f t="shared" si="1017"/>
        <v>173.1</v>
      </c>
      <c r="P4659" s="1">
        <f t="shared" si="1018"/>
        <v>0</v>
      </c>
      <c r="Q4659" s="1" t="str">
        <f t="shared" si="1024"/>
        <v/>
      </c>
      <c r="R4659" s="1" t="str">
        <f t="shared" si="1019"/>
        <v/>
      </c>
      <c r="S4659" s="1">
        <f t="shared" si="1020"/>
        <v>630.90240000000244</v>
      </c>
      <c r="T4659" s="1">
        <f t="shared" si="1021"/>
        <v>0</v>
      </c>
      <c r="U4659" s="1">
        <f t="shared" si="1022"/>
        <v>0</v>
      </c>
      <c r="V4659" s="1">
        <f t="shared" si="1023"/>
        <v>0</v>
      </c>
    </row>
    <row r="4660" spans="5:22" x14ac:dyDescent="0.25">
      <c r="E4660" s="4"/>
      <c r="M4660" s="4">
        <f t="shared" si="1016"/>
        <v>173.1</v>
      </c>
      <c r="N4660" s="4"/>
      <c r="O4660" s="1">
        <f t="shared" si="1017"/>
        <v>173.1</v>
      </c>
      <c r="P4660" s="1">
        <f t="shared" si="1018"/>
        <v>0</v>
      </c>
      <c r="Q4660" s="1" t="str">
        <f t="shared" si="1024"/>
        <v/>
      </c>
      <c r="R4660" s="1" t="str">
        <f t="shared" si="1019"/>
        <v/>
      </c>
      <c r="S4660" s="1">
        <f t="shared" si="1020"/>
        <v>630.90240000000244</v>
      </c>
      <c r="T4660" s="1">
        <f t="shared" si="1021"/>
        <v>0</v>
      </c>
      <c r="U4660" s="1">
        <f t="shared" si="1022"/>
        <v>0</v>
      </c>
      <c r="V4660" s="1">
        <f t="shared" si="1023"/>
        <v>0</v>
      </c>
    </row>
    <row r="4661" spans="5:22" x14ac:dyDescent="0.25">
      <c r="E4661" s="4"/>
      <c r="M4661" s="4">
        <f t="shared" si="1016"/>
        <v>173.1</v>
      </c>
      <c r="N4661" s="4"/>
      <c r="O4661" s="1">
        <f t="shared" si="1017"/>
        <v>173.1</v>
      </c>
      <c r="P4661" s="1">
        <f t="shared" si="1018"/>
        <v>0</v>
      </c>
      <c r="Q4661" s="1" t="str">
        <f t="shared" si="1024"/>
        <v/>
      </c>
      <c r="R4661" s="1" t="str">
        <f t="shared" si="1019"/>
        <v/>
      </c>
      <c r="S4661" s="1">
        <f t="shared" si="1020"/>
        <v>630.90240000000244</v>
      </c>
      <c r="T4661" s="1">
        <f t="shared" si="1021"/>
        <v>0</v>
      </c>
      <c r="U4661" s="1">
        <f t="shared" si="1022"/>
        <v>0</v>
      </c>
      <c r="V4661" s="1">
        <f t="shared" si="1023"/>
        <v>0</v>
      </c>
    </row>
    <row r="4662" spans="5:22" x14ac:dyDescent="0.25">
      <c r="E4662" s="4"/>
      <c r="M4662" s="4">
        <f t="shared" si="1016"/>
        <v>173.1</v>
      </c>
      <c r="N4662" s="4"/>
      <c r="O4662" s="1">
        <f t="shared" si="1017"/>
        <v>173.1</v>
      </c>
      <c r="P4662" s="1">
        <f t="shared" si="1018"/>
        <v>0</v>
      </c>
      <c r="Q4662" s="1" t="str">
        <f t="shared" si="1024"/>
        <v/>
      </c>
      <c r="R4662" s="1" t="str">
        <f t="shared" si="1019"/>
        <v/>
      </c>
      <c r="S4662" s="1">
        <f t="shared" si="1020"/>
        <v>630.90240000000244</v>
      </c>
      <c r="T4662" s="1">
        <f t="shared" si="1021"/>
        <v>0</v>
      </c>
      <c r="U4662" s="1">
        <f t="shared" si="1022"/>
        <v>0</v>
      </c>
      <c r="V4662" s="1">
        <f t="shared" si="1023"/>
        <v>0</v>
      </c>
    </row>
    <row r="4663" spans="5:22" x14ac:dyDescent="0.25">
      <c r="E4663" s="4"/>
      <c r="M4663" s="4">
        <f t="shared" si="1016"/>
        <v>173.1</v>
      </c>
      <c r="N4663" s="4"/>
      <c r="O4663" s="1">
        <f t="shared" si="1017"/>
        <v>173.1</v>
      </c>
      <c r="P4663" s="1">
        <f t="shared" si="1018"/>
        <v>0</v>
      </c>
      <c r="Q4663" s="1" t="str">
        <f t="shared" si="1024"/>
        <v/>
      </c>
      <c r="R4663" s="1" t="str">
        <f t="shared" si="1019"/>
        <v/>
      </c>
      <c r="S4663" s="1">
        <f t="shared" si="1020"/>
        <v>630.90240000000244</v>
      </c>
      <c r="T4663" s="1">
        <f t="shared" si="1021"/>
        <v>0</v>
      </c>
      <c r="U4663" s="1">
        <f t="shared" si="1022"/>
        <v>0</v>
      </c>
      <c r="V4663" s="1">
        <f t="shared" si="1023"/>
        <v>0</v>
      </c>
    </row>
    <row r="4664" spans="5:22" x14ac:dyDescent="0.25">
      <c r="E4664" s="4"/>
      <c r="M4664" s="4">
        <f t="shared" si="1016"/>
        <v>173.1</v>
      </c>
      <c r="N4664" s="4"/>
      <c r="O4664" s="1">
        <f t="shared" si="1017"/>
        <v>173.1</v>
      </c>
      <c r="P4664" s="1">
        <f t="shared" si="1018"/>
        <v>0</v>
      </c>
      <c r="Q4664" s="1" t="str">
        <f t="shared" si="1024"/>
        <v/>
      </c>
      <c r="R4664" s="1" t="str">
        <f t="shared" si="1019"/>
        <v/>
      </c>
      <c r="S4664" s="1">
        <f t="shared" si="1020"/>
        <v>630.90240000000244</v>
      </c>
      <c r="T4664" s="1">
        <f t="shared" si="1021"/>
        <v>0</v>
      </c>
      <c r="U4664" s="1">
        <f t="shared" si="1022"/>
        <v>0</v>
      </c>
      <c r="V4664" s="1">
        <f t="shared" si="1023"/>
        <v>0</v>
      </c>
    </row>
    <row r="4665" spans="5:22" x14ac:dyDescent="0.25">
      <c r="E4665" s="4"/>
      <c r="M4665" s="4">
        <f t="shared" si="1016"/>
        <v>173.1</v>
      </c>
      <c r="N4665" s="4"/>
      <c r="O4665" s="1">
        <f t="shared" si="1017"/>
        <v>173.1</v>
      </c>
      <c r="P4665" s="1">
        <f t="shared" si="1018"/>
        <v>0</v>
      </c>
      <c r="Q4665" s="1" t="str">
        <f t="shared" si="1024"/>
        <v/>
      </c>
      <c r="R4665" s="1" t="str">
        <f t="shared" si="1019"/>
        <v/>
      </c>
      <c r="S4665" s="1">
        <f t="shared" si="1020"/>
        <v>630.90240000000244</v>
      </c>
      <c r="T4665" s="1">
        <f t="shared" si="1021"/>
        <v>0</v>
      </c>
      <c r="U4665" s="1">
        <f t="shared" si="1022"/>
        <v>0</v>
      </c>
      <c r="V4665" s="1">
        <f t="shared" si="1023"/>
        <v>0</v>
      </c>
    </row>
    <row r="4666" spans="5:22" x14ac:dyDescent="0.25">
      <c r="E4666" s="4"/>
      <c r="M4666" s="4">
        <f t="shared" si="1016"/>
        <v>173.1</v>
      </c>
      <c r="N4666" s="4"/>
      <c r="O4666" s="1">
        <f t="shared" si="1017"/>
        <v>173.1</v>
      </c>
      <c r="P4666" s="1">
        <f t="shared" si="1018"/>
        <v>0</v>
      </c>
      <c r="Q4666" s="1" t="str">
        <f t="shared" si="1024"/>
        <v/>
      </c>
      <c r="R4666" s="1" t="str">
        <f t="shared" si="1019"/>
        <v/>
      </c>
      <c r="S4666" s="1">
        <f t="shared" si="1020"/>
        <v>630.90240000000244</v>
      </c>
      <c r="T4666" s="1">
        <f t="shared" si="1021"/>
        <v>0</v>
      </c>
      <c r="U4666" s="1">
        <f t="shared" si="1022"/>
        <v>0</v>
      </c>
      <c r="V4666" s="1">
        <f t="shared" si="1023"/>
        <v>0</v>
      </c>
    </row>
    <row r="4667" spans="5:22" x14ac:dyDescent="0.25">
      <c r="E4667" s="4"/>
      <c r="M4667" s="4">
        <f t="shared" si="1016"/>
        <v>173.1</v>
      </c>
      <c r="N4667" s="4"/>
      <c r="O4667" s="1">
        <f t="shared" si="1017"/>
        <v>173.1</v>
      </c>
      <c r="P4667" s="1">
        <f t="shared" si="1018"/>
        <v>0</v>
      </c>
      <c r="Q4667" s="1" t="str">
        <f t="shared" si="1024"/>
        <v/>
      </c>
      <c r="R4667" s="1" t="str">
        <f t="shared" si="1019"/>
        <v/>
      </c>
      <c r="S4667" s="1">
        <f t="shared" si="1020"/>
        <v>630.90240000000244</v>
      </c>
      <c r="T4667" s="1">
        <f t="shared" si="1021"/>
        <v>0</v>
      </c>
      <c r="U4667" s="1">
        <f t="shared" si="1022"/>
        <v>0</v>
      </c>
      <c r="V4667" s="1">
        <f t="shared" si="1023"/>
        <v>0</v>
      </c>
    </row>
    <row r="4668" spans="5:22" x14ac:dyDescent="0.25">
      <c r="E4668" s="4"/>
      <c r="M4668" s="4">
        <f t="shared" si="1016"/>
        <v>173.1</v>
      </c>
      <c r="N4668" s="4"/>
      <c r="O4668" s="1">
        <f t="shared" si="1017"/>
        <v>173.1</v>
      </c>
      <c r="P4668" s="1">
        <f t="shared" si="1018"/>
        <v>0</v>
      </c>
      <c r="Q4668" s="1" t="str">
        <f t="shared" si="1024"/>
        <v/>
      </c>
      <c r="R4668" s="1" t="str">
        <f t="shared" si="1019"/>
        <v/>
      </c>
      <c r="S4668" s="1">
        <f t="shared" si="1020"/>
        <v>630.90240000000244</v>
      </c>
      <c r="T4668" s="1">
        <f t="shared" si="1021"/>
        <v>0</v>
      </c>
      <c r="U4668" s="1">
        <f t="shared" si="1022"/>
        <v>0</v>
      </c>
      <c r="V4668" s="1">
        <f t="shared" si="1023"/>
        <v>0</v>
      </c>
    </row>
    <row r="4669" spans="5:22" x14ac:dyDescent="0.25">
      <c r="E4669" s="4"/>
      <c r="M4669" s="4">
        <f t="shared" si="1016"/>
        <v>173.1</v>
      </c>
      <c r="N4669" s="4"/>
      <c r="O4669" s="1">
        <f t="shared" si="1017"/>
        <v>173.1</v>
      </c>
      <c r="P4669" s="1">
        <f t="shared" si="1018"/>
        <v>0</v>
      </c>
      <c r="Q4669" s="1" t="str">
        <f t="shared" si="1024"/>
        <v/>
      </c>
      <c r="R4669" s="1" t="str">
        <f t="shared" si="1019"/>
        <v/>
      </c>
      <c r="S4669" s="1">
        <f t="shared" si="1020"/>
        <v>630.90240000000244</v>
      </c>
      <c r="T4669" s="1">
        <f t="shared" si="1021"/>
        <v>0</v>
      </c>
      <c r="U4669" s="1">
        <f t="shared" si="1022"/>
        <v>0</v>
      </c>
      <c r="V4669" s="1">
        <f t="shared" si="1023"/>
        <v>0</v>
      </c>
    </row>
    <row r="4670" spans="5:22" x14ac:dyDescent="0.25">
      <c r="E4670" s="4"/>
      <c r="M4670" s="4">
        <f t="shared" si="1016"/>
        <v>173.1</v>
      </c>
      <c r="N4670" s="4"/>
      <c r="O4670" s="1">
        <f t="shared" si="1017"/>
        <v>173.1</v>
      </c>
      <c r="P4670" s="1">
        <f t="shared" si="1018"/>
        <v>0</v>
      </c>
      <c r="Q4670" s="1" t="str">
        <f t="shared" si="1024"/>
        <v/>
      </c>
      <c r="R4670" s="1" t="str">
        <f t="shared" si="1019"/>
        <v/>
      </c>
      <c r="S4670" s="1">
        <f t="shared" si="1020"/>
        <v>630.90240000000244</v>
      </c>
      <c r="T4670" s="1">
        <f t="shared" si="1021"/>
        <v>0</v>
      </c>
      <c r="U4670" s="1">
        <f t="shared" si="1022"/>
        <v>0</v>
      </c>
      <c r="V4670" s="1">
        <f t="shared" si="1023"/>
        <v>0</v>
      </c>
    </row>
    <row r="4671" spans="5:22" x14ac:dyDescent="0.25">
      <c r="E4671" s="4"/>
      <c r="M4671" s="4">
        <f t="shared" si="1016"/>
        <v>173.1</v>
      </c>
      <c r="N4671" s="4"/>
      <c r="O4671" s="1">
        <f t="shared" si="1017"/>
        <v>173.1</v>
      </c>
      <c r="P4671" s="1">
        <f t="shared" si="1018"/>
        <v>0</v>
      </c>
      <c r="Q4671" s="1" t="str">
        <f t="shared" si="1024"/>
        <v/>
      </c>
      <c r="R4671" s="1" t="str">
        <f t="shared" si="1019"/>
        <v/>
      </c>
      <c r="S4671" s="1">
        <f t="shared" si="1020"/>
        <v>630.90240000000244</v>
      </c>
      <c r="T4671" s="1">
        <f t="shared" si="1021"/>
        <v>0</v>
      </c>
      <c r="U4671" s="1">
        <f t="shared" si="1022"/>
        <v>0</v>
      </c>
      <c r="V4671" s="1">
        <f t="shared" si="1023"/>
        <v>0</v>
      </c>
    </row>
    <row r="4672" spans="5:22" x14ac:dyDescent="0.25">
      <c r="E4672" s="4"/>
      <c r="M4672" s="4">
        <f t="shared" si="1016"/>
        <v>173.1</v>
      </c>
      <c r="N4672" s="4"/>
      <c r="O4672" s="1">
        <f t="shared" si="1017"/>
        <v>173.1</v>
      </c>
      <c r="P4672" s="1">
        <f t="shared" si="1018"/>
        <v>0</v>
      </c>
      <c r="Q4672" s="1" t="str">
        <f t="shared" si="1024"/>
        <v/>
      </c>
      <c r="R4672" s="1" t="str">
        <f t="shared" si="1019"/>
        <v/>
      </c>
      <c r="S4672" s="1">
        <f t="shared" si="1020"/>
        <v>630.90240000000244</v>
      </c>
      <c r="T4672" s="1">
        <f t="shared" si="1021"/>
        <v>0</v>
      </c>
      <c r="U4672" s="1">
        <f t="shared" si="1022"/>
        <v>0</v>
      </c>
      <c r="V4672" s="1">
        <f t="shared" si="1023"/>
        <v>0</v>
      </c>
    </row>
    <row r="4673" spans="5:22" x14ac:dyDescent="0.25">
      <c r="E4673" s="4"/>
      <c r="M4673" s="4">
        <f t="shared" si="1016"/>
        <v>173.1</v>
      </c>
      <c r="N4673" s="4"/>
      <c r="O4673" s="1">
        <f t="shared" si="1017"/>
        <v>173.1</v>
      </c>
      <c r="P4673" s="1">
        <f t="shared" si="1018"/>
        <v>0</v>
      </c>
      <c r="Q4673" s="1" t="str">
        <f t="shared" si="1024"/>
        <v/>
      </c>
      <c r="R4673" s="1" t="str">
        <f t="shared" si="1019"/>
        <v/>
      </c>
      <c r="S4673" s="1">
        <f t="shared" si="1020"/>
        <v>630.90240000000244</v>
      </c>
      <c r="T4673" s="1">
        <f t="shared" si="1021"/>
        <v>0</v>
      </c>
      <c r="U4673" s="1">
        <f t="shared" si="1022"/>
        <v>0</v>
      </c>
      <c r="V4673" s="1">
        <f t="shared" si="1023"/>
        <v>0</v>
      </c>
    </row>
    <row r="4674" spans="5:22" x14ac:dyDescent="0.25">
      <c r="E4674" s="4"/>
      <c r="M4674" s="4">
        <f t="shared" si="1016"/>
        <v>173.1</v>
      </c>
      <c r="N4674" s="4"/>
      <c r="O4674" s="1">
        <f t="shared" si="1017"/>
        <v>173.1</v>
      </c>
      <c r="P4674" s="1">
        <f t="shared" si="1018"/>
        <v>0</v>
      </c>
      <c r="Q4674" s="1" t="str">
        <f t="shared" si="1024"/>
        <v/>
      </c>
      <c r="R4674" s="1" t="str">
        <f t="shared" si="1019"/>
        <v/>
      </c>
      <c r="S4674" s="1">
        <f t="shared" si="1020"/>
        <v>630.90240000000244</v>
      </c>
      <c r="T4674" s="1">
        <f t="shared" si="1021"/>
        <v>0</v>
      </c>
      <c r="U4674" s="1">
        <f t="shared" si="1022"/>
        <v>0</v>
      </c>
      <c r="V4674" s="1">
        <f t="shared" si="1023"/>
        <v>0</v>
      </c>
    </row>
    <row r="4675" spans="5:22" x14ac:dyDescent="0.25">
      <c r="E4675" s="4"/>
      <c r="M4675" s="4">
        <f t="shared" si="1016"/>
        <v>173.1</v>
      </c>
      <c r="N4675" s="4"/>
      <c r="O4675" s="1">
        <f t="shared" si="1017"/>
        <v>173.1</v>
      </c>
      <c r="P4675" s="1">
        <f t="shared" si="1018"/>
        <v>0</v>
      </c>
      <c r="Q4675" s="1" t="str">
        <f t="shared" si="1024"/>
        <v/>
      </c>
      <c r="R4675" s="1" t="str">
        <f t="shared" si="1019"/>
        <v/>
      </c>
      <c r="S4675" s="1">
        <f t="shared" si="1020"/>
        <v>630.90240000000244</v>
      </c>
      <c r="T4675" s="1">
        <f t="shared" si="1021"/>
        <v>0</v>
      </c>
      <c r="U4675" s="1">
        <f t="shared" si="1022"/>
        <v>0</v>
      </c>
      <c r="V4675" s="1">
        <f t="shared" si="1023"/>
        <v>0</v>
      </c>
    </row>
    <row r="4676" spans="5:22" x14ac:dyDescent="0.25">
      <c r="E4676" s="4"/>
      <c r="M4676" s="4">
        <f t="shared" si="1016"/>
        <v>173.1</v>
      </c>
      <c r="N4676" s="4"/>
      <c r="O4676" s="1">
        <f t="shared" si="1017"/>
        <v>173.1</v>
      </c>
      <c r="P4676" s="1">
        <f t="shared" si="1018"/>
        <v>0</v>
      </c>
      <c r="Q4676" s="1" t="str">
        <f t="shared" si="1024"/>
        <v/>
      </c>
      <c r="R4676" s="1" t="str">
        <f t="shared" si="1019"/>
        <v/>
      </c>
      <c r="S4676" s="1">
        <f t="shared" si="1020"/>
        <v>630.90240000000244</v>
      </c>
      <c r="T4676" s="1">
        <f t="shared" si="1021"/>
        <v>0</v>
      </c>
      <c r="U4676" s="1">
        <f t="shared" si="1022"/>
        <v>0</v>
      </c>
      <c r="V4676" s="1">
        <f t="shared" si="1023"/>
        <v>0</v>
      </c>
    </row>
    <row r="4677" spans="5:22" x14ac:dyDescent="0.25">
      <c r="E4677" s="4"/>
      <c r="M4677" s="4">
        <f t="shared" si="1016"/>
        <v>173.1</v>
      </c>
      <c r="N4677" s="4"/>
      <c r="O4677" s="1">
        <f t="shared" si="1017"/>
        <v>173.1</v>
      </c>
      <c r="P4677" s="1">
        <f t="shared" si="1018"/>
        <v>0</v>
      </c>
      <c r="Q4677" s="1" t="str">
        <f t="shared" si="1024"/>
        <v/>
      </c>
      <c r="R4677" s="1" t="str">
        <f t="shared" si="1019"/>
        <v/>
      </c>
      <c r="S4677" s="1">
        <f t="shared" si="1020"/>
        <v>630.90240000000244</v>
      </c>
      <c r="T4677" s="1">
        <f t="shared" si="1021"/>
        <v>0</v>
      </c>
      <c r="U4677" s="1">
        <f t="shared" si="1022"/>
        <v>0</v>
      </c>
      <c r="V4677" s="1">
        <f t="shared" si="1023"/>
        <v>0</v>
      </c>
    </row>
    <row r="4678" spans="5:22" x14ac:dyDescent="0.25">
      <c r="E4678" s="4"/>
      <c r="M4678" s="4">
        <f t="shared" si="1016"/>
        <v>173.1</v>
      </c>
      <c r="N4678" s="4"/>
      <c r="O4678" s="1">
        <f t="shared" si="1017"/>
        <v>173.1</v>
      </c>
      <c r="P4678" s="1">
        <f t="shared" si="1018"/>
        <v>0</v>
      </c>
      <c r="Q4678" s="1" t="str">
        <f t="shared" si="1024"/>
        <v/>
      </c>
      <c r="R4678" s="1" t="str">
        <f t="shared" si="1019"/>
        <v/>
      </c>
      <c r="S4678" s="1">
        <f t="shared" si="1020"/>
        <v>630.90240000000244</v>
      </c>
      <c r="T4678" s="1">
        <f t="shared" si="1021"/>
        <v>0</v>
      </c>
      <c r="U4678" s="1">
        <f t="shared" si="1022"/>
        <v>0</v>
      </c>
      <c r="V4678" s="1">
        <f t="shared" si="1023"/>
        <v>0</v>
      </c>
    </row>
    <row r="4679" spans="5:22" x14ac:dyDescent="0.25">
      <c r="E4679" s="4"/>
      <c r="M4679" s="4">
        <f t="shared" si="1016"/>
        <v>173.1</v>
      </c>
      <c r="N4679" s="4"/>
      <c r="O4679" s="1">
        <f t="shared" si="1017"/>
        <v>173.1</v>
      </c>
      <c r="P4679" s="1">
        <f t="shared" si="1018"/>
        <v>0</v>
      </c>
      <c r="Q4679" s="1" t="str">
        <f t="shared" si="1024"/>
        <v/>
      </c>
      <c r="R4679" s="1" t="str">
        <f t="shared" si="1019"/>
        <v/>
      </c>
      <c r="S4679" s="1">
        <f t="shared" si="1020"/>
        <v>630.90240000000244</v>
      </c>
      <c r="T4679" s="1">
        <f t="shared" si="1021"/>
        <v>0</v>
      </c>
      <c r="U4679" s="1">
        <f t="shared" si="1022"/>
        <v>0</v>
      </c>
      <c r="V4679" s="1">
        <f t="shared" si="1023"/>
        <v>0</v>
      </c>
    </row>
    <row r="4680" spans="5:22" x14ac:dyDescent="0.25">
      <c r="E4680" s="4"/>
      <c r="M4680" s="4">
        <f t="shared" ref="M4680:M4743" si="1025">E4680+M4679</f>
        <v>173.1</v>
      </c>
      <c r="N4680" s="4"/>
      <c r="O4680" s="1">
        <f t="shared" ref="O4680:O4743" si="1026">E4679+O4679</f>
        <v>173.1</v>
      </c>
      <c r="P4680" s="1">
        <f t="shared" ref="P4680:P4743" si="1027">F4680*52.8*E4680</f>
        <v>0</v>
      </c>
      <c r="Q4680" s="1" t="str">
        <f t="shared" si="1024"/>
        <v/>
      </c>
      <c r="R4680" s="1" t="str">
        <f t="shared" ref="R4680:R4743" si="1028">IF(I4680="",Q4680,IF(AND(H4680=H4679,I4680=I4679),"",I4680))</f>
        <v/>
      </c>
      <c r="S4680" s="1">
        <f t="shared" ref="S4680:S4743" si="1029">S4679+U4679*T4679/100</f>
        <v>630.90240000000244</v>
      </c>
      <c r="T4680" s="1">
        <f t="shared" ref="T4680:T4743" si="1030">IF(G4680="UNK",0,G4680)</f>
        <v>0</v>
      </c>
      <c r="U4680" s="1">
        <f t="shared" ref="U4680:U4743" si="1031">E4680*5280</f>
        <v>0</v>
      </c>
      <c r="V4680" s="1">
        <f t="shared" ref="V4680:V4743" si="1032">ABS(T4680*U4680)</f>
        <v>0</v>
      </c>
    </row>
    <row r="4681" spans="5:22" x14ac:dyDescent="0.25">
      <c r="E4681" s="4"/>
      <c r="M4681" s="4">
        <f t="shared" si="1025"/>
        <v>173.1</v>
      </c>
      <c r="N4681" s="4"/>
      <c r="O4681" s="1">
        <f t="shared" si="1026"/>
        <v>173.1</v>
      </c>
      <c r="P4681" s="1">
        <f t="shared" si="1027"/>
        <v>0</v>
      </c>
      <c r="Q4681" s="1" t="str">
        <f t="shared" si="1024"/>
        <v/>
      </c>
      <c r="R4681" s="1" t="str">
        <f t="shared" si="1028"/>
        <v/>
      </c>
      <c r="S4681" s="1">
        <f t="shared" si="1029"/>
        <v>630.90240000000244</v>
      </c>
      <c r="T4681" s="1">
        <f t="shared" si="1030"/>
        <v>0</v>
      </c>
      <c r="U4681" s="1">
        <f t="shared" si="1031"/>
        <v>0</v>
      </c>
      <c r="V4681" s="1">
        <f t="shared" si="1032"/>
        <v>0</v>
      </c>
    </row>
    <row r="4682" spans="5:22" x14ac:dyDescent="0.25">
      <c r="E4682" s="4"/>
      <c r="M4682" s="4">
        <f t="shared" si="1025"/>
        <v>173.1</v>
      </c>
      <c r="N4682" s="4"/>
      <c r="O4682" s="1">
        <f t="shared" si="1026"/>
        <v>173.1</v>
      </c>
      <c r="P4682" s="1">
        <f t="shared" si="1027"/>
        <v>0</v>
      </c>
      <c r="Q4682" s="1" t="str">
        <f t="shared" si="1024"/>
        <v/>
      </c>
      <c r="R4682" s="1" t="str">
        <f t="shared" si="1028"/>
        <v/>
      </c>
      <c r="S4682" s="1">
        <f t="shared" si="1029"/>
        <v>630.90240000000244</v>
      </c>
      <c r="T4682" s="1">
        <f t="shared" si="1030"/>
        <v>0</v>
      </c>
      <c r="U4682" s="1">
        <f t="shared" si="1031"/>
        <v>0</v>
      </c>
      <c r="V4682" s="1">
        <f t="shared" si="1032"/>
        <v>0</v>
      </c>
    </row>
    <row r="4683" spans="5:22" x14ac:dyDescent="0.25">
      <c r="E4683" s="4"/>
      <c r="M4683" s="4">
        <f t="shared" si="1025"/>
        <v>173.1</v>
      </c>
      <c r="N4683" s="4"/>
      <c r="O4683" s="1">
        <f t="shared" si="1026"/>
        <v>173.1</v>
      </c>
      <c r="P4683" s="1">
        <f t="shared" si="1027"/>
        <v>0</v>
      </c>
      <c r="Q4683" s="1" t="str">
        <f t="shared" si="1024"/>
        <v/>
      </c>
      <c r="R4683" s="1" t="str">
        <f t="shared" si="1028"/>
        <v/>
      </c>
      <c r="S4683" s="1">
        <f t="shared" si="1029"/>
        <v>630.90240000000244</v>
      </c>
      <c r="T4683" s="1">
        <f t="shared" si="1030"/>
        <v>0</v>
      </c>
      <c r="U4683" s="1">
        <f t="shared" si="1031"/>
        <v>0</v>
      </c>
      <c r="V4683" s="1">
        <f t="shared" si="1032"/>
        <v>0</v>
      </c>
    </row>
    <row r="4684" spans="5:22" x14ac:dyDescent="0.25">
      <c r="E4684" s="4"/>
      <c r="M4684" s="4">
        <f t="shared" si="1025"/>
        <v>173.1</v>
      </c>
      <c r="N4684" s="4"/>
      <c r="O4684" s="1">
        <f t="shared" si="1026"/>
        <v>173.1</v>
      </c>
      <c r="P4684" s="1">
        <f t="shared" si="1027"/>
        <v>0</v>
      </c>
      <c r="Q4684" s="1" t="str">
        <f t="shared" si="1024"/>
        <v/>
      </c>
      <c r="R4684" s="1" t="str">
        <f t="shared" si="1028"/>
        <v/>
      </c>
      <c r="S4684" s="1">
        <f t="shared" si="1029"/>
        <v>630.90240000000244</v>
      </c>
      <c r="T4684" s="1">
        <f t="shared" si="1030"/>
        <v>0</v>
      </c>
      <c r="U4684" s="1">
        <f t="shared" si="1031"/>
        <v>0</v>
      </c>
      <c r="V4684" s="1">
        <f t="shared" si="1032"/>
        <v>0</v>
      </c>
    </row>
    <row r="4685" spans="5:22" x14ac:dyDescent="0.25">
      <c r="E4685" s="4"/>
      <c r="M4685" s="4">
        <f t="shared" si="1025"/>
        <v>173.1</v>
      </c>
      <c r="N4685" s="4"/>
      <c r="O4685" s="1">
        <f t="shared" si="1026"/>
        <v>173.1</v>
      </c>
      <c r="P4685" s="1">
        <f t="shared" si="1027"/>
        <v>0</v>
      </c>
      <c r="Q4685" s="1" t="str">
        <f t="shared" si="1024"/>
        <v/>
      </c>
      <c r="R4685" s="1" t="str">
        <f t="shared" si="1028"/>
        <v/>
      </c>
      <c r="S4685" s="1">
        <f t="shared" si="1029"/>
        <v>630.90240000000244</v>
      </c>
      <c r="T4685" s="1">
        <f t="shared" si="1030"/>
        <v>0</v>
      </c>
      <c r="U4685" s="1">
        <f t="shared" si="1031"/>
        <v>0</v>
      </c>
      <c r="V4685" s="1">
        <f t="shared" si="1032"/>
        <v>0</v>
      </c>
    </row>
    <row r="4686" spans="5:22" x14ac:dyDescent="0.25">
      <c r="E4686" s="4"/>
      <c r="M4686" s="4">
        <f t="shared" si="1025"/>
        <v>173.1</v>
      </c>
      <c r="N4686" s="4"/>
      <c r="O4686" s="1">
        <f t="shared" si="1026"/>
        <v>173.1</v>
      </c>
      <c r="P4686" s="1">
        <f t="shared" si="1027"/>
        <v>0</v>
      </c>
      <c r="Q4686" s="1" t="str">
        <f t="shared" si="1024"/>
        <v/>
      </c>
      <c r="R4686" s="1" t="str">
        <f t="shared" si="1028"/>
        <v/>
      </c>
      <c r="S4686" s="1">
        <f t="shared" si="1029"/>
        <v>630.90240000000244</v>
      </c>
      <c r="T4686" s="1">
        <f t="shared" si="1030"/>
        <v>0</v>
      </c>
      <c r="U4686" s="1">
        <f t="shared" si="1031"/>
        <v>0</v>
      </c>
      <c r="V4686" s="1">
        <f t="shared" si="1032"/>
        <v>0</v>
      </c>
    </row>
    <row r="4687" spans="5:22" x14ac:dyDescent="0.25">
      <c r="E4687" s="4"/>
      <c r="M4687" s="4">
        <f t="shared" si="1025"/>
        <v>173.1</v>
      </c>
      <c r="N4687" s="4"/>
      <c r="O4687" s="1">
        <f t="shared" si="1026"/>
        <v>173.1</v>
      </c>
      <c r="P4687" s="1">
        <f t="shared" si="1027"/>
        <v>0</v>
      </c>
      <c r="Q4687" s="1" t="str">
        <f t="shared" si="1024"/>
        <v/>
      </c>
      <c r="R4687" s="1" t="str">
        <f t="shared" si="1028"/>
        <v/>
      </c>
      <c r="S4687" s="1">
        <f t="shared" si="1029"/>
        <v>630.90240000000244</v>
      </c>
      <c r="T4687" s="1">
        <f t="shared" si="1030"/>
        <v>0</v>
      </c>
      <c r="U4687" s="1">
        <f t="shared" si="1031"/>
        <v>0</v>
      </c>
      <c r="V4687" s="1">
        <f t="shared" si="1032"/>
        <v>0</v>
      </c>
    </row>
    <row r="4688" spans="5:22" x14ac:dyDescent="0.25">
      <c r="E4688" s="4"/>
      <c r="M4688" s="4">
        <f t="shared" si="1025"/>
        <v>173.1</v>
      </c>
      <c r="N4688" s="4"/>
      <c r="O4688" s="1">
        <f t="shared" si="1026"/>
        <v>173.1</v>
      </c>
      <c r="P4688" s="1">
        <f t="shared" si="1027"/>
        <v>0</v>
      </c>
      <c r="Q4688" s="1" t="str">
        <f t="shared" si="1024"/>
        <v/>
      </c>
      <c r="R4688" s="1" t="str">
        <f t="shared" si="1028"/>
        <v/>
      </c>
      <c r="S4688" s="1">
        <f t="shared" si="1029"/>
        <v>630.90240000000244</v>
      </c>
      <c r="T4688" s="1">
        <f t="shared" si="1030"/>
        <v>0</v>
      </c>
      <c r="U4688" s="1">
        <f t="shared" si="1031"/>
        <v>0</v>
      </c>
      <c r="V4688" s="1">
        <f t="shared" si="1032"/>
        <v>0</v>
      </c>
    </row>
    <row r="4689" spans="5:22" x14ac:dyDescent="0.25">
      <c r="E4689" s="4"/>
      <c r="M4689" s="4">
        <f t="shared" si="1025"/>
        <v>173.1</v>
      </c>
      <c r="N4689" s="4"/>
      <c r="O4689" s="1">
        <f t="shared" si="1026"/>
        <v>173.1</v>
      </c>
      <c r="P4689" s="1">
        <f t="shared" si="1027"/>
        <v>0</v>
      </c>
      <c r="Q4689" s="1" t="str">
        <f t="shared" si="1024"/>
        <v/>
      </c>
      <c r="R4689" s="1" t="str">
        <f t="shared" si="1028"/>
        <v/>
      </c>
      <c r="S4689" s="1">
        <f t="shared" si="1029"/>
        <v>630.90240000000244</v>
      </c>
      <c r="T4689" s="1">
        <f t="shared" si="1030"/>
        <v>0</v>
      </c>
      <c r="U4689" s="1">
        <f t="shared" si="1031"/>
        <v>0</v>
      </c>
      <c r="V4689" s="1">
        <f t="shared" si="1032"/>
        <v>0</v>
      </c>
    </row>
    <row r="4690" spans="5:22" x14ac:dyDescent="0.25">
      <c r="E4690" s="4"/>
      <c r="M4690" s="4">
        <f t="shared" si="1025"/>
        <v>173.1</v>
      </c>
      <c r="N4690" s="4"/>
      <c r="O4690" s="1">
        <f t="shared" si="1026"/>
        <v>173.1</v>
      </c>
      <c r="P4690" s="1">
        <f t="shared" si="1027"/>
        <v>0</v>
      </c>
      <c r="Q4690" s="1" t="str">
        <f t="shared" si="1024"/>
        <v/>
      </c>
      <c r="R4690" s="1" t="str">
        <f t="shared" si="1028"/>
        <v/>
      </c>
      <c r="S4690" s="1">
        <f t="shared" si="1029"/>
        <v>630.90240000000244</v>
      </c>
      <c r="T4690" s="1">
        <f t="shared" si="1030"/>
        <v>0</v>
      </c>
      <c r="U4690" s="1">
        <f t="shared" si="1031"/>
        <v>0</v>
      </c>
      <c r="V4690" s="1">
        <f t="shared" si="1032"/>
        <v>0</v>
      </c>
    </row>
    <row r="4691" spans="5:22" x14ac:dyDescent="0.25">
      <c r="E4691" s="4"/>
      <c r="M4691" s="4">
        <f t="shared" si="1025"/>
        <v>173.1</v>
      </c>
      <c r="N4691" s="4"/>
      <c r="O4691" s="1">
        <f t="shared" si="1026"/>
        <v>173.1</v>
      </c>
      <c r="P4691" s="1">
        <f t="shared" si="1027"/>
        <v>0</v>
      </c>
      <c r="Q4691" s="1" t="str">
        <f t="shared" si="1024"/>
        <v/>
      </c>
      <c r="R4691" s="1" t="str">
        <f t="shared" si="1028"/>
        <v/>
      </c>
      <c r="S4691" s="1">
        <f t="shared" si="1029"/>
        <v>630.90240000000244</v>
      </c>
      <c r="T4691" s="1">
        <f t="shared" si="1030"/>
        <v>0</v>
      </c>
      <c r="U4691" s="1">
        <f t="shared" si="1031"/>
        <v>0</v>
      </c>
      <c r="V4691" s="1">
        <f t="shared" si="1032"/>
        <v>0</v>
      </c>
    </row>
    <row r="4692" spans="5:22" x14ac:dyDescent="0.25">
      <c r="E4692" s="4"/>
      <c r="M4692" s="4">
        <f t="shared" si="1025"/>
        <v>173.1</v>
      </c>
      <c r="N4692" s="4"/>
      <c r="O4692" s="1">
        <f t="shared" si="1026"/>
        <v>173.1</v>
      </c>
      <c r="P4692" s="1">
        <f t="shared" si="1027"/>
        <v>0</v>
      </c>
      <c r="Q4692" s="1" t="str">
        <f t="shared" si="1024"/>
        <v/>
      </c>
      <c r="R4692" s="1" t="str">
        <f t="shared" si="1028"/>
        <v/>
      </c>
      <c r="S4692" s="1">
        <f t="shared" si="1029"/>
        <v>630.90240000000244</v>
      </c>
      <c r="T4692" s="1">
        <f t="shared" si="1030"/>
        <v>0</v>
      </c>
      <c r="U4692" s="1">
        <f t="shared" si="1031"/>
        <v>0</v>
      </c>
      <c r="V4692" s="1">
        <f t="shared" si="1032"/>
        <v>0</v>
      </c>
    </row>
    <row r="4693" spans="5:22" x14ac:dyDescent="0.25">
      <c r="E4693" s="4"/>
      <c r="M4693" s="4">
        <f t="shared" si="1025"/>
        <v>173.1</v>
      </c>
      <c r="N4693" s="4"/>
      <c r="O4693" s="1">
        <f t="shared" si="1026"/>
        <v>173.1</v>
      </c>
      <c r="P4693" s="1">
        <f t="shared" si="1027"/>
        <v>0</v>
      </c>
      <c r="Q4693" s="1" t="str">
        <f t="shared" si="1024"/>
        <v/>
      </c>
      <c r="R4693" s="1" t="str">
        <f t="shared" si="1028"/>
        <v/>
      </c>
      <c r="S4693" s="1">
        <f t="shared" si="1029"/>
        <v>630.90240000000244</v>
      </c>
      <c r="T4693" s="1">
        <f t="shared" si="1030"/>
        <v>0</v>
      </c>
      <c r="U4693" s="1">
        <f t="shared" si="1031"/>
        <v>0</v>
      </c>
      <c r="V4693" s="1">
        <f t="shared" si="1032"/>
        <v>0</v>
      </c>
    </row>
    <row r="4694" spans="5:22" x14ac:dyDescent="0.25">
      <c r="E4694" s="4"/>
      <c r="M4694" s="4">
        <f t="shared" si="1025"/>
        <v>173.1</v>
      </c>
      <c r="N4694" s="4"/>
      <c r="O4694" s="1">
        <f t="shared" si="1026"/>
        <v>173.1</v>
      </c>
      <c r="P4694" s="1">
        <f t="shared" si="1027"/>
        <v>0</v>
      </c>
      <c r="Q4694" s="1" t="str">
        <f t="shared" si="1024"/>
        <v/>
      </c>
      <c r="R4694" s="1" t="str">
        <f t="shared" si="1028"/>
        <v/>
      </c>
      <c r="S4694" s="1">
        <f t="shared" si="1029"/>
        <v>630.90240000000244</v>
      </c>
      <c r="T4694" s="1">
        <f t="shared" si="1030"/>
        <v>0</v>
      </c>
      <c r="U4694" s="1">
        <f t="shared" si="1031"/>
        <v>0</v>
      </c>
      <c r="V4694" s="1">
        <f t="shared" si="1032"/>
        <v>0</v>
      </c>
    </row>
    <row r="4695" spans="5:22" x14ac:dyDescent="0.25">
      <c r="E4695" s="4"/>
      <c r="M4695" s="4">
        <f t="shared" si="1025"/>
        <v>173.1</v>
      </c>
      <c r="N4695" s="4"/>
      <c r="O4695" s="1">
        <f t="shared" si="1026"/>
        <v>173.1</v>
      </c>
      <c r="P4695" s="1">
        <f t="shared" si="1027"/>
        <v>0</v>
      </c>
      <c r="Q4695" s="1" t="str">
        <f t="shared" si="1024"/>
        <v/>
      </c>
      <c r="R4695" s="1" t="str">
        <f t="shared" si="1028"/>
        <v/>
      </c>
      <c r="S4695" s="1">
        <f t="shared" si="1029"/>
        <v>630.90240000000244</v>
      </c>
      <c r="T4695" s="1">
        <f t="shared" si="1030"/>
        <v>0</v>
      </c>
      <c r="U4695" s="1">
        <f t="shared" si="1031"/>
        <v>0</v>
      </c>
      <c r="V4695" s="1">
        <f t="shared" si="1032"/>
        <v>0</v>
      </c>
    </row>
    <row r="4696" spans="5:22" x14ac:dyDescent="0.25">
      <c r="E4696" s="4"/>
      <c r="M4696" s="4">
        <f t="shared" si="1025"/>
        <v>173.1</v>
      </c>
      <c r="N4696" s="4"/>
      <c r="O4696" s="1">
        <f t="shared" si="1026"/>
        <v>173.1</v>
      </c>
      <c r="P4696" s="1">
        <f t="shared" si="1027"/>
        <v>0</v>
      </c>
      <c r="Q4696" s="1" t="str">
        <f t="shared" si="1024"/>
        <v/>
      </c>
      <c r="R4696" s="1" t="str">
        <f t="shared" si="1028"/>
        <v/>
      </c>
      <c r="S4696" s="1">
        <f t="shared" si="1029"/>
        <v>630.90240000000244</v>
      </c>
      <c r="T4696" s="1">
        <f t="shared" si="1030"/>
        <v>0</v>
      </c>
      <c r="U4696" s="1">
        <f t="shared" si="1031"/>
        <v>0</v>
      </c>
      <c r="V4696" s="1">
        <f t="shared" si="1032"/>
        <v>0</v>
      </c>
    </row>
    <row r="4697" spans="5:22" x14ac:dyDescent="0.25">
      <c r="E4697" s="4"/>
      <c r="M4697" s="4">
        <f t="shared" si="1025"/>
        <v>173.1</v>
      </c>
      <c r="N4697" s="4"/>
      <c r="O4697" s="1">
        <f t="shared" si="1026"/>
        <v>173.1</v>
      </c>
      <c r="P4697" s="1">
        <f t="shared" si="1027"/>
        <v>0</v>
      </c>
      <c r="Q4697" s="1" t="str">
        <f t="shared" si="1024"/>
        <v/>
      </c>
      <c r="R4697" s="1" t="str">
        <f t="shared" si="1028"/>
        <v/>
      </c>
      <c r="S4697" s="1">
        <f t="shared" si="1029"/>
        <v>630.90240000000244</v>
      </c>
      <c r="T4697" s="1">
        <f t="shared" si="1030"/>
        <v>0</v>
      </c>
      <c r="U4697" s="1">
        <f t="shared" si="1031"/>
        <v>0</v>
      </c>
      <c r="V4697" s="1">
        <f t="shared" si="1032"/>
        <v>0</v>
      </c>
    </row>
    <row r="4698" spans="5:22" x14ac:dyDescent="0.25">
      <c r="E4698" s="4"/>
      <c r="M4698" s="4">
        <f t="shared" si="1025"/>
        <v>173.1</v>
      </c>
      <c r="N4698" s="4"/>
      <c r="O4698" s="1">
        <f t="shared" si="1026"/>
        <v>173.1</v>
      </c>
      <c r="P4698" s="1">
        <f t="shared" si="1027"/>
        <v>0</v>
      </c>
      <c r="Q4698" s="1" t="str">
        <f t="shared" si="1024"/>
        <v/>
      </c>
      <c r="R4698" s="1" t="str">
        <f t="shared" si="1028"/>
        <v/>
      </c>
      <c r="S4698" s="1">
        <f t="shared" si="1029"/>
        <v>630.90240000000244</v>
      </c>
      <c r="T4698" s="1">
        <f t="shared" si="1030"/>
        <v>0</v>
      </c>
      <c r="U4698" s="1">
        <f t="shared" si="1031"/>
        <v>0</v>
      </c>
      <c r="V4698" s="1">
        <f t="shared" si="1032"/>
        <v>0</v>
      </c>
    </row>
    <row r="4699" spans="5:22" x14ac:dyDescent="0.25">
      <c r="E4699" s="4"/>
      <c r="M4699" s="4">
        <f t="shared" si="1025"/>
        <v>173.1</v>
      </c>
      <c r="N4699" s="4"/>
      <c r="O4699" s="1">
        <f t="shared" si="1026"/>
        <v>173.1</v>
      </c>
      <c r="P4699" s="1">
        <f t="shared" si="1027"/>
        <v>0</v>
      </c>
      <c r="Q4699" s="1" t="str">
        <f t="shared" si="1024"/>
        <v/>
      </c>
      <c r="R4699" s="1" t="str">
        <f t="shared" si="1028"/>
        <v/>
      </c>
      <c r="S4699" s="1">
        <f t="shared" si="1029"/>
        <v>630.90240000000244</v>
      </c>
      <c r="T4699" s="1">
        <f t="shared" si="1030"/>
        <v>0</v>
      </c>
      <c r="U4699" s="1">
        <f t="shared" si="1031"/>
        <v>0</v>
      </c>
      <c r="V4699" s="1">
        <f t="shared" si="1032"/>
        <v>0</v>
      </c>
    </row>
    <row r="4700" spans="5:22" x14ac:dyDescent="0.25">
      <c r="E4700" s="4"/>
      <c r="M4700" s="4">
        <f t="shared" si="1025"/>
        <v>173.1</v>
      </c>
      <c r="N4700" s="4"/>
      <c r="O4700" s="1">
        <f t="shared" si="1026"/>
        <v>173.1</v>
      </c>
      <c r="P4700" s="1">
        <f t="shared" si="1027"/>
        <v>0</v>
      </c>
      <c r="Q4700" s="1" t="str">
        <f t="shared" si="1024"/>
        <v/>
      </c>
      <c r="R4700" s="1" t="str">
        <f t="shared" si="1028"/>
        <v/>
      </c>
      <c r="S4700" s="1">
        <f t="shared" si="1029"/>
        <v>630.90240000000244</v>
      </c>
      <c r="T4700" s="1">
        <f t="shared" si="1030"/>
        <v>0</v>
      </c>
      <c r="U4700" s="1">
        <f t="shared" si="1031"/>
        <v>0</v>
      </c>
      <c r="V4700" s="1">
        <f t="shared" si="1032"/>
        <v>0</v>
      </c>
    </row>
    <row r="4701" spans="5:22" x14ac:dyDescent="0.25">
      <c r="E4701" s="4"/>
      <c r="M4701" s="4">
        <f t="shared" si="1025"/>
        <v>173.1</v>
      </c>
      <c r="N4701" s="4"/>
      <c r="O4701" s="1">
        <f t="shared" si="1026"/>
        <v>173.1</v>
      </c>
      <c r="P4701" s="1">
        <f t="shared" si="1027"/>
        <v>0</v>
      </c>
      <c r="Q4701" s="1" t="str">
        <f t="shared" si="1024"/>
        <v/>
      </c>
      <c r="R4701" s="1" t="str">
        <f t="shared" si="1028"/>
        <v/>
      </c>
      <c r="S4701" s="1">
        <f t="shared" si="1029"/>
        <v>630.90240000000244</v>
      </c>
      <c r="T4701" s="1">
        <f t="shared" si="1030"/>
        <v>0</v>
      </c>
      <c r="U4701" s="1">
        <f t="shared" si="1031"/>
        <v>0</v>
      </c>
      <c r="V4701" s="1">
        <f t="shared" si="1032"/>
        <v>0</v>
      </c>
    </row>
    <row r="4702" spans="5:22" x14ac:dyDescent="0.25">
      <c r="E4702" s="4"/>
      <c r="M4702" s="4">
        <f t="shared" si="1025"/>
        <v>173.1</v>
      </c>
      <c r="N4702" s="4"/>
      <c r="O4702" s="1">
        <f t="shared" si="1026"/>
        <v>173.1</v>
      </c>
      <c r="P4702" s="1">
        <f t="shared" si="1027"/>
        <v>0</v>
      </c>
      <c r="Q4702" s="1" t="str">
        <f t="shared" si="1024"/>
        <v/>
      </c>
      <c r="R4702" s="1" t="str">
        <f t="shared" si="1028"/>
        <v/>
      </c>
      <c r="S4702" s="1">
        <f t="shared" si="1029"/>
        <v>630.90240000000244</v>
      </c>
      <c r="T4702" s="1">
        <f t="shared" si="1030"/>
        <v>0</v>
      </c>
      <c r="U4702" s="1">
        <f t="shared" si="1031"/>
        <v>0</v>
      </c>
      <c r="V4702" s="1">
        <f t="shared" si="1032"/>
        <v>0</v>
      </c>
    </row>
    <row r="4703" spans="5:22" x14ac:dyDescent="0.25">
      <c r="E4703" s="4"/>
      <c r="M4703" s="4">
        <f t="shared" si="1025"/>
        <v>173.1</v>
      </c>
      <c r="N4703" s="4"/>
      <c r="O4703" s="1">
        <f t="shared" si="1026"/>
        <v>173.1</v>
      </c>
      <c r="P4703" s="1">
        <f t="shared" si="1027"/>
        <v>0</v>
      </c>
      <c r="Q4703" s="1" t="str">
        <f t="shared" si="1024"/>
        <v/>
      </c>
      <c r="R4703" s="1" t="str">
        <f t="shared" si="1028"/>
        <v/>
      </c>
      <c r="S4703" s="1">
        <f t="shared" si="1029"/>
        <v>630.90240000000244</v>
      </c>
      <c r="T4703" s="1">
        <f t="shared" si="1030"/>
        <v>0</v>
      </c>
      <c r="U4703" s="1">
        <f t="shared" si="1031"/>
        <v>0</v>
      </c>
      <c r="V4703" s="1">
        <f t="shared" si="1032"/>
        <v>0</v>
      </c>
    </row>
    <row r="4704" spans="5:22" x14ac:dyDescent="0.25">
      <c r="E4704" s="4"/>
      <c r="M4704" s="4">
        <f t="shared" si="1025"/>
        <v>173.1</v>
      </c>
      <c r="N4704" s="4"/>
      <c r="O4704" s="1">
        <f t="shared" si="1026"/>
        <v>173.1</v>
      </c>
      <c r="P4704" s="1">
        <f t="shared" si="1027"/>
        <v>0</v>
      </c>
      <c r="Q4704" s="1" t="str">
        <f t="shared" si="1024"/>
        <v/>
      </c>
      <c r="R4704" s="1" t="str">
        <f t="shared" si="1028"/>
        <v/>
      </c>
      <c r="S4704" s="1">
        <f t="shared" si="1029"/>
        <v>630.90240000000244</v>
      </c>
      <c r="T4704" s="1">
        <f t="shared" si="1030"/>
        <v>0</v>
      </c>
      <c r="U4704" s="1">
        <f t="shared" si="1031"/>
        <v>0</v>
      </c>
      <c r="V4704" s="1">
        <f t="shared" si="1032"/>
        <v>0</v>
      </c>
    </row>
    <row r="4705" spans="5:22" x14ac:dyDescent="0.25">
      <c r="E4705" s="4"/>
      <c r="M4705" s="4">
        <f t="shared" si="1025"/>
        <v>173.1</v>
      </c>
      <c r="N4705" s="4"/>
      <c r="O4705" s="1">
        <f t="shared" si="1026"/>
        <v>173.1</v>
      </c>
      <c r="P4705" s="1">
        <f t="shared" si="1027"/>
        <v>0</v>
      </c>
      <c r="Q4705" s="1" t="str">
        <f t="shared" si="1024"/>
        <v/>
      </c>
      <c r="R4705" s="1" t="str">
        <f t="shared" si="1028"/>
        <v/>
      </c>
      <c r="S4705" s="1">
        <f t="shared" si="1029"/>
        <v>630.90240000000244</v>
      </c>
      <c r="T4705" s="1">
        <f t="shared" si="1030"/>
        <v>0</v>
      </c>
      <c r="U4705" s="1">
        <f t="shared" si="1031"/>
        <v>0</v>
      </c>
      <c r="V4705" s="1">
        <f t="shared" si="1032"/>
        <v>0</v>
      </c>
    </row>
    <row r="4706" spans="5:22" x14ac:dyDescent="0.25">
      <c r="E4706" s="4"/>
      <c r="M4706" s="4">
        <f t="shared" si="1025"/>
        <v>173.1</v>
      </c>
      <c r="N4706" s="4"/>
      <c r="O4706" s="1">
        <f t="shared" si="1026"/>
        <v>173.1</v>
      </c>
      <c r="P4706" s="1">
        <f t="shared" si="1027"/>
        <v>0</v>
      </c>
      <c r="Q4706" s="1" t="str">
        <f t="shared" si="1024"/>
        <v/>
      </c>
      <c r="R4706" s="1" t="str">
        <f t="shared" si="1028"/>
        <v/>
      </c>
      <c r="S4706" s="1">
        <f t="shared" si="1029"/>
        <v>630.90240000000244</v>
      </c>
      <c r="T4706" s="1">
        <f t="shared" si="1030"/>
        <v>0</v>
      </c>
      <c r="U4706" s="1">
        <f t="shared" si="1031"/>
        <v>0</v>
      </c>
      <c r="V4706" s="1">
        <f t="shared" si="1032"/>
        <v>0</v>
      </c>
    </row>
    <row r="4707" spans="5:22" x14ac:dyDescent="0.25">
      <c r="E4707" s="4"/>
      <c r="M4707" s="4">
        <f t="shared" si="1025"/>
        <v>173.1</v>
      </c>
      <c r="N4707" s="4"/>
      <c r="O4707" s="1">
        <f t="shared" si="1026"/>
        <v>173.1</v>
      </c>
      <c r="P4707" s="1">
        <f t="shared" si="1027"/>
        <v>0</v>
      </c>
      <c r="Q4707" s="1" t="str">
        <f t="shared" si="1024"/>
        <v/>
      </c>
      <c r="R4707" s="1" t="str">
        <f t="shared" si="1028"/>
        <v/>
      </c>
      <c r="S4707" s="1">
        <f t="shared" si="1029"/>
        <v>630.90240000000244</v>
      </c>
      <c r="T4707" s="1">
        <f t="shared" si="1030"/>
        <v>0</v>
      </c>
      <c r="U4707" s="1">
        <f t="shared" si="1031"/>
        <v>0</v>
      </c>
      <c r="V4707" s="1">
        <f t="shared" si="1032"/>
        <v>0</v>
      </c>
    </row>
    <row r="4708" spans="5:22" x14ac:dyDescent="0.25">
      <c r="E4708" s="4"/>
      <c r="M4708" s="4">
        <f t="shared" si="1025"/>
        <v>173.1</v>
      </c>
      <c r="N4708" s="4"/>
      <c r="O4708" s="1">
        <f t="shared" si="1026"/>
        <v>173.1</v>
      </c>
      <c r="P4708" s="1">
        <f t="shared" si="1027"/>
        <v>0</v>
      </c>
      <c r="Q4708" s="1" t="str">
        <f t="shared" si="1024"/>
        <v/>
      </c>
      <c r="R4708" s="1" t="str">
        <f t="shared" si="1028"/>
        <v/>
      </c>
      <c r="S4708" s="1">
        <f t="shared" si="1029"/>
        <v>630.90240000000244</v>
      </c>
      <c r="T4708" s="1">
        <f t="shared" si="1030"/>
        <v>0</v>
      </c>
      <c r="U4708" s="1">
        <f t="shared" si="1031"/>
        <v>0</v>
      </c>
      <c r="V4708" s="1">
        <f t="shared" si="1032"/>
        <v>0</v>
      </c>
    </row>
    <row r="4709" spans="5:22" x14ac:dyDescent="0.25">
      <c r="E4709" s="4"/>
      <c r="M4709" s="4">
        <f t="shared" si="1025"/>
        <v>173.1</v>
      </c>
      <c r="N4709" s="4"/>
      <c r="O4709" s="1">
        <f t="shared" si="1026"/>
        <v>173.1</v>
      </c>
      <c r="P4709" s="1">
        <f t="shared" si="1027"/>
        <v>0</v>
      </c>
      <c r="Q4709" s="1" t="str">
        <f t="shared" si="1024"/>
        <v/>
      </c>
      <c r="R4709" s="1" t="str">
        <f t="shared" si="1028"/>
        <v/>
      </c>
      <c r="S4709" s="1">
        <f t="shared" si="1029"/>
        <v>630.90240000000244</v>
      </c>
      <c r="T4709" s="1">
        <f t="shared" si="1030"/>
        <v>0</v>
      </c>
      <c r="U4709" s="1">
        <f t="shared" si="1031"/>
        <v>0</v>
      </c>
      <c r="V4709" s="1">
        <f t="shared" si="1032"/>
        <v>0</v>
      </c>
    </row>
    <row r="4710" spans="5:22" x14ac:dyDescent="0.25">
      <c r="E4710" s="4"/>
      <c r="M4710" s="4">
        <f t="shared" si="1025"/>
        <v>173.1</v>
      </c>
      <c r="N4710" s="4"/>
      <c r="O4710" s="1">
        <f t="shared" si="1026"/>
        <v>173.1</v>
      </c>
      <c r="P4710" s="1">
        <f t="shared" si="1027"/>
        <v>0</v>
      </c>
      <c r="Q4710" s="1" t="str">
        <f t="shared" si="1024"/>
        <v/>
      </c>
      <c r="R4710" s="1" t="str">
        <f t="shared" si="1028"/>
        <v/>
      </c>
      <c r="S4710" s="1">
        <f t="shared" si="1029"/>
        <v>630.90240000000244</v>
      </c>
      <c r="T4710" s="1">
        <f t="shared" si="1030"/>
        <v>0</v>
      </c>
      <c r="U4710" s="1">
        <f t="shared" si="1031"/>
        <v>0</v>
      </c>
      <c r="V4710" s="1">
        <f t="shared" si="1032"/>
        <v>0</v>
      </c>
    </row>
    <row r="4711" spans="5:22" x14ac:dyDescent="0.25">
      <c r="E4711" s="4"/>
      <c r="M4711" s="4">
        <f t="shared" si="1025"/>
        <v>173.1</v>
      </c>
      <c r="N4711" s="4"/>
      <c r="O4711" s="1">
        <f t="shared" si="1026"/>
        <v>173.1</v>
      </c>
      <c r="P4711" s="1">
        <f t="shared" si="1027"/>
        <v>0</v>
      </c>
      <c r="Q4711" s="1" t="str">
        <f t="shared" si="1024"/>
        <v/>
      </c>
      <c r="R4711" s="1" t="str">
        <f t="shared" si="1028"/>
        <v/>
      </c>
      <c r="S4711" s="1">
        <f t="shared" si="1029"/>
        <v>630.90240000000244</v>
      </c>
      <c r="T4711" s="1">
        <f t="shared" si="1030"/>
        <v>0</v>
      </c>
      <c r="U4711" s="1">
        <f t="shared" si="1031"/>
        <v>0</v>
      </c>
      <c r="V4711" s="1">
        <f t="shared" si="1032"/>
        <v>0</v>
      </c>
    </row>
    <row r="4712" spans="5:22" x14ac:dyDescent="0.25">
      <c r="E4712" s="4"/>
      <c r="M4712" s="4">
        <f t="shared" si="1025"/>
        <v>173.1</v>
      </c>
      <c r="N4712" s="4"/>
      <c r="O4712" s="1">
        <f t="shared" si="1026"/>
        <v>173.1</v>
      </c>
      <c r="P4712" s="1">
        <f t="shared" si="1027"/>
        <v>0</v>
      </c>
      <c r="Q4712" s="1" t="str">
        <f t="shared" si="1024"/>
        <v/>
      </c>
      <c r="R4712" s="1" t="str">
        <f t="shared" si="1028"/>
        <v/>
      </c>
      <c r="S4712" s="1">
        <f t="shared" si="1029"/>
        <v>630.90240000000244</v>
      </c>
      <c r="T4712" s="1">
        <f t="shared" si="1030"/>
        <v>0</v>
      </c>
      <c r="U4712" s="1">
        <f t="shared" si="1031"/>
        <v>0</v>
      </c>
      <c r="V4712" s="1">
        <f t="shared" si="1032"/>
        <v>0</v>
      </c>
    </row>
    <row r="4713" spans="5:22" x14ac:dyDescent="0.25">
      <c r="E4713" s="4"/>
      <c r="M4713" s="4">
        <f t="shared" si="1025"/>
        <v>173.1</v>
      </c>
      <c r="N4713" s="4"/>
      <c r="O4713" s="1">
        <f t="shared" si="1026"/>
        <v>173.1</v>
      </c>
      <c r="P4713" s="1">
        <f t="shared" si="1027"/>
        <v>0</v>
      </c>
      <c r="Q4713" s="1" t="str">
        <f t="shared" si="1024"/>
        <v/>
      </c>
      <c r="R4713" s="1" t="str">
        <f t="shared" si="1028"/>
        <v/>
      </c>
      <c r="S4713" s="1">
        <f t="shared" si="1029"/>
        <v>630.90240000000244</v>
      </c>
      <c r="T4713" s="1">
        <f t="shared" si="1030"/>
        <v>0</v>
      </c>
      <c r="U4713" s="1">
        <f t="shared" si="1031"/>
        <v>0</v>
      </c>
      <c r="V4713" s="1">
        <f t="shared" si="1032"/>
        <v>0</v>
      </c>
    </row>
    <row r="4714" spans="5:22" x14ac:dyDescent="0.25">
      <c r="E4714" s="4"/>
      <c r="M4714" s="4">
        <f t="shared" si="1025"/>
        <v>173.1</v>
      </c>
      <c r="N4714" s="4"/>
      <c r="O4714" s="1">
        <f t="shared" si="1026"/>
        <v>173.1</v>
      </c>
      <c r="P4714" s="1">
        <f t="shared" si="1027"/>
        <v>0</v>
      </c>
      <c r="Q4714" s="1" t="str">
        <f t="shared" si="1024"/>
        <v/>
      </c>
      <c r="R4714" s="1" t="str">
        <f t="shared" si="1028"/>
        <v/>
      </c>
      <c r="S4714" s="1">
        <f t="shared" si="1029"/>
        <v>630.90240000000244</v>
      </c>
      <c r="T4714" s="1">
        <f t="shared" si="1030"/>
        <v>0</v>
      </c>
      <c r="U4714" s="1">
        <f t="shared" si="1031"/>
        <v>0</v>
      </c>
      <c r="V4714" s="1">
        <f t="shared" si="1032"/>
        <v>0</v>
      </c>
    </row>
    <row r="4715" spans="5:22" x14ac:dyDescent="0.25">
      <c r="E4715" s="4"/>
      <c r="M4715" s="4">
        <f t="shared" si="1025"/>
        <v>173.1</v>
      </c>
      <c r="N4715" s="4"/>
      <c r="O4715" s="1">
        <f t="shared" si="1026"/>
        <v>173.1</v>
      </c>
      <c r="P4715" s="1">
        <f t="shared" si="1027"/>
        <v>0</v>
      </c>
      <c r="Q4715" s="1" t="str">
        <f t="shared" si="1024"/>
        <v/>
      </c>
      <c r="R4715" s="1" t="str">
        <f t="shared" si="1028"/>
        <v/>
      </c>
      <c r="S4715" s="1">
        <f t="shared" si="1029"/>
        <v>630.90240000000244</v>
      </c>
      <c r="T4715" s="1">
        <f t="shared" si="1030"/>
        <v>0</v>
      </c>
      <c r="U4715" s="1">
        <f t="shared" si="1031"/>
        <v>0</v>
      </c>
      <c r="V4715" s="1">
        <f t="shared" si="1032"/>
        <v>0</v>
      </c>
    </row>
    <row r="4716" spans="5:22" x14ac:dyDescent="0.25">
      <c r="E4716" s="4"/>
      <c r="M4716" s="4">
        <f t="shared" si="1025"/>
        <v>173.1</v>
      </c>
      <c r="N4716" s="4"/>
      <c r="O4716" s="1">
        <f t="shared" si="1026"/>
        <v>173.1</v>
      </c>
      <c r="P4716" s="1">
        <f t="shared" si="1027"/>
        <v>0</v>
      </c>
      <c r="Q4716" s="1" t="str">
        <f t="shared" si="1024"/>
        <v/>
      </c>
      <c r="R4716" s="1" t="str">
        <f t="shared" si="1028"/>
        <v/>
      </c>
      <c r="S4716" s="1">
        <f t="shared" si="1029"/>
        <v>630.90240000000244</v>
      </c>
      <c r="T4716" s="1">
        <f t="shared" si="1030"/>
        <v>0</v>
      </c>
      <c r="U4716" s="1">
        <f t="shared" si="1031"/>
        <v>0</v>
      </c>
      <c r="V4716" s="1">
        <f t="shared" si="1032"/>
        <v>0</v>
      </c>
    </row>
    <row r="4717" spans="5:22" x14ac:dyDescent="0.25">
      <c r="E4717" s="4"/>
      <c r="M4717" s="4">
        <f t="shared" si="1025"/>
        <v>173.1</v>
      </c>
      <c r="N4717" s="4"/>
      <c r="O4717" s="1">
        <f t="shared" si="1026"/>
        <v>173.1</v>
      </c>
      <c r="P4717" s="1">
        <f t="shared" si="1027"/>
        <v>0</v>
      </c>
      <c r="Q4717" s="1" t="str">
        <f t="shared" si="1024"/>
        <v/>
      </c>
      <c r="R4717" s="1" t="str">
        <f t="shared" si="1028"/>
        <v/>
      </c>
      <c r="S4717" s="1">
        <f t="shared" si="1029"/>
        <v>630.90240000000244</v>
      </c>
      <c r="T4717" s="1">
        <f t="shared" si="1030"/>
        <v>0</v>
      </c>
      <c r="U4717" s="1">
        <f t="shared" si="1031"/>
        <v>0</v>
      </c>
      <c r="V4717" s="1">
        <f t="shared" si="1032"/>
        <v>0</v>
      </c>
    </row>
    <row r="4718" spans="5:22" x14ac:dyDescent="0.25">
      <c r="E4718" s="4"/>
      <c r="M4718" s="4">
        <f t="shared" si="1025"/>
        <v>173.1</v>
      </c>
      <c r="N4718" s="4"/>
      <c r="O4718" s="1">
        <f t="shared" si="1026"/>
        <v>173.1</v>
      </c>
      <c r="P4718" s="1">
        <f t="shared" si="1027"/>
        <v>0</v>
      </c>
      <c r="Q4718" s="1" t="str">
        <f t="shared" si="1024"/>
        <v/>
      </c>
      <c r="R4718" s="1" t="str">
        <f t="shared" si="1028"/>
        <v/>
      </c>
      <c r="S4718" s="1">
        <f t="shared" si="1029"/>
        <v>630.90240000000244</v>
      </c>
      <c r="T4718" s="1">
        <f t="shared" si="1030"/>
        <v>0</v>
      </c>
      <c r="U4718" s="1">
        <f t="shared" si="1031"/>
        <v>0</v>
      </c>
      <c r="V4718" s="1">
        <f t="shared" si="1032"/>
        <v>0</v>
      </c>
    </row>
    <row r="4719" spans="5:22" x14ac:dyDescent="0.25">
      <c r="E4719" s="4"/>
      <c r="M4719" s="4">
        <f t="shared" si="1025"/>
        <v>173.1</v>
      </c>
      <c r="N4719" s="4"/>
      <c r="O4719" s="1">
        <f t="shared" si="1026"/>
        <v>173.1</v>
      </c>
      <c r="P4719" s="1">
        <f t="shared" si="1027"/>
        <v>0</v>
      </c>
      <c r="Q4719" s="1" t="str">
        <f t="shared" si="1024"/>
        <v/>
      </c>
      <c r="R4719" s="1" t="str">
        <f t="shared" si="1028"/>
        <v/>
      </c>
      <c r="S4719" s="1">
        <f t="shared" si="1029"/>
        <v>630.90240000000244</v>
      </c>
      <c r="T4719" s="1">
        <f t="shared" si="1030"/>
        <v>0</v>
      </c>
      <c r="U4719" s="1">
        <f t="shared" si="1031"/>
        <v>0</v>
      </c>
      <c r="V4719" s="1">
        <f t="shared" si="1032"/>
        <v>0</v>
      </c>
    </row>
    <row r="4720" spans="5:22" x14ac:dyDescent="0.25">
      <c r="E4720" s="4"/>
      <c r="M4720" s="4">
        <f t="shared" si="1025"/>
        <v>173.1</v>
      </c>
      <c r="N4720" s="4"/>
      <c r="O4720" s="1">
        <f t="shared" si="1026"/>
        <v>173.1</v>
      </c>
      <c r="P4720" s="1">
        <f t="shared" si="1027"/>
        <v>0</v>
      </c>
      <c r="Q4720" s="1" t="str">
        <f t="shared" si="1024"/>
        <v/>
      </c>
      <c r="R4720" s="1" t="str">
        <f t="shared" si="1028"/>
        <v/>
      </c>
      <c r="S4720" s="1">
        <f t="shared" si="1029"/>
        <v>630.90240000000244</v>
      </c>
      <c r="T4720" s="1">
        <f t="shared" si="1030"/>
        <v>0</v>
      </c>
      <c r="U4720" s="1">
        <f t="shared" si="1031"/>
        <v>0</v>
      </c>
      <c r="V4720" s="1">
        <f t="shared" si="1032"/>
        <v>0</v>
      </c>
    </row>
    <row r="4721" spans="5:22" x14ac:dyDescent="0.25">
      <c r="E4721" s="4"/>
      <c r="M4721" s="4">
        <f t="shared" si="1025"/>
        <v>173.1</v>
      </c>
      <c r="N4721" s="4"/>
      <c r="O4721" s="1">
        <f t="shared" si="1026"/>
        <v>173.1</v>
      </c>
      <c r="P4721" s="1">
        <f t="shared" si="1027"/>
        <v>0</v>
      </c>
      <c r="Q4721" s="1" t="str">
        <f t="shared" si="1024"/>
        <v/>
      </c>
      <c r="R4721" s="1" t="str">
        <f t="shared" si="1028"/>
        <v/>
      </c>
      <c r="S4721" s="1">
        <f t="shared" si="1029"/>
        <v>630.90240000000244</v>
      </c>
      <c r="T4721" s="1">
        <f t="shared" si="1030"/>
        <v>0</v>
      </c>
      <c r="U4721" s="1">
        <f t="shared" si="1031"/>
        <v>0</v>
      </c>
      <c r="V4721" s="1">
        <f t="shared" si="1032"/>
        <v>0</v>
      </c>
    </row>
    <row r="4722" spans="5:22" x14ac:dyDescent="0.25">
      <c r="E4722" s="4"/>
      <c r="M4722" s="4">
        <f t="shared" si="1025"/>
        <v>173.1</v>
      </c>
      <c r="N4722" s="4"/>
      <c r="O4722" s="1">
        <f t="shared" si="1026"/>
        <v>173.1</v>
      </c>
      <c r="P4722" s="1">
        <f t="shared" si="1027"/>
        <v>0</v>
      </c>
      <c r="Q4722" s="1" t="str">
        <f t="shared" ref="Q4722:Q4785" si="1033">IF(H4722&lt;&gt;"",IF(H4722=H4721,"",H4722),IF(H4720="","",MAX(H4721,Q4721)))</f>
        <v/>
      </c>
      <c r="R4722" s="1" t="str">
        <f t="shared" si="1028"/>
        <v/>
      </c>
      <c r="S4722" s="1">
        <f t="shared" si="1029"/>
        <v>630.90240000000244</v>
      </c>
      <c r="T4722" s="1">
        <f t="shared" si="1030"/>
        <v>0</v>
      </c>
      <c r="U4722" s="1">
        <f t="shared" si="1031"/>
        <v>0</v>
      </c>
      <c r="V4722" s="1">
        <f t="shared" si="1032"/>
        <v>0</v>
      </c>
    </row>
    <row r="4723" spans="5:22" x14ac:dyDescent="0.25">
      <c r="E4723" s="4"/>
      <c r="M4723" s="4">
        <f t="shared" si="1025"/>
        <v>173.1</v>
      </c>
      <c r="N4723" s="4"/>
      <c r="O4723" s="1">
        <f t="shared" si="1026"/>
        <v>173.1</v>
      </c>
      <c r="P4723" s="1">
        <f t="shared" si="1027"/>
        <v>0</v>
      </c>
      <c r="Q4723" s="1" t="str">
        <f t="shared" si="1033"/>
        <v/>
      </c>
      <c r="R4723" s="1" t="str">
        <f t="shared" si="1028"/>
        <v/>
      </c>
      <c r="S4723" s="1">
        <f t="shared" si="1029"/>
        <v>630.90240000000244</v>
      </c>
      <c r="T4723" s="1">
        <f t="shared" si="1030"/>
        <v>0</v>
      </c>
      <c r="U4723" s="1">
        <f t="shared" si="1031"/>
        <v>0</v>
      </c>
      <c r="V4723" s="1">
        <f t="shared" si="1032"/>
        <v>0</v>
      </c>
    </row>
    <row r="4724" spans="5:22" x14ac:dyDescent="0.25">
      <c r="E4724" s="4"/>
      <c r="M4724" s="4">
        <f t="shared" si="1025"/>
        <v>173.1</v>
      </c>
      <c r="N4724" s="4"/>
      <c r="O4724" s="1">
        <f t="shared" si="1026"/>
        <v>173.1</v>
      </c>
      <c r="P4724" s="1">
        <f t="shared" si="1027"/>
        <v>0</v>
      </c>
      <c r="Q4724" s="1" t="str">
        <f t="shared" si="1033"/>
        <v/>
      </c>
      <c r="R4724" s="1" t="str">
        <f t="shared" si="1028"/>
        <v/>
      </c>
      <c r="S4724" s="1">
        <f t="shared" si="1029"/>
        <v>630.90240000000244</v>
      </c>
      <c r="T4724" s="1">
        <f t="shared" si="1030"/>
        <v>0</v>
      </c>
      <c r="U4724" s="1">
        <f t="shared" si="1031"/>
        <v>0</v>
      </c>
      <c r="V4724" s="1">
        <f t="shared" si="1032"/>
        <v>0</v>
      </c>
    </row>
    <row r="4725" spans="5:22" x14ac:dyDescent="0.25">
      <c r="E4725" s="4"/>
      <c r="M4725" s="4">
        <f t="shared" si="1025"/>
        <v>173.1</v>
      </c>
      <c r="N4725" s="4"/>
      <c r="O4725" s="1">
        <f t="shared" si="1026"/>
        <v>173.1</v>
      </c>
      <c r="P4725" s="1">
        <f t="shared" si="1027"/>
        <v>0</v>
      </c>
      <c r="Q4725" s="1" t="str">
        <f t="shared" si="1033"/>
        <v/>
      </c>
      <c r="R4725" s="1" t="str">
        <f t="shared" si="1028"/>
        <v/>
      </c>
      <c r="S4725" s="1">
        <f t="shared" si="1029"/>
        <v>630.90240000000244</v>
      </c>
      <c r="T4725" s="1">
        <f t="shared" si="1030"/>
        <v>0</v>
      </c>
      <c r="U4725" s="1">
        <f t="shared" si="1031"/>
        <v>0</v>
      </c>
      <c r="V4725" s="1">
        <f t="shared" si="1032"/>
        <v>0</v>
      </c>
    </row>
    <row r="4726" spans="5:22" x14ac:dyDescent="0.25">
      <c r="E4726" s="4"/>
      <c r="M4726" s="4">
        <f t="shared" si="1025"/>
        <v>173.1</v>
      </c>
      <c r="N4726" s="4"/>
      <c r="O4726" s="1">
        <f t="shared" si="1026"/>
        <v>173.1</v>
      </c>
      <c r="P4726" s="1">
        <f t="shared" si="1027"/>
        <v>0</v>
      </c>
      <c r="Q4726" s="1" t="str">
        <f t="shared" si="1033"/>
        <v/>
      </c>
      <c r="R4726" s="1" t="str">
        <f t="shared" si="1028"/>
        <v/>
      </c>
      <c r="S4726" s="1">
        <f t="shared" si="1029"/>
        <v>630.90240000000244</v>
      </c>
      <c r="T4726" s="1">
        <f t="shared" si="1030"/>
        <v>0</v>
      </c>
      <c r="U4726" s="1">
        <f t="shared" si="1031"/>
        <v>0</v>
      </c>
      <c r="V4726" s="1">
        <f t="shared" si="1032"/>
        <v>0</v>
      </c>
    </row>
    <row r="4727" spans="5:22" x14ac:dyDescent="0.25">
      <c r="E4727" s="4"/>
      <c r="M4727" s="4">
        <f t="shared" si="1025"/>
        <v>173.1</v>
      </c>
      <c r="N4727" s="4"/>
      <c r="O4727" s="1">
        <f t="shared" si="1026"/>
        <v>173.1</v>
      </c>
      <c r="P4727" s="1">
        <f t="shared" si="1027"/>
        <v>0</v>
      </c>
      <c r="Q4727" s="1" t="str">
        <f t="shared" si="1033"/>
        <v/>
      </c>
      <c r="R4727" s="1" t="str">
        <f t="shared" si="1028"/>
        <v/>
      </c>
      <c r="S4727" s="1">
        <f t="shared" si="1029"/>
        <v>630.90240000000244</v>
      </c>
      <c r="T4727" s="1">
        <f t="shared" si="1030"/>
        <v>0</v>
      </c>
      <c r="U4727" s="1">
        <f t="shared" si="1031"/>
        <v>0</v>
      </c>
      <c r="V4727" s="1">
        <f t="shared" si="1032"/>
        <v>0</v>
      </c>
    </row>
    <row r="4728" spans="5:22" x14ac:dyDescent="0.25">
      <c r="E4728" s="4"/>
      <c r="M4728" s="4">
        <f t="shared" si="1025"/>
        <v>173.1</v>
      </c>
      <c r="N4728" s="4"/>
      <c r="O4728" s="1">
        <f t="shared" si="1026"/>
        <v>173.1</v>
      </c>
      <c r="P4728" s="1">
        <f t="shared" si="1027"/>
        <v>0</v>
      </c>
      <c r="Q4728" s="1" t="str">
        <f t="shared" si="1033"/>
        <v/>
      </c>
      <c r="R4728" s="1" t="str">
        <f t="shared" si="1028"/>
        <v/>
      </c>
      <c r="S4728" s="1">
        <f t="shared" si="1029"/>
        <v>630.90240000000244</v>
      </c>
      <c r="T4728" s="1">
        <f t="shared" si="1030"/>
        <v>0</v>
      </c>
      <c r="U4728" s="1">
        <f t="shared" si="1031"/>
        <v>0</v>
      </c>
      <c r="V4728" s="1">
        <f t="shared" si="1032"/>
        <v>0</v>
      </c>
    </row>
    <row r="4729" spans="5:22" x14ac:dyDescent="0.25">
      <c r="E4729" s="4"/>
      <c r="M4729" s="4">
        <f t="shared" si="1025"/>
        <v>173.1</v>
      </c>
      <c r="N4729" s="4"/>
      <c r="O4729" s="1">
        <f t="shared" si="1026"/>
        <v>173.1</v>
      </c>
      <c r="P4729" s="1">
        <f t="shared" si="1027"/>
        <v>0</v>
      </c>
      <c r="Q4729" s="1" t="str">
        <f t="shared" si="1033"/>
        <v/>
      </c>
      <c r="R4729" s="1" t="str">
        <f t="shared" si="1028"/>
        <v/>
      </c>
      <c r="S4729" s="1">
        <f t="shared" si="1029"/>
        <v>630.90240000000244</v>
      </c>
      <c r="T4729" s="1">
        <f t="shared" si="1030"/>
        <v>0</v>
      </c>
      <c r="U4729" s="1">
        <f t="shared" si="1031"/>
        <v>0</v>
      </c>
      <c r="V4729" s="1">
        <f t="shared" si="1032"/>
        <v>0</v>
      </c>
    </row>
    <row r="4730" spans="5:22" x14ac:dyDescent="0.25">
      <c r="E4730" s="4"/>
      <c r="M4730" s="4">
        <f t="shared" si="1025"/>
        <v>173.1</v>
      </c>
      <c r="N4730" s="4"/>
      <c r="O4730" s="1">
        <f t="shared" si="1026"/>
        <v>173.1</v>
      </c>
      <c r="P4730" s="1">
        <f t="shared" si="1027"/>
        <v>0</v>
      </c>
      <c r="Q4730" s="1" t="str">
        <f t="shared" si="1033"/>
        <v/>
      </c>
      <c r="R4730" s="1" t="str">
        <f t="shared" si="1028"/>
        <v/>
      </c>
      <c r="S4730" s="1">
        <f t="shared" si="1029"/>
        <v>630.90240000000244</v>
      </c>
      <c r="T4730" s="1">
        <f t="shared" si="1030"/>
        <v>0</v>
      </c>
      <c r="U4730" s="1">
        <f t="shared" si="1031"/>
        <v>0</v>
      </c>
      <c r="V4730" s="1">
        <f t="shared" si="1032"/>
        <v>0</v>
      </c>
    </row>
    <row r="4731" spans="5:22" x14ac:dyDescent="0.25">
      <c r="E4731" s="4"/>
      <c r="M4731" s="4">
        <f t="shared" si="1025"/>
        <v>173.1</v>
      </c>
      <c r="N4731" s="4"/>
      <c r="O4731" s="1">
        <f t="shared" si="1026"/>
        <v>173.1</v>
      </c>
      <c r="P4731" s="1">
        <f t="shared" si="1027"/>
        <v>0</v>
      </c>
      <c r="Q4731" s="1" t="str">
        <f t="shared" si="1033"/>
        <v/>
      </c>
      <c r="R4731" s="1" t="str">
        <f t="shared" si="1028"/>
        <v/>
      </c>
      <c r="S4731" s="1">
        <f t="shared" si="1029"/>
        <v>630.90240000000244</v>
      </c>
      <c r="T4731" s="1">
        <f t="shared" si="1030"/>
        <v>0</v>
      </c>
      <c r="U4731" s="1">
        <f t="shared" si="1031"/>
        <v>0</v>
      </c>
      <c r="V4731" s="1">
        <f t="shared" si="1032"/>
        <v>0</v>
      </c>
    </row>
    <row r="4732" spans="5:22" x14ac:dyDescent="0.25">
      <c r="E4732" s="4"/>
      <c r="M4732" s="4">
        <f t="shared" si="1025"/>
        <v>173.1</v>
      </c>
      <c r="N4732" s="4"/>
      <c r="O4732" s="1">
        <f t="shared" si="1026"/>
        <v>173.1</v>
      </c>
      <c r="P4732" s="1">
        <f t="shared" si="1027"/>
        <v>0</v>
      </c>
      <c r="Q4732" s="1" t="str">
        <f t="shared" si="1033"/>
        <v/>
      </c>
      <c r="R4732" s="1" t="str">
        <f t="shared" si="1028"/>
        <v/>
      </c>
      <c r="S4732" s="1">
        <f t="shared" si="1029"/>
        <v>630.90240000000244</v>
      </c>
      <c r="T4732" s="1">
        <f t="shared" si="1030"/>
        <v>0</v>
      </c>
      <c r="U4732" s="1">
        <f t="shared" si="1031"/>
        <v>0</v>
      </c>
      <c r="V4732" s="1">
        <f t="shared" si="1032"/>
        <v>0</v>
      </c>
    </row>
    <row r="4733" spans="5:22" x14ac:dyDescent="0.25">
      <c r="E4733" s="4"/>
      <c r="M4733" s="4">
        <f t="shared" si="1025"/>
        <v>173.1</v>
      </c>
      <c r="N4733" s="4"/>
      <c r="O4733" s="1">
        <f t="shared" si="1026"/>
        <v>173.1</v>
      </c>
      <c r="P4733" s="1">
        <f t="shared" si="1027"/>
        <v>0</v>
      </c>
      <c r="Q4733" s="1" t="str">
        <f t="shared" si="1033"/>
        <v/>
      </c>
      <c r="R4733" s="1" t="str">
        <f t="shared" si="1028"/>
        <v/>
      </c>
      <c r="S4733" s="1">
        <f t="shared" si="1029"/>
        <v>630.90240000000244</v>
      </c>
      <c r="T4733" s="1">
        <f t="shared" si="1030"/>
        <v>0</v>
      </c>
      <c r="U4733" s="1">
        <f t="shared" si="1031"/>
        <v>0</v>
      </c>
      <c r="V4733" s="1">
        <f t="shared" si="1032"/>
        <v>0</v>
      </c>
    </row>
    <row r="4734" spans="5:22" x14ac:dyDescent="0.25">
      <c r="E4734" s="4"/>
      <c r="M4734" s="4">
        <f t="shared" si="1025"/>
        <v>173.1</v>
      </c>
      <c r="N4734" s="4"/>
      <c r="O4734" s="1">
        <f t="shared" si="1026"/>
        <v>173.1</v>
      </c>
      <c r="P4734" s="1">
        <f t="shared" si="1027"/>
        <v>0</v>
      </c>
      <c r="Q4734" s="1" t="str">
        <f t="shared" si="1033"/>
        <v/>
      </c>
      <c r="R4734" s="1" t="str">
        <f t="shared" si="1028"/>
        <v/>
      </c>
      <c r="S4734" s="1">
        <f t="shared" si="1029"/>
        <v>630.90240000000244</v>
      </c>
      <c r="T4734" s="1">
        <f t="shared" si="1030"/>
        <v>0</v>
      </c>
      <c r="U4734" s="1">
        <f t="shared" si="1031"/>
        <v>0</v>
      </c>
      <c r="V4734" s="1">
        <f t="shared" si="1032"/>
        <v>0</v>
      </c>
    </row>
    <row r="4735" spans="5:22" x14ac:dyDescent="0.25">
      <c r="E4735" s="4"/>
      <c r="M4735" s="4">
        <f t="shared" si="1025"/>
        <v>173.1</v>
      </c>
      <c r="N4735" s="4"/>
      <c r="O4735" s="1">
        <f t="shared" si="1026"/>
        <v>173.1</v>
      </c>
      <c r="P4735" s="1">
        <f t="shared" si="1027"/>
        <v>0</v>
      </c>
      <c r="Q4735" s="1" t="str">
        <f t="shared" si="1033"/>
        <v/>
      </c>
      <c r="R4735" s="1" t="str">
        <f t="shared" si="1028"/>
        <v/>
      </c>
      <c r="S4735" s="1">
        <f t="shared" si="1029"/>
        <v>630.90240000000244</v>
      </c>
      <c r="T4735" s="1">
        <f t="shared" si="1030"/>
        <v>0</v>
      </c>
      <c r="U4735" s="1">
        <f t="shared" si="1031"/>
        <v>0</v>
      </c>
      <c r="V4735" s="1">
        <f t="shared" si="1032"/>
        <v>0</v>
      </c>
    </row>
    <row r="4736" spans="5:22" x14ac:dyDescent="0.25">
      <c r="E4736" s="4"/>
      <c r="M4736" s="4">
        <f t="shared" si="1025"/>
        <v>173.1</v>
      </c>
      <c r="N4736" s="4"/>
      <c r="O4736" s="1">
        <f t="shared" si="1026"/>
        <v>173.1</v>
      </c>
      <c r="P4736" s="1">
        <f t="shared" si="1027"/>
        <v>0</v>
      </c>
      <c r="Q4736" s="1" t="str">
        <f t="shared" si="1033"/>
        <v/>
      </c>
      <c r="R4736" s="1" t="str">
        <f t="shared" si="1028"/>
        <v/>
      </c>
      <c r="S4736" s="1">
        <f t="shared" si="1029"/>
        <v>630.90240000000244</v>
      </c>
      <c r="T4736" s="1">
        <f t="shared" si="1030"/>
        <v>0</v>
      </c>
      <c r="U4736" s="1">
        <f t="shared" si="1031"/>
        <v>0</v>
      </c>
      <c r="V4736" s="1">
        <f t="shared" si="1032"/>
        <v>0</v>
      </c>
    </row>
    <row r="4737" spans="5:22" x14ac:dyDescent="0.25">
      <c r="E4737" s="4"/>
      <c r="M4737" s="4">
        <f t="shared" si="1025"/>
        <v>173.1</v>
      </c>
      <c r="N4737" s="4"/>
      <c r="O4737" s="1">
        <f t="shared" si="1026"/>
        <v>173.1</v>
      </c>
      <c r="P4737" s="1">
        <f t="shared" si="1027"/>
        <v>0</v>
      </c>
      <c r="Q4737" s="1" t="str">
        <f t="shared" si="1033"/>
        <v/>
      </c>
      <c r="R4737" s="1" t="str">
        <f t="shared" si="1028"/>
        <v/>
      </c>
      <c r="S4737" s="1">
        <f t="shared" si="1029"/>
        <v>630.90240000000244</v>
      </c>
      <c r="T4737" s="1">
        <f t="shared" si="1030"/>
        <v>0</v>
      </c>
      <c r="U4737" s="1">
        <f t="shared" si="1031"/>
        <v>0</v>
      </c>
      <c r="V4737" s="1">
        <f t="shared" si="1032"/>
        <v>0</v>
      </c>
    </row>
    <row r="4738" spans="5:22" x14ac:dyDescent="0.25">
      <c r="E4738" s="4"/>
      <c r="M4738" s="4">
        <f t="shared" si="1025"/>
        <v>173.1</v>
      </c>
      <c r="N4738" s="4"/>
      <c r="O4738" s="1">
        <f t="shared" si="1026"/>
        <v>173.1</v>
      </c>
      <c r="P4738" s="1">
        <f t="shared" si="1027"/>
        <v>0</v>
      </c>
      <c r="Q4738" s="1" t="str">
        <f t="shared" si="1033"/>
        <v/>
      </c>
      <c r="R4738" s="1" t="str">
        <f t="shared" si="1028"/>
        <v/>
      </c>
      <c r="S4738" s="1">
        <f t="shared" si="1029"/>
        <v>630.90240000000244</v>
      </c>
      <c r="T4738" s="1">
        <f t="shared" si="1030"/>
        <v>0</v>
      </c>
      <c r="U4738" s="1">
        <f t="shared" si="1031"/>
        <v>0</v>
      </c>
      <c r="V4738" s="1">
        <f t="shared" si="1032"/>
        <v>0</v>
      </c>
    </row>
    <row r="4739" spans="5:22" x14ac:dyDescent="0.25">
      <c r="E4739" s="4"/>
      <c r="M4739" s="4">
        <f t="shared" si="1025"/>
        <v>173.1</v>
      </c>
      <c r="N4739" s="4"/>
      <c r="O4739" s="1">
        <f t="shared" si="1026"/>
        <v>173.1</v>
      </c>
      <c r="P4739" s="1">
        <f t="shared" si="1027"/>
        <v>0</v>
      </c>
      <c r="Q4739" s="1" t="str">
        <f t="shared" si="1033"/>
        <v/>
      </c>
      <c r="R4739" s="1" t="str">
        <f t="shared" si="1028"/>
        <v/>
      </c>
      <c r="S4739" s="1">
        <f t="shared" si="1029"/>
        <v>630.90240000000244</v>
      </c>
      <c r="T4739" s="1">
        <f t="shared" si="1030"/>
        <v>0</v>
      </c>
      <c r="U4739" s="1">
        <f t="shared" si="1031"/>
        <v>0</v>
      </c>
      <c r="V4739" s="1">
        <f t="shared" si="1032"/>
        <v>0</v>
      </c>
    </row>
    <row r="4740" spans="5:22" x14ac:dyDescent="0.25">
      <c r="E4740" s="4"/>
      <c r="M4740" s="4">
        <f t="shared" si="1025"/>
        <v>173.1</v>
      </c>
      <c r="N4740" s="4"/>
      <c r="O4740" s="1">
        <f t="shared" si="1026"/>
        <v>173.1</v>
      </c>
      <c r="P4740" s="1">
        <f t="shared" si="1027"/>
        <v>0</v>
      </c>
      <c r="Q4740" s="1" t="str">
        <f t="shared" si="1033"/>
        <v/>
      </c>
      <c r="R4740" s="1" t="str">
        <f t="shared" si="1028"/>
        <v/>
      </c>
      <c r="S4740" s="1">
        <f t="shared" si="1029"/>
        <v>630.90240000000244</v>
      </c>
      <c r="T4740" s="1">
        <f t="shared" si="1030"/>
        <v>0</v>
      </c>
      <c r="U4740" s="1">
        <f t="shared" si="1031"/>
        <v>0</v>
      </c>
      <c r="V4740" s="1">
        <f t="shared" si="1032"/>
        <v>0</v>
      </c>
    </row>
    <row r="4741" spans="5:22" x14ac:dyDescent="0.25">
      <c r="E4741" s="4"/>
      <c r="M4741" s="4">
        <f t="shared" si="1025"/>
        <v>173.1</v>
      </c>
      <c r="N4741" s="4"/>
      <c r="O4741" s="1">
        <f t="shared" si="1026"/>
        <v>173.1</v>
      </c>
      <c r="P4741" s="1">
        <f t="shared" si="1027"/>
        <v>0</v>
      </c>
      <c r="Q4741" s="1" t="str">
        <f t="shared" si="1033"/>
        <v/>
      </c>
      <c r="R4741" s="1" t="str">
        <f t="shared" si="1028"/>
        <v/>
      </c>
      <c r="S4741" s="1">
        <f t="shared" si="1029"/>
        <v>630.90240000000244</v>
      </c>
      <c r="T4741" s="1">
        <f t="shared" si="1030"/>
        <v>0</v>
      </c>
      <c r="U4741" s="1">
        <f t="shared" si="1031"/>
        <v>0</v>
      </c>
      <c r="V4741" s="1">
        <f t="shared" si="1032"/>
        <v>0</v>
      </c>
    </row>
    <row r="4742" spans="5:22" x14ac:dyDescent="0.25">
      <c r="E4742" s="4"/>
      <c r="M4742" s="4">
        <f t="shared" si="1025"/>
        <v>173.1</v>
      </c>
      <c r="N4742" s="4"/>
      <c r="O4742" s="1">
        <f t="shared" si="1026"/>
        <v>173.1</v>
      </c>
      <c r="P4742" s="1">
        <f t="shared" si="1027"/>
        <v>0</v>
      </c>
      <c r="Q4742" s="1" t="str">
        <f t="shared" si="1033"/>
        <v/>
      </c>
      <c r="R4742" s="1" t="str">
        <f t="shared" si="1028"/>
        <v/>
      </c>
      <c r="S4742" s="1">
        <f t="shared" si="1029"/>
        <v>630.90240000000244</v>
      </c>
      <c r="T4742" s="1">
        <f t="shared" si="1030"/>
        <v>0</v>
      </c>
      <c r="U4742" s="1">
        <f t="shared" si="1031"/>
        <v>0</v>
      </c>
      <c r="V4742" s="1">
        <f t="shared" si="1032"/>
        <v>0</v>
      </c>
    </row>
    <row r="4743" spans="5:22" x14ac:dyDescent="0.25">
      <c r="E4743" s="4"/>
      <c r="M4743" s="4">
        <f t="shared" si="1025"/>
        <v>173.1</v>
      </c>
      <c r="N4743" s="4"/>
      <c r="O4743" s="1">
        <f t="shared" si="1026"/>
        <v>173.1</v>
      </c>
      <c r="P4743" s="1">
        <f t="shared" si="1027"/>
        <v>0</v>
      </c>
      <c r="Q4743" s="1" t="str">
        <f t="shared" si="1033"/>
        <v/>
      </c>
      <c r="R4743" s="1" t="str">
        <f t="shared" si="1028"/>
        <v/>
      </c>
      <c r="S4743" s="1">
        <f t="shared" si="1029"/>
        <v>630.90240000000244</v>
      </c>
      <c r="T4743" s="1">
        <f t="shared" si="1030"/>
        <v>0</v>
      </c>
      <c r="U4743" s="1">
        <f t="shared" si="1031"/>
        <v>0</v>
      </c>
      <c r="V4743" s="1">
        <f t="shared" si="1032"/>
        <v>0</v>
      </c>
    </row>
    <row r="4744" spans="5:22" x14ac:dyDescent="0.25">
      <c r="E4744" s="4"/>
      <c r="M4744" s="4">
        <f t="shared" ref="M4744:M4807" si="1034">E4744+M4743</f>
        <v>173.1</v>
      </c>
      <c r="N4744" s="4"/>
      <c r="O4744" s="1">
        <f t="shared" ref="O4744:O4807" si="1035">E4743+O4743</f>
        <v>173.1</v>
      </c>
      <c r="P4744" s="1">
        <f t="shared" ref="P4744:P4807" si="1036">F4744*52.8*E4744</f>
        <v>0</v>
      </c>
      <c r="Q4744" s="1" t="str">
        <f t="shared" si="1033"/>
        <v/>
      </c>
      <c r="R4744" s="1" t="str">
        <f t="shared" ref="R4744:R4807" si="1037">IF(I4744="",Q4744,IF(AND(H4744=H4743,I4744=I4743),"",I4744))</f>
        <v/>
      </c>
      <c r="S4744" s="1">
        <f t="shared" ref="S4744:S4807" si="1038">S4743+U4743*T4743/100</f>
        <v>630.90240000000244</v>
      </c>
      <c r="T4744" s="1">
        <f t="shared" ref="T4744:T4807" si="1039">IF(G4744="UNK",0,G4744)</f>
        <v>0</v>
      </c>
      <c r="U4744" s="1">
        <f t="shared" ref="U4744:U4807" si="1040">E4744*5280</f>
        <v>0</v>
      </c>
      <c r="V4744" s="1">
        <f t="shared" ref="V4744:V4807" si="1041">ABS(T4744*U4744)</f>
        <v>0</v>
      </c>
    </row>
    <row r="4745" spans="5:22" x14ac:dyDescent="0.25">
      <c r="E4745" s="4"/>
      <c r="M4745" s="4">
        <f t="shared" si="1034"/>
        <v>173.1</v>
      </c>
      <c r="N4745" s="4"/>
      <c r="O4745" s="1">
        <f t="shared" si="1035"/>
        <v>173.1</v>
      </c>
      <c r="P4745" s="1">
        <f t="shared" si="1036"/>
        <v>0</v>
      </c>
      <c r="Q4745" s="1" t="str">
        <f t="shared" si="1033"/>
        <v/>
      </c>
      <c r="R4745" s="1" t="str">
        <f t="shared" si="1037"/>
        <v/>
      </c>
      <c r="S4745" s="1">
        <f t="shared" si="1038"/>
        <v>630.90240000000244</v>
      </c>
      <c r="T4745" s="1">
        <f t="shared" si="1039"/>
        <v>0</v>
      </c>
      <c r="U4745" s="1">
        <f t="shared" si="1040"/>
        <v>0</v>
      </c>
      <c r="V4745" s="1">
        <f t="shared" si="1041"/>
        <v>0</v>
      </c>
    </row>
    <row r="4746" spans="5:22" x14ac:dyDescent="0.25">
      <c r="E4746" s="4"/>
      <c r="M4746" s="4">
        <f t="shared" si="1034"/>
        <v>173.1</v>
      </c>
      <c r="N4746" s="4"/>
      <c r="O4746" s="1">
        <f t="shared" si="1035"/>
        <v>173.1</v>
      </c>
      <c r="P4746" s="1">
        <f t="shared" si="1036"/>
        <v>0</v>
      </c>
      <c r="Q4746" s="1" t="str">
        <f t="shared" si="1033"/>
        <v/>
      </c>
      <c r="R4746" s="1" t="str">
        <f t="shared" si="1037"/>
        <v/>
      </c>
      <c r="S4746" s="1">
        <f t="shared" si="1038"/>
        <v>630.90240000000244</v>
      </c>
      <c r="T4746" s="1">
        <f t="shared" si="1039"/>
        <v>0</v>
      </c>
      <c r="U4746" s="1">
        <f t="shared" si="1040"/>
        <v>0</v>
      </c>
      <c r="V4746" s="1">
        <f t="shared" si="1041"/>
        <v>0</v>
      </c>
    </row>
    <row r="4747" spans="5:22" x14ac:dyDescent="0.25">
      <c r="E4747" s="4"/>
      <c r="M4747" s="4">
        <f t="shared" si="1034"/>
        <v>173.1</v>
      </c>
      <c r="N4747" s="4"/>
      <c r="O4747" s="1">
        <f t="shared" si="1035"/>
        <v>173.1</v>
      </c>
      <c r="P4747" s="1">
        <f t="shared" si="1036"/>
        <v>0</v>
      </c>
      <c r="Q4747" s="1" t="str">
        <f t="shared" si="1033"/>
        <v/>
      </c>
      <c r="R4747" s="1" t="str">
        <f t="shared" si="1037"/>
        <v/>
      </c>
      <c r="S4747" s="1">
        <f t="shared" si="1038"/>
        <v>630.90240000000244</v>
      </c>
      <c r="T4747" s="1">
        <f t="shared" si="1039"/>
        <v>0</v>
      </c>
      <c r="U4747" s="1">
        <f t="shared" si="1040"/>
        <v>0</v>
      </c>
      <c r="V4747" s="1">
        <f t="shared" si="1041"/>
        <v>0</v>
      </c>
    </row>
    <row r="4748" spans="5:22" x14ac:dyDescent="0.25">
      <c r="E4748" s="4"/>
      <c r="M4748" s="4">
        <f t="shared" si="1034"/>
        <v>173.1</v>
      </c>
      <c r="N4748" s="4"/>
      <c r="O4748" s="1">
        <f t="shared" si="1035"/>
        <v>173.1</v>
      </c>
      <c r="P4748" s="1">
        <f t="shared" si="1036"/>
        <v>0</v>
      </c>
      <c r="Q4748" s="1" t="str">
        <f t="shared" si="1033"/>
        <v/>
      </c>
      <c r="R4748" s="1" t="str">
        <f t="shared" si="1037"/>
        <v/>
      </c>
      <c r="S4748" s="1">
        <f t="shared" si="1038"/>
        <v>630.90240000000244</v>
      </c>
      <c r="T4748" s="1">
        <f t="shared" si="1039"/>
        <v>0</v>
      </c>
      <c r="U4748" s="1">
        <f t="shared" si="1040"/>
        <v>0</v>
      </c>
      <c r="V4748" s="1">
        <f t="shared" si="1041"/>
        <v>0</v>
      </c>
    </row>
    <row r="4749" spans="5:22" x14ac:dyDescent="0.25">
      <c r="E4749" s="4"/>
      <c r="M4749" s="4">
        <f t="shared" si="1034"/>
        <v>173.1</v>
      </c>
      <c r="N4749" s="4"/>
      <c r="O4749" s="1">
        <f t="shared" si="1035"/>
        <v>173.1</v>
      </c>
      <c r="P4749" s="1">
        <f t="shared" si="1036"/>
        <v>0</v>
      </c>
      <c r="Q4749" s="1" t="str">
        <f t="shared" si="1033"/>
        <v/>
      </c>
      <c r="R4749" s="1" t="str">
        <f t="shared" si="1037"/>
        <v/>
      </c>
      <c r="S4749" s="1">
        <f t="shared" si="1038"/>
        <v>630.90240000000244</v>
      </c>
      <c r="T4749" s="1">
        <f t="shared" si="1039"/>
        <v>0</v>
      </c>
      <c r="U4749" s="1">
        <f t="shared" si="1040"/>
        <v>0</v>
      </c>
      <c r="V4749" s="1">
        <f t="shared" si="1041"/>
        <v>0</v>
      </c>
    </row>
    <row r="4750" spans="5:22" x14ac:dyDescent="0.25">
      <c r="E4750" s="4"/>
      <c r="M4750" s="4">
        <f t="shared" si="1034"/>
        <v>173.1</v>
      </c>
      <c r="N4750" s="4"/>
      <c r="O4750" s="1">
        <f t="shared" si="1035"/>
        <v>173.1</v>
      </c>
      <c r="P4750" s="1">
        <f t="shared" si="1036"/>
        <v>0</v>
      </c>
      <c r="Q4750" s="1" t="str">
        <f t="shared" si="1033"/>
        <v/>
      </c>
      <c r="R4750" s="1" t="str">
        <f t="shared" si="1037"/>
        <v/>
      </c>
      <c r="S4750" s="1">
        <f t="shared" si="1038"/>
        <v>630.90240000000244</v>
      </c>
      <c r="T4750" s="1">
        <f t="shared" si="1039"/>
        <v>0</v>
      </c>
      <c r="U4750" s="1">
        <f t="shared" si="1040"/>
        <v>0</v>
      </c>
      <c r="V4750" s="1">
        <f t="shared" si="1041"/>
        <v>0</v>
      </c>
    </row>
    <row r="4751" spans="5:22" x14ac:dyDescent="0.25">
      <c r="E4751" s="4"/>
      <c r="M4751" s="4">
        <f t="shared" si="1034"/>
        <v>173.1</v>
      </c>
      <c r="N4751" s="4"/>
      <c r="O4751" s="1">
        <f t="shared" si="1035"/>
        <v>173.1</v>
      </c>
      <c r="P4751" s="1">
        <f t="shared" si="1036"/>
        <v>0</v>
      </c>
      <c r="Q4751" s="1" t="str">
        <f t="shared" si="1033"/>
        <v/>
      </c>
      <c r="R4751" s="1" t="str">
        <f t="shared" si="1037"/>
        <v/>
      </c>
      <c r="S4751" s="1">
        <f t="shared" si="1038"/>
        <v>630.90240000000244</v>
      </c>
      <c r="T4751" s="1">
        <f t="shared" si="1039"/>
        <v>0</v>
      </c>
      <c r="U4751" s="1">
        <f t="shared" si="1040"/>
        <v>0</v>
      </c>
      <c r="V4751" s="1">
        <f t="shared" si="1041"/>
        <v>0</v>
      </c>
    </row>
    <row r="4752" spans="5:22" x14ac:dyDescent="0.25">
      <c r="E4752" s="4"/>
      <c r="M4752" s="4">
        <f t="shared" si="1034"/>
        <v>173.1</v>
      </c>
      <c r="N4752" s="4"/>
      <c r="O4752" s="1">
        <f t="shared" si="1035"/>
        <v>173.1</v>
      </c>
      <c r="P4752" s="1">
        <f t="shared" si="1036"/>
        <v>0</v>
      </c>
      <c r="Q4752" s="1" t="str">
        <f t="shared" si="1033"/>
        <v/>
      </c>
      <c r="R4752" s="1" t="str">
        <f t="shared" si="1037"/>
        <v/>
      </c>
      <c r="S4752" s="1">
        <f t="shared" si="1038"/>
        <v>630.90240000000244</v>
      </c>
      <c r="T4752" s="1">
        <f t="shared" si="1039"/>
        <v>0</v>
      </c>
      <c r="U4752" s="1">
        <f t="shared" si="1040"/>
        <v>0</v>
      </c>
      <c r="V4752" s="1">
        <f t="shared" si="1041"/>
        <v>0</v>
      </c>
    </row>
    <row r="4753" spans="5:22" x14ac:dyDescent="0.25">
      <c r="E4753" s="4"/>
      <c r="M4753" s="4">
        <f t="shared" si="1034"/>
        <v>173.1</v>
      </c>
      <c r="N4753" s="4"/>
      <c r="O4753" s="1">
        <f t="shared" si="1035"/>
        <v>173.1</v>
      </c>
      <c r="P4753" s="1">
        <f t="shared" si="1036"/>
        <v>0</v>
      </c>
      <c r="Q4753" s="1" t="str">
        <f t="shared" si="1033"/>
        <v/>
      </c>
      <c r="R4753" s="1" t="str">
        <f t="shared" si="1037"/>
        <v/>
      </c>
      <c r="S4753" s="1">
        <f t="shared" si="1038"/>
        <v>630.90240000000244</v>
      </c>
      <c r="T4753" s="1">
        <f t="shared" si="1039"/>
        <v>0</v>
      </c>
      <c r="U4753" s="1">
        <f t="shared" si="1040"/>
        <v>0</v>
      </c>
      <c r="V4753" s="1">
        <f t="shared" si="1041"/>
        <v>0</v>
      </c>
    </row>
    <row r="4754" spans="5:22" x14ac:dyDescent="0.25">
      <c r="E4754" s="4"/>
      <c r="M4754" s="4">
        <f t="shared" si="1034"/>
        <v>173.1</v>
      </c>
      <c r="N4754" s="4"/>
      <c r="O4754" s="1">
        <f t="shared" si="1035"/>
        <v>173.1</v>
      </c>
      <c r="P4754" s="1">
        <f t="shared" si="1036"/>
        <v>0</v>
      </c>
      <c r="Q4754" s="1" t="str">
        <f t="shared" si="1033"/>
        <v/>
      </c>
      <c r="R4754" s="1" t="str">
        <f t="shared" si="1037"/>
        <v/>
      </c>
      <c r="S4754" s="1">
        <f t="shared" si="1038"/>
        <v>630.90240000000244</v>
      </c>
      <c r="T4754" s="1">
        <f t="shared" si="1039"/>
        <v>0</v>
      </c>
      <c r="U4754" s="1">
        <f t="shared" si="1040"/>
        <v>0</v>
      </c>
      <c r="V4754" s="1">
        <f t="shared" si="1041"/>
        <v>0</v>
      </c>
    </row>
    <row r="4755" spans="5:22" x14ac:dyDescent="0.25">
      <c r="E4755" s="4"/>
      <c r="M4755" s="4">
        <f t="shared" si="1034"/>
        <v>173.1</v>
      </c>
      <c r="N4755" s="4"/>
      <c r="O4755" s="1">
        <f t="shared" si="1035"/>
        <v>173.1</v>
      </c>
      <c r="P4755" s="1">
        <f t="shared" si="1036"/>
        <v>0</v>
      </c>
      <c r="Q4755" s="1" t="str">
        <f t="shared" si="1033"/>
        <v/>
      </c>
      <c r="R4755" s="1" t="str">
        <f t="shared" si="1037"/>
        <v/>
      </c>
      <c r="S4755" s="1">
        <f t="shared" si="1038"/>
        <v>630.90240000000244</v>
      </c>
      <c r="T4755" s="1">
        <f t="shared" si="1039"/>
        <v>0</v>
      </c>
      <c r="U4755" s="1">
        <f t="shared" si="1040"/>
        <v>0</v>
      </c>
      <c r="V4755" s="1">
        <f t="shared" si="1041"/>
        <v>0</v>
      </c>
    </row>
    <row r="4756" spans="5:22" x14ac:dyDescent="0.25">
      <c r="E4756" s="4"/>
      <c r="M4756" s="4">
        <f t="shared" si="1034"/>
        <v>173.1</v>
      </c>
      <c r="N4756" s="4"/>
      <c r="O4756" s="1">
        <f t="shared" si="1035"/>
        <v>173.1</v>
      </c>
      <c r="P4756" s="1">
        <f t="shared" si="1036"/>
        <v>0</v>
      </c>
      <c r="Q4756" s="1" t="str">
        <f t="shared" si="1033"/>
        <v/>
      </c>
      <c r="R4756" s="1" t="str">
        <f t="shared" si="1037"/>
        <v/>
      </c>
      <c r="S4756" s="1">
        <f t="shared" si="1038"/>
        <v>630.90240000000244</v>
      </c>
      <c r="T4756" s="1">
        <f t="shared" si="1039"/>
        <v>0</v>
      </c>
      <c r="U4756" s="1">
        <f t="shared" si="1040"/>
        <v>0</v>
      </c>
      <c r="V4756" s="1">
        <f t="shared" si="1041"/>
        <v>0</v>
      </c>
    </row>
    <row r="4757" spans="5:22" x14ac:dyDescent="0.25">
      <c r="E4757" s="4"/>
      <c r="M4757" s="4">
        <f t="shared" si="1034"/>
        <v>173.1</v>
      </c>
      <c r="N4757" s="4"/>
      <c r="O4757" s="1">
        <f t="shared" si="1035"/>
        <v>173.1</v>
      </c>
      <c r="P4757" s="1">
        <f t="shared" si="1036"/>
        <v>0</v>
      </c>
      <c r="Q4757" s="1" t="str">
        <f t="shared" si="1033"/>
        <v/>
      </c>
      <c r="R4757" s="1" t="str">
        <f t="shared" si="1037"/>
        <v/>
      </c>
      <c r="S4757" s="1">
        <f t="shared" si="1038"/>
        <v>630.90240000000244</v>
      </c>
      <c r="T4757" s="1">
        <f t="shared" si="1039"/>
        <v>0</v>
      </c>
      <c r="U4757" s="1">
        <f t="shared" si="1040"/>
        <v>0</v>
      </c>
      <c r="V4757" s="1">
        <f t="shared" si="1041"/>
        <v>0</v>
      </c>
    </row>
    <row r="4758" spans="5:22" x14ac:dyDescent="0.25">
      <c r="E4758" s="4"/>
      <c r="M4758" s="4">
        <f t="shared" si="1034"/>
        <v>173.1</v>
      </c>
      <c r="N4758" s="4"/>
      <c r="O4758" s="1">
        <f t="shared" si="1035"/>
        <v>173.1</v>
      </c>
      <c r="P4758" s="1">
        <f t="shared" si="1036"/>
        <v>0</v>
      </c>
      <c r="Q4758" s="1" t="str">
        <f t="shared" si="1033"/>
        <v/>
      </c>
      <c r="R4758" s="1" t="str">
        <f t="shared" si="1037"/>
        <v/>
      </c>
      <c r="S4758" s="1">
        <f t="shared" si="1038"/>
        <v>630.90240000000244</v>
      </c>
      <c r="T4758" s="1">
        <f t="shared" si="1039"/>
        <v>0</v>
      </c>
      <c r="U4758" s="1">
        <f t="shared" si="1040"/>
        <v>0</v>
      </c>
      <c r="V4758" s="1">
        <f t="shared" si="1041"/>
        <v>0</v>
      </c>
    </row>
    <row r="4759" spans="5:22" x14ac:dyDescent="0.25">
      <c r="E4759" s="4"/>
      <c r="M4759" s="4">
        <f t="shared" si="1034"/>
        <v>173.1</v>
      </c>
      <c r="N4759" s="4"/>
      <c r="O4759" s="1">
        <f t="shared" si="1035"/>
        <v>173.1</v>
      </c>
      <c r="P4759" s="1">
        <f t="shared" si="1036"/>
        <v>0</v>
      </c>
      <c r="Q4759" s="1" t="str">
        <f t="shared" si="1033"/>
        <v/>
      </c>
      <c r="R4759" s="1" t="str">
        <f t="shared" si="1037"/>
        <v/>
      </c>
      <c r="S4759" s="1">
        <f t="shared" si="1038"/>
        <v>630.90240000000244</v>
      </c>
      <c r="T4759" s="1">
        <f t="shared" si="1039"/>
        <v>0</v>
      </c>
      <c r="U4759" s="1">
        <f t="shared" si="1040"/>
        <v>0</v>
      </c>
      <c r="V4759" s="1">
        <f t="shared" si="1041"/>
        <v>0</v>
      </c>
    </row>
    <row r="4760" spans="5:22" x14ac:dyDescent="0.25">
      <c r="E4760" s="4"/>
      <c r="M4760" s="4">
        <f t="shared" si="1034"/>
        <v>173.1</v>
      </c>
      <c r="N4760" s="4"/>
      <c r="O4760" s="1">
        <f t="shared" si="1035"/>
        <v>173.1</v>
      </c>
      <c r="P4760" s="1">
        <f t="shared" si="1036"/>
        <v>0</v>
      </c>
      <c r="Q4760" s="1" t="str">
        <f t="shared" si="1033"/>
        <v/>
      </c>
      <c r="R4760" s="1" t="str">
        <f t="shared" si="1037"/>
        <v/>
      </c>
      <c r="S4760" s="1">
        <f t="shared" si="1038"/>
        <v>630.90240000000244</v>
      </c>
      <c r="T4760" s="1">
        <f t="shared" si="1039"/>
        <v>0</v>
      </c>
      <c r="U4760" s="1">
        <f t="shared" si="1040"/>
        <v>0</v>
      </c>
      <c r="V4760" s="1">
        <f t="shared" si="1041"/>
        <v>0</v>
      </c>
    </row>
    <row r="4761" spans="5:22" x14ac:dyDescent="0.25">
      <c r="E4761" s="4"/>
      <c r="M4761" s="4">
        <f t="shared" si="1034"/>
        <v>173.1</v>
      </c>
      <c r="N4761" s="4"/>
      <c r="O4761" s="1">
        <f t="shared" si="1035"/>
        <v>173.1</v>
      </c>
      <c r="P4761" s="1">
        <f t="shared" si="1036"/>
        <v>0</v>
      </c>
      <c r="Q4761" s="1" t="str">
        <f t="shared" si="1033"/>
        <v/>
      </c>
      <c r="R4761" s="1" t="str">
        <f t="shared" si="1037"/>
        <v/>
      </c>
      <c r="S4761" s="1">
        <f t="shared" si="1038"/>
        <v>630.90240000000244</v>
      </c>
      <c r="T4761" s="1">
        <f t="shared" si="1039"/>
        <v>0</v>
      </c>
      <c r="U4761" s="1">
        <f t="shared" si="1040"/>
        <v>0</v>
      </c>
      <c r="V4761" s="1">
        <f t="shared" si="1041"/>
        <v>0</v>
      </c>
    </row>
    <row r="4762" spans="5:22" x14ac:dyDescent="0.25">
      <c r="E4762" s="4"/>
      <c r="M4762" s="4">
        <f t="shared" si="1034"/>
        <v>173.1</v>
      </c>
      <c r="N4762" s="4"/>
      <c r="O4762" s="1">
        <f t="shared" si="1035"/>
        <v>173.1</v>
      </c>
      <c r="P4762" s="1">
        <f t="shared" si="1036"/>
        <v>0</v>
      </c>
      <c r="Q4762" s="1" t="str">
        <f t="shared" si="1033"/>
        <v/>
      </c>
      <c r="R4762" s="1" t="str">
        <f t="shared" si="1037"/>
        <v/>
      </c>
      <c r="S4762" s="1">
        <f t="shared" si="1038"/>
        <v>630.90240000000244</v>
      </c>
      <c r="T4762" s="1">
        <f t="shared" si="1039"/>
        <v>0</v>
      </c>
      <c r="U4762" s="1">
        <f t="shared" si="1040"/>
        <v>0</v>
      </c>
      <c r="V4762" s="1">
        <f t="shared" si="1041"/>
        <v>0</v>
      </c>
    </row>
    <row r="4763" spans="5:22" x14ac:dyDescent="0.25">
      <c r="E4763" s="4"/>
      <c r="M4763" s="4">
        <f t="shared" si="1034"/>
        <v>173.1</v>
      </c>
      <c r="N4763" s="4"/>
      <c r="O4763" s="1">
        <f t="shared" si="1035"/>
        <v>173.1</v>
      </c>
      <c r="P4763" s="1">
        <f t="shared" si="1036"/>
        <v>0</v>
      </c>
      <c r="Q4763" s="1" t="str">
        <f t="shared" si="1033"/>
        <v/>
      </c>
      <c r="R4763" s="1" t="str">
        <f t="shared" si="1037"/>
        <v/>
      </c>
      <c r="S4763" s="1">
        <f t="shared" si="1038"/>
        <v>630.90240000000244</v>
      </c>
      <c r="T4763" s="1">
        <f t="shared" si="1039"/>
        <v>0</v>
      </c>
      <c r="U4763" s="1">
        <f t="shared" si="1040"/>
        <v>0</v>
      </c>
      <c r="V4763" s="1">
        <f t="shared" si="1041"/>
        <v>0</v>
      </c>
    </row>
    <row r="4764" spans="5:22" x14ac:dyDescent="0.25">
      <c r="E4764" s="4"/>
      <c r="M4764" s="4">
        <f t="shared" si="1034"/>
        <v>173.1</v>
      </c>
      <c r="N4764" s="4"/>
      <c r="O4764" s="1">
        <f t="shared" si="1035"/>
        <v>173.1</v>
      </c>
      <c r="P4764" s="1">
        <f t="shared" si="1036"/>
        <v>0</v>
      </c>
      <c r="Q4764" s="1" t="str">
        <f t="shared" si="1033"/>
        <v/>
      </c>
      <c r="R4764" s="1" t="str">
        <f t="shared" si="1037"/>
        <v/>
      </c>
      <c r="S4764" s="1">
        <f t="shared" si="1038"/>
        <v>630.90240000000244</v>
      </c>
      <c r="T4764" s="1">
        <f t="shared" si="1039"/>
        <v>0</v>
      </c>
      <c r="U4764" s="1">
        <f t="shared" si="1040"/>
        <v>0</v>
      </c>
      <c r="V4764" s="1">
        <f t="shared" si="1041"/>
        <v>0</v>
      </c>
    </row>
    <row r="4765" spans="5:22" x14ac:dyDescent="0.25">
      <c r="E4765" s="4"/>
      <c r="M4765" s="4">
        <f t="shared" si="1034"/>
        <v>173.1</v>
      </c>
      <c r="N4765" s="4"/>
      <c r="O4765" s="1">
        <f t="shared" si="1035"/>
        <v>173.1</v>
      </c>
      <c r="P4765" s="1">
        <f t="shared" si="1036"/>
        <v>0</v>
      </c>
      <c r="Q4765" s="1" t="str">
        <f t="shared" si="1033"/>
        <v/>
      </c>
      <c r="R4765" s="1" t="str">
        <f t="shared" si="1037"/>
        <v/>
      </c>
      <c r="S4765" s="1">
        <f t="shared" si="1038"/>
        <v>630.90240000000244</v>
      </c>
      <c r="T4765" s="1">
        <f t="shared" si="1039"/>
        <v>0</v>
      </c>
      <c r="U4765" s="1">
        <f t="shared" si="1040"/>
        <v>0</v>
      </c>
      <c r="V4765" s="1">
        <f t="shared" si="1041"/>
        <v>0</v>
      </c>
    </row>
    <row r="4766" spans="5:22" x14ac:dyDescent="0.25">
      <c r="E4766" s="4"/>
      <c r="M4766" s="4">
        <f t="shared" si="1034"/>
        <v>173.1</v>
      </c>
      <c r="N4766" s="4"/>
      <c r="O4766" s="1">
        <f t="shared" si="1035"/>
        <v>173.1</v>
      </c>
      <c r="P4766" s="1">
        <f t="shared" si="1036"/>
        <v>0</v>
      </c>
      <c r="Q4766" s="1" t="str">
        <f t="shared" si="1033"/>
        <v/>
      </c>
      <c r="R4766" s="1" t="str">
        <f t="shared" si="1037"/>
        <v/>
      </c>
      <c r="S4766" s="1">
        <f t="shared" si="1038"/>
        <v>630.90240000000244</v>
      </c>
      <c r="T4766" s="1">
        <f t="shared" si="1039"/>
        <v>0</v>
      </c>
      <c r="U4766" s="1">
        <f t="shared" si="1040"/>
        <v>0</v>
      </c>
      <c r="V4766" s="1">
        <f t="shared" si="1041"/>
        <v>0</v>
      </c>
    </row>
    <row r="4767" spans="5:22" x14ac:dyDescent="0.25">
      <c r="E4767" s="4"/>
      <c r="M4767" s="4">
        <f t="shared" si="1034"/>
        <v>173.1</v>
      </c>
      <c r="N4767" s="4"/>
      <c r="O4767" s="1">
        <f t="shared" si="1035"/>
        <v>173.1</v>
      </c>
      <c r="P4767" s="1">
        <f t="shared" si="1036"/>
        <v>0</v>
      </c>
      <c r="Q4767" s="1" t="str">
        <f t="shared" si="1033"/>
        <v/>
      </c>
      <c r="R4767" s="1" t="str">
        <f t="shared" si="1037"/>
        <v/>
      </c>
      <c r="S4767" s="1">
        <f t="shared" si="1038"/>
        <v>630.90240000000244</v>
      </c>
      <c r="T4767" s="1">
        <f t="shared" si="1039"/>
        <v>0</v>
      </c>
      <c r="U4767" s="1">
        <f t="shared" si="1040"/>
        <v>0</v>
      </c>
      <c r="V4767" s="1">
        <f t="shared" si="1041"/>
        <v>0</v>
      </c>
    </row>
    <row r="4768" spans="5:22" x14ac:dyDescent="0.25">
      <c r="E4768" s="4"/>
      <c r="M4768" s="4">
        <f t="shared" si="1034"/>
        <v>173.1</v>
      </c>
      <c r="N4768" s="4"/>
      <c r="O4768" s="1">
        <f t="shared" si="1035"/>
        <v>173.1</v>
      </c>
      <c r="P4768" s="1">
        <f t="shared" si="1036"/>
        <v>0</v>
      </c>
      <c r="Q4768" s="1" t="str">
        <f t="shared" si="1033"/>
        <v/>
      </c>
      <c r="R4768" s="1" t="str">
        <f t="shared" si="1037"/>
        <v/>
      </c>
      <c r="S4768" s="1">
        <f t="shared" si="1038"/>
        <v>630.90240000000244</v>
      </c>
      <c r="T4768" s="1">
        <f t="shared" si="1039"/>
        <v>0</v>
      </c>
      <c r="U4768" s="1">
        <f t="shared" si="1040"/>
        <v>0</v>
      </c>
      <c r="V4768" s="1">
        <f t="shared" si="1041"/>
        <v>0</v>
      </c>
    </row>
    <row r="4769" spans="5:22" x14ac:dyDescent="0.25">
      <c r="E4769" s="4"/>
      <c r="M4769" s="4">
        <f t="shared" si="1034"/>
        <v>173.1</v>
      </c>
      <c r="N4769" s="4"/>
      <c r="O4769" s="1">
        <f t="shared" si="1035"/>
        <v>173.1</v>
      </c>
      <c r="P4769" s="1">
        <f t="shared" si="1036"/>
        <v>0</v>
      </c>
      <c r="Q4769" s="1" t="str">
        <f t="shared" si="1033"/>
        <v/>
      </c>
      <c r="R4769" s="1" t="str">
        <f t="shared" si="1037"/>
        <v/>
      </c>
      <c r="S4769" s="1">
        <f t="shared" si="1038"/>
        <v>630.90240000000244</v>
      </c>
      <c r="T4769" s="1">
        <f t="shared" si="1039"/>
        <v>0</v>
      </c>
      <c r="U4769" s="1">
        <f t="shared" si="1040"/>
        <v>0</v>
      </c>
      <c r="V4769" s="1">
        <f t="shared" si="1041"/>
        <v>0</v>
      </c>
    </row>
    <row r="4770" spans="5:22" x14ac:dyDescent="0.25">
      <c r="E4770" s="4"/>
      <c r="M4770" s="4">
        <f t="shared" si="1034"/>
        <v>173.1</v>
      </c>
      <c r="N4770" s="4"/>
      <c r="O4770" s="1">
        <f t="shared" si="1035"/>
        <v>173.1</v>
      </c>
      <c r="P4770" s="1">
        <f t="shared" si="1036"/>
        <v>0</v>
      </c>
      <c r="Q4770" s="1" t="str">
        <f t="shared" si="1033"/>
        <v/>
      </c>
      <c r="R4770" s="1" t="str">
        <f t="shared" si="1037"/>
        <v/>
      </c>
      <c r="S4770" s="1">
        <f t="shared" si="1038"/>
        <v>630.90240000000244</v>
      </c>
      <c r="T4770" s="1">
        <f t="shared" si="1039"/>
        <v>0</v>
      </c>
      <c r="U4770" s="1">
        <f t="shared" si="1040"/>
        <v>0</v>
      </c>
      <c r="V4770" s="1">
        <f t="shared" si="1041"/>
        <v>0</v>
      </c>
    </row>
    <row r="4771" spans="5:22" x14ac:dyDescent="0.25">
      <c r="E4771" s="4"/>
      <c r="M4771" s="4">
        <f t="shared" si="1034"/>
        <v>173.1</v>
      </c>
      <c r="N4771" s="4"/>
      <c r="O4771" s="1">
        <f t="shared" si="1035"/>
        <v>173.1</v>
      </c>
      <c r="P4771" s="1">
        <f t="shared" si="1036"/>
        <v>0</v>
      </c>
      <c r="Q4771" s="1" t="str">
        <f t="shared" si="1033"/>
        <v/>
      </c>
      <c r="R4771" s="1" t="str">
        <f t="shared" si="1037"/>
        <v/>
      </c>
      <c r="S4771" s="1">
        <f t="shared" si="1038"/>
        <v>630.90240000000244</v>
      </c>
      <c r="T4771" s="1">
        <f t="shared" si="1039"/>
        <v>0</v>
      </c>
      <c r="U4771" s="1">
        <f t="shared" si="1040"/>
        <v>0</v>
      </c>
      <c r="V4771" s="1">
        <f t="shared" si="1041"/>
        <v>0</v>
      </c>
    </row>
    <row r="4772" spans="5:22" x14ac:dyDescent="0.25">
      <c r="E4772" s="4"/>
      <c r="M4772" s="4">
        <f t="shared" si="1034"/>
        <v>173.1</v>
      </c>
      <c r="N4772" s="4"/>
      <c r="O4772" s="1">
        <f t="shared" si="1035"/>
        <v>173.1</v>
      </c>
      <c r="P4772" s="1">
        <f t="shared" si="1036"/>
        <v>0</v>
      </c>
      <c r="Q4772" s="1" t="str">
        <f t="shared" si="1033"/>
        <v/>
      </c>
      <c r="R4772" s="1" t="str">
        <f t="shared" si="1037"/>
        <v/>
      </c>
      <c r="S4772" s="1">
        <f t="shared" si="1038"/>
        <v>630.90240000000244</v>
      </c>
      <c r="T4772" s="1">
        <f t="shared" si="1039"/>
        <v>0</v>
      </c>
      <c r="U4772" s="1">
        <f t="shared" si="1040"/>
        <v>0</v>
      </c>
      <c r="V4772" s="1">
        <f t="shared" si="1041"/>
        <v>0</v>
      </c>
    </row>
    <row r="4773" spans="5:22" x14ac:dyDescent="0.25">
      <c r="E4773" s="4"/>
      <c r="M4773" s="4">
        <f t="shared" si="1034"/>
        <v>173.1</v>
      </c>
      <c r="N4773" s="4"/>
      <c r="O4773" s="1">
        <f t="shared" si="1035"/>
        <v>173.1</v>
      </c>
      <c r="P4773" s="1">
        <f t="shared" si="1036"/>
        <v>0</v>
      </c>
      <c r="Q4773" s="1" t="str">
        <f t="shared" si="1033"/>
        <v/>
      </c>
      <c r="R4773" s="1" t="str">
        <f t="shared" si="1037"/>
        <v/>
      </c>
      <c r="S4773" s="1">
        <f t="shared" si="1038"/>
        <v>630.90240000000244</v>
      </c>
      <c r="T4773" s="1">
        <f t="shared" si="1039"/>
        <v>0</v>
      </c>
      <c r="U4773" s="1">
        <f t="shared" si="1040"/>
        <v>0</v>
      </c>
      <c r="V4773" s="1">
        <f t="shared" si="1041"/>
        <v>0</v>
      </c>
    </row>
    <row r="4774" spans="5:22" x14ac:dyDescent="0.25">
      <c r="E4774" s="4"/>
      <c r="M4774" s="4">
        <f t="shared" si="1034"/>
        <v>173.1</v>
      </c>
      <c r="N4774" s="4"/>
      <c r="O4774" s="1">
        <f t="shared" si="1035"/>
        <v>173.1</v>
      </c>
      <c r="P4774" s="1">
        <f t="shared" si="1036"/>
        <v>0</v>
      </c>
      <c r="Q4774" s="1" t="str">
        <f t="shared" si="1033"/>
        <v/>
      </c>
      <c r="R4774" s="1" t="str">
        <f t="shared" si="1037"/>
        <v/>
      </c>
      <c r="S4774" s="1">
        <f t="shared" si="1038"/>
        <v>630.90240000000244</v>
      </c>
      <c r="T4774" s="1">
        <f t="shared" si="1039"/>
        <v>0</v>
      </c>
      <c r="U4774" s="1">
        <f t="shared" si="1040"/>
        <v>0</v>
      </c>
      <c r="V4774" s="1">
        <f t="shared" si="1041"/>
        <v>0</v>
      </c>
    </row>
    <row r="4775" spans="5:22" x14ac:dyDescent="0.25">
      <c r="E4775" s="4"/>
      <c r="M4775" s="4">
        <f t="shared" si="1034"/>
        <v>173.1</v>
      </c>
      <c r="N4775" s="4"/>
      <c r="O4775" s="1">
        <f t="shared" si="1035"/>
        <v>173.1</v>
      </c>
      <c r="P4775" s="1">
        <f t="shared" si="1036"/>
        <v>0</v>
      </c>
      <c r="Q4775" s="1" t="str">
        <f t="shared" si="1033"/>
        <v/>
      </c>
      <c r="R4775" s="1" t="str">
        <f t="shared" si="1037"/>
        <v/>
      </c>
      <c r="S4775" s="1">
        <f t="shared" si="1038"/>
        <v>630.90240000000244</v>
      </c>
      <c r="T4775" s="1">
        <f t="shared" si="1039"/>
        <v>0</v>
      </c>
      <c r="U4775" s="1">
        <f t="shared" si="1040"/>
        <v>0</v>
      </c>
      <c r="V4775" s="1">
        <f t="shared" si="1041"/>
        <v>0</v>
      </c>
    </row>
    <row r="4776" spans="5:22" x14ac:dyDescent="0.25">
      <c r="E4776" s="4"/>
      <c r="M4776" s="4">
        <f t="shared" si="1034"/>
        <v>173.1</v>
      </c>
      <c r="N4776" s="4"/>
      <c r="O4776" s="1">
        <f t="shared" si="1035"/>
        <v>173.1</v>
      </c>
      <c r="P4776" s="1">
        <f t="shared" si="1036"/>
        <v>0</v>
      </c>
      <c r="Q4776" s="1" t="str">
        <f t="shared" si="1033"/>
        <v/>
      </c>
      <c r="R4776" s="1" t="str">
        <f t="shared" si="1037"/>
        <v/>
      </c>
      <c r="S4776" s="1">
        <f t="shared" si="1038"/>
        <v>630.90240000000244</v>
      </c>
      <c r="T4776" s="1">
        <f t="shared" si="1039"/>
        <v>0</v>
      </c>
      <c r="U4776" s="1">
        <f t="shared" si="1040"/>
        <v>0</v>
      </c>
      <c r="V4776" s="1">
        <f t="shared" si="1041"/>
        <v>0</v>
      </c>
    </row>
    <row r="4777" spans="5:22" x14ac:dyDescent="0.25">
      <c r="E4777" s="4"/>
      <c r="M4777" s="4">
        <f t="shared" si="1034"/>
        <v>173.1</v>
      </c>
      <c r="N4777" s="4"/>
      <c r="O4777" s="1">
        <f t="shared" si="1035"/>
        <v>173.1</v>
      </c>
      <c r="P4777" s="1">
        <f t="shared" si="1036"/>
        <v>0</v>
      </c>
      <c r="Q4777" s="1" t="str">
        <f t="shared" si="1033"/>
        <v/>
      </c>
      <c r="R4777" s="1" t="str">
        <f t="shared" si="1037"/>
        <v/>
      </c>
      <c r="S4777" s="1">
        <f t="shared" si="1038"/>
        <v>630.90240000000244</v>
      </c>
      <c r="T4777" s="1">
        <f t="shared" si="1039"/>
        <v>0</v>
      </c>
      <c r="U4777" s="1">
        <f t="shared" si="1040"/>
        <v>0</v>
      </c>
      <c r="V4777" s="1">
        <f t="shared" si="1041"/>
        <v>0</v>
      </c>
    </row>
    <row r="4778" spans="5:22" x14ac:dyDescent="0.25">
      <c r="E4778" s="4"/>
      <c r="M4778" s="4">
        <f t="shared" si="1034"/>
        <v>173.1</v>
      </c>
      <c r="N4778" s="4"/>
      <c r="O4778" s="1">
        <f t="shared" si="1035"/>
        <v>173.1</v>
      </c>
      <c r="P4778" s="1">
        <f t="shared" si="1036"/>
        <v>0</v>
      </c>
      <c r="Q4778" s="1" t="str">
        <f t="shared" si="1033"/>
        <v/>
      </c>
      <c r="R4778" s="1" t="str">
        <f t="shared" si="1037"/>
        <v/>
      </c>
      <c r="S4778" s="1">
        <f t="shared" si="1038"/>
        <v>630.90240000000244</v>
      </c>
      <c r="T4778" s="1">
        <f t="shared" si="1039"/>
        <v>0</v>
      </c>
      <c r="U4778" s="1">
        <f t="shared" si="1040"/>
        <v>0</v>
      </c>
      <c r="V4778" s="1">
        <f t="shared" si="1041"/>
        <v>0</v>
      </c>
    </row>
    <row r="4779" spans="5:22" x14ac:dyDescent="0.25">
      <c r="E4779" s="4"/>
      <c r="M4779" s="4">
        <f t="shared" si="1034"/>
        <v>173.1</v>
      </c>
      <c r="N4779" s="4"/>
      <c r="O4779" s="1">
        <f t="shared" si="1035"/>
        <v>173.1</v>
      </c>
      <c r="P4779" s="1">
        <f t="shared" si="1036"/>
        <v>0</v>
      </c>
      <c r="Q4779" s="1" t="str">
        <f t="shared" si="1033"/>
        <v/>
      </c>
      <c r="R4779" s="1" t="str">
        <f t="shared" si="1037"/>
        <v/>
      </c>
      <c r="S4779" s="1">
        <f t="shared" si="1038"/>
        <v>630.90240000000244</v>
      </c>
      <c r="T4779" s="1">
        <f t="shared" si="1039"/>
        <v>0</v>
      </c>
      <c r="U4779" s="1">
        <f t="shared" si="1040"/>
        <v>0</v>
      </c>
      <c r="V4779" s="1">
        <f t="shared" si="1041"/>
        <v>0</v>
      </c>
    </row>
    <row r="4780" spans="5:22" x14ac:dyDescent="0.25">
      <c r="E4780" s="4"/>
      <c r="M4780" s="4">
        <f t="shared" si="1034"/>
        <v>173.1</v>
      </c>
      <c r="N4780" s="4"/>
      <c r="O4780" s="1">
        <f t="shared" si="1035"/>
        <v>173.1</v>
      </c>
      <c r="P4780" s="1">
        <f t="shared" si="1036"/>
        <v>0</v>
      </c>
      <c r="Q4780" s="1" t="str">
        <f t="shared" si="1033"/>
        <v/>
      </c>
      <c r="R4780" s="1" t="str">
        <f t="shared" si="1037"/>
        <v/>
      </c>
      <c r="S4780" s="1">
        <f t="shared" si="1038"/>
        <v>630.90240000000244</v>
      </c>
      <c r="T4780" s="1">
        <f t="shared" si="1039"/>
        <v>0</v>
      </c>
      <c r="U4780" s="1">
        <f t="shared" si="1040"/>
        <v>0</v>
      </c>
      <c r="V4780" s="1">
        <f t="shared" si="1041"/>
        <v>0</v>
      </c>
    </row>
    <row r="4781" spans="5:22" x14ac:dyDescent="0.25">
      <c r="E4781" s="4"/>
      <c r="M4781" s="4">
        <f t="shared" si="1034"/>
        <v>173.1</v>
      </c>
      <c r="N4781" s="4"/>
      <c r="O4781" s="1">
        <f t="shared" si="1035"/>
        <v>173.1</v>
      </c>
      <c r="P4781" s="1">
        <f t="shared" si="1036"/>
        <v>0</v>
      </c>
      <c r="Q4781" s="1" t="str">
        <f t="shared" si="1033"/>
        <v/>
      </c>
      <c r="R4781" s="1" t="str">
        <f t="shared" si="1037"/>
        <v/>
      </c>
      <c r="S4781" s="1">
        <f t="shared" si="1038"/>
        <v>630.90240000000244</v>
      </c>
      <c r="T4781" s="1">
        <f t="shared" si="1039"/>
        <v>0</v>
      </c>
      <c r="U4781" s="1">
        <f t="shared" si="1040"/>
        <v>0</v>
      </c>
      <c r="V4781" s="1">
        <f t="shared" si="1041"/>
        <v>0</v>
      </c>
    </row>
    <row r="4782" spans="5:22" x14ac:dyDescent="0.25">
      <c r="E4782" s="4"/>
      <c r="M4782" s="4">
        <f t="shared" si="1034"/>
        <v>173.1</v>
      </c>
      <c r="N4782" s="4"/>
      <c r="O4782" s="1">
        <f t="shared" si="1035"/>
        <v>173.1</v>
      </c>
      <c r="P4782" s="1">
        <f t="shared" si="1036"/>
        <v>0</v>
      </c>
      <c r="Q4782" s="1" t="str">
        <f t="shared" si="1033"/>
        <v/>
      </c>
      <c r="R4782" s="1" t="str">
        <f t="shared" si="1037"/>
        <v/>
      </c>
      <c r="S4782" s="1">
        <f t="shared" si="1038"/>
        <v>630.90240000000244</v>
      </c>
      <c r="T4782" s="1">
        <f t="shared" si="1039"/>
        <v>0</v>
      </c>
      <c r="U4782" s="1">
        <f t="shared" si="1040"/>
        <v>0</v>
      </c>
      <c r="V4782" s="1">
        <f t="shared" si="1041"/>
        <v>0</v>
      </c>
    </row>
    <row r="4783" spans="5:22" x14ac:dyDescent="0.25">
      <c r="E4783" s="4"/>
      <c r="M4783" s="4">
        <f t="shared" si="1034"/>
        <v>173.1</v>
      </c>
      <c r="N4783" s="4"/>
      <c r="O4783" s="1">
        <f t="shared" si="1035"/>
        <v>173.1</v>
      </c>
      <c r="P4783" s="1">
        <f t="shared" si="1036"/>
        <v>0</v>
      </c>
      <c r="Q4783" s="1" t="str">
        <f t="shared" si="1033"/>
        <v/>
      </c>
      <c r="R4783" s="1" t="str">
        <f t="shared" si="1037"/>
        <v/>
      </c>
      <c r="S4783" s="1">
        <f t="shared" si="1038"/>
        <v>630.90240000000244</v>
      </c>
      <c r="T4783" s="1">
        <f t="shared" si="1039"/>
        <v>0</v>
      </c>
      <c r="U4783" s="1">
        <f t="shared" si="1040"/>
        <v>0</v>
      </c>
      <c r="V4783" s="1">
        <f t="shared" si="1041"/>
        <v>0</v>
      </c>
    </row>
    <row r="4784" spans="5:22" x14ac:dyDescent="0.25">
      <c r="E4784" s="4"/>
      <c r="M4784" s="4">
        <f t="shared" si="1034"/>
        <v>173.1</v>
      </c>
      <c r="N4784" s="4"/>
      <c r="O4784" s="1">
        <f t="shared" si="1035"/>
        <v>173.1</v>
      </c>
      <c r="P4784" s="1">
        <f t="shared" si="1036"/>
        <v>0</v>
      </c>
      <c r="Q4784" s="1" t="str">
        <f t="shared" si="1033"/>
        <v/>
      </c>
      <c r="R4784" s="1" t="str">
        <f t="shared" si="1037"/>
        <v/>
      </c>
      <c r="S4784" s="1">
        <f t="shared" si="1038"/>
        <v>630.90240000000244</v>
      </c>
      <c r="T4784" s="1">
        <f t="shared" si="1039"/>
        <v>0</v>
      </c>
      <c r="U4784" s="1">
        <f t="shared" si="1040"/>
        <v>0</v>
      </c>
      <c r="V4784" s="1">
        <f t="shared" si="1041"/>
        <v>0</v>
      </c>
    </row>
    <row r="4785" spans="5:22" x14ac:dyDescent="0.25">
      <c r="E4785" s="4"/>
      <c r="M4785" s="4">
        <f t="shared" si="1034"/>
        <v>173.1</v>
      </c>
      <c r="N4785" s="4"/>
      <c r="O4785" s="1">
        <f t="shared" si="1035"/>
        <v>173.1</v>
      </c>
      <c r="P4785" s="1">
        <f t="shared" si="1036"/>
        <v>0</v>
      </c>
      <c r="Q4785" s="1" t="str">
        <f t="shared" si="1033"/>
        <v/>
      </c>
      <c r="R4785" s="1" t="str">
        <f t="shared" si="1037"/>
        <v/>
      </c>
      <c r="S4785" s="1">
        <f t="shared" si="1038"/>
        <v>630.90240000000244</v>
      </c>
      <c r="T4785" s="1">
        <f t="shared" si="1039"/>
        <v>0</v>
      </c>
      <c r="U4785" s="1">
        <f t="shared" si="1040"/>
        <v>0</v>
      </c>
      <c r="V4785" s="1">
        <f t="shared" si="1041"/>
        <v>0</v>
      </c>
    </row>
    <row r="4786" spans="5:22" x14ac:dyDescent="0.25">
      <c r="E4786" s="4"/>
      <c r="M4786" s="4">
        <f t="shared" si="1034"/>
        <v>173.1</v>
      </c>
      <c r="N4786" s="4"/>
      <c r="O4786" s="1">
        <f t="shared" si="1035"/>
        <v>173.1</v>
      </c>
      <c r="P4786" s="1">
        <f t="shared" si="1036"/>
        <v>0</v>
      </c>
      <c r="Q4786" s="1" t="str">
        <f t="shared" ref="Q4786:Q4849" si="1042">IF(H4786&lt;&gt;"",IF(H4786=H4785,"",H4786),IF(H4784="","",MAX(H4785,Q4785)))</f>
        <v/>
      </c>
      <c r="R4786" s="1" t="str">
        <f t="shared" si="1037"/>
        <v/>
      </c>
      <c r="S4786" s="1">
        <f t="shared" si="1038"/>
        <v>630.90240000000244</v>
      </c>
      <c r="T4786" s="1">
        <f t="shared" si="1039"/>
        <v>0</v>
      </c>
      <c r="U4786" s="1">
        <f t="shared" si="1040"/>
        <v>0</v>
      </c>
      <c r="V4786" s="1">
        <f t="shared" si="1041"/>
        <v>0</v>
      </c>
    </row>
    <row r="4787" spans="5:22" x14ac:dyDescent="0.25">
      <c r="E4787" s="4"/>
      <c r="M4787" s="4">
        <f t="shared" si="1034"/>
        <v>173.1</v>
      </c>
      <c r="N4787" s="4"/>
      <c r="O4787" s="1">
        <f t="shared" si="1035"/>
        <v>173.1</v>
      </c>
      <c r="P4787" s="1">
        <f t="shared" si="1036"/>
        <v>0</v>
      </c>
      <c r="Q4787" s="1" t="str">
        <f t="shared" si="1042"/>
        <v/>
      </c>
      <c r="R4787" s="1" t="str">
        <f t="shared" si="1037"/>
        <v/>
      </c>
      <c r="S4787" s="1">
        <f t="shared" si="1038"/>
        <v>630.90240000000244</v>
      </c>
      <c r="T4787" s="1">
        <f t="shared" si="1039"/>
        <v>0</v>
      </c>
      <c r="U4787" s="1">
        <f t="shared" si="1040"/>
        <v>0</v>
      </c>
      <c r="V4787" s="1">
        <f t="shared" si="1041"/>
        <v>0</v>
      </c>
    </row>
    <row r="4788" spans="5:22" x14ac:dyDescent="0.25">
      <c r="E4788" s="4"/>
      <c r="M4788" s="4">
        <f t="shared" si="1034"/>
        <v>173.1</v>
      </c>
      <c r="N4788" s="4"/>
      <c r="O4788" s="1">
        <f t="shared" si="1035"/>
        <v>173.1</v>
      </c>
      <c r="P4788" s="1">
        <f t="shared" si="1036"/>
        <v>0</v>
      </c>
      <c r="Q4788" s="1" t="str">
        <f t="shared" si="1042"/>
        <v/>
      </c>
      <c r="R4788" s="1" t="str">
        <f t="shared" si="1037"/>
        <v/>
      </c>
      <c r="S4788" s="1">
        <f t="shared" si="1038"/>
        <v>630.90240000000244</v>
      </c>
      <c r="T4788" s="1">
        <f t="shared" si="1039"/>
        <v>0</v>
      </c>
      <c r="U4788" s="1">
        <f t="shared" si="1040"/>
        <v>0</v>
      </c>
      <c r="V4788" s="1">
        <f t="shared" si="1041"/>
        <v>0</v>
      </c>
    </row>
    <row r="4789" spans="5:22" x14ac:dyDescent="0.25">
      <c r="E4789" s="4"/>
      <c r="M4789" s="4">
        <f t="shared" si="1034"/>
        <v>173.1</v>
      </c>
      <c r="N4789" s="4"/>
      <c r="O4789" s="1">
        <f t="shared" si="1035"/>
        <v>173.1</v>
      </c>
      <c r="P4789" s="1">
        <f t="shared" si="1036"/>
        <v>0</v>
      </c>
      <c r="Q4789" s="1" t="str">
        <f t="shared" si="1042"/>
        <v/>
      </c>
      <c r="R4789" s="1" t="str">
        <f t="shared" si="1037"/>
        <v/>
      </c>
      <c r="S4789" s="1">
        <f t="shared" si="1038"/>
        <v>630.90240000000244</v>
      </c>
      <c r="T4789" s="1">
        <f t="shared" si="1039"/>
        <v>0</v>
      </c>
      <c r="U4789" s="1">
        <f t="shared" si="1040"/>
        <v>0</v>
      </c>
      <c r="V4789" s="1">
        <f t="shared" si="1041"/>
        <v>0</v>
      </c>
    </row>
    <row r="4790" spans="5:22" x14ac:dyDescent="0.25">
      <c r="E4790" s="4"/>
      <c r="M4790" s="4">
        <f t="shared" si="1034"/>
        <v>173.1</v>
      </c>
      <c r="N4790" s="4"/>
      <c r="O4790" s="1">
        <f t="shared" si="1035"/>
        <v>173.1</v>
      </c>
      <c r="P4790" s="1">
        <f t="shared" si="1036"/>
        <v>0</v>
      </c>
      <c r="Q4790" s="1" t="str">
        <f t="shared" si="1042"/>
        <v/>
      </c>
      <c r="R4790" s="1" t="str">
        <f t="shared" si="1037"/>
        <v/>
      </c>
      <c r="S4790" s="1">
        <f t="shared" si="1038"/>
        <v>630.90240000000244</v>
      </c>
      <c r="T4790" s="1">
        <f t="shared" si="1039"/>
        <v>0</v>
      </c>
      <c r="U4790" s="1">
        <f t="shared" si="1040"/>
        <v>0</v>
      </c>
      <c r="V4790" s="1">
        <f t="shared" si="1041"/>
        <v>0</v>
      </c>
    </row>
    <row r="4791" spans="5:22" x14ac:dyDescent="0.25">
      <c r="E4791" s="4"/>
      <c r="M4791" s="4">
        <f t="shared" si="1034"/>
        <v>173.1</v>
      </c>
      <c r="N4791" s="4"/>
      <c r="O4791" s="1">
        <f t="shared" si="1035"/>
        <v>173.1</v>
      </c>
      <c r="P4791" s="1">
        <f t="shared" si="1036"/>
        <v>0</v>
      </c>
      <c r="Q4791" s="1" t="str">
        <f t="shared" si="1042"/>
        <v/>
      </c>
      <c r="R4791" s="1" t="str">
        <f t="shared" si="1037"/>
        <v/>
      </c>
      <c r="S4791" s="1">
        <f t="shared" si="1038"/>
        <v>630.90240000000244</v>
      </c>
      <c r="T4791" s="1">
        <f t="shared" si="1039"/>
        <v>0</v>
      </c>
      <c r="U4791" s="1">
        <f t="shared" si="1040"/>
        <v>0</v>
      </c>
      <c r="V4791" s="1">
        <f t="shared" si="1041"/>
        <v>0</v>
      </c>
    </row>
    <row r="4792" spans="5:22" x14ac:dyDescent="0.25">
      <c r="E4792" s="4"/>
      <c r="M4792" s="4">
        <f t="shared" si="1034"/>
        <v>173.1</v>
      </c>
      <c r="N4792" s="4"/>
      <c r="O4792" s="1">
        <f t="shared" si="1035"/>
        <v>173.1</v>
      </c>
      <c r="P4792" s="1">
        <f t="shared" si="1036"/>
        <v>0</v>
      </c>
      <c r="Q4792" s="1" t="str">
        <f t="shared" si="1042"/>
        <v/>
      </c>
      <c r="R4792" s="1" t="str">
        <f t="shared" si="1037"/>
        <v/>
      </c>
      <c r="S4792" s="1">
        <f t="shared" si="1038"/>
        <v>630.90240000000244</v>
      </c>
      <c r="T4792" s="1">
        <f t="shared" si="1039"/>
        <v>0</v>
      </c>
      <c r="U4792" s="1">
        <f t="shared" si="1040"/>
        <v>0</v>
      </c>
      <c r="V4792" s="1">
        <f t="shared" si="1041"/>
        <v>0</v>
      </c>
    </row>
    <row r="4793" spans="5:22" x14ac:dyDescent="0.25">
      <c r="E4793" s="4"/>
      <c r="M4793" s="4">
        <f t="shared" si="1034"/>
        <v>173.1</v>
      </c>
      <c r="N4793" s="4"/>
      <c r="O4793" s="1">
        <f t="shared" si="1035"/>
        <v>173.1</v>
      </c>
      <c r="P4793" s="1">
        <f t="shared" si="1036"/>
        <v>0</v>
      </c>
      <c r="Q4793" s="1" t="str">
        <f t="shared" si="1042"/>
        <v/>
      </c>
      <c r="R4793" s="1" t="str">
        <f t="shared" si="1037"/>
        <v/>
      </c>
      <c r="S4793" s="1">
        <f t="shared" si="1038"/>
        <v>630.90240000000244</v>
      </c>
      <c r="T4793" s="1">
        <f t="shared" si="1039"/>
        <v>0</v>
      </c>
      <c r="U4793" s="1">
        <f t="shared" si="1040"/>
        <v>0</v>
      </c>
      <c r="V4793" s="1">
        <f t="shared" si="1041"/>
        <v>0</v>
      </c>
    </row>
    <row r="4794" spans="5:22" x14ac:dyDescent="0.25">
      <c r="E4794" s="4"/>
      <c r="M4794" s="4">
        <f t="shared" si="1034"/>
        <v>173.1</v>
      </c>
      <c r="N4794" s="4"/>
      <c r="O4794" s="1">
        <f t="shared" si="1035"/>
        <v>173.1</v>
      </c>
      <c r="P4794" s="1">
        <f t="shared" si="1036"/>
        <v>0</v>
      </c>
      <c r="Q4794" s="1" t="str">
        <f t="shared" si="1042"/>
        <v/>
      </c>
      <c r="R4794" s="1" t="str">
        <f t="shared" si="1037"/>
        <v/>
      </c>
      <c r="S4794" s="1">
        <f t="shared" si="1038"/>
        <v>630.90240000000244</v>
      </c>
      <c r="T4794" s="1">
        <f t="shared" si="1039"/>
        <v>0</v>
      </c>
      <c r="U4794" s="1">
        <f t="shared" si="1040"/>
        <v>0</v>
      </c>
      <c r="V4794" s="1">
        <f t="shared" si="1041"/>
        <v>0</v>
      </c>
    </row>
    <row r="4795" spans="5:22" x14ac:dyDescent="0.25">
      <c r="E4795" s="4"/>
      <c r="M4795" s="4">
        <f t="shared" si="1034"/>
        <v>173.1</v>
      </c>
      <c r="N4795" s="4"/>
      <c r="O4795" s="1">
        <f t="shared" si="1035"/>
        <v>173.1</v>
      </c>
      <c r="P4795" s="1">
        <f t="shared" si="1036"/>
        <v>0</v>
      </c>
      <c r="Q4795" s="1" t="str">
        <f t="shared" si="1042"/>
        <v/>
      </c>
      <c r="R4795" s="1" t="str">
        <f t="shared" si="1037"/>
        <v/>
      </c>
      <c r="S4795" s="1">
        <f t="shared" si="1038"/>
        <v>630.90240000000244</v>
      </c>
      <c r="T4795" s="1">
        <f t="shared" si="1039"/>
        <v>0</v>
      </c>
      <c r="U4795" s="1">
        <f t="shared" si="1040"/>
        <v>0</v>
      </c>
      <c r="V4795" s="1">
        <f t="shared" si="1041"/>
        <v>0</v>
      </c>
    </row>
    <row r="4796" spans="5:22" x14ac:dyDescent="0.25">
      <c r="E4796" s="4"/>
      <c r="M4796" s="4">
        <f t="shared" si="1034"/>
        <v>173.1</v>
      </c>
      <c r="N4796" s="4"/>
      <c r="O4796" s="1">
        <f t="shared" si="1035"/>
        <v>173.1</v>
      </c>
      <c r="P4796" s="1">
        <f t="shared" si="1036"/>
        <v>0</v>
      </c>
      <c r="Q4796" s="1" t="str">
        <f t="shared" si="1042"/>
        <v/>
      </c>
      <c r="R4796" s="1" t="str">
        <f t="shared" si="1037"/>
        <v/>
      </c>
      <c r="S4796" s="1">
        <f t="shared" si="1038"/>
        <v>630.90240000000244</v>
      </c>
      <c r="T4796" s="1">
        <f t="shared" si="1039"/>
        <v>0</v>
      </c>
      <c r="U4796" s="1">
        <f t="shared" si="1040"/>
        <v>0</v>
      </c>
      <c r="V4796" s="1">
        <f t="shared" si="1041"/>
        <v>0</v>
      </c>
    </row>
    <row r="4797" spans="5:22" x14ac:dyDescent="0.25">
      <c r="E4797" s="4"/>
      <c r="M4797" s="4">
        <f t="shared" si="1034"/>
        <v>173.1</v>
      </c>
      <c r="N4797" s="4"/>
      <c r="O4797" s="1">
        <f t="shared" si="1035"/>
        <v>173.1</v>
      </c>
      <c r="P4797" s="1">
        <f t="shared" si="1036"/>
        <v>0</v>
      </c>
      <c r="Q4797" s="1" t="str">
        <f t="shared" si="1042"/>
        <v/>
      </c>
      <c r="R4797" s="1" t="str">
        <f t="shared" si="1037"/>
        <v/>
      </c>
      <c r="S4797" s="1">
        <f t="shared" si="1038"/>
        <v>630.90240000000244</v>
      </c>
      <c r="T4797" s="1">
        <f t="shared" si="1039"/>
        <v>0</v>
      </c>
      <c r="U4797" s="1">
        <f t="shared" si="1040"/>
        <v>0</v>
      </c>
      <c r="V4797" s="1">
        <f t="shared" si="1041"/>
        <v>0</v>
      </c>
    </row>
    <row r="4798" spans="5:22" x14ac:dyDescent="0.25">
      <c r="E4798" s="4"/>
      <c r="M4798" s="4">
        <f t="shared" si="1034"/>
        <v>173.1</v>
      </c>
      <c r="N4798" s="4"/>
      <c r="O4798" s="1">
        <f t="shared" si="1035"/>
        <v>173.1</v>
      </c>
      <c r="P4798" s="1">
        <f t="shared" si="1036"/>
        <v>0</v>
      </c>
      <c r="Q4798" s="1" t="str">
        <f t="shared" si="1042"/>
        <v/>
      </c>
      <c r="R4798" s="1" t="str">
        <f t="shared" si="1037"/>
        <v/>
      </c>
      <c r="S4798" s="1">
        <f t="shared" si="1038"/>
        <v>630.90240000000244</v>
      </c>
      <c r="T4798" s="1">
        <f t="shared" si="1039"/>
        <v>0</v>
      </c>
      <c r="U4798" s="1">
        <f t="shared" si="1040"/>
        <v>0</v>
      </c>
      <c r="V4798" s="1">
        <f t="shared" si="1041"/>
        <v>0</v>
      </c>
    </row>
    <row r="4799" spans="5:22" x14ac:dyDescent="0.25">
      <c r="E4799" s="4"/>
      <c r="M4799" s="4">
        <f t="shared" si="1034"/>
        <v>173.1</v>
      </c>
      <c r="N4799" s="4"/>
      <c r="O4799" s="1">
        <f t="shared" si="1035"/>
        <v>173.1</v>
      </c>
      <c r="P4799" s="1">
        <f t="shared" si="1036"/>
        <v>0</v>
      </c>
      <c r="Q4799" s="1" t="str">
        <f t="shared" si="1042"/>
        <v/>
      </c>
      <c r="R4799" s="1" t="str">
        <f t="shared" si="1037"/>
        <v/>
      </c>
      <c r="S4799" s="1">
        <f t="shared" si="1038"/>
        <v>630.90240000000244</v>
      </c>
      <c r="T4799" s="1">
        <f t="shared" si="1039"/>
        <v>0</v>
      </c>
      <c r="U4799" s="1">
        <f t="shared" si="1040"/>
        <v>0</v>
      </c>
      <c r="V4799" s="1">
        <f t="shared" si="1041"/>
        <v>0</v>
      </c>
    </row>
    <row r="4800" spans="5:22" x14ac:dyDescent="0.25">
      <c r="E4800" s="4"/>
      <c r="M4800" s="4">
        <f t="shared" si="1034"/>
        <v>173.1</v>
      </c>
      <c r="N4800" s="4"/>
      <c r="O4800" s="1">
        <f t="shared" si="1035"/>
        <v>173.1</v>
      </c>
      <c r="P4800" s="1">
        <f t="shared" si="1036"/>
        <v>0</v>
      </c>
      <c r="Q4800" s="1" t="str">
        <f t="shared" si="1042"/>
        <v/>
      </c>
      <c r="R4800" s="1" t="str">
        <f t="shared" si="1037"/>
        <v/>
      </c>
      <c r="S4800" s="1">
        <f t="shared" si="1038"/>
        <v>630.90240000000244</v>
      </c>
      <c r="T4800" s="1">
        <f t="shared" si="1039"/>
        <v>0</v>
      </c>
      <c r="U4800" s="1">
        <f t="shared" si="1040"/>
        <v>0</v>
      </c>
      <c r="V4800" s="1">
        <f t="shared" si="1041"/>
        <v>0</v>
      </c>
    </row>
    <row r="4801" spans="5:22" x14ac:dyDescent="0.25">
      <c r="E4801" s="4"/>
      <c r="M4801" s="4">
        <f t="shared" si="1034"/>
        <v>173.1</v>
      </c>
      <c r="N4801" s="4"/>
      <c r="O4801" s="1">
        <f t="shared" si="1035"/>
        <v>173.1</v>
      </c>
      <c r="P4801" s="1">
        <f t="shared" si="1036"/>
        <v>0</v>
      </c>
      <c r="Q4801" s="1" t="str">
        <f t="shared" si="1042"/>
        <v/>
      </c>
      <c r="R4801" s="1" t="str">
        <f t="shared" si="1037"/>
        <v/>
      </c>
      <c r="S4801" s="1">
        <f t="shared" si="1038"/>
        <v>630.90240000000244</v>
      </c>
      <c r="T4801" s="1">
        <f t="shared" si="1039"/>
        <v>0</v>
      </c>
      <c r="U4801" s="1">
        <f t="shared" si="1040"/>
        <v>0</v>
      </c>
      <c r="V4801" s="1">
        <f t="shared" si="1041"/>
        <v>0</v>
      </c>
    </row>
    <row r="4802" spans="5:22" x14ac:dyDescent="0.25">
      <c r="E4802" s="4"/>
      <c r="M4802" s="4">
        <f t="shared" si="1034"/>
        <v>173.1</v>
      </c>
      <c r="N4802" s="4"/>
      <c r="O4802" s="1">
        <f t="shared" si="1035"/>
        <v>173.1</v>
      </c>
      <c r="P4802" s="1">
        <f t="shared" si="1036"/>
        <v>0</v>
      </c>
      <c r="Q4802" s="1" t="str">
        <f t="shared" si="1042"/>
        <v/>
      </c>
      <c r="R4802" s="1" t="str">
        <f t="shared" si="1037"/>
        <v/>
      </c>
      <c r="S4802" s="1">
        <f t="shared" si="1038"/>
        <v>630.90240000000244</v>
      </c>
      <c r="T4802" s="1">
        <f t="shared" si="1039"/>
        <v>0</v>
      </c>
      <c r="U4802" s="1">
        <f t="shared" si="1040"/>
        <v>0</v>
      </c>
      <c r="V4802" s="1">
        <f t="shared" si="1041"/>
        <v>0</v>
      </c>
    </row>
    <row r="4803" spans="5:22" x14ac:dyDescent="0.25">
      <c r="E4803" s="4"/>
      <c r="M4803" s="4">
        <f t="shared" si="1034"/>
        <v>173.1</v>
      </c>
      <c r="N4803" s="4"/>
      <c r="O4803" s="1">
        <f t="shared" si="1035"/>
        <v>173.1</v>
      </c>
      <c r="P4803" s="1">
        <f t="shared" si="1036"/>
        <v>0</v>
      </c>
      <c r="Q4803" s="1" t="str">
        <f t="shared" si="1042"/>
        <v/>
      </c>
      <c r="R4803" s="1" t="str">
        <f t="shared" si="1037"/>
        <v/>
      </c>
      <c r="S4803" s="1">
        <f t="shared" si="1038"/>
        <v>630.90240000000244</v>
      </c>
      <c r="T4803" s="1">
        <f t="shared" si="1039"/>
        <v>0</v>
      </c>
      <c r="U4803" s="1">
        <f t="shared" si="1040"/>
        <v>0</v>
      </c>
      <c r="V4803" s="1">
        <f t="shared" si="1041"/>
        <v>0</v>
      </c>
    </row>
    <row r="4804" spans="5:22" x14ac:dyDescent="0.25">
      <c r="E4804" s="4"/>
      <c r="M4804" s="4">
        <f t="shared" si="1034"/>
        <v>173.1</v>
      </c>
      <c r="N4804" s="4"/>
      <c r="O4804" s="1">
        <f t="shared" si="1035"/>
        <v>173.1</v>
      </c>
      <c r="P4804" s="1">
        <f t="shared" si="1036"/>
        <v>0</v>
      </c>
      <c r="Q4804" s="1" t="str">
        <f t="shared" si="1042"/>
        <v/>
      </c>
      <c r="R4804" s="1" t="str">
        <f t="shared" si="1037"/>
        <v/>
      </c>
      <c r="S4804" s="1">
        <f t="shared" si="1038"/>
        <v>630.90240000000244</v>
      </c>
      <c r="T4804" s="1">
        <f t="shared" si="1039"/>
        <v>0</v>
      </c>
      <c r="U4804" s="1">
        <f t="shared" si="1040"/>
        <v>0</v>
      </c>
      <c r="V4804" s="1">
        <f t="shared" si="1041"/>
        <v>0</v>
      </c>
    </row>
    <row r="4805" spans="5:22" x14ac:dyDescent="0.25">
      <c r="E4805" s="4"/>
      <c r="M4805" s="4">
        <f t="shared" si="1034"/>
        <v>173.1</v>
      </c>
      <c r="N4805" s="4"/>
      <c r="O4805" s="1">
        <f t="shared" si="1035"/>
        <v>173.1</v>
      </c>
      <c r="P4805" s="1">
        <f t="shared" si="1036"/>
        <v>0</v>
      </c>
      <c r="Q4805" s="1" t="str">
        <f t="shared" si="1042"/>
        <v/>
      </c>
      <c r="R4805" s="1" t="str">
        <f t="shared" si="1037"/>
        <v/>
      </c>
      <c r="S4805" s="1">
        <f t="shared" si="1038"/>
        <v>630.90240000000244</v>
      </c>
      <c r="T4805" s="1">
        <f t="shared" si="1039"/>
        <v>0</v>
      </c>
      <c r="U4805" s="1">
        <f t="shared" si="1040"/>
        <v>0</v>
      </c>
      <c r="V4805" s="1">
        <f t="shared" si="1041"/>
        <v>0</v>
      </c>
    </row>
    <row r="4806" spans="5:22" x14ac:dyDescent="0.25">
      <c r="E4806" s="4"/>
      <c r="M4806" s="4">
        <f t="shared" si="1034"/>
        <v>173.1</v>
      </c>
      <c r="N4806" s="4"/>
      <c r="O4806" s="1">
        <f t="shared" si="1035"/>
        <v>173.1</v>
      </c>
      <c r="P4806" s="1">
        <f t="shared" si="1036"/>
        <v>0</v>
      </c>
      <c r="Q4806" s="1" t="str">
        <f t="shared" si="1042"/>
        <v/>
      </c>
      <c r="R4806" s="1" t="str">
        <f t="shared" si="1037"/>
        <v/>
      </c>
      <c r="S4806" s="1">
        <f t="shared" si="1038"/>
        <v>630.90240000000244</v>
      </c>
      <c r="T4806" s="1">
        <f t="shared" si="1039"/>
        <v>0</v>
      </c>
      <c r="U4806" s="1">
        <f t="shared" si="1040"/>
        <v>0</v>
      </c>
      <c r="V4806" s="1">
        <f t="shared" si="1041"/>
        <v>0</v>
      </c>
    </row>
    <row r="4807" spans="5:22" x14ac:dyDescent="0.25">
      <c r="E4807" s="4"/>
      <c r="M4807" s="4">
        <f t="shared" si="1034"/>
        <v>173.1</v>
      </c>
      <c r="N4807" s="4"/>
      <c r="O4807" s="1">
        <f t="shared" si="1035"/>
        <v>173.1</v>
      </c>
      <c r="P4807" s="1">
        <f t="shared" si="1036"/>
        <v>0</v>
      </c>
      <c r="Q4807" s="1" t="str">
        <f t="shared" si="1042"/>
        <v/>
      </c>
      <c r="R4807" s="1" t="str">
        <f t="shared" si="1037"/>
        <v/>
      </c>
      <c r="S4807" s="1">
        <f t="shared" si="1038"/>
        <v>630.90240000000244</v>
      </c>
      <c r="T4807" s="1">
        <f t="shared" si="1039"/>
        <v>0</v>
      </c>
      <c r="U4807" s="1">
        <f t="shared" si="1040"/>
        <v>0</v>
      </c>
      <c r="V4807" s="1">
        <f t="shared" si="1041"/>
        <v>0</v>
      </c>
    </row>
    <row r="4808" spans="5:22" x14ac:dyDescent="0.25">
      <c r="E4808" s="4"/>
      <c r="M4808" s="4">
        <f t="shared" ref="M4808:M4871" si="1043">E4808+M4807</f>
        <v>173.1</v>
      </c>
      <c r="N4808" s="4"/>
      <c r="O4808" s="1">
        <f t="shared" ref="O4808:O4871" si="1044">E4807+O4807</f>
        <v>173.1</v>
      </c>
      <c r="P4808" s="1">
        <f t="shared" ref="P4808:P4871" si="1045">F4808*52.8*E4808</f>
        <v>0</v>
      </c>
      <c r="Q4808" s="1" t="str">
        <f t="shared" si="1042"/>
        <v/>
      </c>
      <c r="R4808" s="1" t="str">
        <f t="shared" ref="R4808:R4871" si="1046">IF(I4808="",Q4808,IF(AND(H4808=H4807,I4808=I4807),"",I4808))</f>
        <v/>
      </c>
      <c r="S4808" s="1">
        <f t="shared" ref="S4808:S4871" si="1047">S4807+U4807*T4807/100</f>
        <v>630.90240000000244</v>
      </c>
      <c r="T4808" s="1">
        <f t="shared" ref="T4808:T4871" si="1048">IF(G4808="UNK",0,G4808)</f>
        <v>0</v>
      </c>
      <c r="U4808" s="1">
        <f t="shared" ref="U4808:U4871" si="1049">E4808*5280</f>
        <v>0</v>
      </c>
      <c r="V4808" s="1">
        <f t="shared" ref="V4808:V4871" si="1050">ABS(T4808*U4808)</f>
        <v>0</v>
      </c>
    </row>
    <row r="4809" spans="5:22" x14ac:dyDescent="0.25">
      <c r="E4809" s="4"/>
      <c r="M4809" s="4">
        <f t="shared" si="1043"/>
        <v>173.1</v>
      </c>
      <c r="N4809" s="4"/>
      <c r="O4809" s="1">
        <f t="shared" si="1044"/>
        <v>173.1</v>
      </c>
      <c r="P4809" s="1">
        <f t="shared" si="1045"/>
        <v>0</v>
      </c>
      <c r="Q4809" s="1" t="str">
        <f t="shared" si="1042"/>
        <v/>
      </c>
      <c r="R4809" s="1" t="str">
        <f t="shared" si="1046"/>
        <v/>
      </c>
      <c r="S4809" s="1">
        <f t="shared" si="1047"/>
        <v>630.90240000000244</v>
      </c>
      <c r="T4809" s="1">
        <f t="shared" si="1048"/>
        <v>0</v>
      </c>
      <c r="U4809" s="1">
        <f t="shared" si="1049"/>
        <v>0</v>
      </c>
      <c r="V4809" s="1">
        <f t="shared" si="1050"/>
        <v>0</v>
      </c>
    </row>
    <row r="4810" spans="5:22" x14ac:dyDescent="0.25">
      <c r="E4810" s="4"/>
      <c r="M4810" s="4">
        <f t="shared" si="1043"/>
        <v>173.1</v>
      </c>
      <c r="N4810" s="4"/>
      <c r="O4810" s="1">
        <f t="shared" si="1044"/>
        <v>173.1</v>
      </c>
      <c r="P4810" s="1">
        <f t="shared" si="1045"/>
        <v>0</v>
      </c>
      <c r="Q4810" s="1" t="str">
        <f t="shared" si="1042"/>
        <v/>
      </c>
      <c r="R4810" s="1" t="str">
        <f t="shared" si="1046"/>
        <v/>
      </c>
      <c r="S4810" s="1">
        <f t="shared" si="1047"/>
        <v>630.90240000000244</v>
      </c>
      <c r="T4810" s="1">
        <f t="shared" si="1048"/>
        <v>0</v>
      </c>
      <c r="U4810" s="1">
        <f t="shared" si="1049"/>
        <v>0</v>
      </c>
      <c r="V4810" s="1">
        <f t="shared" si="1050"/>
        <v>0</v>
      </c>
    </row>
    <row r="4811" spans="5:22" x14ac:dyDescent="0.25">
      <c r="E4811" s="4"/>
      <c r="M4811" s="4">
        <f t="shared" si="1043"/>
        <v>173.1</v>
      </c>
      <c r="N4811" s="4"/>
      <c r="O4811" s="1">
        <f t="shared" si="1044"/>
        <v>173.1</v>
      </c>
      <c r="P4811" s="1">
        <f t="shared" si="1045"/>
        <v>0</v>
      </c>
      <c r="Q4811" s="1" t="str">
        <f t="shared" si="1042"/>
        <v/>
      </c>
      <c r="R4811" s="1" t="str">
        <f t="shared" si="1046"/>
        <v/>
      </c>
      <c r="S4811" s="1">
        <f t="shared" si="1047"/>
        <v>630.90240000000244</v>
      </c>
      <c r="T4811" s="1">
        <f t="shared" si="1048"/>
        <v>0</v>
      </c>
      <c r="U4811" s="1">
        <f t="shared" si="1049"/>
        <v>0</v>
      </c>
      <c r="V4811" s="1">
        <f t="shared" si="1050"/>
        <v>0</v>
      </c>
    </row>
    <row r="4812" spans="5:22" x14ac:dyDescent="0.25">
      <c r="E4812" s="4"/>
      <c r="M4812" s="4">
        <f t="shared" si="1043"/>
        <v>173.1</v>
      </c>
      <c r="N4812" s="4"/>
      <c r="O4812" s="1">
        <f t="shared" si="1044"/>
        <v>173.1</v>
      </c>
      <c r="P4812" s="1">
        <f t="shared" si="1045"/>
        <v>0</v>
      </c>
      <c r="Q4812" s="1" t="str">
        <f t="shared" si="1042"/>
        <v/>
      </c>
      <c r="R4812" s="1" t="str">
        <f t="shared" si="1046"/>
        <v/>
      </c>
      <c r="S4812" s="1">
        <f t="shared" si="1047"/>
        <v>630.90240000000244</v>
      </c>
      <c r="T4812" s="1">
        <f t="shared" si="1048"/>
        <v>0</v>
      </c>
      <c r="U4812" s="1">
        <f t="shared" si="1049"/>
        <v>0</v>
      </c>
      <c r="V4812" s="1">
        <f t="shared" si="1050"/>
        <v>0</v>
      </c>
    </row>
    <row r="4813" spans="5:22" x14ac:dyDescent="0.25">
      <c r="E4813" s="4"/>
      <c r="M4813" s="4">
        <f t="shared" si="1043"/>
        <v>173.1</v>
      </c>
      <c r="N4813" s="4"/>
      <c r="O4813" s="1">
        <f t="shared" si="1044"/>
        <v>173.1</v>
      </c>
      <c r="P4813" s="1">
        <f t="shared" si="1045"/>
        <v>0</v>
      </c>
      <c r="Q4813" s="1" t="str">
        <f t="shared" si="1042"/>
        <v/>
      </c>
      <c r="R4813" s="1" t="str">
        <f t="shared" si="1046"/>
        <v/>
      </c>
      <c r="S4813" s="1">
        <f t="shared" si="1047"/>
        <v>630.90240000000244</v>
      </c>
      <c r="T4813" s="1">
        <f t="shared" si="1048"/>
        <v>0</v>
      </c>
      <c r="U4813" s="1">
        <f t="shared" si="1049"/>
        <v>0</v>
      </c>
      <c r="V4813" s="1">
        <f t="shared" si="1050"/>
        <v>0</v>
      </c>
    </row>
    <row r="4814" spans="5:22" x14ac:dyDescent="0.25">
      <c r="E4814" s="4"/>
      <c r="M4814" s="4">
        <f t="shared" si="1043"/>
        <v>173.1</v>
      </c>
      <c r="N4814" s="4"/>
      <c r="O4814" s="1">
        <f t="shared" si="1044"/>
        <v>173.1</v>
      </c>
      <c r="P4814" s="1">
        <f t="shared" si="1045"/>
        <v>0</v>
      </c>
      <c r="Q4814" s="1" t="str">
        <f t="shared" si="1042"/>
        <v/>
      </c>
      <c r="R4814" s="1" t="str">
        <f t="shared" si="1046"/>
        <v/>
      </c>
      <c r="S4814" s="1">
        <f t="shared" si="1047"/>
        <v>630.90240000000244</v>
      </c>
      <c r="T4814" s="1">
        <f t="shared" si="1048"/>
        <v>0</v>
      </c>
      <c r="U4814" s="1">
        <f t="shared" si="1049"/>
        <v>0</v>
      </c>
      <c r="V4814" s="1">
        <f t="shared" si="1050"/>
        <v>0</v>
      </c>
    </row>
    <row r="4815" spans="5:22" x14ac:dyDescent="0.25">
      <c r="E4815" s="4"/>
      <c r="M4815" s="4">
        <f t="shared" si="1043"/>
        <v>173.1</v>
      </c>
      <c r="N4815" s="4"/>
      <c r="O4815" s="1">
        <f t="shared" si="1044"/>
        <v>173.1</v>
      </c>
      <c r="P4815" s="1">
        <f t="shared" si="1045"/>
        <v>0</v>
      </c>
      <c r="Q4815" s="1" t="str">
        <f t="shared" si="1042"/>
        <v/>
      </c>
      <c r="R4815" s="1" t="str">
        <f t="shared" si="1046"/>
        <v/>
      </c>
      <c r="S4815" s="1">
        <f t="shared" si="1047"/>
        <v>630.90240000000244</v>
      </c>
      <c r="T4815" s="1">
        <f t="shared" si="1048"/>
        <v>0</v>
      </c>
      <c r="U4815" s="1">
        <f t="shared" si="1049"/>
        <v>0</v>
      </c>
      <c r="V4815" s="1">
        <f t="shared" si="1050"/>
        <v>0</v>
      </c>
    </row>
    <row r="4816" spans="5:22" x14ac:dyDescent="0.25">
      <c r="E4816" s="4"/>
      <c r="M4816" s="4">
        <f t="shared" si="1043"/>
        <v>173.1</v>
      </c>
      <c r="N4816" s="4"/>
      <c r="O4816" s="1">
        <f t="shared" si="1044"/>
        <v>173.1</v>
      </c>
      <c r="P4816" s="1">
        <f t="shared" si="1045"/>
        <v>0</v>
      </c>
      <c r="Q4816" s="1" t="str">
        <f t="shared" si="1042"/>
        <v/>
      </c>
      <c r="R4816" s="1" t="str">
        <f t="shared" si="1046"/>
        <v/>
      </c>
      <c r="S4816" s="1">
        <f t="shared" si="1047"/>
        <v>630.90240000000244</v>
      </c>
      <c r="T4816" s="1">
        <f t="shared" si="1048"/>
        <v>0</v>
      </c>
      <c r="U4816" s="1">
        <f t="shared" si="1049"/>
        <v>0</v>
      </c>
      <c r="V4816" s="1">
        <f t="shared" si="1050"/>
        <v>0</v>
      </c>
    </row>
    <row r="4817" spans="5:22" x14ac:dyDescent="0.25">
      <c r="E4817" s="4"/>
      <c r="M4817" s="4">
        <f t="shared" si="1043"/>
        <v>173.1</v>
      </c>
      <c r="N4817" s="4"/>
      <c r="O4817" s="1">
        <f t="shared" si="1044"/>
        <v>173.1</v>
      </c>
      <c r="P4817" s="1">
        <f t="shared" si="1045"/>
        <v>0</v>
      </c>
      <c r="Q4817" s="1" t="str">
        <f t="shared" si="1042"/>
        <v/>
      </c>
      <c r="R4817" s="1" t="str">
        <f t="shared" si="1046"/>
        <v/>
      </c>
      <c r="S4817" s="1">
        <f t="shared" si="1047"/>
        <v>630.90240000000244</v>
      </c>
      <c r="T4817" s="1">
        <f t="shared" si="1048"/>
        <v>0</v>
      </c>
      <c r="U4817" s="1">
        <f t="shared" si="1049"/>
        <v>0</v>
      </c>
      <c r="V4817" s="1">
        <f t="shared" si="1050"/>
        <v>0</v>
      </c>
    </row>
    <row r="4818" spans="5:22" x14ac:dyDescent="0.25">
      <c r="E4818" s="4"/>
      <c r="M4818" s="4">
        <f t="shared" si="1043"/>
        <v>173.1</v>
      </c>
      <c r="N4818" s="4"/>
      <c r="O4818" s="1">
        <f t="shared" si="1044"/>
        <v>173.1</v>
      </c>
      <c r="P4818" s="1">
        <f t="shared" si="1045"/>
        <v>0</v>
      </c>
      <c r="Q4818" s="1" t="str">
        <f t="shared" si="1042"/>
        <v/>
      </c>
      <c r="R4818" s="1" t="str">
        <f t="shared" si="1046"/>
        <v/>
      </c>
      <c r="S4818" s="1">
        <f t="shared" si="1047"/>
        <v>630.90240000000244</v>
      </c>
      <c r="T4818" s="1">
        <f t="shared" si="1048"/>
        <v>0</v>
      </c>
      <c r="U4818" s="1">
        <f t="shared" si="1049"/>
        <v>0</v>
      </c>
      <c r="V4818" s="1">
        <f t="shared" si="1050"/>
        <v>0</v>
      </c>
    </row>
    <row r="4819" spans="5:22" x14ac:dyDescent="0.25">
      <c r="E4819" s="4"/>
      <c r="M4819" s="4">
        <f t="shared" si="1043"/>
        <v>173.1</v>
      </c>
      <c r="N4819" s="4"/>
      <c r="O4819" s="1">
        <f t="shared" si="1044"/>
        <v>173.1</v>
      </c>
      <c r="P4819" s="1">
        <f t="shared" si="1045"/>
        <v>0</v>
      </c>
      <c r="Q4819" s="1" t="str">
        <f t="shared" si="1042"/>
        <v/>
      </c>
      <c r="R4819" s="1" t="str">
        <f t="shared" si="1046"/>
        <v/>
      </c>
      <c r="S4819" s="1">
        <f t="shared" si="1047"/>
        <v>630.90240000000244</v>
      </c>
      <c r="T4819" s="1">
        <f t="shared" si="1048"/>
        <v>0</v>
      </c>
      <c r="U4819" s="1">
        <f t="shared" si="1049"/>
        <v>0</v>
      </c>
      <c r="V4819" s="1">
        <f t="shared" si="1050"/>
        <v>0</v>
      </c>
    </row>
    <row r="4820" spans="5:22" x14ac:dyDescent="0.25">
      <c r="E4820" s="4"/>
      <c r="M4820" s="4">
        <f t="shared" si="1043"/>
        <v>173.1</v>
      </c>
      <c r="N4820" s="4"/>
      <c r="O4820" s="1">
        <f t="shared" si="1044"/>
        <v>173.1</v>
      </c>
      <c r="P4820" s="1">
        <f t="shared" si="1045"/>
        <v>0</v>
      </c>
      <c r="Q4820" s="1" t="str">
        <f t="shared" si="1042"/>
        <v/>
      </c>
      <c r="R4820" s="1" t="str">
        <f t="shared" si="1046"/>
        <v/>
      </c>
      <c r="S4820" s="1">
        <f t="shared" si="1047"/>
        <v>630.90240000000244</v>
      </c>
      <c r="T4820" s="1">
        <f t="shared" si="1048"/>
        <v>0</v>
      </c>
      <c r="U4820" s="1">
        <f t="shared" si="1049"/>
        <v>0</v>
      </c>
      <c r="V4820" s="1">
        <f t="shared" si="1050"/>
        <v>0</v>
      </c>
    </row>
    <row r="4821" spans="5:22" x14ac:dyDescent="0.25">
      <c r="E4821" s="4"/>
      <c r="M4821" s="4">
        <f t="shared" si="1043"/>
        <v>173.1</v>
      </c>
      <c r="N4821" s="4"/>
      <c r="O4821" s="1">
        <f t="shared" si="1044"/>
        <v>173.1</v>
      </c>
      <c r="P4821" s="1">
        <f t="shared" si="1045"/>
        <v>0</v>
      </c>
      <c r="Q4821" s="1" t="str">
        <f t="shared" si="1042"/>
        <v/>
      </c>
      <c r="R4821" s="1" t="str">
        <f t="shared" si="1046"/>
        <v/>
      </c>
      <c r="S4821" s="1">
        <f t="shared" si="1047"/>
        <v>630.90240000000244</v>
      </c>
      <c r="T4821" s="1">
        <f t="shared" si="1048"/>
        <v>0</v>
      </c>
      <c r="U4821" s="1">
        <f t="shared" si="1049"/>
        <v>0</v>
      </c>
      <c r="V4821" s="1">
        <f t="shared" si="1050"/>
        <v>0</v>
      </c>
    </row>
    <row r="4822" spans="5:22" x14ac:dyDescent="0.25">
      <c r="E4822" s="4"/>
      <c r="M4822" s="4">
        <f t="shared" si="1043"/>
        <v>173.1</v>
      </c>
      <c r="N4822" s="4"/>
      <c r="O4822" s="1">
        <f t="shared" si="1044"/>
        <v>173.1</v>
      </c>
      <c r="P4822" s="1">
        <f t="shared" si="1045"/>
        <v>0</v>
      </c>
      <c r="Q4822" s="1" t="str">
        <f t="shared" si="1042"/>
        <v/>
      </c>
      <c r="R4822" s="1" t="str">
        <f t="shared" si="1046"/>
        <v/>
      </c>
      <c r="S4822" s="1">
        <f t="shared" si="1047"/>
        <v>630.90240000000244</v>
      </c>
      <c r="T4822" s="1">
        <f t="shared" si="1048"/>
        <v>0</v>
      </c>
      <c r="U4822" s="1">
        <f t="shared" si="1049"/>
        <v>0</v>
      </c>
      <c r="V4822" s="1">
        <f t="shared" si="1050"/>
        <v>0</v>
      </c>
    </row>
    <row r="4823" spans="5:22" x14ac:dyDescent="0.25">
      <c r="E4823" s="4"/>
      <c r="M4823" s="4">
        <f t="shared" si="1043"/>
        <v>173.1</v>
      </c>
      <c r="N4823" s="4"/>
      <c r="O4823" s="1">
        <f t="shared" si="1044"/>
        <v>173.1</v>
      </c>
      <c r="P4823" s="1">
        <f t="shared" si="1045"/>
        <v>0</v>
      </c>
      <c r="Q4823" s="1" t="str">
        <f t="shared" si="1042"/>
        <v/>
      </c>
      <c r="R4823" s="1" t="str">
        <f t="shared" si="1046"/>
        <v/>
      </c>
      <c r="S4823" s="1">
        <f t="shared" si="1047"/>
        <v>630.90240000000244</v>
      </c>
      <c r="T4823" s="1">
        <f t="shared" si="1048"/>
        <v>0</v>
      </c>
      <c r="U4823" s="1">
        <f t="shared" si="1049"/>
        <v>0</v>
      </c>
      <c r="V4823" s="1">
        <f t="shared" si="1050"/>
        <v>0</v>
      </c>
    </row>
    <row r="4824" spans="5:22" x14ac:dyDescent="0.25">
      <c r="E4824" s="4"/>
      <c r="M4824" s="4">
        <f t="shared" si="1043"/>
        <v>173.1</v>
      </c>
      <c r="N4824" s="4"/>
      <c r="O4824" s="1">
        <f t="shared" si="1044"/>
        <v>173.1</v>
      </c>
      <c r="P4824" s="1">
        <f t="shared" si="1045"/>
        <v>0</v>
      </c>
      <c r="Q4824" s="1" t="str">
        <f t="shared" si="1042"/>
        <v/>
      </c>
      <c r="R4824" s="1" t="str">
        <f t="shared" si="1046"/>
        <v/>
      </c>
      <c r="S4824" s="1">
        <f t="shared" si="1047"/>
        <v>630.90240000000244</v>
      </c>
      <c r="T4824" s="1">
        <f t="shared" si="1048"/>
        <v>0</v>
      </c>
      <c r="U4824" s="1">
        <f t="shared" si="1049"/>
        <v>0</v>
      </c>
      <c r="V4824" s="1">
        <f t="shared" si="1050"/>
        <v>0</v>
      </c>
    </row>
    <row r="4825" spans="5:22" x14ac:dyDescent="0.25">
      <c r="E4825" s="4"/>
      <c r="M4825" s="4">
        <f t="shared" si="1043"/>
        <v>173.1</v>
      </c>
      <c r="N4825" s="4"/>
      <c r="O4825" s="1">
        <f t="shared" si="1044"/>
        <v>173.1</v>
      </c>
      <c r="P4825" s="1">
        <f t="shared" si="1045"/>
        <v>0</v>
      </c>
      <c r="Q4825" s="1" t="str">
        <f t="shared" si="1042"/>
        <v/>
      </c>
      <c r="R4825" s="1" t="str">
        <f t="shared" si="1046"/>
        <v/>
      </c>
      <c r="S4825" s="1">
        <f t="shared" si="1047"/>
        <v>630.90240000000244</v>
      </c>
      <c r="T4825" s="1">
        <f t="shared" si="1048"/>
        <v>0</v>
      </c>
      <c r="U4825" s="1">
        <f t="shared" si="1049"/>
        <v>0</v>
      </c>
      <c r="V4825" s="1">
        <f t="shared" si="1050"/>
        <v>0</v>
      </c>
    </row>
    <row r="4826" spans="5:22" x14ac:dyDescent="0.25">
      <c r="E4826" s="4"/>
      <c r="M4826" s="4">
        <f t="shared" si="1043"/>
        <v>173.1</v>
      </c>
      <c r="N4826" s="4"/>
      <c r="O4826" s="1">
        <f t="shared" si="1044"/>
        <v>173.1</v>
      </c>
      <c r="P4826" s="1">
        <f t="shared" si="1045"/>
        <v>0</v>
      </c>
      <c r="Q4826" s="1" t="str">
        <f t="shared" si="1042"/>
        <v/>
      </c>
      <c r="R4826" s="1" t="str">
        <f t="shared" si="1046"/>
        <v/>
      </c>
      <c r="S4826" s="1">
        <f t="shared" si="1047"/>
        <v>630.90240000000244</v>
      </c>
      <c r="T4826" s="1">
        <f t="shared" si="1048"/>
        <v>0</v>
      </c>
      <c r="U4826" s="1">
        <f t="shared" si="1049"/>
        <v>0</v>
      </c>
      <c r="V4826" s="1">
        <f t="shared" si="1050"/>
        <v>0</v>
      </c>
    </row>
    <row r="4827" spans="5:22" x14ac:dyDescent="0.25">
      <c r="E4827" s="4"/>
      <c r="M4827" s="4">
        <f t="shared" si="1043"/>
        <v>173.1</v>
      </c>
      <c r="N4827" s="4"/>
      <c r="O4827" s="1">
        <f t="shared" si="1044"/>
        <v>173.1</v>
      </c>
      <c r="P4827" s="1">
        <f t="shared" si="1045"/>
        <v>0</v>
      </c>
      <c r="Q4827" s="1" t="str">
        <f t="shared" si="1042"/>
        <v/>
      </c>
      <c r="R4827" s="1" t="str">
        <f t="shared" si="1046"/>
        <v/>
      </c>
      <c r="S4827" s="1">
        <f t="shared" si="1047"/>
        <v>630.90240000000244</v>
      </c>
      <c r="T4827" s="1">
        <f t="shared" si="1048"/>
        <v>0</v>
      </c>
      <c r="U4827" s="1">
        <f t="shared" si="1049"/>
        <v>0</v>
      </c>
      <c r="V4827" s="1">
        <f t="shared" si="1050"/>
        <v>0</v>
      </c>
    </row>
    <row r="4828" spans="5:22" x14ac:dyDescent="0.25">
      <c r="E4828" s="4"/>
      <c r="M4828" s="4">
        <f t="shared" si="1043"/>
        <v>173.1</v>
      </c>
      <c r="N4828" s="4"/>
      <c r="O4828" s="1">
        <f t="shared" si="1044"/>
        <v>173.1</v>
      </c>
      <c r="P4828" s="1">
        <f t="shared" si="1045"/>
        <v>0</v>
      </c>
      <c r="Q4828" s="1" t="str">
        <f t="shared" si="1042"/>
        <v/>
      </c>
      <c r="R4828" s="1" t="str">
        <f t="shared" si="1046"/>
        <v/>
      </c>
      <c r="S4828" s="1">
        <f t="shared" si="1047"/>
        <v>630.90240000000244</v>
      </c>
      <c r="T4828" s="1">
        <f t="shared" si="1048"/>
        <v>0</v>
      </c>
      <c r="U4828" s="1">
        <f t="shared" si="1049"/>
        <v>0</v>
      </c>
      <c r="V4828" s="1">
        <f t="shared" si="1050"/>
        <v>0</v>
      </c>
    </row>
    <row r="4829" spans="5:22" x14ac:dyDescent="0.25">
      <c r="E4829" s="4"/>
      <c r="M4829" s="4">
        <f t="shared" si="1043"/>
        <v>173.1</v>
      </c>
      <c r="N4829" s="4"/>
      <c r="O4829" s="1">
        <f t="shared" si="1044"/>
        <v>173.1</v>
      </c>
      <c r="P4829" s="1">
        <f t="shared" si="1045"/>
        <v>0</v>
      </c>
      <c r="Q4829" s="1" t="str">
        <f t="shared" si="1042"/>
        <v/>
      </c>
      <c r="R4829" s="1" t="str">
        <f t="shared" si="1046"/>
        <v/>
      </c>
      <c r="S4829" s="1">
        <f t="shared" si="1047"/>
        <v>630.90240000000244</v>
      </c>
      <c r="T4829" s="1">
        <f t="shared" si="1048"/>
        <v>0</v>
      </c>
      <c r="U4829" s="1">
        <f t="shared" si="1049"/>
        <v>0</v>
      </c>
      <c r="V4829" s="1">
        <f t="shared" si="1050"/>
        <v>0</v>
      </c>
    </row>
    <row r="4830" spans="5:22" x14ac:dyDescent="0.25">
      <c r="E4830" s="4"/>
      <c r="M4830" s="4">
        <f t="shared" si="1043"/>
        <v>173.1</v>
      </c>
      <c r="N4830" s="4"/>
      <c r="O4830" s="1">
        <f t="shared" si="1044"/>
        <v>173.1</v>
      </c>
      <c r="P4830" s="1">
        <f t="shared" si="1045"/>
        <v>0</v>
      </c>
      <c r="Q4830" s="1" t="str">
        <f t="shared" si="1042"/>
        <v/>
      </c>
      <c r="R4830" s="1" t="str">
        <f t="shared" si="1046"/>
        <v/>
      </c>
      <c r="S4830" s="1">
        <f t="shared" si="1047"/>
        <v>630.90240000000244</v>
      </c>
      <c r="T4830" s="1">
        <f t="shared" si="1048"/>
        <v>0</v>
      </c>
      <c r="U4830" s="1">
        <f t="shared" si="1049"/>
        <v>0</v>
      </c>
      <c r="V4830" s="1">
        <f t="shared" si="1050"/>
        <v>0</v>
      </c>
    </row>
    <row r="4831" spans="5:22" x14ac:dyDescent="0.25">
      <c r="E4831" s="4"/>
      <c r="M4831" s="4">
        <f t="shared" si="1043"/>
        <v>173.1</v>
      </c>
      <c r="N4831" s="4"/>
      <c r="O4831" s="1">
        <f t="shared" si="1044"/>
        <v>173.1</v>
      </c>
      <c r="P4831" s="1">
        <f t="shared" si="1045"/>
        <v>0</v>
      </c>
      <c r="Q4831" s="1" t="str">
        <f t="shared" si="1042"/>
        <v/>
      </c>
      <c r="R4831" s="1" t="str">
        <f t="shared" si="1046"/>
        <v/>
      </c>
      <c r="S4831" s="1">
        <f t="shared" si="1047"/>
        <v>630.90240000000244</v>
      </c>
      <c r="T4831" s="1">
        <f t="shared" si="1048"/>
        <v>0</v>
      </c>
      <c r="U4831" s="1">
        <f t="shared" si="1049"/>
        <v>0</v>
      </c>
      <c r="V4831" s="1">
        <f t="shared" si="1050"/>
        <v>0</v>
      </c>
    </row>
    <row r="4832" spans="5:22" x14ac:dyDescent="0.25">
      <c r="E4832" s="4"/>
      <c r="M4832" s="4">
        <f t="shared" si="1043"/>
        <v>173.1</v>
      </c>
      <c r="N4832" s="4"/>
      <c r="O4832" s="1">
        <f t="shared" si="1044"/>
        <v>173.1</v>
      </c>
      <c r="P4832" s="1">
        <f t="shared" si="1045"/>
        <v>0</v>
      </c>
      <c r="Q4832" s="1" t="str">
        <f t="shared" si="1042"/>
        <v/>
      </c>
      <c r="R4832" s="1" t="str">
        <f t="shared" si="1046"/>
        <v/>
      </c>
      <c r="S4832" s="1">
        <f t="shared" si="1047"/>
        <v>630.90240000000244</v>
      </c>
      <c r="T4832" s="1">
        <f t="shared" si="1048"/>
        <v>0</v>
      </c>
      <c r="U4832" s="1">
        <f t="shared" si="1049"/>
        <v>0</v>
      </c>
      <c r="V4832" s="1">
        <f t="shared" si="1050"/>
        <v>0</v>
      </c>
    </row>
    <row r="4833" spans="5:22" x14ac:dyDescent="0.25">
      <c r="E4833" s="4"/>
      <c r="M4833" s="4">
        <f t="shared" si="1043"/>
        <v>173.1</v>
      </c>
      <c r="N4833" s="4"/>
      <c r="O4833" s="1">
        <f t="shared" si="1044"/>
        <v>173.1</v>
      </c>
      <c r="P4833" s="1">
        <f t="shared" si="1045"/>
        <v>0</v>
      </c>
      <c r="Q4833" s="1" t="str">
        <f t="shared" si="1042"/>
        <v/>
      </c>
      <c r="R4833" s="1" t="str">
        <f t="shared" si="1046"/>
        <v/>
      </c>
      <c r="S4833" s="1">
        <f t="shared" si="1047"/>
        <v>630.90240000000244</v>
      </c>
      <c r="T4833" s="1">
        <f t="shared" si="1048"/>
        <v>0</v>
      </c>
      <c r="U4833" s="1">
        <f t="shared" si="1049"/>
        <v>0</v>
      </c>
      <c r="V4833" s="1">
        <f t="shared" si="1050"/>
        <v>0</v>
      </c>
    </row>
    <row r="4834" spans="5:22" x14ac:dyDescent="0.25">
      <c r="E4834" s="4"/>
      <c r="M4834" s="4">
        <f t="shared" si="1043"/>
        <v>173.1</v>
      </c>
      <c r="N4834" s="4"/>
      <c r="O4834" s="1">
        <f t="shared" si="1044"/>
        <v>173.1</v>
      </c>
      <c r="P4834" s="1">
        <f t="shared" si="1045"/>
        <v>0</v>
      </c>
      <c r="Q4834" s="1" t="str">
        <f t="shared" si="1042"/>
        <v/>
      </c>
      <c r="R4834" s="1" t="str">
        <f t="shared" si="1046"/>
        <v/>
      </c>
      <c r="S4834" s="1">
        <f t="shared" si="1047"/>
        <v>630.90240000000244</v>
      </c>
      <c r="T4834" s="1">
        <f t="shared" si="1048"/>
        <v>0</v>
      </c>
      <c r="U4834" s="1">
        <f t="shared" si="1049"/>
        <v>0</v>
      </c>
      <c r="V4834" s="1">
        <f t="shared" si="1050"/>
        <v>0</v>
      </c>
    </row>
    <row r="4835" spans="5:22" x14ac:dyDescent="0.25">
      <c r="E4835" s="4"/>
      <c r="M4835" s="4">
        <f t="shared" si="1043"/>
        <v>173.1</v>
      </c>
      <c r="N4835" s="4"/>
      <c r="O4835" s="1">
        <f t="shared" si="1044"/>
        <v>173.1</v>
      </c>
      <c r="P4835" s="1">
        <f t="shared" si="1045"/>
        <v>0</v>
      </c>
      <c r="Q4835" s="1" t="str">
        <f t="shared" si="1042"/>
        <v/>
      </c>
      <c r="R4835" s="1" t="str">
        <f t="shared" si="1046"/>
        <v/>
      </c>
      <c r="S4835" s="1">
        <f t="shared" si="1047"/>
        <v>630.90240000000244</v>
      </c>
      <c r="T4835" s="1">
        <f t="shared" si="1048"/>
        <v>0</v>
      </c>
      <c r="U4835" s="1">
        <f t="shared" si="1049"/>
        <v>0</v>
      </c>
      <c r="V4835" s="1">
        <f t="shared" si="1050"/>
        <v>0</v>
      </c>
    </row>
    <row r="4836" spans="5:22" x14ac:dyDescent="0.25">
      <c r="E4836" s="4"/>
      <c r="M4836" s="4">
        <f t="shared" si="1043"/>
        <v>173.1</v>
      </c>
      <c r="N4836" s="4"/>
      <c r="O4836" s="1">
        <f t="shared" si="1044"/>
        <v>173.1</v>
      </c>
      <c r="P4836" s="1">
        <f t="shared" si="1045"/>
        <v>0</v>
      </c>
      <c r="Q4836" s="1" t="str">
        <f t="shared" si="1042"/>
        <v/>
      </c>
      <c r="R4836" s="1" t="str">
        <f t="shared" si="1046"/>
        <v/>
      </c>
      <c r="S4836" s="1">
        <f t="shared" si="1047"/>
        <v>630.90240000000244</v>
      </c>
      <c r="T4836" s="1">
        <f t="shared" si="1048"/>
        <v>0</v>
      </c>
      <c r="U4836" s="1">
        <f t="shared" si="1049"/>
        <v>0</v>
      </c>
      <c r="V4836" s="1">
        <f t="shared" si="1050"/>
        <v>0</v>
      </c>
    </row>
    <row r="4837" spans="5:22" x14ac:dyDescent="0.25">
      <c r="E4837" s="4"/>
      <c r="M4837" s="4">
        <f t="shared" si="1043"/>
        <v>173.1</v>
      </c>
      <c r="N4837" s="4"/>
      <c r="O4837" s="1">
        <f t="shared" si="1044"/>
        <v>173.1</v>
      </c>
      <c r="P4837" s="1">
        <f t="shared" si="1045"/>
        <v>0</v>
      </c>
      <c r="Q4837" s="1" t="str">
        <f t="shared" si="1042"/>
        <v/>
      </c>
      <c r="R4837" s="1" t="str">
        <f t="shared" si="1046"/>
        <v/>
      </c>
      <c r="S4837" s="1">
        <f t="shared" si="1047"/>
        <v>630.90240000000244</v>
      </c>
      <c r="T4837" s="1">
        <f t="shared" si="1048"/>
        <v>0</v>
      </c>
      <c r="U4837" s="1">
        <f t="shared" si="1049"/>
        <v>0</v>
      </c>
      <c r="V4837" s="1">
        <f t="shared" si="1050"/>
        <v>0</v>
      </c>
    </row>
    <row r="4838" spans="5:22" x14ac:dyDescent="0.25">
      <c r="E4838" s="4"/>
      <c r="M4838" s="4">
        <f t="shared" si="1043"/>
        <v>173.1</v>
      </c>
      <c r="N4838" s="4"/>
      <c r="O4838" s="1">
        <f t="shared" si="1044"/>
        <v>173.1</v>
      </c>
      <c r="P4838" s="1">
        <f t="shared" si="1045"/>
        <v>0</v>
      </c>
      <c r="Q4838" s="1" t="str">
        <f t="shared" si="1042"/>
        <v/>
      </c>
      <c r="R4838" s="1" t="str">
        <f t="shared" si="1046"/>
        <v/>
      </c>
      <c r="S4838" s="1">
        <f t="shared" si="1047"/>
        <v>630.90240000000244</v>
      </c>
      <c r="T4838" s="1">
        <f t="shared" si="1048"/>
        <v>0</v>
      </c>
      <c r="U4838" s="1">
        <f t="shared" si="1049"/>
        <v>0</v>
      </c>
      <c r="V4838" s="1">
        <f t="shared" si="1050"/>
        <v>0</v>
      </c>
    </row>
    <row r="4839" spans="5:22" x14ac:dyDescent="0.25">
      <c r="E4839" s="4"/>
      <c r="M4839" s="4">
        <f t="shared" si="1043"/>
        <v>173.1</v>
      </c>
      <c r="N4839" s="4"/>
      <c r="O4839" s="1">
        <f t="shared" si="1044"/>
        <v>173.1</v>
      </c>
      <c r="P4839" s="1">
        <f t="shared" si="1045"/>
        <v>0</v>
      </c>
      <c r="Q4839" s="1" t="str">
        <f t="shared" si="1042"/>
        <v/>
      </c>
      <c r="R4839" s="1" t="str">
        <f t="shared" si="1046"/>
        <v/>
      </c>
      <c r="S4839" s="1">
        <f t="shared" si="1047"/>
        <v>630.90240000000244</v>
      </c>
      <c r="T4839" s="1">
        <f t="shared" si="1048"/>
        <v>0</v>
      </c>
      <c r="U4839" s="1">
        <f t="shared" si="1049"/>
        <v>0</v>
      </c>
      <c r="V4839" s="1">
        <f t="shared" si="1050"/>
        <v>0</v>
      </c>
    </row>
    <row r="4840" spans="5:22" x14ac:dyDescent="0.25">
      <c r="E4840" s="4"/>
      <c r="M4840" s="4">
        <f t="shared" si="1043"/>
        <v>173.1</v>
      </c>
      <c r="N4840" s="4"/>
      <c r="O4840" s="1">
        <f t="shared" si="1044"/>
        <v>173.1</v>
      </c>
      <c r="P4840" s="1">
        <f t="shared" si="1045"/>
        <v>0</v>
      </c>
      <c r="Q4840" s="1" t="str">
        <f t="shared" si="1042"/>
        <v/>
      </c>
      <c r="R4840" s="1" t="str">
        <f t="shared" si="1046"/>
        <v/>
      </c>
      <c r="S4840" s="1">
        <f t="shared" si="1047"/>
        <v>630.90240000000244</v>
      </c>
      <c r="T4840" s="1">
        <f t="shared" si="1048"/>
        <v>0</v>
      </c>
      <c r="U4840" s="1">
        <f t="shared" si="1049"/>
        <v>0</v>
      </c>
      <c r="V4840" s="1">
        <f t="shared" si="1050"/>
        <v>0</v>
      </c>
    </row>
    <row r="4841" spans="5:22" x14ac:dyDescent="0.25">
      <c r="E4841" s="4"/>
      <c r="M4841" s="4">
        <f t="shared" si="1043"/>
        <v>173.1</v>
      </c>
      <c r="N4841" s="4"/>
      <c r="O4841" s="1">
        <f t="shared" si="1044"/>
        <v>173.1</v>
      </c>
      <c r="P4841" s="1">
        <f t="shared" si="1045"/>
        <v>0</v>
      </c>
      <c r="Q4841" s="1" t="str">
        <f t="shared" si="1042"/>
        <v/>
      </c>
      <c r="R4841" s="1" t="str">
        <f t="shared" si="1046"/>
        <v/>
      </c>
      <c r="S4841" s="1">
        <f t="shared" si="1047"/>
        <v>630.90240000000244</v>
      </c>
      <c r="T4841" s="1">
        <f t="shared" si="1048"/>
        <v>0</v>
      </c>
      <c r="U4841" s="1">
        <f t="shared" si="1049"/>
        <v>0</v>
      </c>
      <c r="V4841" s="1">
        <f t="shared" si="1050"/>
        <v>0</v>
      </c>
    </row>
    <row r="4842" spans="5:22" x14ac:dyDescent="0.25">
      <c r="E4842" s="4"/>
      <c r="M4842" s="4">
        <f t="shared" si="1043"/>
        <v>173.1</v>
      </c>
      <c r="N4842" s="4"/>
      <c r="O4842" s="1">
        <f t="shared" si="1044"/>
        <v>173.1</v>
      </c>
      <c r="P4842" s="1">
        <f t="shared" si="1045"/>
        <v>0</v>
      </c>
      <c r="Q4842" s="1" t="str">
        <f t="shared" si="1042"/>
        <v/>
      </c>
      <c r="R4842" s="1" t="str">
        <f t="shared" si="1046"/>
        <v/>
      </c>
      <c r="S4842" s="1">
        <f t="shared" si="1047"/>
        <v>630.90240000000244</v>
      </c>
      <c r="T4842" s="1">
        <f t="shared" si="1048"/>
        <v>0</v>
      </c>
      <c r="U4842" s="1">
        <f t="shared" si="1049"/>
        <v>0</v>
      </c>
      <c r="V4842" s="1">
        <f t="shared" si="1050"/>
        <v>0</v>
      </c>
    </row>
    <row r="4843" spans="5:22" x14ac:dyDescent="0.25">
      <c r="E4843" s="4"/>
      <c r="M4843" s="4">
        <f t="shared" si="1043"/>
        <v>173.1</v>
      </c>
      <c r="N4843" s="4"/>
      <c r="O4843" s="1">
        <f t="shared" si="1044"/>
        <v>173.1</v>
      </c>
      <c r="P4843" s="1">
        <f t="shared" si="1045"/>
        <v>0</v>
      </c>
      <c r="Q4843" s="1" t="str">
        <f t="shared" si="1042"/>
        <v/>
      </c>
      <c r="R4843" s="1" t="str">
        <f t="shared" si="1046"/>
        <v/>
      </c>
      <c r="S4843" s="1">
        <f t="shared" si="1047"/>
        <v>630.90240000000244</v>
      </c>
      <c r="T4843" s="1">
        <f t="shared" si="1048"/>
        <v>0</v>
      </c>
      <c r="U4843" s="1">
        <f t="shared" si="1049"/>
        <v>0</v>
      </c>
      <c r="V4843" s="1">
        <f t="shared" si="1050"/>
        <v>0</v>
      </c>
    </row>
    <row r="4844" spans="5:22" x14ac:dyDescent="0.25">
      <c r="E4844" s="4"/>
      <c r="M4844" s="4">
        <f t="shared" si="1043"/>
        <v>173.1</v>
      </c>
      <c r="N4844" s="4"/>
      <c r="O4844" s="1">
        <f t="shared" si="1044"/>
        <v>173.1</v>
      </c>
      <c r="P4844" s="1">
        <f t="shared" si="1045"/>
        <v>0</v>
      </c>
      <c r="Q4844" s="1" t="str">
        <f t="shared" si="1042"/>
        <v/>
      </c>
      <c r="R4844" s="1" t="str">
        <f t="shared" si="1046"/>
        <v/>
      </c>
      <c r="S4844" s="1">
        <f t="shared" si="1047"/>
        <v>630.90240000000244</v>
      </c>
      <c r="T4844" s="1">
        <f t="shared" si="1048"/>
        <v>0</v>
      </c>
      <c r="U4844" s="1">
        <f t="shared" si="1049"/>
        <v>0</v>
      </c>
      <c r="V4844" s="1">
        <f t="shared" si="1050"/>
        <v>0</v>
      </c>
    </row>
    <row r="4845" spans="5:22" x14ac:dyDescent="0.25">
      <c r="E4845" s="4"/>
      <c r="M4845" s="4">
        <f t="shared" si="1043"/>
        <v>173.1</v>
      </c>
      <c r="N4845" s="4"/>
      <c r="O4845" s="1">
        <f t="shared" si="1044"/>
        <v>173.1</v>
      </c>
      <c r="P4845" s="1">
        <f t="shared" si="1045"/>
        <v>0</v>
      </c>
      <c r="Q4845" s="1" t="str">
        <f t="shared" si="1042"/>
        <v/>
      </c>
      <c r="R4845" s="1" t="str">
        <f t="shared" si="1046"/>
        <v/>
      </c>
      <c r="S4845" s="1">
        <f t="shared" si="1047"/>
        <v>630.90240000000244</v>
      </c>
      <c r="T4845" s="1">
        <f t="shared" si="1048"/>
        <v>0</v>
      </c>
      <c r="U4845" s="1">
        <f t="shared" si="1049"/>
        <v>0</v>
      </c>
      <c r="V4845" s="1">
        <f t="shared" si="1050"/>
        <v>0</v>
      </c>
    </row>
    <row r="4846" spans="5:22" x14ac:dyDescent="0.25">
      <c r="E4846" s="4"/>
      <c r="M4846" s="4">
        <f t="shared" si="1043"/>
        <v>173.1</v>
      </c>
      <c r="N4846" s="4"/>
      <c r="O4846" s="1">
        <f t="shared" si="1044"/>
        <v>173.1</v>
      </c>
      <c r="P4846" s="1">
        <f t="shared" si="1045"/>
        <v>0</v>
      </c>
      <c r="Q4846" s="1" t="str">
        <f t="shared" si="1042"/>
        <v/>
      </c>
      <c r="R4846" s="1" t="str">
        <f t="shared" si="1046"/>
        <v/>
      </c>
      <c r="S4846" s="1">
        <f t="shared" si="1047"/>
        <v>630.90240000000244</v>
      </c>
      <c r="T4846" s="1">
        <f t="shared" si="1048"/>
        <v>0</v>
      </c>
      <c r="U4846" s="1">
        <f t="shared" si="1049"/>
        <v>0</v>
      </c>
      <c r="V4846" s="1">
        <f t="shared" si="1050"/>
        <v>0</v>
      </c>
    </row>
    <row r="4847" spans="5:22" x14ac:dyDescent="0.25">
      <c r="E4847" s="4"/>
      <c r="M4847" s="4">
        <f t="shared" si="1043"/>
        <v>173.1</v>
      </c>
      <c r="N4847" s="4"/>
      <c r="O4847" s="1">
        <f t="shared" si="1044"/>
        <v>173.1</v>
      </c>
      <c r="P4847" s="1">
        <f t="shared" si="1045"/>
        <v>0</v>
      </c>
      <c r="Q4847" s="1" t="str">
        <f t="shared" si="1042"/>
        <v/>
      </c>
      <c r="R4847" s="1" t="str">
        <f t="shared" si="1046"/>
        <v/>
      </c>
      <c r="S4847" s="1">
        <f t="shared" si="1047"/>
        <v>630.90240000000244</v>
      </c>
      <c r="T4847" s="1">
        <f t="shared" si="1048"/>
        <v>0</v>
      </c>
      <c r="U4847" s="1">
        <f t="shared" si="1049"/>
        <v>0</v>
      </c>
      <c r="V4847" s="1">
        <f t="shared" si="1050"/>
        <v>0</v>
      </c>
    </row>
    <row r="4848" spans="5:22" x14ac:dyDescent="0.25">
      <c r="E4848" s="4"/>
      <c r="M4848" s="4">
        <f t="shared" si="1043"/>
        <v>173.1</v>
      </c>
      <c r="N4848" s="4"/>
      <c r="O4848" s="1">
        <f t="shared" si="1044"/>
        <v>173.1</v>
      </c>
      <c r="P4848" s="1">
        <f t="shared" si="1045"/>
        <v>0</v>
      </c>
      <c r="Q4848" s="1" t="str">
        <f t="shared" si="1042"/>
        <v/>
      </c>
      <c r="R4848" s="1" t="str">
        <f t="shared" si="1046"/>
        <v/>
      </c>
      <c r="S4848" s="1">
        <f t="shared" si="1047"/>
        <v>630.90240000000244</v>
      </c>
      <c r="T4848" s="1">
        <f t="shared" si="1048"/>
        <v>0</v>
      </c>
      <c r="U4848" s="1">
        <f t="shared" si="1049"/>
        <v>0</v>
      </c>
      <c r="V4848" s="1">
        <f t="shared" si="1050"/>
        <v>0</v>
      </c>
    </row>
    <row r="4849" spans="5:22" x14ac:dyDescent="0.25">
      <c r="E4849" s="4"/>
      <c r="M4849" s="4">
        <f t="shared" si="1043"/>
        <v>173.1</v>
      </c>
      <c r="N4849" s="4"/>
      <c r="O4849" s="1">
        <f t="shared" si="1044"/>
        <v>173.1</v>
      </c>
      <c r="P4849" s="1">
        <f t="shared" si="1045"/>
        <v>0</v>
      </c>
      <c r="Q4849" s="1" t="str">
        <f t="shared" si="1042"/>
        <v/>
      </c>
      <c r="R4849" s="1" t="str">
        <f t="shared" si="1046"/>
        <v/>
      </c>
      <c r="S4849" s="1">
        <f t="shared" si="1047"/>
        <v>630.90240000000244</v>
      </c>
      <c r="T4849" s="1">
        <f t="shared" si="1048"/>
        <v>0</v>
      </c>
      <c r="U4849" s="1">
        <f t="shared" si="1049"/>
        <v>0</v>
      </c>
      <c r="V4849" s="1">
        <f t="shared" si="1050"/>
        <v>0</v>
      </c>
    </row>
    <row r="4850" spans="5:22" x14ac:dyDescent="0.25">
      <c r="E4850" s="4"/>
      <c r="M4850" s="4">
        <f t="shared" si="1043"/>
        <v>173.1</v>
      </c>
      <c r="N4850" s="4"/>
      <c r="O4850" s="1">
        <f t="shared" si="1044"/>
        <v>173.1</v>
      </c>
      <c r="P4850" s="1">
        <f t="shared" si="1045"/>
        <v>0</v>
      </c>
      <c r="Q4850" s="1" t="str">
        <f t="shared" ref="Q4850:Q4913" si="1051">IF(H4850&lt;&gt;"",IF(H4850=H4849,"",H4850),IF(H4848="","",MAX(H4849,Q4849)))</f>
        <v/>
      </c>
      <c r="R4850" s="1" t="str">
        <f t="shared" si="1046"/>
        <v/>
      </c>
      <c r="S4850" s="1">
        <f t="shared" si="1047"/>
        <v>630.90240000000244</v>
      </c>
      <c r="T4850" s="1">
        <f t="shared" si="1048"/>
        <v>0</v>
      </c>
      <c r="U4850" s="1">
        <f t="shared" si="1049"/>
        <v>0</v>
      </c>
      <c r="V4850" s="1">
        <f t="shared" si="1050"/>
        <v>0</v>
      </c>
    </row>
    <row r="4851" spans="5:22" x14ac:dyDescent="0.25">
      <c r="E4851" s="4"/>
      <c r="M4851" s="4">
        <f t="shared" si="1043"/>
        <v>173.1</v>
      </c>
      <c r="N4851" s="4"/>
      <c r="O4851" s="1">
        <f t="shared" si="1044"/>
        <v>173.1</v>
      </c>
      <c r="P4851" s="1">
        <f t="shared" si="1045"/>
        <v>0</v>
      </c>
      <c r="Q4851" s="1" t="str">
        <f t="shared" si="1051"/>
        <v/>
      </c>
      <c r="R4851" s="1" t="str">
        <f t="shared" si="1046"/>
        <v/>
      </c>
      <c r="S4851" s="1">
        <f t="shared" si="1047"/>
        <v>630.90240000000244</v>
      </c>
      <c r="T4851" s="1">
        <f t="shared" si="1048"/>
        <v>0</v>
      </c>
      <c r="U4851" s="1">
        <f t="shared" si="1049"/>
        <v>0</v>
      </c>
      <c r="V4851" s="1">
        <f t="shared" si="1050"/>
        <v>0</v>
      </c>
    </row>
    <row r="4852" spans="5:22" x14ac:dyDescent="0.25">
      <c r="E4852" s="4"/>
      <c r="M4852" s="4">
        <f t="shared" si="1043"/>
        <v>173.1</v>
      </c>
      <c r="N4852" s="4"/>
      <c r="O4852" s="1">
        <f t="shared" si="1044"/>
        <v>173.1</v>
      </c>
      <c r="P4852" s="1">
        <f t="shared" si="1045"/>
        <v>0</v>
      </c>
      <c r="Q4852" s="1" t="str">
        <f t="shared" si="1051"/>
        <v/>
      </c>
      <c r="R4852" s="1" t="str">
        <f t="shared" si="1046"/>
        <v/>
      </c>
      <c r="S4852" s="1">
        <f t="shared" si="1047"/>
        <v>630.90240000000244</v>
      </c>
      <c r="T4852" s="1">
        <f t="shared" si="1048"/>
        <v>0</v>
      </c>
      <c r="U4852" s="1">
        <f t="shared" si="1049"/>
        <v>0</v>
      </c>
      <c r="V4852" s="1">
        <f t="shared" si="1050"/>
        <v>0</v>
      </c>
    </row>
    <row r="4853" spans="5:22" x14ac:dyDescent="0.25">
      <c r="E4853" s="4"/>
      <c r="M4853" s="4">
        <f t="shared" si="1043"/>
        <v>173.1</v>
      </c>
      <c r="N4853" s="4"/>
      <c r="O4853" s="1">
        <f t="shared" si="1044"/>
        <v>173.1</v>
      </c>
      <c r="P4853" s="1">
        <f t="shared" si="1045"/>
        <v>0</v>
      </c>
      <c r="Q4853" s="1" t="str">
        <f t="shared" si="1051"/>
        <v/>
      </c>
      <c r="R4853" s="1" t="str">
        <f t="shared" si="1046"/>
        <v/>
      </c>
      <c r="S4853" s="1">
        <f t="shared" si="1047"/>
        <v>630.90240000000244</v>
      </c>
      <c r="T4853" s="1">
        <f t="shared" si="1048"/>
        <v>0</v>
      </c>
      <c r="U4853" s="1">
        <f t="shared" si="1049"/>
        <v>0</v>
      </c>
      <c r="V4853" s="1">
        <f t="shared" si="1050"/>
        <v>0</v>
      </c>
    </row>
    <row r="4854" spans="5:22" x14ac:dyDescent="0.25">
      <c r="E4854" s="4"/>
      <c r="M4854" s="4">
        <f t="shared" si="1043"/>
        <v>173.1</v>
      </c>
      <c r="N4854" s="4"/>
      <c r="O4854" s="1">
        <f t="shared" si="1044"/>
        <v>173.1</v>
      </c>
      <c r="P4854" s="1">
        <f t="shared" si="1045"/>
        <v>0</v>
      </c>
      <c r="Q4854" s="1" t="str">
        <f t="shared" si="1051"/>
        <v/>
      </c>
      <c r="R4854" s="1" t="str">
        <f t="shared" si="1046"/>
        <v/>
      </c>
      <c r="S4854" s="1">
        <f t="shared" si="1047"/>
        <v>630.90240000000244</v>
      </c>
      <c r="T4854" s="1">
        <f t="shared" si="1048"/>
        <v>0</v>
      </c>
      <c r="U4854" s="1">
        <f t="shared" si="1049"/>
        <v>0</v>
      </c>
      <c r="V4854" s="1">
        <f t="shared" si="1050"/>
        <v>0</v>
      </c>
    </row>
    <row r="4855" spans="5:22" x14ac:dyDescent="0.25">
      <c r="E4855" s="4"/>
      <c r="M4855" s="4">
        <f t="shared" si="1043"/>
        <v>173.1</v>
      </c>
      <c r="N4855" s="4"/>
      <c r="O4855" s="1">
        <f t="shared" si="1044"/>
        <v>173.1</v>
      </c>
      <c r="P4855" s="1">
        <f t="shared" si="1045"/>
        <v>0</v>
      </c>
      <c r="Q4855" s="1" t="str">
        <f t="shared" si="1051"/>
        <v/>
      </c>
      <c r="R4855" s="1" t="str">
        <f t="shared" si="1046"/>
        <v/>
      </c>
      <c r="S4855" s="1">
        <f t="shared" si="1047"/>
        <v>630.90240000000244</v>
      </c>
      <c r="T4855" s="1">
        <f t="shared" si="1048"/>
        <v>0</v>
      </c>
      <c r="U4855" s="1">
        <f t="shared" si="1049"/>
        <v>0</v>
      </c>
      <c r="V4855" s="1">
        <f t="shared" si="1050"/>
        <v>0</v>
      </c>
    </row>
    <row r="4856" spans="5:22" x14ac:dyDescent="0.25">
      <c r="E4856" s="4"/>
      <c r="M4856" s="4">
        <f t="shared" si="1043"/>
        <v>173.1</v>
      </c>
      <c r="N4856" s="4"/>
      <c r="O4856" s="1">
        <f t="shared" si="1044"/>
        <v>173.1</v>
      </c>
      <c r="P4856" s="1">
        <f t="shared" si="1045"/>
        <v>0</v>
      </c>
      <c r="Q4856" s="1" t="str">
        <f t="shared" si="1051"/>
        <v/>
      </c>
      <c r="R4856" s="1" t="str">
        <f t="shared" si="1046"/>
        <v/>
      </c>
      <c r="S4856" s="1">
        <f t="shared" si="1047"/>
        <v>630.90240000000244</v>
      </c>
      <c r="T4856" s="1">
        <f t="shared" si="1048"/>
        <v>0</v>
      </c>
      <c r="U4856" s="1">
        <f t="shared" si="1049"/>
        <v>0</v>
      </c>
      <c r="V4856" s="1">
        <f t="shared" si="1050"/>
        <v>0</v>
      </c>
    </row>
    <row r="4857" spans="5:22" x14ac:dyDescent="0.25">
      <c r="E4857" s="4"/>
      <c r="M4857" s="4">
        <f t="shared" si="1043"/>
        <v>173.1</v>
      </c>
      <c r="N4857" s="4"/>
      <c r="O4857" s="1">
        <f t="shared" si="1044"/>
        <v>173.1</v>
      </c>
      <c r="P4857" s="1">
        <f t="shared" si="1045"/>
        <v>0</v>
      </c>
      <c r="Q4857" s="1" t="str">
        <f t="shared" si="1051"/>
        <v/>
      </c>
      <c r="R4857" s="1" t="str">
        <f t="shared" si="1046"/>
        <v/>
      </c>
      <c r="S4857" s="1">
        <f t="shared" si="1047"/>
        <v>630.90240000000244</v>
      </c>
      <c r="T4857" s="1">
        <f t="shared" si="1048"/>
        <v>0</v>
      </c>
      <c r="U4857" s="1">
        <f t="shared" si="1049"/>
        <v>0</v>
      </c>
      <c r="V4857" s="1">
        <f t="shared" si="1050"/>
        <v>0</v>
      </c>
    </row>
    <row r="4858" spans="5:22" x14ac:dyDescent="0.25">
      <c r="E4858" s="4"/>
      <c r="M4858" s="4">
        <f t="shared" si="1043"/>
        <v>173.1</v>
      </c>
      <c r="N4858" s="4"/>
      <c r="O4858" s="1">
        <f t="shared" si="1044"/>
        <v>173.1</v>
      </c>
      <c r="P4858" s="1">
        <f t="shared" si="1045"/>
        <v>0</v>
      </c>
      <c r="Q4858" s="1" t="str">
        <f t="shared" si="1051"/>
        <v/>
      </c>
      <c r="R4858" s="1" t="str">
        <f t="shared" si="1046"/>
        <v/>
      </c>
      <c r="S4858" s="1">
        <f t="shared" si="1047"/>
        <v>630.90240000000244</v>
      </c>
      <c r="T4858" s="1">
        <f t="shared" si="1048"/>
        <v>0</v>
      </c>
      <c r="U4858" s="1">
        <f t="shared" si="1049"/>
        <v>0</v>
      </c>
      <c r="V4858" s="1">
        <f t="shared" si="1050"/>
        <v>0</v>
      </c>
    </row>
    <row r="4859" spans="5:22" x14ac:dyDescent="0.25">
      <c r="E4859" s="4"/>
      <c r="M4859" s="4">
        <f t="shared" si="1043"/>
        <v>173.1</v>
      </c>
      <c r="N4859" s="4"/>
      <c r="O4859" s="1">
        <f t="shared" si="1044"/>
        <v>173.1</v>
      </c>
      <c r="P4859" s="1">
        <f t="shared" si="1045"/>
        <v>0</v>
      </c>
      <c r="Q4859" s="1" t="str">
        <f t="shared" si="1051"/>
        <v/>
      </c>
      <c r="R4859" s="1" t="str">
        <f t="shared" si="1046"/>
        <v/>
      </c>
      <c r="S4859" s="1">
        <f t="shared" si="1047"/>
        <v>630.90240000000244</v>
      </c>
      <c r="T4859" s="1">
        <f t="shared" si="1048"/>
        <v>0</v>
      </c>
      <c r="U4859" s="1">
        <f t="shared" si="1049"/>
        <v>0</v>
      </c>
      <c r="V4859" s="1">
        <f t="shared" si="1050"/>
        <v>0</v>
      </c>
    </row>
    <row r="4860" spans="5:22" x14ac:dyDescent="0.25">
      <c r="E4860" s="4"/>
      <c r="M4860" s="4">
        <f t="shared" si="1043"/>
        <v>173.1</v>
      </c>
      <c r="N4860" s="4"/>
      <c r="O4860" s="1">
        <f t="shared" si="1044"/>
        <v>173.1</v>
      </c>
      <c r="P4860" s="1">
        <f t="shared" si="1045"/>
        <v>0</v>
      </c>
      <c r="Q4860" s="1" t="str">
        <f t="shared" si="1051"/>
        <v/>
      </c>
      <c r="R4860" s="1" t="str">
        <f t="shared" si="1046"/>
        <v/>
      </c>
      <c r="S4860" s="1">
        <f t="shared" si="1047"/>
        <v>630.90240000000244</v>
      </c>
      <c r="T4860" s="1">
        <f t="shared" si="1048"/>
        <v>0</v>
      </c>
      <c r="U4860" s="1">
        <f t="shared" si="1049"/>
        <v>0</v>
      </c>
      <c r="V4860" s="1">
        <f t="shared" si="1050"/>
        <v>0</v>
      </c>
    </row>
    <row r="4861" spans="5:22" x14ac:dyDescent="0.25">
      <c r="E4861" s="4"/>
      <c r="M4861" s="4">
        <f t="shared" si="1043"/>
        <v>173.1</v>
      </c>
      <c r="N4861" s="4"/>
      <c r="O4861" s="1">
        <f t="shared" si="1044"/>
        <v>173.1</v>
      </c>
      <c r="P4861" s="1">
        <f t="shared" si="1045"/>
        <v>0</v>
      </c>
      <c r="Q4861" s="1" t="str">
        <f t="shared" si="1051"/>
        <v/>
      </c>
      <c r="R4861" s="1" t="str">
        <f t="shared" si="1046"/>
        <v/>
      </c>
      <c r="S4861" s="1">
        <f t="shared" si="1047"/>
        <v>630.90240000000244</v>
      </c>
      <c r="T4861" s="1">
        <f t="shared" si="1048"/>
        <v>0</v>
      </c>
      <c r="U4861" s="1">
        <f t="shared" si="1049"/>
        <v>0</v>
      </c>
      <c r="V4861" s="1">
        <f t="shared" si="1050"/>
        <v>0</v>
      </c>
    </row>
    <row r="4862" spans="5:22" x14ac:dyDescent="0.25">
      <c r="E4862" s="4"/>
      <c r="M4862" s="4">
        <f t="shared" si="1043"/>
        <v>173.1</v>
      </c>
      <c r="N4862" s="4"/>
      <c r="O4862" s="1">
        <f t="shared" si="1044"/>
        <v>173.1</v>
      </c>
      <c r="P4862" s="1">
        <f t="shared" si="1045"/>
        <v>0</v>
      </c>
      <c r="Q4862" s="1" t="str">
        <f t="shared" si="1051"/>
        <v/>
      </c>
      <c r="R4862" s="1" t="str">
        <f t="shared" si="1046"/>
        <v/>
      </c>
      <c r="S4862" s="1">
        <f t="shared" si="1047"/>
        <v>630.90240000000244</v>
      </c>
      <c r="T4862" s="1">
        <f t="shared" si="1048"/>
        <v>0</v>
      </c>
      <c r="U4862" s="1">
        <f t="shared" si="1049"/>
        <v>0</v>
      </c>
      <c r="V4862" s="1">
        <f t="shared" si="1050"/>
        <v>0</v>
      </c>
    </row>
    <row r="4863" spans="5:22" x14ac:dyDescent="0.25">
      <c r="E4863" s="4"/>
      <c r="M4863" s="4">
        <f t="shared" si="1043"/>
        <v>173.1</v>
      </c>
      <c r="N4863" s="4"/>
      <c r="O4863" s="1">
        <f t="shared" si="1044"/>
        <v>173.1</v>
      </c>
      <c r="P4863" s="1">
        <f t="shared" si="1045"/>
        <v>0</v>
      </c>
      <c r="Q4863" s="1" t="str">
        <f t="shared" si="1051"/>
        <v/>
      </c>
      <c r="R4863" s="1" t="str">
        <f t="shared" si="1046"/>
        <v/>
      </c>
      <c r="S4863" s="1">
        <f t="shared" si="1047"/>
        <v>630.90240000000244</v>
      </c>
      <c r="T4863" s="1">
        <f t="shared" si="1048"/>
        <v>0</v>
      </c>
      <c r="U4863" s="1">
        <f t="shared" si="1049"/>
        <v>0</v>
      </c>
      <c r="V4863" s="1">
        <f t="shared" si="1050"/>
        <v>0</v>
      </c>
    </row>
    <row r="4864" spans="5:22" x14ac:dyDescent="0.25">
      <c r="E4864" s="4"/>
      <c r="M4864" s="4">
        <f t="shared" si="1043"/>
        <v>173.1</v>
      </c>
      <c r="N4864" s="4"/>
      <c r="O4864" s="1">
        <f t="shared" si="1044"/>
        <v>173.1</v>
      </c>
      <c r="P4864" s="1">
        <f t="shared" si="1045"/>
        <v>0</v>
      </c>
      <c r="Q4864" s="1" t="str">
        <f t="shared" si="1051"/>
        <v/>
      </c>
      <c r="R4864" s="1" t="str">
        <f t="shared" si="1046"/>
        <v/>
      </c>
      <c r="S4864" s="1">
        <f t="shared" si="1047"/>
        <v>630.90240000000244</v>
      </c>
      <c r="T4864" s="1">
        <f t="shared" si="1048"/>
        <v>0</v>
      </c>
      <c r="U4864" s="1">
        <f t="shared" si="1049"/>
        <v>0</v>
      </c>
      <c r="V4864" s="1">
        <f t="shared" si="1050"/>
        <v>0</v>
      </c>
    </row>
    <row r="4865" spans="5:22" x14ac:dyDescent="0.25">
      <c r="E4865" s="4"/>
      <c r="M4865" s="4">
        <f t="shared" si="1043"/>
        <v>173.1</v>
      </c>
      <c r="N4865" s="4"/>
      <c r="O4865" s="1">
        <f t="shared" si="1044"/>
        <v>173.1</v>
      </c>
      <c r="P4865" s="1">
        <f t="shared" si="1045"/>
        <v>0</v>
      </c>
      <c r="Q4865" s="1" t="str">
        <f t="shared" si="1051"/>
        <v/>
      </c>
      <c r="R4865" s="1" t="str">
        <f t="shared" si="1046"/>
        <v/>
      </c>
      <c r="S4865" s="1">
        <f t="shared" si="1047"/>
        <v>630.90240000000244</v>
      </c>
      <c r="T4865" s="1">
        <f t="shared" si="1048"/>
        <v>0</v>
      </c>
      <c r="U4865" s="1">
        <f t="shared" si="1049"/>
        <v>0</v>
      </c>
      <c r="V4865" s="1">
        <f t="shared" si="1050"/>
        <v>0</v>
      </c>
    </row>
    <row r="4866" spans="5:22" x14ac:dyDescent="0.25">
      <c r="E4866" s="4"/>
      <c r="M4866" s="4">
        <f t="shared" si="1043"/>
        <v>173.1</v>
      </c>
      <c r="N4866" s="4"/>
      <c r="O4866" s="1">
        <f t="shared" si="1044"/>
        <v>173.1</v>
      </c>
      <c r="P4866" s="1">
        <f t="shared" si="1045"/>
        <v>0</v>
      </c>
      <c r="Q4866" s="1" t="str">
        <f t="shared" si="1051"/>
        <v/>
      </c>
      <c r="R4866" s="1" t="str">
        <f t="shared" si="1046"/>
        <v/>
      </c>
      <c r="S4866" s="1">
        <f t="shared" si="1047"/>
        <v>630.90240000000244</v>
      </c>
      <c r="T4866" s="1">
        <f t="shared" si="1048"/>
        <v>0</v>
      </c>
      <c r="U4866" s="1">
        <f t="shared" si="1049"/>
        <v>0</v>
      </c>
      <c r="V4866" s="1">
        <f t="shared" si="1050"/>
        <v>0</v>
      </c>
    </row>
    <row r="4867" spans="5:22" x14ac:dyDescent="0.25">
      <c r="E4867" s="4"/>
      <c r="M4867" s="4">
        <f t="shared" si="1043"/>
        <v>173.1</v>
      </c>
      <c r="N4867" s="4"/>
      <c r="O4867" s="1">
        <f t="shared" si="1044"/>
        <v>173.1</v>
      </c>
      <c r="P4867" s="1">
        <f t="shared" si="1045"/>
        <v>0</v>
      </c>
      <c r="Q4867" s="1" t="str">
        <f t="shared" si="1051"/>
        <v/>
      </c>
      <c r="R4867" s="1" t="str">
        <f t="shared" si="1046"/>
        <v/>
      </c>
      <c r="S4867" s="1">
        <f t="shared" si="1047"/>
        <v>630.90240000000244</v>
      </c>
      <c r="T4867" s="1">
        <f t="shared" si="1048"/>
        <v>0</v>
      </c>
      <c r="U4867" s="1">
        <f t="shared" si="1049"/>
        <v>0</v>
      </c>
      <c r="V4867" s="1">
        <f t="shared" si="1050"/>
        <v>0</v>
      </c>
    </row>
    <row r="4868" spans="5:22" x14ac:dyDescent="0.25">
      <c r="E4868" s="4"/>
      <c r="M4868" s="4">
        <f t="shared" si="1043"/>
        <v>173.1</v>
      </c>
      <c r="N4868" s="4"/>
      <c r="O4868" s="1">
        <f t="shared" si="1044"/>
        <v>173.1</v>
      </c>
      <c r="P4868" s="1">
        <f t="shared" si="1045"/>
        <v>0</v>
      </c>
      <c r="Q4868" s="1" t="str">
        <f t="shared" si="1051"/>
        <v/>
      </c>
      <c r="R4868" s="1" t="str">
        <f t="shared" si="1046"/>
        <v/>
      </c>
      <c r="S4868" s="1">
        <f t="shared" si="1047"/>
        <v>630.90240000000244</v>
      </c>
      <c r="T4868" s="1">
        <f t="shared" si="1048"/>
        <v>0</v>
      </c>
      <c r="U4868" s="1">
        <f t="shared" si="1049"/>
        <v>0</v>
      </c>
      <c r="V4868" s="1">
        <f t="shared" si="1050"/>
        <v>0</v>
      </c>
    </row>
    <row r="4869" spans="5:22" x14ac:dyDescent="0.25">
      <c r="E4869" s="4"/>
      <c r="M4869" s="4">
        <f t="shared" si="1043"/>
        <v>173.1</v>
      </c>
      <c r="N4869" s="4"/>
      <c r="O4869" s="1">
        <f t="shared" si="1044"/>
        <v>173.1</v>
      </c>
      <c r="P4869" s="1">
        <f t="shared" si="1045"/>
        <v>0</v>
      </c>
      <c r="Q4869" s="1" t="str">
        <f t="shared" si="1051"/>
        <v/>
      </c>
      <c r="R4869" s="1" t="str">
        <f t="shared" si="1046"/>
        <v/>
      </c>
      <c r="S4869" s="1">
        <f t="shared" si="1047"/>
        <v>630.90240000000244</v>
      </c>
      <c r="T4869" s="1">
        <f t="shared" si="1048"/>
        <v>0</v>
      </c>
      <c r="U4869" s="1">
        <f t="shared" si="1049"/>
        <v>0</v>
      </c>
      <c r="V4869" s="1">
        <f t="shared" si="1050"/>
        <v>0</v>
      </c>
    </row>
    <row r="4870" spans="5:22" x14ac:dyDescent="0.25">
      <c r="E4870" s="4"/>
      <c r="M4870" s="4">
        <f t="shared" si="1043"/>
        <v>173.1</v>
      </c>
      <c r="N4870" s="4"/>
      <c r="O4870" s="1">
        <f t="shared" si="1044"/>
        <v>173.1</v>
      </c>
      <c r="P4870" s="1">
        <f t="shared" si="1045"/>
        <v>0</v>
      </c>
      <c r="Q4870" s="1" t="str">
        <f t="shared" si="1051"/>
        <v/>
      </c>
      <c r="R4870" s="1" t="str">
        <f t="shared" si="1046"/>
        <v/>
      </c>
      <c r="S4870" s="1">
        <f t="shared" si="1047"/>
        <v>630.90240000000244</v>
      </c>
      <c r="T4870" s="1">
        <f t="shared" si="1048"/>
        <v>0</v>
      </c>
      <c r="U4870" s="1">
        <f t="shared" si="1049"/>
        <v>0</v>
      </c>
      <c r="V4870" s="1">
        <f t="shared" si="1050"/>
        <v>0</v>
      </c>
    </row>
    <row r="4871" spans="5:22" x14ac:dyDescent="0.25">
      <c r="E4871" s="4"/>
      <c r="M4871" s="4">
        <f t="shared" si="1043"/>
        <v>173.1</v>
      </c>
      <c r="N4871" s="4"/>
      <c r="O4871" s="1">
        <f t="shared" si="1044"/>
        <v>173.1</v>
      </c>
      <c r="P4871" s="1">
        <f t="shared" si="1045"/>
        <v>0</v>
      </c>
      <c r="Q4871" s="1" t="str">
        <f t="shared" si="1051"/>
        <v/>
      </c>
      <c r="R4871" s="1" t="str">
        <f t="shared" si="1046"/>
        <v/>
      </c>
      <c r="S4871" s="1">
        <f t="shared" si="1047"/>
        <v>630.90240000000244</v>
      </c>
      <c r="T4871" s="1">
        <f t="shared" si="1048"/>
        <v>0</v>
      </c>
      <c r="U4871" s="1">
        <f t="shared" si="1049"/>
        <v>0</v>
      </c>
      <c r="V4871" s="1">
        <f t="shared" si="1050"/>
        <v>0</v>
      </c>
    </row>
    <row r="4872" spans="5:22" x14ac:dyDescent="0.25">
      <c r="E4872" s="4"/>
      <c r="M4872" s="4">
        <f t="shared" ref="M4872:M4935" si="1052">E4872+M4871</f>
        <v>173.1</v>
      </c>
      <c r="N4872" s="4"/>
      <c r="O4872" s="1">
        <f t="shared" ref="O4872:O4935" si="1053">E4871+O4871</f>
        <v>173.1</v>
      </c>
      <c r="P4872" s="1">
        <f t="shared" ref="P4872:P4935" si="1054">F4872*52.8*E4872</f>
        <v>0</v>
      </c>
      <c r="Q4872" s="1" t="str">
        <f t="shared" si="1051"/>
        <v/>
      </c>
      <c r="R4872" s="1" t="str">
        <f t="shared" ref="R4872:R4935" si="1055">IF(I4872="",Q4872,IF(AND(H4872=H4871,I4872=I4871),"",I4872))</f>
        <v/>
      </c>
      <c r="S4872" s="1">
        <f t="shared" ref="S4872:S4935" si="1056">S4871+U4871*T4871/100</f>
        <v>630.90240000000244</v>
      </c>
      <c r="T4872" s="1">
        <f t="shared" ref="T4872:T4935" si="1057">IF(G4872="UNK",0,G4872)</f>
        <v>0</v>
      </c>
      <c r="U4872" s="1">
        <f t="shared" ref="U4872:U4935" si="1058">E4872*5280</f>
        <v>0</v>
      </c>
      <c r="V4872" s="1">
        <f t="shared" ref="V4872:V4935" si="1059">ABS(T4872*U4872)</f>
        <v>0</v>
      </c>
    </row>
    <row r="4873" spans="5:22" x14ac:dyDescent="0.25">
      <c r="E4873" s="4"/>
      <c r="M4873" s="4">
        <f t="shared" si="1052"/>
        <v>173.1</v>
      </c>
      <c r="N4873" s="4"/>
      <c r="O4873" s="1">
        <f t="shared" si="1053"/>
        <v>173.1</v>
      </c>
      <c r="P4873" s="1">
        <f t="shared" si="1054"/>
        <v>0</v>
      </c>
      <c r="Q4873" s="1" t="str">
        <f t="shared" si="1051"/>
        <v/>
      </c>
      <c r="R4873" s="1" t="str">
        <f t="shared" si="1055"/>
        <v/>
      </c>
      <c r="S4873" s="1">
        <f t="shared" si="1056"/>
        <v>630.90240000000244</v>
      </c>
      <c r="T4873" s="1">
        <f t="shared" si="1057"/>
        <v>0</v>
      </c>
      <c r="U4873" s="1">
        <f t="shared" si="1058"/>
        <v>0</v>
      </c>
      <c r="V4873" s="1">
        <f t="shared" si="1059"/>
        <v>0</v>
      </c>
    </row>
    <row r="4874" spans="5:22" x14ac:dyDescent="0.25">
      <c r="E4874" s="4"/>
      <c r="M4874" s="4">
        <f t="shared" si="1052"/>
        <v>173.1</v>
      </c>
      <c r="N4874" s="4"/>
      <c r="O4874" s="1">
        <f t="shared" si="1053"/>
        <v>173.1</v>
      </c>
      <c r="P4874" s="1">
        <f t="shared" si="1054"/>
        <v>0</v>
      </c>
      <c r="Q4874" s="1" t="str">
        <f t="shared" si="1051"/>
        <v/>
      </c>
      <c r="R4874" s="1" t="str">
        <f t="shared" si="1055"/>
        <v/>
      </c>
      <c r="S4874" s="1">
        <f t="shared" si="1056"/>
        <v>630.90240000000244</v>
      </c>
      <c r="T4874" s="1">
        <f t="shared" si="1057"/>
        <v>0</v>
      </c>
      <c r="U4874" s="1">
        <f t="shared" si="1058"/>
        <v>0</v>
      </c>
      <c r="V4874" s="1">
        <f t="shared" si="1059"/>
        <v>0</v>
      </c>
    </row>
    <row r="4875" spans="5:22" x14ac:dyDescent="0.25">
      <c r="E4875" s="4"/>
      <c r="M4875" s="4">
        <f t="shared" si="1052"/>
        <v>173.1</v>
      </c>
      <c r="N4875" s="4"/>
      <c r="O4875" s="1">
        <f t="shared" si="1053"/>
        <v>173.1</v>
      </c>
      <c r="P4875" s="1">
        <f t="shared" si="1054"/>
        <v>0</v>
      </c>
      <c r="Q4875" s="1" t="str">
        <f t="shared" si="1051"/>
        <v/>
      </c>
      <c r="R4875" s="1" t="str">
        <f t="shared" si="1055"/>
        <v/>
      </c>
      <c r="S4875" s="1">
        <f t="shared" si="1056"/>
        <v>630.90240000000244</v>
      </c>
      <c r="T4875" s="1">
        <f t="shared" si="1057"/>
        <v>0</v>
      </c>
      <c r="U4875" s="1">
        <f t="shared" si="1058"/>
        <v>0</v>
      </c>
      <c r="V4875" s="1">
        <f t="shared" si="1059"/>
        <v>0</v>
      </c>
    </row>
    <row r="4876" spans="5:22" x14ac:dyDescent="0.25">
      <c r="E4876" s="4"/>
      <c r="M4876" s="4">
        <f t="shared" si="1052"/>
        <v>173.1</v>
      </c>
      <c r="N4876" s="4"/>
      <c r="O4876" s="1">
        <f t="shared" si="1053"/>
        <v>173.1</v>
      </c>
      <c r="P4876" s="1">
        <f t="shared" si="1054"/>
        <v>0</v>
      </c>
      <c r="Q4876" s="1" t="str">
        <f t="shared" si="1051"/>
        <v/>
      </c>
      <c r="R4876" s="1" t="str">
        <f t="shared" si="1055"/>
        <v/>
      </c>
      <c r="S4876" s="1">
        <f t="shared" si="1056"/>
        <v>630.90240000000244</v>
      </c>
      <c r="T4876" s="1">
        <f t="shared" si="1057"/>
        <v>0</v>
      </c>
      <c r="U4876" s="1">
        <f t="shared" si="1058"/>
        <v>0</v>
      </c>
      <c r="V4876" s="1">
        <f t="shared" si="1059"/>
        <v>0</v>
      </c>
    </row>
    <row r="4877" spans="5:22" x14ac:dyDescent="0.25">
      <c r="E4877" s="4"/>
      <c r="M4877" s="4">
        <f t="shared" si="1052"/>
        <v>173.1</v>
      </c>
      <c r="N4877" s="4"/>
      <c r="O4877" s="1">
        <f t="shared" si="1053"/>
        <v>173.1</v>
      </c>
      <c r="P4877" s="1">
        <f t="shared" si="1054"/>
        <v>0</v>
      </c>
      <c r="Q4877" s="1" t="str">
        <f t="shared" si="1051"/>
        <v/>
      </c>
      <c r="R4877" s="1" t="str">
        <f t="shared" si="1055"/>
        <v/>
      </c>
      <c r="S4877" s="1">
        <f t="shared" si="1056"/>
        <v>630.90240000000244</v>
      </c>
      <c r="T4877" s="1">
        <f t="shared" si="1057"/>
        <v>0</v>
      </c>
      <c r="U4877" s="1">
        <f t="shared" si="1058"/>
        <v>0</v>
      </c>
      <c r="V4877" s="1">
        <f t="shared" si="1059"/>
        <v>0</v>
      </c>
    </row>
    <row r="4878" spans="5:22" x14ac:dyDescent="0.25">
      <c r="E4878" s="4"/>
      <c r="M4878" s="4">
        <f t="shared" si="1052"/>
        <v>173.1</v>
      </c>
      <c r="N4878" s="4"/>
      <c r="O4878" s="1">
        <f t="shared" si="1053"/>
        <v>173.1</v>
      </c>
      <c r="P4878" s="1">
        <f t="shared" si="1054"/>
        <v>0</v>
      </c>
      <c r="Q4878" s="1" t="str">
        <f t="shared" si="1051"/>
        <v/>
      </c>
      <c r="R4878" s="1" t="str">
        <f t="shared" si="1055"/>
        <v/>
      </c>
      <c r="S4878" s="1">
        <f t="shared" si="1056"/>
        <v>630.90240000000244</v>
      </c>
      <c r="T4878" s="1">
        <f t="shared" si="1057"/>
        <v>0</v>
      </c>
      <c r="U4878" s="1">
        <f t="shared" si="1058"/>
        <v>0</v>
      </c>
      <c r="V4878" s="1">
        <f t="shared" si="1059"/>
        <v>0</v>
      </c>
    </row>
    <row r="4879" spans="5:22" x14ac:dyDescent="0.25">
      <c r="E4879" s="4"/>
      <c r="M4879" s="4">
        <f t="shared" si="1052"/>
        <v>173.1</v>
      </c>
      <c r="N4879" s="4"/>
      <c r="O4879" s="1">
        <f t="shared" si="1053"/>
        <v>173.1</v>
      </c>
      <c r="P4879" s="1">
        <f t="shared" si="1054"/>
        <v>0</v>
      </c>
      <c r="Q4879" s="1" t="str">
        <f t="shared" si="1051"/>
        <v/>
      </c>
      <c r="R4879" s="1" t="str">
        <f t="shared" si="1055"/>
        <v/>
      </c>
      <c r="S4879" s="1">
        <f t="shared" si="1056"/>
        <v>630.90240000000244</v>
      </c>
      <c r="T4879" s="1">
        <f t="shared" si="1057"/>
        <v>0</v>
      </c>
      <c r="U4879" s="1">
        <f t="shared" si="1058"/>
        <v>0</v>
      </c>
      <c r="V4879" s="1">
        <f t="shared" si="1059"/>
        <v>0</v>
      </c>
    </row>
    <row r="4880" spans="5:22" x14ac:dyDescent="0.25">
      <c r="E4880" s="4"/>
      <c r="M4880" s="4">
        <f t="shared" si="1052"/>
        <v>173.1</v>
      </c>
      <c r="N4880" s="4"/>
      <c r="O4880" s="1">
        <f t="shared" si="1053"/>
        <v>173.1</v>
      </c>
      <c r="P4880" s="1">
        <f t="shared" si="1054"/>
        <v>0</v>
      </c>
      <c r="Q4880" s="1" t="str">
        <f t="shared" si="1051"/>
        <v/>
      </c>
      <c r="R4880" s="1" t="str">
        <f t="shared" si="1055"/>
        <v/>
      </c>
      <c r="S4880" s="1">
        <f t="shared" si="1056"/>
        <v>630.90240000000244</v>
      </c>
      <c r="T4880" s="1">
        <f t="shared" si="1057"/>
        <v>0</v>
      </c>
      <c r="U4880" s="1">
        <f t="shared" si="1058"/>
        <v>0</v>
      </c>
      <c r="V4880" s="1">
        <f t="shared" si="1059"/>
        <v>0</v>
      </c>
    </row>
    <row r="4881" spans="5:22" x14ac:dyDescent="0.25">
      <c r="E4881" s="4"/>
      <c r="M4881" s="4">
        <f t="shared" si="1052"/>
        <v>173.1</v>
      </c>
      <c r="N4881" s="4"/>
      <c r="O4881" s="1">
        <f t="shared" si="1053"/>
        <v>173.1</v>
      </c>
      <c r="P4881" s="1">
        <f t="shared" si="1054"/>
        <v>0</v>
      </c>
      <c r="Q4881" s="1" t="str">
        <f t="shared" si="1051"/>
        <v/>
      </c>
      <c r="R4881" s="1" t="str">
        <f t="shared" si="1055"/>
        <v/>
      </c>
      <c r="S4881" s="1">
        <f t="shared" si="1056"/>
        <v>630.90240000000244</v>
      </c>
      <c r="T4881" s="1">
        <f t="shared" si="1057"/>
        <v>0</v>
      </c>
      <c r="U4881" s="1">
        <f t="shared" si="1058"/>
        <v>0</v>
      </c>
      <c r="V4881" s="1">
        <f t="shared" si="1059"/>
        <v>0</v>
      </c>
    </row>
    <row r="4882" spans="5:22" x14ac:dyDescent="0.25">
      <c r="E4882" s="4"/>
      <c r="M4882" s="4">
        <f t="shared" si="1052"/>
        <v>173.1</v>
      </c>
      <c r="N4882" s="4"/>
      <c r="O4882" s="1">
        <f t="shared" si="1053"/>
        <v>173.1</v>
      </c>
      <c r="P4882" s="1">
        <f t="shared" si="1054"/>
        <v>0</v>
      </c>
      <c r="Q4882" s="1" t="str">
        <f t="shared" si="1051"/>
        <v/>
      </c>
      <c r="R4882" s="1" t="str">
        <f t="shared" si="1055"/>
        <v/>
      </c>
      <c r="S4882" s="1">
        <f t="shared" si="1056"/>
        <v>630.90240000000244</v>
      </c>
      <c r="T4882" s="1">
        <f t="shared" si="1057"/>
        <v>0</v>
      </c>
      <c r="U4882" s="1">
        <f t="shared" si="1058"/>
        <v>0</v>
      </c>
      <c r="V4882" s="1">
        <f t="shared" si="1059"/>
        <v>0</v>
      </c>
    </row>
    <row r="4883" spans="5:22" x14ac:dyDescent="0.25">
      <c r="E4883" s="4"/>
      <c r="M4883" s="4">
        <f t="shared" si="1052"/>
        <v>173.1</v>
      </c>
      <c r="N4883" s="4"/>
      <c r="O4883" s="1">
        <f t="shared" si="1053"/>
        <v>173.1</v>
      </c>
      <c r="P4883" s="1">
        <f t="shared" si="1054"/>
        <v>0</v>
      </c>
      <c r="Q4883" s="1" t="str">
        <f t="shared" si="1051"/>
        <v/>
      </c>
      <c r="R4883" s="1" t="str">
        <f t="shared" si="1055"/>
        <v/>
      </c>
      <c r="S4883" s="1">
        <f t="shared" si="1056"/>
        <v>630.90240000000244</v>
      </c>
      <c r="T4883" s="1">
        <f t="shared" si="1057"/>
        <v>0</v>
      </c>
      <c r="U4883" s="1">
        <f t="shared" si="1058"/>
        <v>0</v>
      </c>
      <c r="V4883" s="1">
        <f t="shared" si="1059"/>
        <v>0</v>
      </c>
    </row>
    <row r="4884" spans="5:22" x14ac:dyDescent="0.25">
      <c r="E4884" s="4"/>
      <c r="M4884" s="4">
        <f t="shared" si="1052"/>
        <v>173.1</v>
      </c>
      <c r="N4884" s="4"/>
      <c r="O4884" s="1">
        <f t="shared" si="1053"/>
        <v>173.1</v>
      </c>
      <c r="P4884" s="1">
        <f t="shared" si="1054"/>
        <v>0</v>
      </c>
      <c r="Q4884" s="1" t="str">
        <f t="shared" si="1051"/>
        <v/>
      </c>
      <c r="R4884" s="1" t="str">
        <f t="shared" si="1055"/>
        <v/>
      </c>
      <c r="S4884" s="1">
        <f t="shared" si="1056"/>
        <v>630.90240000000244</v>
      </c>
      <c r="T4884" s="1">
        <f t="shared" si="1057"/>
        <v>0</v>
      </c>
      <c r="U4884" s="1">
        <f t="shared" si="1058"/>
        <v>0</v>
      </c>
      <c r="V4884" s="1">
        <f t="shared" si="1059"/>
        <v>0</v>
      </c>
    </row>
    <row r="4885" spans="5:22" x14ac:dyDescent="0.25">
      <c r="E4885" s="4"/>
      <c r="M4885" s="4">
        <f t="shared" si="1052"/>
        <v>173.1</v>
      </c>
      <c r="N4885" s="4"/>
      <c r="O4885" s="1">
        <f t="shared" si="1053"/>
        <v>173.1</v>
      </c>
      <c r="P4885" s="1">
        <f t="shared" si="1054"/>
        <v>0</v>
      </c>
      <c r="Q4885" s="1" t="str">
        <f t="shared" si="1051"/>
        <v/>
      </c>
      <c r="R4885" s="1" t="str">
        <f t="shared" si="1055"/>
        <v/>
      </c>
      <c r="S4885" s="1">
        <f t="shared" si="1056"/>
        <v>630.90240000000244</v>
      </c>
      <c r="T4885" s="1">
        <f t="shared" si="1057"/>
        <v>0</v>
      </c>
      <c r="U4885" s="1">
        <f t="shared" si="1058"/>
        <v>0</v>
      </c>
      <c r="V4885" s="1">
        <f t="shared" si="1059"/>
        <v>0</v>
      </c>
    </row>
    <row r="4886" spans="5:22" x14ac:dyDescent="0.25">
      <c r="E4886" s="4"/>
      <c r="M4886" s="4">
        <f t="shared" si="1052"/>
        <v>173.1</v>
      </c>
      <c r="N4886" s="4"/>
      <c r="O4886" s="1">
        <f t="shared" si="1053"/>
        <v>173.1</v>
      </c>
      <c r="P4886" s="1">
        <f t="shared" si="1054"/>
        <v>0</v>
      </c>
      <c r="Q4886" s="1" t="str">
        <f t="shared" si="1051"/>
        <v/>
      </c>
      <c r="R4886" s="1" t="str">
        <f t="shared" si="1055"/>
        <v/>
      </c>
      <c r="S4886" s="1">
        <f t="shared" si="1056"/>
        <v>630.90240000000244</v>
      </c>
      <c r="T4886" s="1">
        <f t="shared" si="1057"/>
        <v>0</v>
      </c>
      <c r="U4886" s="1">
        <f t="shared" si="1058"/>
        <v>0</v>
      </c>
      <c r="V4886" s="1">
        <f t="shared" si="1059"/>
        <v>0</v>
      </c>
    </row>
    <row r="4887" spans="5:22" x14ac:dyDescent="0.25">
      <c r="E4887" s="4"/>
      <c r="M4887" s="4">
        <f t="shared" si="1052"/>
        <v>173.1</v>
      </c>
      <c r="N4887" s="4"/>
      <c r="O4887" s="1">
        <f t="shared" si="1053"/>
        <v>173.1</v>
      </c>
      <c r="P4887" s="1">
        <f t="shared" si="1054"/>
        <v>0</v>
      </c>
      <c r="Q4887" s="1" t="str">
        <f t="shared" si="1051"/>
        <v/>
      </c>
      <c r="R4887" s="1" t="str">
        <f t="shared" si="1055"/>
        <v/>
      </c>
      <c r="S4887" s="1">
        <f t="shared" si="1056"/>
        <v>630.90240000000244</v>
      </c>
      <c r="T4887" s="1">
        <f t="shared" si="1057"/>
        <v>0</v>
      </c>
      <c r="U4887" s="1">
        <f t="shared" si="1058"/>
        <v>0</v>
      </c>
      <c r="V4887" s="1">
        <f t="shared" si="1059"/>
        <v>0</v>
      </c>
    </row>
    <row r="4888" spans="5:22" x14ac:dyDescent="0.25">
      <c r="E4888" s="4"/>
      <c r="M4888" s="4">
        <f t="shared" si="1052"/>
        <v>173.1</v>
      </c>
      <c r="N4888" s="4"/>
      <c r="O4888" s="1">
        <f t="shared" si="1053"/>
        <v>173.1</v>
      </c>
      <c r="P4888" s="1">
        <f t="shared" si="1054"/>
        <v>0</v>
      </c>
      <c r="Q4888" s="1" t="str">
        <f t="shared" si="1051"/>
        <v/>
      </c>
      <c r="R4888" s="1" t="str">
        <f t="shared" si="1055"/>
        <v/>
      </c>
      <c r="S4888" s="1">
        <f t="shared" si="1056"/>
        <v>630.90240000000244</v>
      </c>
      <c r="T4888" s="1">
        <f t="shared" si="1057"/>
        <v>0</v>
      </c>
      <c r="U4888" s="1">
        <f t="shared" si="1058"/>
        <v>0</v>
      </c>
      <c r="V4888" s="1">
        <f t="shared" si="1059"/>
        <v>0</v>
      </c>
    </row>
    <row r="4889" spans="5:22" x14ac:dyDescent="0.25">
      <c r="E4889" s="4"/>
      <c r="M4889" s="4">
        <f t="shared" si="1052"/>
        <v>173.1</v>
      </c>
      <c r="N4889" s="4"/>
      <c r="O4889" s="1">
        <f t="shared" si="1053"/>
        <v>173.1</v>
      </c>
      <c r="P4889" s="1">
        <f t="shared" si="1054"/>
        <v>0</v>
      </c>
      <c r="Q4889" s="1" t="str">
        <f t="shared" si="1051"/>
        <v/>
      </c>
      <c r="R4889" s="1" t="str">
        <f t="shared" si="1055"/>
        <v/>
      </c>
      <c r="S4889" s="1">
        <f t="shared" si="1056"/>
        <v>630.90240000000244</v>
      </c>
      <c r="T4889" s="1">
        <f t="shared" si="1057"/>
        <v>0</v>
      </c>
      <c r="U4889" s="1">
        <f t="shared" si="1058"/>
        <v>0</v>
      </c>
      <c r="V4889" s="1">
        <f t="shared" si="1059"/>
        <v>0</v>
      </c>
    </row>
    <row r="4890" spans="5:22" x14ac:dyDescent="0.25">
      <c r="E4890" s="4"/>
      <c r="M4890" s="4">
        <f t="shared" si="1052"/>
        <v>173.1</v>
      </c>
      <c r="N4890" s="4"/>
      <c r="O4890" s="1">
        <f t="shared" si="1053"/>
        <v>173.1</v>
      </c>
      <c r="P4890" s="1">
        <f t="shared" si="1054"/>
        <v>0</v>
      </c>
      <c r="Q4890" s="1" t="str">
        <f t="shared" si="1051"/>
        <v/>
      </c>
      <c r="R4890" s="1" t="str">
        <f t="shared" si="1055"/>
        <v/>
      </c>
      <c r="S4890" s="1">
        <f t="shared" si="1056"/>
        <v>630.90240000000244</v>
      </c>
      <c r="T4890" s="1">
        <f t="shared" si="1057"/>
        <v>0</v>
      </c>
      <c r="U4890" s="1">
        <f t="shared" si="1058"/>
        <v>0</v>
      </c>
      <c r="V4890" s="1">
        <f t="shared" si="1059"/>
        <v>0</v>
      </c>
    </row>
    <row r="4891" spans="5:22" x14ac:dyDescent="0.25">
      <c r="E4891" s="4"/>
      <c r="M4891" s="4">
        <f t="shared" si="1052"/>
        <v>173.1</v>
      </c>
      <c r="N4891" s="4"/>
      <c r="O4891" s="1">
        <f t="shared" si="1053"/>
        <v>173.1</v>
      </c>
      <c r="P4891" s="1">
        <f t="shared" si="1054"/>
        <v>0</v>
      </c>
      <c r="Q4891" s="1" t="str">
        <f t="shared" si="1051"/>
        <v/>
      </c>
      <c r="R4891" s="1" t="str">
        <f t="shared" si="1055"/>
        <v/>
      </c>
      <c r="S4891" s="1">
        <f t="shared" si="1056"/>
        <v>630.90240000000244</v>
      </c>
      <c r="T4891" s="1">
        <f t="shared" si="1057"/>
        <v>0</v>
      </c>
      <c r="U4891" s="1">
        <f t="shared" si="1058"/>
        <v>0</v>
      </c>
      <c r="V4891" s="1">
        <f t="shared" si="1059"/>
        <v>0</v>
      </c>
    </row>
    <row r="4892" spans="5:22" x14ac:dyDescent="0.25">
      <c r="E4892" s="4"/>
      <c r="M4892" s="4">
        <f t="shared" si="1052"/>
        <v>173.1</v>
      </c>
      <c r="N4892" s="4"/>
      <c r="O4892" s="1">
        <f t="shared" si="1053"/>
        <v>173.1</v>
      </c>
      <c r="P4892" s="1">
        <f t="shared" si="1054"/>
        <v>0</v>
      </c>
      <c r="Q4892" s="1" t="str">
        <f t="shared" si="1051"/>
        <v/>
      </c>
      <c r="R4892" s="1" t="str">
        <f t="shared" si="1055"/>
        <v/>
      </c>
      <c r="S4892" s="1">
        <f t="shared" si="1056"/>
        <v>630.90240000000244</v>
      </c>
      <c r="T4892" s="1">
        <f t="shared" si="1057"/>
        <v>0</v>
      </c>
      <c r="U4892" s="1">
        <f t="shared" si="1058"/>
        <v>0</v>
      </c>
      <c r="V4892" s="1">
        <f t="shared" si="1059"/>
        <v>0</v>
      </c>
    </row>
    <row r="4893" spans="5:22" x14ac:dyDescent="0.25">
      <c r="E4893" s="4"/>
      <c r="M4893" s="4">
        <f t="shared" si="1052"/>
        <v>173.1</v>
      </c>
      <c r="N4893" s="4"/>
      <c r="O4893" s="1">
        <f t="shared" si="1053"/>
        <v>173.1</v>
      </c>
      <c r="P4893" s="1">
        <f t="shared" si="1054"/>
        <v>0</v>
      </c>
      <c r="Q4893" s="1" t="str">
        <f t="shared" si="1051"/>
        <v/>
      </c>
      <c r="R4893" s="1" t="str">
        <f t="shared" si="1055"/>
        <v/>
      </c>
      <c r="S4893" s="1">
        <f t="shared" si="1056"/>
        <v>630.90240000000244</v>
      </c>
      <c r="T4893" s="1">
        <f t="shared" si="1057"/>
        <v>0</v>
      </c>
      <c r="U4893" s="1">
        <f t="shared" si="1058"/>
        <v>0</v>
      </c>
      <c r="V4893" s="1">
        <f t="shared" si="1059"/>
        <v>0</v>
      </c>
    </row>
    <row r="4894" spans="5:22" x14ac:dyDescent="0.25">
      <c r="E4894" s="4"/>
      <c r="M4894" s="4">
        <f t="shared" si="1052"/>
        <v>173.1</v>
      </c>
      <c r="N4894" s="4"/>
      <c r="O4894" s="1">
        <f t="shared" si="1053"/>
        <v>173.1</v>
      </c>
      <c r="P4894" s="1">
        <f t="shared" si="1054"/>
        <v>0</v>
      </c>
      <c r="Q4894" s="1" t="str">
        <f t="shared" si="1051"/>
        <v/>
      </c>
      <c r="R4894" s="1" t="str">
        <f t="shared" si="1055"/>
        <v/>
      </c>
      <c r="S4894" s="1">
        <f t="shared" si="1056"/>
        <v>630.90240000000244</v>
      </c>
      <c r="T4894" s="1">
        <f t="shared" si="1057"/>
        <v>0</v>
      </c>
      <c r="U4894" s="1">
        <f t="shared" si="1058"/>
        <v>0</v>
      </c>
      <c r="V4894" s="1">
        <f t="shared" si="1059"/>
        <v>0</v>
      </c>
    </row>
    <row r="4895" spans="5:22" x14ac:dyDescent="0.25">
      <c r="E4895" s="4"/>
      <c r="M4895" s="4">
        <f t="shared" si="1052"/>
        <v>173.1</v>
      </c>
      <c r="N4895" s="4"/>
      <c r="O4895" s="1">
        <f t="shared" si="1053"/>
        <v>173.1</v>
      </c>
      <c r="P4895" s="1">
        <f t="shared" si="1054"/>
        <v>0</v>
      </c>
      <c r="Q4895" s="1" t="str">
        <f t="shared" si="1051"/>
        <v/>
      </c>
      <c r="R4895" s="1" t="str">
        <f t="shared" si="1055"/>
        <v/>
      </c>
      <c r="S4895" s="1">
        <f t="shared" si="1056"/>
        <v>630.90240000000244</v>
      </c>
      <c r="T4895" s="1">
        <f t="shared" si="1057"/>
        <v>0</v>
      </c>
      <c r="U4895" s="1">
        <f t="shared" si="1058"/>
        <v>0</v>
      </c>
      <c r="V4895" s="1">
        <f t="shared" si="1059"/>
        <v>0</v>
      </c>
    </row>
    <row r="4896" spans="5:22" x14ac:dyDescent="0.25">
      <c r="E4896" s="4"/>
      <c r="M4896" s="4">
        <f t="shared" si="1052"/>
        <v>173.1</v>
      </c>
      <c r="N4896" s="4"/>
      <c r="O4896" s="1">
        <f t="shared" si="1053"/>
        <v>173.1</v>
      </c>
      <c r="P4896" s="1">
        <f t="shared" si="1054"/>
        <v>0</v>
      </c>
      <c r="Q4896" s="1" t="str">
        <f t="shared" si="1051"/>
        <v/>
      </c>
      <c r="R4896" s="1" t="str">
        <f t="shared" si="1055"/>
        <v/>
      </c>
      <c r="S4896" s="1">
        <f t="shared" si="1056"/>
        <v>630.90240000000244</v>
      </c>
      <c r="T4896" s="1">
        <f t="shared" si="1057"/>
        <v>0</v>
      </c>
      <c r="U4896" s="1">
        <f t="shared" si="1058"/>
        <v>0</v>
      </c>
      <c r="V4896" s="1">
        <f t="shared" si="1059"/>
        <v>0</v>
      </c>
    </row>
    <row r="4897" spans="5:22" x14ac:dyDescent="0.25">
      <c r="E4897" s="4"/>
      <c r="M4897" s="4">
        <f t="shared" si="1052"/>
        <v>173.1</v>
      </c>
      <c r="N4897" s="4"/>
      <c r="O4897" s="1">
        <f t="shared" si="1053"/>
        <v>173.1</v>
      </c>
      <c r="P4897" s="1">
        <f t="shared" si="1054"/>
        <v>0</v>
      </c>
      <c r="Q4897" s="1" t="str">
        <f t="shared" si="1051"/>
        <v/>
      </c>
      <c r="R4897" s="1" t="str">
        <f t="shared" si="1055"/>
        <v/>
      </c>
      <c r="S4897" s="1">
        <f t="shared" si="1056"/>
        <v>630.90240000000244</v>
      </c>
      <c r="T4897" s="1">
        <f t="shared" si="1057"/>
        <v>0</v>
      </c>
      <c r="U4897" s="1">
        <f t="shared" si="1058"/>
        <v>0</v>
      </c>
      <c r="V4897" s="1">
        <f t="shared" si="1059"/>
        <v>0</v>
      </c>
    </row>
    <row r="4898" spans="5:22" x14ac:dyDescent="0.25">
      <c r="E4898" s="4"/>
      <c r="M4898" s="4">
        <f t="shared" si="1052"/>
        <v>173.1</v>
      </c>
      <c r="N4898" s="4"/>
      <c r="O4898" s="1">
        <f t="shared" si="1053"/>
        <v>173.1</v>
      </c>
      <c r="P4898" s="1">
        <f t="shared" si="1054"/>
        <v>0</v>
      </c>
      <c r="Q4898" s="1" t="str">
        <f t="shared" si="1051"/>
        <v/>
      </c>
      <c r="R4898" s="1" t="str">
        <f t="shared" si="1055"/>
        <v/>
      </c>
      <c r="S4898" s="1">
        <f t="shared" si="1056"/>
        <v>630.90240000000244</v>
      </c>
      <c r="T4898" s="1">
        <f t="shared" si="1057"/>
        <v>0</v>
      </c>
      <c r="U4898" s="1">
        <f t="shared" si="1058"/>
        <v>0</v>
      </c>
      <c r="V4898" s="1">
        <f t="shared" si="1059"/>
        <v>0</v>
      </c>
    </row>
    <row r="4899" spans="5:22" x14ac:dyDescent="0.25">
      <c r="E4899" s="4"/>
      <c r="M4899" s="4">
        <f t="shared" si="1052"/>
        <v>173.1</v>
      </c>
      <c r="N4899" s="4"/>
      <c r="O4899" s="1">
        <f t="shared" si="1053"/>
        <v>173.1</v>
      </c>
      <c r="P4899" s="1">
        <f t="shared" si="1054"/>
        <v>0</v>
      </c>
      <c r="Q4899" s="1" t="str">
        <f t="shared" si="1051"/>
        <v/>
      </c>
      <c r="R4899" s="1" t="str">
        <f t="shared" si="1055"/>
        <v/>
      </c>
      <c r="S4899" s="1">
        <f t="shared" si="1056"/>
        <v>630.90240000000244</v>
      </c>
      <c r="T4899" s="1">
        <f t="shared" si="1057"/>
        <v>0</v>
      </c>
      <c r="U4899" s="1">
        <f t="shared" si="1058"/>
        <v>0</v>
      </c>
      <c r="V4899" s="1">
        <f t="shared" si="1059"/>
        <v>0</v>
      </c>
    </row>
    <row r="4900" spans="5:22" x14ac:dyDescent="0.25">
      <c r="E4900" s="4"/>
      <c r="M4900" s="4">
        <f t="shared" si="1052"/>
        <v>173.1</v>
      </c>
      <c r="N4900" s="4"/>
      <c r="O4900" s="1">
        <f t="shared" si="1053"/>
        <v>173.1</v>
      </c>
      <c r="P4900" s="1">
        <f t="shared" si="1054"/>
        <v>0</v>
      </c>
      <c r="Q4900" s="1" t="str">
        <f t="shared" si="1051"/>
        <v/>
      </c>
      <c r="R4900" s="1" t="str">
        <f t="shared" si="1055"/>
        <v/>
      </c>
      <c r="S4900" s="1">
        <f t="shared" si="1056"/>
        <v>630.90240000000244</v>
      </c>
      <c r="T4900" s="1">
        <f t="shared" si="1057"/>
        <v>0</v>
      </c>
      <c r="U4900" s="1">
        <f t="shared" si="1058"/>
        <v>0</v>
      </c>
      <c r="V4900" s="1">
        <f t="shared" si="1059"/>
        <v>0</v>
      </c>
    </row>
    <row r="4901" spans="5:22" x14ac:dyDescent="0.25">
      <c r="E4901" s="4"/>
      <c r="M4901" s="4">
        <f t="shared" si="1052"/>
        <v>173.1</v>
      </c>
      <c r="N4901" s="4"/>
      <c r="O4901" s="1">
        <f t="shared" si="1053"/>
        <v>173.1</v>
      </c>
      <c r="P4901" s="1">
        <f t="shared" si="1054"/>
        <v>0</v>
      </c>
      <c r="Q4901" s="1" t="str">
        <f t="shared" si="1051"/>
        <v/>
      </c>
      <c r="R4901" s="1" t="str">
        <f t="shared" si="1055"/>
        <v/>
      </c>
      <c r="S4901" s="1">
        <f t="shared" si="1056"/>
        <v>630.90240000000244</v>
      </c>
      <c r="T4901" s="1">
        <f t="shared" si="1057"/>
        <v>0</v>
      </c>
      <c r="U4901" s="1">
        <f t="shared" si="1058"/>
        <v>0</v>
      </c>
      <c r="V4901" s="1">
        <f t="shared" si="1059"/>
        <v>0</v>
      </c>
    </row>
    <row r="4902" spans="5:22" x14ac:dyDescent="0.25">
      <c r="E4902" s="4"/>
      <c r="M4902" s="4">
        <f t="shared" si="1052"/>
        <v>173.1</v>
      </c>
      <c r="N4902" s="4"/>
      <c r="O4902" s="1">
        <f t="shared" si="1053"/>
        <v>173.1</v>
      </c>
      <c r="P4902" s="1">
        <f t="shared" si="1054"/>
        <v>0</v>
      </c>
      <c r="Q4902" s="1" t="str">
        <f t="shared" si="1051"/>
        <v/>
      </c>
      <c r="R4902" s="1" t="str">
        <f t="shared" si="1055"/>
        <v/>
      </c>
      <c r="S4902" s="1">
        <f t="shared" si="1056"/>
        <v>630.90240000000244</v>
      </c>
      <c r="T4902" s="1">
        <f t="shared" si="1057"/>
        <v>0</v>
      </c>
      <c r="U4902" s="1">
        <f t="shared" si="1058"/>
        <v>0</v>
      </c>
      <c r="V4902" s="1">
        <f t="shared" si="1059"/>
        <v>0</v>
      </c>
    </row>
    <row r="4903" spans="5:22" x14ac:dyDescent="0.25">
      <c r="E4903" s="4"/>
      <c r="M4903" s="4">
        <f t="shared" si="1052"/>
        <v>173.1</v>
      </c>
      <c r="N4903" s="4"/>
      <c r="O4903" s="1">
        <f t="shared" si="1053"/>
        <v>173.1</v>
      </c>
      <c r="P4903" s="1">
        <f t="shared" si="1054"/>
        <v>0</v>
      </c>
      <c r="Q4903" s="1" t="str">
        <f t="shared" si="1051"/>
        <v/>
      </c>
      <c r="R4903" s="1" t="str">
        <f t="shared" si="1055"/>
        <v/>
      </c>
      <c r="S4903" s="1">
        <f t="shared" si="1056"/>
        <v>630.90240000000244</v>
      </c>
      <c r="T4903" s="1">
        <f t="shared" si="1057"/>
        <v>0</v>
      </c>
      <c r="U4903" s="1">
        <f t="shared" si="1058"/>
        <v>0</v>
      </c>
      <c r="V4903" s="1">
        <f t="shared" si="1059"/>
        <v>0</v>
      </c>
    </row>
    <row r="4904" spans="5:22" x14ac:dyDescent="0.25">
      <c r="E4904" s="4"/>
      <c r="M4904" s="4">
        <f t="shared" si="1052"/>
        <v>173.1</v>
      </c>
      <c r="N4904" s="4"/>
      <c r="O4904" s="1">
        <f t="shared" si="1053"/>
        <v>173.1</v>
      </c>
      <c r="P4904" s="1">
        <f t="shared" si="1054"/>
        <v>0</v>
      </c>
      <c r="Q4904" s="1" t="str">
        <f t="shared" si="1051"/>
        <v/>
      </c>
      <c r="R4904" s="1" t="str">
        <f t="shared" si="1055"/>
        <v/>
      </c>
      <c r="S4904" s="1">
        <f t="shared" si="1056"/>
        <v>630.90240000000244</v>
      </c>
      <c r="T4904" s="1">
        <f t="shared" si="1057"/>
        <v>0</v>
      </c>
      <c r="U4904" s="1">
        <f t="shared" si="1058"/>
        <v>0</v>
      </c>
      <c r="V4904" s="1">
        <f t="shared" si="1059"/>
        <v>0</v>
      </c>
    </row>
    <row r="4905" spans="5:22" x14ac:dyDescent="0.25">
      <c r="E4905" s="4"/>
      <c r="M4905" s="4">
        <f t="shared" si="1052"/>
        <v>173.1</v>
      </c>
      <c r="N4905" s="4"/>
      <c r="O4905" s="1">
        <f t="shared" si="1053"/>
        <v>173.1</v>
      </c>
      <c r="P4905" s="1">
        <f t="shared" si="1054"/>
        <v>0</v>
      </c>
      <c r="Q4905" s="1" t="str">
        <f t="shared" si="1051"/>
        <v/>
      </c>
      <c r="R4905" s="1" t="str">
        <f t="shared" si="1055"/>
        <v/>
      </c>
      <c r="S4905" s="1">
        <f t="shared" si="1056"/>
        <v>630.90240000000244</v>
      </c>
      <c r="T4905" s="1">
        <f t="shared" si="1057"/>
        <v>0</v>
      </c>
      <c r="U4905" s="1">
        <f t="shared" si="1058"/>
        <v>0</v>
      </c>
      <c r="V4905" s="1">
        <f t="shared" si="1059"/>
        <v>0</v>
      </c>
    </row>
    <row r="4906" spans="5:22" x14ac:dyDescent="0.25">
      <c r="E4906" s="4"/>
      <c r="M4906" s="4">
        <f t="shared" si="1052"/>
        <v>173.1</v>
      </c>
      <c r="N4906" s="4"/>
      <c r="O4906" s="1">
        <f t="shared" si="1053"/>
        <v>173.1</v>
      </c>
      <c r="P4906" s="1">
        <f t="shared" si="1054"/>
        <v>0</v>
      </c>
      <c r="Q4906" s="1" t="str">
        <f t="shared" si="1051"/>
        <v/>
      </c>
      <c r="R4906" s="1" t="str">
        <f t="shared" si="1055"/>
        <v/>
      </c>
      <c r="S4906" s="1">
        <f t="shared" si="1056"/>
        <v>630.90240000000244</v>
      </c>
      <c r="T4906" s="1">
        <f t="shared" si="1057"/>
        <v>0</v>
      </c>
      <c r="U4906" s="1">
        <f t="shared" si="1058"/>
        <v>0</v>
      </c>
      <c r="V4906" s="1">
        <f t="shared" si="1059"/>
        <v>0</v>
      </c>
    </row>
    <row r="4907" spans="5:22" x14ac:dyDescent="0.25">
      <c r="E4907" s="4"/>
      <c r="M4907" s="4">
        <f t="shared" si="1052"/>
        <v>173.1</v>
      </c>
      <c r="N4907" s="4"/>
      <c r="O4907" s="1">
        <f t="shared" si="1053"/>
        <v>173.1</v>
      </c>
      <c r="P4907" s="1">
        <f t="shared" si="1054"/>
        <v>0</v>
      </c>
      <c r="Q4907" s="1" t="str">
        <f t="shared" si="1051"/>
        <v/>
      </c>
      <c r="R4907" s="1" t="str">
        <f t="shared" si="1055"/>
        <v/>
      </c>
      <c r="S4907" s="1">
        <f t="shared" si="1056"/>
        <v>630.90240000000244</v>
      </c>
      <c r="T4907" s="1">
        <f t="shared" si="1057"/>
        <v>0</v>
      </c>
      <c r="U4907" s="1">
        <f t="shared" si="1058"/>
        <v>0</v>
      </c>
      <c r="V4907" s="1">
        <f t="shared" si="1059"/>
        <v>0</v>
      </c>
    </row>
    <row r="4908" spans="5:22" x14ac:dyDescent="0.25">
      <c r="E4908" s="4"/>
      <c r="M4908" s="4">
        <f t="shared" si="1052"/>
        <v>173.1</v>
      </c>
      <c r="N4908" s="4"/>
      <c r="O4908" s="1">
        <f t="shared" si="1053"/>
        <v>173.1</v>
      </c>
      <c r="P4908" s="1">
        <f t="shared" si="1054"/>
        <v>0</v>
      </c>
      <c r="Q4908" s="1" t="str">
        <f t="shared" si="1051"/>
        <v/>
      </c>
      <c r="R4908" s="1" t="str">
        <f t="shared" si="1055"/>
        <v/>
      </c>
      <c r="S4908" s="1">
        <f t="shared" si="1056"/>
        <v>630.90240000000244</v>
      </c>
      <c r="T4908" s="1">
        <f t="shared" si="1057"/>
        <v>0</v>
      </c>
      <c r="U4908" s="1">
        <f t="shared" si="1058"/>
        <v>0</v>
      </c>
      <c r="V4908" s="1">
        <f t="shared" si="1059"/>
        <v>0</v>
      </c>
    </row>
    <row r="4909" spans="5:22" x14ac:dyDescent="0.25">
      <c r="E4909" s="4"/>
      <c r="M4909" s="4">
        <f t="shared" si="1052"/>
        <v>173.1</v>
      </c>
      <c r="N4909" s="4"/>
      <c r="O4909" s="1">
        <f t="shared" si="1053"/>
        <v>173.1</v>
      </c>
      <c r="P4909" s="1">
        <f t="shared" si="1054"/>
        <v>0</v>
      </c>
      <c r="Q4909" s="1" t="str">
        <f t="shared" si="1051"/>
        <v/>
      </c>
      <c r="R4909" s="1" t="str">
        <f t="shared" si="1055"/>
        <v/>
      </c>
      <c r="S4909" s="1">
        <f t="shared" si="1056"/>
        <v>630.90240000000244</v>
      </c>
      <c r="T4909" s="1">
        <f t="shared" si="1057"/>
        <v>0</v>
      </c>
      <c r="U4909" s="1">
        <f t="shared" si="1058"/>
        <v>0</v>
      </c>
      <c r="V4909" s="1">
        <f t="shared" si="1059"/>
        <v>0</v>
      </c>
    </row>
    <row r="4910" spans="5:22" x14ac:dyDescent="0.25">
      <c r="E4910" s="4"/>
      <c r="M4910" s="4">
        <f t="shared" si="1052"/>
        <v>173.1</v>
      </c>
      <c r="N4910" s="4"/>
      <c r="O4910" s="1">
        <f t="shared" si="1053"/>
        <v>173.1</v>
      </c>
      <c r="P4910" s="1">
        <f t="shared" si="1054"/>
        <v>0</v>
      </c>
      <c r="Q4910" s="1" t="str">
        <f t="shared" si="1051"/>
        <v/>
      </c>
      <c r="R4910" s="1" t="str">
        <f t="shared" si="1055"/>
        <v/>
      </c>
      <c r="S4910" s="1">
        <f t="shared" si="1056"/>
        <v>630.90240000000244</v>
      </c>
      <c r="T4910" s="1">
        <f t="shared" si="1057"/>
        <v>0</v>
      </c>
      <c r="U4910" s="1">
        <f t="shared" si="1058"/>
        <v>0</v>
      </c>
      <c r="V4910" s="1">
        <f t="shared" si="1059"/>
        <v>0</v>
      </c>
    </row>
    <row r="4911" spans="5:22" x14ac:dyDescent="0.25">
      <c r="E4911" s="4"/>
      <c r="M4911" s="4">
        <f t="shared" si="1052"/>
        <v>173.1</v>
      </c>
      <c r="N4911" s="4"/>
      <c r="O4911" s="1">
        <f t="shared" si="1053"/>
        <v>173.1</v>
      </c>
      <c r="P4911" s="1">
        <f t="shared" si="1054"/>
        <v>0</v>
      </c>
      <c r="Q4911" s="1" t="str">
        <f t="shared" si="1051"/>
        <v/>
      </c>
      <c r="R4911" s="1" t="str">
        <f t="shared" si="1055"/>
        <v/>
      </c>
      <c r="S4911" s="1">
        <f t="shared" si="1056"/>
        <v>630.90240000000244</v>
      </c>
      <c r="T4911" s="1">
        <f t="shared" si="1057"/>
        <v>0</v>
      </c>
      <c r="U4911" s="1">
        <f t="shared" si="1058"/>
        <v>0</v>
      </c>
      <c r="V4911" s="1">
        <f t="shared" si="1059"/>
        <v>0</v>
      </c>
    </row>
    <row r="4912" spans="5:22" x14ac:dyDescent="0.25">
      <c r="E4912" s="4"/>
      <c r="M4912" s="4">
        <f t="shared" si="1052"/>
        <v>173.1</v>
      </c>
      <c r="N4912" s="4"/>
      <c r="O4912" s="1">
        <f t="shared" si="1053"/>
        <v>173.1</v>
      </c>
      <c r="P4912" s="1">
        <f t="shared" si="1054"/>
        <v>0</v>
      </c>
      <c r="Q4912" s="1" t="str">
        <f t="shared" si="1051"/>
        <v/>
      </c>
      <c r="R4912" s="1" t="str">
        <f t="shared" si="1055"/>
        <v/>
      </c>
      <c r="S4912" s="1">
        <f t="shared" si="1056"/>
        <v>630.90240000000244</v>
      </c>
      <c r="T4912" s="1">
        <f t="shared" si="1057"/>
        <v>0</v>
      </c>
      <c r="U4912" s="1">
        <f t="shared" si="1058"/>
        <v>0</v>
      </c>
      <c r="V4912" s="1">
        <f t="shared" si="1059"/>
        <v>0</v>
      </c>
    </row>
    <row r="4913" spans="5:22" x14ac:dyDescent="0.25">
      <c r="E4913" s="4"/>
      <c r="M4913" s="4">
        <f t="shared" si="1052"/>
        <v>173.1</v>
      </c>
      <c r="N4913" s="4"/>
      <c r="O4913" s="1">
        <f t="shared" si="1053"/>
        <v>173.1</v>
      </c>
      <c r="P4913" s="1">
        <f t="shared" si="1054"/>
        <v>0</v>
      </c>
      <c r="Q4913" s="1" t="str">
        <f t="shared" si="1051"/>
        <v/>
      </c>
      <c r="R4913" s="1" t="str">
        <f t="shared" si="1055"/>
        <v/>
      </c>
      <c r="S4913" s="1">
        <f t="shared" si="1056"/>
        <v>630.90240000000244</v>
      </c>
      <c r="T4913" s="1">
        <f t="shared" si="1057"/>
        <v>0</v>
      </c>
      <c r="U4913" s="1">
        <f t="shared" si="1058"/>
        <v>0</v>
      </c>
      <c r="V4913" s="1">
        <f t="shared" si="1059"/>
        <v>0</v>
      </c>
    </row>
    <row r="4914" spans="5:22" x14ac:dyDescent="0.25">
      <c r="E4914" s="4"/>
      <c r="M4914" s="4">
        <f t="shared" si="1052"/>
        <v>173.1</v>
      </c>
      <c r="N4914" s="4"/>
      <c r="O4914" s="1">
        <f t="shared" si="1053"/>
        <v>173.1</v>
      </c>
      <c r="P4914" s="1">
        <f t="shared" si="1054"/>
        <v>0</v>
      </c>
      <c r="Q4914" s="1" t="str">
        <f t="shared" ref="Q4914:Q4977" si="1060">IF(H4914&lt;&gt;"",IF(H4914=H4913,"",H4914),IF(H4912="","",MAX(H4913,Q4913)))</f>
        <v/>
      </c>
      <c r="R4914" s="1" t="str">
        <f t="shared" si="1055"/>
        <v/>
      </c>
      <c r="S4914" s="1">
        <f t="shared" si="1056"/>
        <v>630.90240000000244</v>
      </c>
      <c r="T4914" s="1">
        <f t="shared" si="1057"/>
        <v>0</v>
      </c>
      <c r="U4914" s="1">
        <f t="shared" si="1058"/>
        <v>0</v>
      </c>
      <c r="V4914" s="1">
        <f t="shared" si="1059"/>
        <v>0</v>
      </c>
    </row>
    <row r="4915" spans="5:22" x14ac:dyDescent="0.25">
      <c r="E4915" s="4"/>
      <c r="M4915" s="4">
        <f t="shared" si="1052"/>
        <v>173.1</v>
      </c>
      <c r="N4915" s="4"/>
      <c r="O4915" s="1">
        <f t="shared" si="1053"/>
        <v>173.1</v>
      </c>
      <c r="P4915" s="1">
        <f t="shared" si="1054"/>
        <v>0</v>
      </c>
      <c r="Q4915" s="1" t="str">
        <f t="shared" si="1060"/>
        <v/>
      </c>
      <c r="R4915" s="1" t="str">
        <f t="shared" si="1055"/>
        <v/>
      </c>
      <c r="S4915" s="1">
        <f t="shared" si="1056"/>
        <v>630.90240000000244</v>
      </c>
      <c r="T4915" s="1">
        <f t="shared" si="1057"/>
        <v>0</v>
      </c>
      <c r="U4915" s="1">
        <f t="shared" si="1058"/>
        <v>0</v>
      </c>
      <c r="V4915" s="1">
        <f t="shared" si="1059"/>
        <v>0</v>
      </c>
    </row>
    <row r="4916" spans="5:22" x14ac:dyDescent="0.25">
      <c r="E4916" s="4"/>
      <c r="M4916" s="4">
        <f t="shared" si="1052"/>
        <v>173.1</v>
      </c>
      <c r="N4916" s="4"/>
      <c r="O4916" s="1">
        <f t="shared" si="1053"/>
        <v>173.1</v>
      </c>
      <c r="P4916" s="1">
        <f t="shared" si="1054"/>
        <v>0</v>
      </c>
      <c r="Q4916" s="1" t="str">
        <f t="shared" si="1060"/>
        <v/>
      </c>
      <c r="R4916" s="1" t="str">
        <f t="shared" si="1055"/>
        <v/>
      </c>
      <c r="S4916" s="1">
        <f t="shared" si="1056"/>
        <v>630.90240000000244</v>
      </c>
      <c r="T4916" s="1">
        <f t="shared" si="1057"/>
        <v>0</v>
      </c>
      <c r="U4916" s="1">
        <f t="shared" si="1058"/>
        <v>0</v>
      </c>
      <c r="V4916" s="1">
        <f t="shared" si="1059"/>
        <v>0</v>
      </c>
    </row>
    <row r="4917" spans="5:22" x14ac:dyDescent="0.25">
      <c r="E4917" s="4"/>
      <c r="M4917" s="4">
        <f t="shared" si="1052"/>
        <v>173.1</v>
      </c>
      <c r="N4917" s="4"/>
      <c r="O4917" s="1">
        <f t="shared" si="1053"/>
        <v>173.1</v>
      </c>
      <c r="P4917" s="1">
        <f t="shared" si="1054"/>
        <v>0</v>
      </c>
      <c r="Q4917" s="1" t="str">
        <f t="shared" si="1060"/>
        <v/>
      </c>
      <c r="R4917" s="1" t="str">
        <f t="shared" si="1055"/>
        <v/>
      </c>
      <c r="S4917" s="1">
        <f t="shared" si="1056"/>
        <v>630.90240000000244</v>
      </c>
      <c r="T4917" s="1">
        <f t="shared" si="1057"/>
        <v>0</v>
      </c>
      <c r="U4917" s="1">
        <f t="shared" si="1058"/>
        <v>0</v>
      </c>
      <c r="V4917" s="1">
        <f t="shared" si="1059"/>
        <v>0</v>
      </c>
    </row>
    <row r="4918" spans="5:22" x14ac:dyDescent="0.25">
      <c r="E4918" s="4"/>
      <c r="M4918" s="4">
        <f t="shared" si="1052"/>
        <v>173.1</v>
      </c>
      <c r="N4918" s="4"/>
      <c r="O4918" s="1">
        <f t="shared" si="1053"/>
        <v>173.1</v>
      </c>
      <c r="P4918" s="1">
        <f t="shared" si="1054"/>
        <v>0</v>
      </c>
      <c r="Q4918" s="1" t="str">
        <f t="shared" si="1060"/>
        <v/>
      </c>
      <c r="R4918" s="1" t="str">
        <f t="shared" si="1055"/>
        <v/>
      </c>
      <c r="S4918" s="1">
        <f t="shared" si="1056"/>
        <v>630.90240000000244</v>
      </c>
      <c r="T4918" s="1">
        <f t="shared" si="1057"/>
        <v>0</v>
      </c>
      <c r="U4918" s="1">
        <f t="shared" si="1058"/>
        <v>0</v>
      </c>
      <c r="V4918" s="1">
        <f t="shared" si="1059"/>
        <v>0</v>
      </c>
    </row>
    <row r="4919" spans="5:22" x14ac:dyDescent="0.25">
      <c r="E4919" s="4"/>
      <c r="M4919" s="4">
        <f t="shared" si="1052"/>
        <v>173.1</v>
      </c>
      <c r="N4919" s="4"/>
      <c r="O4919" s="1">
        <f t="shared" si="1053"/>
        <v>173.1</v>
      </c>
      <c r="P4919" s="1">
        <f t="shared" si="1054"/>
        <v>0</v>
      </c>
      <c r="Q4919" s="1" t="str">
        <f t="shared" si="1060"/>
        <v/>
      </c>
      <c r="R4919" s="1" t="str">
        <f t="shared" si="1055"/>
        <v/>
      </c>
      <c r="S4919" s="1">
        <f t="shared" si="1056"/>
        <v>630.90240000000244</v>
      </c>
      <c r="T4919" s="1">
        <f t="shared" si="1057"/>
        <v>0</v>
      </c>
      <c r="U4919" s="1">
        <f t="shared" si="1058"/>
        <v>0</v>
      </c>
      <c r="V4919" s="1">
        <f t="shared" si="1059"/>
        <v>0</v>
      </c>
    </row>
    <row r="4920" spans="5:22" x14ac:dyDescent="0.25">
      <c r="E4920" s="4"/>
      <c r="M4920" s="4">
        <f t="shared" si="1052"/>
        <v>173.1</v>
      </c>
      <c r="N4920" s="4"/>
      <c r="O4920" s="1">
        <f t="shared" si="1053"/>
        <v>173.1</v>
      </c>
      <c r="P4920" s="1">
        <f t="shared" si="1054"/>
        <v>0</v>
      </c>
      <c r="Q4920" s="1" t="str">
        <f t="shared" si="1060"/>
        <v/>
      </c>
      <c r="R4920" s="1" t="str">
        <f t="shared" si="1055"/>
        <v/>
      </c>
      <c r="S4920" s="1">
        <f t="shared" si="1056"/>
        <v>630.90240000000244</v>
      </c>
      <c r="T4920" s="1">
        <f t="shared" si="1057"/>
        <v>0</v>
      </c>
      <c r="U4920" s="1">
        <f t="shared" si="1058"/>
        <v>0</v>
      </c>
      <c r="V4920" s="1">
        <f t="shared" si="1059"/>
        <v>0</v>
      </c>
    </row>
    <row r="4921" spans="5:22" x14ac:dyDescent="0.25">
      <c r="E4921" s="4"/>
      <c r="M4921" s="4">
        <f t="shared" si="1052"/>
        <v>173.1</v>
      </c>
      <c r="N4921" s="4"/>
      <c r="O4921" s="1">
        <f t="shared" si="1053"/>
        <v>173.1</v>
      </c>
      <c r="P4921" s="1">
        <f t="shared" si="1054"/>
        <v>0</v>
      </c>
      <c r="Q4921" s="1" t="str">
        <f t="shared" si="1060"/>
        <v/>
      </c>
      <c r="R4921" s="1" t="str">
        <f t="shared" si="1055"/>
        <v/>
      </c>
      <c r="S4921" s="1">
        <f t="shared" si="1056"/>
        <v>630.90240000000244</v>
      </c>
      <c r="T4921" s="1">
        <f t="shared" si="1057"/>
        <v>0</v>
      </c>
      <c r="U4921" s="1">
        <f t="shared" si="1058"/>
        <v>0</v>
      </c>
      <c r="V4921" s="1">
        <f t="shared" si="1059"/>
        <v>0</v>
      </c>
    </row>
    <row r="4922" spans="5:22" x14ac:dyDescent="0.25">
      <c r="E4922" s="4"/>
      <c r="M4922" s="4">
        <f t="shared" si="1052"/>
        <v>173.1</v>
      </c>
      <c r="N4922" s="4"/>
      <c r="O4922" s="1">
        <f t="shared" si="1053"/>
        <v>173.1</v>
      </c>
      <c r="P4922" s="1">
        <f t="shared" si="1054"/>
        <v>0</v>
      </c>
      <c r="Q4922" s="1" t="str">
        <f t="shared" si="1060"/>
        <v/>
      </c>
      <c r="R4922" s="1" t="str">
        <f t="shared" si="1055"/>
        <v/>
      </c>
      <c r="S4922" s="1">
        <f t="shared" si="1056"/>
        <v>630.90240000000244</v>
      </c>
      <c r="T4922" s="1">
        <f t="shared" si="1057"/>
        <v>0</v>
      </c>
      <c r="U4922" s="1">
        <f t="shared" si="1058"/>
        <v>0</v>
      </c>
      <c r="V4922" s="1">
        <f t="shared" si="1059"/>
        <v>0</v>
      </c>
    </row>
    <row r="4923" spans="5:22" x14ac:dyDescent="0.25">
      <c r="E4923" s="4"/>
      <c r="M4923" s="4">
        <f t="shared" si="1052"/>
        <v>173.1</v>
      </c>
      <c r="N4923" s="4"/>
      <c r="O4923" s="1">
        <f t="shared" si="1053"/>
        <v>173.1</v>
      </c>
      <c r="P4923" s="1">
        <f t="shared" si="1054"/>
        <v>0</v>
      </c>
      <c r="Q4923" s="1" t="str">
        <f t="shared" si="1060"/>
        <v/>
      </c>
      <c r="R4923" s="1" t="str">
        <f t="shared" si="1055"/>
        <v/>
      </c>
      <c r="S4923" s="1">
        <f t="shared" si="1056"/>
        <v>630.90240000000244</v>
      </c>
      <c r="T4923" s="1">
        <f t="shared" si="1057"/>
        <v>0</v>
      </c>
      <c r="U4923" s="1">
        <f t="shared" si="1058"/>
        <v>0</v>
      </c>
      <c r="V4923" s="1">
        <f t="shared" si="1059"/>
        <v>0</v>
      </c>
    </row>
    <row r="4924" spans="5:22" x14ac:dyDescent="0.25">
      <c r="E4924" s="4"/>
      <c r="M4924" s="4">
        <f t="shared" si="1052"/>
        <v>173.1</v>
      </c>
      <c r="N4924" s="4"/>
      <c r="O4924" s="1">
        <f t="shared" si="1053"/>
        <v>173.1</v>
      </c>
      <c r="P4924" s="1">
        <f t="shared" si="1054"/>
        <v>0</v>
      </c>
      <c r="Q4924" s="1" t="str">
        <f t="shared" si="1060"/>
        <v/>
      </c>
      <c r="R4924" s="1" t="str">
        <f t="shared" si="1055"/>
        <v/>
      </c>
      <c r="S4924" s="1">
        <f t="shared" si="1056"/>
        <v>630.90240000000244</v>
      </c>
      <c r="T4924" s="1">
        <f t="shared" si="1057"/>
        <v>0</v>
      </c>
      <c r="U4924" s="1">
        <f t="shared" si="1058"/>
        <v>0</v>
      </c>
      <c r="V4924" s="1">
        <f t="shared" si="1059"/>
        <v>0</v>
      </c>
    </row>
    <row r="4925" spans="5:22" x14ac:dyDescent="0.25">
      <c r="E4925" s="4"/>
      <c r="M4925" s="4">
        <f t="shared" si="1052"/>
        <v>173.1</v>
      </c>
      <c r="N4925" s="4"/>
      <c r="O4925" s="1">
        <f t="shared" si="1053"/>
        <v>173.1</v>
      </c>
      <c r="P4925" s="1">
        <f t="shared" si="1054"/>
        <v>0</v>
      </c>
      <c r="Q4925" s="1" t="str">
        <f t="shared" si="1060"/>
        <v/>
      </c>
      <c r="R4925" s="1" t="str">
        <f t="shared" si="1055"/>
        <v/>
      </c>
      <c r="S4925" s="1">
        <f t="shared" si="1056"/>
        <v>630.90240000000244</v>
      </c>
      <c r="T4925" s="1">
        <f t="shared" si="1057"/>
        <v>0</v>
      </c>
      <c r="U4925" s="1">
        <f t="shared" si="1058"/>
        <v>0</v>
      </c>
      <c r="V4925" s="1">
        <f t="shared" si="1059"/>
        <v>0</v>
      </c>
    </row>
    <row r="4926" spans="5:22" x14ac:dyDescent="0.25">
      <c r="E4926" s="4"/>
      <c r="M4926" s="4">
        <f t="shared" si="1052"/>
        <v>173.1</v>
      </c>
      <c r="N4926" s="4"/>
      <c r="O4926" s="1">
        <f t="shared" si="1053"/>
        <v>173.1</v>
      </c>
      <c r="P4926" s="1">
        <f t="shared" si="1054"/>
        <v>0</v>
      </c>
      <c r="Q4926" s="1" t="str">
        <f t="shared" si="1060"/>
        <v/>
      </c>
      <c r="R4926" s="1" t="str">
        <f t="shared" si="1055"/>
        <v/>
      </c>
      <c r="S4926" s="1">
        <f t="shared" si="1056"/>
        <v>630.90240000000244</v>
      </c>
      <c r="T4926" s="1">
        <f t="shared" si="1057"/>
        <v>0</v>
      </c>
      <c r="U4926" s="1">
        <f t="shared" si="1058"/>
        <v>0</v>
      </c>
      <c r="V4926" s="1">
        <f t="shared" si="1059"/>
        <v>0</v>
      </c>
    </row>
    <row r="4927" spans="5:22" x14ac:dyDescent="0.25">
      <c r="E4927" s="4"/>
      <c r="M4927" s="4">
        <f t="shared" si="1052"/>
        <v>173.1</v>
      </c>
      <c r="N4927" s="4"/>
      <c r="O4927" s="1">
        <f t="shared" si="1053"/>
        <v>173.1</v>
      </c>
      <c r="P4927" s="1">
        <f t="shared" si="1054"/>
        <v>0</v>
      </c>
      <c r="Q4927" s="1" t="str">
        <f t="shared" si="1060"/>
        <v/>
      </c>
      <c r="R4927" s="1" t="str">
        <f t="shared" si="1055"/>
        <v/>
      </c>
      <c r="S4927" s="1">
        <f t="shared" si="1056"/>
        <v>630.90240000000244</v>
      </c>
      <c r="T4927" s="1">
        <f t="shared" si="1057"/>
        <v>0</v>
      </c>
      <c r="U4927" s="1">
        <f t="shared" si="1058"/>
        <v>0</v>
      </c>
      <c r="V4927" s="1">
        <f t="shared" si="1059"/>
        <v>0</v>
      </c>
    </row>
    <row r="4928" spans="5:22" x14ac:dyDescent="0.25">
      <c r="E4928" s="4"/>
      <c r="M4928" s="4">
        <f t="shared" si="1052"/>
        <v>173.1</v>
      </c>
      <c r="N4928" s="4"/>
      <c r="O4928" s="1">
        <f t="shared" si="1053"/>
        <v>173.1</v>
      </c>
      <c r="P4928" s="1">
        <f t="shared" si="1054"/>
        <v>0</v>
      </c>
      <c r="Q4928" s="1" t="str">
        <f t="shared" si="1060"/>
        <v/>
      </c>
      <c r="R4928" s="1" t="str">
        <f t="shared" si="1055"/>
        <v/>
      </c>
      <c r="S4928" s="1">
        <f t="shared" si="1056"/>
        <v>630.90240000000244</v>
      </c>
      <c r="T4928" s="1">
        <f t="shared" si="1057"/>
        <v>0</v>
      </c>
      <c r="U4928" s="1">
        <f t="shared" si="1058"/>
        <v>0</v>
      </c>
      <c r="V4928" s="1">
        <f t="shared" si="1059"/>
        <v>0</v>
      </c>
    </row>
    <row r="4929" spans="5:22" x14ac:dyDescent="0.25">
      <c r="E4929" s="4"/>
      <c r="M4929" s="4">
        <f t="shared" si="1052"/>
        <v>173.1</v>
      </c>
      <c r="N4929" s="4"/>
      <c r="O4929" s="1">
        <f t="shared" si="1053"/>
        <v>173.1</v>
      </c>
      <c r="P4929" s="1">
        <f t="shared" si="1054"/>
        <v>0</v>
      </c>
      <c r="Q4929" s="1" t="str">
        <f t="shared" si="1060"/>
        <v/>
      </c>
      <c r="R4929" s="1" t="str">
        <f t="shared" si="1055"/>
        <v/>
      </c>
      <c r="S4929" s="1">
        <f t="shared" si="1056"/>
        <v>630.90240000000244</v>
      </c>
      <c r="T4929" s="1">
        <f t="shared" si="1057"/>
        <v>0</v>
      </c>
      <c r="U4929" s="1">
        <f t="shared" si="1058"/>
        <v>0</v>
      </c>
      <c r="V4929" s="1">
        <f t="shared" si="1059"/>
        <v>0</v>
      </c>
    </row>
    <row r="4930" spans="5:22" x14ac:dyDescent="0.25">
      <c r="E4930" s="4"/>
      <c r="M4930" s="4">
        <f t="shared" si="1052"/>
        <v>173.1</v>
      </c>
      <c r="N4930" s="4"/>
      <c r="O4930" s="1">
        <f t="shared" si="1053"/>
        <v>173.1</v>
      </c>
      <c r="P4930" s="1">
        <f t="shared" si="1054"/>
        <v>0</v>
      </c>
      <c r="Q4930" s="1" t="str">
        <f t="shared" si="1060"/>
        <v/>
      </c>
      <c r="R4930" s="1" t="str">
        <f t="shared" si="1055"/>
        <v/>
      </c>
      <c r="S4930" s="1">
        <f t="shared" si="1056"/>
        <v>630.90240000000244</v>
      </c>
      <c r="T4930" s="1">
        <f t="shared" si="1057"/>
        <v>0</v>
      </c>
      <c r="U4930" s="1">
        <f t="shared" si="1058"/>
        <v>0</v>
      </c>
      <c r="V4930" s="1">
        <f t="shared" si="1059"/>
        <v>0</v>
      </c>
    </row>
    <row r="4931" spans="5:22" x14ac:dyDescent="0.25">
      <c r="E4931" s="4"/>
      <c r="M4931" s="4">
        <f t="shared" si="1052"/>
        <v>173.1</v>
      </c>
      <c r="N4931" s="4"/>
      <c r="O4931" s="1">
        <f t="shared" si="1053"/>
        <v>173.1</v>
      </c>
      <c r="P4931" s="1">
        <f t="shared" si="1054"/>
        <v>0</v>
      </c>
      <c r="Q4931" s="1" t="str">
        <f t="shared" si="1060"/>
        <v/>
      </c>
      <c r="R4931" s="1" t="str">
        <f t="shared" si="1055"/>
        <v/>
      </c>
      <c r="S4931" s="1">
        <f t="shared" si="1056"/>
        <v>630.90240000000244</v>
      </c>
      <c r="T4931" s="1">
        <f t="shared" si="1057"/>
        <v>0</v>
      </c>
      <c r="U4931" s="1">
        <f t="shared" si="1058"/>
        <v>0</v>
      </c>
      <c r="V4931" s="1">
        <f t="shared" si="1059"/>
        <v>0</v>
      </c>
    </row>
    <row r="4932" spans="5:22" x14ac:dyDescent="0.25">
      <c r="E4932" s="4"/>
      <c r="M4932" s="4">
        <f t="shared" si="1052"/>
        <v>173.1</v>
      </c>
      <c r="N4932" s="4"/>
      <c r="O4932" s="1">
        <f t="shared" si="1053"/>
        <v>173.1</v>
      </c>
      <c r="P4932" s="1">
        <f t="shared" si="1054"/>
        <v>0</v>
      </c>
      <c r="Q4932" s="1" t="str">
        <f t="shared" si="1060"/>
        <v/>
      </c>
      <c r="R4932" s="1" t="str">
        <f t="shared" si="1055"/>
        <v/>
      </c>
      <c r="S4932" s="1">
        <f t="shared" si="1056"/>
        <v>630.90240000000244</v>
      </c>
      <c r="T4932" s="1">
        <f t="shared" si="1057"/>
        <v>0</v>
      </c>
      <c r="U4932" s="1">
        <f t="shared" si="1058"/>
        <v>0</v>
      </c>
      <c r="V4932" s="1">
        <f t="shared" si="1059"/>
        <v>0</v>
      </c>
    </row>
    <row r="4933" spans="5:22" x14ac:dyDescent="0.25">
      <c r="E4933" s="4"/>
      <c r="M4933" s="4">
        <f t="shared" si="1052"/>
        <v>173.1</v>
      </c>
      <c r="N4933" s="4"/>
      <c r="O4933" s="1">
        <f t="shared" si="1053"/>
        <v>173.1</v>
      </c>
      <c r="P4933" s="1">
        <f t="shared" si="1054"/>
        <v>0</v>
      </c>
      <c r="Q4933" s="1" t="str">
        <f t="shared" si="1060"/>
        <v/>
      </c>
      <c r="R4933" s="1" t="str">
        <f t="shared" si="1055"/>
        <v/>
      </c>
      <c r="S4933" s="1">
        <f t="shared" si="1056"/>
        <v>630.90240000000244</v>
      </c>
      <c r="T4933" s="1">
        <f t="shared" si="1057"/>
        <v>0</v>
      </c>
      <c r="U4933" s="1">
        <f t="shared" si="1058"/>
        <v>0</v>
      </c>
      <c r="V4933" s="1">
        <f t="shared" si="1059"/>
        <v>0</v>
      </c>
    </row>
    <row r="4934" spans="5:22" x14ac:dyDescent="0.25">
      <c r="E4934" s="4"/>
      <c r="M4934" s="4">
        <f t="shared" si="1052"/>
        <v>173.1</v>
      </c>
      <c r="N4934" s="4"/>
      <c r="O4934" s="1">
        <f t="shared" si="1053"/>
        <v>173.1</v>
      </c>
      <c r="P4934" s="1">
        <f t="shared" si="1054"/>
        <v>0</v>
      </c>
      <c r="Q4934" s="1" t="str">
        <f t="shared" si="1060"/>
        <v/>
      </c>
      <c r="R4934" s="1" t="str">
        <f t="shared" si="1055"/>
        <v/>
      </c>
      <c r="S4934" s="1">
        <f t="shared" si="1056"/>
        <v>630.90240000000244</v>
      </c>
      <c r="T4934" s="1">
        <f t="shared" si="1057"/>
        <v>0</v>
      </c>
      <c r="U4934" s="1">
        <f t="shared" si="1058"/>
        <v>0</v>
      </c>
      <c r="V4934" s="1">
        <f t="shared" si="1059"/>
        <v>0</v>
      </c>
    </row>
    <row r="4935" spans="5:22" x14ac:dyDescent="0.25">
      <c r="E4935" s="4"/>
      <c r="M4935" s="4">
        <f t="shared" si="1052"/>
        <v>173.1</v>
      </c>
      <c r="N4935" s="4"/>
      <c r="O4935" s="1">
        <f t="shared" si="1053"/>
        <v>173.1</v>
      </c>
      <c r="P4935" s="1">
        <f t="shared" si="1054"/>
        <v>0</v>
      </c>
      <c r="Q4935" s="1" t="str">
        <f t="shared" si="1060"/>
        <v/>
      </c>
      <c r="R4935" s="1" t="str">
        <f t="shared" si="1055"/>
        <v/>
      </c>
      <c r="S4935" s="1">
        <f t="shared" si="1056"/>
        <v>630.90240000000244</v>
      </c>
      <c r="T4935" s="1">
        <f t="shared" si="1057"/>
        <v>0</v>
      </c>
      <c r="U4935" s="1">
        <f t="shared" si="1058"/>
        <v>0</v>
      </c>
      <c r="V4935" s="1">
        <f t="shared" si="1059"/>
        <v>0</v>
      </c>
    </row>
    <row r="4936" spans="5:22" x14ac:dyDescent="0.25">
      <c r="E4936" s="4"/>
      <c r="M4936" s="4">
        <f t="shared" ref="M4936:M4999" si="1061">E4936+M4935</f>
        <v>173.1</v>
      </c>
      <c r="N4936" s="4"/>
      <c r="O4936" s="1">
        <f t="shared" ref="O4936:O4999" si="1062">E4935+O4935</f>
        <v>173.1</v>
      </c>
      <c r="P4936" s="1">
        <f t="shared" ref="P4936:P4999" si="1063">F4936*52.8*E4936</f>
        <v>0</v>
      </c>
      <c r="Q4936" s="1" t="str">
        <f t="shared" si="1060"/>
        <v/>
      </c>
      <c r="R4936" s="1" t="str">
        <f t="shared" ref="R4936:R4999" si="1064">IF(I4936="",Q4936,IF(AND(H4936=H4935,I4936=I4935),"",I4936))</f>
        <v/>
      </c>
      <c r="S4936" s="1">
        <f t="shared" ref="S4936:S4999" si="1065">S4935+U4935*T4935/100</f>
        <v>630.90240000000244</v>
      </c>
      <c r="T4936" s="1">
        <f t="shared" ref="T4936:T4999" si="1066">IF(G4936="UNK",0,G4936)</f>
        <v>0</v>
      </c>
      <c r="U4936" s="1">
        <f t="shared" ref="U4936:U4999" si="1067">E4936*5280</f>
        <v>0</v>
      </c>
      <c r="V4936" s="1">
        <f t="shared" ref="V4936:V4999" si="1068">ABS(T4936*U4936)</f>
        <v>0</v>
      </c>
    </row>
    <row r="4937" spans="5:22" x14ac:dyDescent="0.25">
      <c r="E4937" s="4"/>
      <c r="M4937" s="4">
        <f t="shared" si="1061"/>
        <v>173.1</v>
      </c>
      <c r="N4937" s="4"/>
      <c r="O4937" s="1">
        <f t="shared" si="1062"/>
        <v>173.1</v>
      </c>
      <c r="P4937" s="1">
        <f t="shared" si="1063"/>
        <v>0</v>
      </c>
      <c r="Q4937" s="1" t="str">
        <f t="shared" si="1060"/>
        <v/>
      </c>
      <c r="R4937" s="1" t="str">
        <f t="shared" si="1064"/>
        <v/>
      </c>
      <c r="S4937" s="1">
        <f t="shared" si="1065"/>
        <v>630.90240000000244</v>
      </c>
      <c r="T4937" s="1">
        <f t="shared" si="1066"/>
        <v>0</v>
      </c>
      <c r="U4937" s="1">
        <f t="shared" si="1067"/>
        <v>0</v>
      </c>
      <c r="V4937" s="1">
        <f t="shared" si="1068"/>
        <v>0</v>
      </c>
    </row>
    <row r="4938" spans="5:22" x14ac:dyDescent="0.25">
      <c r="E4938" s="4"/>
      <c r="M4938" s="4">
        <f t="shared" si="1061"/>
        <v>173.1</v>
      </c>
      <c r="N4938" s="4"/>
      <c r="O4938" s="1">
        <f t="shared" si="1062"/>
        <v>173.1</v>
      </c>
      <c r="P4938" s="1">
        <f t="shared" si="1063"/>
        <v>0</v>
      </c>
      <c r="Q4938" s="1" t="str">
        <f t="shared" si="1060"/>
        <v/>
      </c>
      <c r="R4938" s="1" t="str">
        <f t="shared" si="1064"/>
        <v/>
      </c>
      <c r="S4938" s="1">
        <f t="shared" si="1065"/>
        <v>630.90240000000244</v>
      </c>
      <c r="T4938" s="1">
        <f t="shared" si="1066"/>
        <v>0</v>
      </c>
      <c r="U4938" s="1">
        <f t="shared" si="1067"/>
        <v>0</v>
      </c>
      <c r="V4938" s="1">
        <f t="shared" si="1068"/>
        <v>0</v>
      </c>
    </row>
    <row r="4939" spans="5:22" x14ac:dyDescent="0.25">
      <c r="E4939" s="4"/>
      <c r="M4939" s="4">
        <f t="shared" si="1061"/>
        <v>173.1</v>
      </c>
      <c r="N4939" s="4"/>
      <c r="O4939" s="1">
        <f t="shared" si="1062"/>
        <v>173.1</v>
      </c>
      <c r="P4939" s="1">
        <f t="shared" si="1063"/>
        <v>0</v>
      </c>
      <c r="Q4939" s="1" t="str">
        <f t="shared" si="1060"/>
        <v/>
      </c>
      <c r="R4939" s="1" t="str">
        <f t="shared" si="1064"/>
        <v/>
      </c>
      <c r="S4939" s="1">
        <f t="shared" si="1065"/>
        <v>630.90240000000244</v>
      </c>
      <c r="T4939" s="1">
        <f t="shared" si="1066"/>
        <v>0</v>
      </c>
      <c r="U4939" s="1">
        <f t="shared" si="1067"/>
        <v>0</v>
      </c>
      <c r="V4939" s="1">
        <f t="shared" si="1068"/>
        <v>0</v>
      </c>
    </row>
    <row r="4940" spans="5:22" x14ac:dyDescent="0.25">
      <c r="E4940" s="4"/>
      <c r="M4940" s="4">
        <f t="shared" si="1061"/>
        <v>173.1</v>
      </c>
      <c r="N4940" s="4"/>
      <c r="O4940" s="1">
        <f t="shared" si="1062"/>
        <v>173.1</v>
      </c>
      <c r="P4940" s="1">
        <f t="shared" si="1063"/>
        <v>0</v>
      </c>
      <c r="Q4940" s="1" t="str">
        <f t="shared" si="1060"/>
        <v/>
      </c>
      <c r="R4940" s="1" t="str">
        <f t="shared" si="1064"/>
        <v/>
      </c>
      <c r="S4940" s="1">
        <f t="shared" si="1065"/>
        <v>630.90240000000244</v>
      </c>
      <c r="T4940" s="1">
        <f t="shared" si="1066"/>
        <v>0</v>
      </c>
      <c r="U4940" s="1">
        <f t="shared" si="1067"/>
        <v>0</v>
      </c>
      <c r="V4940" s="1">
        <f t="shared" si="1068"/>
        <v>0</v>
      </c>
    </row>
    <row r="4941" spans="5:22" x14ac:dyDescent="0.25">
      <c r="E4941" s="4"/>
      <c r="M4941" s="4">
        <f t="shared" si="1061"/>
        <v>173.1</v>
      </c>
      <c r="N4941" s="4"/>
      <c r="O4941" s="1">
        <f t="shared" si="1062"/>
        <v>173.1</v>
      </c>
      <c r="P4941" s="1">
        <f t="shared" si="1063"/>
        <v>0</v>
      </c>
      <c r="Q4941" s="1" t="str">
        <f t="shared" si="1060"/>
        <v/>
      </c>
      <c r="R4941" s="1" t="str">
        <f t="shared" si="1064"/>
        <v/>
      </c>
      <c r="S4941" s="1">
        <f t="shared" si="1065"/>
        <v>630.90240000000244</v>
      </c>
      <c r="T4941" s="1">
        <f t="shared" si="1066"/>
        <v>0</v>
      </c>
      <c r="U4941" s="1">
        <f t="shared" si="1067"/>
        <v>0</v>
      </c>
      <c r="V4941" s="1">
        <f t="shared" si="1068"/>
        <v>0</v>
      </c>
    </row>
    <row r="4942" spans="5:22" x14ac:dyDescent="0.25">
      <c r="E4942" s="4"/>
      <c r="M4942" s="4">
        <f t="shared" si="1061"/>
        <v>173.1</v>
      </c>
      <c r="N4942" s="4"/>
      <c r="O4942" s="1">
        <f t="shared" si="1062"/>
        <v>173.1</v>
      </c>
      <c r="P4942" s="1">
        <f t="shared" si="1063"/>
        <v>0</v>
      </c>
      <c r="Q4942" s="1" t="str">
        <f t="shared" si="1060"/>
        <v/>
      </c>
      <c r="R4942" s="1" t="str">
        <f t="shared" si="1064"/>
        <v/>
      </c>
      <c r="S4942" s="1">
        <f t="shared" si="1065"/>
        <v>630.90240000000244</v>
      </c>
      <c r="T4942" s="1">
        <f t="shared" si="1066"/>
        <v>0</v>
      </c>
      <c r="U4942" s="1">
        <f t="shared" si="1067"/>
        <v>0</v>
      </c>
      <c r="V4942" s="1">
        <f t="shared" si="1068"/>
        <v>0</v>
      </c>
    </row>
    <row r="4943" spans="5:22" x14ac:dyDescent="0.25">
      <c r="E4943" s="4"/>
      <c r="M4943" s="4">
        <f t="shared" si="1061"/>
        <v>173.1</v>
      </c>
      <c r="N4943" s="4"/>
      <c r="O4943" s="1">
        <f t="shared" si="1062"/>
        <v>173.1</v>
      </c>
      <c r="P4943" s="1">
        <f t="shared" si="1063"/>
        <v>0</v>
      </c>
      <c r="Q4943" s="1" t="str">
        <f t="shared" si="1060"/>
        <v/>
      </c>
      <c r="R4943" s="1" t="str">
        <f t="shared" si="1064"/>
        <v/>
      </c>
      <c r="S4943" s="1">
        <f t="shared" si="1065"/>
        <v>630.90240000000244</v>
      </c>
      <c r="T4943" s="1">
        <f t="shared" si="1066"/>
        <v>0</v>
      </c>
      <c r="U4943" s="1">
        <f t="shared" si="1067"/>
        <v>0</v>
      </c>
      <c r="V4943" s="1">
        <f t="shared" si="1068"/>
        <v>0</v>
      </c>
    </row>
    <row r="4944" spans="5:22" x14ac:dyDescent="0.25">
      <c r="E4944" s="4"/>
      <c r="M4944" s="4">
        <f t="shared" si="1061"/>
        <v>173.1</v>
      </c>
      <c r="N4944" s="4"/>
      <c r="O4944" s="1">
        <f t="shared" si="1062"/>
        <v>173.1</v>
      </c>
      <c r="P4944" s="1">
        <f t="shared" si="1063"/>
        <v>0</v>
      </c>
      <c r="Q4944" s="1" t="str">
        <f t="shared" si="1060"/>
        <v/>
      </c>
      <c r="R4944" s="1" t="str">
        <f t="shared" si="1064"/>
        <v/>
      </c>
      <c r="S4944" s="1">
        <f t="shared" si="1065"/>
        <v>630.90240000000244</v>
      </c>
      <c r="T4944" s="1">
        <f t="shared" si="1066"/>
        <v>0</v>
      </c>
      <c r="U4944" s="1">
        <f t="shared" si="1067"/>
        <v>0</v>
      </c>
      <c r="V4944" s="1">
        <f t="shared" si="1068"/>
        <v>0</v>
      </c>
    </row>
    <row r="4945" spans="5:22" x14ac:dyDescent="0.25">
      <c r="E4945" s="4"/>
      <c r="M4945" s="4">
        <f t="shared" si="1061"/>
        <v>173.1</v>
      </c>
      <c r="N4945" s="4"/>
      <c r="O4945" s="1">
        <f t="shared" si="1062"/>
        <v>173.1</v>
      </c>
      <c r="P4945" s="1">
        <f t="shared" si="1063"/>
        <v>0</v>
      </c>
      <c r="Q4945" s="1" t="str">
        <f t="shared" si="1060"/>
        <v/>
      </c>
      <c r="R4945" s="1" t="str">
        <f t="shared" si="1064"/>
        <v/>
      </c>
      <c r="S4945" s="1">
        <f t="shared" si="1065"/>
        <v>630.90240000000244</v>
      </c>
      <c r="T4945" s="1">
        <f t="shared" si="1066"/>
        <v>0</v>
      </c>
      <c r="U4945" s="1">
        <f t="shared" si="1067"/>
        <v>0</v>
      </c>
      <c r="V4945" s="1">
        <f t="shared" si="1068"/>
        <v>0</v>
      </c>
    </row>
    <row r="4946" spans="5:22" x14ac:dyDescent="0.25">
      <c r="E4946" s="4"/>
      <c r="M4946" s="4">
        <f t="shared" si="1061"/>
        <v>173.1</v>
      </c>
      <c r="N4946" s="4"/>
      <c r="O4946" s="1">
        <f t="shared" si="1062"/>
        <v>173.1</v>
      </c>
      <c r="P4946" s="1">
        <f t="shared" si="1063"/>
        <v>0</v>
      </c>
      <c r="Q4946" s="1" t="str">
        <f t="shared" si="1060"/>
        <v/>
      </c>
      <c r="R4946" s="1" t="str">
        <f t="shared" si="1064"/>
        <v/>
      </c>
      <c r="S4946" s="1">
        <f t="shared" si="1065"/>
        <v>630.90240000000244</v>
      </c>
      <c r="T4946" s="1">
        <f t="shared" si="1066"/>
        <v>0</v>
      </c>
      <c r="U4946" s="1">
        <f t="shared" si="1067"/>
        <v>0</v>
      </c>
      <c r="V4946" s="1">
        <f t="shared" si="1068"/>
        <v>0</v>
      </c>
    </row>
    <row r="4947" spans="5:22" x14ac:dyDescent="0.25">
      <c r="E4947" s="4"/>
      <c r="M4947" s="4">
        <f t="shared" si="1061"/>
        <v>173.1</v>
      </c>
      <c r="N4947" s="4"/>
      <c r="O4947" s="1">
        <f t="shared" si="1062"/>
        <v>173.1</v>
      </c>
      <c r="P4947" s="1">
        <f t="shared" si="1063"/>
        <v>0</v>
      </c>
      <c r="Q4947" s="1" t="str">
        <f t="shared" si="1060"/>
        <v/>
      </c>
      <c r="R4947" s="1" t="str">
        <f t="shared" si="1064"/>
        <v/>
      </c>
      <c r="S4947" s="1">
        <f t="shared" si="1065"/>
        <v>630.90240000000244</v>
      </c>
      <c r="T4947" s="1">
        <f t="shared" si="1066"/>
        <v>0</v>
      </c>
      <c r="U4947" s="1">
        <f t="shared" si="1067"/>
        <v>0</v>
      </c>
      <c r="V4947" s="1">
        <f t="shared" si="1068"/>
        <v>0</v>
      </c>
    </row>
    <row r="4948" spans="5:22" x14ac:dyDescent="0.25">
      <c r="E4948" s="4"/>
      <c r="M4948" s="4">
        <f t="shared" si="1061"/>
        <v>173.1</v>
      </c>
      <c r="N4948" s="4"/>
      <c r="O4948" s="1">
        <f t="shared" si="1062"/>
        <v>173.1</v>
      </c>
      <c r="P4948" s="1">
        <f t="shared" si="1063"/>
        <v>0</v>
      </c>
      <c r="Q4948" s="1" t="str">
        <f t="shared" si="1060"/>
        <v/>
      </c>
      <c r="R4948" s="1" t="str">
        <f t="shared" si="1064"/>
        <v/>
      </c>
      <c r="S4948" s="1">
        <f t="shared" si="1065"/>
        <v>630.90240000000244</v>
      </c>
      <c r="T4948" s="1">
        <f t="shared" si="1066"/>
        <v>0</v>
      </c>
      <c r="U4948" s="1">
        <f t="shared" si="1067"/>
        <v>0</v>
      </c>
      <c r="V4948" s="1">
        <f t="shared" si="1068"/>
        <v>0</v>
      </c>
    </row>
    <row r="4949" spans="5:22" x14ac:dyDescent="0.25">
      <c r="E4949" s="4"/>
      <c r="M4949" s="4">
        <f t="shared" si="1061"/>
        <v>173.1</v>
      </c>
      <c r="N4949" s="4"/>
      <c r="O4949" s="1">
        <f t="shared" si="1062"/>
        <v>173.1</v>
      </c>
      <c r="P4949" s="1">
        <f t="shared" si="1063"/>
        <v>0</v>
      </c>
      <c r="Q4949" s="1" t="str">
        <f t="shared" si="1060"/>
        <v/>
      </c>
      <c r="R4949" s="1" t="str">
        <f t="shared" si="1064"/>
        <v/>
      </c>
      <c r="S4949" s="1">
        <f t="shared" si="1065"/>
        <v>630.90240000000244</v>
      </c>
      <c r="T4949" s="1">
        <f t="shared" si="1066"/>
        <v>0</v>
      </c>
      <c r="U4949" s="1">
        <f t="shared" si="1067"/>
        <v>0</v>
      </c>
      <c r="V4949" s="1">
        <f t="shared" si="1068"/>
        <v>0</v>
      </c>
    </row>
    <row r="4950" spans="5:22" x14ac:dyDescent="0.25">
      <c r="E4950" s="4"/>
      <c r="M4950" s="4">
        <f t="shared" si="1061"/>
        <v>173.1</v>
      </c>
      <c r="N4950" s="4"/>
      <c r="O4950" s="1">
        <f t="shared" si="1062"/>
        <v>173.1</v>
      </c>
      <c r="P4950" s="1">
        <f t="shared" si="1063"/>
        <v>0</v>
      </c>
      <c r="Q4950" s="1" t="str">
        <f t="shared" si="1060"/>
        <v/>
      </c>
      <c r="R4950" s="1" t="str">
        <f t="shared" si="1064"/>
        <v/>
      </c>
      <c r="S4950" s="1">
        <f t="shared" si="1065"/>
        <v>630.90240000000244</v>
      </c>
      <c r="T4950" s="1">
        <f t="shared" si="1066"/>
        <v>0</v>
      </c>
      <c r="U4950" s="1">
        <f t="shared" si="1067"/>
        <v>0</v>
      </c>
      <c r="V4950" s="1">
        <f t="shared" si="1068"/>
        <v>0</v>
      </c>
    </row>
    <row r="4951" spans="5:22" x14ac:dyDescent="0.25">
      <c r="E4951" s="4"/>
      <c r="M4951" s="4">
        <f t="shared" si="1061"/>
        <v>173.1</v>
      </c>
      <c r="N4951" s="4"/>
      <c r="O4951" s="1">
        <f t="shared" si="1062"/>
        <v>173.1</v>
      </c>
      <c r="P4951" s="1">
        <f t="shared" si="1063"/>
        <v>0</v>
      </c>
      <c r="Q4951" s="1" t="str">
        <f t="shared" si="1060"/>
        <v/>
      </c>
      <c r="R4951" s="1" t="str">
        <f t="shared" si="1064"/>
        <v/>
      </c>
      <c r="S4951" s="1">
        <f t="shared" si="1065"/>
        <v>630.90240000000244</v>
      </c>
      <c r="T4951" s="1">
        <f t="shared" si="1066"/>
        <v>0</v>
      </c>
      <c r="U4951" s="1">
        <f t="shared" si="1067"/>
        <v>0</v>
      </c>
      <c r="V4951" s="1">
        <f t="shared" si="1068"/>
        <v>0</v>
      </c>
    </row>
    <row r="4952" spans="5:22" x14ac:dyDescent="0.25">
      <c r="E4952" s="4"/>
      <c r="M4952" s="4">
        <f t="shared" si="1061"/>
        <v>173.1</v>
      </c>
      <c r="N4952" s="4"/>
      <c r="O4952" s="1">
        <f t="shared" si="1062"/>
        <v>173.1</v>
      </c>
      <c r="P4952" s="1">
        <f t="shared" si="1063"/>
        <v>0</v>
      </c>
      <c r="Q4952" s="1" t="str">
        <f t="shared" si="1060"/>
        <v/>
      </c>
      <c r="R4952" s="1" t="str">
        <f t="shared" si="1064"/>
        <v/>
      </c>
      <c r="S4952" s="1">
        <f t="shared" si="1065"/>
        <v>630.90240000000244</v>
      </c>
      <c r="T4952" s="1">
        <f t="shared" si="1066"/>
        <v>0</v>
      </c>
      <c r="U4952" s="1">
        <f t="shared" si="1067"/>
        <v>0</v>
      </c>
      <c r="V4952" s="1">
        <f t="shared" si="1068"/>
        <v>0</v>
      </c>
    </row>
    <row r="4953" spans="5:22" x14ac:dyDescent="0.25">
      <c r="E4953" s="4"/>
      <c r="M4953" s="4">
        <f t="shared" si="1061"/>
        <v>173.1</v>
      </c>
      <c r="N4953" s="4"/>
      <c r="O4953" s="1">
        <f t="shared" si="1062"/>
        <v>173.1</v>
      </c>
      <c r="P4953" s="1">
        <f t="shared" si="1063"/>
        <v>0</v>
      </c>
      <c r="Q4953" s="1" t="str">
        <f t="shared" si="1060"/>
        <v/>
      </c>
      <c r="R4953" s="1" t="str">
        <f t="shared" si="1064"/>
        <v/>
      </c>
      <c r="S4953" s="1">
        <f t="shared" si="1065"/>
        <v>630.90240000000244</v>
      </c>
      <c r="T4953" s="1">
        <f t="shared" si="1066"/>
        <v>0</v>
      </c>
      <c r="U4953" s="1">
        <f t="shared" si="1067"/>
        <v>0</v>
      </c>
      <c r="V4953" s="1">
        <f t="shared" si="1068"/>
        <v>0</v>
      </c>
    </row>
    <row r="4954" spans="5:22" x14ac:dyDescent="0.25">
      <c r="E4954" s="4"/>
      <c r="M4954" s="4">
        <f t="shared" si="1061"/>
        <v>173.1</v>
      </c>
      <c r="N4954" s="4"/>
      <c r="O4954" s="1">
        <f t="shared" si="1062"/>
        <v>173.1</v>
      </c>
      <c r="P4954" s="1">
        <f t="shared" si="1063"/>
        <v>0</v>
      </c>
      <c r="Q4954" s="1" t="str">
        <f t="shared" si="1060"/>
        <v/>
      </c>
      <c r="R4954" s="1" t="str">
        <f t="shared" si="1064"/>
        <v/>
      </c>
      <c r="S4954" s="1">
        <f t="shared" si="1065"/>
        <v>630.90240000000244</v>
      </c>
      <c r="T4954" s="1">
        <f t="shared" si="1066"/>
        <v>0</v>
      </c>
      <c r="U4954" s="1">
        <f t="shared" si="1067"/>
        <v>0</v>
      </c>
      <c r="V4954" s="1">
        <f t="shared" si="1068"/>
        <v>0</v>
      </c>
    </row>
    <row r="4955" spans="5:22" x14ac:dyDescent="0.25">
      <c r="E4955" s="4"/>
      <c r="M4955" s="4">
        <f t="shared" si="1061"/>
        <v>173.1</v>
      </c>
      <c r="N4955" s="4"/>
      <c r="O4955" s="1">
        <f t="shared" si="1062"/>
        <v>173.1</v>
      </c>
      <c r="P4955" s="1">
        <f t="shared" si="1063"/>
        <v>0</v>
      </c>
      <c r="Q4955" s="1" t="str">
        <f t="shared" si="1060"/>
        <v/>
      </c>
      <c r="R4955" s="1" t="str">
        <f t="shared" si="1064"/>
        <v/>
      </c>
      <c r="S4955" s="1">
        <f t="shared" si="1065"/>
        <v>630.90240000000244</v>
      </c>
      <c r="T4955" s="1">
        <f t="shared" si="1066"/>
        <v>0</v>
      </c>
      <c r="U4955" s="1">
        <f t="shared" si="1067"/>
        <v>0</v>
      </c>
      <c r="V4955" s="1">
        <f t="shared" si="1068"/>
        <v>0</v>
      </c>
    </row>
    <row r="4956" spans="5:22" x14ac:dyDescent="0.25">
      <c r="E4956" s="4"/>
      <c r="M4956" s="4">
        <f t="shared" si="1061"/>
        <v>173.1</v>
      </c>
      <c r="N4956" s="4"/>
      <c r="O4956" s="1">
        <f t="shared" si="1062"/>
        <v>173.1</v>
      </c>
      <c r="P4956" s="1">
        <f t="shared" si="1063"/>
        <v>0</v>
      </c>
      <c r="Q4956" s="1" t="str">
        <f t="shared" si="1060"/>
        <v/>
      </c>
      <c r="R4956" s="1" t="str">
        <f t="shared" si="1064"/>
        <v/>
      </c>
      <c r="S4956" s="1">
        <f t="shared" si="1065"/>
        <v>630.90240000000244</v>
      </c>
      <c r="T4956" s="1">
        <f t="shared" si="1066"/>
        <v>0</v>
      </c>
      <c r="U4956" s="1">
        <f t="shared" si="1067"/>
        <v>0</v>
      </c>
      <c r="V4956" s="1">
        <f t="shared" si="1068"/>
        <v>0</v>
      </c>
    </row>
    <row r="4957" spans="5:22" x14ac:dyDescent="0.25">
      <c r="E4957" s="4"/>
      <c r="M4957" s="4">
        <f t="shared" si="1061"/>
        <v>173.1</v>
      </c>
      <c r="N4957" s="4"/>
      <c r="O4957" s="1">
        <f t="shared" si="1062"/>
        <v>173.1</v>
      </c>
      <c r="P4957" s="1">
        <f t="shared" si="1063"/>
        <v>0</v>
      </c>
      <c r="Q4957" s="1" t="str">
        <f t="shared" si="1060"/>
        <v/>
      </c>
      <c r="R4957" s="1" t="str">
        <f t="shared" si="1064"/>
        <v/>
      </c>
      <c r="S4957" s="1">
        <f t="shared" si="1065"/>
        <v>630.90240000000244</v>
      </c>
      <c r="T4957" s="1">
        <f t="shared" si="1066"/>
        <v>0</v>
      </c>
      <c r="U4957" s="1">
        <f t="shared" si="1067"/>
        <v>0</v>
      </c>
      <c r="V4957" s="1">
        <f t="shared" si="1068"/>
        <v>0</v>
      </c>
    </row>
    <row r="4958" spans="5:22" x14ac:dyDescent="0.25">
      <c r="E4958" s="4"/>
      <c r="M4958" s="4">
        <f t="shared" si="1061"/>
        <v>173.1</v>
      </c>
      <c r="N4958" s="4"/>
      <c r="O4958" s="1">
        <f t="shared" si="1062"/>
        <v>173.1</v>
      </c>
      <c r="P4958" s="1">
        <f t="shared" si="1063"/>
        <v>0</v>
      </c>
      <c r="Q4958" s="1" t="str">
        <f t="shared" si="1060"/>
        <v/>
      </c>
      <c r="R4958" s="1" t="str">
        <f t="shared" si="1064"/>
        <v/>
      </c>
      <c r="S4958" s="1">
        <f t="shared" si="1065"/>
        <v>630.90240000000244</v>
      </c>
      <c r="T4958" s="1">
        <f t="shared" si="1066"/>
        <v>0</v>
      </c>
      <c r="U4958" s="1">
        <f t="shared" si="1067"/>
        <v>0</v>
      </c>
      <c r="V4958" s="1">
        <f t="shared" si="1068"/>
        <v>0</v>
      </c>
    </row>
    <row r="4959" spans="5:22" x14ac:dyDescent="0.25">
      <c r="E4959" s="4"/>
      <c r="M4959" s="4">
        <f t="shared" si="1061"/>
        <v>173.1</v>
      </c>
      <c r="N4959" s="4"/>
      <c r="O4959" s="1">
        <f t="shared" si="1062"/>
        <v>173.1</v>
      </c>
      <c r="P4959" s="1">
        <f t="shared" si="1063"/>
        <v>0</v>
      </c>
      <c r="Q4959" s="1" t="str">
        <f t="shared" si="1060"/>
        <v/>
      </c>
      <c r="R4959" s="1" t="str">
        <f t="shared" si="1064"/>
        <v/>
      </c>
      <c r="S4959" s="1">
        <f t="shared" si="1065"/>
        <v>630.90240000000244</v>
      </c>
      <c r="T4959" s="1">
        <f t="shared" si="1066"/>
        <v>0</v>
      </c>
      <c r="U4959" s="1">
        <f t="shared" si="1067"/>
        <v>0</v>
      </c>
      <c r="V4959" s="1">
        <f t="shared" si="1068"/>
        <v>0</v>
      </c>
    </row>
    <row r="4960" spans="5:22" x14ac:dyDescent="0.25">
      <c r="E4960" s="4"/>
      <c r="M4960" s="4">
        <f t="shared" si="1061"/>
        <v>173.1</v>
      </c>
      <c r="N4960" s="4"/>
      <c r="O4960" s="1">
        <f t="shared" si="1062"/>
        <v>173.1</v>
      </c>
      <c r="P4960" s="1">
        <f t="shared" si="1063"/>
        <v>0</v>
      </c>
      <c r="Q4960" s="1" t="str">
        <f t="shared" si="1060"/>
        <v/>
      </c>
      <c r="R4960" s="1" t="str">
        <f t="shared" si="1064"/>
        <v/>
      </c>
      <c r="S4960" s="1">
        <f t="shared" si="1065"/>
        <v>630.90240000000244</v>
      </c>
      <c r="T4960" s="1">
        <f t="shared" si="1066"/>
        <v>0</v>
      </c>
      <c r="U4960" s="1">
        <f t="shared" si="1067"/>
        <v>0</v>
      </c>
      <c r="V4960" s="1">
        <f t="shared" si="1068"/>
        <v>0</v>
      </c>
    </row>
    <row r="4961" spans="5:22" x14ac:dyDescent="0.25">
      <c r="E4961" s="4"/>
      <c r="M4961" s="4">
        <f t="shared" si="1061"/>
        <v>173.1</v>
      </c>
      <c r="N4961" s="4"/>
      <c r="O4961" s="1">
        <f t="shared" si="1062"/>
        <v>173.1</v>
      </c>
      <c r="P4961" s="1">
        <f t="shared" si="1063"/>
        <v>0</v>
      </c>
      <c r="Q4961" s="1" t="str">
        <f t="shared" si="1060"/>
        <v/>
      </c>
      <c r="R4961" s="1" t="str">
        <f t="shared" si="1064"/>
        <v/>
      </c>
      <c r="S4961" s="1">
        <f t="shared" si="1065"/>
        <v>630.90240000000244</v>
      </c>
      <c r="T4961" s="1">
        <f t="shared" si="1066"/>
        <v>0</v>
      </c>
      <c r="U4961" s="1">
        <f t="shared" si="1067"/>
        <v>0</v>
      </c>
      <c r="V4961" s="1">
        <f t="shared" si="1068"/>
        <v>0</v>
      </c>
    </row>
    <row r="4962" spans="5:22" x14ac:dyDescent="0.25">
      <c r="E4962" s="4"/>
      <c r="M4962" s="4">
        <f t="shared" si="1061"/>
        <v>173.1</v>
      </c>
      <c r="N4962" s="4"/>
      <c r="O4962" s="1">
        <f t="shared" si="1062"/>
        <v>173.1</v>
      </c>
      <c r="P4962" s="1">
        <f t="shared" si="1063"/>
        <v>0</v>
      </c>
      <c r="Q4962" s="1" t="str">
        <f t="shared" si="1060"/>
        <v/>
      </c>
      <c r="R4962" s="1" t="str">
        <f t="shared" si="1064"/>
        <v/>
      </c>
      <c r="S4962" s="1">
        <f t="shared" si="1065"/>
        <v>630.90240000000244</v>
      </c>
      <c r="T4962" s="1">
        <f t="shared" si="1066"/>
        <v>0</v>
      </c>
      <c r="U4962" s="1">
        <f t="shared" si="1067"/>
        <v>0</v>
      </c>
      <c r="V4962" s="1">
        <f t="shared" si="1068"/>
        <v>0</v>
      </c>
    </row>
    <row r="4963" spans="5:22" x14ac:dyDescent="0.25">
      <c r="E4963" s="4"/>
      <c r="M4963" s="4">
        <f t="shared" si="1061"/>
        <v>173.1</v>
      </c>
      <c r="N4963" s="4"/>
      <c r="O4963" s="1">
        <f t="shared" si="1062"/>
        <v>173.1</v>
      </c>
      <c r="P4963" s="1">
        <f t="shared" si="1063"/>
        <v>0</v>
      </c>
      <c r="Q4963" s="1" t="str">
        <f t="shared" si="1060"/>
        <v/>
      </c>
      <c r="R4963" s="1" t="str">
        <f t="shared" si="1064"/>
        <v/>
      </c>
      <c r="S4963" s="1">
        <f t="shared" si="1065"/>
        <v>630.90240000000244</v>
      </c>
      <c r="T4963" s="1">
        <f t="shared" si="1066"/>
        <v>0</v>
      </c>
      <c r="U4963" s="1">
        <f t="shared" si="1067"/>
        <v>0</v>
      </c>
      <c r="V4963" s="1">
        <f t="shared" si="1068"/>
        <v>0</v>
      </c>
    </row>
    <row r="4964" spans="5:22" x14ac:dyDescent="0.25">
      <c r="E4964" s="4"/>
      <c r="M4964" s="4">
        <f t="shared" si="1061"/>
        <v>173.1</v>
      </c>
      <c r="N4964" s="4"/>
      <c r="O4964" s="1">
        <f t="shared" si="1062"/>
        <v>173.1</v>
      </c>
      <c r="P4964" s="1">
        <f t="shared" si="1063"/>
        <v>0</v>
      </c>
      <c r="Q4964" s="1" t="str">
        <f t="shared" si="1060"/>
        <v/>
      </c>
      <c r="R4964" s="1" t="str">
        <f t="shared" si="1064"/>
        <v/>
      </c>
      <c r="S4964" s="1">
        <f t="shared" si="1065"/>
        <v>630.90240000000244</v>
      </c>
      <c r="T4964" s="1">
        <f t="shared" si="1066"/>
        <v>0</v>
      </c>
      <c r="U4964" s="1">
        <f t="shared" si="1067"/>
        <v>0</v>
      </c>
      <c r="V4964" s="1">
        <f t="shared" si="1068"/>
        <v>0</v>
      </c>
    </row>
    <row r="4965" spans="5:22" x14ac:dyDescent="0.25">
      <c r="E4965" s="4"/>
      <c r="M4965" s="4">
        <f t="shared" si="1061"/>
        <v>173.1</v>
      </c>
      <c r="N4965" s="4"/>
      <c r="O4965" s="1">
        <f t="shared" si="1062"/>
        <v>173.1</v>
      </c>
      <c r="P4965" s="1">
        <f t="shared" si="1063"/>
        <v>0</v>
      </c>
      <c r="Q4965" s="1" t="str">
        <f t="shared" si="1060"/>
        <v/>
      </c>
      <c r="R4965" s="1" t="str">
        <f t="shared" si="1064"/>
        <v/>
      </c>
      <c r="S4965" s="1">
        <f t="shared" si="1065"/>
        <v>630.90240000000244</v>
      </c>
      <c r="T4965" s="1">
        <f t="shared" si="1066"/>
        <v>0</v>
      </c>
      <c r="U4965" s="1">
        <f t="shared" si="1067"/>
        <v>0</v>
      </c>
      <c r="V4965" s="1">
        <f t="shared" si="1068"/>
        <v>0</v>
      </c>
    </row>
    <row r="4966" spans="5:22" x14ac:dyDescent="0.25">
      <c r="E4966" s="4"/>
      <c r="M4966" s="4">
        <f t="shared" si="1061"/>
        <v>173.1</v>
      </c>
      <c r="N4966" s="4"/>
      <c r="O4966" s="1">
        <f t="shared" si="1062"/>
        <v>173.1</v>
      </c>
      <c r="P4966" s="1">
        <f t="shared" si="1063"/>
        <v>0</v>
      </c>
      <c r="Q4966" s="1" t="str">
        <f t="shared" si="1060"/>
        <v/>
      </c>
      <c r="R4966" s="1" t="str">
        <f t="shared" si="1064"/>
        <v/>
      </c>
      <c r="S4966" s="1">
        <f t="shared" si="1065"/>
        <v>630.90240000000244</v>
      </c>
      <c r="T4966" s="1">
        <f t="shared" si="1066"/>
        <v>0</v>
      </c>
      <c r="U4966" s="1">
        <f t="shared" si="1067"/>
        <v>0</v>
      </c>
      <c r="V4966" s="1">
        <f t="shared" si="1068"/>
        <v>0</v>
      </c>
    </row>
    <row r="4967" spans="5:22" x14ac:dyDescent="0.25">
      <c r="E4967" s="4"/>
      <c r="M4967" s="4">
        <f t="shared" si="1061"/>
        <v>173.1</v>
      </c>
      <c r="N4967" s="4"/>
      <c r="O4967" s="1">
        <f t="shared" si="1062"/>
        <v>173.1</v>
      </c>
      <c r="P4967" s="1">
        <f t="shared" si="1063"/>
        <v>0</v>
      </c>
      <c r="Q4967" s="1" t="str">
        <f t="shared" si="1060"/>
        <v/>
      </c>
      <c r="R4967" s="1" t="str">
        <f t="shared" si="1064"/>
        <v/>
      </c>
      <c r="S4967" s="1">
        <f t="shared" si="1065"/>
        <v>630.90240000000244</v>
      </c>
      <c r="T4967" s="1">
        <f t="shared" si="1066"/>
        <v>0</v>
      </c>
      <c r="U4967" s="1">
        <f t="shared" si="1067"/>
        <v>0</v>
      </c>
      <c r="V4967" s="1">
        <f t="shared" si="1068"/>
        <v>0</v>
      </c>
    </row>
    <row r="4968" spans="5:22" x14ac:dyDescent="0.25">
      <c r="E4968" s="4"/>
      <c r="M4968" s="4">
        <f t="shared" si="1061"/>
        <v>173.1</v>
      </c>
      <c r="N4968" s="4"/>
      <c r="O4968" s="1">
        <f t="shared" si="1062"/>
        <v>173.1</v>
      </c>
      <c r="P4968" s="1">
        <f t="shared" si="1063"/>
        <v>0</v>
      </c>
      <c r="Q4968" s="1" t="str">
        <f t="shared" si="1060"/>
        <v/>
      </c>
      <c r="R4968" s="1" t="str">
        <f t="shared" si="1064"/>
        <v/>
      </c>
      <c r="S4968" s="1">
        <f t="shared" si="1065"/>
        <v>630.90240000000244</v>
      </c>
      <c r="T4968" s="1">
        <f t="shared" si="1066"/>
        <v>0</v>
      </c>
      <c r="U4968" s="1">
        <f t="shared" si="1067"/>
        <v>0</v>
      </c>
      <c r="V4968" s="1">
        <f t="shared" si="1068"/>
        <v>0</v>
      </c>
    </row>
    <row r="4969" spans="5:22" x14ac:dyDescent="0.25">
      <c r="E4969" s="4"/>
      <c r="M4969" s="4">
        <f t="shared" si="1061"/>
        <v>173.1</v>
      </c>
      <c r="N4969" s="4"/>
      <c r="O4969" s="1">
        <f t="shared" si="1062"/>
        <v>173.1</v>
      </c>
      <c r="P4969" s="1">
        <f t="shared" si="1063"/>
        <v>0</v>
      </c>
      <c r="Q4969" s="1" t="str">
        <f t="shared" si="1060"/>
        <v/>
      </c>
      <c r="R4969" s="1" t="str">
        <f t="shared" si="1064"/>
        <v/>
      </c>
      <c r="S4969" s="1">
        <f t="shared" si="1065"/>
        <v>630.90240000000244</v>
      </c>
      <c r="T4969" s="1">
        <f t="shared" si="1066"/>
        <v>0</v>
      </c>
      <c r="U4969" s="1">
        <f t="shared" si="1067"/>
        <v>0</v>
      </c>
      <c r="V4969" s="1">
        <f t="shared" si="1068"/>
        <v>0</v>
      </c>
    </row>
    <row r="4970" spans="5:22" x14ac:dyDescent="0.25">
      <c r="E4970" s="4"/>
      <c r="M4970" s="4">
        <f t="shared" si="1061"/>
        <v>173.1</v>
      </c>
      <c r="N4970" s="4"/>
      <c r="O4970" s="1">
        <f t="shared" si="1062"/>
        <v>173.1</v>
      </c>
      <c r="P4970" s="1">
        <f t="shared" si="1063"/>
        <v>0</v>
      </c>
      <c r="Q4970" s="1" t="str">
        <f t="shared" si="1060"/>
        <v/>
      </c>
      <c r="R4970" s="1" t="str">
        <f t="shared" si="1064"/>
        <v/>
      </c>
      <c r="S4970" s="1">
        <f t="shared" si="1065"/>
        <v>630.90240000000244</v>
      </c>
      <c r="T4970" s="1">
        <f t="shared" si="1066"/>
        <v>0</v>
      </c>
      <c r="U4970" s="1">
        <f t="shared" si="1067"/>
        <v>0</v>
      </c>
      <c r="V4970" s="1">
        <f t="shared" si="1068"/>
        <v>0</v>
      </c>
    </row>
    <row r="4971" spans="5:22" x14ac:dyDescent="0.25">
      <c r="E4971" s="4"/>
      <c r="M4971" s="4">
        <f t="shared" si="1061"/>
        <v>173.1</v>
      </c>
      <c r="N4971" s="4"/>
      <c r="O4971" s="1">
        <f t="shared" si="1062"/>
        <v>173.1</v>
      </c>
      <c r="P4971" s="1">
        <f t="shared" si="1063"/>
        <v>0</v>
      </c>
      <c r="Q4971" s="1" t="str">
        <f t="shared" si="1060"/>
        <v/>
      </c>
      <c r="R4971" s="1" t="str">
        <f t="shared" si="1064"/>
        <v/>
      </c>
      <c r="S4971" s="1">
        <f t="shared" si="1065"/>
        <v>630.90240000000244</v>
      </c>
      <c r="T4971" s="1">
        <f t="shared" si="1066"/>
        <v>0</v>
      </c>
      <c r="U4971" s="1">
        <f t="shared" si="1067"/>
        <v>0</v>
      </c>
      <c r="V4971" s="1">
        <f t="shared" si="1068"/>
        <v>0</v>
      </c>
    </row>
    <row r="4972" spans="5:22" x14ac:dyDescent="0.25">
      <c r="E4972" s="4"/>
      <c r="M4972" s="4">
        <f t="shared" si="1061"/>
        <v>173.1</v>
      </c>
      <c r="N4972" s="4"/>
      <c r="O4972" s="1">
        <f t="shared" si="1062"/>
        <v>173.1</v>
      </c>
      <c r="P4972" s="1">
        <f t="shared" si="1063"/>
        <v>0</v>
      </c>
      <c r="Q4972" s="1" t="str">
        <f t="shared" si="1060"/>
        <v/>
      </c>
      <c r="R4972" s="1" t="str">
        <f t="shared" si="1064"/>
        <v/>
      </c>
      <c r="S4972" s="1">
        <f t="shared" si="1065"/>
        <v>630.90240000000244</v>
      </c>
      <c r="T4972" s="1">
        <f t="shared" si="1066"/>
        <v>0</v>
      </c>
      <c r="U4972" s="1">
        <f t="shared" si="1067"/>
        <v>0</v>
      </c>
      <c r="V4972" s="1">
        <f t="shared" si="1068"/>
        <v>0</v>
      </c>
    </row>
    <row r="4973" spans="5:22" x14ac:dyDescent="0.25">
      <c r="E4973" s="4"/>
      <c r="M4973" s="4">
        <f t="shared" si="1061"/>
        <v>173.1</v>
      </c>
      <c r="N4973" s="4"/>
      <c r="O4973" s="1">
        <f t="shared" si="1062"/>
        <v>173.1</v>
      </c>
      <c r="P4973" s="1">
        <f t="shared" si="1063"/>
        <v>0</v>
      </c>
      <c r="Q4973" s="1" t="str">
        <f t="shared" si="1060"/>
        <v/>
      </c>
      <c r="R4973" s="1" t="str">
        <f t="shared" si="1064"/>
        <v/>
      </c>
      <c r="S4973" s="1">
        <f t="shared" si="1065"/>
        <v>630.90240000000244</v>
      </c>
      <c r="T4973" s="1">
        <f t="shared" si="1066"/>
        <v>0</v>
      </c>
      <c r="U4973" s="1">
        <f t="shared" si="1067"/>
        <v>0</v>
      </c>
      <c r="V4973" s="1">
        <f t="shared" si="1068"/>
        <v>0</v>
      </c>
    </row>
    <row r="4974" spans="5:22" x14ac:dyDescent="0.25">
      <c r="E4974" s="4"/>
      <c r="M4974" s="4">
        <f t="shared" si="1061"/>
        <v>173.1</v>
      </c>
      <c r="N4974" s="4"/>
      <c r="O4974" s="1">
        <f t="shared" si="1062"/>
        <v>173.1</v>
      </c>
      <c r="P4974" s="1">
        <f t="shared" si="1063"/>
        <v>0</v>
      </c>
      <c r="Q4974" s="1" t="str">
        <f t="shared" si="1060"/>
        <v/>
      </c>
      <c r="R4974" s="1" t="str">
        <f t="shared" si="1064"/>
        <v/>
      </c>
      <c r="S4974" s="1">
        <f t="shared" si="1065"/>
        <v>630.90240000000244</v>
      </c>
      <c r="T4974" s="1">
        <f t="shared" si="1066"/>
        <v>0</v>
      </c>
      <c r="U4974" s="1">
        <f t="shared" si="1067"/>
        <v>0</v>
      </c>
      <c r="V4974" s="1">
        <f t="shared" si="1068"/>
        <v>0</v>
      </c>
    </row>
    <row r="4975" spans="5:22" x14ac:dyDescent="0.25">
      <c r="E4975" s="4"/>
      <c r="M4975" s="4">
        <f t="shared" si="1061"/>
        <v>173.1</v>
      </c>
      <c r="N4975" s="4"/>
      <c r="O4975" s="1">
        <f t="shared" si="1062"/>
        <v>173.1</v>
      </c>
      <c r="P4975" s="1">
        <f t="shared" si="1063"/>
        <v>0</v>
      </c>
      <c r="Q4975" s="1" t="str">
        <f t="shared" si="1060"/>
        <v/>
      </c>
      <c r="R4975" s="1" t="str">
        <f t="shared" si="1064"/>
        <v/>
      </c>
      <c r="S4975" s="1">
        <f t="shared" si="1065"/>
        <v>630.90240000000244</v>
      </c>
      <c r="T4975" s="1">
        <f t="shared" si="1066"/>
        <v>0</v>
      </c>
      <c r="U4975" s="1">
        <f t="shared" si="1067"/>
        <v>0</v>
      </c>
      <c r="V4975" s="1">
        <f t="shared" si="1068"/>
        <v>0</v>
      </c>
    </row>
    <row r="4976" spans="5:22" x14ac:dyDescent="0.25">
      <c r="E4976" s="4"/>
      <c r="M4976" s="4">
        <f t="shared" si="1061"/>
        <v>173.1</v>
      </c>
      <c r="N4976" s="4"/>
      <c r="O4976" s="1">
        <f t="shared" si="1062"/>
        <v>173.1</v>
      </c>
      <c r="P4976" s="1">
        <f t="shared" si="1063"/>
        <v>0</v>
      </c>
      <c r="Q4976" s="1" t="str">
        <f t="shared" si="1060"/>
        <v/>
      </c>
      <c r="R4976" s="1" t="str">
        <f t="shared" si="1064"/>
        <v/>
      </c>
      <c r="S4976" s="1">
        <f t="shared" si="1065"/>
        <v>630.90240000000244</v>
      </c>
      <c r="T4976" s="1">
        <f t="shared" si="1066"/>
        <v>0</v>
      </c>
      <c r="U4976" s="1">
        <f t="shared" si="1067"/>
        <v>0</v>
      </c>
      <c r="V4976" s="1">
        <f t="shared" si="1068"/>
        <v>0</v>
      </c>
    </row>
    <row r="4977" spans="5:22" x14ac:dyDescent="0.25">
      <c r="E4977" s="4"/>
      <c r="M4977" s="4">
        <f t="shared" si="1061"/>
        <v>173.1</v>
      </c>
      <c r="N4977" s="4"/>
      <c r="O4977" s="1">
        <f t="shared" si="1062"/>
        <v>173.1</v>
      </c>
      <c r="P4977" s="1">
        <f t="shared" si="1063"/>
        <v>0</v>
      </c>
      <c r="Q4977" s="1" t="str">
        <f t="shared" si="1060"/>
        <v/>
      </c>
      <c r="R4977" s="1" t="str">
        <f t="shared" si="1064"/>
        <v/>
      </c>
      <c r="S4977" s="1">
        <f t="shared" si="1065"/>
        <v>630.90240000000244</v>
      </c>
      <c r="T4977" s="1">
        <f t="shared" si="1066"/>
        <v>0</v>
      </c>
      <c r="U4977" s="1">
        <f t="shared" si="1067"/>
        <v>0</v>
      </c>
      <c r="V4977" s="1">
        <f t="shared" si="1068"/>
        <v>0</v>
      </c>
    </row>
    <row r="4978" spans="5:22" x14ac:dyDescent="0.25">
      <c r="E4978" s="4"/>
      <c r="M4978" s="4">
        <f t="shared" si="1061"/>
        <v>173.1</v>
      </c>
      <c r="N4978" s="4"/>
      <c r="O4978" s="1">
        <f t="shared" si="1062"/>
        <v>173.1</v>
      </c>
      <c r="P4978" s="1">
        <f t="shared" si="1063"/>
        <v>0</v>
      </c>
      <c r="Q4978" s="1" t="str">
        <f t="shared" ref="Q4978:Q5041" si="1069">IF(H4978&lt;&gt;"",IF(H4978=H4977,"",H4978),IF(H4976="","",MAX(H4977,Q4977)))</f>
        <v/>
      </c>
      <c r="R4978" s="1" t="str">
        <f t="shared" si="1064"/>
        <v/>
      </c>
      <c r="S4978" s="1">
        <f t="shared" si="1065"/>
        <v>630.90240000000244</v>
      </c>
      <c r="T4978" s="1">
        <f t="shared" si="1066"/>
        <v>0</v>
      </c>
      <c r="U4978" s="1">
        <f t="shared" si="1067"/>
        <v>0</v>
      </c>
      <c r="V4978" s="1">
        <f t="shared" si="1068"/>
        <v>0</v>
      </c>
    </row>
    <row r="4979" spans="5:22" x14ac:dyDescent="0.25">
      <c r="E4979" s="4"/>
      <c r="M4979" s="4">
        <f t="shared" si="1061"/>
        <v>173.1</v>
      </c>
      <c r="N4979" s="4"/>
      <c r="O4979" s="1">
        <f t="shared" si="1062"/>
        <v>173.1</v>
      </c>
      <c r="P4979" s="1">
        <f t="shared" si="1063"/>
        <v>0</v>
      </c>
      <c r="Q4979" s="1" t="str">
        <f t="shared" si="1069"/>
        <v/>
      </c>
      <c r="R4979" s="1" t="str">
        <f t="shared" si="1064"/>
        <v/>
      </c>
      <c r="S4979" s="1">
        <f t="shared" si="1065"/>
        <v>630.90240000000244</v>
      </c>
      <c r="T4979" s="1">
        <f t="shared" si="1066"/>
        <v>0</v>
      </c>
      <c r="U4979" s="1">
        <f t="shared" si="1067"/>
        <v>0</v>
      </c>
      <c r="V4979" s="1">
        <f t="shared" si="1068"/>
        <v>0</v>
      </c>
    </row>
    <row r="4980" spans="5:22" x14ac:dyDescent="0.25">
      <c r="E4980" s="4"/>
      <c r="M4980" s="4">
        <f t="shared" si="1061"/>
        <v>173.1</v>
      </c>
      <c r="N4980" s="4"/>
      <c r="O4980" s="1">
        <f t="shared" si="1062"/>
        <v>173.1</v>
      </c>
      <c r="P4980" s="1">
        <f t="shared" si="1063"/>
        <v>0</v>
      </c>
      <c r="Q4980" s="1" t="str">
        <f t="shared" si="1069"/>
        <v/>
      </c>
      <c r="R4980" s="1" t="str">
        <f t="shared" si="1064"/>
        <v/>
      </c>
      <c r="S4980" s="1">
        <f t="shared" si="1065"/>
        <v>630.90240000000244</v>
      </c>
      <c r="T4980" s="1">
        <f t="shared" si="1066"/>
        <v>0</v>
      </c>
      <c r="U4980" s="1">
        <f t="shared" si="1067"/>
        <v>0</v>
      </c>
      <c r="V4980" s="1">
        <f t="shared" si="1068"/>
        <v>0</v>
      </c>
    </row>
    <row r="4981" spans="5:22" x14ac:dyDescent="0.25">
      <c r="E4981" s="4"/>
      <c r="M4981" s="4">
        <f t="shared" si="1061"/>
        <v>173.1</v>
      </c>
      <c r="N4981" s="4"/>
      <c r="O4981" s="1">
        <f t="shared" si="1062"/>
        <v>173.1</v>
      </c>
      <c r="P4981" s="1">
        <f t="shared" si="1063"/>
        <v>0</v>
      </c>
      <c r="Q4981" s="1" t="str">
        <f t="shared" si="1069"/>
        <v/>
      </c>
      <c r="R4981" s="1" t="str">
        <f t="shared" si="1064"/>
        <v/>
      </c>
      <c r="S4981" s="1">
        <f t="shared" si="1065"/>
        <v>630.90240000000244</v>
      </c>
      <c r="T4981" s="1">
        <f t="shared" si="1066"/>
        <v>0</v>
      </c>
      <c r="U4981" s="1">
        <f t="shared" si="1067"/>
        <v>0</v>
      </c>
      <c r="V4981" s="1">
        <f t="shared" si="1068"/>
        <v>0</v>
      </c>
    </row>
    <row r="4982" spans="5:22" x14ac:dyDescent="0.25">
      <c r="E4982" s="4"/>
      <c r="M4982" s="4">
        <f t="shared" si="1061"/>
        <v>173.1</v>
      </c>
      <c r="N4982" s="4"/>
      <c r="O4982" s="1">
        <f t="shared" si="1062"/>
        <v>173.1</v>
      </c>
      <c r="P4982" s="1">
        <f t="shared" si="1063"/>
        <v>0</v>
      </c>
      <c r="Q4982" s="1" t="str">
        <f t="shared" si="1069"/>
        <v/>
      </c>
      <c r="R4982" s="1" t="str">
        <f t="shared" si="1064"/>
        <v/>
      </c>
      <c r="S4982" s="1">
        <f t="shared" si="1065"/>
        <v>630.90240000000244</v>
      </c>
      <c r="T4982" s="1">
        <f t="shared" si="1066"/>
        <v>0</v>
      </c>
      <c r="U4982" s="1">
        <f t="shared" si="1067"/>
        <v>0</v>
      </c>
      <c r="V4982" s="1">
        <f t="shared" si="1068"/>
        <v>0</v>
      </c>
    </row>
    <row r="4983" spans="5:22" x14ac:dyDescent="0.25">
      <c r="E4983" s="4"/>
      <c r="M4983" s="4">
        <f t="shared" si="1061"/>
        <v>173.1</v>
      </c>
      <c r="N4983" s="4"/>
      <c r="O4983" s="1">
        <f t="shared" si="1062"/>
        <v>173.1</v>
      </c>
      <c r="P4983" s="1">
        <f t="shared" si="1063"/>
        <v>0</v>
      </c>
      <c r="Q4983" s="1" t="str">
        <f t="shared" si="1069"/>
        <v/>
      </c>
      <c r="R4983" s="1" t="str">
        <f t="shared" si="1064"/>
        <v/>
      </c>
      <c r="S4983" s="1">
        <f t="shared" si="1065"/>
        <v>630.90240000000244</v>
      </c>
      <c r="T4983" s="1">
        <f t="shared" si="1066"/>
        <v>0</v>
      </c>
      <c r="U4983" s="1">
        <f t="shared" si="1067"/>
        <v>0</v>
      </c>
      <c r="V4983" s="1">
        <f t="shared" si="1068"/>
        <v>0</v>
      </c>
    </row>
    <row r="4984" spans="5:22" x14ac:dyDescent="0.25">
      <c r="E4984" s="4"/>
      <c r="M4984" s="4">
        <f t="shared" si="1061"/>
        <v>173.1</v>
      </c>
      <c r="N4984" s="4"/>
      <c r="O4984" s="1">
        <f t="shared" si="1062"/>
        <v>173.1</v>
      </c>
      <c r="P4984" s="1">
        <f t="shared" si="1063"/>
        <v>0</v>
      </c>
      <c r="Q4984" s="1" t="str">
        <f t="shared" si="1069"/>
        <v/>
      </c>
      <c r="R4984" s="1" t="str">
        <f t="shared" si="1064"/>
        <v/>
      </c>
      <c r="S4984" s="1">
        <f t="shared" si="1065"/>
        <v>630.90240000000244</v>
      </c>
      <c r="T4984" s="1">
        <f t="shared" si="1066"/>
        <v>0</v>
      </c>
      <c r="U4984" s="1">
        <f t="shared" si="1067"/>
        <v>0</v>
      </c>
      <c r="V4984" s="1">
        <f t="shared" si="1068"/>
        <v>0</v>
      </c>
    </row>
    <row r="4985" spans="5:22" x14ac:dyDescent="0.25">
      <c r="E4985" s="4"/>
      <c r="M4985" s="4">
        <f t="shared" si="1061"/>
        <v>173.1</v>
      </c>
      <c r="N4985" s="4"/>
      <c r="O4985" s="1">
        <f t="shared" si="1062"/>
        <v>173.1</v>
      </c>
      <c r="P4985" s="1">
        <f t="shared" si="1063"/>
        <v>0</v>
      </c>
      <c r="Q4985" s="1" t="str">
        <f t="shared" si="1069"/>
        <v/>
      </c>
      <c r="R4985" s="1" t="str">
        <f t="shared" si="1064"/>
        <v/>
      </c>
      <c r="S4985" s="1">
        <f t="shared" si="1065"/>
        <v>630.90240000000244</v>
      </c>
      <c r="T4985" s="1">
        <f t="shared" si="1066"/>
        <v>0</v>
      </c>
      <c r="U4985" s="1">
        <f t="shared" si="1067"/>
        <v>0</v>
      </c>
      <c r="V4985" s="1">
        <f t="shared" si="1068"/>
        <v>0</v>
      </c>
    </row>
    <row r="4986" spans="5:22" x14ac:dyDescent="0.25">
      <c r="E4986" s="4"/>
      <c r="M4986" s="4">
        <f t="shared" si="1061"/>
        <v>173.1</v>
      </c>
      <c r="N4986" s="4"/>
      <c r="O4986" s="1">
        <f t="shared" si="1062"/>
        <v>173.1</v>
      </c>
      <c r="P4986" s="1">
        <f t="shared" si="1063"/>
        <v>0</v>
      </c>
      <c r="Q4986" s="1" t="str">
        <f t="shared" si="1069"/>
        <v/>
      </c>
      <c r="R4986" s="1" t="str">
        <f t="shared" si="1064"/>
        <v/>
      </c>
      <c r="S4986" s="1">
        <f t="shared" si="1065"/>
        <v>630.90240000000244</v>
      </c>
      <c r="T4986" s="1">
        <f t="shared" si="1066"/>
        <v>0</v>
      </c>
      <c r="U4986" s="1">
        <f t="shared" si="1067"/>
        <v>0</v>
      </c>
      <c r="V4986" s="1">
        <f t="shared" si="1068"/>
        <v>0</v>
      </c>
    </row>
    <row r="4987" spans="5:22" x14ac:dyDescent="0.25">
      <c r="E4987" s="4"/>
      <c r="M4987" s="4">
        <f t="shared" si="1061"/>
        <v>173.1</v>
      </c>
      <c r="N4987" s="4"/>
      <c r="O4987" s="1">
        <f t="shared" si="1062"/>
        <v>173.1</v>
      </c>
      <c r="P4987" s="1">
        <f t="shared" si="1063"/>
        <v>0</v>
      </c>
      <c r="Q4987" s="1" t="str">
        <f t="shared" si="1069"/>
        <v/>
      </c>
      <c r="R4987" s="1" t="str">
        <f t="shared" si="1064"/>
        <v/>
      </c>
      <c r="S4987" s="1">
        <f t="shared" si="1065"/>
        <v>630.90240000000244</v>
      </c>
      <c r="T4987" s="1">
        <f t="shared" si="1066"/>
        <v>0</v>
      </c>
      <c r="U4987" s="1">
        <f t="shared" si="1067"/>
        <v>0</v>
      </c>
      <c r="V4987" s="1">
        <f t="shared" si="1068"/>
        <v>0</v>
      </c>
    </row>
    <row r="4988" spans="5:22" x14ac:dyDescent="0.25">
      <c r="E4988" s="4"/>
      <c r="M4988" s="4">
        <f t="shared" si="1061"/>
        <v>173.1</v>
      </c>
      <c r="N4988" s="4"/>
      <c r="O4988" s="1">
        <f t="shared" si="1062"/>
        <v>173.1</v>
      </c>
      <c r="P4988" s="1">
        <f t="shared" si="1063"/>
        <v>0</v>
      </c>
      <c r="Q4988" s="1" t="str">
        <f t="shared" si="1069"/>
        <v/>
      </c>
      <c r="R4988" s="1" t="str">
        <f t="shared" si="1064"/>
        <v/>
      </c>
      <c r="S4988" s="1">
        <f t="shared" si="1065"/>
        <v>630.90240000000244</v>
      </c>
      <c r="T4988" s="1">
        <f t="shared" si="1066"/>
        <v>0</v>
      </c>
      <c r="U4988" s="1">
        <f t="shared" si="1067"/>
        <v>0</v>
      </c>
      <c r="V4988" s="1">
        <f t="shared" si="1068"/>
        <v>0</v>
      </c>
    </row>
    <row r="4989" spans="5:22" x14ac:dyDescent="0.25">
      <c r="E4989" s="4"/>
      <c r="M4989" s="4">
        <f t="shared" si="1061"/>
        <v>173.1</v>
      </c>
      <c r="N4989" s="4"/>
      <c r="O4989" s="1">
        <f t="shared" si="1062"/>
        <v>173.1</v>
      </c>
      <c r="P4989" s="1">
        <f t="shared" si="1063"/>
        <v>0</v>
      </c>
      <c r="Q4989" s="1" t="str">
        <f t="shared" si="1069"/>
        <v/>
      </c>
      <c r="R4989" s="1" t="str">
        <f t="shared" si="1064"/>
        <v/>
      </c>
      <c r="S4989" s="1">
        <f t="shared" si="1065"/>
        <v>630.90240000000244</v>
      </c>
      <c r="T4989" s="1">
        <f t="shared" si="1066"/>
        <v>0</v>
      </c>
      <c r="U4989" s="1">
        <f t="shared" si="1067"/>
        <v>0</v>
      </c>
      <c r="V4989" s="1">
        <f t="shared" si="1068"/>
        <v>0</v>
      </c>
    </row>
    <row r="4990" spans="5:22" x14ac:dyDescent="0.25">
      <c r="E4990" s="4"/>
      <c r="M4990" s="4">
        <f t="shared" si="1061"/>
        <v>173.1</v>
      </c>
      <c r="N4990" s="4"/>
      <c r="O4990" s="1">
        <f t="shared" si="1062"/>
        <v>173.1</v>
      </c>
      <c r="P4990" s="1">
        <f t="shared" si="1063"/>
        <v>0</v>
      </c>
      <c r="Q4990" s="1" t="str">
        <f t="shared" si="1069"/>
        <v/>
      </c>
      <c r="R4990" s="1" t="str">
        <f t="shared" si="1064"/>
        <v/>
      </c>
      <c r="S4990" s="1">
        <f t="shared" si="1065"/>
        <v>630.90240000000244</v>
      </c>
      <c r="T4990" s="1">
        <f t="shared" si="1066"/>
        <v>0</v>
      </c>
      <c r="U4990" s="1">
        <f t="shared" si="1067"/>
        <v>0</v>
      </c>
      <c r="V4990" s="1">
        <f t="shared" si="1068"/>
        <v>0</v>
      </c>
    </row>
    <row r="4991" spans="5:22" x14ac:dyDescent="0.25">
      <c r="E4991" s="4"/>
      <c r="M4991" s="4">
        <f t="shared" si="1061"/>
        <v>173.1</v>
      </c>
      <c r="N4991" s="4"/>
      <c r="O4991" s="1">
        <f t="shared" si="1062"/>
        <v>173.1</v>
      </c>
      <c r="P4991" s="1">
        <f t="shared" si="1063"/>
        <v>0</v>
      </c>
      <c r="Q4991" s="1" t="str">
        <f t="shared" si="1069"/>
        <v/>
      </c>
      <c r="R4991" s="1" t="str">
        <f t="shared" si="1064"/>
        <v/>
      </c>
      <c r="S4991" s="1">
        <f t="shared" si="1065"/>
        <v>630.90240000000244</v>
      </c>
      <c r="T4991" s="1">
        <f t="shared" si="1066"/>
        <v>0</v>
      </c>
      <c r="U4991" s="1">
        <f t="shared" si="1067"/>
        <v>0</v>
      </c>
      <c r="V4991" s="1">
        <f t="shared" si="1068"/>
        <v>0</v>
      </c>
    </row>
    <row r="4992" spans="5:22" x14ac:dyDescent="0.25">
      <c r="E4992" s="4"/>
      <c r="M4992" s="4">
        <f t="shared" si="1061"/>
        <v>173.1</v>
      </c>
      <c r="N4992" s="4"/>
      <c r="O4992" s="1">
        <f t="shared" si="1062"/>
        <v>173.1</v>
      </c>
      <c r="P4992" s="1">
        <f t="shared" si="1063"/>
        <v>0</v>
      </c>
      <c r="Q4992" s="1" t="str">
        <f t="shared" si="1069"/>
        <v/>
      </c>
      <c r="R4992" s="1" t="str">
        <f t="shared" si="1064"/>
        <v/>
      </c>
      <c r="S4992" s="1">
        <f t="shared" si="1065"/>
        <v>630.90240000000244</v>
      </c>
      <c r="T4992" s="1">
        <f t="shared" si="1066"/>
        <v>0</v>
      </c>
      <c r="U4992" s="1">
        <f t="shared" si="1067"/>
        <v>0</v>
      </c>
      <c r="V4992" s="1">
        <f t="shared" si="1068"/>
        <v>0</v>
      </c>
    </row>
    <row r="4993" spans="5:22" x14ac:dyDescent="0.25">
      <c r="E4993" s="4"/>
      <c r="M4993" s="4">
        <f t="shared" si="1061"/>
        <v>173.1</v>
      </c>
      <c r="N4993" s="4"/>
      <c r="O4993" s="1">
        <f t="shared" si="1062"/>
        <v>173.1</v>
      </c>
      <c r="P4993" s="1">
        <f t="shared" si="1063"/>
        <v>0</v>
      </c>
      <c r="Q4993" s="1" t="str">
        <f t="shared" si="1069"/>
        <v/>
      </c>
      <c r="R4993" s="1" t="str">
        <f t="shared" si="1064"/>
        <v/>
      </c>
      <c r="S4993" s="1">
        <f t="shared" si="1065"/>
        <v>630.90240000000244</v>
      </c>
      <c r="T4993" s="1">
        <f t="shared" si="1066"/>
        <v>0</v>
      </c>
      <c r="U4993" s="1">
        <f t="shared" si="1067"/>
        <v>0</v>
      </c>
      <c r="V4993" s="1">
        <f t="shared" si="1068"/>
        <v>0</v>
      </c>
    </row>
    <row r="4994" spans="5:22" x14ac:dyDescent="0.25">
      <c r="E4994" s="4"/>
      <c r="M4994" s="4">
        <f t="shared" si="1061"/>
        <v>173.1</v>
      </c>
      <c r="N4994" s="4"/>
      <c r="O4994" s="1">
        <f t="shared" si="1062"/>
        <v>173.1</v>
      </c>
      <c r="P4994" s="1">
        <f t="shared" si="1063"/>
        <v>0</v>
      </c>
      <c r="Q4994" s="1" t="str">
        <f t="shared" si="1069"/>
        <v/>
      </c>
      <c r="R4994" s="1" t="str">
        <f t="shared" si="1064"/>
        <v/>
      </c>
      <c r="S4994" s="1">
        <f t="shared" si="1065"/>
        <v>630.90240000000244</v>
      </c>
      <c r="T4994" s="1">
        <f t="shared" si="1066"/>
        <v>0</v>
      </c>
      <c r="U4994" s="1">
        <f t="shared" si="1067"/>
        <v>0</v>
      </c>
      <c r="V4994" s="1">
        <f t="shared" si="1068"/>
        <v>0</v>
      </c>
    </row>
    <row r="4995" spans="5:22" x14ac:dyDescent="0.25">
      <c r="E4995" s="4"/>
      <c r="M4995" s="4">
        <f t="shared" si="1061"/>
        <v>173.1</v>
      </c>
      <c r="N4995" s="4"/>
      <c r="O4995" s="1">
        <f t="shared" si="1062"/>
        <v>173.1</v>
      </c>
      <c r="P4995" s="1">
        <f t="shared" si="1063"/>
        <v>0</v>
      </c>
      <c r="Q4995" s="1" t="str">
        <f t="shared" si="1069"/>
        <v/>
      </c>
      <c r="R4995" s="1" t="str">
        <f t="shared" si="1064"/>
        <v/>
      </c>
      <c r="S4995" s="1">
        <f t="shared" si="1065"/>
        <v>630.90240000000244</v>
      </c>
      <c r="T4995" s="1">
        <f t="shared" si="1066"/>
        <v>0</v>
      </c>
      <c r="U4995" s="1">
        <f t="shared" si="1067"/>
        <v>0</v>
      </c>
      <c r="V4995" s="1">
        <f t="shared" si="1068"/>
        <v>0</v>
      </c>
    </row>
    <row r="4996" spans="5:22" x14ac:dyDescent="0.25">
      <c r="E4996" s="4"/>
      <c r="M4996" s="4">
        <f t="shared" si="1061"/>
        <v>173.1</v>
      </c>
      <c r="N4996" s="4"/>
      <c r="O4996" s="1">
        <f t="shared" si="1062"/>
        <v>173.1</v>
      </c>
      <c r="P4996" s="1">
        <f t="shared" si="1063"/>
        <v>0</v>
      </c>
      <c r="Q4996" s="1" t="str">
        <f t="shared" si="1069"/>
        <v/>
      </c>
      <c r="R4996" s="1" t="str">
        <f t="shared" si="1064"/>
        <v/>
      </c>
      <c r="S4996" s="1">
        <f t="shared" si="1065"/>
        <v>630.90240000000244</v>
      </c>
      <c r="T4996" s="1">
        <f t="shared" si="1066"/>
        <v>0</v>
      </c>
      <c r="U4996" s="1">
        <f t="shared" si="1067"/>
        <v>0</v>
      </c>
      <c r="V4996" s="1">
        <f t="shared" si="1068"/>
        <v>0</v>
      </c>
    </row>
    <row r="4997" spans="5:22" x14ac:dyDescent="0.25">
      <c r="E4997" s="4"/>
      <c r="M4997" s="4">
        <f t="shared" si="1061"/>
        <v>173.1</v>
      </c>
      <c r="N4997" s="4"/>
      <c r="O4997" s="1">
        <f t="shared" si="1062"/>
        <v>173.1</v>
      </c>
      <c r="P4997" s="1">
        <f t="shared" si="1063"/>
        <v>0</v>
      </c>
      <c r="Q4997" s="1" t="str">
        <f t="shared" si="1069"/>
        <v/>
      </c>
      <c r="R4997" s="1" t="str">
        <f t="shared" si="1064"/>
        <v/>
      </c>
      <c r="S4997" s="1">
        <f t="shared" si="1065"/>
        <v>630.90240000000244</v>
      </c>
      <c r="T4997" s="1">
        <f t="shared" si="1066"/>
        <v>0</v>
      </c>
      <c r="U4997" s="1">
        <f t="shared" si="1067"/>
        <v>0</v>
      </c>
      <c r="V4997" s="1">
        <f t="shared" si="1068"/>
        <v>0</v>
      </c>
    </row>
    <row r="4998" spans="5:22" x14ac:dyDescent="0.25">
      <c r="E4998" s="4"/>
      <c r="M4998" s="4">
        <f t="shared" si="1061"/>
        <v>173.1</v>
      </c>
      <c r="N4998" s="4"/>
      <c r="O4998" s="1">
        <f t="shared" si="1062"/>
        <v>173.1</v>
      </c>
      <c r="P4998" s="1">
        <f t="shared" si="1063"/>
        <v>0</v>
      </c>
      <c r="Q4998" s="1" t="str">
        <f t="shared" si="1069"/>
        <v/>
      </c>
      <c r="R4998" s="1" t="str">
        <f t="shared" si="1064"/>
        <v/>
      </c>
      <c r="S4998" s="1">
        <f t="shared" si="1065"/>
        <v>630.90240000000244</v>
      </c>
      <c r="T4998" s="1">
        <f t="shared" si="1066"/>
        <v>0</v>
      </c>
      <c r="U4998" s="1">
        <f t="shared" si="1067"/>
        <v>0</v>
      </c>
      <c r="V4998" s="1">
        <f t="shared" si="1068"/>
        <v>0</v>
      </c>
    </row>
    <row r="4999" spans="5:22" x14ac:dyDescent="0.25">
      <c r="E4999" s="4"/>
      <c r="M4999" s="4">
        <f t="shared" si="1061"/>
        <v>173.1</v>
      </c>
      <c r="N4999" s="4"/>
      <c r="O4999" s="1">
        <f t="shared" si="1062"/>
        <v>173.1</v>
      </c>
      <c r="P4999" s="1">
        <f t="shared" si="1063"/>
        <v>0</v>
      </c>
      <c r="Q4999" s="1" t="str">
        <f t="shared" si="1069"/>
        <v/>
      </c>
      <c r="R4999" s="1" t="str">
        <f t="shared" si="1064"/>
        <v/>
      </c>
      <c r="S4999" s="1">
        <f t="shared" si="1065"/>
        <v>630.90240000000244</v>
      </c>
      <c r="T4999" s="1">
        <f t="shared" si="1066"/>
        <v>0</v>
      </c>
      <c r="U4999" s="1">
        <f t="shared" si="1067"/>
        <v>0</v>
      </c>
      <c r="V4999" s="1">
        <f t="shared" si="1068"/>
        <v>0</v>
      </c>
    </row>
    <row r="5000" spans="5:22" x14ac:dyDescent="0.25">
      <c r="E5000" s="4"/>
      <c r="M5000" s="4">
        <f t="shared" ref="M5000:M5063" si="1070">E5000+M4999</f>
        <v>173.1</v>
      </c>
      <c r="N5000" s="4"/>
      <c r="O5000" s="1">
        <f t="shared" ref="O5000:O5063" si="1071">E4999+O4999</f>
        <v>173.1</v>
      </c>
      <c r="P5000" s="1">
        <f t="shared" ref="P5000:P5063" si="1072">F5000*52.8*E5000</f>
        <v>0</v>
      </c>
      <c r="Q5000" s="1" t="str">
        <f t="shared" si="1069"/>
        <v/>
      </c>
      <c r="R5000" s="1" t="str">
        <f t="shared" ref="R5000:R5063" si="1073">IF(I5000="",Q5000,IF(AND(H5000=H4999,I5000=I4999),"",I5000))</f>
        <v/>
      </c>
      <c r="S5000" s="1">
        <f t="shared" ref="S5000:S5063" si="1074">S4999+U4999*T4999/100</f>
        <v>630.90240000000244</v>
      </c>
      <c r="T5000" s="1">
        <f t="shared" ref="T5000:T5063" si="1075">IF(G5000="UNK",0,G5000)</f>
        <v>0</v>
      </c>
      <c r="U5000" s="1">
        <f t="shared" ref="U5000:U5063" si="1076">E5000*5280</f>
        <v>0</v>
      </c>
      <c r="V5000" s="1">
        <f t="shared" ref="V5000:V5063" si="1077">ABS(T5000*U5000)</f>
        <v>0</v>
      </c>
    </row>
    <row r="5001" spans="5:22" x14ac:dyDescent="0.25">
      <c r="E5001" s="4"/>
      <c r="M5001" s="4">
        <f t="shared" si="1070"/>
        <v>173.1</v>
      </c>
      <c r="N5001" s="4"/>
      <c r="O5001" s="1">
        <f t="shared" si="1071"/>
        <v>173.1</v>
      </c>
      <c r="P5001" s="1">
        <f t="shared" si="1072"/>
        <v>0</v>
      </c>
      <c r="Q5001" s="1" t="str">
        <f t="shared" si="1069"/>
        <v/>
      </c>
      <c r="R5001" s="1" t="str">
        <f t="shared" si="1073"/>
        <v/>
      </c>
      <c r="S5001" s="1">
        <f t="shared" si="1074"/>
        <v>630.90240000000244</v>
      </c>
      <c r="T5001" s="1">
        <f t="shared" si="1075"/>
        <v>0</v>
      </c>
      <c r="U5001" s="1">
        <f t="shared" si="1076"/>
        <v>0</v>
      </c>
      <c r="V5001" s="1">
        <f t="shared" si="1077"/>
        <v>0</v>
      </c>
    </row>
    <row r="5002" spans="5:22" x14ac:dyDescent="0.25">
      <c r="E5002" s="4"/>
      <c r="M5002" s="4">
        <f t="shared" si="1070"/>
        <v>173.1</v>
      </c>
      <c r="N5002" s="4"/>
      <c r="O5002" s="1">
        <f t="shared" si="1071"/>
        <v>173.1</v>
      </c>
      <c r="P5002" s="1">
        <f t="shared" si="1072"/>
        <v>0</v>
      </c>
      <c r="Q5002" s="1" t="str">
        <f t="shared" si="1069"/>
        <v/>
      </c>
      <c r="R5002" s="1" t="str">
        <f t="shared" si="1073"/>
        <v/>
      </c>
      <c r="S5002" s="1">
        <f t="shared" si="1074"/>
        <v>630.90240000000244</v>
      </c>
      <c r="T5002" s="1">
        <f t="shared" si="1075"/>
        <v>0</v>
      </c>
      <c r="U5002" s="1">
        <f t="shared" si="1076"/>
        <v>0</v>
      </c>
      <c r="V5002" s="1">
        <f t="shared" si="1077"/>
        <v>0</v>
      </c>
    </row>
    <row r="5003" spans="5:22" x14ac:dyDescent="0.25">
      <c r="E5003" s="4"/>
      <c r="M5003" s="4">
        <f t="shared" si="1070"/>
        <v>173.1</v>
      </c>
      <c r="N5003" s="4"/>
      <c r="O5003" s="1">
        <f t="shared" si="1071"/>
        <v>173.1</v>
      </c>
      <c r="P5003" s="1">
        <f t="shared" si="1072"/>
        <v>0</v>
      </c>
      <c r="Q5003" s="1" t="str">
        <f t="shared" si="1069"/>
        <v/>
      </c>
      <c r="R5003" s="1" t="str">
        <f t="shared" si="1073"/>
        <v/>
      </c>
      <c r="S5003" s="1">
        <f t="shared" si="1074"/>
        <v>630.90240000000244</v>
      </c>
      <c r="T5003" s="1">
        <f t="shared" si="1075"/>
        <v>0</v>
      </c>
      <c r="U5003" s="1">
        <f t="shared" si="1076"/>
        <v>0</v>
      </c>
      <c r="V5003" s="1">
        <f t="shared" si="1077"/>
        <v>0</v>
      </c>
    </row>
    <row r="5004" spans="5:22" x14ac:dyDescent="0.25">
      <c r="E5004" s="4"/>
      <c r="M5004" s="4">
        <f t="shared" si="1070"/>
        <v>173.1</v>
      </c>
      <c r="N5004" s="4"/>
      <c r="O5004" s="1">
        <f t="shared" si="1071"/>
        <v>173.1</v>
      </c>
      <c r="P5004" s="1">
        <f t="shared" si="1072"/>
        <v>0</v>
      </c>
      <c r="Q5004" s="1" t="str">
        <f t="shared" si="1069"/>
        <v/>
      </c>
      <c r="R5004" s="1" t="str">
        <f t="shared" si="1073"/>
        <v/>
      </c>
      <c r="S5004" s="1">
        <f t="shared" si="1074"/>
        <v>630.90240000000244</v>
      </c>
      <c r="T5004" s="1">
        <f t="shared" si="1075"/>
        <v>0</v>
      </c>
      <c r="U5004" s="1">
        <f t="shared" si="1076"/>
        <v>0</v>
      </c>
      <c r="V5004" s="1">
        <f t="shared" si="1077"/>
        <v>0</v>
      </c>
    </row>
    <row r="5005" spans="5:22" x14ac:dyDescent="0.25">
      <c r="E5005" s="4"/>
      <c r="M5005" s="4">
        <f t="shared" si="1070"/>
        <v>173.1</v>
      </c>
      <c r="N5005" s="4"/>
      <c r="O5005" s="1">
        <f t="shared" si="1071"/>
        <v>173.1</v>
      </c>
      <c r="P5005" s="1">
        <f t="shared" si="1072"/>
        <v>0</v>
      </c>
      <c r="Q5005" s="1" t="str">
        <f t="shared" si="1069"/>
        <v/>
      </c>
      <c r="R5005" s="1" t="str">
        <f t="shared" si="1073"/>
        <v/>
      </c>
      <c r="S5005" s="1">
        <f t="shared" si="1074"/>
        <v>630.90240000000244</v>
      </c>
      <c r="T5005" s="1">
        <f t="shared" si="1075"/>
        <v>0</v>
      </c>
      <c r="U5005" s="1">
        <f t="shared" si="1076"/>
        <v>0</v>
      </c>
      <c r="V5005" s="1">
        <f t="shared" si="1077"/>
        <v>0</v>
      </c>
    </row>
    <row r="5006" spans="5:22" x14ac:dyDescent="0.25">
      <c r="E5006" s="4"/>
      <c r="M5006" s="4">
        <f t="shared" si="1070"/>
        <v>173.1</v>
      </c>
      <c r="N5006" s="4"/>
      <c r="O5006" s="1">
        <f t="shared" si="1071"/>
        <v>173.1</v>
      </c>
      <c r="P5006" s="1">
        <f t="shared" si="1072"/>
        <v>0</v>
      </c>
      <c r="Q5006" s="1" t="str">
        <f t="shared" si="1069"/>
        <v/>
      </c>
      <c r="R5006" s="1" t="str">
        <f t="shared" si="1073"/>
        <v/>
      </c>
      <c r="S5006" s="1">
        <f t="shared" si="1074"/>
        <v>630.90240000000244</v>
      </c>
      <c r="T5006" s="1">
        <f t="shared" si="1075"/>
        <v>0</v>
      </c>
      <c r="U5006" s="1">
        <f t="shared" si="1076"/>
        <v>0</v>
      </c>
      <c r="V5006" s="1">
        <f t="shared" si="1077"/>
        <v>0</v>
      </c>
    </row>
    <row r="5007" spans="5:22" x14ac:dyDescent="0.25">
      <c r="E5007" s="4"/>
      <c r="M5007" s="4">
        <f t="shared" si="1070"/>
        <v>173.1</v>
      </c>
      <c r="N5007" s="4"/>
      <c r="O5007" s="1">
        <f t="shared" si="1071"/>
        <v>173.1</v>
      </c>
      <c r="P5007" s="1">
        <f t="shared" si="1072"/>
        <v>0</v>
      </c>
      <c r="Q5007" s="1" t="str">
        <f t="shared" si="1069"/>
        <v/>
      </c>
      <c r="R5007" s="1" t="str">
        <f t="shared" si="1073"/>
        <v/>
      </c>
      <c r="S5007" s="1">
        <f t="shared" si="1074"/>
        <v>630.90240000000244</v>
      </c>
      <c r="T5007" s="1">
        <f t="shared" si="1075"/>
        <v>0</v>
      </c>
      <c r="U5007" s="1">
        <f t="shared" si="1076"/>
        <v>0</v>
      </c>
      <c r="V5007" s="1">
        <f t="shared" si="1077"/>
        <v>0</v>
      </c>
    </row>
    <row r="5008" spans="5:22" x14ac:dyDescent="0.25">
      <c r="E5008" s="4"/>
      <c r="M5008" s="4">
        <f t="shared" si="1070"/>
        <v>173.1</v>
      </c>
      <c r="N5008" s="4"/>
      <c r="O5008" s="1">
        <f t="shared" si="1071"/>
        <v>173.1</v>
      </c>
      <c r="P5008" s="1">
        <f t="shared" si="1072"/>
        <v>0</v>
      </c>
      <c r="Q5008" s="1" t="str">
        <f t="shared" si="1069"/>
        <v/>
      </c>
      <c r="R5008" s="1" t="str">
        <f t="shared" si="1073"/>
        <v/>
      </c>
      <c r="S5008" s="1">
        <f t="shared" si="1074"/>
        <v>630.90240000000244</v>
      </c>
      <c r="T5008" s="1">
        <f t="shared" si="1075"/>
        <v>0</v>
      </c>
      <c r="U5008" s="1">
        <f t="shared" si="1076"/>
        <v>0</v>
      </c>
      <c r="V5008" s="1">
        <f t="shared" si="1077"/>
        <v>0</v>
      </c>
    </row>
    <row r="5009" spans="5:22" x14ac:dyDescent="0.25">
      <c r="E5009" s="4"/>
      <c r="M5009" s="4">
        <f t="shared" si="1070"/>
        <v>173.1</v>
      </c>
      <c r="N5009" s="4"/>
      <c r="O5009" s="1">
        <f t="shared" si="1071"/>
        <v>173.1</v>
      </c>
      <c r="P5009" s="1">
        <f t="shared" si="1072"/>
        <v>0</v>
      </c>
      <c r="Q5009" s="1" t="str">
        <f t="shared" si="1069"/>
        <v/>
      </c>
      <c r="R5009" s="1" t="str">
        <f t="shared" si="1073"/>
        <v/>
      </c>
      <c r="S5009" s="1">
        <f t="shared" si="1074"/>
        <v>630.90240000000244</v>
      </c>
      <c r="T5009" s="1">
        <f t="shared" si="1075"/>
        <v>0</v>
      </c>
      <c r="U5009" s="1">
        <f t="shared" si="1076"/>
        <v>0</v>
      </c>
      <c r="V5009" s="1">
        <f t="shared" si="1077"/>
        <v>0</v>
      </c>
    </row>
    <row r="5010" spans="5:22" x14ac:dyDescent="0.25">
      <c r="E5010" s="4"/>
      <c r="M5010" s="4">
        <f t="shared" si="1070"/>
        <v>173.1</v>
      </c>
      <c r="N5010" s="4"/>
      <c r="O5010" s="1">
        <f t="shared" si="1071"/>
        <v>173.1</v>
      </c>
      <c r="P5010" s="1">
        <f t="shared" si="1072"/>
        <v>0</v>
      </c>
      <c r="Q5010" s="1" t="str">
        <f t="shared" si="1069"/>
        <v/>
      </c>
      <c r="R5010" s="1" t="str">
        <f t="shared" si="1073"/>
        <v/>
      </c>
      <c r="S5010" s="1">
        <f t="shared" si="1074"/>
        <v>630.90240000000244</v>
      </c>
      <c r="T5010" s="1">
        <f t="shared" si="1075"/>
        <v>0</v>
      </c>
      <c r="U5010" s="1">
        <f t="shared" si="1076"/>
        <v>0</v>
      </c>
      <c r="V5010" s="1">
        <f t="shared" si="1077"/>
        <v>0</v>
      </c>
    </row>
    <row r="5011" spans="5:22" x14ac:dyDescent="0.25">
      <c r="E5011" s="4"/>
      <c r="M5011" s="4">
        <f t="shared" si="1070"/>
        <v>173.1</v>
      </c>
      <c r="N5011" s="4"/>
      <c r="O5011" s="1">
        <f t="shared" si="1071"/>
        <v>173.1</v>
      </c>
      <c r="P5011" s="1">
        <f t="shared" si="1072"/>
        <v>0</v>
      </c>
      <c r="Q5011" s="1" t="str">
        <f t="shared" si="1069"/>
        <v/>
      </c>
      <c r="R5011" s="1" t="str">
        <f t="shared" si="1073"/>
        <v/>
      </c>
      <c r="S5011" s="1">
        <f t="shared" si="1074"/>
        <v>630.90240000000244</v>
      </c>
      <c r="T5011" s="1">
        <f t="shared" si="1075"/>
        <v>0</v>
      </c>
      <c r="U5011" s="1">
        <f t="shared" si="1076"/>
        <v>0</v>
      </c>
      <c r="V5011" s="1">
        <f t="shared" si="1077"/>
        <v>0</v>
      </c>
    </row>
    <row r="5012" spans="5:22" x14ac:dyDescent="0.25">
      <c r="M5012" s="4">
        <f t="shared" si="1070"/>
        <v>173.1</v>
      </c>
      <c r="N5012" s="4"/>
      <c r="O5012" s="1">
        <f t="shared" si="1071"/>
        <v>173.1</v>
      </c>
      <c r="P5012" s="1">
        <f t="shared" si="1072"/>
        <v>0</v>
      </c>
      <c r="Q5012" s="1" t="str">
        <f t="shared" si="1069"/>
        <v/>
      </c>
      <c r="R5012" s="1" t="str">
        <f t="shared" si="1073"/>
        <v/>
      </c>
      <c r="S5012" s="1">
        <f t="shared" si="1074"/>
        <v>630.90240000000244</v>
      </c>
      <c r="T5012" s="1">
        <f t="shared" si="1075"/>
        <v>0</v>
      </c>
      <c r="U5012" s="1">
        <f t="shared" si="1076"/>
        <v>0</v>
      </c>
      <c r="V5012" s="1">
        <f t="shared" si="1077"/>
        <v>0</v>
      </c>
    </row>
    <row r="5013" spans="5:22" x14ac:dyDescent="0.25">
      <c r="M5013" s="4">
        <f t="shared" si="1070"/>
        <v>173.1</v>
      </c>
      <c r="N5013" s="4"/>
      <c r="O5013" s="1">
        <f t="shared" si="1071"/>
        <v>173.1</v>
      </c>
      <c r="P5013" s="1">
        <f t="shared" si="1072"/>
        <v>0</v>
      </c>
      <c r="Q5013" s="1" t="str">
        <f t="shared" si="1069"/>
        <v/>
      </c>
      <c r="R5013" s="1" t="str">
        <f t="shared" si="1073"/>
        <v/>
      </c>
      <c r="S5013" s="1">
        <f t="shared" si="1074"/>
        <v>630.90240000000244</v>
      </c>
      <c r="T5013" s="1">
        <f t="shared" si="1075"/>
        <v>0</v>
      </c>
      <c r="U5013" s="1">
        <f t="shared" si="1076"/>
        <v>0</v>
      </c>
      <c r="V5013" s="1">
        <f t="shared" si="1077"/>
        <v>0</v>
      </c>
    </row>
    <row r="5014" spans="5:22" x14ac:dyDescent="0.25">
      <c r="M5014" s="4">
        <f t="shared" si="1070"/>
        <v>173.1</v>
      </c>
      <c r="N5014" s="4"/>
      <c r="O5014" s="1">
        <f t="shared" si="1071"/>
        <v>173.1</v>
      </c>
      <c r="P5014" s="1">
        <f t="shared" si="1072"/>
        <v>0</v>
      </c>
      <c r="Q5014" s="1" t="str">
        <f t="shared" si="1069"/>
        <v/>
      </c>
      <c r="R5014" s="1" t="str">
        <f t="shared" si="1073"/>
        <v/>
      </c>
      <c r="S5014" s="1">
        <f t="shared" si="1074"/>
        <v>630.90240000000244</v>
      </c>
      <c r="T5014" s="1">
        <f t="shared" si="1075"/>
        <v>0</v>
      </c>
      <c r="U5014" s="1">
        <f t="shared" si="1076"/>
        <v>0</v>
      </c>
      <c r="V5014" s="1">
        <f t="shared" si="1077"/>
        <v>0</v>
      </c>
    </row>
    <row r="5015" spans="5:22" x14ac:dyDescent="0.25">
      <c r="M5015" s="4">
        <f t="shared" si="1070"/>
        <v>173.1</v>
      </c>
      <c r="N5015" s="4"/>
      <c r="O5015" s="1">
        <f t="shared" si="1071"/>
        <v>173.1</v>
      </c>
      <c r="P5015" s="1">
        <f t="shared" si="1072"/>
        <v>0</v>
      </c>
      <c r="Q5015" s="1" t="str">
        <f t="shared" si="1069"/>
        <v/>
      </c>
      <c r="R5015" s="1" t="str">
        <f t="shared" si="1073"/>
        <v/>
      </c>
      <c r="S5015" s="1">
        <f t="shared" si="1074"/>
        <v>630.90240000000244</v>
      </c>
      <c r="T5015" s="1">
        <f t="shared" si="1075"/>
        <v>0</v>
      </c>
      <c r="U5015" s="1">
        <f t="shared" si="1076"/>
        <v>0</v>
      </c>
      <c r="V5015" s="1">
        <f t="shared" si="1077"/>
        <v>0</v>
      </c>
    </row>
    <row r="5016" spans="5:22" x14ac:dyDescent="0.25">
      <c r="M5016" s="4">
        <f t="shared" si="1070"/>
        <v>173.1</v>
      </c>
      <c r="N5016" s="4"/>
      <c r="O5016" s="1">
        <f t="shared" si="1071"/>
        <v>173.1</v>
      </c>
      <c r="P5016" s="1">
        <f t="shared" si="1072"/>
        <v>0</v>
      </c>
      <c r="Q5016" s="1" t="str">
        <f t="shared" si="1069"/>
        <v/>
      </c>
      <c r="R5016" s="1" t="str">
        <f t="shared" si="1073"/>
        <v/>
      </c>
      <c r="S5016" s="1">
        <f t="shared" si="1074"/>
        <v>630.90240000000244</v>
      </c>
      <c r="T5016" s="1">
        <f t="shared" si="1075"/>
        <v>0</v>
      </c>
      <c r="U5016" s="1">
        <f t="shared" si="1076"/>
        <v>0</v>
      </c>
      <c r="V5016" s="1">
        <f t="shared" si="1077"/>
        <v>0</v>
      </c>
    </row>
    <row r="5017" spans="5:22" x14ac:dyDescent="0.25">
      <c r="M5017" s="4">
        <f t="shared" si="1070"/>
        <v>173.1</v>
      </c>
      <c r="N5017" s="4"/>
      <c r="O5017" s="1">
        <f t="shared" si="1071"/>
        <v>173.1</v>
      </c>
      <c r="P5017" s="1">
        <f t="shared" si="1072"/>
        <v>0</v>
      </c>
      <c r="Q5017" s="1" t="str">
        <f t="shared" si="1069"/>
        <v/>
      </c>
      <c r="R5017" s="1" t="str">
        <f t="shared" si="1073"/>
        <v/>
      </c>
      <c r="S5017" s="1">
        <f t="shared" si="1074"/>
        <v>630.90240000000244</v>
      </c>
      <c r="T5017" s="1">
        <f t="shared" si="1075"/>
        <v>0</v>
      </c>
      <c r="U5017" s="1">
        <f t="shared" si="1076"/>
        <v>0</v>
      </c>
      <c r="V5017" s="1">
        <f t="shared" si="1077"/>
        <v>0</v>
      </c>
    </row>
    <row r="5018" spans="5:22" x14ac:dyDescent="0.25">
      <c r="M5018" s="4">
        <f t="shared" si="1070"/>
        <v>173.1</v>
      </c>
      <c r="N5018" s="4"/>
      <c r="O5018" s="1">
        <f t="shared" si="1071"/>
        <v>173.1</v>
      </c>
      <c r="P5018" s="1">
        <f t="shared" si="1072"/>
        <v>0</v>
      </c>
      <c r="Q5018" s="1" t="str">
        <f t="shared" si="1069"/>
        <v/>
      </c>
      <c r="R5018" s="1" t="str">
        <f t="shared" si="1073"/>
        <v/>
      </c>
      <c r="S5018" s="1">
        <f t="shared" si="1074"/>
        <v>630.90240000000244</v>
      </c>
      <c r="T5018" s="1">
        <f t="shared" si="1075"/>
        <v>0</v>
      </c>
      <c r="U5018" s="1">
        <f t="shared" si="1076"/>
        <v>0</v>
      </c>
      <c r="V5018" s="1">
        <f t="shared" si="1077"/>
        <v>0</v>
      </c>
    </row>
    <row r="5019" spans="5:22" x14ac:dyDescent="0.25">
      <c r="M5019" s="4">
        <f t="shared" si="1070"/>
        <v>173.1</v>
      </c>
      <c r="N5019" s="4"/>
      <c r="O5019" s="1">
        <f t="shared" si="1071"/>
        <v>173.1</v>
      </c>
      <c r="P5019" s="1">
        <f t="shared" si="1072"/>
        <v>0</v>
      </c>
      <c r="Q5019" s="1" t="str">
        <f t="shared" si="1069"/>
        <v/>
      </c>
      <c r="R5019" s="1" t="str">
        <f t="shared" si="1073"/>
        <v/>
      </c>
      <c r="S5019" s="1">
        <f t="shared" si="1074"/>
        <v>630.90240000000244</v>
      </c>
      <c r="T5019" s="1">
        <f t="shared" si="1075"/>
        <v>0</v>
      </c>
      <c r="U5019" s="1">
        <f t="shared" si="1076"/>
        <v>0</v>
      </c>
      <c r="V5019" s="1">
        <f t="shared" si="1077"/>
        <v>0</v>
      </c>
    </row>
    <row r="5020" spans="5:22" x14ac:dyDescent="0.25">
      <c r="M5020" s="4">
        <f t="shared" si="1070"/>
        <v>173.1</v>
      </c>
      <c r="N5020" s="4"/>
      <c r="O5020" s="1">
        <f t="shared" si="1071"/>
        <v>173.1</v>
      </c>
      <c r="P5020" s="1">
        <f t="shared" si="1072"/>
        <v>0</v>
      </c>
      <c r="Q5020" s="1" t="str">
        <f t="shared" si="1069"/>
        <v/>
      </c>
      <c r="R5020" s="1" t="str">
        <f t="shared" si="1073"/>
        <v/>
      </c>
      <c r="S5020" s="1">
        <f t="shared" si="1074"/>
        <v>630.90240000000244</v>
      </c>
      <c r="T5020" s="1">
        <f t="shared" si="1075"/>
        <v>0</v>
      </c>
      <c r="U5020" s="1">
        <f t="shared" si="1076"/>
        <v>0</v>
      </c>
      <c r="V5020" s="1">
        <f t="shared" si="1077"/>
        <v>0</v>
      </c>
    </row>
    <row r="5021" spans="5:22" x14ac:dyDescent="0.25">
      <c r="M5021" s="4">
        <f t="shared" si="1070"/>
        <v>173.1</v>
      </c>
      <c r="N5021" s="4"/>
      <c r="O5021" s="1">
        <f t="shared" si="1071"/>
        <v>173.1</v>
      </c>
      <c r="P5021" s="1">
        <f t="shared" si="1072"/>
        <v>0</v>
      </c>
      <c r="Q5021" s="1" t="str">
        <f t="shared" si="1069"/>
        <v/>
      </c>
      <c r="R5021" s="1" t="str">
        <f t="shared" si="1073"/>
        <v/>
      </c>
      <c r="S5021" s="1">
        <f t="shared" si="1074"/>
        <v>630.90240000000244</v>
      </c>
      <c r="T5021" s="1">
        <f t="shared" si="1075"/>
        <v>0</v>
      </c>
      <c r="U5021" s="1">
        <f t="shared" si="1076"/>
        <v>0</v>
      </c>
      <c r="V5021" s="1">
        <f t="shared" si="1077"/>
        <v>0</v>
      </c>
    </row>
    <row r="5022" spans="5:22" x14ac:dyDescent="0.25">
      <c r="M5022" s="4">
        <f t="shared" si="1070"/>
        <v>173.1</v>
      </c>
      <c r="N5022" s="4"/>
      <c r="O5022" s="1">
        <f t="shared" si="1071"/>
        <v>173.1</v>
      </c>
      <c r="P5022" s="1">
        <f t="shared" si="1072"/>
        <v>0</v>
      </c>
      <c r="Q5022" s="1" t="str">
        <f t="shared" si="1069"/>
        <v/>
      </c>
      <c r="R5022" s="1" t="str">
        <f t="shared" si="1073"/>
        <v/>
      </c>
      <c r="S5022" s="1">
        <f t="shared" si="1074"/>
        <v>630.90240000000244</v>
      </c>
      <c r="T5022" s="1">
        <f t="shared" si="1075"/>
        <v>0</v>
      </c>
      <c r="U5022" s="1">
        <f t="shared" si="1076"/>
        <v>0</v>
      </c>
      <c r="V5022" s="1">
        <f t="shared" si="1077"/>
        <v>0</v>
      </c>
    </row>
    <row r="5023" spans="5:22" x14ac:dyDescent="0.25">
      <c r="M5023" s="4">
        <f t="shared" si="1070"/>
        <v>173.1</v>
      </c>
      <c r="N5023" s="4"/>
      <c r="O5023" s="1">
        <f t="shared" si="1071"/>
        <v>173.1</v>
      </c>
      <c r="P5023" s="1">
        <f t="shared" si="1072"/>
        <v>0</v>
      </c>
      <c r="Q5023" s="1" t="str">
        <f t="shared" si="1069"/>
        <v/>
      </c>
      <c r="R5023" s="1" t="str">
        <f t="shared" si="1073"/>
        <v/>
      </c>
      <c r="S5023" s="1">
        <f t="shared" si="1074"/>
        <v>630.90240000000244</v>
      </c>
      <c r="T5023" s="1">
        <f t="shared" si="1075"/>
        <v>0</v>
      </c>
      <c r="U5023" s="1">
        <f t="shared" si="1076"/>
        <v>0</v>
      </c>
      <c r="V5023" s="1">
        <f t="shared" si="1077"/>
        <v>0</v>
      </c>
    </row>
    <row r="5024" spans="5:22" x14ac:dyDescent="0.25">
      <c r="M5024" s="4">
        <f t="shared" si="1070"/>
        <v>173.1</v>
      </c>
      <c r="N5024" s="4"/>
      <c r="O5024" s="1">
        <f t="shared" si="1071"/>
        <v>173.1</v>
      </c>
      <c r="P5024" s="1">
        <f t="shared" si="1072"/>
        <v>0</v>
      </c>
      <c r="Q5024" s="1" t="str">
        <f t="shared" si="1069"/>
        <v/>
      </c>
      <c r="R5024" s="1" t="str">
        <f t="shared" si="1073"/>
        <v/>
      </c>
      <c r="S5024" s="1">
        <f t="shared" si="1074"/>
        <v>630.90240000000244</v>
      </c>
      <c r="T5024" s="1">
        <f t="shared" si="1075"/>
        <v>0</v>
      </c>
      <c r="U5024" s="1">
        <f t="shared" si="1076"/>
        <v>0</v>
      </c>
      <c r="V5024" s="1">
        <f t="shared" si="1077"/>
        <v>0</v>
      </c>
    </row>
    <row r="5025" spans="13:22" x14ac:dyDescent="0.25">
      <c r="M5025" s="4">
        <f t="shared" si="1070"/>
        <v>173.1</v>
      </c>
      <c r="N5025" s="4"/>
      <c r="O5025" s="1">
        <f t="shared" si="1071"/>
        <v>173.1</v>
      </c>
      <c r="P5025" s="1">
        <f t="shared" si="1072"/>
        <v>0</v>
      </c>
      <c r="Q5025" s="1" t="str">
        <f t="shared" si="1069"/>
        <v/>
      </c>
      <c r="R5025" s="1" t="str">
        <f t="shared" si="1073"/>
        <v/>
      </c>
      <c r="S5025" s="1">
        <f t="shared" si="1074"/>
        <v>630.90240000000244</v>
      </c>
      <c r="T5025" s="1">
        <f t="shared" si="1075"/>
        <v>0</v>
      </c>
      <c r="U5025" s="1">
        <f t="shared" si="1076"/>
        <v>0</v>
      </c>
      <c r="V5025" s="1">
        <f t="shared" si="1077"/>
        <v>0</v>
      </c>
    </row>
    <row r="5026" spans="13:22" x14ac:dyDescent="0.25">
      <c r="M5026" s="4">
        <f t="shared" si="1070"/>
        <v>173.1</v>
      </c>
      <c r="N5026" s="4"/>
      <c r="O5026" s="1">
        <f t="shared" si="1071"/>
        <v>173.1</v>
      </c>
      <c r="P5026" s="1">
        <f t="shared" si="1072"/>
        <v>0</v>
      </c>
      <c r="Q5026" s="1" t="str">
        <f t="shared" si="1069"/>
        <v/>
      </c>
      <c r="R5026" s="1" t="str">
        <f t="shared" si="1073"/>
        <v/>
      </c>
      <c r="S5026" s="1">
        <f t="shared" si="1074"/>
        <v>630.90240000000244</v>
      </c>
      <c r="T5026" s="1">
        <f t="shared" si="1075"/>
        <v>0</v>
      </c>
      <c r="U5026" s="1">
        <f t="shared" si="1076"/>
        <v>0</v>
      </c>
      <c r="V5026" s="1">
        <f t="shared" si="1077"/>
        <v>0</v>
      </c>
    </row>
    <row r="5027" spans="13:22" x14ac:dyDescent="0.25">
      <c r="M5027" s="4">
        <f t="shared" si="1070"/>
        <v>173.1</v>
      </c>
      <c r="N5027" s="4"/>
      <c r="O5027" s="1">
        <f t="shared" si="1071"/>
        <v>173.1</v>
      </c>
      <c r="P5027" s="1">
        <f t="shared" si="1072"/>
        <v>0</v>
      </c>
      <c r="Q5027" s="1" t="str">
        <f t="shared" si="1069"/>
        <v/>
      </c>
      <c r="R5027" s="1" t="str">
        <f t="shared" si="1073"/>
        <v/>
      </c>
      <c r="S5027" s="1">
        <f t="shared" si="1074"/>
        <v>630.90240000000244</v>
      </c>
      <c r="T5027" s="1">
        <f t="shared" si="1075"/>
        <v>0</v>
      </c>
      <c r="U5027" s="1">
        <f t="shared" si="1076"/>
        <v>0</v>
      </c>
      <c r="V5027" s="1">
        <f t="shared" si="1077"/>
        <v>0</v>
      </c>
    </row>
    <row r="5028" spans="13:22" x14ac:dyDescent="0.25">
      <c r="M5028" s="4">
        <f t="shared" si="1070"/>
        <v>173.1</v>
      </c>
      <c r="N5028" s="4"/>
      <c r="O5028" s="1">
        <f t="shared" si="1071"/>
        <v>173.1</v>
      </c>
      <c r="P5028" s="1">
        <f t="shared" si="1072"/>
        <v>0</v>
      </c>
      <c r="Q5028" s="1" t="str">
        <f t="shared" si="1069"/>
        <v/>
      </c>
      <c r="R5028" s="1" t="str">
        <f t="shared" si="1073"/>
        <v/>
      </c>
      <c r="S5028" s="1">
        <f t="shared" si="1074"/>
        <v>630.90240000000244</v>
      </c>
      <c r="T5028" s="1">
        <f t="shared" si="1075"/>
        <v>0</v>
      </c>
      <c r="U5028" s="1">
        <f t="shared" si="1076"/>
        <v>0</v>
      </c>
      <c r="V5028" s="1">
        <f t="shared" si="1077"/>
        <v>0</v>
      </c>
    </row>
    <row r="5029" spans="13:22" x14ac:dyDescent="0.25">
      <c r="M5029" s="4">
        <f t="shared" si="1070"/>
        <v>173.1</v>
      </c>
      <c r="N5029" s="4"/>
      <c r="O5029" s="1">
        <f t="shared" si="1071"/>
        <v>173.1</v>
      </c>
      <c r="P5029" s="1">
        <f t="shared" si="1072"/>
        <v>0</v>
      </c>
      <c r="Q5029" s="1" t="str">
        <f t="shared" si="1069"/>
        <v/>
      </c>
      <c r="R5029" s="1" t="str">
        <f t="shared" si="1073"/>
        <v/>
      </c>
      <c r="S5029" s="1">
        <f t="shared" si="1074"/>
        <v>630.90240000000244</v>
      </c>
      <c r="T5029" s="1">
        <f t="shared" si="1075"/>
        <v>0</v>
      </c>
      <c r="U5029" s="1">
        <f t="shared" si="1076"/>
        <v>0</v>
      </c>
      <c r="V5029" s="1">
        <f t="shared" si="1077"/>
        <v>0</v>
      </c>
    </row>
    <row r="5030" spans="13:22" x14ac:dyDescent="0.25">
      <c r="M5030" s="4">
        <f t="shared" si="1070"/>
        <v>173.1</v>
      </c>
      <c r="N5030" s="4"/>
      <c r="O5030" s="1">
        <f t="shared" si="1071"/>
        <v>173.1</v>
      </c>
      <c r="P5030" s="1">
        <f t="shared" si="1072"/>
        <v>0</v>
      </c>
      <c r="Q5030" s="1" t="str">
        <f t="shared" si="1069"/>
        <v/>
      </c>
      <c r="R5030" s="1" t="str">
        <f t="shared" si="1073"/>
        <v/>
      </c>
      <c r="S5030" s="1">
        <f t="shared" si="1074"/>
        <v>630.90240000000244</v>
      </c>
      <c r="T5030" s="1">
        <f t="shared" si="1075"/>
        <v>0</v>
      </c>
      <c r="U5030" s="1">
        <f t="shared" si="1076"/>
        <v>0</v>
      </c>
      <c r="V5030" s="1">
        <f t="shared" si="1077"/>
        <v>0</v>
      </c>
    </row>
    <row r="5031" spans="13:22" x14ac:dyDescent="0.25">
      <c r="M5031" s="4">
        <f t="shared" si="1070"/>
        <v>173.1</v>
      </c>
      <c r="N5031" s="4"/>
      <c r="O5031" s="1">
        <f t="shared" si="1071"/>
        <v>173.1</v>
      </c>
      <c r="P5031" s="1">
        <f t="shared" si="1072"/>
        <v>0</v>
      </c>
      <c r="Q5031" s="1" t="str">
        <f t="shared" si="1069"/>
        <v/>
      </c>
      <c r="R5031" s="1" t="str">
        <f t="shared" si="1073"/>
        <v/>
      </c>
      <c r="S5031" s="1">
        <f t="shared" si="1074"/>
        <v>630.90240000000244</v>
      </c>
      <c r="T5031" s="1">
        <f t="shared" si="1075"/>
        <v>0</v>
      </c>
      <c r="U5031" s="1">
        <f t="shared" si="1076"/>
        <v>0</v>
      </c>
      <c r="V5031" s="1">
        <f t="shared" si="1077"/>
        <v>0</v>
      </c>
    </row>
    <row r="5032" spans="13:22" x14ac:dyDescent="0.25">
      <c r="M5032" s="4">
        <f t="shared" si="1070"/>
        <v>173.1</v>
      </c>
      <c r="N5032" s="4"/>
      <c r="O5032" s="1">
        <f t="shared" si="1071"/>
        <v>173.1</v>
      </c>
      <c r="P5032" s="1">
        <f t="shared" si="1072"/>
        <v>0</v>
      </c>
      <c r="Q5032" s="1" t="str">
        <f t="shared" si="1069"/>
        <v/>
      </c>
      <c r="R5032" s="1" t="str">
        <f t="shared" si="1073"/>
        <v/>
      </c>
      <c r="S5032" s="1">
        <f t="shared" si="1074"/>
        <v>630.90240000000244</v>
      </c>
      <c r="T5032" s="1">
        <f t="shared" si="1075"/>
        <v>0</v>
      </c>
      <c r="U5032" s="1">
        <f t="shared" si="1076"/>
        <v>0</v>
      </c>
      <c r="V5032" s="1">
        <f t="shared" si="1077"/>
        <v>0</v>
      </c>
    </row>
    <row r="5033" spans="13:22" x14ac:dyDescent="0.25">
      <c r="M5033" s="4">
        <f t="shared" si="1070"/>
        <v>173.1</v>
      </c>
      <c r="N5033" s="4"/>
      <c r="O5033" s="1">
        <f t="shared" si="1071"/>
        <v>173.1</v>
      </c>
      <c r="P5033" s="1">
        <f t="shared" si="1072"/>
        <v>0</v>
      </c>
      <c r="Q5033" s="1" t="str">
        <f t="shared" si="1069"/>
        <v/>
      </c>
      <c r="R5033" s="1" t="str">
        <f t="shared" si="1073"/>
        <v/>
      </c>
      <c r="S5033" s="1">
        <f t="shared" si="1074"/>
        <v>630.90240000000244</v>
      </c>
      <c r="T5033" s="1">
        <f t="shared" si="1075"/>
        <v>0</v>
      </c>
      <c r="U5033" s="1">
        <f t="shared" si="1076"/>
        <v>0</v>
      </c>
      <c r="V5033" s="1">
        <f t="shared" si="1077"/>
        <v>0</v>
      </c>
    </row>
    <row r="5034" spans="13:22" x14ac:dyDescent="0.25">
      <c r="M5034" s="4">
        <f t="shared" si="1070"/>
        <v>173.1</v>
      </c>
      <c r="N5034" s="4"/>
      <c r="O5034" s="1">
        <f t="shared" si="1071"/>
        <v>173.1</v>
      </c>
      <c r="P5034" s="1">
        <f t="shared" si="1072"/>
        <v>0</v>
      </c>
      <c r="Q5034" s="1" t="str">
        <f t="shared" si="1069"/>
        <v/>
      </c>
      <c r="R5034" s="1" t="str">
        <f t="shared" si="1073"/>
        <v/>
      </c>
      <c r="S5034" s="1">
        <f t="shared" si="1074"/>
        <v>630.90240000000244</v>
      </c>
      <c r="T5034" s="1">
        <f t="shared" si="1075"/>
        <v>0</v>
      </c>
      <c r="U5034" s="1">
        <f t="shared" si="1076"/>
        <v>0</v>
      </c>
      <c r="V5034" s="1">
        <f t="shared" si="1077"/>
        <v>0</v>
      </c>
    </row>
    <row r="5035" spans="13:22" x14ac:dyDescent="0.25">
      <c r="M5035" s="4">
        <f t="shared" si="1070"/>
        <v>173.1</v>
      </c>
      <c r="N5035" s="4"/>
      <c r="O5035" s="1">
        <f t="shared" si="1071"/>
        <v>173.1</v>
      </c>
      <c r="P5035" s="1">
        <f t="shared" si="1072"/>
        <v>0</v>
      </c>
      <c r="Q5035" s="1" t="str">
        <f t="shared" si="1069"/>
        <v/>
      </c>
      <c r="R5035" s="1" t="str">
        <f t="shared" si="1073"/>
        <v/>
      </c>
      <c r="S5035" s="1">
        <f t="shared" si="1074"/>
        <v>630.90240000000244</v>
      </c>
      <c r="T5035" s="1">
        <f t="shared" si="1075"/>
        <v>0</v>
      </c>
      <c r="U5035" s="1">
        <f t="shared" si="1076"/>
        <v>0</v>
      </c>
      <c r="V5035" s="1">
        <f t="shared" si="1077"/>
        <v>0</v>
      </c>
    </row>
    <row r="5036" spans="13:22" x14ac:dyDescent="0.25">
      <c r="M5036" s="4">
        <f t="shared" si="1070"/>
        <v>173.1</v>
      </c>
      <c r="N5036" s="4"/>
      <c r="O5036" s="1">
        <f t="shared" si="1071"/>
        <v>173.1</v>
      </c>
      <c r="P5036" s="1">
        <f t="shared" si="1072"/>
        <v>0</v>
      </c>
      <c r="Q5036" s="1" t="str">
        <f t="shared" si="1069"/>
        <v/>
      </c>
      <c r="R5036" s="1" t="str">
        <f t="shared" si="1073"/>
        <v/>
      </c>
      <c r="S5036" s="1">
        <f t="shared" si="1074"/>
        <v>630.90240000000244</v>
      </c>
      <c r="T5036" s="1">
        <f t="shared" si="1075"/>
        <v>0</v>
      </c>
      <c r="U5036" s="1">
        <f t="shared" si="1076"/>
        <v>0</v>
      </c>
      <c r="V5036" s="1">
        <f t="shared" si="1077"/>
        <v>0</v>
      </c>
    </row>
    <row r="5037" spans="13:22" x14ac:dyDescent="0.25">
      <c r="M5037" s="4">
        <f t="shared" si="1070"/>
        <v>173.1</v>
      </c>
      <c r="N5037" s="4"/>
      <c r="O5037" s="1">
        <f t="shared" si="1071"/>
        <v>173.1</v>
      </c>
      <c r="P5037" s="1">
        <f t="shared" si="1072"/>
        <v>0</v>
      </c>
      <c r="Q5037" s="1" t="str">
        <f t="shared" si="1069"/>
        <v/>
      </c>
      <c r="R5037" s="1" t="str">
        <f t="shared" si="1073"/>
        <v/>
      </c>
      <c r="S5037" s="1">
        <f t="shared" si="1074"/>
        <v>630.90240000000244</v>
      </c>
      <c r="T5037" s="1">
        <f t="shared" si="1075"/>
        <v>0</v>
      </c>
      <c r="U5037" s="1">
        <f t="shared" si="1076"/>
        <v>0</v>
      </c>
      <c r="V5037" s="1">
        <f t="shared" si="1077"/>
        <v>0</v>
      </c>
    </row>
    <row r="5038" spans="13:22" x14ac:dyDescent="0.25">
      <c r="M5038" s="4">
        <f t="shared" si="1070"/>
        <v>173.1</v>
      </c>
      <c r="N5038" s="4"/>
      <c r="O5038" s="1">
        <f t="shared" si="1071"/>
        <v>173.1</v>
      </c>
      <c r="P5038" s="1">
        <f t="shared" si="1072"/>
        <v>0</v>
      </c>
      <c r="Q5038" s="1" t="str">
        <f t="shared" si="1069"/>
        <v/>
      </c>
      <c r="R5038" s="1" t="str">
        <f t="shared" si="1073"/>
        <v/>
      </c>
      <c r="S5038" s="1">
        <f t="shared" si="1074"/>
        <v>630.90240000000244</v>
      </c>
      <c r="T5038" s="1">
        <f t="shared" si="1075"/>
        <v>0</v>
      </c>
      <c r="U5038" s="1">
        <f t="shared" si="1076"/>
        <v>0</v>
      </c>
      <c r="V5038" s="1">
        <f t="shared" si="1077"/>
        <v>0</v>
      </c>
    </row>
    <row r="5039" spans="13:22" x14ac:dyDescent="0.25">
      <c r="M5039" s="4">
        <f t="shared" si="1070"/>
        <v>173.1</v>
      </c>
      <c r="N5039" s="4"/>
      <c r="O5039" s="1">
        <f t="shared" si="1071"/>
        <v>173.1</v>
      </c>
      <c r="P5039" s="1">
        <f t="shared" si="1072"/>
        <v>0</v>
      </c>
      <c r="Q5039" s="1" t="str">
        <f t="shared" si="1069"/>
        <v/>
      </c>
      <c r="R5039" s="1" t="str">
        <f t="shared" si="1073"/>
        <v/>
      </c>
      <c r="S5039" s="1">
        <f t="shared" si="1074"/>
        <v>630.90240000000244</v>
      </c>
      <c r="T5039" s="1">
        <f t="shared" si="1075"/>
        <v>0</v>
      </c>
      <c r="U5039" s="1">
        <f t="shared" si="1076"/>
        <v>0</v>
      </c>
      <c r="V5039" s="1">
        <f t="shared" si="1077"/>
        <v>0</v>
      </c>
    </row>
    <row r="5040" spans="13:22" x14ac:dyDescent="0.25">
      <c r="M5040" s="4">
        <f t="shared" si="1070"/>
        <v>173.1</v>
      </c>
      <c r="N5040" s="4"/>
      <c r="O5040" s="1">
        <f t="shared" si="1071"/>
        <v>173.1</v>
      </c>
      <c r="P5040" s="1">
        <f t="shared" si="1072"/>
        <v>0</v>
      </c>
      <c r="Q5040" s="1" t="str">
        <f t="shared" si="1069"/>
        <v/>
      </c>
      <c r="R5040" s="1" t="str">
        <f t="shared" si="1073"/>
        <v/>
      </c>
      <c r="S5040" s="1">
        <f t="shared" si="1074"/>
        <v>630.90240000000244</v>
      </c>
      <c r="T5040" s="1">
        <f t="shared" si="1075"/>
        <v>0</v>
      </c>
      <c r="U5040" s="1">
        <f t="shared" si="1076"/>
        <v>0</v>
      </c>
      <c r="V5040" s="1">
        <f t="shared" si="1077"/>
        <v>0</v>
      </c>
    </row>
    <row r="5041" spans="13:22" x14ac:dyDescent="0.25">
      <c r="M5041" s="4">
        <f t="shared" si="1070"/>
        <v>173.1</v>
      </c>
      <c r="N5041" s="4"/>
      <c r="O5041" s="1">
        <f t="shared" si="1071"/>
        <v>173.1</v>
      </c>
      <c r="P5041" s="1">
        <f t="shared" si="1072"/>
        <v>0</v>
      </c>
      <c r="Q5041" s="1" t="str">
        <f t="shared" si="1069"/>
        <v/>
      </c>
      <c r="R5041" s="1" t="str">
        <f t="shared" si="1073"/>
        <v/>
      </c>
      <c r="S5041" s="1">
        <f t="shared" si="1074"/>
        <v>630.90240000000244</v>
      </c>
      <c r="T5041" s="1">
        <f t="shared" si="1075"/>
        <v>0</v>
      </c>
      <c r="U5041" s="1">
        <f t="shared" si="1076"/>
        <v>0</v>
      </c>
      <c r="V5041" s="1">
        <f t="shared" si="1077"/>
        <v>0</v>
      </c>
    </row>
    <row r="5042" spans="13:22" x14ac:dyDescent="0.25">
      <c r="M5042" s="4">
        <f t="shared" si="1070"/>
        <v>173.1</v>
      </c>
      <c r="N5042" s="4"/>
      <c r="O5042" s="1">
        <f t="shared" si="1071"/>
        <v>173.1</v>
      </c>
      <c r="P5042" s="1">
        <f t="shared" si="1072"/>
        <v>0</v>
      </c>
      <c r="Q5042" s="1" t="str">
        <f t="shared" ref="Q5042:Q5105" si="1078">IF(H5042&lt;&gt;"",IF(H5042=H5041,"",H5042),IF(H5040="","",MAX(H5041,Q5041)))</f>
        <v/>
      </c>
      <c r="R5042" s="1" t="str">
        <f t="shared" si="1073"/>
        <v/>
      </c>
      <c r="S5042" s="1">
        <f t="shared" si="1074"/>
        <v>630.90240000000244</v>
      </c>
      <c r="T5042" s="1">
        <f t="shared" si="1075"/>
        <v>0</v>
      </c>
      <c r="U5042" s="1">
        <f t="shared" si="1076"/>
        <v>0</v>
      </c>
      <c r="V5042" s="1">
        <f t="shared" si="1077"/>
        <v>0</v>
      </c>
    </row>
    <row r="5043" spans="13:22" x14ac:dyDescent="0.25">
      <c r="M5043" s="4">
        <f t="shared" si="1070"/>
        <v>173.1</v>
      </c>
      <c r="N5043" s="4"/>
      <c r="O5043" s="1">
        <f t="shared" si="1071"/>
        <v>173.1</v>
      </c>
      <c r="P5043" s="1">
        <f t="shared" si="1072"/>
        <v>0</v>
      </c>
      <c r="Q5043" s="1" t="str">
        <f t="shared" si="1078"/>
        <v/>
      </c>
      <c r="R5043" s="1" t="str">
        <f t="shared" si="1073"/>
        <v/>
      </c>
      <c r="S5043" s="1">
        <f t="shared" si="1074"/>
        <v>630.90240000000244</v>
      </c>
      <c r="T5043" s="1">
        <f t="shared" si="1075"/>
        <v>0</v>
      </c>
      <c r="U5043" s="1">
        <f t="shared" si="1076"/>
        <v>0</v>
      </c>
      <c r="V5043" s="1">
        <f t="shared" si="1077"/>
        <v>0</v>
      </c>
    </row>
    <row r="5044" spans="13:22" x14ac:dyDescent="0.25">
      <c r="M5044" s="4">
        <f t="shared" si="1070"/>
        <v>173.1</v>
      </c>
      <c r="N5044" s="4"/>
      <c r="O5044" s="1">
        <f t="shared" si="1071"/>
        <v>173.1</v>
      </c>
      <c r="P5044" s="1">
        <f t="shared" si="1072"/>
        <v>0</v>
      </c>
      <c r="Q5044" s="1" t="str">
        <f t="shared" si="1078"/>
        <v/>
      </c>
      <c r="R5044" s="1" t="str">
        <f t="shared" si="1073"/>
        <v/>
      </c>
      <c r="S5044" s="1">
        <f t="shared" si="1074"/>
        <v>630.90240000000244</v>
      </c>
      <c r="T5044" s="1">
        <f t="shared" si="1075"/>
        <v>0</v>
      </c>
      <c r="U5044" s="1">
        <f t="shared" si="1076"/>
        <v>0</v>
      </c>
      <c r="V5044" s="1">
        <f t="shared" si="1077"/>
        <v>0</v>
      </c>
    </row>
    <row r="5045" spans="13:22" x14ac:dyDescent="0.25">
      <c r="M5045" s="4">
        <f t="shared" si="1070"/>
        <v>173.1</v>
      </c>
      <c r="N5045" s="4"/>
      <c r="O5045" s="1">
        <f t="shared" si="1071"/>
        <v>173.1</v>
      </c>
      <c r="P5045" s="1">
        <f t="shared" si="1072"/>
        <v>0</v>
      </c>
      <c r="Q5045" s="1" t="str">
        <f t="shared" si="1078"/>
        <v/>
      </c>
      <c r="R5045" s="1" t="str">
        <f t="shared" si="1073"/>
        <v/>
      </c>
      <c r="S5045" s="1">
        <f t="shared" si="1074"/>
        <v>630.90240000000244</v>
      </c>
      <c r="T5045" s="1">
        <f t="shared" si="1075"/>
        <v>0</v>
      </c>
      <c r="U5045" s="1">
        <f t="shared" si="1076"/>
        <v>0</v>
      </c>
      <c r="V5045" s="1">
        <f t="shared" si="1077"/>
        <v>0</v>
      </c>
    </row>
    <row r="5046" spans="13:22" x14ac:dyDescent="0.25">
      <c r="M5046" s="4">
        <f t="shared" si="1070"/>
        <v>173.1</v>
      </c>
      <c r="N5046" s="4"/>
      <c r="O5046" s="1">
        <f t="shared" si="1071"/>
        <v>173.1</v>
      </c>
      <c r="P5046" s="1">
        <f t="shared" si="1072"/>
        <v>0</v>
      </c>
      <c r="Q5046" s="1" t="str">
        <f t="shared" si="1078"/>
        <v/>
      </c>
      <c r="R5046" s="1" t="str">
        <f t="shared" si="1073"/>
        <v/>
      </c>
      <c r="S5046" s="1">
        <f t="shared" si="1074"/>
        <v>630.90240000000244</v>
      </c>
      <c r="T5046" s="1">
        <f t="shared" si="1075"/>
        <v>0</v>
      </c>
      <c r="U5046" s="1">
        <f t="shared" si="1076"/>
        <v>0</v>
      </c>
      <c r="V5046" s="1">
        <f t="shared" si="1077"/>
        <v>0</v>
      </c>
    </row>
    <row r="5047" spans="13:22" x14ac:dyDescent="0.25">
      <c r="M5047" s="4">
        <f t="shared" si="1070"/>
        <v>173.1</v>
      </c>
      <c r="N5047" s="4"/>
      <c r="O5047" s="1">
        <f t="shared" si="1071"/>
        <v>173.1</v>
      </c>
      <c r="P5047" s="1">
        <f t="shared" si="1072"/>
        <v>0</v>
      </c>
      <c r="Q5047" s="1" t="str">
        <f t="shared" si="1078"/>
        <v/>
      </c>
      <c r="R5047" s="1" t="str">
        <f t="shared" si="1073"/>
        <v/>
      </c>
      <c r="S5047" s="1">
        <f t="shared" si="1074"/>
        <v>630.90240000000244</v>
      </c>
      <c r="T5047" s="1">
        <f t="shared" si="1075"/>
        <v>0</v>
      </c>
      <c r="U5047" s="1">
        <f t="shared" si="1076"/>
        <v>0</v>
      </c>
      <c r="V5047" s="1">
        <f t="shared" si="1077"/>
        <v>0</v>
      </c>
    </row>
    <row r="5048" spans="13:22" x14ac:dyDescent="0.25">
      <c r="M5048" s="4">
        <f t="shared" si="1070"/>
        <v>173.1</v>
      </c>
      <c r="N5048" s="4"/>
      <c r="O5048" s="1">
        <f t="shared" si="1071"/>
        <v>173.1</v>
      </c>
      <c r="P5048" s="1">
        <f t="shared" si="1072"/>
        <v>0</v>
      </c>
      <c r="Q5048" s="1" t="str">
        <f t="shared" si="1078"/>
        <v/>
      </c>
      <c r="R5048" s="1" t="str">
        <f t="shared" si="1073"/>
        <v/>
      </c>
      <c r="S5048" s="1">
        <f t="shared" si="1074"/>
        <v>630.90240000000244</v>
      </c>
      <c r="T5048" s="1">
        <f t="shared" si="1075"/>
        <v>0</v>
      </c>
      <c r="U5048" s="1">
        <f t="shared" si="1076"/>
        <v>0</v>
      </c>
      <c r="V5048" s="1">
        <f t="shared" si="1077"/>
        <v>0</v>
      </c>
    </row>
    <row r="5049" spans="13:22" x14ac:dyDescent="0.25">
      <c r="M5049" s="4">
        <f t="shared" si="1070"/>
        <v>173.1</v>
      </c>
      <c r="N5049" s="4"/>
      <c r="O5049" s="1">
        <f t="shared" si="1071"/>
        <v>173.1</v>
      </c>
      <c r="P5049" s="1">
        <f t="shared" si="1072"/>
        <v>0</v>
      </c>
      <c r="Q5049" s="1" t="str">
        <f t="shared" si="1078"/>
        <v/>
      </c>
      <c r="R5049" s="1" t="str">
        <f t="shared" si="1073"/>
        <v/>
      </c>
      <c r="S5049" s="1">
        <f t="shared" si="1074"/>
        <v>630.90240000000244</v>
      </c>
      <c r="T5049" s="1">
        <f t="shared" si="1075"/>
        <v>0</v>
      </c>
      <c r="U5049" s="1">
        <f t="shared" si="1076"/>
        <v>0</v>
      </c>
      <c r="V5049" s="1">
        <f t="shared" si="1077"/>
        <v>0</v>
      </c>
    </row>
    <row r="5050" spans="13:22" x14ac:dyDescent="0.25">
      <c r="M5050" s="4">
        <f t="shared" si="1070"/>
        <v>173.1</v>
      </c>
      <c r="N5050" s="4"/>
      <c r="O5050" s="1">
        <f t="shared" si="1071"/>
        <v>173.1</v>
      </c>
      <c r="P5050" s="1">
        <f t="shared" si="1072"/>
        <v>0</v>
      </c>
      <c r="Q5050" s="1" t="str">
        <f t="shared" si="1078"/>
        <v/>
      </c>
      <c r="R5050" s="1" t="str">
        <f t="shared" si="1073"/>
        <v/>
      </c>
      <c r="S5050" s="1">
        <f t="shared" si="1074"/>
        <v>630.90240000000244</v>
      </c>
      <c r="T5050" s="1">
        <f t="shared" si="1075"/>
        <v>0</v>
      </c>
      <c r="U5050" s="1">
        <f t="shared" si="1076"/>
        <v>0</v>
      </c>
      <c r="V5050" s="1">
        <f t="shared" si="1077"/>
        <v>0</v>
      </c>
    </row>
    <row r="5051" spans="13:22" x14ac:dyDescent="0.25">
      <c r="M5051" s="4">
        <f t="shared" si="1070"/>
        <v>173.1</v>
      </c>
      <c r="N5051" s="4"/>
      <c r="O5051" s="1">
        <f t="shared" si="1071"/>
        <v>173.1</v>
      </c>
      <c r="P5051" s="1">
        <f t="shared" si="1072"/>
        <v>0</v>
      </c>
      <c r="Q5051" s="1" t="str">
        <f t="shared" si="1078"/>
        <v/>
      </c>
      <c r="R5051" s="1" t="str">
        <f t="shared" si="1073"/>
        <v/>
      </c>
      <c r="S5051" s="1">
        <f t="shared" si="1074"/>
        <v>630.90240000000244</v>
      </c>
      <c r="T5051" s="1">
        <f t="shared" si="1075"/>
        <v>0</v>
      </c>
      <c r="U5051" s="1">
        <f t="shared" si="1076"/>
        <v>0</v>
      </c>
      <c r="V5051" s="1">
        <f t="shared" si="1077"/>
        <v>0</v>
      </c>
    </row>
    <row r="5052" spans="13:22" x14ac:dyDescent="0.25">
      <c r="M5052" s="4">
        <f t="shared" si="1070"/>
        <v>173.1</v>
      </c>
      <c r="N5052" s="4"/>
      <c r="O5052" s="1">
        <f t="shared" si="1071"/>
        <v>173.1</v>
      </c>
      <c r="P5052" s="1">
        <f t="shared" si="1072"/>
        <v>0</v>
      </c>
      <c r="Q5052" s="1" t="str">
        <f t="shared" si="1078"/>
        <v/>
      </c>
      <c r="R5052" s="1" t="str">
        <f t="shared" si="1073"/>
        <v/>
      </c>
      <c r="S5052" s="1">
        <f t="shared" si="1074"/>
        <v>630.90240000000244</v>
      </c>
      <c r="T5052" s="1">
        <f t="shared" si="1075"/>
        <v>0</v>
      </c>
      <c r="U5052" s="1">
        <f t="shared" si="1076"/>
        <v>0</v>
      </c>
      <c r="V5052" s="1">
        <f t="shared" si="1077"/>
        <v>0</v>
      </c>
    </row>
    <row r="5053" spans="13:22" x14ac:dyDescent="0.25">
      <c r="M5053" s="4">
        <f t="shared" si="1070"/>
        <v>173.1</v>
      </c>
      <c r="N5053" s="4"/>
      <c r="O5053" s="1">
        <f t="shared" si="1071"/>
        <v>173.1</v>
      </c>
      <c r="P5053" s="1">
        <f t="shared" si="1072"/>
        <v>0</v>
      </c>
      <c r="Q5053" s="1" t="str">
        <f t="shared" si="1078"/>
        <v/>
      </c>
      <c r="R5053" s="1" t="str">
        <f t="shared" si="1073"/>
        <v/>
      </c>
      <c r="S5053" s="1">
        <f t="shared" si="1074"/>
        <v>630.90240000000244</v>
      </c>
      <c r="T5053" s="1">
        <f t="shared" si="1075"/>
        <v>0</v>
      </c>
      <c r="U5053" s="1">
        <f t="shared" si="1076"/>
        <v>0</v>
      </c>
      <c r="V5053" s="1">
        <f t="shared" si="1077"/>
        <v>0</v>
      </c>
    </row>
    <row r="5054" spans="13:22" x14ac:dyDescent="0.25">
      <c r="M5054" s="4">
        <f t="shared" si="1070"/>
        <v>173.1</v>
      </c>
      <c r="N5054" s="4"/>
      <c r="O5054" s="1">
        <f t="shared" si="1071"/>
        <v>173.1</v>
      </c>
      <c r="P5054" s="1">
        <f t="shared" si="1072"/>
        <v>0</v>
      </c>
      <c r="Q5054" s="1" t="str">
        <f t="shared" si="1078"/>
        <v/>
      </c>
      <c r="R5054" s="1" t="str">
        <f t="shared" si="1073"/>
        <v/>
      </c>
      <c r="S5054" s="1">
        <f t="shared" si="1074"/>
        <v>630.90240000000244</v>
      </c>
      <c r="T5054" s="1">
        <f t="shared" si="1075"/>
        <v>0</v>
      </c>
      <c r="U5054" s="1">
        <f t="shared" si="1076"/>
        <v>0</v>
      </c>
      <c r="V5054" s="1">
        <f t="shared" si="1077"/>
        <v>0</v>
      </c>
    </row>
    <row r="5055" spans="13:22" x14ac:dyDescent="0.25">
      <c r="M5055" s="4">
        <f t="shared" si="1070"/>
        <v>173.1</v>
      </c>
      <c r="N5055" s="4"/>
      <c r="O5055" s="1">
        <f t="shared" si="1071"/>
        <v>173.1</v>
      </c>
      <c r="P5055" s="1">
        <f t="shared" si="1072"/>
        <v>0</v>
      </c>
      <c r="Q5055" s="1" t="str">
        <f t="shared" si="1078"/>
        <v/>
      </c>
      <c r="R5055" s="1" t="str">
        <f t="shared" si="1073"/>
        <v/>
      </c>
      <c r="S5055" s="1">
        <f t="shared" si="1074"/>
        <v>630.90240000000244</v>
      </c>
      <c r="T5055" s="1">
        <f t="shared" si="1075"/>
        <v>0</v>
      </c>
      <c r="U5055" s="1">
        <f t="shared" si="1076"/>
        <v>0</v>
      </c>
      <c r="V5055" s="1">
        <f t="shared" si="1077"/>
        <v>0</v>
      </c>
    </row>
    <row r="5056" spans="13:22" x14ac:dyDescent="0.25">
      <c r="M5056" s="4">
        <f t="shared" si="1070"/>
        <v>173.1</v>
      </c>
      <c r="N5056" s="4"/>
      <c r="O5056" s="1">
        <f t="shared" si="1071"/>
        <v>173.1</v>
      </c>
      <c r="P5056" s="1">
        <f t="shared" si="1072"/>
        <v>0</v>
      </c>
      <c r="Q5056" s="1" t="str">
        <f t="shared" si="1078"/>
        <v/>
      </c>
      <c r="R5056" s="1" t="str">
        <f t="shared" si="1073"/>
        <v/>
      </c>
      <c r="S5056" s="1">
        <f t="shared" si="1074"/>
        <v>630.90240000000244</v>
      </c>
      <c r="T5056" s="1">
        <f t="shared" si="1075"/>
        <v>0</v>
      </c>
      <c r="U5056" s="1">
        <f t="shared" si="1076"/>
        <v>0</v>
      </c>
      <c r="V5056" s="1">
        <f t="shared" si="1077"/>
        <v>0</v>
      </c>
    </row>
    <row r="5057" spans="13:22" x14ac:dyDescent="0.25">
      <c r="M5057" s="4">
        <f t="shared" si="1070"/>
        <v>173.1</v>
      </c>
      <c r="N5057" s="4"/>
      <c r="O5057" s="1">
        <f t="shared" si="1071"/>
        <v>173.1</v>
      </c>
      <c r="P5057" s="1">
        <f t="shared" si="1072"/>
        <v>0</v>
      </c>
      <c r="Q5057" s="1" t="str">
        <f t="shared" si="1078"/>
        <v/>
      </c>
      <c r="R5057" s="1" t="str">
        <f t="shared" si="1073"/>
        <v/>
      </c>
      <c r="S5057" s="1">
        <f t="shared" si="1074"/>
        <v>630.90240000000244</v>
      </c>
      <c r="T5057" s="1">
        <f t="shared" si="1075"/>
        <v>0</v>
      </c>
      <c r="U5057" s="1">
        <f t="shared" si="1076"/>
        <v>0</v>
      </c>
      <c r="V5057" s="1">
        <f t="shared" si="1077"/>
        <v>0</v>
      </c>
    </row>
    <row r="5058" spans="13:22" x14ac:dyDescent="0.25">
      <c r="M5058" s="4">
        <f t="shared" si="1070"/>
        <v>173.1</v>
      </c>
      <c r="N5058" s="4"/>
      <c r="O5058" s="1">
        <f t="shared" si="1071"/>
        <v>173.1</v>
      </c>
      <c r="P5058" s="1">
        <f t="shared" si="1072"/>
        <v>0</v>
      </c>
      <c r="Q5058" s="1" t="str">
        <f t="shared" si="1078"/>
        <v/>
      </c>
      <c r="R5058" s="1" t="str">
        <f t="shared" si="1073"/>
        <v/>
      </c>
      <c r="S5058" s="1">
        <f t="shared" si="1074"/>
        <v>630.90240000000244</v>
      </c>
      <c r="T5058" s="1">
        <f t="shared" si="1075"/>
        <v>0</v>
      </c>
      <c r="U5058" s="1">
        <f t="shared" si="1076"/>
        <v>0</v>
      </c>
      <c r="V5058" s="1">
        <f t="shared" si="1077"/>
        <v>0</v>
      </c>
    </row>
    <row r="5059" spans="13:22" x14ac:dyDescent="0.25">
      <c r="M5059" s="4">
        <f t="shared" si="1070"/>
        <v>173.1</v>
      </c>
      <c r="N5059" s="4"/>
      <c r="O5059" s="1">
        <f t="shared" si="1071"/>
        <v>173.1</v>
      </c>
      <c r="P5059" s="1">
        <f t="shared" si="1072"/>
        <v>0</v>
      </c>
      <c r="Q5059" s="1" t="str">
        <f t="shared" si="1078"/>
        <v/>
      </c>
      <c r="R5059" s="1" t="str">
        <f t="shared" si="1073"/>
        <v/>
      </c>
      <c r="S5059" s="1">
        <f t="shared" si="1074"/>
        <v>630.90240000000244</v>
      </c>
      <c r="T5059" s="1">
        <f t="shared" si="1075"/>
        <v>0</v>
      </c>
      <c r="U5059" s="1">
        <f t="shared" si="1076"/>
        <v>0</v>
      </c>
      <c r="V5059" s="1">
        <f t="shared" si="1077"/>
        <v>0</v>
      </c>
    </row>
    <row r="5060" spans="13:22" x14ac:dyDescent="0.25">
      <c r="M5060" s="4">
        <f t="shared" si="1070"/>
        <v>173.1</v>
      </c>
      <c r="N5060" s="4"/>
      <c r="O5060" s="1">
        <f t="shared" si="1071"/>
        <v>173.1</v>
      </c>
      <c r="P5060" s="1">
        <f t="shared" si="1072"/>
        <v>0</v>
      </c>
      <c r="Q5060" s="1" t="str">
        <f t="shared" si="1078"/>
        <v/>
      </c>
      <c r="R5060" s="1" t="str">
        <f t="shared" si="1073"/>
        <v/>
      </c>
      <c r="S5060" s="1">
        <f t="shared" si="1074"/>
        <v>630.90240000000244</v>
      </c>
      <c r="T5060" s="1">
        <f t="shared" si="1075"/>
        <v>0</v>
      </c>
      <c r="U5060" s="1">
        <f t="shared" si="1076"/>
        <v>0</v>
      </c>
      <c r="V5060" s="1">
        <f t="shared" si="1077"/>
        <v>0</v>
      </c>
    </row>
    <row r="5061" spans="13:22" x14ac:dyDescent="0.25">
      <c r="M5061" s="4">
        <f t="shared" si="1070"/>
        <v>173.1</v>
      </c>
      <c r="N5061" s="4"/>
      <c r="O5061" s="1">
        <f t="shared" si="1071"/>
        <v>173.1</v>
      </c>
      <c r="P5061" s="1">
        <f t="shared" si="1072"/>
        <v>0</v>
      </c>
      <c r="Q5061" s="1" t="str">
        <f t="shared" si="1078"/>
        <v/>
      </c>
      <c r="R5061" s="1" t="str">
        <f t="shared" si="1073"/>
        <v/>
      </c>
      <c r="S5061" s="1">
        <f t="shared" si="1074"/>
        <v>630.90240000000244</v>
      </c>
      <c r="T5061" s="1">
        <f t="shared" si="1075"/>
        <v>0</v>
      </c>
      <c r="U5061" s="1">
        <f t="shared" si="1076"/>
        <v>0</v>
      </c>
      <c r="V5061" s="1">
        <f t="shared" si="1077"/>
        <v>0</v>
      </c>
    </row>
    <row r="5062" spans="13:22" x14ac:dyDescent="0.25">
      <c r="M5062" s="4">
        <f t="shared" si="1070"/>
        <v>173.1</v>
      </c>
      <c r="N5062" s="4"/>
      <c r="O5062" s="1">
        <f t="shared" si="1071"/>
        <v>173.1</v>
      </c>
      <c r="P5062" s="1">
        <f t="shared" si="1072"/>
        <v>0</v>
      </c>
      <c r="Q5062" s="1" t="str">
        <f t="shared" si="1078"/>
        <v/>
      </c>
      <c r="R5062" s="1" t="str">
        <f t="shared" si="1073"/>
        <v/>
      </c>
      <c r="S5062" s="1">
        <f t="shared" si="1074"/>
        <v>630.90240000000244</v>
      </c>
      <c r="T5062" s="1">
        <f t="shared" si="1075"/>
        <v>0</v>
      </c>
      <c r="U5062" s="1">
        <f t="shared" si="1076"/>
        <v>0</v>
      </c>
      <c r="V5062" s="1">
        <f t="shared" si="1077"/>
        <v>0</v>
      </c>
    </row>
    <row r="5063" spans="13:22" x14ac:dyDescent="0.25">
      <c r="M5063" s="4">
        <f t="shared" si="1070"/>
        <v>173.1</v>
      </c>
      <c r="N5063" s="4"/>
      <c r="O5063" s="1">
        <f t="shared" si="1071"/>
        <v>173.1</v>
      </c>
      <c r="P5063" s="1">
        <f t="shared" si="1072"/>
        <v>0</v>
      </c>
      <c r="Q5063" s="1" t="str">
        <f t="shared" si="1078"/>
        <v/>
      </c>
      <c r="R5063" s="1" t="str">
        <f t="shared" si="1073"/>
        <v/>
      </c>
      <c r="S5063" s="1">
        <f t="shared" si="1074"/>
        <v>630.90240000000244</v>
      </c>
      <c r="T5063" s="1">
        <f t="shared" si="1075"/>
        <v>0</v>
      </c>
      <c r="U5063" s="1">
        <f t="shared" si="1076"/>
        <v>0</v>
      </c>
      <c r="V5063" s="1">
        <f t="shared" si="1077"/>
        <v>0</v>
      </c>
    </row>
    <row r="5064" spans="13:22" x14ac:dyDescent="0.25">
      <c r="M5064" s="4">
        <f t="shared" ref="M5064:M5127" si="1079">E5064+M5063</f>
        <v>173.1</v>
      </c>
      <c r="N5064" s="4"/>
      <c r="O5064" s="1">
        <f t="shared" ref="O5064:O5127" si="1080">E5063+O5063</f>
        <v>173.1</v>
      </c>
      <c r="P5064" s="1">
        <f t="shared" ref="P5064:P5127" si="1081">F5064*52.8*E5064</f>
        <v>0</v>
      </c>
      <c r="Q5064" s="1" t="str">
        <f t="shared" si="1078"/>
        <v/>
      </c>
      <c r="R5064" s="1" t="str">
        <f t="shared" ref="R5064:R5127" si="1082">IF(I5064="",Q5064,IF(AND(H5064=H5063,I5064=I5063),"",I5064))</f>
        <v/>
      </c>
      <c r="S5064" s="1">
        <f t="shared" ref="S5064:S5127" si="1083">S5063+U5063*T5063/100</f>
        <v>630.90240000000244</v>
      </c>
      <c r="T5064" s="1">
        <f t="shared" ref="T5064:T5127" si="1084">IF(G5064="UNK",0,G5064)</f>
        <v>0</v>
      </c>
      <c r="U5064" s="1">
        <f t="shared" ref="U5064:U5127" si="1085">E5064*5280</f>
        <v>0</v>
      </c>
      <c r="V5064" s="1">
        <f t="shared" ref="V5064:V5127" si="1086">ABS(T5064*U5064)</f>
        <v>0</v>
      </c>
    </row>
    <row r="5065" spans="13:22" x14ac:dyDescent="0.25">
      <c r="M5065" s="4">
        <f t="shared" si="1079"/>
        <v>173.1</v>
      </c>
      <c r="N5065" s="4"/>
      <c r="O5065" s="1">
        <f t="shared" si="1080"/>
        <v>173.1</v>
      </c>
      <c r="P5065" s="1">
        <f t="shared" si="1081"/>
        <v>0</v>
      </c>
      <c r="Q5065" s="1" t="str">
        <f t="shared" si="1078"/>
        <v/>
      </c>
      <c r="R5065" s="1" t="str">
        <f t="shared" si="1082"/>
        <v/>
      </c>
      <c r="S5065" s="1">
        <f t="shared" si="1083"/>
        <v>630.90240000000244</v>
      </c>
      <c r="T5065" s="1">
        <f t="shared" si="1084"/>
        <v>0</v>
      </c>
      <c r="U5065" s="1">
        <f t="shared" si="1085"/>
        <v>0</v>
      </c>
      <c r="V5065" s="1">
        <f t="shared" si="1086"/>
        <v>0</v>
      </c>
    </row>
    <row r="5066" spans="13:22" x14ac:dyDescent="0.25">
      <c r="M5066" s="4">
        <f t="shared" si="1079"/>
        <v>173.1</v>
      </c>
      <c r="N5066" s="4"/>
      <c r="O5066" s="1">
        <f t="shared" si="1080"/>
        <v>173.1</v>
      </c>
      <c r="P5066" s="1">
        <f t="shared" si="1081"/>
        <v>0</v>
      </c>
      <c r="Q5066" s="1" t="str">
        <f t="shared" si="1078"/>
        <v/>
      </c>
      <c r="R5066" s="1" t="str">
        <f t="shared" si="1082"/>
        <v/>
      </c>
      <c r="S5066" s="1">
        <f t="shared" si="1083"/>
        <v>630.90240000000244</v>
      </c>
      <c r="T5066" s="1">
        <f t="shared" si="1084"/>
        <v>0</v>
      </c>
      <c r="U5066" s="1">
        <f t="shared" si="1085"/>
        <v>0</v>
      </c>
      <c r="V5066" s="1">
        <f t="shared" si="1086"/>
        <v>0</v>
      </c>
    </row>
    <row r="5067" spans="13:22" x14ac:dyDescent="0.25">
      <c r="M5067" s="4">
        <f t="shared" si="1079"/>
        <v>173.1</v>
      </c>
      <c r="N5067" s="4"/>
      <c r="O5067" s="1">
        <f t="shared" si="1080"/>
        <v>173.1</v>
      </c>
      <c r="P5067" s="1">
        <f t="shared" si="1081"/>
        <v>0</v>
      </c>
      <c r="Q5067" s="1" t="str">
        <f t="shared" si="1078"/>
        <v/>
      </c>
      <c r="R5067" s="1" t="str">
        <f t="shared" si="1082"/>
        <v/>
      </c>
      <c r="S5067" s="1">
        <f t="shared" si="1083"/>
        <v>630.90240000000244</v>
      </c>
      <c r="T5067" s="1">
        <f t="shared" si="1084"/>
        <v>0</v>
      </c>
      <c r="U5067" s="1">
        <f t="shared" si="1085"/>
        <v>0</v>
      </c>
      <c r="V5067" s="1">
        <f t="shared" si="1086"/>
        <v>0</v>
      </c>
    </row>
    <row r="5068" spans="13:22" x14ac:dyDescent="0.25">
      <c r="M5068" s="4">
        <f t="shared" si="1079"/>
        <v>173.1</v>
      </c>
      <c r="N5068" s="4"/>
      <c r="O5068" s="1">
        <f t="shared" si="1080"/>
        <v>173.1</v>
      </c>
      <c r="P5068" s="1">
        <f t="shared" si="1081"/>
        <v>0</v>
      </c>
      <c r="Q5068" s="1" t="str">
        <f t="shared" si="1078"/>
        <v/>
      </c>
      <c r="R5068" s="1" t="str">
        <f t="shared" si="1082"/>
        <v/>
      </c>
      <c r="S5068" s="1">
        <f t="shared" si="1083"/>
        <v>630.90240000000244</v>
      </c>
      <c r="T5068" s="1">
        <f t="shared" si="1084"/>
        <v>0</v>
      </c>
      <c r="U5068" s="1">
        <f t="shared" si="1085"/>
        <v>0</v>
      </c>
      <c r="V5068" s="1">
        <f t="shared" si="1086"/>
        <v>0</v>
      </c>
    </row>
    <row r="5069" spans="13:22" x14ac:dyDescent="0.25">
      <c r="M5069" s="4">
        <f t="shared" si="1079"/>
        <v>173.1</v>
      </c>
      <c r="N5069" s="4"/>
      <c r="O5069" s="1">
        <f t="shared" si="1080"/>
        <v>173.1</v>
      </c>
      <c r="P5069" s="1">
        <f t="shared" si="1081"/>
        <v>0</v>
      </c>
      <c r="Q5069" s="1" t="str">
        <f t="shared" si="1078"/>
        <v/>
      </c>
      <c r="R5069" s="1" t="str">
        <f t="shared" si="1082"/>
        <v/>
      </c>
      <c r="S5069" s="1">
        <f t="shared" si="1083"/>
        <v>630.90240000000244</v>
      </c>
      <c r="T5069" s="1">
        <f t="shared" si="1084"/>
        <v>0</v>
      </c>
      <c r="U5069" s="1">
        <f t="shared" si="1085"/>
        <v>0</v>
      </c>
      <c r="V5069" s="1">
        <f t="shared" si="1086"/>
        <v>0</v>
      </c>
    </row>
    <row r="5070" spans="13:22" x14ac:dyDescent="0.25">
      <c r="M5070" s="4">
        <f t="shared" si="1079"/>
        <v>173.1</v>
      </c>
      <c r="N5070" s="4"/>
      <c r="O5070" s="1">
        <f t="shared" si="1080"/>
        <v>173.1</v>
      </c>
      <c r="P5070" s="1">
        <f t="shared" si="1081"/>
        <v>0</v>
      </c>
      <c r="Q5070" s="1" t="str">
        <f t="shared" si="1078"/>
        <v/>
      </c>
      <c r="R5070" s="1" t="str">
        <f t="shared" si="1082"/>
        <v/>
      </c>
      <c r="S5070" s="1">
        <f t="shared" si="1083"/>
        <v>630.90240000000244</v>
      </c>
      <c r="T5070" s="1">
        <f t="shared" si="1084"/>
        <v>0</v>
      </c>
      <c r="U5070" s="1">
        <f t="shared" si="1085"/>
        <v>0</v>
      </c>
      <c r="V5070" s="1">
        <f t="shared" si="1086"/>
        <v>0</v>
      </c>
    </row>
    <row r="5071" spans="13:22" x14ac:dyDescent="0.25">
      <c r="M5071" s="4">
        <f t="shared" si="1079"/>
        <v>173.1</v>
      </c>
      <c r="N5071" s="4"/>
      <c r="O5071" s="1">
        <f t="shared" si="1080"/>
        <v>173.1</v>
      </c>
      <c r="P5071" s="1">
        <f t="shared" si="1081"/>
        <v>0</v>
      </c>
      <c r="Q5071" s="1" t="str">
        <f t="shared" si="1078"/>
        <v/>
      </c>
      <c r="R5071" s="1" t="str">
        <f t="shared" si="1082"/>
        <v/>
      </c>
      <c r="S5071" s="1">
        <f t="shared" si="1083"/>
        <v>630.90240000000244</v>
      </c>
      <c r="T5071" s="1">
        <f t="shared" si="1084"/>
        <v>0</v>
      </c>
      <c r="U5071" s="1">
        <f t="shared" si="1085"/>
        <v>0</v>
      </c>
      <c r="V5071" s="1">
        <f t="shared" si="1086"/>
        <v>0</v>
      </c>
    </row>
    <row r="5072" spans="13:22" x14ac:dyDescent="0.25">
      <c r="M5072" s="4">
        <f t="shared" si="1079"/>
        <v>173.1</v>
      </c>
      <c r="N5072" s="4"/>
      <c r="O5072" s="1">
        <f t="shared" si="1080"/>
        <v>173.1</v>
      </c>
      <c r="P5072" s="1">
        <f t="shared" si="1081"/>
        <v>0</v>
      </c>
      <c r="Q5072" s="1" t="str">
        <f t="shared" si="1078"/>
        <v/>
      </c>
      <c r="R5072" s="1" t="str">
        <f t="shared" si="1082"/>
        <v/>
      </c>
      <c r="S5072" s="1">
        <f t="shared" si="1083"/>
        <v>630.90240000000244</v>
      </c>
      <c r="T5072" s="1">
        <f t="shared" si="1084"/>
        <v>0</v>
      </c>
      <c r="U5072" s="1">
        <f t="shared" si="1085"/>
        <v>0</v>
      </c>
      <c r="V5072" s="1">
        <f t="shared" si="1086"/>
        <v>0</v>
      </c>
    </row>
    <row r="5073" spans="13:22" x14ac:dyDescent="0.25">
      <c r="M5073" s="4">
        <f t="shared" si="1079"/>
        <v>173.1</v>
      </c>
      <c r="N5073" s="4"/>
      <c r="O5073" s="1">
        <f t="shared" si="1080"/>
        <v>173.1</v>
      </c>
      <c r="P5073" s="1">
        <f t="shared" si="1081"/>
        <v>0</v>
      </c>
      <c r="Q5073" s="1" t="str">
        <f t="shared" si="1078"/>
        <v/>
      </c>
      <c r="R5073" s="1" t="str">
        <f t="shared" si="1082"/>
        <v/>
      </c>
      <c r="S5073" s="1">
        <f t="shared" si="1083"/>
        <v>630.90240000000244</v>
      </c>
      <c r="T5073" s="1">
        <f t="shared" si="1084"/>
        <v>0</v>
      </c>
      <c r="U5073" s="1">
        <f t="shared" si="1085"/>
        <v>0</v>
      </c>
      <c r="V5073" s="1">
        <f t="shared" si="1086"/>
        <v>0</v>
      </c>
    </row>
    <row r="5074" spans="13:22" x14ac:dyDescent="0.25">
      <c r="M5074" s="4">
        <f t="shared" si="1079"/>
        <v>173.1</v>
      </c>
      <c r="N5074" s="4"/>
      <c r="O5074" s="1">
        <f t="shared" si="1080"/>
        <v>173.1</v>
      </c>
      <c r="P5074" s="1">
        <f t="shared" si="1081"/>
        <v>0</v>
      </c>
      <c r="Q5074" s="1" t="str">
        <f t="shared" si="1078"/>
        <v/>
      </c>
      <c r="R5074" s="1" t="str">
        <f t="shared" si="1082"/>
        <v/>
      </c>
      <c r="S5074" s="1">
        <f t="shared" si="1083"/>
        <v>630.90240000000244</v>
      </c>
      <c r="T5074" s="1">
        <f t="shared" si="1084"/>
        <v>0</v>
      </c>
      <c r="U5074" s="1">
        <f t="shared" si="1085"/>
        <v>0</v>
      </c>
      <c r="V5074" s="1">
        <f t="shared" si="1086"/>
        <v>0</v>
      </c>
    </row>
    <row r="5075" spans="13:22" x14ac:dyDescent="0.25">
      <c r="M5075" s="4">
        <f t="shared" si="1079"/>
        <v>173.1</v>
      </c>
      <c r="N5075" s="4"/>
      <c r="O5075" s="1">
        <f t="shared" si="1080"/>
        <v>173.1</v>
      </c>
      <c r="P5075" s="1">
        <f t="shared" si="1081"/>
        <v>0</v>
      </c>
      <c r="Q5075" s="1" t="str">
        <f t="shared" si="1078"/>
        <v/>
      </c>
      <c r="R5075" s="1" t="str">
        <f t="shared" si="1082"/>
        <v/>
      </c>
      <c r="S5075" s="1">
        <f t="shared" si="1083"/>
        <v>630.90240000000244</v>
      </c>
      <c r="T5075" s="1">
        <f t="shared" si="1084"/>
        <v>0</v>
      </c>
      <c r="U5075" s="1">
        <f t="shared" si="1085"/>
        <v>0</v>
      </c>
      <c r="V5075" s="1">
        <f t="shared" si="1086"/>
        <v>0</v>
      </c>
    </row>
    <row r="5076" spans="13:22" x14ac:dyDescent="0.25">
      <c r="M5076" s="4">
        <f t="shared" si="1079"/>
        <v>173.1</v>
      </c>
      <c r="N5076" s="4"/>
      <c r="O5076" s="1">
        <f t="shared" si="1080"/>
        <v>173.1</v>
      </c>
      <c r="P5076" s="1">
        <f t="shared" si="1081"/>
        <v>0</v>
      </c>
      <c r="Q5076" s="1" t="str">
        <f t="shared" si="1078"/>
        <v/>
      </c>
      <c r="R5076" s="1" t="str">
        <f t="shared" si="1082"/>
        <v/>
      </c>
      <c r="S5076" s="1">
        <f t="shared" si="1083"/>
        <v>630.90240000000244</v>
      </c>
      <c r="T5076" s="1">
        <f t="shared" si="1084"/>
        <v>0</v>
      </c>
      <c r="U5076" s="1">
        <f t="shared" si="1085"/>
        <v>0</v>
      </c>
      <c r="V5076" s="1">
        <f t="shared" si="1086"/>
        <v>0</v>
      </c>
    </row>
    <row r="5077" spans="13:22" x14ac:dyDescent="0.25">
      <c r="M5077" s="4">
        <f t="shared" si="1079"/>
        <v>173.1</v>
      </c>
      <c r="N5077" s="4"/>
      <c r="O5077" s="1">
        <f t="shared" si="1080"/>
        <v>173.1</v>
      </c>
      <c r="P5077" s="1">
        <f t="shared" si="1081"/>
        <v>0</v>
      </c>
      <c r="Q5077" s="1" t="str">
        <f t="shared" si="1078"/>
        <v/>
      </c>
      <c r="R5077" s="1" t="str">
        <f t="shared" si="1082"/>
        <v/>
      </c>
      <c r="S5077" s="1">
        <f t="shared" si="1083"/>
        <v>630.90240000000244</v>
      </c>
      <c r="T5077" s="1">
        <f t="shared" si="1084"/>
        <v>0</v>
      </c>
      <c r="U5077" s="1">
        <f t="shared" si="1085"/>
        <v>0</v>
      </c>
      <c r="V5077" s="1">
        <f t="shared" si="1086"/>
        <v>0</v>
      </c>
    </row>
    <row r="5078" spans="13:22" x14ac:dyDescent="0.25">
      <c r="M5078" s="4">
        <f t="shared" si="1079"/>
        <v>173.1</v>
      </c>
      <c r="N5078" s="4"/>
      <c r="O5078" s="1">
        <f t="shared" si="1080"/>
        <v>173.1</v>
      </c>
      <c r="P5078" s="1">
        <f t="shared" si="1081"/>
        <v>0</v>
      </c>
      <c r="Q5078" s="1" t="str">
        <f t="shared" si="1078"/>
        <v/>
      </c>
      <c r="R5078" s="1" t="str">
        <f t="shared" si="1082"/>
        <v/>
      </c>
      <c r="S5078" s="1">
        <f t="shared" si="1083"/>
        <v>630.90240000000244</v>
      </c>
      <c r="T5078" s="1">
        <f t="shared" si="1084"/>
        <v>0</v>
      </c>
      <c r="U5078" s="1">
        <f t="shared" si="1085"/>
        <v>0</v>
      </c>
      <c r="V5078" s="1">
        <f t="shared" si="1086"/>
        <v>0</v>
      </c>
    </row>
    <row r="5079" spans="13:22" x14ac:dyDescent="0.25">
      <c r="M5079" s="4">
        <f t="shared" si="1079"/>
        <v>173.1</v>
      </c>
      <c r="N5079" s="4"/>
      <c r="O5079" s="1">
        <f t="shared" si="1080"/>
        <v>173.1</v>
      </c>
      <c r="P5079" s="1">
        <f t="shared" si="1081"/>
        <v>0</v>
      </c>
      <c r="Q5079" s="1" t="str">
        <f t="shared" si="1078"/>
        <v/>
      </c>
      <c r="R5079" s="1" t="str">
        <f t="shared" si="1082"/>
        <v/>
      </c>
      <c r="S5079" s="1">
        <f t="shared" si="1083"/>
        <v>630.90240000000244</v>
      </c>
      <c r="T5079" s="1">
        <f t="shared" si="1084"/>
        <v>0</v>
      </c>
      <c r="U5079" s="1">
        <f t="shared" si="1085"/>
        <v>0</v>
      </c>
      <c r="V5079" s="1">
        <f t="shared" si="1086"/>
        <v>0</v>
      </c>
    </row>
    <row r="5080" spans="13:22" x14ac:dyDescent="0.25">
      <c r="M5080" s="4">
        <f t="shared" si="1079"/>
        <v>173.1</v>
      </c>
      <c r="N5080" s="4"/>
      <c r="O5080" s="1">
        <f t="shared" si="1080"/>
        <v>173.1</v>
      </c>
      <c r="P5080" s="1">
        <f t="shared" si="1081"/>
        <v>0</v>
      </c>
      <c r="Q5080" s="1" t="str">
        <f t="shared" si="1078"/>
        <v/>
      </c>
      <c r="R5080" s="1" t="str">
        <f t="shared" si="1082"/>
        <v/>
      </c>
      <c r="S5080" s="1">
        <f t="shared" si="1083"/>
        <v>630.90240000000244</v>
      </c>
      <c r="T5080" s="1">
        <f t="shared" si="1084"/>
        <v>0</v>
      </c>
      <c r="U5080" s="1">
        <f t="shared" si="1085"/>
        <v>0</v>
      </c>
      <c r="V5080" s="1">
        <f t="shared" si="1086"/>
        <v>0</v>
      </c>
    </row>
    <row r="5081" spans="13:22" x14ac:dyDescent="0.25">
      <c r="M5081" s="4">
        <f t="shared" si="1079"/>
        <v>173.1</v>
      </c>
      <c r="N5081" s="4"/>
      <c r="O5081" s="1">
        <f t="shared" si="1080"/>
        <v>173.1</v>
      </c>
      <c r="P5081" s="1">
        <f t="shared" si="1081"/>
        <v>0</v>
      </c>
      <c r="Q5081" s="1" t="str">
        <f t="shared" si="1078"/>
        <v/>
      </c>
      <c r="R5081" s="1" t="str">
        <f t="shared" si="1082"/>
        <v/>
      </c>
      <c r="S5081" s="1">
        <f t="shared" si="1083"/>
        <v>630.90240000000244</v>
      </c>
      <c r="T5081" s="1">
        <f t="shared" si="1084"/>
        <v>0</v>
      </c>
      <c r="U5081" s="1">
        <f t="shared" si="1085"/>
        <v>0</v>
      </c>
      <c r="V5081" s="1">
        <f t="shared" si="1086"/>
        <v>0</v>
      </c>
    </row>
    <row r="5082" spans="13:22" x14ac:dyDescent="0.25">
      <c r="M5082" s="4">
        <f t="shared" si="1079"/>
        <v>173.1</v>
      </c>
      <c r="N5082" s="4"/>
      <c r="O5082" s="1">
        <f t="shared" si="1080"/>
        <v>173.1</v>
      </c>
      <c r="P5082" s="1">
        <f t="shared" si="1081"/>
        <v>0</v>
      </c>
      <c r="Q5082" s="1" t="str">
        <f t="shared" si="1078"/>
        <v/>
      </c>
      <c r="R5082" s="1" t="str">
        <f t="shared" si="1082"/>
        <v/>
      </c>
      <c r="S5082" s="1">
        <f t="shared" si="1083"/>
        <v>630.90240000000244</v>
      </c>
      <c r="T5082" s="1">
        <f t="shared" si="1084"/>
        <v>0</v>
      </c>
      <c r="U5082" s="1">
        <f t="shared" si="1085"/>
        <v>0</v>
      </c>
      <c r="V5082" s="1">
        <f t="shared" si="1086"/>
        <v>0</v>
      </c>
    </row>
    <row r="5083" spans="13:22" x14ac:dyDescent="0.25">
      <c r="M5083" s="4">
        <f t="shared" si="1079"/>
        <v>173.1</v>
      </c>
      <c r="N5083" s="4"/>
      <c r="O5083" s="1">
        <f t="shared" si="1080"/>
        <v>173.1</v>
      </c>
      <c r="P5083" s="1">
        <f t="shared" si="1081"/>
        <v>0</v>
      </c>
      <c r="Q5083" s="1" t="str">
        <f t="shared" si="1078"/>
        <v/>
      </c>
      <c r="R5083" s="1" t="str">
        <f t="shared" si="1082"/>
        <v/>
      </c>
      <c r="S5083" s="1">
        <f t="shared" si="1083"/>
        <v>630.90240000000244</v>
      </c>
      <c r="T5083" s="1">
        <f t="shared" si="1084"/>
        <v>0</v>
      </c>
      <c r="U5083" s="1">
        <f t="shared" si="1085"/>
        <v>0</v>
      </c>
      <c r="V5083" s="1">
        <f t="shared" si="1086"/>
        <v>0</v>
      </c>
    </row>
    <row r="5084" spans="13:22" x14ac:dyDescent="0.25">
      <c r="M5084" s="4">
        <f t="shared" si="1079"/>
        <v>173.1</v>
      </c>
      <c r="N5084" s="4"/>
      <c r="O5084" s="1">
        <f t="shared" si="1080"/>
        <v>173.1</v>
      </c>
      <c r="P5084" s="1">
        <f t="shared" si="1081"/>
        <v>0</v>
      </c>
      <c r="Q5084" s="1" t="str">
        <f t="shared" si="1078"/>
        <v/>
      </c>
      <c r="R5084" s="1" t="str">
        <f t="shared" si="1082"/>
        <v/>
      </c>
      <c r="S5084" s="1">
        <f t="shared" si="1083"/>
        <v>630.90240000000244</v>
      </c>
      <c r="T5084" s="1">
        <f t="shared" si="1084"/>
        <v>0</v>
      </c>
      <c r="U5084" s="1">
        <f t="shared" si="1085"/>
        <v>0</v>
      </c>
      <c r="V5084" s="1">
        <f t="shared" si="1086"/>
        <v>0</v>
      </c>
    </row>
    <row r="5085" spans="13:22" x14ac:dyDescent="0.25">
      <c r="M5085" s="4">
        <f t="shared" si="1079"/>
        <v>173.1</v>
      </c>
      <c r="N5085" s="4"/>
      <c r="O5085" s="1">
        <f t="shared" si="1080"/>
        <v>173.1</v>
      </c>
      <c r="P5085" s="1">
        <f t="shared" si="1081"/>
        <v>0</v>
      </c>
      <c r="Q5085" s="1" t="str">
        <f t="shared" si="1078"/>
        <v/>
      </c>
      <c r="R5085" s="1" t="str">
        <f t="shared" si="1082"/>
        <v/>
      </c>
      <c r="S5085" s="1">
        <f t="shared" si="1083"/>
        <v>630.90240000000244</v>
      </c>
      <c r="T5085" s="1">
        <f t="shared" si="1084"/>
        <v>0</v>
      </c>
      <c r="U5085" s="1">
        <f t="shared" si="1085"/>
        <v>0</v>
      </c>
      <c r="V5085" s="1">
        <f t="shared" si="1086"/>
        <v>0</v>
      </c>
    </row>
    <row r="5086" spans="13:22" x14ac:dyDescent="0.25">
      <c r="M5086" s="4">
        <f t="shared" si="1079"/>
        <v>173.1</v>
      </c>
      <c r="N5086" s="4"/>
      <c r="O5086" s="1">
        <f t="shared" si="1080"/>
        <v>173.1</v>
      </c>
      <c r="P5086" s="1">
        <f t="shared" si="1081"/>
        <v>0</v>
      </c>
      <c r="Q5086" s="1" t="str">
        <f t="shared" si="1078"/>
        <v/>
      </c>
      <c r="R5086" s="1" t="str">
        <f t="shared" si="1082"/>
        <v/>
      </c>
      <c r="S5086" s="1">
        <f t="shared" si="1083"/>
        <v>630.90240000000244</v>
      </c>
      <c r="T5086" s="1">
        <f t="shared" si="1084"/>
        <v>0</v>
      </c>
      <c r="U5086" s="1">
        <f t="shared" si="1085"/>
        <v>0</v>
      </c>
      <c r="V5086" s="1">
        <f t="shared" si="1086"/>
        <v>0</v>
      </c>
    </row>
    <row r="5087" spans="13:22" x14ac:dyDescent="0.25">
      <c r="M5087" s="4">
        <f t="shared" si="1079"/>
        <v>173.1</v>
      </c>
      <c r="N5087" s="4"/>
      <c r="O5087" s="1">
        <f t="shared" si="1080"/>
        <v>173.1</v>
      </c>
      <c r="P5087" s="1">
        <f t="shared" si="1081"/>
        <v>0</v>
      </c>
      <c r="Q5087" s="1" t="str">
        <f t="shared" si="1078"/>
        <v/>
      </c>
      <c r="R5087" s="1" t="str">
        <f t="shared" si="1082"/>
        <v/>
      </c>
      <c r="S5087" s="1">
        <f t="shared" si="1083"/>
        <v>630.90240000000244</v>
      </c>
      <c r="T5087" s="1">
        <f t="shared" si="1084"/>
        <v>0</v>
      </c>
      <c r="U5087" s="1">
        <f t="shared" si="1085"/>
        <v>0</v>
      </c>
      <c r="V5087" s="1">
        <f t="shared" si="1086"/>
        <v>0</v>
      </c>
    </row>
    <row r="5088" spans="13:22" x14ac:dyDescent="0.25">
      <c r="M5088" s="4">
        <f t="shared" si="1079"/>
        <v>173.1</v>
      </c>
      <c r="N5088" s="4"/>
      <c r="O5088" s="1">
        <f t="shared" si="1080"/>
        <v>173.1</v>
      </c>
      <c r="P5088" s="1">
        <f t="shared" si="1081"/>
        <v>0</v>
      </c>
      <c r="Q5088" s="1" t="str">
        <f t="shared" si="1078"/>
        <v/>
      </c>
      <c r="R5088" s="1" t="str">
        <f t="shared" si="1082"/>
        <v/>
      </c>
      <c r="S5088" s="1">
        <f t="shared" si="1083"/>
        <v>630.90240000000244</v>
      </c>
      <c r="T5088" s="1">
        <f t="shared" si="1084"/>
        <v>0</v>
      </c>
      <c r="U5088" s="1">
        <f t="shared" si="1085"/>
        <v>0</v>
      </c>
      <c r="V5088" s="1">
        <f t="shared" si="1086"/>
        <v>0</v>
      </c>
    </row>
    <row r="5089" spans="13:22" x14ac:dyDescent="0.25">
      <c r="M5089" s="4">
        <f t="shared" si="1079"/>
        <v>173.1</v>
      </c>
      <c r="N5089" s="4"/>
      <c r="O5089" s="1">
        <f t="shared" si="1080"/>
        <v>173.1</v>
      </c>
      <c r="P5089" s="1">
        <f t="shared" si="1081"/>
        <v>0</v>
      </c>
      <c r="Q5089" s="1" t="str">
        <f t="shared" si="1078"/>
        <v/>
      </c>
      <c r="R5089" s="1" t="str">
        <f t="shared" si="1082"/>
        <v/>
      </c>
      <c r="S5089" s="1">
        <f t="shared" si="1083"/>
        <v>630.90240000000244</v>
      </c>
      <c r="T5089" s="1">
        <f t="shared" si="1084"/>
        <v>0</v>
      </c>
      <c r="U5089" s="1">
        <f t="shared" si="1085"/>
        <v>0</v>
      </c>
      <c r="V5089" s="1">
        <f t="shared" si="1086"/>
        <v>0</v>
      </c>
    </row>
    <row r="5090" spans="13:22" x14ac:dyDescent="0.25">
      <c r="M5090" s="4">
        <f t="shared" si="1079"/>
        <v>173.1</v>
      </c>
      <c r="N5090" s="4"/>
      <c r="O5090" s="1">
        <f t="shared" si="1080"/>
        <v>173.1</v>
      </c>
      <c r="P5090" s="1">
        <f t="shared" si="1081"/>
        <v>0</v>
      </c>
      <c r="Q5090" s="1" t="str">
        <f t="shared" si="1078"/>
        <v/>
      </c>
      <c r="R5090" s="1" t="str">
        <f t="shared" si="1082"/>
        <v/>
      </c>
      <c r="S5090" s="1">
        <f t="shared" si="1083"/>
        <v>630.90240000000244</v>
      </c>
      <c r="T5090" s="1">
        <f t="shared" si="1084"/>
        <v>0</v>
      </c>
      <c r="U5090" s="1">
        <f t="shared" si="1085"/>
        <v>0</v>
      </c>
      <c r="V5090" s="1">
        <f t="shared" si="1086"/>
        <v>0</v>
      </c>
    </row>
    <row r="5091" spans="13:22" x14ac:dyDescent="0.25">
      <c r="M5091" s="4">
        <f t="shared" si="1079"/>
        <v>173.1</v>
      </c>
      <c r="N5091" s="4"/>
      <c r="O5091" s="1">
        <f t="shared" si="1080"/>
        <v>173.1</v>
      </c>
      <c r="P5091" s="1">
        <f t="shared" si="1081"/>
        <v>0</v>
      </c>
      <c r="Q5091" s="1" t="str">
        <f t="shared" si="1078"/>
        <v/>
      </c>
      <c r="R5091" s="1" t="str">
        <f t="shared" si="1082"/>
        <v/>
      </c>
      <c r="S5091" s="1">
        <f t="shared" si="1083"/>
        <v>630.90240000000244</v>
      </c>
      <c r="T5091" s="1">
        <f t="shared" si="1084"/>
        <v>0</v>
      </c>
      <c r="U5091" s="1">
        <f t="shared" si="1085"/>
        <v>0</v>
      </c>
      <c r="V5091" s="1">
        <f t="shared" si="1086"/>
        <v>0</v>
      </c>
    </row>
    <row r="5092" spans="13:22" x14ac:dyDescent="0.25">
      <c r="M5092" s="4">
        <f t="shared" si="1079"/>
        <v>173.1</v>
      </c>
      <c r="N5092" s="4"/>
      <c r="O5092" s="1">
        <f t="shared" si="1080"/>
        <v>173.1</v>
      </c>
      <c r="P5092" s="1">
        <f t="shared" si="1081"/>
        <v>0</v>
      </c>
      <c r="Q5092" s="1" t="str">
        <f t="shared" si="1078"/>
        <v/>
      </c>
      <c r="R5092" s="1" t="str">
        <f t="shared" si="1082"/>
        <v/>
      </c>
      <c r="S5092" s="1">
        <f t="shared" si="1083"/>
        <v>630.90240000000244</v>
      </c>
      <c r="T5092" s="1">
        <f t="shared" si="1084"/>
        <v>0</v>
      </c>
      <c r="U5092" s="1">
        <f t="shared" si="1085"/>
        <v>0</v>
      </c>
      <c r="V5092" s="1">
        <f t="shared" si="1086"/>
        <v>0</v>
      </c>
    </row>
    <row r="5093" spans="13:22" x14ac:dyDescent="0.25">
      <c r="M5093" s="4">
        <f t="shared" si="1079"/>
        <v>173.1</v>
      </c>
      <c r="N5093" s="4"/>
      <c r="O5093" s="1">
        <f t="shared" si="1080"/>
        <v>173.1</v>
      </c>
      <c r="P5093" s="1">
        <f t="shared" si="1081"/>
        <v>0</v>
      </c>
      <c r="Q5093" s="1" t="str">
        <f t="shared" si="1078"/>
        <v/>
      </c>
      <c r="R5093" s="1" t="str">
        <f t="shared" si="1082"/>
        <v/>
      </c>
      <c r="S5093" s="1">
        <f t="shared" si="1083"/>
        <v>630.90240000000244</v>
      </c>
      <c r="T5093" s="1">
        <f t="shared" si="1084"/>
        <v>0</v>
      </c>
      <c r="U5093" s="1">
        <f t="shared" si="1085"/>
        <v>0</v>
      </c>
      <c r="V5093" s="1">
        <f t="shared" si="1086"/>
        <v>0</v>
      </c>
    </row>
    <row r="5094" spans="13:22" x14ac:dyDescent="0.25">
      <c r="M5094" s="4">
        <f t="shared" si="1079"/>
        <v>173.1</v>
      </c>
      <c r="N5094" s="4"/>
      <c r="O5094" s="1">
        <f t="shared" si="1080"/>
        <v>173.1</v>
      </c>
      <c r="P5094" s="1">
        <f t="shared" si="1081"/>
        <v>0</v>
      </c>
      <c r="Q5094" s="1" t="str">
        <f t="shared" si="1078"/>
        <v/>
      </c>
      <c r="R5094" s="1" t="str">
        <f t="shared" si="1082"/>
        <v/>
      </c>
      <c r="S5094" s="1">
        <f t="shared" si="1083"/>
        <v>630.90240000000244</v>
      </c>
      <c r="T5094" s="1">
        <f t="shared" si="1084"/>
        <v>0</v>
      </c>
      <c r="U5094" s="1">
        <f t="shared" si="1085"/>
        <v>0</v>
      </c>
      <c r="V5094" s="1">
        <f t="shared" si="1086"/>
        <v>0</v>
      </c>
    </row>
    <row r="5095" spans="13:22" x14ac:dyDescent="0.25">
      <c r="M5095" s="4">
        <f t="shared" si="1079"/>
        <v>173.1</v>
      </c>
      <c r="N5095" s="4"/>
      <c r="O5095" s="1">
        <f t="shared" si="1080"/>
        <v>173.1</v>
      </c>
      <c r="P5095" s="1">
        <f t="shared" si="1081"/>
        <v>0</v>
      </c>
      <c r="Q5095" s="1" t="str">
        <f t="shared" si="1078"/>
        <v/>
      </c>
      <c r="R5095" s="1" t="str">
        <f t="shared" si="1082"/>
        <v/>
      </c>
      <c r="S5095" s="1">
        <f t="shared" si="1083"/>
        <v>630.90240000000244</v>
      </c>
      <c r="T5095" s="1">
        <f t="shared" si="1084"/>
        <v>0</v>
      </c>
      <c r="U5095" s="1">
        <f t="shared" si="1085"/>
        <v>0</v>
      </c>
      <c r="V5095" s="1">
        <f t="shared" si="1086"/>
        <v>0</v>
      </c>
    </row>
    <row r="5096" spans="13:22" x14ac:dyDescent="0.25">
      <c r="M5096" s="4">
        <f t="shared" si="1079"/>
        <v>173.1</v>
      </c>
      <c r="N5096" s="4"/>
      <c r="O5096" s="1">
        <f t="shared" si="1080"/>
        <v>173.1</v>
      </c>
      <c r="P5096" s="1">
        <f t="shared" si="1081"/>
        <v>0</v>
      </c>
      <c r="Q5096" s="1" t="str">
        <f t="shared" si="1078"/>
        <v/>
      </c>
      <c r="R5096" s="1" t="str">
        <f t="shared" si="1082"/>
        <v/>
      </c>
      <c r="S5096" s="1">
        <f t="shared" si="1083"/>
        <v>630.90240000000244</v>
      </c>
      <c r="T5096" s="1">
        <f t="shared" si="1084"/>
        <v>0</v>
      </c>
      <c r="U5096" s="1">
        <f t="shared" si="1085"/>
        <v>0</v>
      </c>
      <c r="V5096" s="1">
        <f t="shared" si="1086"/>
        <v>0</v>
      </c>
    </row>
    <row r="5097" spans="13:22" x14ac:dyDescent="0.25">
      <c r="M5097" s="4">
        <f t="shared" si="1079"/>
        <v>173.1</v>
      </c>
      <c r="N5097" s="4"/>
      <c r="O5097" s="1">
        <f t="shared" si="1080"/>
        <v>173.1</v>
      </c>
      <c r="P5097" s="1">
        <f t="shared" si="1081"/>
        <v>0</v>
      </c>
      <c r="Q5097" s="1" t="str">
        <f t="shared" si="1078"/>
        <v/>
      </c>
      <c r="R5097" s="1" t="str">
        <f t="shared" si="1082"/>
        <v/>
      </c>
      <c r="S5097" s="1">
        <f t="shared" si="1083"/>
        <v>630.90240000000244</v>
      </c>
      <c r="T5097" s="1">
        <f t="shared" si="1084"/>
        <v>0</v>
      </c>
      <c r="U5097" s="1">
        <f t="shared" si="1085"/>
        <v>0</v>
      </c>
      <c r="V5097" s="1">
        <f t="shared" si="1086"/>
        <v>0</v>
      </c>
    </row>
    <row r="5098" spans="13:22" x14ac:dyDescent="0.25">
      <c r="M5098" s="4">
        <f t="shared" si="1079"/>
        <v>173.1</v>
      </c>
      <c r="N5098" s="4"/>
      <c r="O5098" s="1">
        <f t="shared" si="1080"/>
        <v>173.1</v>
      </c>
      <c r="P5098" s="1">
        <f t="shared" si="1081"/>
        <v>0</v>
      </c>
      <c r="Q5098" s="1" t="str">
        <f t="shared" si="1078"/>
        <v/>
      </c>
      <c r="R5098" s="1" t="str">
        <f t="shared" si="1082"/>
        <v/>
      </c>
      <c r="S5098" s="1">
        <f t="shared" si="1083"/>
        <v>630.90240000000244</v>
      </c>
      <c r="T5098" s="1">
        <f t="shared" si="1084"/>
        <v>0</v>
      </c>
      <c r="U5098" s="1">
        <f t="shared" si="1085"/>
        <v>0</v>
      </c>
      <c r="V5098" s="1">
        <f t="shared" si="1086"/>
        <v>0</v>
      </c>
    </row>
    <row r="5099" spans="13:22" x14ac:dyDescent="0.25">
      <c r="M5099" s="4">
        <f t="shared" si="1079"/>
        <v>173.1</v>
      </c>
      <c r="N5099" s="4"/>
      <c r="O5099" s="1">
        <f t="shared" si="1080"/>
        <v>173.1</v>
      </c>
      <c r="P5099" s="1">
        <f t="shared" si="1081"/>
        <v>0</v>
      </c>
      <c r="Q5099" s="1" t="str">
        <f t="shared" si="1078"/>
        <v/>
      </c>
      <c r="R5099" s="1" t="str">
        <f t="shared" si="1082"/>
        <v/>
      </c>
      <c r="S5099" s="1">
        <f t="shared" si="1083"/>
        <v>630.90240000000244</v>
      </c>
      <c r="T5099" s="1">
        <f t="shared" si="1084"/>
        <v>0</v>
      </c>
      <c r="U5099" s="1">
        <f t="shared" si="1085"/>
        <v>0</v>
      </c>
      <c r="V5099" s="1">
        <f t="shared" si="1086"/>
        <v>0</v>
      </c>
    </row>
    <row r="5100" spans="13:22" x14ac:dyDescent="0.25">
      <c r="M5100" s="4">
        <f t="shared" si="1079"/>
        <v>173.1</v>
      </c>
      <c r="N5100" s="4"/>
      <c r="O5100" s="1">
        <f t="shared" si="1080"/>
        <v>173.1</v>
      </c>
      <c r="P5100" s="1">
        <f t="shared" si="1081"/>
        <v>0</v>
      </c>
      <c r="Q5100" s="1" t="str">
        <f t="shared" si="1078"/>
        <v/>
      </c>
      <c r="R5100" s="1" t="str">
        <f t="shared" si="1082"/>
        <v/>
      </c>
      <c r="S5100" s="1">
        <f t="shared" si="1083"/>
        <v>630.90240000000244</v>
      </c>
      <c r="T5100" s="1">
        <f t="shared" si="1084"/>
        <v>0</v>
      </c>
      <c r="U5100" s="1">
        <f t="shared" si="1085"/>
        <v>0</v>
      </c>
      <c r="V5100" s="1">
        <f t="shared" si="1086"/>
        <v>0</v>
      </c>
    </row>
    <row r="5101" spans="13:22" x14ac:dyDescent="0.25">
      <c r="M5101" s="4">
        <f t="shared" si="1079"/>
        <v>173.1</v>
      </c>
      <c r="N5101" s="4"/>
      <c r="O5101" s="1">
        <f t="shared" si="1080"/>
        <v>173.1</v>
      </c>
      <c r="P5101" s="1">
        <f t="shared" si="1081"/>
        <v>0</v>
      </c>
      <c r="Q5101" s="1" t="str">
        <f t="shared" si="1078"/>
        <v/>
      </c>
      <c r="R5101" s="1" t="str">
        <f t="shared" si="1082"/>
        <v/>
      </c>
      <c r="S5101" s="1">
        <f t="shared" si="1083"/>
        <v>630.90240000000244</v>
      </c>
      <c r="T5101" s="1">
        <f t="shared" si="1084"/>
        <v>0</v>
      </c>
      <c r="U5101" s="1">
        <f t="shared" si="1085"/>
        <v>0</v>
      </c>
      <c r="V5101" s="1">
        <f t="shared" si="1086"/>
        <v>0</v>
      </c>
    </row>
    <row r="5102" spans="13:22" x14ac:dyDescent="0.25">
      <c r="M5102" s="4">
        <f t="shared" si="1079"/>
        <v>173.1</v>
      </c>
      <c r="N5102" s="4"/>
      <c r="O5102" s="1">
        <f t="shared" si="1080"/>
        <v>173.1</v>
      </c>
      <c r="P5102" s="1">
        <f t="shared" si="1081"/>
        <v>0</v>
      </c>
      <c r="Q5102" s="1" t="str">
        <f t="shared" si="1078"/>
        <v/>
      </c>
      <c r="R5102" s="1" t="str">
        <f t="shared" si="1082"/>
        <v/>
      </c>
      <c r="S5102" s="1">
        <f t="shared" si="1083"/>
        <v>630.90240000000244</v>
      </c>
      <c r="T5102" s="1">
        <f t="shared" si="1084"/>
        <v>0</v>
      </c>
      <c r="U5102" s="1">
        <f t="shared" si="1085"/>
        <v>0</v>
      </c>
      <c r="V5102" s="1">
        <f t="shared" si="1086"/>
        <v>0</v>
      </c>
    </row>
    <row r="5103" spans="13:22" x14ac:dyDescent="0.25">
      <c r="M5103" s="4">
        <f t="shared" si="1079"/>
        <v>173.1</v>
      </c>
      <c r="N5103" s="4"/>
      <c r="O5103" s="1">
        <f t="shared" si="1080"/>
        <v>173.1</v>
      </c>
      <c r="P5103" s="1">
        <f t="shared" si="1081"/>
        <v>0</v>
      </c>
      <c r="Q5103" s="1" t="str">
        <f t="shared" si="1078"/>
        <v/>
      </c>
      <c r="R5103" s="1" t="str">
        <f t="shared" si="1082"/>
        <v/>
      </c>
      <c r="S5103" s="1">
        <f t="shared" si="1083"/>
        <v>630.90240000000244</v>
      </c>
      <c r="T5103" s="1">
        <f t="shared" si="1084"/>
        <v>0</v>
      </c>
      <c r="U5103" s="1">
        <f t="shared" si="1085"/>
        <v>0</v>
      </c>
      <c r="V5103" s="1">
        <f t="shared" si="1086"/>
        <v>0</v>
      </c>
    </row>
    <row r="5104" spans="13:22" x14ac:dyDescent="0.25">
      <c r="M5104" s="4">
        <f t="shared" si="1079"/>
        <v>173.1</v>
      </c>
      <c r="N5104" s="4"/>
      <c r="O5104" s="1">
        <f t="shared" si="1080"/>
        <v>173.1</v>
      </c>
      <c r="P5104" s="1">
        <f t="shared" si="1081"/>
        <v>0</v>
      </c>
      <c r="Q5104" s="1" t="str">
        <f t="shared" si="1078"/>
        <v/>
      </c>
      <c r="R5104" s="1" t="str">
        <f t="shared" si="1082"/>
        <v/>
      </c>
      <c r="S5104" s="1">
        <f t="shared" si="1083"/>
        <v>630.90240000000244</v>
      </c>
      <c r="T5104" s="1">
        <f t="shared" si="1084"/>
        <v>0</v>
      </c>
      <c r="U5104" s="1">
        <f t="shared" si="1085"/>
        <v>0</v>
      </c>
      <c r="V5104" s="1">
        <f t="shared" si="1086"/>
        <v>0</v>
      </c>
    </row>
    <row r="5105" spans="13:22" x14ac:dyDescent="0.25">
      <c r="M5105" s="4">
        <f t="shared" si="1079"/>
        <v>173.1</v>
      </c>
      <c r="N5105" s="4"/>
      <c r="O5105" s="1">
        <f t="shared" si="1080"/>
        <v>173.1</v>
      </c>
      <c r="P5105" s="1">
        <f t="shared" si="1081"/>
        <v>0</v>
      </c>
      <c r="Q5105" s="1" t="str">
        <f t="shared" si="1078"/>
        <v/>
      </c>
      <c r="R5105" s="1" t="str">
        <f t="shared" si="1082"/>
        <v/>
      </c>
      <c r="S5105" s="1">
        <f t="shared" si="1083"/>
        <v>630.90240000000244</v>
      </c>
      <c r="T5105" s="1">
        <f t="shared" si="1084"/>
        <v>0</v>
      </c>
      <c r="U5105" s="1">
        <f t="shared" si="1085"/>
        <v>0</v>
      </c>
      <c r="V5105" s="1">
        <f t="shared" si="1086"/>
        <v>0</v>
      </c>
    </row>
    <row r="5106" spans="13:22" x14ac:dyDescent="0.25">
      <c r="M5106" s="4">
        <f t="shared" si="1079"/>
        <v>173.1</v>
      </c>
      <c r="N5106" s="4"/>
      <c r="O5106" s="1">
        <f t="shared" si="1080"/>
        <v>173.1</v>
      </c>
      <c r="P5106" s="1">
        <f t="shared" si="1081"/>
        <v>0</v>
      </c>
      <c r="Q5106" s="1" t="str">
        <f t="shared" ref="Q5106:Q5169" si="1087">IF(H5106&lt;&gt;"",IF(H5106=H5105,"",H5106),IF(H5104="","",MAX(H5105,Q5105)))</f>
        <v/>
      </c>
      <c r="R5106" s="1" t="str">
        <f t="shared" si="1082"/>
        <v/>
      </c>
      <c r="S5106" s="1">
        <f t="shared" si="1083"/>
        <v>630.90240000000244</v>
      </c>
      <c r="T5106" s="1">
        <f t="shared" si="1084"/>
        <v>0</v>
      </c>
      <c r="U5106" s="1">
        <f t="shared" si="1085"/>
        <v>0</v>
      </c>
      <c r="V5106" s="1">
        <f t="shared" si="1086"/>
        <v>0</v>
      </c>
    </row>
    <row r="5107" spans="13:22" x14ac:dyDescent="0.25">
      <c r="M5107" s="4">
        <f t="shared" si="1079"/>
        <v>173.1</v>
      </c>
      <c r="N5107" s="4"/>
      <c r="O5107" s="1">
        <f t="shared" si="1080"/>
        <v>173.1</v>
      </c>
      <c r="P5107" s="1">
        <f t="shared" si="1081"/>
        <v>0</v>
      </c>
      <c r="Q5107" s="1" t="str">
        <f t="shared" si="1087"/>
        <v/>
      </c>
      <c r="R5107" s="1" t="str">
        <f t="shared" si="1082"/>
        <v/>
      </c>
      <c r="S5107" s="1">
        <f t="shared" si="1083"/>
        <v>630.90240000000244</v>
      </c>
      <c r="T5107" s="1">
        <f t="shared" si="1084"/>
        <v>0</v>
      </c>
      <c r="U5107" s="1">
        <f t="shared" si="1085"/>
        <v>0</v>
      </c>
      <c r="V5107" s="1">
        <f t="shared" si="1086"/>
        <v>0</v>
      </c>
    </row>
    <row r="5108" spans="13:22" x14ac:dyDescent="0.25">
      <c r="M5108" s="4">
        <f t="shared" si="1079"/>
        <v>173.1</v>
      </c>
      <c r="N5108" s="4"/>
      <c r="O5108" s="1">
        <f t="shared" si="1080"/>
        <v>173.1</v>
      </c>
      <c r="P5108" s="1">
        <f t="shared" si="1081"/>
        <v>0</v>
      </c>
      <c r="Q5108" s="1" t="str">
        <f t="shared" si="1087"/>
        <v/>
      </c>
      <c r="R5108" s="1" t="str">
        <f t="shared" si="1082"/>
        <v/>
      </c>
      <c r="S5108" s="1">
        <f t="shared" si="1083"/>
        <v>630.90240000000244</v>
      </c>
      <c r="T5108" s="1">
        <f t="shared" si="1084"/>
        <v>0</v>
      </c>
      <c r="U5108" s="1">
        <f t="shared" si="1085"/>
        <v>0</v>
      </c>
      <c r="V5108" s="1">
        <f t="shared" si="1086"/>
        <v>0</v>
      </c>
    </row>
    <row r="5109" spans="13:22" x14ac:dyDescent="0.25">
      <c r="M5109" s="4">
        <f t="shared" si="1079"/>
        <v>173.1</v>
      </c>
      <c r="N5109" s="4"/>
      <c r="O5109" s="1">
        <f t="shared" si="1080"/>
        <v>173.1</v>
      </c>
      <c r="P5109" s="1">
        <f t="shared" si="1081"/>
        <v>0</v>
      </c>
      <c r="Q5109" s="1" t="str">
        <f t="shared" si="1087"/>
        <v/>
      </c>
      <c r="R5109" s="1" t="str">
        <f t="shared" si="1082"/>
        <v/>
      </c>
      <c r="S5109" s="1">
        <f t="shared" si="1083"/>
        <v>630.90240000000244</v>
      </c>
      <c r="T5109" s="1">
        <f t="shared" si="1084"/>
        <v>0</v>
      </c>
      <c r="U5109" s="1">
        <f t="shared" si="1085"/>
        <v>0</v>
      </c>
      <c r="V5109" s="1">
        <f t="shared" si="1086"/>
        <v>0</v>
      </c>
    </row>
    <row r="5110" spans="13:22" x14ac:dyDescent="0.25">
      <c r="M5110" s="4">
        <f t="shared" si="1079"/>
        <v>173.1</v>
      </c>
      <c r="N5110" s="4"/>
      <c r="O5110" s="1">
        <f t="shared" si="1080"/>
        <v>173.1</v>
      </c>
      <c r="P5110" s="1">
        <f t="shared" si="1081"/>
        <v>0</v>
      </c>
      <c r="Q5110" s="1" t="str">
        <f t="shared" si="1087"/>
        <v/>
      </c>
      <c r="R5110" s="1" t="str">
        <f t="shared" si="1082"/>
        <v/>
      </c>
      <c r="S5110" s="1">
        <f t="shared" si="1083"/>
        <v>630.90240000000244</v>
      </c>
      <c r="T5110" s="1">
        <f t="shared" si="1084"/>
        <v>0</v>
      </c>
      <c r="U5110" s="1">
        <f t="shared" si="1085"/>
        <v>0</v>
      </c>
      <c r="V5110" s="1">
        <f t="shared" si="1086"/>
        <v>0</v>
      </c>
    </row>
    <row r="5111" spans="13:22" x14ac:dyDescent="0.25">
      <c r="M5111" s="4">
        <f t="shared" si="1079"/>
        <v>173.1</v>
      </c>
      <c r="N5111" s="4"/>
      <c r="O5111" s="1">
        <f t="shared" si="1080"/>
        <v>173.1</v>
      </c>
      <c r="P5111" s="1">
        <f t="shared" si="1081"/>
        <v>0</v>
      </c>
      <c r="Q5111" s="1" t="str">
        <f t="shared" si="1087"/>
        <v/>
      </c>
      <c r="R5111" s="1" t="str">
        <f t="shared" si="1082"/>
        <v/>
      </c>
      <c r="S5111" s="1">
        <f t="shared" si="1083"/>
        <v>630.90240000000244</v>
      </c>
      <c r="T5111" s="1">
        <f t="shared" si="1084"/>
        <v>0</v>
      </c>
      <c r="U5111" s="1">
        <f t="shared" si="1085"/>
        <v>0</v>
      </c>
      <c r="V5111" s="1">
        <f t="shared" si="1086"/>
        <v>0</v>
      </c>
    </row>
    <row r="5112" spans="13:22" x14ac:dyDescent="0.25">
      <c r="M5112" s="4">
        <f t="shared" si="1079"/>
        <v>173.1</v>
      </c>
      <c r="N5112" s="4"/>
      <c r="O5112" s="1">
        <f t="shared" si="1080"/>
        <v>173.1</v>
      </c>
      <c r="P5112" s="1">
        <f t="shared" si="1081"/>
        <v>0</v>
      </c>
      <c r="Q5112" s="1" t="str">
        <f t="shared" si="1087"/>
        <v/>
      </c>
      <c r="R5112" s="1" t="str">
        <f t="shared" si="1082"/>
        <v/>
      </c>
      <c r="S5112" s="1">
        <f t="shared" si="1083"/>
        <v>630.90240000000244</v>
      </c>
      <c r="T5112" s="1">
        <f t="shared" si="1084"/>
        <v>0</v>
      </c>
      <c r="U5112" s="1">
        <f t="shared" si="1085"/>
        <v>0</v>
      </c>
      <c r="V5112" s="1">
        <f t="shared" si="1086"/>
        <v>0</v>
      </c>
    </row>
    <row r="5113" spans="13:22" x14ac:dyDescent="0.25">
      <c r="M5113" s="4">
        <f t="shared" si="1079"/>
        <v>173.1</v>
      </c>
      <c r="N5113" s="4"/>
      <c r="O5113" s="1">
        <f t="shared" si="1080"/>
        <v>173.1</v>
      </c>
      <c r="P5113" s="1">
        <f t="shared" si="1081"/>
        <v>0</v>
      </c>
      <c r="Q5113" s="1" t="str">
        <f t="shared" si="1087"/>
        <v/>
      </c>
      <c r="R5113" s="1" t="str">
        <f t="shared" si="1082"/>
        <v/>
      </c>
      <c r="S5113" s="1">
        <f t="shared" si="1083"/>
        <v>630.90240000000244</v>
      </c>
      <c r="T5113" s="1">
        <f t="shared" si="1084"/>
        <v>0</v>
      </c>
      <c r="U5113" s="1">
        <f t="shared" si="1085"/>
        <v>0</v>
      </c>
      <c r="V5113" s="1">
        <f t="shared" si="1086"/>
        <v>0</v>
      </c>
    </row>
    <row r="5114" spans="13:22" x14ac:dyDescent="0.25">
      <c r="M5114" s="4">
        <f t="shared" si="1079"/>
        <v>173.1</v>
      </c>
      <c r="N5114" s="4"/>
      <c r="O5114" s="1">
        <f t="shared" si="1080"/>
        <v>173.1</v>
      </c>
      <c r="P5114" s="1">
        <f t="shared" si="1081"/>
        <v>0</v>
      </c>
      <c r="Q5114" s="1" t="str">
        <f t="shared" si="1087"/>
        <v/>
      </c>
      <c r="R5114" s="1" t="str">
        <f t="shared" si="1082"/>
        <v/>
      </c>
      <c r="S5114" s="1">
        <f t="shared" si="1083"/>
        <v>630.90240000000244</v>
      </c>
      <c r="T5114" s="1">
        <f t="shared" si="1084"/>
        <v>0</v>
      </c>
      <c r="U5114" s="1">
        <f t="shared" si="1085"/>
        <v>0</v>
      </c>
      <c r="V5114" s="1">
        <f t="shared" si="1086"/>
        <v>0</v>
      </c>
    </row>
    <row r="5115" spans="13:22" x14ac:dyDescent="0.25">
      <c r="M5115" s="4">
        <f t="shared" si="1079"/>
        <v>173.1</v>
      </c>
      <c r="N5115" s="4"/>
      <c r="O5115" s="1">
        <f t="shared" si="1080"/>
        <v>173.1</v>
      </c>
      <c r="P5115" s="1">
        <f t="shared" si="1081"/>
        <v>0</v>
      </c>
      <c r="Q5115" s="1" t="str">
        <f t="shared" si="1087"/>
        <v/>
      </c>
      <c r="R5115" s="1" t="str">
        <f t="shared" si="1082"/>
        <v/>
      </c>
      <c r="S5115" s="1">
        <f t="shared" si="1083"/>
        <v>630.90240000000244</v>
      </c>
      <c r="T5115" s="1">
        <f t="shared" si="1084"/>
        <v>0</v>
      </c>
      <c r="U5115" s="1">
        <f t="shared" si="1085"/>
        <v>0</v>
      </c>
      <c r="V5115" s="1">
        <f t="shared" si="1086"/>
        <v>0</v>
      </c>
    </row>
    <row r="5116" spans="13:22" x14ac:dyDescent="0.25">
      <c r="M5116" s="4">
        <f t="shared" si="1079"/>
        <v>173.1</v>
      </c>
      <c r="N5116" s="4"/>
      <c r="O5116" s="1">
        <f t="shared" si="1080"/>
        <v>173.1</v>
      </c>
      <c r="P5116" s="1">
        <f t="shared" si="1081"/>
        <v>0</v>
      </c>
      <c r="Q5116" s="1" t="str">
        <f t="shared" si="1087"/>
        <v/>
      </c>
      <c r="R5116" s="1" t="str">
        <f t="shared" si="1082"/>
        <v/>
      </c>
      <c r="S5116" s="1">
        <f t="shared" si="1083"/>
        <v>630.90240000000244</v>
      </c>
      <c r="T5116" s="1">
        <f t="shared" si="1084"/>
        <v>0</v>
      </c>
      <c r="U5116" s="1">
        <f t="shared" si="1085"/>
        <v>0</v>
      </c>
      <c r="V5116" s="1">
        <f t="shared" si="1086"/>
        <v>0</v>
      </c>
    </row>
    <row r="5117" spans="13:22" x14ac:dyDescent="0.25">
      <c r="M5117" s="4">
        <f t="shared" si="1079"/>
        <v>173.1</v>
      </c>
      <c r="N5117" s="4"/>
      <c r="O5117" s="1">
        <f t="shared" si="1080"/>
        <v>173.1</v>
      </c>
      <c r="P5117" s="1">
        <f t="shared" si="1081"/>
        <v>0</v>
      </c>
      <c r="Q5117" s="1" t="str">
        <f t="shared" si="1087"/>
        <v/>
      </c>
      <c r="R5117" s="1" t="str">
        <f t="shared" si="1082"/>
        <v/>
      </c>
      <c r="S5117" s="1">
        <f t="shared" si="1083"/>
        <v>630.90240000000244</v>
      </c>
      <c r="T5117" s="1">
        <f t="shared" si="1084"/>
        <v>0</v>
      </c>
      <c r="U5117" s="1">
        <f t="shared" si="1085"/>
        <v>0</v>
      </c>
      <c r="V5117" s="1">
        <f t="shared" si="1086"/>
        <v>0</v>
      </c>
    </row>
    <row r="5118" spans="13:22" x14ac:dyDescent="0.25">
      <c r="M5118" s="4">
        <f t="shared" si="1079"/>
        <v>173.1</v>
      </c>
      <c r="N5118" s="4"/>
      <c r="O5118" s="1">
        <f t="shared" si="1080"/>
        <v>173.1</v>
      </c>
      <c r="P5118" s="1">
        <f t="shared" si="1081"/>
        <v>0</v>
      </c>
      <c r="Q5118" s="1" t="str">
        <f t="shared" si="1087"/>
        <v/>
      </c>
      <c r="R5118" s="1" t="str">
        <f t="shared" si="1082"/>
        <v/>
      </c>
      <c r="S5118" s="1">
        <f t="shared" si="1083"/>
        <v>630.90240000000244</v>
      </c>
      <c r="T5118" s="1">
        <f t="shared" si="1084"/>
        <v>0</v>
      </c>
      <c r="U5118" s="1">
        <f t="shared" si="1085"/>
        <v>0</v>
      </c>
      <c r="V5118" s="1">
        <f t="shared" si="1086"/>
        <v>0</v>
      </c>
    </row>
    <row r="5119" spans="13:22" x14ac:dyDescent="0.25">
      <c r="M5119" s="4">
        <f t="shared" si="1079"/>
        <v>173.1</v>
      </c>
      <c r="N5119" s="4"/>
      <c r="O5119" s="1">
        <f t="shared" si="1080"/>
        <v>173.1</v>
      </c>
      <c r="P5119" s="1">
        <f t="shared" si="1081"/>
        <v>0</v>
      </c>
      <c r="Q5119" s="1" t="str">
        <f t="shared" si="1087"/>
        <v/>
      </c>
      <c r="R5119" s="1" t="str">
        <f t="shared" si="1082"/>
        <v/>
      </c>
      <c r="S5119" s="1">
        <f t="shared" si="1083"/>
        <v>630.90240000000244</v>
      </c>
      <c r="T5119" s="1">
        <f t="shared" si="1084"/>
        <v>0</v>
      </c>
      <c r="U5119" s="1">
        <f t="shared" si="1085"/>
        <v>0</v>
      </c>
      <c r="V5119" s="1">
        <f t="shared" si="1086"/>
        <v>0</v>
      </c>
    </row>
    <row r="5120" spans="13:22" x14ac:dyDescent="0.25">
      <c r="M5120" s="4">
        <f t="shared" si="1079"/>
        <v>173.1</v>
      </c>
      <c r="N5120" s="4"/>
      <c r="O5120" s="1">
        <f t="shared" si="1080"/>
        <v>173.1</v>
      </c>
      <c r="P5120" s="1">
        <f t="shared" si="1081"/>
        <v>0</v>
      </c>
      <c r="Q5120" s="1" t="str">
        <f t="shared" si="1087"/>
        <v/>
      </c>
      <c r="R5120" s="1" t="str">
        <f t="shared" si="1082"/>
        <v/>
      </c>
      <c r="S5120" s="1">
        <f t="shared" si="1083"/>
        <v>630.90240000000244</v>
      </c>
      <c r="T5120" s="1">
        <f t="shared" si="1084"/>
        <v>0</v>
      </c>
      <c r="U5120" s="1">
        <f t="shared" si="1085"/>
        <v>0</v>
      </c>
      <c r="V5120" s="1">
        <f t="shared" si="1086"/>
        <v>0</v>
      </c>
    </row>
    <row r="5121" spans="13:22" x14ac:dyDescent="0.25">
      <c r="M5121" s="4">
        <f t="shared" si="1079"/>
        <v>173.1</v>
      </c>
      <c r="N5121" s="4"/>
      <c r="O5121" s="1">
        <f t="shared" si="1080"/>
        <v>173.1</v>
      </c>
      <c r="P5121" s="1">
        <f t="shared" si="1081"/>
        <v>0</v>
      </c>
      <c r="Q5121" s="1" t="str">
        <f t="shared" si="1087"/>
        <v/>
      </c>
      <c r="R5121" s="1" t="str">
        <f t="shared" si="1082"/>
        <v/>
      </c>
      <c r="S5121" s="1">
        <f t="shared" si="1083"/>
        <v>630.90240000000244</v>
      </c>
      <c r="T5121" s="1">
        <f t="shared" si="1084"/>
        <v>0</v>
      </c>
      <c r="U5121" s="1">
        <f t="shared" si="1085"/>
        <v>0</v>
      </c>
      <c r="V5121" s="1">
        <f t="shared" si="1086"/>
        <v>0</v>
      </c>
    </row>
    <row r="5122" spans="13:22" x14ac:dyDescent="0.25">
      <c r="M5122" s="4">
        <f t="shared" si="1079"/>
        <v>173.1</v>
      </c>
      <c r="N5122" s="4"/>
      <c r="O5122" s="1">
        <f t="shared" si="1080"/>
        <v>173.1</v>
      </c>
      <c r="P5122" s="1">
        <f t="shared" si="1081"/>
        <v>0</v>
      </c>
      <c r="Q5122" s="1" t="str">
        <f t="shared" si="1087"/>
        <v/>
      </c>
      <c r="R5122" s="1" t="str">
        <f t="shared" si="1082"/>
        <v/>
      </c>
      <c r="S5122" s="1">
        <f t="shared" si="1083"/>
        <v>630.90240000000244</v>
      </c>
      <c r="T5122" s="1">
        <f t="shared" si="1084"/>
        <v>0</v>
      </c>
      <c r="U5122" s="1">
        <f t="shared" si="1085"/>
        <v>0</v>
      </c>
      <c r="V5122" s="1">
        <f t="shared" si="1086"/>
        <v>0</v>
      </c>
    </row>
    <row r="5123" spans="13:22" x14ac:dyDescent="0.25">
      <c r="M5123" s="4">
        <f t="shared" si="1079"/>
        <v>173.1</v>
      </c>
      <c r="N5123" s="4"/>
      <c r="O5123" s="1">
        <f t="shared" si="1080"/>
        <v>173.1</v>
      </c>
      <c r="P5123" s="1">
        <f t="shared" si="1081"/>
        <v>0</v>
      </c>
      <c r="Q5123" s="1" t="str">
        <f t="shared" si="1087"/>
        <v/>
      </c>
      <c r="R5123" s="1" t="str">
        <f t="shared" si="1082"/>
        <v/>
      </c>
      <c r="S5123" s="1">
        <f t="shared" si="1083"/>
        <v>630.90240000000244</v>
      </c>
      <c r="T5123" s="1">
        <f t="shared" si="1084"/>
        <v>0</v>
      </c>
      <c r="U5123" s="1">
        <f t="shared" si="1085"/>
        <v>0</v>
      </c>
      <c r="V5123" s="1">
        <f t="shared" si="1086"/>
        <v>0</v>
      </c>
    </row>
    <row r="5124" spans="13:22" x14ac:dyDescent="0.25">
      <c r="M5124" s="4">
        <f t="shared" si="1079"/>
        <v>173.1</v>
      </c>
      <c r="N5124" s="4"/>
      <c r="O5124" s="1">
        <f t="shared" si="1080"/>
        <v>173.1</v>
      </c>
      <c r="P5124" s="1">
        <f t="shared" si="1081"/>
        <v>0</v>
      </c>
      <c r="Q5124" s="1" t="str">
        <f t="shared" si="1087"/>
        <v/>
      </c>
      <c r="R5124" s="1" t="str">
        <f t="shared" si="1082"/>
        <v/>
      </c>
      <c r="S5124" s="1">
        <f t="shared" si="1083"/>
        <v>630.90240000000244</v>
      </c>
      <c r="T5124" s="1">
        <f t="shared" si="1084"/>
        <v>0</v>
      </c>
      <c r="U5124" s="1">
        <f t="shared" si="1085"/>
        <v>0</v>
      </c>
      <c r="V5124" s="1">
        <f t="shared" si="1086"/>
        <v>0</v>
      </c>
    </row>
    <row r="5125" spans="13:22" x14ac:dyDescent="0.25">
      <c r="M5125" s="4">
        <f t="shared" si="1079"/>
        <v>173.1</v>
      </c>
      <c r="N5125" s="4"/>
      <c r="O5125" s="1">
        <f t="shared" si="1080"/>
        <v>173.1</v>
      </c>
      <c r="P5125" s="1">
        <f t="shared" si="1081"/>
        <v>0</v>
      </c>
      <c r="Q5125" s="1" t="str">
        <f t="shared" si="1087"/>
        <v/>
      </c>
      <c r="R5125" s="1" t="str">
        <f t="shared" si="1082"/>
        <v/>
      </c>
      <c r="S5125" s="1">
        <f t="shared" si="1083"/>
        <v>630.90240000000244</v>
      </c>
      <c r="T5125" s="1">
        <f t="shared" si="1084"/>
        <v>0</v>
      </c>
      <c r="U5125" s="1">
        <f t="shared" si="1085"/>
        <v>0</v>
      </c>
      <c r="V5125" s="1">
        <f t="shared" si="1086"/>
        <v>0</v>
      </c>
    </row>
    <row r="5126" spans="13:22" x14ac:dyDescent="0.25">
      <c r="M5126" s="4">
        <f t="shared" si="1079"/>
        <v>173.1</v>
      </c>
      <c r="N5126" s="4"/>
      <c r="O5126" s="1">
        <f t="shared" si="1080"/>
        <v>173.1</v>
      </c>
      <c r="P5126" s="1">
        <f t="shared" si="1081"/>
        <v>0</v>
      </c>
      <c r="Q5126" s="1" t="str">
        <f t="shared" si="1087"/>
        <v/>
      </c>
      <c r="R5126" s="1" t="str">
        <f t="shared" si="1082"/>
        <v/>
      </c>
      <c r="S5126" s="1">
        <f t="shared" si="1083"/>
        <v>630.90240000000244</v>
      </c>
      <c r="T5126" s="1">
        <f t="shared" si="1084"/>
        <v>0</v>
      </c>
      <c r="U5126" s="1">
        <f t="shared" si="1085"/>
        <v>0</v>
      </c>
      <c r="V5126" s="1">
        <f t="shared" si="1086"/>
        <v>0</v>
      </c>
    </row>
    <row r="5127" spans="13:22" x14ac:dyDescent="0.25">
      <c r="M5127" s="4">
        <f t="shared" si="1079"/>
        <v>173.1</v>
      </c>
      <c r="N5127" s="4"/>
      <c r="O5127" s="1">
        <f t="shared" si="1080"/>
        <v>173.1</v>
      </c>
      <c r="P5127" s="1">
        <f t="shared" si="1081"/>
        <v>0</v>
      </c>
      <c r="Q5127" s="1" t="str">
        <f t="shared" si="1087"/>
        <v/>
      </c>
      <c r="R5127" s="1" t="str">
        <f t="shared" si="1082"/>
        <v/>
      </c>
      <c r="S5127" s="1">
        <f t="shared" si="1083"/>
        <v>630.90240000000244</v>
      </c>
      <c r="T5127" s="1">
        <f t="shared" si="1084"/>
        <v>0</v>
      </c>
      <c r="U5127" s="1">
        <f t="shared" si="1085"/>
        <v>0</v>
      </c>
      <c r="V5127" s="1">
        <f t="shared" si="1086"/>
        <v>0</v>
      </c>
    </row>
    <row r="5128" spans="13:22" x14ac:dyDescent="0.25">
      <c r="M5128" s="4">
        <f t="shared" ref="M5128:M5191" si="1088">E5128+M5127</f>
        <v>173.1</v>
      </c>
      <c r="N5128" s="4"/>
      <c r="O5128" s="1">
        <f t="shared" ref="O5128:O5191" si="1089">E5127+O5127</f>
        <v>173.1</v>
      </c>
      <c r="P5128" s="1">
        <f t="shared" ref="P5128:P5191" si="1090">F5128*52.8*E5128</f>
        <v>0</v>
      </c>
      <c r="Q5128" s="1" t="str">
        <f t="shared" si="1087"/>
        <v/>
      </c>
      <c r="R5128" s="1" t="str">
        <f t="shared" ref="R5128:R5191" si="1091">IF(I5128="",Q5128,IF(AND(H5128=H5127,I5128=I5127),"",I5128))</f>
        <v/>
      </c>
      <c r="S5128" s="1">
        <f t="shared" ref="S5128:S5191" si="1092">S5127+U5127*T5127/100</f>
        <v>630.90240000000244</v>
      </c>
      <c r="T5128" s="1">
        <f t="shared" ref="T5128:T5191" si="1093">IF(G5128="UNK",0,G5128)</f>
        <v>0</v>
      </c>
      <c r="U5128" s="1">
        <f t="shared" ref="U5128:U5191" si="1094">E5128*5280</f>
        <v>0</v>
      </c>
      <c r="V5128" s="1">
        <f t="shared" ref="V5128:V5191" si="1095">ABS(T5128*U5128)</f>
        <v>0</v>
      </c>
    </row>
    <row r="5129" spans="13:22" x14ac:dyDescent="0.25">
      <c r="M5129" s="4">
        <f t="shared" si="1088"/>
        <v>173.1</v>
      </c>
      <c r="N5129" s="4"/>
      <c r="O5129" s="1">
        <f t="shared" si="1089"/>
        <v>173.1</v>
      </c>
      <c r="P5129" s="1">
        <f t="shared" si="1090"/>
        <v>0</v>
      </c>
      <c r="Q5129" s="1" t="str">
        <f t="shared" si="1087"/>
        <v/>
      </c>
      <c r="R5129" s="1" t="str">
        <f t="shared" si="1091"/>
        <v/>
      </c>
      <c r="S5129" s="1">
        <f t="shared" si="1092"/>
        <v>630.90240000000244</v>
      </c>
      <c r="T5129" s="1">
        <f t="shared" si="1093"/>
        <v>0</v>
      </c>
      <c r="U5129" s="1">
        <f t="shared" si="1094"/>
        <v>0</v>
      </c>
      <c r="V5129" s="1">
        <f t="shared" si="1095"/>
        <v>0</v>
      </c>
    </row>
    <row r="5130" spans="13:22" x14ac:dyDescent="0.25">
      <c r="M5130" s="4">
        <f t="shared" si="1088"/>
        <v>173.1</v>
      </c>
      <c r="N5130" s="4"/>
      <c r="O5130" s="1">
        <f t="shared" si="1089"/>
        <v>173.1</v>
      </c>
      <c r="P5130" s="1">
        <f t="shared" si="1090"/>
        <v>0</v>
      </c>
      <c r="Q5130" s="1" t="str">
        <f t="shared" si="1087"/>
        <v/>
      </c>
      <c r="R5130" s="1" t="str">
        <f t="shared" si="1091"/>
        <v/>
      </c>
      <c r="S5130" s="1">
        <f t="shared" si="1092"/>
        <v>630.90240000000244</v>
      </c>
      <c r="T5130" s="1">
        <f t="shared" si="1093"/>
        <v>0</v>
      </c>
      <c r="U5130" s="1">
        <f t="shared" si="1094"/>
        <v>0</v>
      </c>
      <c r="V5130" s="1">
        <f t="shared" si="1095"/>
        <v>0</v>
      </c>
    </row>
    <row r="5131" spans="13:22" x14ac:dyDescent="0.25">
      <c r="M5131" s="4">
        <f t="shared" si="1088"/>
        <v>173.1</v>
      </c>
      <c r="N5131" s="4"/>
      <c r="O5131" s="1">
        <f t="shared" si="1089"/>
        <v>173.1</v>
      </c>
      <c r="P5131" s="1">
        <f t="shared" si="1090"/>
        <v>0</v>
      </c>
      <c r="Q5131" s="1" t="str">
        <f t="shared" si="1087"/>
        <v/>
      </c>
      <c r="R5131" s="1" t="str">
        <f t="shared" si="1091"/>
        <v/>
      </c>
      <c r="S5131" s="1">
        <f t="shared" si="1092"/>
        <v>630.90240000000244</v>
      </c>
      <c r="T5131" s="1">
        <f t="shared" si="1093"/>
        <v>0</v>
      </c>
      <c r="U5131" s="1">
        <f t="shared" si="1094"/>
        <v>0</v>
      </c>
      <c r="V5131" s="1">
        <f t="shared" si="1095"/>
        <v>0</v>
      </c>
    </row>
    <row r="5132" spans="13:22" x14ac:dyDescent="0.25">
      <c r="M5132" s="4">
        <f t="shared" si="1088"/>
        <v>173.1</v>
      </c>
      <c r="N5132" s="4"/>
      <c r="O5132" s="1">
        <f t="shared" si="1089"/>
        <v>173.1</v>
      </c>
      <c r="P5132" s="1">
        <f t="shared" si="1090"/>
        <v>0</v>
      </c>
      <c r="Q5132" s="1" t="str">
        <f t="shared" si="1087"/>
        <v/>
      </c>
      <c r="R5132" s="1" t="str">
        <f t="shared" si="1091"/>
        <v/>
      </c>
      <c r="S5132" s="1">
        <f t="shared" si="1092"/>
        <v>630.90240000000244</v>
      </c>
      <c r="T5132" s="1">
        <f t="shared" si="1093"/>
        <v>0</v>
      </c>
      <c r="U5132" s="1">
        <f t="shared" si="1094"/>
        <v>0</v>
      </c>
      <c r="V5132" s="1">
        <f t="shared" si="1095"/>
        <v>0</v>
      </c>
    </row>
    <row r="5133" spans="13:22" x14ac:dyDescent="0.25">
      <c r="M5133" s="4">
        <f t="shared" si="1088"/>
        <v>173.1</v>
      </c>
      <c r="N5133" s="4"/>
      <c r="O5133" s="1">
        <f t="shared" si="1089"/>
        <v>173.1</v>
      </c>
      <c r="P5133" s="1">
        <f t="shared" si="1090"/>
        <v>0</v>
      </c>
      <c r="Q5133" s="1" t="str">
        <f t="shared" si="1087"/>
        <v/>
      </c>
      <c r="R5133" s="1" t="str">
        <f t="shared" si="1091"/>
        <v/>
      </c>
      <c r="S5133" s="1">
        <f t="shared" si="1092"/>
        <v>630.90240000000244</v>
      </c>
      <c r="T5133" s="1">
        <f t="shared" si="1093"/>
        <v>0</v>
      </c>
      <c r="U5133" s="1">
        <f t="shared" si="1094"/>
        <v>0</v>
      </c>
      <c r="V5133" s="1">
        <f t="shared" si="1095"/>
        <v>0</v>
      </c>
    </row>
    <row r="5134" spans="13:22" x14ac:dyDescent="0.25">
      <c r="M5134" s="4">
        <f t="shared" si="1088"/>
        <v>173.1</v>
      </c>
      <c r="N5134" s="4"/>
      <c r="O5134" s="1">
        <f t="shared" si="1089"/>
        <v>173.1</v>
      </c>
      <c r="P5134" s="1">
        <f t="shared" si="1090"/>
        <v>0</v>
      </c>
      <c r="Q5134" s="1" t="str">
        <f t="shared" si="1087"/>
        <v/>
      </c>
      <c r="R5134" s="1" t="str">
        <f t="shared" si="1091"/>
        <v/>
      </c>
      <c r="S5134" s="1">
        <f t="shared" si="1092"/>
        <v>630.90240000000244</v>
      </c>
      <c r="T5134" s="1">
        <f t="shared" si="1093"/>
        <v>0</v>
      </c>
      <c r="U5134" s="1">
        <f t="shared" si="1094"/>
        <v>0</v>
      </c>
      <c r="V5134" s="1">
        <f t="shared" si="1095"/>
        <v>0</v>
      </c>
    </row>
    <row r="5135" spans="13:22" x14ac:dyDescent="0.25">
      <c r="M5135" s="4">
        <f t="shared" si="1088"/>
        <v>173.1</v>
      </c>
      <c r="N5135" s="4"/>
      <c r="O5135" s="1">
        <f t="shared" si="1089"/>
        <v>173.1</v>
      </c>
      <c r="P5135" s="1">
        <f t="shared" si="1090"/>
        <v>0</v>
      </c>
      <c r="Q5135" s="1" t="str">
        <f t="shared" si="1087"/>
        <v/>
      </c>
      <c r="R5135" s="1" t="str">
        <f t="shared" si="1091"/>
        <v/>
      </c>
      <c r="S5135" s="1">
        <f t="shared" si="1092"/>
        <v>630.90240000000244</v>
      </c>
      <c r="T5135" s="1">
        <f t="shared" si="1093"/>
        <v>0</v>
      </c>
      <c r="U5135" s="1">
        <f t="shared" si="1094"/>
        <v>0</v>
      </c>
      <c r="V5135" s="1">
        <f t="shared" si="1095"/>
        <v>0</v>
      </c>
    </row>
    <row r="5136" spans="13:22" x14ac:dyDescent="0.25">
      <c r="M5136" s="4">
        <f t="shared" si="1088"/>
        <v>173.1</v>
      </c>
      <c r="N5136" s="4"/>
      <c r="O5136" s="1">
        <f t="shared" si="1089"/>
        <v>173.1</v>
      </c>
      <c r="P5136" s="1">
        <f t="shared" si="1090"/>
        <v>0</v>
      </c>
      <c r="Q5136" s="1" t="str">
        <f t="shared" si="1087"/>
        <v/>
      </c>
      <c r="R5136" s="1" t="str">
        <f t="shared" si="1091"/>
        <v/>
      </c>
      <c r="S5136" s="1">
        <f t="shared" si="1092"/>
        <v>630.90240000000244</v>
      </c>
      <c r="T5136" s="1">
        <f t="shared" si="1093"/>
        <v>0</v>
      </c>
      <c r="U5136" s="1">
        <f t="shared" si="1094"/>
        <v>0</v>
      </c>
      <c r="V5136" s="1">
        <f t="shared" si="1095"/>
        <v>0</v>
      </c>
    </row>
    <row r="5137" spans="13:22" x14ac:dyDescent="0.25">
      <c r="M5137" s="4">
        <f t="shared" si="1088"/>
        <v>173.1</v>
      </c>
      <c r="N5137" s="4"/>
      <c r="O5137" s="1">
        <f t="shared" si="1089"/>
        <v>173.1</v>
      </c>
      <c r="P5137" s="1">
        <f t="shared" si="1090"/>
        <v>0</v>
      </c>
      <c r="Q5137" s="1" t="str">
        <f t="shared" si="1087"/>
        <v/>
      </c>
      <c r="R5137" s="1" t="str">
        <f t="shared" si="1091"/>
        <v/>
      </c>
      <c r="S5137" s="1">
        <f t="shared" si="1092"/>
        <v>630.90240000000244</v>
      </c>
      <c r="T5137" s="1">
        <f t="shared" si="1093"/>
        <v>0</v>
      </c>
      <c r="U5137" s="1">
        <f t="shared" si="1094"/>
        <v>0</v>
      </c>
      <c r="V5137" s="1">
        <f t="shared" si="1095"/>
        <v>0</v>
      </c>
    </row>
    <row r="5138" spans="13:22" x14ac:dyDescent="0.25">
      <c r="M5138" s="4">
        <f t="shared" si="1088"/>
        <v>173.1</v>
      </c>
      <c r="N5138" s="4"/>
      <c r="O5138" s="1">
        <f t="shared" si="1089"/>
        <v>173.1</v>
      </c>
      <c r="P5138" s="1">
        <f t="shared" si="1090"/>
        <v>0</v>
      </c>
      <c r="Q5138" s="1" t="str">
        <f t="shared" si="1087"/>
        <v/>
      </c>
      <c r="R5138" s="1" t="str">
        <f t="shared" si="1091"/>
        <v/>
      </c>
      <c r="S5138" s="1">
        <f t="shared" si="1092"/>
        <v>630.90240000000244</v>
      </c>
      <c r="T5138" s="1">
        <f t="shared" si="1093"/>
        <v>0</v>
      </c>
      <c r="U5138" s="1">
        <f t="shared" si="1094"/>
        <v>0</v>
      </c>
      <c r="V5138" s="1">
        <f t="shared" si="1095"/>
        <v>0</v>
      </c>
    </row>
    <row r="5139" spans="13:22" x14ac:dyDescent="0.25">
      <c r="M5139" s="4">
        <f t="shared" si="1088"/>
        <v>173.1</v>
      </c>
      <c r="N5139" s="4"/>
      <c r="O5139" s="1">
        <f t="shared" si="1089"/>
        <v>173.1</v>
      </c>
      <c r="P5139" s="1">
        <f t="shared" si="1090"/>
        <v>0</v>
      </c>
      <c r="Q5139" s="1" t="str">
        <f t="shared" si="1087"/>
        <v/>
      </c>
      <c r="R5139" s="1" t="str">
        <f t="shared" si="1091"/>
        <v/>
      </c>
      <c r="S5139" s="1">
        <f t="shared" si="1092"/>
        <v>630.90240000000244</v>
      </c>
      <c r="T5139" s="1">
        <f t="shared" si="1093"/>
        <v>0</v>
      </c>
      <c r="U5139" s="1">
        <f t="shared" si="1094"/>
        <v>0</v>
      </c>
      <c r="V5139" s="1">
        <f t="shared" si="1095"/>
        <v>0</v>
      </c>
    </row>
    <row r="5140" spans="13:22" x14ac:dyDescent="0.25">
      <c r="M5140" s="4">
        <f t="shared" si="1088"/>
        <v>173.1</v>
      </c>
      <c r="N5140" s="4"/>
      <c r="O5140" s="1">
        <f t="shared" si="1089"/>
        <v>173.1</v>
      </c>
      <c r="P5140" s="1">
        <f t="shared" si="1090"/>
        <v>0</v>
      </c>
      <c r="Q5140" s="1" t="str">
        <f t="shared" si="1087"/>
        <v/>
      </c>
      <c r="R5140" s="1" t="str">
        <f t="shared" si="1091"/>
        <v/>
      </c>
      <c r="S5140" s="1">
        <f t="shared" si="1092"/>
        <v>630.90240000000244</v>
      </c>
      <c r="T5140" s="1">
        <f t="shared" si="1093"/>
        <v>0</v>
      </c>
      <c r="U5140" s="1">
        <f t="shared" si="1094"/>
        <v>0</v>
      </c>
      <c r="V5140" s="1">
        <f t="shared" si="1095"/>
        <v>0</v>
      </c>
    </row>
    <row r="5141" spans="13:22" x14ac:dyDescent="0.25">
      <c r="M5141" s="4">
        <f t="shared" si="1088"/>
        <v>173.1</v>
      </c>
      <c r="N5141" s="4"/>
      <c r="O5141" s="1">
        <f t="shared" si="1089"/>
        <v>173.1</v>
      </c>
      <c r="P5141" s="1">
        <f t="shared" si="1090"/>
        <v>0</v>
      </c>
      <c r="Q5141" s="1" t="str">
        <f t="shared" si="1087"/>
        <v/>
      </c>
      <c r="R5141" s="1" t="str">
        <f t="shared" si="1091"/>
        <v/>
      </c>
      <c r="S5141" s="1">
        <f t="shared" si="1092"/>
        <v>630.90240000000244</v>
      </c>
      <c r="T5141" s="1">
        <f t="shared" si="1093"/>
        <v>0</v>
      </c>
      <c r="U5141" s="1">
        <f t="shared" si="1094"/>
        <v>0</v>
      </c>
      <c r="V5141" s="1">
        <f t="shared" si="1095"/>
        <v>0</v>
      </c>
    </row>
    <row r="5142" spans="13:22" x14ac:dyDescent="0.25">
      <c r="M5142" s="4">
        <f t="shared" si="1088"/>
        <v>173.1</v>
      </c>
      <c r="N5142" s="4"/>
      <c r="O5142" s="1">
        <f t="shared" si="1089"/>
        <v>173.1</v>
      </c>
      <c r="P5142" s="1">
        <f t="shared" si="1090"/>
        <v>0</v>
      </c>
      <c r="Q5142" s="1" t="str">
        <f t="shared" si="1087"/>
        <v/>
      </c>
      <c r="R5142" s="1" t="str">
        <f t="shared" si="1091"/>
        <v/>
      </c>
      <c r="S5142" s="1">
        <f t="shared" si="1092"/>
        <v>630.90240000000244</v>
      </c>
      <c r="T5142" s="1">
        <f t="shared" si="1093"/>
        <v>0</v>
      </c>
      <c r="U5142" s="1">
        <f t="shared" si="1094"/>
        <v>0</v>
      </c>
      <c r="V5142" s="1">
        <f t="shared" si="1095"/>
        <v>0</v>
      </c>
    </row>
    <row r="5143" spans="13:22" x14ac:dyDescent="0.25">
      <c r="M5143" s="4">
        <f t="shared" si="1088"/>
        <v>173.1</v>
      </c>
      <c r="N5143" s="4"/>
      <c r="O5143" s="1">
        <f t="shared" si="1089"/>
        <v>173.1</v>
      </c>
      <c r="P5143" s="1">
        <f t="shared" si="1090"/>
        <v>0</v>
      </c>
      <c r="Q5143" s="1" t="str">
        <f t="shared" si="1087"/>
        <v/>
      </c>
      <c r="R5143" s="1" t="str">
        <f t="shared" si="1091"/>
        <v/>
      </c>
      <c r="S5143" s="1">
        <f t="shared" si="1092"/>
        <v>630.90240000000244</v>
      </c>
      <c r="T5143" s="1">
        <f t="shared" si="1093"/>
        <v>0</v>
      </c>
      <c r="U5143" s="1">
        <f t="shared" si="1094"/>
        <v>0</v>
      </c>
      <c r="V5143" s="1">
        <f t="shared" si="1095"/>
        <v>0</v>
      </c>
    </row>
    <row r="5144" spans="13:22" x14ac:dyDescent="0.25">
      <c r="M5144" s="4">
        <f t="shared" si="1088"/>
        <v>173.1</v>
      </c>
      <c r="N5144" s="4"/>
      <c r="O5144" s="1">
        <f t="shared" si="1089"/>
        <v>173.1</v>
      </c>
      <c r="P5144" s="1">
        <f t="shared" si="1090"/>
        <v>0</v>
      </c>
      <c r="Q5144" s="1" t="str">
        <f t="shared" si="1087"/>
        <v/>
      </c>
      <c r="R5144" s="1" t="str">
        <f t="shared" si="1091"/>
        <v/>
      </c>
      <c r="S5144" s="1">
        <f t="shared" si="1092"/>
        <v>630.90240000000244</v>
      </c>
      <c r="T5144" s="1">
        <f t="shared" si="1093"/>
        <v>0</v>
      </c>
      <c r="U5144" s="1">
        <f t="shared" si="1094"/>
        <v>0</v>
      </c>
      <c r="V5144" s="1">
        <f t="shared" si="1095"/>
        <v>0</v>
      </c>
    </row>
    <row r="5145" spans="13:22" x14ac:dyDescent="0.25">
      <c r="M5145" s="4">
        <f t="shared" si="1088"/>
        <v>173.1</v>
      </c>
      <c r="N5145" s="4"/>
      <c r="O5145" s="1">
        <f t="shared" si="1089"/>
        <v>173.1</v>
      </c>
      <c r="P5145" s="1">
        <f t="shared" si="1090"/>
        <v>0</v>
      </c>
      <c r="Q5145" s="1" t="str">
        <f t="shared" si="1087"/>
        <v/>
      </c>
      <c r="R5145" s="1" t="str">
        <f t="shared" si="1091"/>
        <v/>
      </c>
      <c r="S5145" s="1">
        <f t="shared" si="1092"/>
        <v>630.90240000000244</v>
      </c>
      <c r="T5145" s="1">
        <f t="shared" si="1093"/>
        <v>0</v>
      </c>
      <c r="U5145" s="1">
        <f t="shared" si="1094"/>
        <v>0</v>
      </c>
      <c r="V5145" s="1">
        <f t="shared" si="1095"/>
        <v>0</v>
      </c>
    </row>
    <row r="5146" spans="13:22" x14ac:dyDescent="0.25">
      <c r="M5146" s="4">
        <f t="shared" si="1088"/>
        <v>173.1</v>
      </c>
      <c r="N5146" s="4"/>
      <c r="O5146" s="1">
        <f t="shared" si="1089"/>
        <v>173.1</v>
      </c>
      <c r="P5146" s="1">
        <f t="shared" si="1090"/>
        <v>0</v>
      </c>
      <c r="Q5146" s="1" t="str">
        <f t="shared" si="1087"/>
        <v/>
      </c>
      <c r="R5146" s="1" t="str">
        <f t="shared" si="1091"/>
        <v/>
      </c>
      <c r="S5146" s="1">
        <f t="shared" si="1092"/>
        <v>630.90240000000244</v>
      </c>
      <c r="T5146" s="1">
        <f t="shared" si="1093"/>
        <v>0</v>
      </c>
      <c r="U5146" s="1">
        <f t="shared" si="1094"/>
        <v>0</v>
      </c>
      <c r="V5146" s="1">
        <f t="shared" si="1095"/>
        <v>0</v>
      </c>
    </row>
    <row r="5147" spans="13:22" x14ac:dyDescent="0.25">
      <c r="M5147" s="4">
        <f t="shared" si="1088"/>
        <v>173.1</v>
      </c>
      <c r="N5147" s="4"/>
      <c r="O5147" s="1">
        <f t="shared" si="1089"/>
        <v>173.1</v>
      </c>
      <c r="P5147" s="1">
        <f t="shared" si="1090"/>
        <v>0</v>
      </c>
      <c r="Q5147" s="1" t="str">
        <f t="shared" si="1087"/>
        <v/>
      </c>
      <c r="R5147" s="1" t="str">
        <f t="shared" si="1091"/>
        <v/>
      </c>
      <c r="S5147" s="1">
        <f t="shared" si="1092"/>
        <v>630.90240000000244</v>
      </c>
      <c r="T5147" s="1">
        <f t="shared" si="1093"/>
        <v>0</v>
      </c>
      <c r="U5147" s="1">
        <f t="shared" si="1094"/>
        <v>0</v>
      </c>
      <c r="V5147" s="1">
        <f t="shared" si="1095"/>
        <v>0</v>
      </c>
    </row>
    <row r="5148" spans="13:22" x14ac:dyDescent="0.25">
      <c r="M5148" s="4">
        <f t="shared" si="1088"/>
        <v>173.1</v>
      </c>
      <c r="N5148" s="4"/>
      <c r="O5148" s="1">
        <f t="shared" si="1089"/>
        <v>173.1</v>
      </c>
      <c r="P5148" s="1">
        <f t="shared" si="1090"/>
        <v>0</v>
      </c>
      <c r="Q5148" s="1" t="str">
        <f t="shared" si="1087"/>
        <v/>
      </c>
      <c r="R5148" s="1" t="str">
        <f t="shared" si="1091"/>
        <v/>
      </c>
      <c r="S5148" s="1">
        <f t="shared" si="1092"/>
        <v>630.90240000000244</v>
      </c>
      <c r="T5148" s="1">
        <f t="shared" si="1093"/>
        <v>0</v>
      </c>
      <c r="U5148" s="1">
        <f t="shared" si="1094"/>
        <v>0</v>
      </c>
      <c r="V5148" s="1">
        <f t="shared" si="1095"/>
        <v>0</v>
      </c>
    </row>
    <row r="5149" spans="13:22" x14ac:dyDescent="0.25">
      <c r="M5149" s="4">
        <f t="shared" si="1088"/>
        <v>173.1</v>
      </c>
      <c r="N5149" s="4"/>
      <c r="O5149" s="1">
        <f t="shared" si="1089"/>
        <v>173.1</v>
      </c>
      <c r="P5149" s="1">
        <f t="shared" si="1090"/>
        <v>0</v>
      </c>
      <c r="Q5149" s="1" t="str">
        <f t="shared" si="1087"/>
        <v/>
      </c>
      <c r="R5149" s="1" t="str">
        <f t="shared" si="1091"/>
        <v/>
      </c>
      <c r="S5149" s="1">
        <f t="shared" si="1092"/>
        <v>630.90240000000244</v>
      </c>
      <c r="T5149" s="1">
        <f t="shared" si="1093"/>
        <v>0</v>
      </c>
      <c r="U5149" s="1">
        <f t="shared" si="1094"/>
        <v>0</v>
      </c>
      <c r="V5149" s="1">
        <f t="shared" si="1095"/>
        <v>0</v>
      </c>
    </row>
    <row r="5150" spans="13:22" x14ac:dyDescent="0.25">
      <c r="M5150" s="4">
        <f t="shared" si="1088"/>
        <v>173.1</v>
      </c>
      <c r="N5150" s="4"/>
      <c r="O5150" s="1">
        <f t="shared" si="1089"/>
        <v>173.1</v>
      </c>
      <c r="P5150" s="1">
        <f t="shared" si="1090"/>
        <v>0</v>
      </c>
      <c r="Q5150" s="1" t="str">
        <f t="shared" si="1087"/>
        <v/>
      </c>
      <c r="R5150" s="1" t="str">
        <f t="shared" si="1091"/>
        <v/>
      </c>
      <c r="S5150" s="1">
        <f t="shared" si="1092"/>
        <v>630.90240000000244</v>
      </c>
      <c r="T5150" s="1">
        <f t="shared" si="1093"/>
        <v>0</v>
      </c>
      <c r="U5150" s="1">
        <f t="shared" si="1094"/>
        <v>0</v>
      </c>
      <c r="V5150" s="1">
        <f t="shared" si="1095"/>
        <v>0</v>
      </c>
    </row>
    <row r="5151" spans="13:22" x14ac:dyDescent="0.25">
      <c r="M5151" s="4">
        <f t="shared" si="1088"/>
        <v>173.1</v>
      </c>
      <c r="N5151" s="4"/>
      <c r="O5151" s="1">
        <f t="shared" si="1089"/>
        <v>173.1</v>
      </c>
      <c r="P5151" s="1">
        <f t="shared" si="1090"/>
        <v>0</v>
      </c>
      <c r="Q5151" s="1" t="str">
        <f t="shared" si="1087"/>
        <v/>
      </c>
      <c r="R5151" s="1" t="str">
        <f t="shared" si="1091"/>
        <v/>
      </c>
      <c r="S5151" s="1">
        <f t="shared" si="1092"/>
        <v>630.90240000000244</v>
      </c>
      <c r="T5151" s="1">
        <f t="shared" si="1093"/>
        <v>0</v>
      </c>
      <c r="U5151" s="1">
        <f t="shared" si="1094"/>
        <v>0</v>
      </c>
      <c r="V5151" s="1">
        <f t="shared" si="1095"/>
        <v>0</v>
      </c>
    </row>
    <row r="5152" spans="13:22" x14ac:dyDescent="0.25">
      <c r="M5152" s="4">
        <f t="shared" si="1088"/>
        <v>173.1</v>
      </c>
      <c r="N5152" s="4"/>
      <c r="O5152" s="1">
        <f t="shared" si="1089"/>
        <v>173.1</v>
      </c>
      <c r="P5152" s="1">
        <f t="shared" si="1090"/>
        <v>0</v>
      </c>
      <c r="Q5152" s="1" t="str">
        <f t="shared" si="1087"/>
        <v/>
      </c>
      <c r="R5152" s="1" t="str">
        <f t="shared" si="1091"/>
        <v/>
      </c>
      <c r="S5152" s="1">
        <f t="shared" si="1092"/>
        <v>630.90240000000244</v>
      </c>
      <c r="T5152" s="1">
        <f t="shared" si="1093"/>
        <v>0</v>
      </c>
      <c r="U5152" s="1">
        <f t="shared" si="1094"/>
        <v>0</v>
      </c>
      <c r="V5152" s="1">
        <f t="shared" si="1095"/>
        <v>0</v>
      </c>
    </row>
    <row r="5153" spans="13:22" x14ac:dyDescent="0.25">
      <c r="M5153" s="4">
        <f t="shared" si="1088"/>
        <v>173.1</v>
      </c>
      <c r="N5153" s="4"/>
      <c r="O5153" s="1">
        <f t="shared" si="1089"/>
        <v>173.1</v>
      </c>
      <c r="P5153" s="1">
        <f t="shared" si="1090"/>
        <v>0</v>
      </c>
      <c r="Q5153" s="1" t="str">
        <f t="shared" si="1087"/>
        <v/>
      </c>
      <c r="R5153" s="1" t="str">
        <f t="shared" si="1091"/>
        <v/>
      </c>
      <c r="S5153" s="1">
        <f t="shared" si="1092"/>
        <v>630.90240000000244</v>
      </c>
      <c r="T5153" s="1">
        <f t="shared" si="1093"/>
        <v>0</v>
      </c>
      <c r="U5153" s="1">
        <f t="shared" si="1094"/>
        <v>0</v>
      </c>
      <c r="V5153" s="1">
        <f t="shared" si="1095"/>
        <v>0</v>
      </c>
    </row>
    <row r="5154" spans="13:22" x14ac:dyDescent="0.25">
      <c r="M5154" s="4">
        <f t="shared" si="1088"/>
        <v>173.1</v>
      </c>
      <c r="N5154" s="4"/>
      <c r="O5154" s="1">
        <f t="shared" si="1089"/>
        <v>173.1</v>
      </c>
      <c r="P5154" s="1">
        <f t="shared" si="1090"/>
        <v>0</v>
      </c>
      <c r="Q5154" s="1" t="str">
        <f t="shared" si="1087"/>
        <v/>
      </c>
      <c r="R5154" s="1" t="str">
        <f t="shared" si="1091"/>
        <v/>
      </c>
      <c r="S5154" s="1">
        <f t="shared" si="1092"/>
        <v>630.90240000000244</v>
      </c>
      <c r="T5154" s="1">
        <f t="shared" si="1093"/>
        <v>0</v>
      </c>
      <c r="U5154" s="1">
        <f t="shared" si="1094"/>
        <v>0</v>
      </c>
      <c r="V5154" s="1">
        <f t="shared" si="1095"/>
        <v>0</v>
      </c>
    </row>
    <row r="5155" spans="13:22" x14ac:dyDescent="0.25">
      <c r="M5155" s="4">
        <f t="shared" si="1088"/>
        <v>173.1</v>
      </c>
      <c r="N5155" s="4"/>
      <c r="O5155" s="1">
        <f t="shared" si="1089"/>
        <v>173.1</v>
      </c>
      <c r="P5155" s="1">
        <f t="shared" si="1090"/>
        <v>0</v>
      </c>
      <c r="Q5155" s="1" t="str">
        <f t="shared" si="1087"/>
        <v/>
      </c>
      <c r="R5155" s="1" t="str">
        <f t="shared" si="1091"/>
        <v/>
      </c>
      <c r="S5155" s="1">
        <f t="shared" si="1092"/>
        <v>630.90240000000244</v>
      </c>
      <c r="T5155" s="1">
        <f t="shared" si="1093"/>
        <v>0</v>
      </c>
      <c r="U5155" s="1">
        <f t="shared" si="1094"/>
        <v>0</v>
      </c>
      <c r="V5155" s="1">
        <f t="shared" si="1095"/>
        <v>0</v>
      </c>
    </row>
    <row r="5156" spans="13:22" x14ac:dyDescent="0.25">
      <c r="M5156" s="4">
        <f t="shared" si="1088"/>
        <v>173.1</v>
      </c>
      <c r="N5156" s="4"/>
      <c r="O5156" s="1">
        <f t="shared" si="1089"/>
        <v>173.1</v>
      </c>
      <c r="P5156" s="1">
        <f t="shared" si="1090"/>
        <v>0</v>
      </c>
      <c r="Q5156" s="1" t="str">
        <f t="shared" si="1087"/>
        <v/>
      </c>
      <c r="R5156" s="1" t="str">
        <f t="shared" si="1091"/>
        <v/>
      </c>
      <c r="S5156" s="1">
        <f t="shared" si="1092"/>
        <v>630.90240000000244</v>
      </c>
      <c r="T5156" s="1">
        <f t="shared" si="1093"/>
        <v>0</v>
      </c>
      <c r="U5156" s="1">
        <f t="shared" si="1094"/>
        <v>0</v>
      </c>
      <c r="V5156" s="1">
        <f t="shared" si="1095"/>
        <v>0</v>
      </c>
    </row>
    <row r="5157" spans="13:22" x14ac:dyDescent="0.25">
      <c r="M5157" s="4">
        <f t="shared" si="1088"/>
        <v>173.1</v>
      </c>
      <c r="N5157" s="4"/>
      <c r="O5157" s="1">
        <f t="shared" si="1089"/>
        <v>173.1</v>
      </c>
      <c r="P5157" s="1">
        <f t="shared" si="1090"/>
        <v>0</v>
      </c>
      <c r="Q5157" s="1" t="str">
        <f t="shared" si="1087"/>
        <v/>
      </c>
      <c r="R5157" s="1" t="str">
        <f t="shared" si="1091"/>
        <v/>
      </c>
      <c r="S5157" s="1">
        <f t="shared" si="1092"/>
        <v>630.90240000000244</v>
      </c>
      <c r="T5157" s="1">
        <f t="shared" si="1093"/>
        <v>0</v>
      </c>
      <c r="U5157" s="1">
        <f t="shared" si="1094"/>
        <v>0</v>
      </c>
      <c r="V5157" s="1">
        <f t="shared" si="1095"/>
        <v>0</v>
      </c>
    </row>
    <row r="5158" spans="13:22" x14ac:dyDescent="0.25">
      <c r="M5158" s="4">
        <f t="shared" si="1088"/>
        <v>173.1</v>
      </c>
      <c r="N5158" s="4"/>
      <c r="O5158" s="1">
        <f t="shared" si="1089"/>
        <v>173.1</v>
      </c>
      <c r="P5158" s="1">
        <f t="shared" si="1090"/>
        <v>0</v>
      </c>
      <c r="Q5158" s="1" t="str">
        <f t="shared" si="1087"/>
        <v/>
      </c>
      <c r="R5158" s="1" t="str">
        <f t="shared" si="1091"/>
        <v/>
      </c>
      <c r="S5158" s="1">
        <f t="shared" si="1092"/>
        <v>630.90240000000244</v>
      </c>
      <c r="T5158" s="1">
        <f t="shared" si="1093"/>
        <v>0</v>
      </c>
      <c r="U5158" s="1">
        <f t="shared" si="1094"/>
        <v>0</v>
      </c>
      <c r="V5158" s="1">
        <f t="shared" si="1095"/>
        <v>0</v>
      </c>
    </row>
    <row r="5159" spans="13:22" x14ac:dyDescent="0.25">
      <c r="M5159" s="4">
        <f t="shared" si="1088"/>
        <v>173.1</v>
      </c>
      <c r="N5159" s="4"/>
      <c r="O5159" s="1">
        <f t="shared" si="1089"/>
        <v>173.1</v>
      </c>
      <c r="P5159" s="1">
        <f t="shared" si="1090"/>
        <v>0</v>
      </c>
      <c r="Q5159" s="1" t="str">
        <f t="shared" si="1087"/>
        <v/>
      </c>
      <c r="R5159" s="1" t="str">
        <f t="shared" si="1091"/>
        <v/>
      </c>
      <c r="S5159" s="1">
        <f t="shared" si="1092"/>
        <v>630.90240000000244</v>
      </c>
      <c r="T5159" s="1">
        <f t="shared" si="1093"/>
        <v>0</v>
      </c>
      <c r="U5159" s="1">
        <f t="shared" si="1094"/>
        <v>0</v>
      </c>
      <c r="V5159" s="1">
        <f t="shared" si="1095"/>
        <v>0</v>
      </c>
    </row>
    <row r="5160" spans="13:22" x14ac:dyDescent="0.25">
      <c r="M5160" s="4">
        <f t="shared" si="1088"/>
        <v>173.1</v>
      </c>
      <c r="N5160" s="4"/>
      <c r="O5160" s="1">
        <f t="shared" si="1089"/>
        <v>173.1</v>
      </c>
      <c r="P5160" s="1">
        <f t="shared" si="1090"/>
        <v>0</v>
      </c>
      <c r="Q5160" s="1" t="str">
        <f t="shared" si="1087"/>
        <v/>
      </c>
      <c r="R5160" s="1" t="str">
        <f t="shared" si="1091"/>
        <v/>
      </c>
      <c r="S5160" s="1">
        <f t="shared" si="1092"/>
        <v>630.90240000000244</v>
      </c>
      <c r="T5160" s="1">
        <f t="shared" si="1093"/>
        <v>0</v>
      </c>
      <c r="U5160" s="1">
        <f t="shared" si="1094"/>
        <v>0</v>
      </c>
      <c r="V5160" s="1">
        <f t="shared" si="1095"/>
        <v>0</v>
      </c>
    </row>
    <row r="5161" spans="13:22" x14ac:dyDescent="0.25">
      <c r="M5161" s="4">
        <f t="shared" si="1088"/>
        <v>173.1</v>
      </c>
      <c r="N5161" s="4"/>
      <c r="O5161" s="1">
        <f t="shared" si="1089"/>
        <v>173.1</v>
      </c>
      <c r="P5161" s="1">
        <f t="shared" si="1090"/>
        <v>0</v>
      </c>
      <c r="Q5161" s="1" t="str">
        <f t="shared" si="1087"/>
        <v/>
      </c>
      <c r="R5161" s="1" t="str">
        <f t="shared" si="1091"/>
        <v/>
      </c>
      <c r="S5161" s="1">
        <f t="shared" si="1092"/>
        <v>630.90240000000244</v>
      </c>
      <c r="T5161" s="1">
        <f t="shared" si="1093"/>
        <v>0</v>
      </c>
      <c r="U5161" s="1">
        <f t="shared" si="1094"/>
        <v>0</v>
      </c>
      <c r="V5161" s="1">
        <f t="shared" si="1095"/>
        <v>0</v>
      </c>
    </row>
    <row r="5162" spans="13:22" x14ac:dyDescent="0.25">
      <c r="M5162" s="4">
        <f t="shared" si="1088"/>
        <v>173.1</v>
      </c>
      <c r="N5162" s="4"/>
      <c r="O5162" s="1">
        <f t="shared" si="1089"/>
        <v>173.1</v>
      </c>
      <c r="P5162" s="1">
        <f t="shared" si="1090"/>
        <v>0</v>
      </c>
      <c r="Q5162" s="1" t="str">
        <f t="shared" si="1087"/>
        <v/>
      </c>
      <c r="R5162" s="1" t="str">
        <f t="shared" si="1091"/>
        <v/>
      </c>
      <c r="S5162" s="1">
        <f t="shared" si="1092"/>
        <v>630.90240000000244</v>
      </c>
      <c r="T5162" s="1">
        <f t="shared" si="1093"/>
        <v>0</v>
      </c>
      <c r="U5162" s="1">
        <f t="shared" si="1094"/>
        <v>0</v>
      </c>
      <c r="V5162" s="1">
        <f t="shared" si="1095"/>
        <v>0</v>
      </c>
    </row>
    <row r="5163" spans="13:22" x14ac:dyDescent="0.25">
      <c r="M5163" s="4">
        <f t="shared" si="1088"/>
        <v>173.1</v>
      </c>
      <c r="N5163" s="4"/>
      <c r="O5163" s="1">
        <f t="shared" si="1089"/>
        <v>173.1</v>
      </c>
      <c r="P5163" s="1">
        <f t="shared" si="1090"/>
        <v>0</v>
      </c>
      <c r="Q5163" s="1" t="str">
        <f t="shared" si="1087"/>
        <v/>
      </c>
      <c r="R5163" s="1" t="str">
        <f t="shared" si="1091"/>
        <v/>
      </c>
      <c r="S5163" s="1">
        <f t="shared" si="1092"/>
        <v>630.90240000000244</v>
      </c>
      <c r="T5163" s="1">
        <f t="shared" si="1093"/>
        <v>0</v>
      </c>
      <c r="U5163" s="1">
        <f t="shared" si="1094"/>
        <v>0</v>
      </c>
      <c r="V5163" s="1">
        <f t="shared" si="1095"/>
        <v>0</v>
      </c>
    </row>
    <row r="5164" spans="13:22" x14ac:dyDescent="0.25">
      <c r="M5164" s="4">
        <f t="shared" si="1088"/>
        <v>173.1</v>
      </c>
      <c r="N5164" s="4"/>
      <c r="O5164" s="1">
        <f t="shared" si="1089"/>
        <v>173.1</v>
      </c>
      <c r="P5164" s="1">
        <f t="shared" si="1090"/>
        <v>0</v>
      </c>
      <c r="Q5164" s="1" t="str">
        <f t="shared" si="1087"/>
        <v/>
      </c>
      <c r="R5164" s="1" t="str">
        <f t="shared" si="1091"/>
        <v/>
      </c>
      <c r="S5164" s="1">
        <f t="shared" si="1092"/>
        <v>630.90240000000244</v>
      </c>
      <c r="T5164" s="1">
        <f t="shared" si="1093"/>
        <v>0</v>
      </c>
      <c r="U5164" s="1">
        <f t="shared" si="1094"/>
        <v>0</v>
      </c>
      <c r="V5164" s="1">
        <f t="shared" si="1095"/>
        <v>0</v>
      </c>
    </row>
    <row r="5165" spans="13:22" x14ac:dyDescent="0.25">
      <c r="M5165" s="4">
        <f t="shared" si="1088"/>
        <v>173.1</v>
      </c>
      <c r="N5165" s="4"/>
      <c r="O5165" s="1">
        <f t="shared" si="1089"/>
        <v>173.1</v>
      </c>
      <c r="P5165" s="1">
        <f t="shared" si="1090"/>
        <v>0</v>
      </c>
      <c r="Q5165" s="1" t="str">
        <f t="shared" si="1087"/>
        <v/>
      </c>
      <c r="R5165" s="1" t="str">
        <f t="shared" si="1091"/>
        <v/>
      </c>
      <c r="S5165" s="1">
        <f t="shared" si="1092"/>
        <v>630.90240000000244</v>
      </c>
      <c r="T5165" s="1">
        <f t="shared" si="1093"/>
        <v>0</v>
      </c>
      <c r="U5165" s="1">
        <f t="shared" si="1094"/>
        <v>0</v>
      </c>
      <c r="V5165" s="1">
        <f t="shared" si="1095"/>
        <v>0</v>
      </c>
    </row>
    <row r="5166" spans="13:22" x14ac:dyDescent="0.25">
      <c r="M5166" s="4">
        <f t="shared" si="1088"/>
        <v>173.1</v>
      </c>
      <c r="N5166" s="4"/>
      <c r="O5166" s="1">
        <f t="shared" si="1089"/>
        <v>173.1</v>
      </c>
      <c r="P5166" s="1">
        <f t="shared" si="1090"/>
        <v>0</v>
      </c>
      <c r="Q5166" s="1" t="str">
        <f t="shared" si="1087"/>
        <v/>
      </c>
      <c r="R5166" s="1" t="str">
        <f t="shared" si="1091"/>
        <v/>
      </c>
      <c r="S5166" s="1">
        <f t="shared" si="1092"/>
        <v>630.90240000000244</v>
      </c>
      <c r="T5166" s="1">
        <f t="shared" si="1093"/>
        <v>0</v>
      </c>
      <c r="U5166" s="1">
        <f t="shared" si="1094"/>
        <v>0</v>
      </c>
      <c r="V5166" s="1">
        <f t="shared" si="1095"/>
        <v>0</v>
      </c>
    </row>
    <row r="5167" spans="13:22" x14ac:dyDescent="0.25">
      <c r="M5167" s="4">
        <f t="shared" si="1088"/>
        <v>173.1</v>
      </c>
      <c r="N5167" s="4"/>
      <c r="O5167" s="1">
        <f t="shared" si="1089"/>
        <v>173.1</v>
      </c>
      <c r="P5167" s="1">
        <f t="shared" si="1090"/>
        <v>0</v>
      </c>
      <c r="Q5167" s="1" t="str">
        <f t="shared" si="1087"/>
        <v/>
      </c>
      <c r="R5167" s="1" t="str">
        <f t="shared" si="1091"/>
        <v/>
      </c>
      <c r="S5167" s="1">
        <f t="shared" si="1092"/>
        <v>630.90240000000244</v>
      </c>
      <c r="T5167" s="1">
        <f t="shared" si="1093"/>
        <v>0</v>
      </c>
      <c r="U5167" s="1">
        <f t="shared" si="1094"/>
        <v>0</v>
      </c>
      <c r="V5167" s="1">
        <f t="shared" si="1095"/>
        <v>0</v>
      </c>
    </row>
    <row r="5168" spans="13:22" x14ac:dyDescent="0.25">
      <c r="M5168" s="4">
        <f t="shared" si="1088"/>
        <v>173.1</v>
      </c>
      <c r="N5168" s="4"/>
      <c r="O5168" s="1">
        <f t="shared" si="1089"/>
        <v>173.1</v>
      </c>
      <c r="P5168" s="1">
        <f t="shared" si="1090"/>
        <v>0</v>
      </c>
      <c r="Q5168" s="1" t="str">
        <f t="shared" si="1087"/>
        <v/>
      </c>
      <c r="R5168" s="1" t="str">
        <f t="shared" si="1091"/>
        <v/>
      </c>
      <c r="S5168" s="1">
        <f t="shared" si="1092"/>
        <v>630.90240000000244</v>
      </c>
      <c r="T5168" s="1">
        <f t="shared" si="1093"/>
        <v>0</v>
      </c>
      <c r="U5168" s="1">
        <f t="shared" si="1094"/>
        <v>0</v>
      </c>
      <c r="V5168" s="1">
        <f t="shared" si="1095"/>
        <v>0</v>
      </c>
    </row>
    <row r="5169" spans="13:22" x14ac:dyDescent="0.25">
      <c r="M5169" s="4">
        <f t="shared" si="1088"/>
        <v>173.1</v>
      </c>
      <c r="N5169" s="4"/>
      <c r="O5169" s="1">
        <f t="shared" si="1089"/>
        <v>173.1</v>
      </c>
      <c r="P5169" s="1">
        <f t="shared" si="1090"/>
        <v>0</v>
      </c>
      <c r="Q5169" s="1" t="str">
        <f t="shared" si="1087"/>
        <v/>
      </c>
      <c r="R5169" s="1" t="str">
        <f t="shared" si="1091"/>
        <v/>
      </c>
      <c r="S5169" s="1">
        <f t="shared" si="1092"/>
        <v>630.90240000000244</v>
      </c>
      <c r="T5169" s="1">
        <f t="shared" si="1093"/>
        <v>0</v>
      </c>
      <c r="U5169" s="1">
        <f t="shared" si="1094"/>
        <v>0</v>
      </c>
      <c r="V5169" s="1">
        <f t="shared" si="1095"/>
        <v>0</v>
      </c>
    </row>
    <row r="5170" spans="13:22" x14ac:dyDescent="0.25">
      <c r="M5170" s="4">
        <f t="shared" si="1088"/>
        <v>173.1</v>
      </c>
      <c r="N5170" s="4"/>
      <c r="O5170" s="1">
        <f t="shared" si="1089"/>
        <v>173.1</v>
      </c>
      <c r="P5170" s="1">
        <f t="shared" si="1090"/>
        <v>0</v>
      </c>
      <c r="Q5170" s="1" t="str">
        <f t="shared" ref="Q5170:Q5233" si="1096">IF(H5170&lt;&gt;"",IF(H5170=H5169,"",H5170),IF(H5168="","",MAX(H5169,Q5169)))</f>
        <v/>
      </c>
      <c r="R5170" s="1" t="str">
        <f t="shared" si="1091"/>
        <v/>
      </c>
      <c r="S5170" s="1">
        <f t="shared" si="1092"/>
        <v>630.90240000000244</v>
      </c>
      <c r="T5170" s="1">
        <f t="shared" si="1093"/>
        <v>0</v>
      </c>
      <c r="U5170" s="1">
        <f t="shared" si="1094"/>
        <v>0</v>
      </c>
      <c r="V5170" s="1">
        <f t="shared" si="1095"/>
        <v>0</v>
      </c>
    </row>
    <row r="5171" spans="13:22" x14ac:dyDescent="0.25">
      <c r="M5171" s="4">
        <f t="shared" si="1088"/>
        <v>173.1</v>
      </c>
      <c r="N5171" s="4"/>
      <c r="O5171" s="1">
        <f t="shared" si="1089"/>
        <v>173.1</v>
      </c>
      <c r="P5171" s="1">
        <f t="shared" si="1090"/>
        <v>0</v>
      </c>
      <c r="Q5171" s="1" t="str">
        <f t="shared" si="1096"/>
        <v/>
      </c>
      <c r="R5171" s="1" t="str">
        <f t="shared" si="1091"/>
        <v/>
      </c>
      <c r="S5171" s="1">
        <f t="shared" si="1092"/>
        <v>630.90240000000244</v>
      </c>
      <c r="T5171" s="1">
        <f t="shared" si="1093"/>
        <v>0</v>
      </c>
      <c r="U5171" s="1">
        <f t="shared" si="1094"/>
        <v>0</v>
      </c>
      <c r="V5171" s="1">
        <f t="shared" si="1095"/>
        <v>0</v>
      </c>
    </row>
    <row r="5172" spans="13:22" x14ac:dyDescent="0.25">
      <c r="M5172" s="4">
        <f t="shared" si="1088"/>
        <v>173.1</v>
      </c>
      <c r="N5172" s="4"/>
      <c r="O5172" s="1">
        <f t="shared" si="1089"/>
        <v>173.1</v>
      </c>
      <c r="P5172" s="1">
        <f t="shared" si="1090"/>
        <v>0</v>
      </c>
      <c r="Q5172" s="1" t="str">
        <f t="shared" si="1096"/>
        <v/>
      </c>
      <c r="R5172" s="1" t="str">
        <f t="shared" si="1091"/>
        <v/>
      </c>
      <c r="S5172" s="1">
        <f t="shared" si="1092"/>
        <v>630.90240000000244</v>
      </c>
      <c r="T5172" s="1">
        <f t="shared" si="1093"/>
        <v>0</v>
      </c>
      <c r="U5172" s="1">
        <f t="shared" si="1094"/>
        <v>0</v>
      </c>
      <c r="V5172" s="1">
        <f t="shared" si="1095"/>
        <v>0</v>
      </c>
    </row>
    <row r="5173" spans="13:22" x14ac:dyDescent="0.25">
      <c r="M5173" s="4">
        <f t="shared" si="1088"/>
        <v>173.1</v>
      </c>
      <c r="N5173" s="4"/>
      <c r="O5173" s="1">
        <f t="shared" si="1089"/>
        <v>173.1</v>
      </c>
      <c r="P5173" s="1">
        <f t="shared" si="1090"/>
        <v>0</v>
      </c>
      <c r="Q5173" s="1" t="str">
        <f t="shared" si="1096"/>
        <v/>
      </c>
      <c r="R5173" s="1" t="str">
        <f t="shared" si="1091"/>
        <v/>
      </c>
      <c r="S5173" s="1">
        <f t="shared" si="1092"/>
        <v>630.90240000000244</v>
      </c>
      <c r="T5173" s="1">
        <f t="shared" si="1093"/>
        <v>0</v>
      </c>
      <c r="U5173" s="1">
        <f t="shared" si="1094"/>
        <v>0</v>
      </c>
      <c r="V5173" s="1">
        <f t="shared" si="1095"/>
        <v>0</v>
      </c>
    </row>
    <row r="5174" spans="13:22" x14ac:dyDescent="0.25">
      <c r="M5174" s="4">
        <f t="shared" si="1088"/>
        <v>173.1</v>
      </c>
      <c r="N5174" s="4"/>
      <c r="O5174" s="1">
        <f t="shared" si="1089"/>
        <v>173.1</v>
      </c>
      <c r="P5174" s="1">
        <f t="shared" si="1090"/>
        <v>0</v>
      </c>
      <c r="Q5174" s="1" t="str">
        <f t="shared" si="1096"/>
        <v/>
      </c>
      <c r="R5174" s="1" t="str">
        <f t="shared" si="1091"/>
        <v/>
      </c>
      <c r="S5174" s="1">
        <f t="shared" si="1092"/>
        <v>630.90240000000244</v>
      </c>
      <c r="T5174" s="1">
        <f t="shared" si="1093"/>
        <v>0</v>
      </c>
      <c r="U5174" s="1">
        <f t="shared" si="1094"/>
        <v>0</v>
      </c>
      <c r="V5174" s="1">
        <f t="shared" si="1095"/>
        <v>0</v>
      </c>
    </row>
    <row r="5175" spans="13:22" x14ac:dyDescent="0.25">
      <c r="M5175" s="4">
        <f t="shared" si="1088"/>
        <v>173.1</v>
      </c>
      <c r="N5175" s="4"/>
      <c r="O5175" s="1">
        <f t="shared" si="1089"/>
        <v>173.1</v>
      </c>
      <c r="P5175" s="1">
        <f t="shared" si="1090"/>
        <v>0</v>
      </c>
      <c r="Q5175" s="1" t="str">
        <f t="shared" si="1096"/>
        <v/>
      </c>
      <c r="R5175" s="1" t="str">
        <f t="shared" si="1091"/>
        <v/>
      </c>
      <c r="S5175" s="1">
        <f t="shared" si="1092"/>
        <v>630.90240000000244</v>
      </c>
      <c r="T5175" s="1">
        <f t="shared" si="1093"/>
        <v>0</v>
      </c>
      <c r="U5175" s="1">
        <f t="shared" si="1094"/>
        <v>0</v>
      </c>
      <c r="V5175" s="1">
        <f t="shared" si="1095"/>
        <v>0</v>
      </c>
    </row>
    <row r="5176" spans="13:22" x14ac:dyDescent="0.25">
      <c r="M5176" s="4">
        <f t="shared" si="1088"/>
        <v>173.1</v>
      </c>
      <c r="N5176" s="4"/>
      <c r="O5176" s="1">
        <f t="shared" si="1089"/>
        <v>173.1</v>
      </c>
      <c r="P5176" s="1">
        <f t="shared" si="1090"/>
        <v>0</v>
      </c>
      <c r="Q5176" s="1" t="str">
        <f t="shared" si="1096"/>
        <v/>
      </c>
      <c r="R5176" s="1" t="str">
        <f t="shared" si="1091"/>
        <v/>
      </c>
      <c r="S5176" s="1">
        <f t="shared" si="1092"/>
        <v>630.90240000000244</v>
      </c>
      <c r="T5176" s="1">
        <f t="shared" si="1093"/>
        <v>0</v>
      </c>
      <c r="U5176" s="1">
        <f t="shared" si="1094"/>
        <v>0</v>
      </c>
      <c r="V5176" s="1">
        <f t="shared" si="1095"/>
        <v>0</v>
      </c>
    </row>
    <row r="5177" spans="13:22" x14ac:dyDescent="0.25">
      <c r="M5177" s="4">
        <f t="shared" si="1088"/>
        <v>173.1</v>
      </c>
      <c r="N5177" s="4"/>
      <c r="O5177" s="1">
        <f t="shared" si="1089"/>
        <v>173.1</v>
      </c>
      <c r="P5177" s="1">
        <f t="shared" si="1090"/>
        <v>0</v>
      </c>
      <c r="Q5177" s="1" t="str">
        <f t="shared" si="1096"/>
        <v/>
      </c>
      <c r="R5177" s="1" t="str">
        <f t="shared" si="1091"/>
        <v/>
      </c>
      <c r="S5177" s="1">
        <f t="shared" si="1092"/>
        <v>630.90240000000244</v>
      </c>
      <c r="T5177" s="1">
        <f t="shared" si="1093"/>
        <v>0</v>
      </c>
      <c r="U5177" s="1">
        <f t="shared" si="1094"/>
        <v>0</v>
      </c>
      <c r="V5177" s="1">
        <f t="shared" si="1095"/>
        <v>0</v>
      </c>
    </row>
    <row r="5178" spans="13:22" x14ac:dyDescent="0.25">
      <c r="M5178" s="4">
        <f t="shared" si="1088"/>
        <v>173.1</v>
      </c>
      <c r="N5178" s="4"/>
      <c r="O5178" s="1">
        <f t="shared" si="1089"/>
        <v>173.1</v>
      </c>
      <c r="P5178" s="1">
        <f t="shared" si="1090"/>
        <v>0</v>
      </c>
      <c r="Q5178" s="1" t="str">
        <f t="shared" si="1096"/>
        <v/>
      </c>
      <c r="R5178" s="1" t="str">
        <f t="shared" si="1091"/>
        <v/>
      </c>
      <c r="S5178" s="1">
        <f t="shared" si="1092"/>
        <v>630.90240000000244</v>
      </c>
      <c r="T5178" s="1">
        <f t="shared" si="1093"/>
        <v>0</v>
      </c>
      <c r="U5178" s="1">
        <f t="shared" si="1094"/>
        <v>0</v>
      </c>
      <c r="V5178" s="1">
        <f t="shared" si="1095"/>
        <v>0</v>
      </c>
    </row>
    <row r="5179" spans="13:22" x14ac:dyDescent="0.25">
      <c r="M5179" s="4">
        <f t="shared" si="1088"/>
        <v>173.1</v>
      </c>
      <c r="N5179" s="4"/>
      <c r="O5179" s="1">
        <f t="shared" si="1089"/>
        <v>173.1</v>
      </c>
      <c r="P5179" s="1">
        <f t="shared" si="1090"/>
        <v>0</v>
      </c>
      <c r="Q5179" s="1" t="str">
        <f t="shared" si="1096"/>
        <v/>
      </c>
      <c r="R5179" s="1" t="str">
        <f t="shared" si="1091"/>
        <v/>
      </c>
      <c r="S5179" s="1">
        <f t="shared" si="1092"/>
        <v>630.90240000000244</v>
      </c>
      <c r="T5179" s="1">
        <f t="shared" si="1093"/>
        <v>0</v>
      </c>
      <c r="U5179" s="1">
        <f t="shared" si="1094"/>
        <v>0</v>
      </c>
      <c r="V5179" s="1">
        <f t="shared" si="1095"/>
        <v>0</v>
      </c>
    </row>
    <row r="5180" spans="13:22" x14ac:dyDescent="0.25">
      <c r="M5180" s="4">
        <f t="shared" si="1088"/>
        <v>173.1</v>
      </c>
      <c r="N5180" s="4"/>
      <c r="O5180" s="1">
        <f t="shared" si="1089"/>
        <v>173.1</v>
      </c>
      <c r="P5180" s="1">
        <f t="shared" si="1090"/>
        <v>0</v>
      </c>
      <c r="Q5180" s="1" t="str">
        <f t="shared" si="1096"/>
        <v/>
      </c>
      <c r="R5180" s="1" t="str">
        <f t="shared" si="1091"/>
        <v/>
      </c>
      <c r="S5180" s="1">
        <f t="shared" si="1092"/>
        <v>630.90240000000244</v>
      </c>
      <c r="T5180" s="1">
        <f t="shared" si="1093"/>
        <v>0</v>
      </c>
      <c r="U5180" s="1">
        <f t="shared" si="1094"/>
        <v>0</v>
      </c>
      <c r="V5180" s="1">
        <f t="shared" si="1095"/>
        <v>0</v>
      </c>
    </row>
    <row r="5181" spans="13:22" x14ac:dyDescent="0.25">
      <c r="M5181" s="4">
        <f t="shared" si="1088"/>
        <v>173.1</v>
      </c>
      <c r="N5181" s="4"/>
      <c r="O5181" s="1">
        <f t="shared" si="1089"/>
        <v>173.1</v>
      </c>
      <c r="P5181" s="1">
        <f t="shared" si="1090"/>
        <v>0</v>
      </c>
      <c r="Q5181" s="1" t="str">
        <f t="shared" si="1096"/>
        <v/>
      </c>
      <c r="R5181" s="1" t="str">
        <f t="shared" si="1091"/>
        <v/>
      </c>
      <c r="S5181" s="1">
        <f t="shared" si="1092"/>
        <v>630.90240000000244</v>
      </c>
      <c r="T5181" s="1">
        <f t="shared" si="1093"/>
        <v>0</v>
      </c>
      <c r="U5181" s="1">
        <f t="shared" si="1094"/>
        <v>0</v>
      </c>
      <c r="V5181" s="1">
        <f t="shared" si="1095"/>
        <v>0</v>
      </c>
    </row>
    <row r="5182" spans="13:22" x14ac:dyDescent="0.25">
      <c r="M5182" s="4">
        <f t="shared" si="1088"/>
        <v>173.1</v>
      </c>
      <c r="N5182" s="4"/>
      <c r="O5182" s="1">
        <f t="shared" si="1089"/>
        <v>173.1</v>
      </c>
      <c r="P5182" s="1">
        <f t="shared" si="1090"/>
        <v>0</v>
      </c>
      <c r="Q5182" s="1" t="str">
        <f t="shared" si="1096"/>
        <v/>
      </c>
      <c r="R5182" s="1" t="str">
        <f t="shared" si="1091"/>
        <v/>
      </c>
      <c r="S5182" s="1">
        <f t="shared" si="1092"/>
        <v>630.90240000000244</v>
      </c>
      <c r="T5182" s="1">
        <f t="shared" si="1093"/>
        <v>0</v>
      </c>
      <c r="U5182" s="1">
        <f t="shared" si="1094"/>
        <v>0</v>
      </c>
      <c r="V5182" s="1">
        <f t="shared" si="1095"/>
        <v>0</v>
      </c>
    </row>
    <row r="5183" spans="13:22" x14ac:dyDescent="0.25">
      <c r="M5183" s="4">
        <f t="shared" si="1088"/>
        <v>173.1</v>
      </c>
      <c r="N5183" s="4"/>
      <c r="O5183" s="1">
        <f t="shared" si="1089"/>
        <v>173.1</v>
      </c>
      <c r="P5183" s="1">
        <f t="shared" si="1090"/>
        <v>0</v>
      </c>
      <c r="Q5183" s="1" t="str">
        <f t="shared" si="1096"/>
        <v/>
      </c>
      <c r="R5183" s="1" t="str">
        <f t="shared" si="1091"/>
        <v/>
      </c>
      <c r="S5183" s="1">
        <f t="shared" si="1092"/>
        <v>630.90240000000244</v>
      </c>
      <c r="T5183" s="1">
        <f t="shared" si="1093"/>
        <v>0</v>
      </c>
      <c r="U5183" s="1">
        <f t="shared" si="1094"/>
        <v>0</v>
      </c>
      <c r="V5183" s="1">
        <f t="shared" si="1095"/>
        <v>0</v>
      </c>
    </row>
    <row r="5184" spans="13:22" x14ac:dyDescent="0.25">
      <c r="M5184" s="4">
        <f t="shared" si="1088"/>
        <v>173.1</v>
      </c>
      <c r="N5184" s="4"/>
      <c r="O5184" s="1">
        <f t="shared" si="1089"/>
        <v>173.1</v>
      </c>
      <c r="P5184" s="1">
        <f t="shared" si="1090"/>
        <v>0</v>
      </c>
      <c r="Q5184" s="1" t="str">
        <f t="shared" si="1096"/>
        <v/>
      </c>
      <c r="R5184" s="1" t="str">
        <f t="shared" si="1091"/>
        <v/>
      </c>
      <c r="S5184" s="1">
        <f t="shared" si="1092"/>
        <v>630.90240000000244</v>
      </c>
      <c r="T5184" s="1">
        <f t="shared" si="1093"/>
        <v>0</v>
      </c>
      <c r="U5184" s="1">
        <f t="shared" si="1094"/>
        <v>0</v>
      </c>
      <c r="V5184" s="1">
        <f t="shared" si="1095"/>
        <v>0</v>
      </c>
    </row>
    <row r="5185" spans="13:22" x14ac:dyDescent="0.25">
      <c r="M5185" s="4">
        <f t="shared" si="1088"/>
        <v>173.1</v>
      </c>
      <c r="N5185" s="4"/>
      <c r="O5185" s="1">
        <f t="shared" si="1089"/>
        <v>173.1</v>
      </c>
      <c r="P5185" s="1">
        <f t="shared" si="1090"/>
        <v>0</v>
      </c>
      <c r="Q5185" s="1" t="str">
        <f t="shared" si="1096"/>
        <v/>
      </c>
      <c r="R5185" s="1" t="str">
        <f t="shared" si="1091"/>
        <v/>
      </c>
      <c r="S5185" s="1">
        <f t="shared" si="1092"/>
        <v>630.90240000000244</v>
      </c>
      <c r="T5185" s="1">
        <f t="shared" si="1093"/>
        <v>0</v>
      </c>
      <c r="U5185" s="1">
        <f t="shared" si="1094"/>
        <v>0</v>
      </c>
      <c r="V5185" s="1">
        <f t="shared" si="1095"/>
        <v>0</v>
      </c>
    </row>
    <row r="5186" spans="13:22" x14ac:dyDescent="0.25">
      <c r="M5186" s="4">
        <f t="shared" si="1088"/>
        <v>173.1</v>
      </c>
      <c r="N5186" s="4"/>
      <c r="O5186" s="1">
        <f t="shared" si="1089"/>
        <v>173.1</v>
      </c>
      <c r="P5186" s="1">
        <f t="shared" si="1090"/>
        <v>0</v>
      </c>
      <c r="Q5186" s="1" t="str">
        <f t="shared" si="1096"/>
        <v/>
      </c>
      <c r="R5186" s="1" t="str">
        <f t="shared" si="1091"/>
        <v/>
      </c>
      <c r="S5186" s="1">
        <f t="shared" si="1092"/>
        <v>630.90240000000244</v>
      </c>
      <c r="T5186" s="1">
        <f t="shared" si="1093"/>
        <v>0</v>
      </c>
      <c r="U5186" s="1">
        <f t="shared" si="1094"/>
        <v>0</v>
      </c>
      <c r="V5186" s="1">
        <f t="shared" si="1095"/>
        <v>0</v>
      </c>
    </row>
    <row r="5187" spans="13:22" x14ac:dyDescent="0.25">
      <c r="M5187" s="4">
        <f t="shared" si="1088"/>
        <v>173.1</v>
      </c>
      <c r="N5187" s="4"/>
      <c r="O5187" s="1">
        <f t="shared" si="1089"/>
        <v>173.1</v>
      </c>
      <c r="P5187" s="1">
        <f t="shared" si="1090"/>
        <v>0</v>
      </c>
      <c r="Q5187" s="1" t="str">
        <f t="shared" si="1096"/>
        <v/>
      </c>
      <c r="R5187" s="1" t="str">
        <f t="shared" si="1091"/>
        <v/>
      </c>
      <c r="S5187" s="1">
        <f t="shared" si="1092"/>
        <v>630.90240000000244</v>
      </c>
      <c r="T5187" s="1">
        <f t="shared" si="1093"/>
        <v>0</v>
      </c>
      <c r="U5187" s="1">
        <f t="shared" si="1094"/>
        <v>0</v>
      </c>
      <c r="V5187" s="1">
        <f t="shared" si="1095"/>
        <v>0</v>
      </c>
    </row>
    <row r="5188" spans="13:22" x14ac:dyDescent="0.25">
      <c r="M5188" s="4">
        <f t="shared" si="1088"/>
        <v>173.1</v>
      </c>
      <c r="N5188" s="4"/>
      <c r="O5188" s="1">
        <f t="shared" si="1089"/>
        <v>173.1</v>
      </c>
      <c r="P5188" s="1">
        <f t="shared" si="1090"/>
        <v>0</v>
      </c>
      <c r="Q5188" s="1" t="str">
        <f t="shared" si="1096"/>
        <v/>
      </c>
      <c r="R5188" s="1" t="str">
        <f t="shared" si="1091"/>
        <v/>
      </c>
      <c r="S5188" s="1">
        <f t="shared" si="1092"/>
        <v>630.90240000000244</v>
      </c>
      <c r="T5188" s="1">
        <f t="shared" si="1093"/>
        <v>0</v>
      </c>
      <c r="U5188" s="1">
        <f t="shared" si="1094"/>
        <v>0</v>
      </c>
      <c r="V5188" s="1">
        <f t="shared" si="1095"/>
        <v>0</v>
      </c>
    </row>
    <row r="5189" spans="13:22" x14ac:dyDescent="0.25">
      <c r="M5189" s="4">
        <f t="shared" si="1088"/>
        <v>173.1</v>
      </c>
      <c r="N5189" s="4"/>
      <c r="O5189" s="1">
        <f t="shared" si="1089"/>
        <v>173.1</v>
      </c>
      <c r="P5189" s="1">
        <f t="shared" si="1090"/>
        <v>0</v>
      </c>
      <c r="Q5189" s="1" t="str">
        <f t="shared" si="1096"/>
        <v/>
      </c>
      <c r="R5189" s="1" t="str">
        <f t="shared" si="1091"/>
        <v/>
      </c>
      <c r="S5189" s="1">
        <f t="shared" si="1092"/>
        <v>630.90240000000244</v>
      </c>
      <c r="T5189" s="1">
        <f t="shared" si="1093"/>
        <v>0</v>
      </c>
      <c r="U5189" s="1">
        <f t="shared" si="1094"/>
        <v>0</v>
      </c>
      <c r="V5189" s="1">
        <f t="shared" si="1095"/>
        <v>0</v>
      </c>
    </row>
    <row r="5190" spans="13:22" x14ac:dyDescent="0.25">
      <c r="M5190" s="4">
        <f t="shared" si="1088"/>
        <v>173.1</v>
      </c>
      <c r="N5190" s="4"/>
      <c r="O5190" s="1">
        <f t="shared" si="1089"/>
        <v>173.1</v>
      </c>
      <c r="P5190" s="1">
        <f t="shared" si="1090"/>
        <v>0</v>
      </c>
      <c r="Q5190" s="1" t="str">
        <f t="shared" si="1096"/>
        <v/>
      </c>
      <c r="R5190" s="1" t="str">
        <f t="shared" si="1091"/>
        <v/>
      </c>
      <c r="S5190" s="1">
        <f t="shared" si="1092"/>
        <v>630.90240000000244</v>
      </c>
      <c r="T5190" s="1">
        <f t="shared" si="1093"/>
        <v>0</v>
      </c>
      <c r="U5190" s="1">
        <f t="shared" si="1094"/>
        <v>0</v>
      </c>
      <c r="V5190" s="1">
        <f t="shared" si="1095"/>
        <v>0</v>
      </c>
    </row>
    <row r="5191" spans="13:22" x14ac:dyDescent="0.25">
      <c r="M5191" s="4">
        <f t="shared" si="1088"/>
        <v>173.1</v>
      </c>
      <c r="N5191" s="4"/>
      <c r="O5191" s="1">
        <f t="shared" si="1089"/>
        <v>173.1</v>
      </c>
      <c r="P5191" s="1">
        <f t="shared" si="1090"/>
        <v>0</v>
      </c>
      <c r="Q5191" s="1" t="str">
        <f t="shared" si="1096"/>
        <v/>
      </c>
      <c r="R5191" s="1" t="str">
        <f t="shared" si="1091"/>
        <v/>
      </c>
      <c r="S5191" s="1">
        <f t="shared" si="1092"/>
        <v>630.90240000000244</v>
      </c>
      <c r="T5191" s="1">
        <f t="shared" si="1093"/>
        <v>0</v>
      </c>
      <c r="U5191" s="1">
        <f t="shared" si="1094"/>
        <v>0</v>
      </c>
      <c r="V5191" s="1">
        <f t="shared" si="1095"/>
        <v>0</v>
      </c>
    </row>
    <row r="5192" spans="13:22" x14ac:dyDescent="0.25">
      <c r="M5192" s="4">
        <f t="shared" ref="M5192:M5255" si="1097">E5192+M5191</f>
        <v>173.1</v>
      </c>
      <c r="N5192" s="4"/>
      <c r="O5192" s="1">
        <f t="shared" ref="O5192:O5255" si="1098">E5191+O5191</f>
        <v>173.1</v>
      </c>
      <c r="P5192" s="1">
        <f t="shared" ref="P5192:P5255" si="1099">F5192*52.8*E5192</f>
        <v>0</v>
      </c>
      <c r="Q5192" s="1" t="str">
        <f t="shared" si="1096"/>
        <v/>
      </c>
      <c r="R5192" s="1" t="str">
        <f t="shared" ref="R5192:R5255" si="1100">IF(I5192="",Q5192,IF(AND(H5192=H5191,I5192=I5191),"",I5192))</f>
        <v/>
      </c>
      <c r="S5192" s="1">
        <f t="shared" ref="S5192:S5255" si="1101">S5191+U5191*T5191/100</f>
        <v>630.90240000000244</v>
      </c>
      <c r="T5192" s="1">
        <f t="shared" ref="T5192:T5255" si="1102">IF(G5192="UNK",0,G5192)</f>
        <v>0</v>
      </c>
      <c r="U5192" s="1">
        <f t="shared" ref="U5192:U5255" si="1103">E5192*5280</f>
        <v>0</v>
      </c>
      <c r="V5192" s="1">
        <f t="shared" ref="V5192:V5255" si="1104">ABS(T5192*U5192)</f>
        <v>0</v>
      </c>
    </row>
    <row r="5193" spans="13:22" x14ac:dyDescent="0.25">
      <c r="M5193" s="4">
        <f t="shared" si="1097"/>
        <v>173.1</v>
      </c>
      <c r="N5193" s="4"/>
      <c r="O5193" s="1">
        <f t="shared" si="1098"/>
        <v>173.1</v>
      </c>
      <c r="P5193" s="1">
        <f t="shared" si="1099"/>
        <v>0</v>
      </c>
      <c r="Q5193" s="1" t="str">
        <f t="shared" si="1096"/>
        <v/>
      </c>
      <c r="R5193" s="1" t="str">
        <f t="shared" si="1100"/>
        <v/>
      </c>
      <c r="S5193" s="1">
        <f t="shared" si="1101"/>
        <v>630.90240000000244</v>
      </c>
      <c r="T5193" s="1">
        <f t="shared" si="1102"/>
        <v>0</v>
      </c>
      <c r="U5193" s="1">
        <f t="shared" si="1103"/>
        <v>0</v>
      </c>
      <c r="V5193" s="1">
        <f t="shared" si="1104"/>
        <v>0</v>
      </c>
    </row>
    <row r="5194" spans="13:22" x14ac:dyDescent="0.25">
      <c r="M5194" s="4">
        <f t="shared" si="1097"/>
        <v>173.1</v>
      </c>
      <c r="N5194" s="4"/>
      <c r="O5194" s="1">
        <f t="shared" si="1098"/>
        <v>173.1</v>
      </c>
      <c r="P5194" s="1">
        <f t="shared" si="1099"/>
        <v>0</v>
      </c>
      <c r="Q5194" s="1" t="str">
        <f t="shared" si="1096"/>
        <v/>
      </c>
      <c r="R5194" s="1" t="str">
        <f t="shared" si="1100"/>
        <v/>
      </c>
      <c r="S5194" s="1">
        <f t="shared" si="1101"/>
        <v>630.90240000000244</v>
      </c>
      <c r="T5194" s="1">
        <f t="shared" si="1102"/>
        <v>0</v>
      </c>
      <c r="U5194" s="1">
        <f t="shared" si="1103"/>
        <v>0</v>
      </c>
      <c r="V5194" s="1">
        <f t="shared" si="1104"/>
        <v>0</v>
      </c>
    </row>
    <row r="5195" spans="13:22" x14ac:dyDescent="0.25">
      <c r="M5195" s="4">
        <f t="shared" si="1097"/>
        <v>173.1</v>
      </c>
      <c r="N5195" s="4"/>
      <c r="O5195" s="1">
        <f t="shared" si="1098"/>
        <v>173.1</v>
      </c>
      <c r="P5195" s="1">
        <f t="shared" si="1099"/>
        <v>0</v>
      </c>
      <c r="Q5195" s="1" t="str">
        <f t="shared" si="1096"/>
        <v/>
      </c>
      <c r="R5195" s="1" t="str">
        <f t="shared" si="1100"/>
        <v/>
      </c>
      <c r="S5195" s="1">
        <f t="shared" si="1101"/>
        <v>630.90240000000244</v>
      </c>
      <c r="T5195" s="1">
        <f t="shared" si="1102"/>
        <v>0</v>
      </c>
      <c r="U5195" s="1">
        <f t="shared" si="1103"/>
        <v>0</v>
      </c>
      <c r="V5195" s="1">
        <f t="shared" si="1104"/>
        <v>0</v>
      </c>
    </row>
    <row r="5196" spans="13:22" x14ac:dyDescent="0.25">
      <c r="M5196" s="4">
        <f t="shared" si="1097"/>
        <v>173.1</v>
      </c>
      <c r="N5196" s="4"/>
      <c r="O5196" s="1">
        <f t="shared" si="1098"/>
        <v>173.1</v>
      </c>
      <c r="P5196" s="1">
        <f t="shared" si="1099"/>
        <v>0</v>
      </c>
      <c r="Q5196" s="1" t="str">
        <f t="shared" si="1096"/>
        <v/>
      </c>
      <c r="R5196" s="1" t="str">
        <f t="shared" si="1100"/>
        <v/>
      </c>
      <c r="S5196" s="1">
        <f t="shared" si="1101"/>
        <v>630.90240000000244</v>
      </c>
      <c r="T5196" s="1">
        <f t="shared" si="1102"/>
        <v>0</v>
      </c>
      <c r="U5196" s="1">
        <f t="shared" si="1103"/>
        <v>0</v>
      </c>
      <c r="V5196" s="1">
        <f t="shared" si="1104"/>
        <v>0</v>
      </c>
    </row>
    <row r="5197" spans="13:22" x14ac:dyDescent="0.25">
      <c r="M5197" s="4">
        <f t="shared" si="1097"/>
        <v>173.1</v>
      </c>
      <c r="N5197" s="4"/>
      <c r="O5197" s="1">
        <f t="shared" si="1098"/>
        <v>173.1</v>
      </c>
      <c r="P5197" s="1">
        <f t="shared" si="1099"/>
        <v>0</v>
      </c>
      <c r="Q5197" s="1" t="str">
        <f t="shared" si="1096"/>
        <v/>
      </c>
      <c r="R5197" s="1" t="str">
        <f t="shared" si="1100"/>
        <v/>
      </c>
      <c r="S5197" s="1">
        <f t="shared" si="1101"/>
        <v>630.90240000000244</v>
      </c>
      <c r="T5197" s="1">
        <f t="shared" si="1102"/>
        <v>0</v>
      </c>
      <c r="U5197" s="1">
        <f t="shared" si="1103"/>
        <v>0</v>
      </c>
      <c r="V5197" s="1">
        <f t="shared" si="1104"/>
        <v>0</v>
      </c>
    </row>
    <row r="5198" spans="13:22" x14ac:dyDescent="0.25">
      <c r="M5198" s="4">
        <f t="shared" si="1097"/>
        <v>173.1</v>
      </c>
      <c r="N5198" s="4"/>
      <c r="O5198" s="1">
        <f t="shared" si="1098"/>
        <v>173.1</v>
      </c>
      <c r="P5198" s="1">
        <f t="shared" si="1099"/>
        <v>0</v>
      </c>
      <c r="Q5198" s="1" t="str">
        <f t="shared" si="1096"/>
        <v/>
      </c>
      <c r="R5198" s="1" t="str">
        <f t="shared" si="1100"/>
        <v/>
      </c>
      <c r="S5198" s="1">
        <f t="shared" si="1101"/>
        <v>630.90240000000244</v>
      </c>
      <c r="T5198" s="1">
        <f t="shared" si="1102"/>
        <v>0</v>
      </c>
      <c r="U5198" s="1">
        <f t="shared" si="1103"/>
        <v>0</v>
      </c>
      <c r="V5198" s="1">
        <f t="shared" si="1104"/>
        <v>0</v>
      </c>
    </row>
    <row r="5199" spans="13:22" x14ac:dyDescent="0.25">
      <c r="M5199" s="4">
        <f t="shared" si="1097"/>
        <v>173.1</v>
      </c>
      <c r="N5199" s="4"/>
      <c r="O5199" s="1">
        <f t="shared" si="1098"/>
        <v>173.1</v>
      </c>
      <c r="P5199" s="1">
        <f t="shared" si="1099"/>
        <v>0</v>
      </c>
      <c r="Q5199" s="1" t="str">
        <f t="shared" si="1096"/>
        <v/>
      </c>
      <c r="R5199" s="1" t="str">
        <f t="shared" si="1100"/>
        <v/>
      </c>
      <c r="S5199" s="1">
        <f t="shared" si="1101"/>
        <v>630.90240000000244</v>
      </c>
      <c r="T5199" s="1">
        <f t="shared" si="1102"/>
        <v>0</v>
      </c>
      <c r="U5199" s="1">
        <f t="shared" si="1103"/>
        <v>0</v>
      </c>
      <c r="V5199" s="1">
        <f t="shared" si="1104"/>
        <v>0</v>
      </c>
    </row>
    <row r="5200" spans="13:22" x14ac:dyDescent="0.25">
      <c r="M5200" s="4">
        <f t="shared" si="1097"/>
        <v>173.1</v>
      </c>
      <c r="N5200" s="4"/>
      <c r="O5200" s="1">
        <f t="shared" si="1098"/>
        <v>173.1</v>
      </c>
      <c r="P5200" s="1">
        <f t="shared" si="1099"/>
        <v>0</v>
      </c>
      <c r="Q5200" s="1" t="str">
        <f t="shared" si="1096"/>
        <v/>
      </c>
      <c r="R5200" s="1" t="str">
        <f t="shared" si="1100"/>
        <v/>
      </c>
      <c r="S5200" s="1">
        <f t="shared" si="1101"/>
        <v>630.90240000000244</v>
      </c>
      <c r="T5200" s="1">
        <f t="shared" si="1102"/>
        <v>0</v>
      </c>
      <c r="U5200" s="1">
        <f t="shared" si="1103"/>
        <v>0</v>
      </c>
      <c r="V5200" s="1">
        <f t="shared" si="1104"/>
        <v>0</v>
      </c>
    </row>
    <row r="5201" spans="13:22" x14ac:dyDescent="0.25">
      <c r="M5201" s="4">
        <f t="shared" si="1097"/>
        <v>173.1</v>
      </c>
      <c r="N5201" s="4"/>
      <c r="O5201" s="1">
        <f t="shared" si="1098"/>
        <v>173.1</v>
      </c>
      <c r="P5201" s="1">
        <f t="shared" si="1099"/>
        <v>0</v>
      </c>
      <c r="Q5201" s="1" t="str">
        <f t="shared" si="1096"/>
        <v/>
      </c>
      <c r="R5201" s="1" t="str">
        <f t="shared" si="1100"/>
        <v/>
      </c>
      <c r="S5201" s="1">
        <f t="shared" si="1101"/>
        <v>630.90240000000244</v>
      </c>
      <c r="T5201" s="1">
        <f t="shared" si="1102"/>
        <v>0</v>
      </c>
      <c r="U5201" s="1">
        <f t="shared" si="1103"/>
        <v>0</v>
      </c>
      <c r="V5201" s="1">
        <f t="shared" si="1104"/>
        <v>0</v>
      </c>
    </row>
    <row r="5202" spans="13:22" x14ac:dyDescent="0.25">
      <c r="M5202" s="4">
        <f t="shared" si="1097"/>
        <v>173.1</v>
      </c>
      <c r="N5202" s="4"/>
      <c r="O5202" s="1">
        <f t="shared" si="1098"/>
        <v>173.1</v>
      </c>
      <c r="P5202" s="1">
        <f t="shared" si="1099"/>
        <v>0</v>
      </c>
      <c r="Q5202" s="1" t="str">
        <f t="shared" si="1096"/>
        <v/>
      </c>
      <c r="R5202" s="1" t="str">
        <f t="shared" si="1100"/>
        <v/>
      </c>
      <c r="S5202" s="1">
        <f t="shared" si="1101"/>
        <v>630.90240000000244</v>
      </c>
      <c r="T5202" s="1">
        <f t="shared" si="1102"/>
        <v>0</v>
      </c>
      <c r="U5202" s="1">
        <f t="shared" si="1103"/>
        <v>0</v>
      </c>
      <c r="V5202" s="1">
        <f t="shared" si="1104"/>
        <v>0</v>
      </c>
    </row>
    <row r="5203" spans="13:22" x14ac:dyDescent="0.25">
      <c r="M5203" s="4">
        <f t="shared" si="1097"/>
        <v>173.1</v>
      </c>
      <c r="N5203" s="4"/>
      <c r="O5203" s="1">
        <f t="shared" si="1098"/>
        <v>173.1</v>
      </c>
      <c r="P5203" s="1">
        <f t="shared" si="1099"/>
        <v>0</v>
      </c>
      <c r="Q5203" s="1" t="str">
        <f t="shared" si="1096"/>
        <v/>
      </c>
      <c r="R5203" s="1" t="str">
        <f t="shared" si="1100"/>
        <v/>
      </c>
      <c r="S5203" s="1">
        <f t="shared" si="1101"/>
        <v>630.90240000000244</v>
      </c>
      <c r="T5203" s="1">
        <f t="shared" si="1102"/>
        <v>0</v>
      </c>
      <c r="U5203" s="1">
        <f t="shared" si="1103"/>
        <v>0</v>
      </c>
      <c r="V5203" s="1">
        <f t="shared" si="1104"/>
        <v>0</v>
      </c>
    </row>
    <row r="5204" spans="13:22" x14ac:dyDescent="0.25">
      <c r="M5204" s="4">
        <f t="shared" si="1097"/>
        <v>173.1</v>
      </c>
      <c r="N5204" s="4"/>
      <c r="O5204" s="1">
        <f t="shared" si="1098"/>
        <v>173.1</v>
      </c>
      <c r="P5204" s="1">
        <f t="shared" si="1099"/>
        <v>0</v>
      </c>
      <c r="Q5204" s="1" t="str">
        <f t="shared" si="1096"/>
        <v/>
      </c>
      <c r="R5204" s="1" t="str">
        <f t="shared" si="1100"/>
        <v/>
      </c>
      <c r="S5204" s="1">
        <f t="shared" si="1101"/>
        <v>630.90240000000244</v>
      </c>
      <c r="T5204" s="1">
        <f t="shared" si="1102"/>
        <v>0</v>
      </c>
      <c r="U5204" s="1">
        <f t="shared" si="1103"/>
        <v>0</v>
      </c>
      <c r="V5204" s="1">
        <f t="shared" si="1104"/>
        <v>0</v>
      </c>
    </row>
    <row r="5205" spans="13:22" x14ac:dyDescent="0.25">
      <c r="M5205" s="4">
        <f t="shared" si="1097"/>
        <v>173.1</v>
      </c>
      <c r="N5205" s="4"/>
      <c r="O5205" s="1">
        <f t="shared" si="1098"/>
        <v>173.1</v>
      </c>
      <c r="P5205" s="1">
        <f t="shared" si="1099"/>
        <v>0</v>
      </c>
      <c r="Q5205" s="1" t="str">
        <f t="shared" si="1096"/>
        <v/>
      </c>
      <c r="R5205" s="1" t="str">
        <f t="shared" si="1100"/>
        <v/>
      </c>
      <c r="S5205" s="1">
        <f t="shared" si="1101"/>
        <v>630.90240000000244</v>
      </c>
      <c r="T5205" s="1">
        <f t="shared" si="1102"/>
        <v>0</v>
      </c>
      <c r="U5205" s="1">
        <f t="shared" si="1103"/>
        <v>0</v>
      </c>
      <c r="V5205" s="1">
        <f t="shared" si="1104"/>
        <v>0</v>
      </c>
    </row>
    <row r="5206" spans="13:22" x14ac:dyDescent="0.25">
      <c r="M5206" s="4">
        <f t="shared" si="1097"/>
        <v>173.1</v>
      </c>
      <c r="N5206" s="4"/>
      <c r="O5206" s="1">
        <f t="shared" si="1098"/>
        <v>173.1</v>
      </c>
      <c r="P5206" s="1">
        <f t="shared" si="1099"/>
        <v>0</v>
      </c>
      <c r="Q5206" s="1" t="str">
        <f t="shared" si="1096"/>
        <v/>
      </c>
      <c r="R5206" s="1" t="str">
        <f t="shared" si="1100"/>
        <v/>
      </c>
      <c r="S5206" s="1">
        <f t="shared" si="1101"/>
        <v>630.90240000000244</v>
      </c>
      <c r="T5206" s="1">
        <f t="shared" si="1102"/>
        <v>0</v>
      </c>
      <c r="U5206" s="1">
        <f t="shared" si="1103"/>
        <v>0</v>
      </c>
      <c r="V5206" s="1">
        <f t="shared" si="1104"/>
        <v>0</v>
      </c>
    </row>
    <row r="5207" spans="13:22" x14ac:dyDescent="0.25">
      <c r="M5207" s="4">
        <f t="shared" si="1097"/>
        <v>173.1</v>
      </c>
      <c r="N5207" s="4"/>
      <c r="O5207" s="1">
        <f t="shared" si="1098"/>
        <v>173.1</v>
      </c>
      <c r="P5207" s="1">
        <f t="shared" si="1099"/>
        <v>0</v>
      </c>
      <c r="Q5207" s="1" t="str">
        <f t="shared" si="1096"/>
        <v/>
      </c>
      <c r="R5207" s="1" t="str">
        <f t="shared" si="1100"/>
        <v/>
      </c>
      <c r="S5207" s="1">
        <f t="shared" si="1101"/>
        <v>630.90240000000244</v>
      </c>
      <c r="T5207" s="1">
        <f t="shared" si="1102"/>
        <v>0</v>
      </c>
      <c r="U5207" s="1">
        <f t="shared" si="1103"/>
        <v>0</v>
      </c>
      <c r="V5207" s="1">
        <f t="shared" si="1104"/>
        <v>0</v>
      </c>
    </row>
    <row r="5208" spans="13:22" x14ac:dyDescent="0.25">
      <c r="M5208" s="4">
        <f t="shared" si="1097"/>
        <v>173.1</v>
      </c>
      <c r="N5208" s="4"/>
      <c r="O5208" s="1">
        <f t="shared" si="1098"/>
        <v>173.1</v>
      </c>
      <c r="P5208" s="1">
        <f t="shared" si="1099"/>
        <v>0</v>
      </c>
      <c r="Q5208" s="1" t="str">
        <f t="shared" si="1096"/>
        <v/>
      </c>
      <c r="R5208" s="1" t="str">
        <f t="shared" si="1100"/>
        <v/>
      </c>
      <c r="S5208" s="1">
        <f t="shared" si="1101"/>
        <v>630.90240000000244</v>
      </c>
      <c r="T5208" s="1">
        <f t="shared" si="1102"/>
        <v>0</v>
      </c>
      <c r="U5208" s="1">
        <f t="shared" si="1103"/>
        <v>0</v>
      </c>
      <c r="V5208" s="1">
        <f t="shared" si="1104"/>
        <v>0</v>
      </c>
    </row>
    <row r="5209" spans="13:22" x14ac:dyDescent="0.25">
      <c r="M5209" s="4">
        <f t="shared" si="1097"/>
        <v>173.1</v>
      </c>
      <c r="N5209" s="4"/>
      <c r="O5209" s="1">
        <f t="shared" si="1098"/>
        <v>173.1</v>
      </c>
      <c r="P5209" s="1">
        <f t="shared" si="1099"/>
        <v>0</v>
      </c>
      <c r="Q5209" s="1" t="str">
        <f t="shared" si="1096"/>
        <v/>
      </c>
      <c r="R5209" s="1" t="str">
        <f t="shared" si="1100"/>
        <v/>
      </c>
      <c r="S5209" s="1">
        <f t="shared" si="1101"/>
        <v>630.90240000000244</v>
      </c>
      <c r="T5209" s="1">
        <f t="shared" si="1102"/>
        <v>0</v>
      </c>
      <c r="U5209" s="1">
        <f t="shared" si="1103"/>
        <v>0</v>
      </c>
      <c r="V5209" s="1">
        <f t="shared" si="1104"/>
        <v>0</v>
      </c>
    </row>
    <row r="5210" spans="13:22" x14ac:dyDescent="0.25">
      <c r="M5210" s="4">
        <f t="shared" si="1097"/>
        <v>173.1</v>
      </c>
      <c r="N5210" s="4"/>
      <c r="O5210" s="1">
        <f t="shared" si="1098"/>
        <v>173.1</v>
      </c>
      <c r="P5210" s="1">
        <f t="shared" si="1099"/>
        <v>0</v>
      </c>
      <c r="Q5210" s="1" t="str">
        <f t="shared" si="1096"/>
        <v/>
      </c>
      <c r="R5210" s="1" t="str">
        <f t="shared" si="1100"/>
        <v/>
      </c>
      <c r="S5210" s="1">
        <f t="shared" si="1101"/>
        <v>630.90240000000244</v>
      </c>
      <c r="T5210" s="1">
        <f t="shared" si="1102"/>
        <v>0</v>
      </c>
      <c r="U5210" s="1">
        <f t="shared" si="1103"/>
        <v>0</v>
      </c>
      <c r="V5210" s="1">
        <f t="shared" si="1104"/>
        <v>0</v>
      </c>
    </row>
    <row r="5211" spans="13:22" x14ac:dyDescent="0.25">
      <c r="M5211" s="4">
        <f t="shared" si="1097"/>
        <v>173.1</v>
      </c>
      <c r="N5211" s="4"/>
      <c r="O5211" s="1">
        <f t="shared" si="1098"/>
        <v>173.1</v>
      </c>
      <c r="P5211" s="1">
        <f t="shared" si="1099"/>
        <v>0</v>
      </c>
      <c r="Q5211" s="1" t="str">
        <f t="shared" si="1096"/>
        <v/>
      </c>
      <c r="R5211" s="1" t="str">
        <f t="shared" si="1100"/>
        <v/>
      </c>
      <c r="S5211" s="1">
        <f t="shared" si="1101"/>
        <v>630.90240000000244</v>
      </c>
      <c r="T5211" s="1">
        <f t="shared" si="1102"/>
        <v>0</v>
      </c>
      <c r="U5211" s="1">
        <f t="shared" si="1103"/>
        <v>0</v>
      </c>
      <c r="V5211" s="1">
        <f t="shared" si="1104"/>
        <v>0</v>
      </c>
    </row>
    <row r="5212" spans="13:22" x14ac:dyDescent="0.25">
      <c r="M5212" s="4">
        <f t="shared" si="1097"/>
        <v>173.1</v>
      </c>
      <c r="N5212" s="4"/>
      <c r="O5212" s="1">
        <f t="shared" si="1098"/>
        <v>173.1</v>
      </c>
      <c r="P5212" s="1">
        <f t="shared" si="1099"/>
        <v>0</v>
      </c>
      <c r="Q5212" s="1" t="str">
        <f t="shared" si="1096"/>
        <v/>
      </c>
      <c r="R5212" s="1" t="str">
        <f t="shared" si="1100"/>
        <v/>
      </c>
      <c r="S5212" s="1">
        <f t="shared" si="1101"/>
        <v>630.90240000000244</v>
      </c>
      <c r="T5212" s="1">
        <f t="shared" si="1102"/>
        <v>0</v>
      </c>
      <c r="U5212" s="1">
        <f t="shared" si="1103"/>
        <v>0</v>
      </c>
      <c r="V5212" s="1">
        <f t="shared" si="1104"/>
        <v>0</v>
      </c>
    </row>
    <row r="5213" spans="13:22" x14ac:dyDescent="0.25">
      <c r="M5213" s="4">
        <f t="shared" si="1097"/>
        <v>173.1</v>
      </c>
      <c r="N5213" s="4"/>
      <c r="O5213" s="1">
        <f t="shared" si="1098"/>
        <v>173.1</v>
      </c>
      <c r="P5213" s="1">
        <f t="shared" si="1099"/>
        <v>0</v>
      </c>
      <c r="Q5213" s="1" t="str">
        <f t="shared" si="1096"/>
        <v/>
      </c>
      <c r="R5213" s="1" t="str">
        <f t="shared" si="1100"/>
        <v/>
      </c>
      <c r="S5213" s="1">
        <f t="shared" si="1101"/>
        <v>630.90240000000244</v>
      </c>
      <c r="T5213" s="1">
        <f t="shared" si="1102"/>
        <v>0</v>
      </c>
      <c r="U5213" s="1">
        <f t="shared" si="1103"/>
        <v>0</v>
      </c>
      <c r="V5213" s="1">
        <f t="shared" si="1104"/>
        <v>0</v>
      </c>
    </row>
    <row r="5214" spans="13:22" x14ac:dyDescent="0.25">
      <c r="M5214" s="4">
        <f t="shared" si="1097"/>
        <v>173.1</v>
      </c>
      <c r="N5214" s="4"/>
      <c r="O5214" s="1">
        <f t="shared" si="1098"/>
        <v>173.1</v>
      </c>
      <c r="P5214" s="1">
        <f t="shared" si="1099"/>
        <v>0</v>
      </c>
      <c r="Q5214" s="1" t="str">
        <f t="shared" si="1096"/>
        <v/>
      </c>
      <c r="R5214" s="1" t="str">
        <f t="shared" si="1100"/>
        <v/>
      </c>
      <c r="S5214" s="1">
        <f t="shared" si="1101"/>
        <v>630.90240000000244</v>
      </c>
      <c r="T5214" s="1">
        <f t="shared" si="1102"/>
        <v>0</v>
      </c>
      <c r="U5214" s="1">
        <f t="shared" si="1103"/>
        <v>0</v>
      </c>
      <c r="V5214" s="1">
        <f t="shared" si="1104"/>
        <v>0</v>
      </c>
    </row>
    <row r="5215" spans="13:22" x14ac:dyDescent="0.25">
      <c r="M5215" s="4">
        <f t="shared" si="1097"/>
        <v>173.1</v>
      </c>
      <c r="N5215" s="4"/>
      <c r="O5215" s="1">
        <f t="shared" si="1098"/>
        <v>173.1</v>
      </c>
      <c r="P5215" s="1">
        <f t="shared" si="1099"/>
        <v>0</v>
      </c>
      <c r="Q5215" s="1" t="str">
        <f t="shared" si="1096"/>
        <v/>
      </c>
      <c r="R5215" s="1" t="str">
        <f t="shared" si="1100"/>
        <v/>
      </c>
      <c r="S5215" s="1">
        <f t="shared" si="1101"/>
        <v>630.90240000000244</v>
      </c>
      <c r="T5215" s="1">
        <f t="shared" si="1102"/>
        <v>0</v>
      </c>
      <c r="U5215" s="1">
        <f t="shared" si="1103"/>
        <v>0</v>
      </c>
      <c r="V5215" s="1">
        <f t="shared" si="1104"/>
        <v>0</v>
      </c>
    </row>
    <row r="5216" spans="13:22" x14ac:dyDescent="0.25">
      <c r="M5216" s="4">
        <f t="shared" si="1097"/>
        <v>173.1</v>
      </c>
      <c r="N5216" s="4"/>
      <c r="O5216" s="1">
        <f t="shared" si="1098"/>
        <v>173.1</v>
      </c>
      <c r="P5216" s="1">
        <f t="shared" si="1099"/>
        <v>0</v>
      </c>
      <c r="Q5216" s="1" t="str">
        <f t="shared" si="1096"/>
        <v/>
      </c>
      <c r="R5216" s="1" t="str">
        <f t="shared" si="1100"/>
        <v/>
      </c>
      <c r="S5216" s="1">
        <f t="shared" si="1101"/>
        <v>630.90240000000244</v>
      </c>
      <c r="T5216" s="1">
        <f t="shared" si="1102"/>
        <v>0</v>
      </c>
      <c r="U5216" s="1">
        <f t="shared" si="1103"/>
        <v>0</v>
      </c>
      <c r="V5216" s="1">
        <f t="shared" si="1104"/>
        <v>0</v>
      </c>
    </row>
    <row r="5217" spans="13:22" x14ac:dyDescent="0.25">
      <c r="M5217" s="4">
        <f t="shared" si="1097"/>
        <v>173.1</v>
      </c>
      <c r="N5217" s="4"/>
      <c r="O5217" s="1">
        <f t="shared" si="1098"/>
        <v>173.1</v>
      </c>
      <c r="P5217" s="1">
        <f t="shared" si="1099"/>
        <v>0</v>
      </c>
      <c r="Q5217" s="1" t="str">
        <f t="shared" si="1096"/>
        <v/>
      </c>
      <c r="R5217" s="1" t="str">
        <f t="shared" si="1100"/>
        <v/>
      </c>
      <c r="S5217" s="1">
        <f t="shared" si="1101"/>
        <v>630.90240000000244</v>
      </c>
      <c r="T5217" s="1">
        <f t="shared" si="1102"/>
        <v>0</v>
      </c>
      <c r="U5217" s="1">
        <f t="shared" si="1103"/>
        <v>0</v>
      </c>
      <c r="V5217" s="1">
        <f t="shared" si="1104"/>
        <v>0</v>
      </c>
    </row>
    <row r="5218" spans="13:22" x14ac:dyDescent="0.25">
      <c r="M5218" s="4">
        <f t="shared" si="1097"/>
        <v>173.1</v>
      </c>
      <c r="N5218" s="4"/>
      <c r="O5218" s="1">
        <f t="shared" si="1098"/>
        <v>173.1</v>
      </c>
      <c r="P5218" s="1">
        <f t="shared" si="1099"/>
        <v>0</v>
      </c>
      <c r="Q5218" s="1" t="str">
        <f t="shared" si="1096"/>
        <v/>
      </c>
      <c r="R5218" s="1" t="str">
        <f t="shared" si="1100"/>
        <v/>
      </c>
      <c r="S5218" s="1">
        <f t="shared" si="1101"/>
        <v>630.90240000000244</v>
      </c>
      <c r="T5218" s="1">
        <f t="shared" si="1102"/>
        <v>0</v>
      </c>
      <c r="U5218" s="1">
        <f t="shared" si="1103"/>
        <v>0</v>
      </c>
      <c r="V5218" s="1">
        <f t="shared" si="1104"/>
        <v>0</v>
      </c>
    </row>
    <row r="5219" spans="13:22" x14ac:dyDescent="0.25">
      <c r="M5219" s="4">
        <f t="shared" si="1097"/>
        <v>173.1</v>
      </c>
      <c r="N5219" s="4"/>
      <c r="O5219" s="1">
        <f t="shared" si="1098"/>
        <v>173.1</v>
      </c>
      <c r="P5219" s="1">
        <f t="shared" si="1099"/>
        <v>0</v>
      </c>
      <c r="Q5219" s="1" t="str">
        <f t="shared" si="1096"/>
        <v/>
      </c>
      <c r="R5219" s="1" t="str">
        <f t="shared" si="1100"/>
        <v/>
      </c>
      <c r="S5219" s="1">
        <f t="shared" si="1101"/>
        <v>630.90240000000244</v>
      </c>
      <c r="T5219" s="1">
        <f t="shared" si="1102"/>
        <v>0</v>
      </c>
      <c r="U5219" s="1">
        <f t="shared" si="1103"/>
        <v>0</v>
      </c>
      <c r="V5219" s="1">
        <f t="shared" si="1104"/>
        <v>0</v>
      </c>
    </row>
    <row r="5220" spans="13:22" x14ac:dyDescent="0.25">
      <c r="M5220" s="4">
        <f t="shared" si="1097"/>
        <v>173.1</v>
      </c>
      <c r="N5220" s="4"/>
      <c r="O5220" s="1">
        <f t="shared" si="1098"/>
        <v>173.1</v>
      </c>
      <c r="P5220" s="1">
        <f t="shared" si="1099"/>
        <v>0</v>
      </c>
      <c r="Q5220" s="1" t="str">
        <f t="shared" si="1096"/>
        <v/>
      </c>
      <c r="R5220" s="1" t="str">
        <f t="shared" si="1100"/>
        <v/>
      </c>
      <c r="S5220" s="1">
        <f t="shared" si="1101"/>
        <v>630.90240000000244</v>
      </c>
      <c r="T5220" s="1">
        <f t="shared" si="1102"/>
        <v>0</v>
      </c>
      <c r="U5220" s="1">
        <f t="shared" si="1103"/>
        <v>0</v>
      </c>
      <c r="V5220" s="1">
        <f t="shared" si="1104"/>
        <v>0</v>
      </c>
    </row>
    <row r="5221" spans="13:22" x14ac:dyDescent="0.25">
      <c r="M5221" s="4">
        <f t="shared" si="1097"/>
        <v>173.1</v>
      </c>
      <c r="N5221" s="4"/>
      <c r="O5221" s="1">
        <f t="shared" si="1098"/>
        <v>173.1</v>
      </c>
      <c r="P5221" s="1">
        <f t="shared" si="1099"/>
        <v>0</v>
      </c>
      <c r="Q5221" s="1" t="str">
        <f t="shared" si="1096"/>
        <v/>
      </c>
      <c r="R5221" s="1" t="str">
        <f t="shared" si="1100"/>
        <v/>
      </c>
      <c r="S5221" s="1">
        <f t="shared" si="1101"/>
        <v>630.90240000000244</v>
      </c>
      <c r="T5221" s="1">
        <f t="shared" si="1102"/>
        <v>0</v>
      </c>
      <c r="U5221" s="1">
        <f t="shared" si="1103"/>
        <v>0</v>
      </c>
      <c r="V5221" s="1">
        <f t="shared" si="1104"/>
        <v>0</v>
      </c>
    </row>
    <row r="5222" spans="13:22" x14ac:dyDescent="0.25">
      <c r="M5222" s="4">
        <f t="shared" si="1097"/>
        <v>173.1</v>
      </c>
      <c r="N5222" s="4"/>
      <c r="O5222" s="1">
        <f t="shared" si="1098"/>
        <v>173.1</v>
      </c>
      <c r="P5222" s="1">
        <f t="shared" si="1099"/>
        <v>0</v>
      </c>
      <c r="Q5222" s="1" t="str">
        <f t="shared" si="1096"/>
        <v/>
      </c>
      <c r="R5222" s="1" t="str">
        <f t="shared" si="1100"/>
        <v/>
      </c>
      <c r="S5222" s="1">
        <f t="shared" si="1101"/>
        <v>630.90240000000244</v>
      </c>
      <c r="T5222" s="1">
        <f t="shared" si="1102"/>
        <v>0</v>
      </c>
      <c r="U5222" s="1">
        <f t="shared" si="1103"/>
        <v>0</v>
      </c>
      <c r="V5222" s="1">
        <f t="shared" si="1104"/>
        <v>0</v>
      </c>
    </row>
    <row r="5223" spans="13:22" x14ac:dyDescent="0.25">
      <c r="M5223" s="4">
        <f t="shared" si="1097"/>
        <v>173.1</v>
      </c>
      <c r="N5223" s="4"/>
      <c r="O5223" s="1">
        <f t="shared" si="1098"/>
        <v>173.1</v>
      </c>
      <c r="P5223" s="1">
        <f t="shared" si="1099"/>
        <v>0</v>
      </c>
      <c r="Q5223" s="1" t="str">
        <f t="shared" si="1096"/>
        <v/>
      </c>
      <c r="R5223" s="1" t="str">
        <f t="shared" si="1100"/>
        <v/>
      </c>
      <c r="S5223" s="1">
        <f t="shared" si="1101"/>
        <v>630.90240000000244</v>
      </c>
      <c r="T5223" s="1">
        <f t="shared" si="1102"/>
        <v>0</v>
      </c>
      <c r="U5223" s="1">
        <f t="shared" si="1103"/>
        <v>0</v>
      </c>
      <c r="V5223" s="1">
        <f t="shared" si="1104"/>
        <v>0</v>
      </c>
    </row>
    <row r="5224" spans="13:22" x14ac:dyDescent="0.25">
      <c r="M5224" s="4">
        <f t="shared" si="1097"/>
        <v>173.1</v>
      </c>
      <c r="N5224" s="4"/>
      <c r="O5224" s="1">
        <f t="shared" si="1098"/>
        <v>173.1</v>
      </c>
      <c r="P5224" s="1">
        <f t="shared" si="1099"/>
        <v>0</v>
      </c>
      <c r="Q5224" s="1" t="str">
        <f t="shared" si="1096"/>
        <v/>
      </c>
      <c r="R5224" s="1" t="str">
        <f t="shared" si="1100"/>
        <v/>
      </c>
      <c r="S5224" s="1">
        <f t="shared" si="1101"/>
        <v>630.90240000000244</v>
      </c>
      <c r="T5224" s="1">
        <f t="shared" si="1102"/>
        <v>0</v>
      </c>
      <c r="U5224" s="1">
        <f t="shared" si="1103"/>
        <v>0</v>
      </c>
      <c r="V5224" s="1">
        <f t="shared" si="1104"/>
        <v>0</v>
      </c>
    </row>
    <row r="5225" spans="13:22" x14ac:dyDescent="0.25">
      <c r="M5225" s="4">
        <f t="shared" si="1097"/>
        <v>173.1</v>
      </c>
      <c r="N5225" s="4"/>
      <c r="O5225" s="1">
        <f t="shared" si="1098"/>
        <v>173.1</v>
      </c>
      <c r="P5225" s="1">
        <f t="shared" si="1099"/>
        <v>0</v>
      </c>
      <c r="Q5225" s="1" t="str">
        <f t="shared" si="1096"/>
        <v/>
      </c>
      <c r="R5225" s="1" t="str">
        <f t="shared" si="1100"/>
        <v/>
      </c>
      <c r="S5225" s="1">
        <f t="shared" si="1101"/>
        <v>630.90240000000244</v>
      </c>
      <c r="T5225" s="1">
        <f t="shared" si="1102"/>
        <v>0</v>
      </c>
      <c r="U5225" s="1">
        <f t="shared" si="1103"/>
        <v>0</v>
      </c>
      <c r="V5225" s="1">
        <f t="shared" si="1104"/>
        <v>0</v>
      </c>
    </row>
    <row r="5226" spans="13:22" x14ac:dyDescent="0.25">
      <c r="M5226" s="4">
        <f t="shared" si="1097"/>
        <v>173.1</v>
      </c>
      <c r="N5226" s="4"/>
      <c r="O5226" s="1">
        <f t="shared" si="1098"/>
        <v>173.1</v>
      </c>
      <c r="P5226" s="1">
        <f t="shared" si="1099"/>
        <v>0</v>
      </c>
      <c r="Q5226" s="1" t="str">
        <f t="shared" si="1096"/>
        <v/>
      </c>
      <c r="R5226" s="1" t="str">
        <f t="shared" si="1100"/>
        <v/>
      </c>
      <c r="S5226" s="1">
        <f t="shared" si="1101"/>
        <v>630.90240000000244</v>
      </c>
      <c r="T5226" s="1">
        <f t="shared" si="1102"/>
        <v>0</v>
      </c>
      <c r="U5226" s="1">
        <f t="shared" si="1103"/>
        <v>0</v>
      </c>
      <c r="V5226" s="1">
        <f t="shared" si="1104"/>
        <v>0</v>
      </c>
    </row>
    <row r="5227" spans="13:22" x14ac:dyDescent="0.25">
      <c r="M5227" s="4">
        <f t="shared" si="1097"/>
        <v>173.1</v>
      </c>
      <c r="N5227" s="4"/>
      <c r="O5227" s="1">
        <f t="shared" si="1098"/>
        <v>173.1</v>
      </c>
      <c r="P5227" s="1">
        <f t="shared" si="1099"/>
        <v>0</v>
      </c>
      <c r="Q5227" s="1" t="str">
        <f t="shared" si="1096"/>
        <v/>
      </c>
      <c r="R5227" s="1" t="str">
        <f t="shared" si="1100"/>
        <v/>
      </c>
      <c r="S5227" s="1">
        <f t="shared" si="1101"/>
        <v>630.90240000000244</v>
      </c>
      <c r="T5227" s="1">
        <f t="shared" si="1102"/>
        <v>0</v>
      </c>
      <c r="U5227" s="1">
        <f t="shared" si="1103"/>
        <v>0</v>
      </c>
      <c r="V5227" s="1">
        <f t="shared" si="1104"/>
        <v>0</v>
      </c>
    </row>
    <row r="5228" spans="13:22" x14ac:dyDescent="0.25">
      <c r="M5228" s="4">
        <f t="shared" si="1097"/>
        <v>173.1</v>
      </c>
      <c r="N5228" s="4"/>
      <c r="O5228" s="1">
        <f t="shared" si="1098"/>
        <v>173.1</v>
      </c>
      <c r="P5228" s="1">
        <f t="shared" si="1099"/>
        <v>0</v>
      </c>
      <c r="Q5228" s="1" t="str">
        <f t="shared" si="1096"/>
        <v/>
      </c>
      <c r="R5228" s="1" t="str">
        <f t="shared" si="1100"/>
        <v/>
      </c>
      <c r="S5228" s="1">
        <f t="shared" si="1101"/>
        <v>630.90240000000244</v>
      </c>
      <c r="T5228" s="1">
        <f t="shared" si="1102"/>
        <v>0</v>
      </c>
      <c r="U5228" s="1">
        <f t="shared" si="1103"/>
        <v>0</v>
      </c>
      <c r="V5228" s="1">
        <f t="shared" si="1104"/>
        <v>0</v>
      </c>
    </row>
    <row r="5229" spans="13:22" x14ac:dyDescent="0.25">
      <c r="M5229" s="4">
        <f t="shared" si="1097"/>
        <v>173.1</v>
      </c>
      <c r="N5229" s="4"/>
      <c r="O5229" s="1">
        <f t="shared" si="1098"/>
        <v>173.1</v>
      </c>
      <c r="P5229" s="1">
        <f t="shared" si="1099"/>
        <v>0</v>
      </c>
      <c r="Q5229" s="1" t="str">
        <f t="shared" si="1096"/>
        <v/>
      </c>
      <c r="R5229" s="1" t="str">
        <f t="shared" si="1100"/>
        <v/>
      </c>
      <c r="S5229" s="1">
        <f t="shared" si="1101"/>
        <v>630.90240000000244</v>
      </c>
      <c r="T5229" s="1">
        <f t="shared" si="1102"/>
        <v>0</v>
      </c>
      <c r="U5229" s="1">
        <f t="shared" si="1103"/>
        <v>0</v>
      </c>
      <c r="V5229" s="1">
        <f t="shared" si="1104"/>
        <v>0</v>
      </c>
    </row>
    <row r="5230" spans="13:22" x14ac:dyDescent="0.25">
      <c r="M5230" s="4">
        <f t="shared" si="1097"/>
        <v>173.1</v>
      </c>
      <c r="N5230" s="4"/>
      <c r="O5230" s="1">
        <f t="shared" si="1098"/>
        <v>173.1</v>
      </c>
      <c r="P5230" s="1">
        <f t="shared" si="1099"/>
        <v>0</v>
      </c>
      <c r="Q5230" s="1" t="str">
        <f t="shared" si="1096"/>
        <v/>
      </c>
      <c r="R5230" s="1" t="str">
        <f t="shared" si="1100"/>
        <v/>
      </c>
      <c r="S5230" s="1">
        <f t="shared" si="1101"/>
        <v>630.90240000000244</v>
      </c>
      <c r="T5230" s="1">
        <f t="shared" si="1102"/>
        <v>0</v>
      </c>
      <c r="U5230" s="1">
        <f t="shared" si="1103"/>
        <v>0</v>
      </c>
      <c r="V5230" s="1">
        <f t="shared" si="1104"/>
        <v>0</v>
      </c>
    </row>
    <row r="5231" spans="13:22" x14ac:dyDescent="0.25">
      <c r="M5231" s="4">
        <f t="shared" si="1097"/>
        <v>173.1</v>
      </c>
      <c r="N5231" s="4"/>
      <c r="O5231" s="1">
        <f t="shared" si="1098"/>
        <v>173.1</v>
      </c>
      <c r="P5231" s="1">
        <f t="shared" si="1099"/>
        <v>0</v>
      </c>
      <c r="Q5231" s="1" t="str">
        <f t="shared" si="1096"/>
        <v/>
      </c>
      <c r="R5231" s="1" t="str">
        <f t="shared" si="1100"/>
        <v/>
      </c>
      <c r="S5231" s="1">
        <f t="shared" si="1101"/>
        <v>630.90240000000244</v>
      </c>
      <c r="T5231" s="1">
        <f t="shared" si="1102"/>
        <v>0</v>
      </c>
      <c r="U5231" s="1">
        <f t="shared" si="1103"/>
        <v>0</v>
      </c>
      <c r="V5231" s="1">
        <f t="shared" si="1104"/>
        <v>0</v>
      </c>
    </row>
    <row r="5232" spans="13:22" x14ac:dyDescent="0.25">
      <c r="M5232" s="4">
        <f t="shared" si="1097"/>
        <v>173.1</v>
      </c>
      <c r="N5232" s="4"/>
      <c r="O5232" s="1">
        <f t="shared" si="1098"/>
        <v>173.1</v>
      </c>
      <c r="P5232" s="1">
        <f t="shared" si="1099"/>
        <v>0</v>
      </c>
      <c r="Q5232" s="1" t="str">
        <f t="shared" si="1096"/>
        <v/>
      </c>
      <c r="R5232" s="1" t="str">
        <f t="shared" si="1100"/>
        <v/>
      </c>
      <c r="S5232" s="1">
        <f t="shared" si="1101"/>
        <v>630.90240000000244</v>
      </c>
      <c r="T5232" s="1">
        <f t="shared" si="1102"/>
        <v>0</v>
      </c>
      <c r="U5232" s="1">
        <f t="shared" si="1103"/>
        <v>0</v>
      </c>
      <c r="V5232" s="1">
        <f t="shared" si="1104"/>
        <v>0</v>
      </c>
    </row>
    <row r="5233" spans="13:22" x14ac:dyDescent="0.25">
      <c r="M5233" s="4">
        <f t="shared" si="1097"/>
        <v>173.1</v>
      </c>
      <c r="N5233" s="4"/>
      <c r="O5233" s="1">
        <f t="shared" si="1098"/>
        <v>173.1</v>
      </c>
      <c r="P5233" s="1">
        <f t="shared" si="1099"/>
        <v>0</v>
      </c>
      <c r="Q5233" s="1" t="str">
        <f t="shared" si="1096"/>
        <v/>
      </c>
      <c r="R5233" s="1" t="str">
        <f t="shared" si="1100"/>
        <v/>
      </c>
      <c r="S5233" s="1">
        <f t="shared" si="1101"/>
        <v>630.90240000000244</v>
      </c>
      <c r="T5233" s="1">
        <f t="shared" si="1102"/>
        <v>0</v>
      </c>
      <c r="U5233" s="1">
        <f t="shared" si="1103"/>
        <v>0</v>
      </c>
      <c r="V5233" s="1">
        <f t="shared" si="1104"/>
        <v>0</v>
      </c>
    </row>
    <row r="5234" spans="13:22" x14ac:dyDescent="0.25">
      <c r="M5234" s="4">
        <f t="shared" si="1097"/>
        <v>173.1</v>
      </c>
      <c r="N5234" s="4"/>
      <c r="O5234" s="1">
        <f t="shared" si="1098"/>
        <v>173.1</v>
      </c>
      <c r="P5234" s="1">
        <f t="shared" si="1099"/>
        <v>0</v>
      </c>
      <c r="Q5234" s="1" t="str">
        <f t="shared" ref="Q5234:Q5297" si="1105">IF(H5234&lt;&gt;"",IF(H5234=H5233,"",H5234),IF(H5232="","",MAX(H5233,Q5233)))</f>
        <v/>
      </c>
      <c r="R5234" s="1" t="str">
        <f t="shared" si="1100"/>
        <v/>
      </c>
      <c r="S5234" s="1">
        <f t="shared" si="1101"/>
        <v>630.90240000000244</v>
      </c>
      <c r="T5234" s="1">
        <f t="shared" si="1102"/>
        <v>0</v>
      </c>
      <c r="U5234" s="1">
        <f t="shared" si="1103"/>
        <v>0</v>
      </c>
      <c r="V5234" s="1">
        <f t="shared" si="1104"/>
        <v>0</v>
      </c>
    </row>
    <row r="5235" spans="13:22" x14ac:dyDescent="0.25">
      <c r="M5235" s="4">
        <f t="shared" si="1097"/>
        <v>173.1</v>
      </c>
      <c r="N5235" s="4"/>
      <c r="O5235" s="1">
        <f t="shared" si="1098"/>
        <v>173.1</v>
      </c>
      <c r="P5235" s="1">
        <f t="shared" si="1099"/>
        <v>0</v>
      </c>
      <c r="Q5235" s="1" t="str">
        <f t="shared" si="1105"/>
        <v/>
      </c>
      <c r="R5235" s="1" t="str">
        <f t="shared" si="1100"/>
        <v/>
      </c>
      <c r="S5235" s="1">
        <f t="shared" si="1101"/>
        <v>630.90240000000244</v>
      </c>
      <c r="T5235" s="1">
        <f t="shared" si="1102"/>
        <v>0</v>
      </c>
      <c r="U5235" s="1">
        <f t="shared" si="1103"/>
        <v>0</v>
      </c>
      <c r="V5235" s="1">
        <f t="shared" si="1104"/>
        <v>0</v>
      </c>
    </row>
    <row r="5236" spans="13:22" x14ac:dyDescent="0.25">
      <c r="M5236" s="4">
        <f t="shared" si="1097"/>
        <v>173.1</v>
      </c>
      <c r="N5236" s="4"/>
      <c r="O5236" s="1">
        <f t="shared" si="1098"/>
        <v>173.1</v>
      </c>
      <c r="P5236" s="1">
        <f t="shared" si="1099"/>
        <v>0</v>
      </c>
      <c r="Q5236" s="1" t="str">
        <f t="shared" si="1105"/>
        <v/>
      </c>
      <c r="R5236" s="1" t="str">
        <f t="shared" si="1100"/>
        <v/>
      </c>
      <c r="S5236" s="1">
        <f t="shared" si="1101"/>
        <v>630.90240000000244</v>
      </c>
      <c r="T5236" s="1">
        <f t="shared" si="1102"/>
        <v>0</v>
      </c>
      <c r="U5236" s="1">
        <f t="shared" si="1103"/>
        <v>0</v>
      </c>
      <c r="V5236" s="1">
        <f t="shared" si="1104"/>
        <v>0</v>
      </c>
    </row>
    <row r="5237" spans="13:22" x14ac:dyDescent="0.25">
      <c r="M5237" s="4">
        <f t="shared" si="1097"/>
        <v>173.1</v>
      </c>
      <c r="N5237" s="4"/>
      <c r="O5237" s="1">
        <f t="shared" si="1098"/>
        <v>173.1</v>
      </c>
      <c r="P5237" s="1">
        <f t="shared" si="1099"/>
        <v>0</v>
      </c>
      <c r="Q5237" s="1" t="str">
        <f t="shared" si="1105"/>
        <v/>
      </c>
      <c r="R5237" s="1" t="str">
        <f t="shared" si="1100"/>
        <v/>
      </c>
      <c r="S5237" s="1">
        <f t="shared" si="1101"/>
        <v>630.90240000000244</v>
      </c>
      <c r="T5237" s="1">
        <f t="shared" si="1102"/>
        <v>0</v>
      </c>
      <c r="U5237" s="1">
        <f t="shared" si="1103"/>
        <v>0</v>
      </c>
      <c r="V5237" s="1">
        <f t="shared" si="1104"/>
        <v>0</v>
      </c>
    </row>
    <row r="5238" spans="13:22" x14ac:dyDescent="0.25">
      <c r="M5238" s="4">
        <f t="shared" si="1097"/>
        <v>173.1</v>
      </c>
      <c r="N5238" s="4"/>
      <c r="O5238" s="1">
        <f t="shared" si="1098"/>
        <v>173.1</v>
      </c>
      <c r="P5238" s="1">
        <f t="shared" si="1099"/>
        <v>0</v>
      </c>
      <c r="Q5238" s="1" t="str">
        <f t="shared" si="1105"/>
        <v/>
      </c>
      <c r="R5238" s="1" t="str">
        <f t="shared" si="1100"/>
        <v/>
      </c>
      <c r="S5238" s="1">
        <f t="shared" si="1101"/>
        <v>630.90240000000244</v>
      </c>
      <c r="T5238" s="1">
        <f t="shared" si="1102"/>
        <v>0</v>
      </c>
      <c r="U5238" s="1">
        <f t="shared" si="1103"/>
        <v>0</v>
      </c>
      <c r="V5238" s="1">
        <f t="shared" si="1104"/>
        <v>0</v>
      </c>
    </row>
    <row r="5239" spans="13:22" x14ac:dyDescent="0.25">
      <c r="M5239" s="4">
        <f t="shared" si="1097"/>
        <v>173.1</v>
      </c>
      <c r="N5239" s="4"/>
      <c r="O5239" s="1">
        <f t="shared" si="1098"/>
        <v>173.1</v>
      </c>
      <c r="P5239" s="1">
        <f t="shared" si="1099"/>
        <v>0</v>
      </c>
      <c r="Q5239" s="1" t="str">
        <f t="shared" si="1105"/>
        <v/>
      </c>
      <c r="R5239" s="1" t="str">
        <f t="shared" si="1100"/>
        <v/>
      </c>
      <c r="S5239" s="1">
        <f t="shared" si="1101"/>
        <v>630.90240000000244</v>
      </c>
      <c r="T5239" s="1">
        <f t="shared" si="1102"/>
        <v>0</v>
      </c>
      <c r="U5239" s="1">
        <f t="shared" si="1103"/>
        <v>0</v>
      </c>
      <c r="V5239" s="1">
        <f t="shared" si="1104"/>
        <v>0</v>
      </c>
    </row>
    <row r="5240" spans="13:22" x14ac:dyDescent="0.25">
      <c r="M5240" s="4">
        <f t="shared" si="1097"/>
        <v>173.1</v>
      </c>
      <c r="N5240" s="4"/>
      <c r="O5240" s="1">
        <f t="shared" si="1098"/>
        <v>173.1</v>
      </c>
      <c r="P5240" s="1">
        <f t="shared" si="1099"/>
        <v>0</v>
      </c>
      <c r="Q5240" s="1" t="str">
        <f t="shared" si="1105"/>
        <v/>
      </c>
      <c r="R5240" s="1" t="str">
        <f t="shared" si="1100"/>
        <v/>
      </c>
      <c r="S5240" s="1">
        <f t="shared" si="1101"/>
        <v>630.90240000000244</v>
      </c>
      <c r="T5240" s="1">
        <f t="shared" si="1102"/>
        <v>0</v>
      </c>
      <c r="U5240" s="1">
        <f t="shared" si="1103"/>
        <v>0</v>
      </c>
      <c r="V5240" s="1">
        <f t="shared" si="1104"/>
        <v>0</v>
      </c>
    </row>
    <row r="5241" spans="13:22" x14ac:dyDescent="0.25">
      <c r="M5241" s="4">
        <f t="shared" si="1097"/>
        <v>173.1</v>
      </c>
      <c r="N5241" s="4"/>
      <c r="O5241" s="1">
        <f t="shared" si="1098"/>
        <v>173.1</v>
      </c>
      <c r="P5241" s="1">
        <f t="shared" si="1099"/>
        <v>0</v>
      </c>
      <c r="Q5241" s="1" t="str">
        <f t="shared" si="1105"/>
        <v/>
      </c>
      <c r="R5241" s="1" t="str">
        <f t="shared" si="1100"/>
        <v/>
      </c>
      <c r="S5241" s="1">
        <f t="shared" si="1101"/>
        <v>630.90240000000244</v>
      </c>
      <c r="T5241" s="1">
        <f t="shared" si="1102"/>
        <v>0</v>
      </c>
      <c r="U5241" s="1">
        <f t="shared" si="1103"/>
        <v>0</v>
      </c>
      <c r="V5241" s="1">
        <f t="shared" si="1104"/>
        <v>0</v>
      </c>
    </row>
    <row r="5242" spans="13:22" x14ac:dyDescent="0.25">
      <c r="M5242" s="4">
        <f t="shared" si="1097"/>
        <v>173.1</v>
      </c>
      <c r="N5242" s="4"/>
      <c r="O5242" s="1">
        <f t="shared" si="1098"/>
        <v>173.1</v>
      </c>
      <c r="P5242" s="1">
        <f t="shared" si="1099"/>
        <v>0</v>
      </c>
      <c r="Q5242" s="1" t="str">
        <f t="shared" si="1105"/>
        <v/>
      </c>
      <c r="R5242" s="1" t="str">
        <f t="shared" si="1100"/>
        <v/>
      </c>
      <c r="S5242" s="1">
        <f t="shared" si="1101"/>
        <v>630.90240000000244</v>
      </c>
      <c r="T5242" s="1">
        <f t="shared" si="1102"/>
        <v>0</v>
      </c>
      <c r="U5242" s="1">
        <f t="shared" si="1103"/>
        <v>0</v>
      </c>
      <c r="V5242" s="1">
        <f t="shared" si="1104"/>
        <v>0</v>
      </c>
    </row>
    <row r="5243" spans="13:22" x14ac:dyDescent="0.25">
      <c r="M5243" s="4">
        <f t="shared" si="1097"/>
        <v>173.1</v>
      </c>
      <c r="N5243" s="4"/>
      <c r="O5243" s="1">
        <f t="shared" si="1098"/>
        <v>173.1</v>
      </c>
      <c r="P5243" s="1">
        <f t="shared" si="1099"/>
        <v>0</v>
      </c>
      <c r="Q5243" s="1" t="str">
        <f t="shared" si="1105"/>
        <v/>
      </c>
      <c r="R5243" s="1" t="str">
        <f t="shared" si="1100"/>
        <v/>
      </c>
      <c r="S5243" s="1">
        <f t="shared" si="1101"/>
        <v>630.90240000000244</v>
      </c>
      <c r="T5243" s="1">
        <f t="shared" si="1102"/>
        <v>0</v>
      </c>
      <c r="U5243" s="1">
        <f t="shared" si="1103"/>
        <v>0</v>
      </c>
      <c r="V5243" s="1">
        <f t="shared" si="1104"/>
        <v>0</v>
      </c>
    </row>
    <row r="5244" spans="13:22" x14ac:dyDescent="0.25">
      <c r="M5244" s="4">
        <f t="shared" si="1097"/>
        <v>173.1</v>
      </c>
      <c r="N5244" s="4"/>
      <c r="O5244" s="1">
        <f t="shared" si="1098"/>
        <v>173.1</v>
      </c>
      <c r="P5244" s="1">
        <f t="shared" si="1099"/>
        <v>0</v>
      </c>
      <c r="Q5244" s="1" t="str">
        <f t="shared" si="1105"/>
        <v/>
      </c>
      <c r="R5244" s="1" t="str">
        <f t="shared" si="1100"/>
        <v/>
      </c>
      <c r="S5244" s="1">
        <f t="shared" si="1101"/>
        <v>630.90240000000244</v>
      </c>
      <c r="T5244" s="1">
        <f t="shared" si="1102"/>
        <v>0</v>
      </c>
      <c r="U5244" s="1">
        <f t="shared" si="1103"/>
        <v>0</v>
      </c>
      <c r="V5244" s="1">
        <f t="shared" si="1104"/>
        <v>0</v>
      </c>
    </row>
    <row r="5245" spans="13:22" x14ac:dyDescent="0.25">
      <c r="M5245" s="4">
        <f t="shared" si="1097"/>
        <v>173.1</v>
      </c>
      <c r="N5245" s="4"/>
      <c r="O5245" s="1">
        <f t="shared" si="1098"/>
        <v>173.1</v>
      </c>
      <c r="P5245" s="1">
        <f t="shared" si="1099"/>
        <v>0</v>
      </c>
      <c r="Q5245" s="1" t="str">
        <f t="shared" si="1105"/>
        <v/>
      </c>
      <c r="R5245" s="1" t="str">
        <f t="shared" si="1100"/>
        <v/>
      </c>
      <c r="S5245" s="1">
        <f t="shared" si="1101"/>
        <v>630.90240000000244</v>
      </c>
      <c r="T5245" s="1">
        <f t="shared" si="1102"/>
        <v>0</v>
      </c>
      <c r="U5245" s="1">
        <f t="shared" si="1103"/>
        <v>0</v>
      </c>
      <c r="V5245" s="1">
        <f t="shared" si="1104"/>
        <v>0</v>
      </c>
    </row>
    <row r="5246" spans="13:22" x14ac:dyDescent="0.25">
      <c r="M5246" s="4">
        <f t="shared" si="1097"/>
        <v>173.1</v>
      </c>
      <c r="N5246" s="4"/>
      <c r="O5246" s="1">
        <f t="shared" si="1098"/>
        <v>173.1</v>
      </c>
      <c r="P5246" s="1">
        <f t="shared" si="1099"/>
        <v>0</v>
      </c>
      <c r="Q5246" s="1" t="str">
        <f t="shared" si="1105"/>
        <v/>
      </c>
      <c r="R5246" s="1" t="str">
        <f t="shared" si="1100"/>
        <v/>
      </c>
      <c r="S5246" s="1">
        <f t="shared" si="1101"/>
        <v>630.90240000000244</v>
      </c>
      <c r="T5246" s="1">
        <f t="shared" si="1102"/>
        <v>0</v>
      </c>
      <c r="U5246" s="1">
        <f t="shared" si="1103"/>
        <v>0</v>
      </c>
      <c r="V5246" s="1">
        <f t="shared" si="1104"/>
        <v>0</v>
      </c>
    </row>
    <row r="5247" spans="13:22" x14ac:dyDescent="0.25">
      <c r="M5247" s="4">
        <f t="shared" si="1097"/>
        <v>173.1</v>
      </c>
      <c r="N5247" s="4"/>
      <c r="O5247" s="1">
        <f t="shared" si="1098"/>
        <v>173.1</v>
      </c>
      <c r="P5247" s="1">
        <f t="shared" si="1099"/>
        <v>0</v>
      </c>
      <c r="Q5247" s="1" t="str">
        <f t="shared" si="1105"/>
        <v/>
      </c>
      <c r="R5247" s="1" t="str">
        <f t="shared" si="1100"/>
        <v/>
      </c>
      <c r="S5247" s="1">
        <f t="shared" si="1101"/>
        <v>630.90240000000244</v>
      </c>
      <c r="T5247" s="1">
        <f t="shared" si="1102"/>
        <v>0</v>
      </c>
      <c r="U5247" s="1">
        <f t="shared" si="1103"/>
        <v>0</v>
      </c>
      <c r="V5247" s="1">
        <f t="shared" si="1104"/>
        <v>0</v>
      </c>
    </row>
    <row r="5248" spans="13:22" x14ac:dyDescent="0.25">
      <c r="M5248" s="4">
        <f t="shared" si="1097"/>
        <v>173.1</v>
      </c>
      <c r="N5248" s="4"/>
      <c r="O5248" s="1">
        <f t="shared" si="1098"/>
        <v>173.1</v>
      </c>
      <c r="P5248" s="1">
        <f t="shared" si="1099"/>
        <v>0</v>
      </c>
      <c r="Q5248" s="1" t="str">
        <f t="shared" si="1105"/>
        <v/>
      </c>
      <c r="R5248" s="1" t="str">
        <f t="shared" si="1100"/>
        <v/>
      </c>
      <c r="S5248" s="1">
        <f t="shared" si="1101"/>
        <v>630.90240000000244</v>
      </c>
      <c r="T5248" s="1">
        <f t="shared" si="1102"/>
        <v>0</v>
      </c>
      <c r="U5248" s="1">
        <f t="shared" si="1103"/>
        <v>0</v>
      </c>
      <c r="V5248" s="1">
        <f t="shared" si="1104"/>
        <v>0</v>
      </c>
    </row>
    <row r="5249" spans="13:22" x14ac:dyDescent="0.25">
      <c r="M5249" s="4">
        <f t="shared" si="1097"/>
        <v>173.1</v>
      </c>
      <c r="N5249" s="4"/>
      <c r="O5249" s="1">
        <f t="shared" si="1098"/>
        <v>173.1</v>
      </c>
      <c r="P5249" s="1">
        <f t="shared" si="1099"/>
        <v>0</v>
      </c>
      <c r="Q5249" s="1" t="str">
        <f t="shared" si="1105"/>
        <v/>
      </c>
      <c r="R5249" s="1" t="str">
        <f t="shared" si="1100"/>
        <v/>
      </c>
      <c r="S5249" s="1">
        <f t="shared" si="1101"/>
        <v>630.90240000000244</v>
      </c>
      <c r="T5249" s="1">
        <f t="shared" si="1102"/>
        <v>0</v>
      </c>
      <c r="U5249" s="1">
        <f t="shared" si="1103"/>
        <v>0</v>
      </c>
      <c r="V5249" s="1">
        <f t="shared" si="1104"/>
        <v>0</v>
      </c>
    </row>
    <row r="5250" spans="13:22" x14ac:dyDescent="0.25">
      <c r="M5250" s="4">
        <f t="shared" si="1097"/>
        <v>173.1</v>
      </c>
      <c r="N5250" s="4"/>
      <c r="O5250" s="1">
        <f t="shared" si="1098"/>
        <v>173.1</v>
      </c>
      <c r="P5250" s="1">
        <f t="shared" si="1099"/>
        <v>0</v>
      </c>
      <c r="Q5250" s="1" t="str">
        <f t="shared" si="1105"/>
        <v/>
      </c>
      <c r="R5250" s="1" t="str">
        <f t="shared" si="1100"/>
        <v/>
      </c>
      <c r="S5250" s="1">
        <f t="shared" si="1101"/>
        <v>630.90240000000244</v>
      </c>
      <c r="T5250" s="1">
        <f t="shared" si="1102"/>
        <v>0</v>
      </c>
      <c r="U5250" s="1">
        <f t="shared" si="1103"/>
        <v>0</v>
      </c>
      <c r="V5250" s="1">
        <f t="shared" si="1104"/>
        <v>0</v>
      </c>
    </row>
    <row r="5251" spans="13:22" x14ac:dyDescent="0.25">
      <c r="M5251" s="4">
        <f t="shared" si="1097"/>
        <v>173.1</v>
      </c>
      <c r="N5251" s="4"/>
      <c r="O5251" s="1">
        <f t="shared" si="1098"/>
        <v>173.1</v>
      </c>
      <c r="P5251" s="1">
        <f t="shared" si="1099"/>
        <v>0</v>
      </c>
      <c r="Q5251" s="1" t="str">
        <f t="shared" si="1105"/>
        <v/>
      </c>
      <c r="R5251" s="1" t="str">
        <f t="shared" si="1100"/>
        <v/>
      </c>
      <c r="S5251" s="1">
        <f t="shared" si="1101"/>
        <v>630.90240000000244</v>
      </c>
      <c r="T5251" s="1">
        <f t="shared" si="1102"/>
        <v>0</v>
      </c>
      <c r="U5251" s="1">
        <f t="shared" si="1103"/>
        <v>0</v>
      </c>
      <c r="V5251" s="1">
        <f t="shared" si="1104"/>
        <v>0</v>
      </c>
    </row>
    <row r="5252" spans="13:22" x14ac:dyDescent="0.25">
      <c r="M5252" s="4">
        <f t="shared" si="1097"/>
        <v>173.1</v>
      </c>
      <c r="N5252" s="4"/>
      <c r="O5252" s="1">
        <f t="shared" si="1098"/>
        <v>173.1</v>
      </c>
      <c r="P5252" s="1">
        <f t="shared" si="1099"/>
        <v>0</v>
      </c>
      <c r="Q5252" s="1" t="str">
        <f t="shared" si="1105"/>
        <v/>
      </c>
      <c r="R5252" s="1" t="str">
        <f t="shared" si="1100"/>
        <v/>
      </c>
      <c r="S5252" s="1">
        <f t="shared" si="1101"/>
        <v>630.90240000000244</v>
      </c>
      <c r="T5252" s="1">
        <f t="shared" si="1102"/>
        <v>0</v>
      </c>
      <c r="U5252" s="1">
        <f t="shared" si="1103"/>
        <v>0</v>
      </c>
      <c r="V5252" s="1">
        <f t="shared" si="1104"/>
        <v>0</v>
      </c>
    </row>
    <row r="5253" spans="13:22" x14ac:dyDescent="0.25">
      <c r="M5253" s="4">
        <f t="shared" si="1097"/>
        <v>173.1</v>
      </c>
      <c r="N5253" s="4"/>
      <c r="O5253" s="1">
        <f t="shared" si="1098"/>
        <v>173.1</v>
      </c>
      <c r="P5253" s="1">
        <f t="shared" si="1099"/>
        <v>0</v>
      </c>
      <c r="Q5253" s="1" t="str">
        <f t="shared" si="1105"/>
        <v/>
      </c>
      <c r="R5253" s="1" t="str">
        <f t="shared" si="1100"/>
        <v/>
      </c>
      <c r="S5253" s="1">
        <f t="shared" si="1101"/>
        <v>630.90240000000244</v>
      </c>
      <c r="T5253" s="1">
        <f t="shared" si="1102"/>
        <v>0</v>
      </c>
      <c r="U5253" s="1">
        <f t="shared" si="1103"/>
        <v>0</v>
      </c>
      <c r="V5253" s="1">
        <f t="shared" si="1104"/>
        <v>0</v>
      </c>
    </row>
    <row r="5254" spans="13:22" x14ac:dyDescent="0.25">
      <c r="M5254" s="4">
        <f t="shared" si="1097"/>
        <v>173.1</v>
      </c>
      <c r="N5254" s="4"/>
      <c r="O5254" s="1">
        <f t="shared" si="1098"/>
        <v>173.1</v>
      </c>
      <c r="P5254" s="1">
        <f t="shared" si="1099"/>
        <v>0</v>
      </c>
      <c r="Q5254" s="1" t="str">
        <f t="shared" si="1105"/>
        <v/>
      </c>
      <c r="R5254" s="1" t="str">
        <f t="shared" si="1100"/>
        <v/>
      </c>
      <c r="S5254" s="1">
        <f t="shared" si="1101"/>
        <v>630.90240000000244</v>
      </c>
      <c r="T5254" s="1">
        <f t="shared" si="1102"/>
        <v>0</v>
      </c>
      <c r="U5254" s="1">
        <f t="shared" si="1103"/>
        <v>0</v>
      </c>
      <c r="V5254" s="1">
        <f t="shared" si="1104"/>
        <v>0</v>
      </c>
    </row>
    <row r="5255" spans="13:22" x14ac:dyDescent="0.25">
      <c r="M5255" s="4">
        <f t="shared" si="1097"/>
        <v>173.1</v>
      </c>
      <c r="N5255" s="4"/>
      <c r="O5255" s="1">
        <f t="shared" si="1098"/>
        <v>173.1</v>
      </c>
      <c r="P5255" s="1">
        <f t="shared" si="1099"/>
        <v>0</v>
      </c>
      <c r="Q5255" s="1" t="str">
        <f t="shared" si="1105"/>
        <v/>
      </c>
      <c r="R5255" s="1" t="str">
        <f t="shared" si="1100"/>
        <v/>
      </c>
      <c r="S5255" s="1">
        <f t="shared" si="1101"/>
        <v>630.90240000000244</v>
      </c>
      <c r="T5255" s="1">
        <f t="shared" si="1102"/>
        <v>0</v>
      </c>
      <c r="U5255" s="1">
        <f t="shared" si="1103"/>
        <v>0</v>
      </c>
      <c r="V5255" s="1">
        <f t="shared" si="1104"/>
        <v>0</v>
      </c>
    </row>
    <row r="5256" spans="13:22" x14ac:dyDescent="0.25">
      <c r="M5256" s="4">
        <f t="shared" ref="M5256:M5319" si="1106">E5256+M5255</f>
        <v>173.1</v>
      </c>
      <c r="N5256" s="4"/>
      <c r="O5256" s="1">
        <f t="shared" ref="O5256:O5319" si="1107">E5255+O5255</f>
        <v>173.1</v>
      </c>
      <c r="P5256" s="1">
        <f t="shared" ref="P5256:P5319" si="1108">F5256*52.8*E5256</f>
        <v>0</v>
      </c>
      <c r="Q5256" s="1" t="str">
        <f t="shared" si="1105"/>
        <v/>
      </c>
      <c r="R5256" s="1" t="str">
        <f t="shared" ref="R5256:R5319" si="1109">IF(I5256="",Q5256,IF(AND(H5256=H5255,I5256=I5255),"",I5256))</f>
        <v/>
      </c>
      <c r="S5256" s="1">
        <f t="shared" ref="S5256:S5319" si="1110">S5255+U5255*T5255/100</f>
        <v>630.90240000000244</v>
      </c>
      <c r="T5256" s="1">
        <f t="shared" ref="T5256:T5319" si="1111">IF(G5256="UNK",0,G5256)</f>
        <v>0</v>
      </c>
      <c r="U5256" s="1">
        <f t="shared" ref="U5256:U5319" si="1112">E5256*5280</f>
        <v>0</v>
      </c>
      <c r="V5256" s="1">
        <f t="shared" ref="V5256:V5319" si="1113">ABS(T5256*U5256)</f>
        <v>0</v>
      </c>
    </row>
    <row r="5257" spans="13:22" x14ac:dyDescent="0.25">
      <c r="M5257" s="4">
        <f t="shared" si="1106"/>
        <v>173.1</v>
      </c>
      <c r="N5257" s="4"/>
      <c r="O5257" s="1">
        <f t="shared" si="1107"/>
        <v>173.1</v>
      </c>
      <c r="P5257" s="1">
        <f t="shared" si="1108"/>
        <v>0</v>
      </c>
      <c r="Q5257" s="1" t="str">
        <f t="shared" si="1105"/>
        <v/>
      </c>
      <c r="R5257" s="1" t="str">
        <f t="shared" si="1109"/>
        <v/>
      </c>
      <c r="S5257" s="1">
        <f t="shared" si="1110"/>
        <v>630.90240000000244</v>
      </c>
      <c r="T5257" s="1">
        <f t="shared" si="1111"/>
        <v>0</v>
      </c>
      <c r="U5257" s="1">
        <f t="shared" si="1112"/>
        <v>0</v>
      </c>
      <c r="V5257" s="1">
        <f t="shared" si="1113"/>
        <v>0</v>
      </c>
    </row>
    <row r="5258" spans="13:22" x14ac:dyDescent="0.25">
      <c r="M5258" s="4">
        <f t="shared" si="1106"/>
        <v>173.1</v>
      </c>
      <c r="N5258" s="4"/>
      <c r="O5258" s="1">
        <f t="shared" si="1107"/>
        <v>173.1</v>
      </c>
      <c r="P5258" s="1">
        <f t="shared" si="1108"/>
        <v>0</v>
      </c>
      <c r="Q5258" s="1" t="str">
        <f t="shared" si="1105"/>
        <v/>
      </c>
      <c r="R5258" s="1" t="str">
        <f t="shared" si="1109"/>
        <v/>
      </c>
      <c r="S5258" s="1">
        <f t="shared" si="1110"/>
        <v>630.90240000000244</v>
      </c>
      <c r="T5258" s="1">
        <f t="shared" si="1111"/>
        <v>0</v>
      </c>
      <c r="U5258" s="1">
        <f t="shared" si="1112"/>
        <v>0</v>
      </c>
      <c r="V5258" s="1">
        <f t="shared" si="1113"/>
        <v>0</v>
      </c>
    </row>
    <row r="5259" spans="13:22" x14ac:dyDescent="0.25">
      <c r="M5259" s="4">
        <f t="shared" si="1106"/>
        <v>173.1</v>
      </c>
      <c r="N5259" s="4"/>
      <c r="O5259" s="1">
        <f t="shared" si="1107"/>
        <v>173.1</v>
      </c>
      <c r="P5259" s="1">
        <f t="shared" si="1108"/>
        <v>0</v>
      </c>
      <c r="Q5259" s="1" t="str">
        <f t="shared" si="1105"/>
        <v/>
      </c>
      <c r="R5259" s="1" t="str">
        <f t="shared" si="1109"/>
        <v/>
      </c>
      <c r="S5259" s="1">
        <f t="shared" si="1110"/>
        <v>630.90240000000244</v>
      </c>
      <c r="T5259" s="1">
        <f t="shared" si="1111"/>
        <v>0</v>
      </c>
      <c r="U5259" s="1">
        <f t="shared" si="1112"/>
        <v>0</v>
      </c>
      <c r="V5259" s="1">
        <f t="shared" si="1113"/>
        <v>0</v>
      </c>
    </row>
    <row r="5260" spans="13:22" x14ac:dyDescent="0.25">
      <c r="M5260" s="4">
        <f t="shared" si="1106"/>
        <v>173.1</v>
      </c>
      <c r="N5260" s="4"/>
      <c r="O5260" s="1">
        <f t="shared" si="1107"/>
        <v>173.1</v>
      </c>
      <c r="P5260" s="1">
        <f t="shared" si="1108"/>
        <v>0</v>
      </c>
      <c r="Q5260" s="1" t="str">
        <f t="shared" si="1105"/>
        <v/>
      </c>
      <c r="R5260" s="1" t="str">
        <f t="shared" si="1109"/>
        <v/>
      </c>
      <c r="S5260" s="1">
        <f t="shared" si="1110"/>
        <v>630.90240000000244</v>
      </c>
      <c r="T5260" s="1">
        <f t="shared" si="1111"/>
        <v>0</v>
      </c>
      <c r="U5260" s="1">
        <f t="shared" si="1112"/>
        <v>0</v>
      </c>
      <c r="V5260" s="1">
        <f t="shared" si="1113"/>
        <v>0</v>
      </c>
    </row>
    <row r="5261" spans="13:22" x14ac:dyDescent="0.25">
      <c r="M5261" s="4">
        <f t="shared" si="1106"/>
        <v>173.1</v>
      </c>
      <c r="N5261" s="4"/>
      <c r="O5261" s="1">
        <f t="shared" si="1107"/>
        <v>173.1</v>
      </c>
      <c r="P5261" s="1">
        <f t="shared" si="1108"/>
        <v>0</v>
      </c>
      <c r="Q5261" s="1" t="str">
        <f t="shared" si="1105"/>
        <v/>
      </c>
      <c r="R5261" s="1" t="str">
        <f t="shared" si="1109"/>
        <v/>
      </c>
      <c r="S5261" s="1">
        <f t="shared" si="1110"/>
        <v>630.90240000000244</v>
      </c>
      <c r="T5261" s="1">
        <f t="shared" si="1111"/>
        <v>0</v>
      </c>
      <c r="U5261" s="1">
        <f t="shared" si="1112"/>
        <v>0</v>
      </c>
      <c r="V5261" s="1">
        <f t="shared" si="1113"/>
        <v>0</v>
      </c>
    </row>
    <row r="5262" spans="13:22" x14ac:dyDescent="0.25">
      <c r="M5262" s="4">
        <f t="shared" si="1106"/>
        <v>173.1</v>
      </c>
      <c r="N5262" s="4"/>
      <c r="O5262" s="1">
        <f t="shared" si="1107"/>
        <v>173.1</v>
      </c>
      <c r="P5262" s="1">
        <f t="shared" si="1108"/>
        <v>0</v>
      </c>
      <c r="Q5262" s="1" t="str">
        <f t="shared" si="1105"/>
        <v/>
      </c>
      <c r="R5262" s="1" t="str">
        <f t="shared" si="1109"/>
        <v/>
      </c>
      <c r="S5262" s="1">
        <f t="shared" si="1110"/>
        <v>630.90240000000244</v>
      </c>
      <c r="T5262" s="1">
        <f t="shared" si="1111"/>
        <v>0</v>
      </c>
      <c r="U5262" s="1">
        <f t="shared" si="1112"/>
        <v>0</v>
      </c>
      <c r="V5262" s="1">
        <f t="shared" si="1113"/>
        <v>0</v>
      </c>
    </row>
    <row r="5263" spans="13:22" x14ac:dyDescent="0.25">
      <c r="M5263" s="4">
        <f t="shared" si="1106"/>
        <v>173.1</v>
      </c>
      <c r="N5263" s="4"/>
      <c r="O5263" s="1">
        <f t="shared" si="1107"/>
        <v>173.1</v>
      </c>
      <c r="P5263" s="1">
        <f t="shared" si="1108"/>
        <v>0</v>
      </c>
      <c r="Q5263" s="1" t="str">
        <f t="shared" si="1105"/>
        <v/>
      </c>
      <c r="R5263" s="1" t="str">
        <f t="shared" si="1109"/>
        <v/>
      </c>
      <c r="S5263" s="1">
        <f t="shared" si="1110"/>
        <v>630.90240000000244</v>
      </c>
      <c r="T5263" s="1">
        <f t="shared" si="1111"/>
        <v>0</v>
      </c>
      <c r="U5263" s="1">
        <f t="shared" si="1112"/>
        <v>0</v>
      </c>
      <c r="V5263" s="1">
        <f t="shared" si="1113"/>
        <v>0</v>
      </c>
    </row>
    <row r="5264" spans="13:22" x14ac:dyDescent="0.25">
      <c r="M5264" s="4">
        <f t="shared" si="1106"/>
        <v>173.1</v>
      </c>
      <c r="N5264" s="4"/>
      <c r="O5264" s="1">
        <f t="shared" si="1107"/>
        <v>173.1</v>
      </c>
      <c r="P5264" s="1">
        <f t="shared" si="1108"/>
        <v>0</v>
      </c>
      <c r="Q5264" s="1" t="str">
        <f t="shared" si="1105"/>
        <v/>
      </c>
      <c r="R5264" s="1" t="str">
        <f t="shared" si="1109"/>
        <v/>
      </c>
      <c r="S5264" s="1">
        <f t="shared" si="1110"/>
        <v>630.90240000000244</v>
      </c>
      <c r="T5264" s="1">
        <f t="shared" si="1111"/>
        <v>0</v>
      </c>
      <c r="U5264" s="1">
        <f t="shared" si="1112"/>
        <v>0</v>
      </c>
      <c r="V5264" s="1">
        <f t="shared" si="1113"/>
        <v>0</v>
      </c>
    </row>
    <row r="5265" spans="13:22" x14ac:dyDescent="0.25">
      <c r="M5265" s="4">
        <f t="shared" si="1106"/>
        <v>173.1</v>
      </c>
      <c r="N5265" s="4"/>
      <c r="O5265" s="1">
        <f t="shared" si="1107"/>
        <v>173.1</v>
      </c>
      <c r="P5265" s="1">
        <f t="shared" si="1108"/>
        <v>0</v>
      </c>
      <c r="Q5265" s="1" t="str">
        <f t="shared" si="1105"/>
        <v/>
      </c>
      <c r="R5265" s="1" t="str">
        <f t="shared" si="1109"/>
        <v/>
      </c>
      <c r="S5265" s="1">
        <f t="shared" si="1110"/>
        <v>630.90240000000244</v>
      </c>
      <c r="T5265" s="1">
        <f t="shared" si="1111"/>
        <v>0</v>
      </c>
      <c r="U5265" s="1">
        <f t="shared" si="1112"/>
        <v>0</v>
      </c>
      <c r="V5265" s="1">
        <f t="shared" si="1113"/>
        <v>0</v>
      </c>
    </row>
    <row r="5266" spans="13:22" x14ac:dyDescent="0.25">
      <c r="M5266" s="4">
        <f t="shared" si="1106"/>
        <v>173.1</v>
      </c>
      <c r="N5266" s="4"/>
      <c r="O5266" s="1">
        <f t="shared" si="1107"/>
        <v>173.1</v>
      </c>
      <c r="P5266" s="1">
        <f t="shared" si="1108"/>
        <v>0</v>
      </c>
      <c r="Q5266" s="1" t="str">
        <f t="shared" si="1105"/>
        <v/>
      </c>
      <c r="R5266" s="1" t="str">
        <f t="shared" si="1109"/>
        <v/>
      </c>
      <c r="S5266" s="1">
        <f t="shared" si="1110"/>
        <v>630.90240000000244</v>
      </c>
      <c r="T5266" s="1">
        <f t="shared" si="1111"/>
        <v>0</v>
      </c>
      <c r="U5266" s="1">
        <f t="shared" si="1112"/>
        <v>0</v>
      </c>
      <c r="V5266" s="1">
        <f t="shared" si="1113"/>
        <v>0</v>
      </c>
    </row>
    <row r="5267" spans="13:22" x14ac:dyDescent="0.25">
      <c r="M5267" s="4">
        <f t="shared" si="1106"/>
        <v>173.1</v>
      </c>
      <c r="N5267" s="4"/>
      <c r="O5267" s="1">
        <f t="shared" si="1107"/>
        <v>173.1</v>
      </c>
      <c r="P5267" s="1">
        <f t="shared" si="1108"/>
        <v>0</v>
      </c>
      <c r="Q5267" s="1" t="str">
        <f t="shared" si="1105"/>
        <v/>
      </c>
      <c r="R5267" s="1" t="str">
        <f t="shared" si="1109"/>
        <v/>
      </c>
      <c r="S5267" s="1">
        <f t="shared" si="1110"/>
        <v>630.90240000000244</v>
      </c>
      <c r="T5267" s="1">
        <f t="shared" si="1111"/>
        <v>0</v>
      </c>
      <c r="U5267" s="1">
        <f t="shared" si="1112"/>
        <v>0</v>
      </c>
      <c r="V5267" s="1">
        <f t="shared" si="1113"/>
        <v>0</v>
      </c>
    </row>
    <row r="5268" spans="13:22" x14ac:dyDescent="0.25">
      <c r="M5268" s="4">
        <f t="shared" si="1106"/>
        <v>173.1</v>
      </c>
      <c r="N5268" s="4"/>
      <c r="O5268" s="1">
        <f t="shared" si="1107"/>
        <v>173.1</v>
      </c>
      <c r="P5268" s="1">
        <f t="shared" si="1108"/>
        <v>0</v>
      </c>
      <c r="Q5268" s="1" t="str">
        <f t="shared" si="1105"/>
        <v/>
      </c>
      <c r="R5268" s="1" t="str">
        <f t="shared" si="1109"/>
        <v/>
      </c>
      <c r="S5268" s="1">
        <f t="shared" si="1110"/>
        <v>630.90240000000244</v>
      </c>
      <c r="T5268" s="1">
        <f t="shared" si="1111"/>
        <v>0</v>
      </c>
      <c r="U5268" s="1">
        <f t="shared" si="1112"/>
        <v>0</v>
      </c>
      <c r="V5268" s="1">
        <f t="shared" si="1113"/>
        <v>0</v>
      </c>
    </row>
    <row r="5269" spans="13:22" x14ac:dyDescent="0.25">
      <c r="M5269" s="4">
        <f t="shared" si="1106"/>
        <v>173.1</v>
      </c>
      <c r="N5269" s="4"/>
      <c r="O5269" s="1">
        <f t="shared" si="1107"/>
        <v>173.1</v>
      </c>
      <c r="P5269" s="1">
        <f t="shared" si="1108"/>
        <v>0</v>
      </c>
      <c r="Q5269" s="1" t="str">
        <f t="shared" si="1105"/>
        <v/>
      </c>
      <c r="R5269" s="1" t="str">
        <f t="shared" si="1109"/>
        <v/>
      </c>
      <c r="S5269" s="1">
        <f t="shared" si="1110"/>
        <v>630.90240000000244</v>
      </c>
      <c r="T5269" s="1">
        <f t="shared" si="1111"/>
        <v>0</v>
      </c>
      <c r="U5269" s="1">
        <f t="shared" si="1112"/>
        <v>0</v>
      </c>
      <c r="V5269" s="1">
        <f t="shared" si="1113"/>
        <v>0</v>
      </c>
    </row>
    <row r="5270" spans="13:22" x14ac:dyDescent="0.25">
      <c r="M5270" s="4">
        <f t="shared" si="1106"/>
        <v>173.1</v>
      </c>
      <c r="N5270" s="4"/>
      <c r="O5270" s="1">
        <f t="shared" si="1107"/>
        <v>173.1</v>
      </c>
      <c r="P5270" s="1">
        <f t="shared" si="1108"/>
        <v>0</v>
      </c>
      <c r="Q5270" s="1" t="str">
        <f t="shared" si="1105"/>
        <v/>
      </c>
      <c r="R5270" s="1" t="str">
        <f t="shared" si="1109"/>
        <v/>
      </c>
      <c r="S5270" s="1">
        <f t="shared" si="1110"/>
        <v>630.90240000000244</v>
      </c>
      <c r="T5270" s="1">
        <f t="shared" si="1111"/>
        <v>0</v>
      </c>
      <c r="U5270" s="1">
        <f t="shared" si="1112"/>
        <v>0</v>
      </c>
      <c r="V5270" s="1">
        <f t="shared" si="1113"/>
        <v>0</v>
      </c>
    </row>
    <row r="5271" spans="13:22" x14ac:dyDescent="0.25">
      <c r="M5271" s="4">
        <f t="shared" si="1106"/>
        <v>173.1</v>
      </c>
      <c r="N5271" s="4"/>
      <c r="O5271" s="1">
        <f t="shared" si="1107"/>
        <v>173.1</v>
      </c>
      <c r="P5271" s="1">
        <f t="shared" si="1108"/>
        <v>0</v>
      </c>
      <c r="Q5271" s="1" t="str">
        <f t="shared" si="1105"/>
        <v/>
      </c>
      <c r="R5271" s="1" t="str">
        <f t="shared" si="1109"/>
        <v/>
      </c>
      <c r="S5271" s="1">
        <f t="shared" si="1110"/>
        <v>630.90240000000244</v>
      </c>
      <c r="T5271" s="1">
        <f t="shared" si="1111"/>
        <v>0</v>
      </c>
      <c r="U5271" s="1">
        <f t="shared" si="1112"/>
        <v>0</v>
      </c>
      <c r="V5271" s="1">
        <f t="shared" si="1113"/>
        <v>0</v>
      </c>
    </row>
    <row r="5272" spans="13:22" x14ac:dyDescent="0.25">
      <c r="M5272" s="4">
        <f t="shared" si="1106"/>
        <v>173.1</v>
      </c>
      <c r="N5272" s="4"/>
      <c r="O5272" s="1">
        <f t="shared" si="1107"/>
        <v>173.1</v>
      </c>
      <c r="P5272" s="1">
        <f t="shared" si="1108"/>
        <v>0</v>
      </c>
      <c r="Q5272" s="1" t="str">
        <f t="shared" si="1105"/>
        <v/>
      </c>
      <c r="R5272" s="1" t="str">
        <f t="shared" si="1109"/>
        <v/>
      </c>
      <c r="S5272" s="1">
        <f t="shared" si="1110"/>
        <v>630.90240000000244</v>
      </c>
      <c r="T5272" s="1">
        <f t="shared" si="1111"/>
        <v>0</v>
      </c>
      <c r="U5272" s="1">
        <f t="shared" si="1112"/>
        <v>0</v>
      </c>
      <c r="V5272" s="1">
        <f t="shared" si="1113"/>
        <v>0</v>
      </c>
    </row>
    <row r="5273" spans="13:22" x14ac:dyDescent="0.25">
      <c r="M5273" s="4">
        <f t="shared" si="1106"/>
        <v>173.1</v>
      </c>
      <c r="N5273" s="4"/>
      <c r="O5273" s="1">
        <f t="shared" si="1107"/>
        <v>173.1</v>
      </c>
      <c r="P5273" s="1">
        <f t="shared" si="1108"/>
        <v>0</v>
      </c>
      <c r="Q5273" s="1" t="str">
        <f t="shared" si="1105"/>
        <v/>
      </c>
      <c r="R5273" s="1" t="str">
        <f t="shared" si="1109"/>
        <v/>
      </c>
      <c r="S5273" s="1">
        <f t="shared" si="1110"/>
        <v>630.90240000000244</v>
      </c>
      <c r="T5273" s="1">
        <f t="shared" si="1111"/>
        <v>0</v>
      </c>
      <c r="U5273" s="1">
        <f t="shared" si="1112"/>
        <v>0</v>
      </c>
      <c r="V5273" s="1">
        <f t="shared" si="1113"/>
        <v>0</v>
      </c>
    </row>
    <row r="5274" spans="13:22" x14ac:dyDescent="0.25">
      <c r="M5274" s="4">
        <f t="shared" si="1106"/>
        <v>173.1</v>
      </c>
      <c r="N5274" s="4"/>
      <c r="O5274" s="1">
        <f t="shared" si="1107"/>
        <v>173.1</v>
      </c>
      <c r="P5274" s="1">
        <f t="shared" si="1108"/>
        <v>0</v>
      </c>
      <c r="Q5274" s="1" t="str">
        <f t="shared" si="1105"/>
        <v/>
      </c>
      <c r="R5274" s="1" t="str">
        <f t="shared" si="1109"/>
        <v/>
      </c>
      <c r="S5274" s="1">
        <f t="shared" si="1110"/>
        <v>630.90240000000244</v>
      </c>
      <c r="T5274" s="1">
        <f t="shared" si="1111"/>
        <v>0</v>
      </c>
      <c r="U5274" s="1">
        <f t="shared" si="1112"/>
        <v>0</v>
      </c>
      <c r="V5274" s="1">
        <f t="shared" si="1113"/>
        <v>0</v>
      </c>
    </row>
    <row r="5275" spans="13:22" x14ac:dyDescent="0.25">
      <c r="M5275" s="4">
        <f t="shared" si="1106"/>
        <v>173.1</v>
      </c>
      <c r="N5275" s="4"/>
      <c r="O5275" s="1">
        <f t="shared" si="1107"/>
        <v>173.1</v>
      </c>
      <c r="P5275" s="1">
        <f t="shared" si="1108"/>
        <v>0</v>
      </c>
      <c r="Q5275" s="1" t="str">
        <f t="shared" si="1105"/>
        <v/>
      </c>
      <c r="R5275" s="1" t="str">
        <f t="shared" si="1109"/>
        <v/>
      </c>
      <c r="S5275" s="1">
        <f t="shared" si="1110"/>
        <v>630.90240000000244</v>
      </c>
      <c r="T5275" s="1">
        <f t="shared" si="1111"/>
        <v>0</v>
      </c>
      <c r="U5275" s="1">
        <f t="shared" si="1112"/>
        <v>0</v>
      </c>
      <c r="V5275" s="1">
        <f t="shared" si="1113"/>
        <v>0</v>
      </c>
    </row>
    <row r="5276" spans="13:22" x14ac:dyDescent="0.25">
      <c r="M5276" s="4">
        <f t="shared" si="1106"/>
        <v>173.1</v>
      </c>
      <c r="N5276" s="4"/>
      <c r="O5276" s="1">
        <f t="shared" si="1107"/>
        <v>173.1</v>
      </c>
      <c r="P5276" s="1">
        <f t="shared" si="1108"/>
        <v>0</v>
      </c>
      <c r="Q5276" s="1" t="str">
        <f t="shared" si="1105"/>
        <v/>
      </c>
      <c r="R5276" s="1" t="str">
        <f t="shared" si="1109"/>
        <v/>
      </c>
      <c r="S5276" s="1">
        <f t="shared" si="1110"/>
        <v>630.90240000000244</v>
      </c>
      <c r="T5276" s="1">
        <f t="shared" si="1111"/>
        <v>0</v>
      </c>
      <c r="U5276" s="1">
        <f t="shared" si="1112"/>
        <v>0</v>
      </c>
      <c r="V5276" s="1">
        <f t="shared" si="1113"/>
        <v>0</v>
      </c>
    </row>
    <row r="5277" spans="13:22" x14ac:dyDescent="0.25">
      <c r="M5277" s="4">
        <f t="shared" si="1106"/>
        <v>173.1</v>
      </c>
      <c r="N5277" s="4"/>
      <c r="O5277" s="1">
        <f t="shared" si="1107"/>
        <v>173.1</v>
      </c>
      <c r="P5277" s="1">
        <f t="shared" si="1108"/>
        <v>0</v>
      </c>
      <c r="Q5277" s="1" t="str">
        <f t="shared" si="1105"/>
        <v/>
      </c>
      <c r="R5277" s="1" t="str">
        <f t="shared" si="1109"/>
        <v/>
      </c>
      <c r="S5277" s="1">
        <f t="shared" si="1110"/>
        <v>630.90240000000244</v>
      </c>
      <c r="T5277" s="1">
        <f t="shared" si="1111"/>
        <v>0</v>
      </c>
      <c r="U5277" s="1">
        <f t="shared" si="1112"/>
        <v>0</v>
      </c>
      <c r="V5277" s="1">
        <f t="shared" si="1113"/>
        <v>0</v>
      </c>
    </row>
    <row r="5278" spans="13:22" x14ac:dyDescent="0.25">
      <c r="M5278" s="4">
        <f t="shared" si="1106"/>
        <v>173.1</v>
      </c>
      <c r="N5278" s="4"/>
      <c r="O5278" s="1">
        <f t="shared" si="1107"/>
        <v>173.1</v>
      </c>
      <c r="P5278" s="1">
        <f t="shared" si="1108"/>
        <v>0</v>
      </c>
      <c r="Q5278" s="1" t="str">
        <f t="shared" si="1105"/>
        <v/>
      </c>
      <c r="R5278" s="1" t="str">
        <f t="shared" si="1109"/>
        <v/>
      </c>
      <c r="S5278" s="1">
        <f t="shared" si="1110"/>
        <v>630.90240000000244</v>
      </c>
      <c r="T5278" s="1">
        <f t="shared" si="1111"/>
        <v>0</v>
      </c>
      <c r="U5278" s="1">
        <f t="shared" si="1112"/>
        <v>0</v>
      </c>
      <c r="V5278" s="1">
        <f t="shared" si="1113"/>
        <v>0</v>
      </c>
    </row>
    <row r="5279" spans="13:22" x14ac:dyDescent="0.25">
      <c r="M5279" s="4">
        <f t="shared" si="1106"/>
        <v>173.1</v>
      </c>
      <c r="N5279" s="4"/>
      <c r="O5279" s="1">
        <f t="shared" si="1107"/>
        <v>173.1</v>
      </c>
      <c r="P5279" s="1">
        <f t="shared" si="1108"/>
        <v>0</v>
      </c>
      <c r="Q5279" s="1" t="str">
        <f t="shared" si="1105"/>
        <v/>
      </c>
      <c r="R5279" s="1" t="str">
        <f t="shared" si="1109"/>
        <v/>
      </c>
      <c r="S5279" s="1">
        <f t="shared" si="1110"/>
        <v>630.90240000000244</v>
      </c>
      <c r="T5279" s="1">
        <f t="shared" si="1111"/>
        <v>0</v>
      </c>
      <c r="U5279" s="1">
        <f t="shared" si="1112"/>
        <v>0</v>
      </c>
      <c r="V5279" s="1">
        <f t="shared" si="1113"/>
        <v>0</v>
      </c>
    </row>
    <row r="5280" spans="13:22" x14ac:dyDescent="0.25">
      <c r="M5280" s="4">
        <f t="shared" si="1106"/>
        <v>173.1</v>
      </c>
      <c r="N5280" s="4"/>
      <c r="O5280" s="1">
        <f t="shared" si="1107"/>
        <v>173.1</v>
      </c>
      <c r="P5280" s="1">
        <f t="shared" si="1108"/>
        <v>0</v>
      </c>
      <c r="Q5280" s="1" t="str">
        <f t="shared" si="1105"/>
        <v/>
      </c>
      <c r="R5280" s="1" t="str">
        <f t="shared" si="1109"/>
        <v/>
      </c>
      <c r="S5280" s="1">
        <f t="shared" si="1110"/>
        <v>630.90240000000244</v>
      </c>
      <c r="T5280" s="1">
        <f t="shared" si="1111"/>
        <v>0</v>
      </c>
      <c r="U5280" s="1">
        <f t="shared" si="1112"/>
        <v>0</v>
      </c>
      <c r="V5280" s="1">
        <f t="shared" si="1113"/>
        <v>0</v>
      </c>
    </row>
    <row r="5281" spans="13:22" x14ac:dyDescent="0.25">
      <c r="M5281" s="4">
        <f t="shared" si="1106"/>
        <v>173.1</v>
      </c>
      <c r="N5281" s="4"/>
      <c r="O5281" s="1">
        <f t="shared" si="1107"/>
        <v>173.1</v>
      </c>
      <c r="P5281" s="1">
        <f t="shared" si="1108"/>
        <v>0</v>
      </c>
      <c r="Q5281" s="1" t="str">
        <f t="shared" si="1105"/>
        <v/>
      </c>
      <c r="R5281" s="1" t="str">
        <f t="shared" si="1109"/>
        <v/>
      </c>
      <c r="S5281" s="1">
        <f t="shared" si="1110"/>
        <v>630.90240000000244</v>
      </c>
      <c r="T5281" s="1">
        <f t="shared" si="1111"/>
        <v>0</v>
      </c>
      <c r="U5281" s="1">
        <f t="shared" si="1112"/>
        <v>0</v>
      </c>
      <c r="V5281" s="1">
        <f t="shared" si="1113"/>
        <v>0</v>
      </c>
    </row>
    <row r="5282" spans="13:22" x14ac:dyDescent="0.25">
      <c r="M5282" s="4">
        <f t="shared" si="1106"/>
        <v>173.1</v>
      </c>
      <c r="N5282" s="4"/>
      <c r="O5282" s="1">
        <f t="shared" si="1107"/>
        <v>173.1</v>
      </c>
      <c r="P5282" s="1">
        <f t="shared" si="1108"/>
        <v>0</v>
      </c>
      <c r="Q5282" s="1" t="str">
        <f t="shared" si="1105"/>
        <v/>
      </c>
      <c r="R5282" s="1" t="str">
        <f t="shared" si="1109"/>
        <v/>
      </c>
      <c r="S5282" s="1">
        <f t="shared" si="1110"/>
        <v>630.90240000000244</v>
      </c>
      <c r="T5282" s="1">
        <f t="shared" si="1111"/>
        <v>0</v>
      </c>
      <c r="U5282" s="1">
        <f t="shared" si="1112"/>
        <v>0</v>
      </c>
      <c r="V5282" s="1">
        <f t="shared" si="1113"/>
        <v>0</v>
      </c>
    </row>
    <row r="5283" spans="13:22" x14ac:dyDescent="0.25">
      <c r="M5283" s="4">
        <f t="shared" si="1106"/>
        <v>173.1</v>
      </c>
      <c r="N5283" s="4"/>
      <c r="O5283" s="1">
        <f t="shared" si="1107"/>
        <v>173.1</v>
      </c>
      <c r="P5283" s="1">
        <f t="shared" si="1108"/>
        <v>0</v>
      </c>
      <c r="Q5283" s="1" t="str">
        <f t="shared" si="1105"/>
        <v/>
      </c>
      <c r="R5283" s="1" t="str">
        <f t="shared" si="1109"/>
        <v/>
      </c>
      <c r="S5283" s="1">
        <f t="shared" si="1110"/>
        <v>630.90240000000244</v>
      </c>
      <c r="T5283" s="1">
        <f t="shared" si="1111"/>
        <v>0</v>
      </c>
      <c r="U5283" s="1">
        <f t="shared" si="1112"/>
        <v>0</v>
      </c>
      <c r="V5283" s="1">
        <f t="shared" si="1113"/>
        <v>0</v>
      </c>
    </row>
    <row r="5284" spans="13:22" x14ac:dyDescent="0.25">
      <c r="M5284" s="4">
        <f t="shared" si="1106"/>
        <v>173.1</v>
      </c>
      <c r="N5284" s="4"/>
      <c r="O5284" s="1">
        <f t="shared" si="1107"/>
        <v>173.1</v>
      </c>
      <c r="P5284" s="1">
        <f t="shared" si="1108"/>
        <v>0</v>
      </c>
      <c r="Q5284" s="1" t="str">
        <f t="shared" si="1105"/>
        <v/>
      </c>
      <c r="R5284" s="1" t="str">
        <f t="shared" si="1109"/>
        <v/>
      </c>
      <c r="S5284" s="1">
        <f t="shared" si="1110"/>
        <v>630.90240000000244</v>
      </c>
      <c r="T5284" s="1">
        <f t="shared" si="1111"/>
        <v>0</v>
      </c>
      <c r="U5284" s="1">
        <f t="shared" si="1112"/>
        <v>0</v>
      </c>
      <c r="V5284" s="1">
        <f t="shared" si="1113"/>
        <v>0</v>
      </c>
    </row>
    <row r="5285" spans="13:22" x14ac:dyDescent="0.25">
      <c r="M5285" s="4">
        <f t="shared" si="1106"/>
        <v>173.1</v>
      </c>
      <c r="N5285" s="4"/>
      <c r="O5285" s="1">
        <f t="shared" si="1107"/>
        <v>173.1</v>
      </c>
      <c r="P5285" s="1">
        <f t="shared" si="1108"/>
        <v>0</v>
      </c>
      <c r="Q5285" s="1" t="str">
        <f t="shared" si="1105"/>
        <v/>
      </c>
      <c r="R5285" s="1" t="str">
        <f t="shared" si="1109"/>
        <v/>
      </c>
      <c r="S5285" s="1">
        <f t="shared" si="1110"/>
        <v>630.90240000000244</v>
      </c>
      <c r="T5285" s="1">
        <f t="shared" si="1111"/>
        <v>0</v>
      </c>
      <c r="U5285" s="1">
        <f t="shared" si="1112"/>
        <v>0</v>
      </c>
      <c r="V5285" s="1">
        <f t="shared" si="1113"/>
        <v>0</v>
      </c>
    </row>
    <row r="5286" spans="13:22" x14ac:dyDescent="0.25">
      <c r="M5286" s="4">
        <f t="shared" si="1106"/>
        <v>173.1</v>
      </c>
      <c r="N5286" s="4"/>
      <c r="O5286" s="1">
        <f t="shared" si="1107"/>
        <v>173.1</v>
      </c>
      <c r="P5286" s="1">
        <f t="shared" si="1108"/>
        <v>0</v>
      </c>
      <c r="Q5286" s="1" t="str">
        <f t="shared" si="1105"/>
        <v/>
      </c>
      <c r="R5286" s="1" t="str">
        <f t="shared" si="1109"/>
        <v/>
      </c>
      <c r="S5286" s="1">
        <f t="shared" si="1110"/>
        <v>630.90240000000244</v>
      </c>
      <c r="T5286" s="1">
        <f t="shared" si="1111"/>
        <v>0</v>
      </c>
      <c r="U5286" s="1">
        <f t="shared" si="1112"/>
        <v>0</v>
      </c>
      <c r="V5286" s="1">
        <f t="shared" si="1113"/>
        <v>0</v>
      </c>
    </row>
    <row r="5287" spans="13:22" x14ac:dyDescent="0.25">
      <c r="M5287" s="4">
        <f t="shared" si="1106"/>
        <v>173.1</v>
      </c>
      <c r="N5287" s="4"/>
      <c r="O5287" s="1">
        <f t="shared" si="1107"/>
        <v>173.1</v>
      </c>
      <c r="P5287" s="1">
        <f t="shared" si="1108"/>
        <v>0</v>
      </c>
      <c r="Q5287" s="1" t="str">
        <f t="shared" si="1105"/>
        <v/>
      </c>
      <c r="R5287" s="1" t="str">
        <f t="shared" si="1109"/>
        <v/>
      </c>
      <c r="S5287" s="1">
        <f t="shared" si="1110"/>
        <v>630.90240000000244</v>
      </c>
      <c r="T5287" s="1">
        <f t="shared" si="1111"/>
        <v>0</v>
      </c>
      <c r="U5287" s="1">
        <f t="shared" si="1112"/>
        <v>0</v>
      </c>
      <c r="V5287" s="1">
        <f t="shared" si="1113"/>
        <v>0</v>
      </c>
    </row>
    <row r="5288" spans="13:22" x14ac:dyDescent="0.25">
      <c r="M5288" s="4">
        <f t="shared" si="1106"/>
        <v>173.1</v>
      </c>
      <c r="N5288" s="4"/>
      <c r="O5288" s="1">
        <f t="shared" si="1107"/>
        <v>173.1</v>
      </c>
      <c r="P5288" s="1">
        <f t="shared" si="1108"/>
        <v>0</v>
      </c>
      <c r="Q5288" s="1" t="str">
        <f t="shared" si="1105"/>
        <v/>
      </c>
      <c r="R5288" s="1" t="str">
        <f t="shared" si="1109"/>
        <v/>
      </c>
      <c r="S5288" s="1">
        <f t="shared" si="1110"/>
        <v>630.90240000000244</v>
      </c>
      <c r="T5288" s="1">
        <f t="shared" si="1111"/>
        <v>0</v>
      </c>
      <c r="U5288" s="1">
        <f t="shared" si="1112"/>
        <v>0</v>
      </c>
      <c r="V5288" s="1">
        <f t="shared" si="1113"/>
        <v>0</v>
      </c>
    </row>
    <row r="5289" spans="13:22" x14ac:dyDescent="0.25">
      <c r="M5289" s="4">
        <f t="shared" si="1106"/>
        <v>173.1</v>
      </c>
      <c r="N5289" s="4"/>
      <c r="O5289" s="1">
        <f t="shared" si="1107"/>
        <v>173.1</v>
      </c>
      <c r="P5289" s="1">
        <f t="shared" si="1108"/>
        <v>0</v>
      </c>
      <c r="Q5289" s="1" t="str">
        <f t="shared" si="1105"/>
        <v/>
      </c>
      <c r="R5289" s="1" t="str">
        <f t="shared" si="1109"/>
        <v/>
      </c>
      <c r="S5289" s="1">
        <f t="shared" si="1110"/>
        <v>630.90240000000244</v>
      </c>
      <c r="T5289" s="1">
        <f t="shared" si="1111"/>
        <v>0</v>
      </c>
      <c r="U5289" s="1">
        <f t="shared" si="1112"/>
        <v>0</v>
      </c>
      <c r="V5289" s="1">
        <f t="shared" si="1113"/>
        <v>0</v>
      </c>
    </row>
    <row r="5290" spans="13:22" x14ac:dyDescent="0.25">
      <c r="M5290" s="4">
        <f t="shared" si="1106"/>
        <v>173.1</v>
      </c>
      <c r="N5290" s="4"/>
      <c r="O5290" s="1">
        <f t="shared" si="1107"/>
        <v>173.1</v>
      </c>
      <c r="P5290" s="1">
        <f t="shared" si="1108"/>
        <v>0</v>
      </c>
      <c r="Q5290" s="1" t="str">
        <f t="shared" si="1105"/>
        <v/>
      </c>
      <c r="R5290" s="1" t="str">
        <f t="shared" si="1109"/>
        <v/>
      </c>
      <c r="S5290" s="1">
        <f t="shared" si="1110"/>
        <v>630.90240000000244</v>
      </c>
      <c r="T5290" s="1">
        <f t="shared" si="1111"/>
        <v>0</v>
      </c>
      <c r="U5290" s="1">
        <f t="shared" si="1112"/>
        <v>0</v>
      </c>
      <c r="V5290" s="1">
        <f t="shared" si="1113"/>
        <v>0</v>
      </c>
    </row>
    <row r="5291" spans="13:22" x14ac:dyDescent="0.25">
      <c r="M5291" s="4">
        <f t="shared" si="1106"/>
        <v>173.1</v>
      </c>
      <c r="N5291" s="4"/>
      <c r="O5291" s="1">
        <f t="shared" si="1107"/>
        <v>173.1</v>
      </c>
      <c r="P5291" s="1">
        <f t="shared" si="1108"/>
        <v>0</v>
      </c>
      <c r="Q5291" s="1" t="str">
        <f t="shared" si="1105"/>
        <v/>
      </c>
      <c r="R5291" s="1" t="str">
        <f t="shared" si="1109"/>
        <v/>
      </c>
      <c r="S5291" s="1">
        <f t="shared" si="1110"/>
        <v>630.90240000000244</v>
      </c>
      <c r="T5291" s="1">
        <f t="shared" si="1111"/>
        <v>0</v>
      </c>
      <c r="U5291" s="1">
        <f t="shared" si="1112"/>
        <v>0</v>
      </c>
      <c r="V5291" s="1">
        <f t="shared" si="1113"/>
        <v>0</v>
      </c>
    </row>
    <row r="5292" spans="13:22" x14ac:dyDescent="0.25">
      <c r="M5292" s="4">
        <f t="shared" si="1106"/>
        <v>173.1</v>
      </c>
      <c r="N5292" s="4"/>
      <c r="O5292" s="1">
        <f t="shared" si="1107"/>
        <v>173.1</v>
      </c>
      <c r="P5292" s="1">
        <f t="shared" si="1108"/>
        <v>0</v>
      </c>
      <c r="Q5292" s="1" t="str">
        <f t="shared" si="1105"/>
        <v/>
      </c>
      <c r="R5292" s="1" t="str">
        <f t="shared" si="1109"/>
        <v/>
      </c>
      <c r="S5292" s="1">
        <f t="shared" si="1110"/>
        <v>630.90240000000244</v>
      </c>
      <c r="T5292" s="1">
        <f t="shared" si="1111"/>
        <v>0</v>
      </c>
      <c r="U5292" s="1">
        <f t="shared" si="1112"/>
        <v>0</v>
      </c>
      <c r="V5292" s="1">
        <f t="shared" si="1113"/>
        <v>0</v>
      </c>
    </row>
    <row r="5293" spans="13:22" x14ac:dyDescent="0.25">
      <c r="M5293" s="4">
        <f t="shared" si="1106"/>
        <v>173.1</v>
      </c>
      <c r="N5293" s="4"/>
      <c r="O5293" s="1">
        <f t="shared" si="1107"/>
        <v>173.1</v>
      </c>
      <c r="P5293" s="1">
        <f t="shared" si="1108"/>
        <v>0</v>
      </c>
      <c r="Q5293" s="1" t="str">
        <f t="shared" si="1105"/>
        <v/>
      </c>
      <c r="R5293" s="1" t="str">
        <f t="shared" si="1109"/>
        <v/>
      </c>
      <c r="S5293" s="1">
        <f t="shared" si="1110"/>
        <v>630.90240000000244</v>
      </c>
      <c r="T5293" s="1">
        <f t="shared" si="1111"/>
        <v>0</v>
      </c>
      <c r="U5293" s="1">
        <f t="shared" si="1112"/>
        <v>0</v>
      </c>
      <c r="V5293" s="1">
        <f t="shared" si="1113"/>
        <v>0</v>
      </c>
    </row>
    <row r="5294" spans="13:22" x14ac:dyDescent="0.25">
      <c r="M5294" s="4">
        <f t="shared" si="1106"/>
        <v>173.1</v>
      </c>
      <c r="N5294" s="4"/>
      <c r="O5294" s="1">
        <f t="shared" si="1107"/>
        <v>173.1</v>
      </c>
      <c r="P5294" s="1">
        <f t="shared" si="1108"/>
        <v>0</v>
      </c>
      <c r="Q5294" s="1" t="str">
        <f t="shared" si="1105"/>
        <v/>
      </c>
      <c r="R5294" s="1" t="str">
        <f t="shared" si="1109"/>
        <v/>
      </c>
      <c r="S5294" s="1">
        <f t="shared" si="1110"/>
        <v>630.90240000000244</v>
      </c>
      <c r="T5294" s="1">
        <f t="shared" si="1111"/>
        <v>0</v>
      </c>
      <c r="U5294" s="1">
        <f t="shared" si="1112"/>
        <v>0</v>
      </c>
      <c r="V5294" s="1">
        <f t="shared" si="1113"/>
        <v>0</v>
      </c>
    </row>
    <row r="5295" spans="13:22" x14ac:dyDescent="0.25">
      <c r="M5295" s="4">
        <f t="shared" si="1106"/>
        <v>173.1</v>
      </c>
      <c r="N5295" s="4"/>
      <c r="O5295" s="1">
        <f t="shared" si="1107"/>
        <v>173.1</v>
      </c>
      <c r="P5295" s="1">
        <f t="shared" si="1108"/>
        <v>0</v>
      </c>
      <c r="Q5295" s="1" t="str">
        <f t="shared" si="1105"/>
        <v/>
      </c>
      <c r="R5295" s="1" t="str">
        <f t="shared" si="1109"/>
        <v/>
      </c>
      <c r="S5295" s="1">
        <f t="shared" si="1110"/>
        <v>630.90240000000244</v>
      </c>
      <c r="T5295" s="1">
        <f t="shared" si="1111"/>
        <v>0</v>
      </c>
      <c r="U5295" s="1">
        <f t="shared" si="1112"/>
        <v>0</v>
      </c>
      <c r="V5295" s="1">
        <f t="shared" si="1113"/>
        <v>0</v>
      </c>
    </row>
    <row r="5296" spans="13:22" x14ac:dyDescent="0.25">
      <c r="M5296" s="4">
        <f t="shared" si="1106"/>
        <v>173.1</v>
      </c>
      <c r="N5296" s="4"/>
      <c r="O5296" s="1">
        <f t="shared" si="1107"/>
        <v>173.1</v>
      </c>
      <c r="P5296" s="1">
        <f t="shared" si="1108"/>
        <v>0</v>
      </c>
      <c r="Q5296" s="1" t="str">
        <f t="shared" si="1105"/>
        <v/>
      </c>
      <c r="R5296" s="1" t="str">
        <f t="shared" si="1109"/>
        <v/>
      </c>
      <c r="S5296" s="1">
        <f t="shared" si="1110"/>
        <v>630.90240000000244</v>
      </c>
      <c r="T5296" s="1">
        <f t="shared" si="1111"/>
        <v>0</v>
      </c>
      <c r="U5296" s="1">
        <f t="shared" si="1112"/>
        <v>0</v>
      </c>
      <c r="V5296" s="1">
        <f t="shared" si="1113"/>
        <v>0</v>
      </c>
    </row>
    <row r="5297" spans="13:22" x14ac:dyDescent="0.25">
      <c r="M5297" s="4">
        <f t="shared" si="1106"/>
        <v>173.1</v>
      </c>
      <c r="N5297" s="4"/>
      <c r="O5297" s="1">
        <f t="shared" si="1107"/>
        <v>173.1</v>
      </c>
      <c r="P5297" s="1">
        <f t="shared" si="1108"/>
        <v>0</v>
      </c>
      <c r="Q5297" s="1" t="str">
        <f t="shared" si="1105"/>
        <v/>
      </c>
      <c r="R5297" s="1" t="str">
        <f t="shared" si="1109"/>
        <v/>
      </c>
      <c r="S5297" s="1">
        <f t="shared" si="1110"/>
        <v>630.90240000000244</v>
      </c>
      <c r="T5297" s="1">
        <f t="shared" si="1111"/>
        <v>0</v>
      </c>
      <c r="U5297" s="1">
        <f t="shared" si="1112"/>
        <v>0</v>
      </c>
      <c r="V5297" s="1">
        <f t="shared" si="1113"/>
        <v>0</v>
      </c>
    </row>
    <row r="5298" spans="13:22" x14ac:dyDescent="0.25">
      <c r="M5298" s="4">
        <f t="shared" si="1106"/>
        <v>173.1</v>
      </c>
      <c r="N5298" s="4"/>
      <c r="O5298" s="1">
        <f t="shared" si="1107"/>
        <v>173.1</v>
      </c>
      <c r="P5298" s="1">
        <f t="shared" si="1108"/>
        <v>0</v>
      </c>
      <c r="Q5298" s="1" t="str">
        <f t="shared" ref="Q5298:Q5361" si="1114">IF(H5298&lt;&gt;"",IF(H5298=H5297,"",H5298),IF(H5296="","",MAX(H5297,Q5297)))</f>
        <v/>
      </c>
      <c r="R5298" s="1" t="str">
        <f t="shared" si="1109"/>
        <v/>
      </c>
      <c r="S5298" s="1">
        <f t="shared" si="1110"/>
        <v>630.90240000000244</v>
      </c>
      <c r="T5298" s="1">
        <f t="shared" si="1111"/>
        <v>0</v>
      </c>
      <c r="U5298" s="1">
        <f t="shared" si="1112"/>
        <v>0</v>
      </c>
      <c r="V5298" s="1">
        <f t="shared" si="1113"/>
        <v>0</v>
      </c>
    </row>
    <row r="5299" spans="13:22" x14ac:dyDescent="0.25">
      <c r="M5299" s="4">
        <f t="shared" si="1106"/>
        <v>173.1</v>
      </c>
      <c r="N5299" s="4"/>
      <c r="O5299" s="1">
        <f t="shared" si="1107"/>
        <v>173.1</v>
      </c>
      <c r="P5299" s="1">
        <f t="shared" si="1108"/>
        <v>0</v>
      </c>
      <c r="Q5299" s="1" t="str">
        <f t="shared" si="1114"/>
        <v/>
      </c>
      <c r="R5299" s="1" t="str">
        <f t="shared" si="1109"/>
        <v/>
      </c>
      <c r="S5299" s="1">
        <f t="shared" si="1110"/>
        <v>630.90240000000244</v>
      </c>
      <c r="T5299" s="1">
        <f t="shared" si="1111"/>
        <v>0</v>
      </c>
      <c r="U5299" s="1">
        <f t="shared" si="1112"/>
        <v>0</v>
      </c>
      <c r="V5299" s="1">
        <f t="shared" si="1113"/>
        <v>0</v>
      </c>
    </row>
    <row r="5300" spans="13:22" x14ac:dyDescent="0.25">
      <c r="M5300" s="4">
        <f t="shared" si="1106"/>
        <v>173.1</v>
      </c>
      <c r="N5300" s="4"/>
      <c r="O5300" s="1">
        <f t="shared" si="1107"/>
        <v>173.1</v>
      </c>
      <c r="P5300" s="1">
        <f t="shared" si="1108"/>
        <v>0</v>
      </c>
      <c r="Q5300" s="1" t="str">
        <f t="shared" si="1114"/>
        <v/>
      </c>
      <c r="R5300" s="1" t="str">
        <f t="shared" si="1109"/>
        <v/>
      </c>
      <c r="S5300" s="1">
        <f t="shared" si="1110"/>
        <v>630.90240000000244</v>
      </c>
      <c r="T5300" s="1">
        <f t="shared" si="1111"/>
        <v>0</v>
      </c>
      <c r="U5300" s="1">
        <f t="shared" si="1112"/>
        <v>0</v>
      </c>
      <c r="V5300" s="1">
        <f t="shared" si="1113"/>
        <v>0</v>
      </c>
    </row>
    <row r="5301" spans="13:22" x14ac:dyDescent="0.25">
      <c r="M5301" s="4">
        <f t="shared" si="1106"/>
        <v>173.1</v>
      </c>
      <c r="N5301" s="4"/>
      <c r="O5301" s="1">
        <f t="shared" si="1107"/>
        <v>173.1</v>
      </c>
      <c r="P5301" s="1">
        <f t="shared" si="1108"/>
        <v>0</v>
      </c>
      <c r="Q5301" s="1" t="str">
        <f t="shared" si="1114"/>
        <v/>
      </c>
      <c r="R5301" s="1" t="str">
        <f t="shared" si="1109"/>
        <v/>
      </c>
      <c r="S5301" s="1">
        <f t="shared" si="1110"/>
        <v>630.90240000000244</v>
      </c>
      <c r="T5301" s="1">
        <f t="shared" si="1111"/>
        <v>0</v>
      </c>
      <c r="U5301" s="1">
        <f t="shared" si="1112"/>
        <v>0</v>
      </c>
      <c r="V5301" s="1">
        <f t="shared" si="1113"/>
        <v>0</v>
      </c>
    </row>
    <row r="5302" spans="13:22" x14ac:dyDescent="0.25">
      <c r="M5302" s="4">
        <f t="shared" si="1106"/>
        <v>173.1</v>
      </c>
      <c r="N5302" s="4"/>
      <c r="O5302" s="1">
        <f t="shared" si="1107"/>
        <v>173.1</v>
      </c>
      <c r="P5302" s="1">
        <f t="shared" si="1108"/>
        <v>0</v>
      </c>
      <c r="Q5302" s="1" t="str">
        <f t="shared" si="1114"/>
        <v/>
      </c>
      <c r="R5302" s="1" t="str">
        <f t="shared" si="1109"/>
        <v/>
      </c>
      <c r="S5302" s="1">
        <f t="shared" si="1110"/>
        <v>630.90240000000244</v>
      </c>
      <c r="T5302" s="1">
        <f t="shared" si="1111"/>
        <v>0</v>
      </c>
      <c r="U5302" s="1">
        <f t="shared" si="1112"/>
        <v>0</v>
      </c>
      <c r="V5302" s="1">
        <f t="shared" si="1113"/>
        <v>0</v>
      </c>
    </row>
    <row r="5303" spans="13:22" x14ac:dyDescent="0.25">
      <c r="M5303" s="4">
        <f t="shared" si="1106"/>
        <v>173.1</v>
      </c>
      <c r="N5303" s="4"/>
      <c r="O5303" s="1">
        <f t="shared" si="1107"/>
        <v>173.1</v>
      </c>
      <c r="P5303" s="1">
        <f t="shared" si="1108"/>
        <v>0</v>
      </c>
      <c r="Q5303" s="1" t="str">
        <f t="shared" si="1114"/>
        <v/>
      </c>
      <c r="R5303" s="1" t="str">
        <f t="shared" si="1109"/>
        <v/>
      </c>
      <c r="S5303" s="1">
        <f t="shared" si="1110"/>
        <v>630.90240000000244</v>
      </c>
      <c r="T5303" s="1">
        <f t="shared" si="1111"/>
        <v>0</v>
      </c>
      <c r="U5303" s="1">
        <f t="shared" si="1112"/>
        <v>0</v>
      </c>
      <c r="V5303" s="1">
        <f t="shared" si="1113"/>
        <v>0</v>
      </c>
    </row>
    <row r="5304" spans="13:22" x14ac:dyDescent="0.25">
      <c r="M5304" s="4">
        <f t="shared" si="1106"/>
        <v>173.1</v>
      </c>
      <c r="N5304" s="4"/>
      <c r="O5304" s="1">
        <f t="shared" si="1107"/>
        <v>173.1</v>
      </c>
      <c r="P5304" s="1">
        <f t="shared" si="1108"/>
        <v>0</v>
      </c>
      <c r="Q5304" s="1" t="str">
        <f t="shared" si="1114"/>
        <v/>
      </c>
      <c r="R5304" s="1" t="str">
        <f t="shared" si="1109"/>
        <v/>
      </c>
      <c r="S5304" s="1">
        <f t="shared" si="1110"/>
        <v>630.90240000000244</v>
      </c>
      <c r="T5304" s="1">
        <f t="shared" si="1111"/>
        <v>0</v>
      </c>
      <c r="U5304" s="1">
        <f t="shared" si="1112"/>
        <v>0</v>
      </c>
      <c r="V5304" s="1">
        <f t="shared" si="1113"/>
        <v>0</v>
      </c>
    </row>
    <row r="5305" spans="13:22" x14ac:dyDescent="0.25">
      <c r="M5305" s="4">
        <f t="shared" si="1106"/>
        <v>173.1</v>
      </c>
      <c r="N5305" s="4"/>
      <c r="O5305" s="1">
        <f t="shared" si="1107"/>
        <v>173.1</v>
      </c>
      <c r="P5305" s="1">
        <f t="shared" si="1108"/>
        <v>0</v>
      </c>
      <c r="Q5305" s="1" t="str">
        <f t="shared" si="1114"/>
        <v/>
      </c>
      <c r="R5305" s="1" t="str">
        <f t="shared" si="1109"/>
        <v/>
      </c>
      <c r="S5305" s="1">
        <f t="shared" si="1110"/>
        <v>630.90240000000244</v>
      </c>
      <c r="T5305" s="1">
        <f t="shared" si="1111"/>
        <v>0</v>
      </c>
      <c r="U5305" s="1">
        <f t="shared" si="1112"/>
        <v>0</v>
      </c>
      <c r="V5305" s="1">
        <f t="shared" si="1113"/>
        <v>0</v>
      </c>
    </row>
    <row r="5306" spans="13:22" x14ac:dyDescent="0.25">
      <c r="M5306" s="4">
        <f t="shared" si="1106"/>
        <v>173.1</v>
      </c>
      <c r="N5306" s="4"/>
      <c r="O5306" s="1">
        <f t="shared" si="1107"/>
        <v>173.1</v>
      </c>
      <c r="P5306" s="1">
        <f t="shared" si="1108"/>
        <v>0</v>
      </c>
      <c r="Q5306" s="1" t="str">
        <f t="shared" si="1114"/>
        <v/>
      </c>
      <c r="R5306" s="1" t="str">
        <f t="shared" si="1109"/>
        <v/>
      </c>
      <c r="S5306" s="1">
        <f t="shared" si="1110"/>
        <v>630.90240000000244</v>
      </c>
      <c r="T5306" s="1">
        <f t="shared" si="1111"/>
        <v>0</v>
      </c>
      <c r="U5306" s="1">
        <f t="shared" si="1112"/>
        <v>0</v>
      </c>
      <c r="V5306" s="1">
        <f t="shared" si="1113"/>
        <v>0</v>
      </c>
    </row>
    <row r="5307" spans="13:22" x14ac:dyDescent="0.25">
      <c r="M5307" s="4">
        <f t="shared" si="1106"/>
        <v>173.1</v>
      </c>
      <c r="N5307" s="4"/>
      <c r="O5307" s="1">
        <f t="shared" si="1107"/>
        <v>173.1</v>
      </c>
      <c r="P5307" s="1">
        <f t="shared" si="1108"/>
        <v>0</v>
      </c>
      <c r="Q5307" s="1" t="str">
        <f t="shared" si="1114"/>
        <v/>
      </c>
      <c r="R5307" s="1" t="str">
        <f t="shared" si="1109"/>
        <v/>
      </c>
      <c r="S5307" s="1">
        <f t="shared" si="1110"/>
        <v>630.90240000000244</v>
      </c>
      <c r="T5307" s="1">
        <f t="shared" si="1111"/>
        <v>0</v>
      </c>
      <c r="U5307" s="1">
        <f t="shared" si="1112"/>
        <v>0</v>
      </c>
      <c r="V5307" s="1">
        <f t="shared" si="1113"/>
        <v>0</v>
      </c>
    </row>
    <row r="5308" spans="13:22" x14ac:dyDescent="0.25">
      <c r="M5308" s="4">
        <f t="shared" si="1106"/>
        <v>173.1</v>
      </c>
      <c r="N5308" s="4"/>
      <c r="O5308" s="1">
        <f t="shared" si="1107"/>
        <v>173.1</v>
      </c>
      <c r="P5308" s="1">
        <f t="shared" si="1108"/>
        <v>0</v>
      </c>
      <c r="Q5308" s="1" t="str">
        <f t="shared" si="1114"/>
        <v/>
      </c>
      <c r="R5308" s="1" t="str">
        <f t="shared" si="1109"/>
        <v/>
      </c>
      <c r="S5308" s="1">
        <f t="shared" si="1110"/>
        <v>630.90240000000244</v>
      </c>
      <c r="T5308" s="1">
        <f t="shared" si="1111"/>
        <v>0</v>
      </c>
      <c r="U5308" s="1">
        <f t="shared" si="1112"/>
        <v>0</v>
      </c>
      <c r="V5308" s="1">
        <f t="shared" si="1113"/>
        <v>0</v>
      </c>
    </row>
    <row r="5309" spans="13:22" x14ac:dyDescent="0.25">
      <c r="M5309" s="4">
        <f t="shared" si="1106"/>
        <v>173.1</v>
      </c>
      <c r="N5309" s="4"/>
      <c r="O5309" s="1">
        <f t="shared" si="1107"/>
        <v>173.1</v>
      </c>
      <c r="P5309" s="1">
        <f t="shared" si="1108"/>
        <v>0</v>
      </c>
      <c r="Q5309" s="1" t="str">
        <f t="shared" si="1114"/>
        <v/>
      </c>
      <c r="R5309" s="1" t="str">
        <f t="shared" si="1109"/>
        <v/>
      </c>
      <c r="S5309" s="1">
        <f t="shared" si="1110"/>
        <v>630.90240000000244</v>
      </c>
      <c r="T5309" s="1">
        <f t="shared" si="1111"/>
        <v>0</v>
      </c>
      <c r="U5309" s="1">
        <f t="shared" si="1112"/>
        <v>0</v>
      </c>
      <c r="V5309" s="1">
        <f t="shared" si="1113"/>
        <v>0</v>
      </c>
    </row>
    <row r="5310" spans="13:22" x14ac:dyDescent="0.25">
      <c r="M5310" s="4">
        <f t="shared" si="1106"/>
        <v>173.1</v>
      </c>
      <c r="N5310" s="4"/>
      <c r="O5310" s="1">
        <f t="shared" si="1107"/>
        <v>173.1</v>
      </c>
      <c r="P5310" s="1">
        <f t="shared" si="1108"/>
        <v>0</v>
      </c>
      <c r="Q5310" s="1" t="str">
        <f t="shared" si="1114"/>
        <v/>
      </c>
      <c r="R5310" s="1" t="str">
        <f t="shared" si="1109"/>
        <v/>
      </c>
      <c r="S5310" s="1">
        <f t="shared" si="1110"/>
        <v>630.90240000000244</v>
      </c>
      <c r="T5310" s="1">
        <f t="shared" si="1111"/>
        <v>0</v>
      </c>
      <c r="U5310" s="1">
        <f t="shared" si="1112"/>
        <v>0</v>
      </c>
      <c r="V5310" s="1">
        <f t="shared" si="1113"/>
        <v>0</v>
      </c>
    </row>
    <row r="5311" spans="13:22" x14ac:dyDescent="0.25">
      <c r="M5311" s="4">
        <f t="shared" si="1106"/>
        <v>173.1</v>
      </c>
      <c r="N5311" s="4"/>
      <c r="O5311" s="1">
        <f t="shared" si="1107"/>
        <v>173.1</v>
      </c>
      <c r="P5311" s="1">
        <f t="shared" si="1108"/>
        <v>0</v>
      </c>
      <c r="Q5311" s="1" t="str">
        <f t="shared" si="1114"/>
        <v/>
      </c>
      <c r="R5311" s="1" t="str">
        <f t="shared" si="1109"/>
        <v/>
      </c>
      <c r="S5311" s="1">
        <f t="shared" si="1110"/>
        <v>630.90240000000244</v>
      </c>
      <c r="T5311" s="1">
        <f t="shared" si="1111"/>
        <v>0</v>
      </c>
      <c r="U5311" s="1">
        <f t="shared" si="1112"/>
        <v>0</v>
      </c>
      <c r="V5311" s="1">
        <f t="shared" si="1113"/>
        <v>0</v>
      </c>
    </row>
    <row r="5312" spans="13:22" x14ac:dyDescent="0.25">
      <c r="M5312" s="4">
        <f t="shared" si="1106"/>
        <v>173.1</v>
      </c>
      <c r="N5312" s="4"/>
      <c r="O5312" s="1">
        <f t="shared" si="1107"/>
        <v>173.1</v>
      </c>
      <c r="P5312" s="1">
        <f t="shared" si="1108"/>
        <v>0</v>
      </c>
      <c r="Q5312" s="1" t="str">
        <f t="shared" si="1114"/>
        <v/>
      </c>
      <c r="R5312" s="1" t="str">
        <f t="shared" si="1109"/>
        <v/>
      </c>
      <c r="S5312" s="1">
        <f t="shared" si="1110"/>
        <v>630.90240000000244</v>
      </c>
      <c r="T5312" s="1">
        <f t="shared" si="1111"/>
        <v>0</v>
      </c>
      <c r="U5312" s="1">
        <f t="shared" si="1112"/>
        <v>0</v>
      </c>
      <c r="V5312" s="1">
        <f t="shared" si="1113"/>
        <v>0</v>
      </c>
    </row>
    <row r="5313" spans="13:22" x14ac:dyDescent="0.25">
      <c r="M5313" s="4">
        <f t="shared" si="1106"/>
        <v>173.1</v>
      </c>
      <c r="N5313" s="4"/>
      <c r="O5313" s="1">
        <f t="shared" si="1107"/>
        <v>173.1</v>
      </c>
      <c r="P5313" s="1">
        <f t="shared" si="1108"/>
        <v>0</v>
      </c>
      <c r="Q5313" s="1" t="str">
        <f t="shared" si="1114"/>
        <v/>
      </c>
      <c r="R5313" s="1" t="str">
        <f t="shared" si="1109"/>
        <v/>
      </c>
      <c r="S5313" s="1">
        <f t="shared" si="1110"/>
        <v>630.90240000000244</v>
      </c>
      <c r="T5313" s="1">
        <f t="shared" si="1111"/>
        <v>0</v>
      </c>
      <c r="U5313" s="1">
        <f t="shared" si="1112"/>
        <v>0</v>
      </c>
      <c r="V5313" s="1">
        <f t="shared" si="1113"/>
        <v>0</v>
      </c>
    </row>
    <row r="5314" spans="13:22" x14ac:dyDescent="0.25">
      <c r="M5314" s="4">
        <f t="shared" si="1106"/>
        <v>173.1</v>
      </c>
      <c r="N5314" s="4"/>
      <c r="O5314" s="1">
        <f t="shared" si="1107"/>
        <v>173.1</v>
      </c>
      <c r="P5314" s="1">
        <f t="shared" si="1108"/>
        <v>0</v>
      </c>
      <c r="Q5314" s="1" t="str">
        <f t="shared" si="1114"/>
        <v/>
      </c>
      <c r="R5314" s="1" t="str">
        <f t="shared" si="1109"/>
        <v/>
      </c>
      <c r="S5314" s="1">
        <f t="shared" si="1110"/>
        <v>630.90240000000244</v>
      </c>
      <c r="T5314" s="1">
        <f t="shared" si="1111"/>
        <v>0</v>
      </c>
      <c r="U5314" s="1">
        <f t="shared" si="1112"/>
        <v>0</v>
      </c>
      <c r="V5314" s="1">
        <f t="shared" si="1113"/>
        <v>0</v>
      </c>
    </row>
    <row r="5315" spans="13:22" x14ac:dyDescent="0.25">
      <c r="M5315" s="4">
        <f t="shared" si="1106"/>
        <v>173.1</v>
      </c>
      <c r="N5315" s="4"/>
      <c r="O5315" s="1">
        <f t="shared" si="1107"/>
        <v>173.1</v>
      </c>
      <c r="P5315" s="1">
        <f t="shared" si="1108"/>
        <v>0</v>
      </c>
      <c r="Q5315" s="1" t="str">
        <f t="shared" si="1114"/>
        <v/>
      </c>
      <c r="R5315" s="1" t="str">
        <f t="shared" si="1109"/>
        <v/>
      </c>
      <c r="S5315" s="1">
        <f t="shared" si="1110"/>
        <v>630.90240000000244</v>
      </c>
      <c r="T5315" s="1">
        <f t="shared" si="1111"/>
        <v>0</v>
      </c>
      <c r="U5315" s="1">
        <f t="shared" si="1112"/>
        <v>0</v>
      </c>
      <c r="V5315" s="1">
        <f t="shared" si="1113"/>
        <v>0</v>
      </c>
    </row>
    <row r="5316" spans="13:22" x14ac:dyDescent="0.25">
      <c r="M5316" s="4">
        <f t="shared" si="1106"/>
        <v>173.1</v>
      </c>
      <c r="N5316" s="4"/>
      <c r="O5316" s="1">
        <f t="shared" si="1107"/>
        <v>173.1</v>
      </c>
      <c r="P5316" s="1">
        <f t="shared" si="1108"/>
        <v>0</v>
      </c>
      <c r="Q5316" s="1" t="str">
        <f t="shared" si="1114"/>
        <v/>
      </c>
      <c r="R5316" s="1" t="str">
        <f t="shared" si="1109"/>
        <v/>
      </c>
      <c r="S5316" s="1">
        <f t="shared" si="1110"/>
        <v>630.90240000000244</v>
      </c>
      <c r="T5316" s="1">
        <f t="shared" si="1111"/>
        <v>0</v>
      </c>
      <c r="U5316" s="1">
        <f t="shared" si="1112"/>
        <v>0</v>
      </c>
      <c r="V5316" s="1">
        <f t="shared" si="1113"/>
        <v>0</v>
      </c>
    </row>
    <row r="5317" spans="13:22" x14ac:dyDescent="0.25">
      <c r="M5317" s="4">
        <f t="shared" si="1106"/>
        <v>173.1</v>
      </c>
      <c r="N5317" s="4"/>
      <c r="O5317" s="1">
        <f t="shared" si="1107"/>
        <v>173.1</v>
      </c>
      <c r="P5317" s="1">
        <f t="shared" si="1108"/>
        <v>0</v>
      </c>
      <c r="Q5317" s="1" t="str">
        <f t="shared" si="1114"/>
        <v/>
      </c>
      <c r="R5317" s="1" t="str">
        <f t="shared" si="1109"/>
        <v/>
      </c>
      <c r="S5317" s="1">
        <f t="shared" si="1110"/>
        <v>630.90240000000244</v>
      </c>
      <c r="T5317" s="1">
        <f t="shared" si="1111"/>
        <v>0</v>
      </c>
      <c r="U5317" s="1">
        <f t="shared" si="1112"/>
        <v>0</v>
      </c>
      <c r="V5317" s="1">
        <f t="shared" si="1113"/>
        <v>0</v>
      </c>
    </row>
    <row r="5318" spans="13:22" x14ac:dyDescent="0.25">
      <c r="M5318" s="4">
        <f t="shared" si="1106"/>
        <v>173.1</v>
      </c>
      <c r="N5318" s="4"/>
      <c r="O5318" s="1">
        <f t="shared" si="1107"/>
        <v>173.1</v>
      </c>
      <c r="P5318" s="1">
        <f t="shared" si="1108"/>
        <v>0</v>
      </c>
      <c r="Q5318" s="1" t="str">
        <f t="shared" si="1114"/>
        <v/>
      </c>
      <c r="R5318" s="1" t="str">
        <f t="shared" si="1109"/>
        <v/>
      </c>
      <c r="S5318" s="1">
        <f t="shared" si="1110"/>
        <v>630.90240000000244</v>
      </c>
      <c r="T5318" s="1">
        <f t="shared" si="1111"/>
        <v>0</v>
      </c>
      <c r="U5318" s="1">
        <f t="shared" si="1112"/>
        <v>0</v>
      </c>
      <c r="V5318" s="1">
        <f t="shared" si="1113"/>
        <v>0</v>
      </c>
    </row>
    <row r="5319" spans="13:22" x14ac:dyDescent="0.25">
      <c r="M5319" s="4">
        <f t="shared" si="1106"/>
        <v>173.1</v>
      </c>
      <c r="N5319" s="4"/>
      <c r="O5319" s="1">
        <f t="shared" si="1107"/>
        <v>173.1</v>
      </c>
      <c r="P5319" s="1">
        <f t="shared" si="1108"/>
        <v>0</v>
      </c>
      <c r="Q5319" s="1" t="str">
        <f t="shared" si="1114"/>
        <v/>
      </c>
      <c r="R5319" s="1" t="str">
        <f t="shared" si="1109"/>
        <v/>
      </c>
      <c r="S5319" s="1">
        <f t="shared" si="1110"/>
        <v>630.90240000000244</v>
      </c>
      <c r="T5319" s="1">
        <f t="shared" si="1111"/>
        <v>0</v>
      </c>
      <c r="U5319" s="1">
        <f t="shared" si="1112"/>
        <v>0</v>
      </c>
      <c r="V5319" s="1">
        <f t="shared" si="1113"/>
        <v>0</v>
      </c>
    </row>
    <row r="5320" spans="13:22" x14ac:dyDescent="0.25">
      <c r="M5320" s="4">
        <f t="shared" ref="M5320:M5383" si="1115">E5320+M5319</f>
        <v>173.1</v>
      </c>
      <c r="N5320" s="4"/>
      <c r="O5320" s="1">
        <f t="shared" ref="O5320:O5383" si="1116">E5319+O5319</f>
        <v>173.1</v>
      </c>
      <c r="P5320" s="1">
        <f t="shared" ref="P5320:P5383" si="1117">F5320*52.8*E5320</f>
        <v>0</v>
      </c>
      <c r="Q5320" s="1" t="str">
        <f t="shared" si="1114"/>
        <v/>
      </c>
      <c r="R5320" s="1" t="str">
        <f t="shared" ref="R5320:R5383" si="1118">IF(I5320="",Q5320,IF(AND(H5320=H5319,I5320=I5319),"",I5320))</f>
        <v/>
      </c>
      <c r="S5320" s="1">
        <f t="shared" ref="S5320:S5383" si="1119">S5319+U5319*T5319/100</f>
        <v>630.90240000000244</v>
      </c>
      <c r="T5320" s="1">
        <f t="shared" ref="T5320:T5383" si="1120">IF(G5320="UNK",0,G5320)</f>
        <v>0</v>
      </c>
      <c r="U5320" s="1">
        <f t="shared" ref="U5320:U5383" si="1121">E5320*5280</f>
        <v>0</v>
      </c>
      <c r="V5320" s="1">
        <f t="shared" ref="V5320:V5383" si="1122">ABS(T5320*U5320)</f>
        <v>0</v>
      </c>
    </row>
    <row r="5321" spans="13:22" x14ac:dyDescent="0.25">
      <c r="M5321" s="4">
        <f t="shared" si="1115"/>
        <v>173.1</v>
      </c>
      <c r="N5321" s="4"/>
      <c r="O5321" s="1">
        <f t="shared" si="1116"/>
        <v>173.1</v>
      </c>
      <c r="P5321" s="1">
        <f t="shared" si="1117"/>
        <v>0</v>
      </c>
      <c r="Q5321" s="1" t="str">
        <f t="shared" si="1114"/>
        <v/>
      </c>
      <c r="R5321" s="1" t="str">
        <f t="shared" si="1118"/>
        <v/>
      </c>
      <c r="S5321" s="1">
        <f t="shared" si="1119"/>
        <v>630.90240000000244</v>
      </c>
      <c r="T5321" s="1">
        <f t="shared" si="1120"/>
        <v>0</v>
      </c>
      <c r="U5321" s="1">
        <f t="shared" si="1121"/>
        <v>0</v>
      </c>
      <c r="V5321" s="1">
        <f t="shared" si="1122"/>
        <v>0</v>
      </c>
    </row>
    <row r="5322" spans="13:22" x14ac:dyDescent="0.25">
      <c r="M5322" s="4">
        <f t="shared" si="1115"/>
        <v>173.1</v>
      </c>
      <c r="N5322" s="4"/>
      <c r="O5322" s="1">
        <f t="shared" si="1116"/>
        <v>173.1</v>
      </c>
      <c r="P5322" s="1">
        <f t="shared" si="1117"/>
        <v>0</v>
      </c>
      <c r="Q5322" s="1" t="str">
        <f t="shared" si="1114"/>
        <v/>
      </c>
      <c r="R5322" s="1" t="str">
        <f t="shared" si="1118"/>
        <v/>
      </c>
      <c r="S5322" s="1">
        <f t="shared" si="1119"/>
        <v>630.90240000000244</v>
      </c>
      <c r="T5322" s="1">
        <f t="shared" si="1120"/>
        <v>0</v>
      </c>
      <c r="U5322" s="1">
        <f t="shared" si="1121"/>
        <v>0</v>
      </c>
      <c r="V5322" s="1">
        <f t="shared" si="1122"/>
        <v>0</v>
      </c>
    </row>
    <row r="5323" spans="13:22" x14ac:dyDescent="0.25">
      <c r="M5323" s="4">
        <f t="shared" si="1115"/>
        <v>173.1</v>
      </c>
      <c r="N5323" s="4"/>
      <c r="O5323" s="1">
        <f t="shared" si="1116"/>
        <v>173.1</v>
      </c>
      <c r="P5323" s="1">
        <f t="shared" si="1117"/>
        <v>0</v>
      </c>
      <c r="Q5323" s="1" t="str">
        <f t="shared" si="1114"/>
        <v/>
      </c>
      <c r="R5323" s="1" t="str">
        <f t="shared" si="1118"/>
        <v/>
      </c>
      <c r="S5323" s="1">
        <f t="shared" si="1119"/>
        <v>630.90240000000244</v>
      </c>
      <c r="T5323" s="1">
        <f t="shared" si="1120"/>
        <v>0</v>
      </c>
      <c r="U5323" s="1">
        <f t="shared" si="1121"/>
        <v>0</v>
      </c>
      <c r="V5323" s="1">
        <f t="shared" si="1122"/>
        <v>0</v>
      </c>
    </row>
    <row r="5324" spans="13:22" x14ac:dyDescent="0.25">
      <c r="M5324" s="4">
        <f t="shared" si="1115"/>
        <v>173.1</v>
      </c>
      <c r="N5324" s="4"/>
      <c r="O5324" s="1">
        <f t="shared" si="1116"/>
        <v>173.1</v>
      </c>
      <c r="P5324" s="1">
        <f t="shared" si="1117"/>
        <v>0</v>
      </c>
      <c r="Q5324" s="1" t="str">
        <f t="shared" si="1114"/>
        <v/>
      </c>
      <c r="R5324" s="1" t="str">
        <f t="shared" si="1118"/>
        <v/>
      </c>
      <c r="S5324" s="1">
        <f t="shared" si="1119"/>
        <v>630.90240000000244</v>
      </c>
      <c r="T5324" s="1">
        <f t="shared" si="1120"/>
        <v>0</v>
      </c>
      <c r="U5324" s="1">
        <f t="shared" si="1121"/>
        <v>0</v>
      </c>
      <c r="V5324" s="1">
        <f t="shared" si="1122"/>
        <v>0</v>
      </c>
    </row>
    <row r="5325" spans="13:22" x14ac:dyDescent="0.25">
      <c r="M5325" s="4">
        <f t="shared" si="1115"/>
        <v>173.1</v>
      </c>
      <c r="N5325" s="4"/>
      <c r="O5325" s="1">
        <f t="shared" si="1116"/>
        <v>173.1</v>
      </c>
      <c r="P5325" s="1">
        <f t="shared" si="1117"/>
        <v>0</v>
      </c>
      <c r="Q5325" s="1" t="str">
        <f t="shared" si="1114"/>
        <v/>
      </c>
      <c r="R5325" s="1" t="str">
        <f t="shared" si="1118"/>
        <v/>
      </c>
      <c r="S5325" s="1">
        <f t="shared" si="1119"/>
        <v>630.90240000000244</v>
      </c>
      <c r="T5325" s="1">
        <f t="shared" si="1120"/>
        <v>0</v>
      </c>
      <c r="U5325" s="1">
        <f t="shared" si="1121"/>
        <v>0</v>
      </c>
      <c r="V5325" s="1">
        <f t="shared" si="1122"/>
        <v>0</v>
      </c>
    </row>
    <row r="5326" spans="13:22" x14ac:dyDescent="0.25">
      <c r="M5326" s="4">
        <f t="shared" si="1115"/>
        <v>173.1</v>
      </c>
      <c r="N5326" s="4"/>
      <c r="O5326" s="1">
        <f t="shared" si="1116"/>
        <v>173.1</v>
      </c>
      <c r="P5326" s="1">
        <f t="shared" si="1117"/>
        <v>0</v>
      </c>
      <c r="Q5326" s="1" t="str">
        <f t="shared" si="1114"/>
        <v/>
      </c>
      <c r="R5326" s="1" t="str">
        <f t="shared" si="1118"/>
        <v/>
      </c>
      <c r="S5326" s="1">
        <f t="shared" si="1119"/>
        <v>630.90240000000244</v>
      </c>
      <c r="T5326" s="1">
        <f t="shared" si="1120"/>
        <v>0</v>
      </c>
      <c r="U5326" s="1">
        <f t="shared" si="1121"/>
        <v>0</v>
      </c>
      <c r="V5326" s="1">
        <f t="shared" si="1122"/>
        <v>0</v>
      </c>
    </row>
    <row r="5327" spans="13:22" x14ac:dyDescent="0.25">
      <c r="M5327" s="4">
        <f t="shared" si="1115"/>
        <v>173.1</v>
      </c>
      <c r="N5327" s="4"/>
      <c r="O5327" s="1">
        <f t="shared" si="1116"/>
        <v>173.1</v>
      </c>
      <c r="P5327" s="1">
        <f t="shared" si="1117"/>
        <v>0</v>
      </c>
      <c r="Q5327" s="1" t="str">
        <f t="shared" si="1114"/>
        <v/>
      </c>
      <c r="R5327" s="1" t="str">
        <f t="shared" si="1118"/>
        <v/>
      </c>
      <c r="S5327" s="1">
        <f t="shared" si="1119"/>
        <v>630.90240000000244</v>
      </c>
      <c r="T5327" s="1">
        <f t="shared" si="1120"/>
        <v>0</v>
      </c>
      <c r="U5327" s="1">
        <f t="shared" si="1121"/>
        <v>0</v>
      </c>
      <c r="V5327" s="1">
        <f t="shared" si="1122"/>
        <v>0</v>
      </c>
    </row>
    <row r="5328" spans="13:22" x14ac:dyDescent="0.25">
      <c r="M5328" s="4">
        <f t="shared" si="1115"/>
        <v>173.1</v>
      </c>
      <c r="N5328" s="4"/>
      <c r="O5328" s="1">
        <f t="shared" si="1116"/>
        <v>173.1</v>
      </c>
      <c r="P5328" s="1">
        <f t="shared" si="1117"/>
        <v>0</v>
      </c>
      <c r="Q5328" s="1" t="str">
        <f t="shared" si="1114"/>
        <v/>
      </c>
      <c r="R5328" s="1" t="str">
        <f t="shared" si="1118"/>
        <v/>
      </c>
      <c r="S5328" s="1">
        <f t="shared" si="1119"/>
        <v>630.90240000000244</v>
      </c>
      <c r="T5328" s="1">
        <f t="shared" si="1120"/>
        <v>0</v>
      </c>
      <c r="U5328" s="1">
        <f t="shared" si="1121"/>
        <v>0</v>
      </c>
      <c r="V5328" s="1">
        <f t="shared" si="1122"/>
        <v>0</v>
      </c>
    </row>
    <row r="5329" spans="13:22" x14ac:dyDescent="0.25">
      <c r="M5329" s="4">
        <f t="shared" si="1115"/>
        <v>173.1</v>
      </c>
      <c r="N5329" s="4"/>
      <c r="O5329" s="1">
        <f t="shared" si="1116"/>
        <v>173.1</v>
      </c>
      <c r="P5329" s="1">
        <f t="shared" si="1117"/>
        <v>0</v>
      </c>
      <c r="Q5329" s="1" t="str">
        <f t="shared" si="1114"/>
        <v/>
      </c>
      <c r="R5329" s="1" t="str">
        <f t="shared" si="1118"/>
        <v/>
      </c>
      <c r="S5329" s="1">
        <f t="shared" si="1119"/>
        <v>630.90240000000244</v>
      </c>
      <c r="T5329" s="1">
        <f t="shared" si="1120"/>
        <v>0</v>
      </c>
      <c r="U5329" s="1">
        <f t="shared" si="1121"/>
        <v>0</v>
      </c>
      <c r="V5329" s="1">
        <f t="shared" si="1122"/>
        <v>0</v>
      </c>
    </row>
    <row r="5330" spans="13:22" x14ac:dyDescent="0.25">
      <c r="M5330" s="4">
        <f t="shared" si="1115"/>
        <v>173.1</v>
      </c>
      <c r="N5330" s="4"/>
      <c r="O5330" s="1">
        <f t="shared" si="1116"/>
        <v>173.1</v>
      </c>
      <c r="P5330" s="1">
        <f t="shared" si="1117"/>
        <v>0</v>
      </c>
      <c r="Q5330" s="1" t="str">
        <f t="shared" si="1114"/>
        <v/>
      </c>
      <c r="R5330" s="1" t="str">
        <f t="shared" si="1118"/>
        <v/>
      </c>
      <c r="S5330" s="1">
        <f t="shared" si="1119"/>
        <v>630.90240000000244</v>
      </c>
      <c r="T5330" s="1">
        <f t="shared" si="1120"/>
        <v>0</v>
      </c>
      <c r="U5330" s="1">
        <f t="shared" si="1121"/>
        <v>0</v>
      </c>
      <c r="V5330" s="1">
        <f t="shared" si="1122"/>
        <v>0</v>
      </c>
    </row>
    <row r="5331" spans="13:22" x14ac:dyDescent="0.25">
      <c r="M5331" s="4">
        <f t="shared" si="1115"/>
        <v>173.1</v>
      </c>
      <c r="N5331" s="4"/>
      <c r="O5331" s="1">
        <f t="shared" si="1116"/>
        <v>173.1</v>
      </c>
      <c r="P5331" s="1">
        <f t="shared" si="1117"/>
        <v>0</v>
      </c>
      <c r="Q5331" s="1" t="str">
        <f t="shared" si="1114"/>
        <v/>
      </c>
      <c r="R5331" s="1" t="str">
        <f t="shared" si="1118"/>
        <v/>
      </c>
      <c r="S5331" s="1">
        <f t="shared" si="1119"/>
        <v>630.90240000000244</v>
      </c>
      <c r="T5331" s="1">
        <f t="shared" si="1120"/>
        <v>0</v>
      </c>
      <c r="U5331" s="1">
        <f t="shared" si="1121"/>
        <v>0</v>
      </c>
      <c r="V5331" s="1">
        <f t="shared" si="1122"/>
        <v>0</v>
      </c>
    </row>
    <row r="5332" spans="13:22" x14ac:dyDescent="0.25">
      <c r="M5332" s="4">
        <f t="shared" si="1115"/>
        <v>173.1</v>
      </c>
      <c r="N5332" s="4"/>
      <c r="O5332" s="1">
        <f t="shared" si="1116"/>
        <v>173.1</v>
      </c>
      <c r="P5332" s="1">
        <f t="shared" si="1117"/>
        <v>0</v>
      </c>
      <c r="Q5332" s="1" t="str">
        <f t="shared" si="1114"/>
        <v/>
      </c>
      <c r="R5332" s="1" t="str">
        <f t="shared" si="1118"/>
        <v/>
      </c>
      <c r="S5332" s="1">
        <f t="shared" si="1119"/>
        <v>630.90240000000244</v>
      </c>
      <c r="T5332" s="1">
        <f t="shared" si="1120"/>
        <v>0</v>
      </c>
      <c r="U5332" s="1">
        <f t="shared" si="1121"/>
        <v>0</v>
      </c>
      <c r="V5332" s="1">
        <f t="shared" si="1122"/>
        <v>0</v>
      </c>
    </row>
    <row r="5333" spans="13:22" x14ac:dyDescent="0.25">
      <c r="M5333" s="4">
        <f t="shared" si="1115"/>
        <v>173.1</v>
      </c>
      <c r="N5333" s="4"/>
      <c r="O5333" s="1">
        <f t="shared" si="1116"/>
        <v>173.1</v>
      </c>
      <c r="P5333" s="1">
        <f t="shared" si="1117"/>
        <v>0</v>
      </c>
      <c r="Q5333" s="1" t="str">
        <f t="shared" si="1114"/>
        <v/>
      </c>
      <c r="R5333" s="1" t="str">
        <f t="shared" si="1118"/>
        <v/>
      </c>
      <c r="S5333" s="1">
        <f t="shared" si="1119"/>
        <v>630.90240000000244</v>
      </c>
      <c r="T5333" s="1">
        <f t="shared" si="1120"/>
        <v>0</v>
      </c>
      <c r="U5333" s="1">
        <f t="shared" si="1121"/>
        <v>0</v>
      </c>
      <c r="V5333" s="1">
        <f t="shared" si="1122"/>
        <v>0</v>
      </c>
    </row>
    <row r="5334" spans="13:22" x14ac:dyDescent="0.25">
      <c r="M5334" s="4">
        <f t="shared" si="1115"/>
        <v>173.1</v>
      </c>
      <c r="N5334" s="4"/>
      <c r="O5334" s="1">
        <f t="shared" si="1116"/>
        <v>173.1</v>
      </c>
      <c r="P5334" s="1">
        <f t="shared" si="1117"/>
        <v>0</v>
      </c>
      <c r="Q5334" s="1" t="str">
        <f t="shared" si="1114"/>
        <v/>
      </c>
      <c r="R5334" s="1" t="str">
        <f t="shared" si="1118"/>
        <v/>
      </c>
      <c r="S5334" s="1">
        <f t="shared" si="1119"/>
        <v>630.90240000000244</v>
      </c>
      <c r="T5334" s="1">
        <f t="shared" si="1120"/>
        <v>0</v>
      </c>
      <c r="U5334" s="1">
        <f t="shared" si="1121"/>
        <v>0</v>
      </c>
      <c r="V5334" s="1">
        <f t="shared" si="1122"/>
        <v>0</v>
      </c>
    </row>
    <row r="5335" spans="13:22" x14ac:dyDescent="0.25">
      <c r="M5335" s="4">
        <f t="shared" si="1115"/>
        <v>173.1</v>
      </c>
      <c r="N5335" s="4"/>
      <c r="O5335" s="1">
        <f t="shared" si="1116"/>
        <v>173.1</v>
      </c>
      <c r="P5335" s="1">
        <f t="shared" si="1117"/>
        <v>0</v>
      </c>
      <c r="Q5335" s="1" t="str">
        <f t="shared" si="1114"/>
        <v/>
      </c>
      <c r="R5335" s="1" t="str">
        <f t="shared" si="1118"/>
        <v/>
      </c>
      <c r="S5335" s="1">
        <f t="shared" si="1119"/>
        <v>630.90240000000244</v>
      </c>
      <c r="T5335" s="1">
        <f t="shared" si="1120"/>
        <v>0</v>
      </c>
      <c r="U5335" s="1">
        <f t="shared" si="1121"/>
        <v>0</v>
      </c>
      <c r="V5335" s="1">
        <f t="shared" si="1122"/>
        <v>0</v>
      </c>
    </row>
    <row r="5336" spans="13:22" x14ac:dyDescent="0.25">
      <c r="M5336" s="4">
        <f t="shared" si="1115"/>
        <v>173.1</v>
      </c>
      <c r="N5336" s="4"/>
      <c r="O5336" s="1">
        <f t="shared" si="1116"/>
        <v>173.1</v>
      </c>
      <c r="P5336" s="1">
        <f t="shared" si="1117"/>
        <v>0</v>
      </c>
      <c r="Q5336" s="1" t="str">
        <f t="shared" si="1114"/>
        <v/>
      </c>
      <c r="R5336" s="1" t="str">
        <f t="shared" si="1118"/>
        <v/>
      </c>
      <c r="S5336" s="1">
        <f t="shared" si="1119"/>
        <v>630.90240000000244</v>
      </c>
      <c r="T5336" s="1">
        <f t="shared" si="1120"/>
        <v>0</v>
      </c>
      <c r="U5336" s="1">
        <f t="shared" si="1121"/>
        <v>0</v>
      </c>
      <c r="V5336" s="1">
        <f t="shared" si="1122"/>
        <v>0</v>
      </c>
    </row>
    <row r="5337" spans="13:22" x14ac:dyDescent="0.25">
      <c r="M5337" s="4">
        <f t="shared" si="1115"/>
        <v>173.1</v>
      </c>
      <c r="N5337" s="4"/>
      <c r="O5337" s="1">
        <f t="shared" si="1116"/>
        <v>173.1</v>
      </c>
      <c r="P5337" s="1">
        <f t="shared" si="1117"/>
        <v>0</v>
      </c>
      <c r="Q5337" s="1" t="str">
        <f t="shared" si="1114"/>
        <v/>
      </c>
      <c r="R5337" s="1" t="str">
        <f t="shared" si="1118"/>
        <v/>
      </c>
      <c r="S5337" s="1">
        <f t="shared" si="1119"/>
        <v>630.90240000000244</v>
      </c>
      <c r="T5337" s="1">
        <f t="shared" si="1120"/>
        <v>0</v>
      </c>
      <c r="U5337" s="1">
        <f t="shared" si="1121"/>
        <v>0</v>
      </c>
      <c r="V5337" s="1">
        <f t="shared" si="1122"/>
        <v>0</v>
      </c>
    </row>
    <row r="5338" spans="13:22" x14ac:dyDescent="0.25">
      <c r="M5338" s="4">
        <f t="shared" si="1115"/>
        <v>173.1</v>
      </c>
      <c r="N5338" s="4"/>
      <c r="O5338" s="1">
        <f t="shared" si="1116"/>
        <v>173.1</v>
      </c>
      <c r="P5338" s="1">
        <f t="shared" si="1117"/>
        <v>0</v>
      </c>
      <c r="Q5338" s="1" t="str">
        <f t="shared" si="1114"/>
        <v/>
      </c>
      <c r="R5338" s="1" t="str">
        <f t="shared" si="1118"/>
        <v/>
      </c>
      <c r="S5338" s="1">
        <f t="shared" si="1119"/>
        <v>630.90240000000244</v>
      </c>
      <c r="T5338" s="1">
        <f t="shared" si="1120"/>
        <v>0</v>
      </c>
      <c r="U5338" s="1">
        <f t="shared" si="1121"/>
        <v>0</v>
      </c>
      <c r="V5338" s="1">
        <f t="shared" si="1122"/>
        <v>0</v>
      </c>
    </row>
    <row r="5339" spans="13:22" x14ac:dyDescent="0.25">
      <c r="M5339" s="4">
        <f t="shared" si="1115"/>
        <v>173.1</v>
      </c>
      <c r="N5339" s="4"/>
      <c r="O5339" s="1">
        <f t="shared" si="1116"/>
        <v>173.1</v>
      </c>
      <c r="P5339" s="1">
        <f t="shared" si="1117"/>
        <v>0</v>
      </c>
      <c r="Q5339" s="1" t="str">
        <f t="shared" si="1114"/>
        <v/>
      </c>
      <c r="R5339" s="1" t="str">
        <f t="shared" si="1118"/>
        <v/>
      </c>
      <c r="S5339" s="1">
        <f t="shared" si="1119"/>
        <v>630.90240000000244</v>
      </c>
      <c r="T5339" s="1">
        <f t="shared" si="1120"/>
        <v>0</v>
      </c>
      <c r="U5339" s="1">
        <f t="shared" si="1121"/>
        <v>0</v>
      </c>
      <c r="V5339" s="1">
        <f t="shared" si="1122"/>
        <v>0</v>
      </c>
    </row>
    <row r="5340" spans="13:22" x14ac:dyDescent="0.25">
      <c r="M5340" s="4">
        <f t="shared" si="1115"/>
        <v>173.1</v>
      </c>
      <c r="N5340" s="4"/>
      <c r="O5340" s="1">
        <f t="shared" si="1116"/>
        <v>173.1</v>
      </c>
      <c r="P5340" s="1">
        <f t="shared" si="1117"/>
        <v>0</v>
      </c>
      <c r="Q5340" s="1" t="str">
        <f t="shared" si="1114"/>
        <v/>
      </c>
      <c r="R5340" s="1" t="str">
        <f t="shared" si="1118"/>
        <v/>
      </c>
      <c r="S5340" s="1">
        <f t="shared" si="1119"/>
        <v>630.90240000000244</v>
      </c>
      <c r="T5340" s="1">
        <f t="shared" si="1120"/>
        <v>0</v>
      </c>
      <c r="U5340" s="1">
        <f t="shared" si="1121"/>
        <v>0</v>
      </c>
      <c r="V5340" s="1">
        <f t="shared" si="1122"/>
        <v>0</v>
      </c>
    </row>
    <row r="5341" spans="13:22" x14ac:dyDescent="0.25">
      <c r="M5341" s="4">
        <f t="shared" si="1115"/>
        <v>173.1</v>
      </c>
      <c r="N5341" s="4"/>
      <c r="O5341" s="1">
        <f t="shared" si="1116"/>
        <v>173.1</v>
      </c>
      <c r="P5341" s="1">
        <f t="shared" si="1117"/>
        <v>0</v>
      </c>
      <c r="Q5341" s="1" t="str">
        <f t="shared" si="1114"/>
        <v/>
      </c>
      <c r="R5341" s="1" t="str">
        <f t="shared" si="1118"/>
        <v/>
      </c>
      <c r="S5341" s="1">
        <f t="shared" si="1119"/>
        <v>630.90240000000244</v>
      </c>
      <c r="T5341" s="1">
        <f t="shared" si="1120"/>
        <v>0</v>
      </c>
      <c r="U5341" s="1">
        <f t="shared" si="1121"/>
        <v>0</v>
      </c>
      <c r="V5341" s="1">
        <f t="shared" si="1122"/>
        <v>0</v>
      </c>
    </row>
    <row r="5342" spans="13:22" x14ac:dyDescent="0.25">
      <c r="M5342" s="4">
        <f t="shared" si="1115"/>
        <v>173.1</v>
      </c>
      <c r="N5342" s="4"/>
      <c r="O5342" s="1">
        <f t="shared" si="1116"/>
        <v>173.1</v>
      </c>
      <c r="P5342" s="1">
        <f t="shared" si="1117"/>
        <v>0</v>
      </c>
      <c r="Q5342" s="1" t="str">
        <f t="shared" si="1114"/>
        <v/>
      </c>
      <c r="R5342" s="1" t="str">
        <f t="shared" si="1118"/>
        <v/>
      </c>
      <c r="S5342" s="1">
        <f t="shared" si="1119"/>
        <v>630.90240000000244</v>
      </c>
      <c r="T5342" s="1">
        <f t="shared" si="1120"/>
        <v>0</v>
      </c>
      <c r="U5342" s="1">
        <f t="shared" si="1121"/>
        <v>0</v>
      </c>
      <c r="V5342" s="1">
        <f t="shared" si="1122"/>
        <v>0</v>
      </c>
    </row>
    <row r="5343" spans="13:22" x14ac:dyDescent="0.25">
      <c r="M5343" s="4">
        <f t="shared" si="1115"/>
        <v>173.1</v>
      </c>
      <c r="N5343" s="4"/>
      <c r="O5343" s="1">
        <f t="shared" si="1116"/>
        <v>173.1</v>
      </c>
      <c r="P5343" s="1">
        <f t="shared" si="1117"/>
        <v>0</v>
      </c>
      <c r="Q5343" s="1" t="str">
        <f t="shared" si="1114"/>
        <v/>
      </c>
      <c r="R5343" s="1" t="str">
        <f t="shared" si="1118"/>
        <v/>
      </c>
      <c r="S5343" s="1">
        <f t="shared" si="1119"/>
        <v>630.90240000000244</v>
      </c>
      <c r="T5343" s="1">
        <f t="shared" si="1120"/>
        <v>0</v>
      </c>
      <c r="U5343" s="1">
        <f t="shared" si="1121"/>
        <v>0</v>
      </c>
      <c r="V5343" s="1">
        <f t="shared" si="1122"/>
        <v>0</v>
      </c>
    </row>
    <row r="5344" spans="13:22" x14ac:dyDescent="0.25">
      <c r="M5344" s="4">
        <f t="shared" si="1115"/>
        <v>173.1</v>
      </c>
      <c r="N5344" s="4"/>
      <c r="O5344" s="1">
        <f t="shared" si="1116"/>
        <v>173.1</v>
      </c>
      <c r="P5344" s="1">
        <f t="shared" si="1117"/>
        <v>0</v>
      </c>
      <c r="Q5344" s="1" t="str">
        <f t="shared" si="1114"/>
        <v/>
      </c>
      <c r="R5344" s="1" t="str">
        <f t="shared" si="1118"/>
        <v/>
      </c>
      <c r="S5344" s="1">
        <f t="shared" si="1119"/>
        <v>630.90240000000244</v>
      </c>
      <c r="T5344" s="1">
        <f t="shared" si="1120"/>
        <v>0</v>
      </c>
      <c r="U5344" s="1">
        <f t="shared" si="1121"/>
        <v>0</v>
      </c>
      <c r="V5344" s="1">
        <f t="shared" si="1122"/>
        <v>0</v>
      </c>
    </row>
    <row r="5345" spans="13:22" x14ac:dyDescent="0.25">
      <c r="M5345" s="4">
        <f t="shared" si="1115"/>
        <v>173.1</v>
      </c>
      <c r="N5345" s="4"/>
      <c r="O5345" s="1">
        <f t="shared" si="1116"/>
        <v>173.1</v>
      </c>
      <c r="P5345" s="1">
        <f t="shared" si="1117"/>
        <v>0</v>
      </c>
      <c r="Q5345" s="1" t="str">
        <f t="shared" si="1114"/>
        <v/>
      </c>
      <c r="R5345" s="1" t="str">
        <f t="shared" si="1118"/>
        <v/>
      </c>
      <c r="S5345" s="1">
        <f t="shared" si="1119"/>
        <v>630.90240000000244</v>
      </c>
      <c r="T5345" s="1">
        <f t="shared" si="1120"/>
        <v>0</v>
      </c>
      <c r="U5345" s="1">
        <f t="shared" si="1121"/>
        <v>0</v>
      </c>
      <c r="V5345" s="1">
        <f t="shared" si="1122"/>
        <v>0</v>
      </c>
    </row>
    <row r="5346" spans="13:22" x14ac:dyDescent="0.25">
      <c r="M5346" s="4">
        <f t="shared" si="1115"/>
        <v>173.1</v>
      </c>
      <c r="N5346" s="4"/>
      <c r="O5346" s="1">
        <f t="shared" si="1116"/>
        <v>173.1</v>
      </c>
      <c r="P5346" s="1">
        <f t="shared" si="1117"/>
        <v>0</v>
      </c>
      <c r="Q5346" s="1" t="str">
        <f t="shared" si="1114"/>
        <v/>
      </c>
      <c r="R5346" s="1" t="str">
        <f t="shared" si="1118"/>
        <v/>
      </c>
      <c r="S5346" s="1">
        <f t="shared" si="1119"/>
        <v>630.90240000000244</v>
      </c>
      <c r="T5346" s="1">
        <f t="shared" si="1120"/>
        <v>0</v>
      </c>
      <c r="U5346" s="1">
        <f t="shared" si="1121"/>
        <v>0</v>
      </c>
      <c r="V5346" s="1">
        <f t="shared" si="1122"/>
        <v>0</v>
      </c>
    </row>
    <row r="5347" spans="13:22" x14ac:dyDescent="0.25">
      <c r="M5347" s="4">
        <f t="shared" si="1115"/>
        <v>173.1</v>
      </c>
      <c r="N5347" s="4"/>
      <c r="O5347" s="1">
        <f t="shared" si="1116"/>
        <v>173.1</v>
      </c>
      <c r="P5347" s="1">
        <f t="shared" si="1117"/>
        <v>0</v>
      </c>
      <c r="Q5347" s="1" t="str">
        <f t="shared" si="1114"/>
        <v/>
      </c>
      <c r="R5347" s="1" t="str">
        <f t="shared" si="1118"/>
        <v/>
      </c>
      <c r="S5347" s="1">
        <f t="shared" si="1119"/>
        <v>630.90240000000244</v>
      </c>
      <c r="T5347" s="1">
        <f t="shared" si="1120"/>
        <v>0</v>
      </c>
      <c r="U5347" s="1">
        <f t="shared" si="1121"/>
        <v>0</v>
      </c>
      <c r="V5347" s="1">
        <f t="shared" si="1122"/>
        <v>0</v>
      </c>
    </row>
    <row r="5348" spans="13:22" x14ac:dyDescent="0.25">
      <c r="M5348" s="4">
        <f t="shared" si="1115"/>
        <v>173.1</v>
      </c>
      <c r="N5348" s="4"/>
      <c r="O5348" s="1">
        <f t="shared" si="1116"/>
        <v>173.1</v>
      </c>
      <c r="P5348" s="1">
        <f t="shared" si="1117"/>
        <v>0</v>
      </c>
      <c r="Q5348" s="1" t="str">
        <f t="shared" si="1114"/>
        <v/>
      </c>
      <c r="R5348" s="1" t="str">
        <f t="shared" si="1118"/>
        <v/>
      </c>
      <c r="S5348" s="1">
        <f t="shared" si="1119"/>
        <v>630.90240000000244</v>
      </c>
      <c r="T5348" s="1">
        <f t="shared" si="1120"/>
        <v>0</v>
      </c>
      <c r="U5348" s="1">
        <f t="shared" si="1121"/>
        <v>0</v>
      </c>
      <c r="V5348" s="1">
        <f t="shared" si="1122"/>
        <v>0</v>
      </c>
    </row>
    <row r="5349" spans="13:22" x14ac:dyDescent="0.25">
      <c r="M5349" s="4">
        <f t="shared" si="1115"/>
        <v>173.1</v>
      </c>
      <c r="N5349" s="4"/>
      <c r="O5349" s="1">
        <f t="shared" si="1116"/>
        <v>173.1</v>
      </c>
      <c r="P5349" s="1">
        <f t="shared" si="1117"/>
        <v>0</v>
      </c>
      <c r="Q5349" s="1" t="str">
        <f t="shared" si="1114"/>
        <v/>
      </c>
      <c r="R5349" s="1" t="str">
        <f t="shared" si="1118"/>
        <v/>
      </c>
      <c r="S5349" s="1">
        <f t="shared" si="1119"/>
        <v>630.90240000000244</v>
      </c>
      <c r="T5349" s="1">
        <f t="shared" si="1120"/>
        <v>0</v>
      </c>
      <c r="U5349" s="1">
        <f t="shared" si="1121"/>
        <v>0</v>
      </c>
      <c r="V5349" s="1">
        <f t="shared" si="1122"/>
        <v>0</v>
      </c>
    </row>
    <row r="5350" spans="13:22" x14ac:dyDescent="0.25">
      <c r="M5350" s="4">
        <f t="shared" si="1115"/>
        <v>173.1</v>
      </c>
      <c r="N5350" s="4"/>
      <c r="O5350" s="1">
        <f t="shared" si="1116"/>
        <v>173.1</v>
      </c>
      <c r="P5350" s="1">
        <f t="shared" si="1117"/>
        <v>0</v>
      </c>
      <c r="Q5350" s="1" t="str">
        <f t="shared" si="1114"/>
        <v/>
      </c>
      <c r="R5350" s="1" t="str">
        <f t="shared" si="1118"/>
        <v/>
      </c>
      <c r="S5350" s="1">
        <f t="shared" si="1119"/>
        <v>630.90240000000244</v>
      </c>
      <c r="T5350" s="1">
        <f t="shared" si="1120"/>
        <v>0</v>
      </c>
      <c r="U5350" s="1">
        <f t="shared" si="1121"/>
        <v>0</v>
      </c>
      <c r="V5350" s="1">
        <f t="shared" si="1122"/>
        <v>0</v>
      </c>
    </row>
    <row r="5351" spans="13:22" x14ac:dyDescent="0.25">
      <c r="M5351" s="4">
        <f t="shared" si="1115"/>
        <v>173.1</v>
      </c>
      <c r="N5351" s="4"/>
      <c r="O5351" s="1">
        <f t="shared" si="1116"/>
        <v>173.1</v>
      </c>
      <c r="P5351" s="1">
        <f t="shared" si="1117"/>
        <v>0</v>
      </c>
      <c r="Q5351" s="1" t="str">
        <f t="shared" si="1114"/>
        <v/>
      </c>
      <c r="R5351" s="1" t="str">
        <f t="shared" si="1118"/>
        <v/>
      </c>
      <c r="S5351" s="1">
        <f t="shared" si="1119"/>
        <v>630.90240000000244</v>
      </c>
      <c r="T5351" s="1">
        <f t="shared" si="1120"/>
        <v>0</v>
      </c>
      <c r="U5351" s="1">
        <f t="shared" si="1121"/>
        <v>0</v>
      </c>
      <c r="V5351" s="1">
        <f t="shared" si="1122"/>
        <v>0</v>
      </c>
    </row>
    <row r="5352" spans="13:22" x14ac:dyDescent="0.25">
      <c r="M5352" s="4">
        <f t="shared" si="1115"/>
        <v>173.1</v>
      </c>
      <c r="N5352" s="4"/>
      <c r="O5352" s="1">
        <f t="shared" si="1116"/>
        <v>173.1</v>
      </c>
      <c r="P5352" s="1">
        <f t="shared" si="1117"/>
        <v>0</v>
      </c>
      <c r="Q5352" s="1" t="str">
        <f t="shared" si="1114"/>
        <v/>
      </c>
      <c r="R5352" s="1" t="str">
        <f t="shared" si="1118"/>
        <v/>
      </c>
      <c r="S5352" s="1">
        <f t="shared" si="1119"/>
        <v>630.90240000000244</v>
      </c>
      <c r="T5352" s="1">
        <f t="shared" si="1120"/>
        <v>0</v>
      </c>
      <c r="U5352" s="1">
        <f t="shared" si="1121"/>
        <v>0</v>
      </c>
      <c r="V5352" s="1">
        <f t="shared" si="1122"/>
        <v>0</v>
      </c>
    </row>
    <row r="5353" spans="13:22" x14ac:dyDescent="0.25">
      <c r="M5353" s="4">
        <f t="shared" si="1115"/>
        <v>173.1</v>
      </c>
      <c r="N5353" s="4"/>
      <c r="O5353" s="1">
        <f t="shared" si="1116"/>
        <v>173.1</v>
      </c>
      <c r="P5353" s="1">
        <f t="shared" si="1117"/>
        <v>0</v>
      </c>
      <c r="Q5353" s="1" t="str">
        <f t="shared" si="1114"/>
        <v/>
      </c>
      <c r="R5353" s="1" t="str">
        <f t="shared" si="1118"/>
        <v/>
      </c>
      <c r="S5353" s="1">
        <f t="shared" si="1119"/>
        <v>630.90240000000244</v>
      </c>
      <c r="T5353" s="1">
        <f t="shared" si="1120"/>
        <v>0</v>
      </c>
      <c r="U5353" s="1">
        <f t="shared" si="1121"/>
        <v>0</v>
      </c>
      <c r="V5353" s="1">
        <f t="shared" si="1122"/>
        <v>0</v>
      </c>
    </row>
    <row r="5354" spans="13:22" x14ac:dyDescent="0.25">
      <c r="M5354" s="4">
        <f t="shared" si="1115"/>
        <v>173.1</v>
      </c>
      <c r="N5354" s="4"/>
      <c r="O5354" s="1">
        <f t="shared" si="1116"/>
        <v>173.1</v>
      </c>
      <c r="P5354" s="1">
        <f t="shared" si="1117"/>
        <v>0</v>
      </c>
      <c r="Q5354" s="1" t="str">
        <f t="shared" si="1114"/>
        <v/>
      </c>
      <c r="R5354" s="1" t="str">
        <f t="shared" si="1118"/>
        <v/>
      </c>
      <c r="S5354" s="1">
        <f t="shared" si="1119"/>
        <v>630.90240000000244</v>
      </c>
      <c r="T5354" s="1">
        <f t="shared" si="1120"/>
        <v>0</v>
      </c>
      <c r="U5354" s="1">
        <f t="shared" si="1121"/>
        <v>0</v>
      </c>
      <c r="V5354" s="1">
        <f t="shared" si="1122"/>
        <v>0</v>
      </c>
    </row>
    <row r="5355" spans="13:22" x14ac:dyDescent="0.25">
      <c r="M5355" s="4">
        <f t="shared" si="1115"/>
        <v>173.1</v>
      </c>
      <c r="N5355" s="4"/>
      <c r="O5355" s="1">
        <f t="shared" si="1116"/>
        <v>173.1</v>
      </c>
      <c r="P5355" s="1">
        <f t="shared" si="1117"/>
        <v>0</v>
      </c>
      <c r="Q5355" s="1" t="str">
        <f t="shared" si="1114"/>
        <v/>
      </c>
      <c r="R5355" s="1" t="str">
        <f t="shared" si="1118"/>
        <v/>
      </c>
      <c r="S5355" s="1">
        <f t="shared" si="1119"/>
        <v>630.90240000000244</v>
      </c>
      <c r="T5355" s="1">
        <f t="shared" si="1120"/>
        <v>0</v>
      </c>
      <c r="U5355" s="1">
        <f t="shared" si="1121"/>
        <v>0</v>
      </c>
      <c r="V5355" s="1">
        <f t="shared" si="1122"/>
        <v>0</v>
      </c>
    </row>
    <row r="5356" spans="13:22" x14ac:dyDescent="0.25">
      <c r="M5356" s="4">
        <f t="shared" si="1115"/>
        <v>173.1</v>
      </c>
      <c r="N5356" s="4"/>
      <c r="O5356" s="1">
        <f t="shared" si="1116"/>
        <v>173.1</v>
      </c>
      <c r="P5356" s="1">
        <f t="shared" si="1117"/>
        <v>0</v>
      </c>
      <c r="Q5356" s="1" t="str">
        <f t="shared" si="1114"/>
        <v/>
      </c>
      <c r="R5356" s="1" t="str">
        <f t="shared" si="1118"/>
        <v/>
      </c>
      <c r="S5356" s="1">
        <f t="shared" si="1119"/>
        <v>630.90240000000244</v>
      </c>
      <c r="T5356" s="1">
        <f t="shared" si="1120"/>
        <v>0</v>
      </c>
      <c r="U5356" s="1">
        <f t="shared" si="1121"/>
        <v>0</v>
      </c>
      <c r="V5356" s="1">
        <f t="shared" si="1122"/>
        <v>0</v>
      </c>
    </row>
    <row r="5357" spans="13:22" x14ac:dyDescent="0.25">
      <c r="M5357" s="4">
        <f t="shared" si="1115"/>
        <v>173.1</v>
      </c>
      <c r="N5357" s="4"/>
      <c r="O5357" s="1">
        <f t="shared" si="1116"/>
        <v>173.1</v>
      </c>
      <c r="P5357" s="1">
        <f t="shared" si="1117"/>
        <v>0</v>
      </c>
      <c r="Q5357" s="1" t="str">
        <f t="shared" si="1114"/>
        <v/>
      </c>
      <c r="R5357" s="1" t="str">
        <f t="shared" si="1118"/>
        <v/>
      </c>
      <c r="S5357" s="1">
        <f t="shared" si="1119"/>
        <v>630.90240000000244</v>
      </c>
      <c r="T5357" s="1">
        <f t="shared" si="1120"/>
        <v>0</v>
      </c>
      <c r="U5357" s="1">
        <f t="shared" si="1121"/>
        <v>0</v>
      </c>
      <c r="V5357" s="1">
        <f t="shared" si="1122"/>
        <v>0</v>
      </c>
    </row>
    <row r="5358" spans="13:22" x14ac:dyDescent="0.25">
      <c r="M5358" s="4">
        <f t="shared" si="1115"/>
        <v>173.1</v>
      </c>
      <c r="N5358" s="4"/>
      <c r="O5358" s="1">
        <f t="shared" si="1116"/>
        <v>173.1</v>
      </c>
      <c r="P5358" s="1">
        <f t="shared" si="1117"/>
        <v>0</v>
      </c>
      <c r="Q5358" s="1" t="str">
        <f t="shared" si="1114"/>
        <v/>
      </c>
      <c r="R5358" s="1" t="str">
        <f t="shared" si="1118"/>
        <v/>
      </c>
      <c r="S5358" s="1">
        <f t="shared" si="1119"/>
        <v>630.90240000000244</v>
      </c>
      <c r="T5358" s="1">
        <f t="shared" si="1120"/>
        <v>0</v>
      </c>
      <c r="U5358" s="1">
        <f t="shared" si="1121"/>
        <v>0</v>
      </c>
      <c r="V5358" s="1">
        <f t="shared" si="1122"/>
        <v>0</v>
      </c>
    </row>
    <row r="5359" spans="13:22" x14ac:dyDescent="0.25">
      <c r="M5359" s="4">
        <f t="shared" si="1115"/>
        <v>173.1</v>
      </c>
      <c r="N5359" s="4"/>
      <c r="O5359" s="1">
        <f t="shared" si="1116"/>
        <v>173.1</v>
      </c>
      <c r="P5359" s="1">
        <f t="shared" si="1117"/>
        <v>0</v>
      </c>
      <c r="Q5359" s="1" t="str">
        <f t="shared" si="1114"/>
        <v/>
      </c>
      <c r="R5359" s="1" t="str">
        <f t="shared" si="1118"/>
        <v/>
      </c>
      <c r="S5359" s="1">
        <f t="shared" si="1119"/>
        <v>630.90240000000244</v>
      </c>
      <c r="T5359" s="1">
        <f t="shared" si="1120"/>
        <v>0</v>
      </c>
      <c r="U5359" s="1">
        <f t="shared" si="1121"/>
        <v>0</v>
      </c>
      <c r="V5359" s="1">
        <f t="shared" si="1122"/>
        <v>0</v>
      </c>
    </row>
    <row r="5360" spans="13:22" x14ac:dyDescent="0.25">
      <c r="M5360" s="4">
        <f t="shared" si="1115"/>
        <v>173.1</v>
      </c>
      <c r="N5360" s="4"/>
      <c r="O5360" s="1">
        <f t="shared" si="1116"/>
        <v>173.1</v>
      </c>
      <c r="P5360" s="1">
        <f t="shared" si="1117"/>
        <v>0</v>
      </c>
      <c r="Q5360" s="1" t="str">
        <f t="shared" si="1114"/>
        <v/>
      </c>
      <c r="R5360" s="1" t="str">
        <f t="shared" si="1118"/>
        <v/>
      </c>
      <c r="S5360" s="1">
        <f t="shared" si="1119"/>
        <v>630.90240000000244</v>
      </c>
      <c r="T5360" s="1">
        <f t="shared" si="1120"/>
        <v>0</v>
      </c>
      <c r="U5360" s="1">
        <f t="shared" si="1121"/>
        <v>0</v>
      </c>
      <c r="V5360" s="1">
        <f t="shared" si="1122"/>
        <v>0</v>
      </c>
    </row>
    <row r="5361" spans="13:22" x14ac:dyDescent="0.25">
      <c r="M5361" s="4">
        <f t="shared" si="1115"/>
        <v>173.1</v>
      </c>
      <c r="N5361" s="4"/>
      <c r="O5361" s="1">
        <f t="shared" si="1116"/>
        <v>173.1</v>
      </c>
      <c r="P5361" s="1">
        <f t="shared" si="1117"/>
        <v>0</v>
      </c>
      <c r="Q5361" s="1" t="str">
        <f t="shared" si="1114"/>
        <v/>
      </c>
      <c r="R5361" s="1" t="str">
        <f t="shared" si="1118"/>
        <v/>
      </c>
      <c r="S5361" s="1">
        <f t="shared" si="1119"/>
        <v>630.90240000000244</v>
      </c>
      <c r="T5361" s="1">
        <f t="shared" si="1120"/>
        <v>0</v>
      </c>
      <c r="U5361" s="1">
        <f t="shared" si="1121"/>
        <v>0</v>
      </c>
      <c r="V5361" s="1">
        <f t="shared" si="1122"/>
        <v>0</v>
      </c>
    </row>
    <row r="5362" spans="13:22" x14ac:dyDescent="0.25">
      <c r="M5362" s="4">
        <f t="shared" si="1115"/>
        <v>173.1</v>
      </c>
      <c r="N5362" s="4"/>
      <c r="O5362" s="1">
        <f t="shared" si="1116"/>
        <v>173.1</v>
      </c>
      <c r="P5362" s="1">
        <f t="shared" si="1117"/>
        <v>0</v>
      </c>
      <c r="Q5362" s="1" t="str">
        <f t="shared" ref="Q5362:Q5425" si="1123">IF(H5362&lt;&gt;"",IF(H5362=H5361,"",H5362),IF(H5360="","",MAX(H5361,Q5361)))</f>
        <v/>
      </c>
      <c r="R5362" s="1" t="str">
        <f t="shared" si="1118"/>
        <v/>
      </c>
      <c r="S5362" s="1">
        <f t="shared" si="1119"/>
        <v>630.90240000000244</v>
      </c>
      <c r="T5362" s="1">
        <f t="shared" si="1120"/>
        <v>0</v>
      </c>
      <c r="U5362" s="1">
        <f t="shared" si="1121"/>
        <v>0</v>
      </c>
      <c r="V5362" s="1">
        <f t="shared" si="1122"/>
        <v>0</v>
      </c>
    </row>
    <row r="5363" spans="13:22" x14ac:dyDescent="0.25">
      <c r="M5363" s="4">
        <f t="shared" si="1115"/>
        <v>173.1</v>
      </c>
      <c r="N5363" s="4"/>
      <c r="O5363" s="1">
        <f t="shared" si="1116"/>
        <v>173.1</v>
      </c>
      <c r="P5363" s="1">
        <f t="shared" si="1117"/>
        <v>0</v>
      </c>
      <c r="Q5363" s="1" t="str">
        <f t="shared" si="1123"/>
        <v/>
      </c>
      <c r="R5363" s="1" t="str">
        <f t="shared" si="1118"/>
        <v/>
      </c>
      <c r="S5363" s="1">
        <f t="shared" si="1119"/>
        <v>630.90240000000244</v>
      </c>
      <c r="T5363" s="1">
        <f t="shared" si="1120"/>
        <v>0</v>
      </c>
      <c r="U5363" s="1">
        <f t="shared" si="1121"/>
        <v>0</v>
      </c>
      <c r="V5363" s="1">
        <f t="shared" si="1122"/>
        <v>0</v>
      </c>
    </row>
    <row r="5364" spans="13:22" x14ac:dyDescent="0.25">
      <c r="M5364" s="4">
        <f t="shared" si="1115"/>
        <v>173.1</v>
      </c>
      <c r="N5364" s="4"/>
      <c r="O5364" s="1">
        <f t="shared" si="1116"/>
        <v>173.1</v>
      </c>
      <c r="P5364" s="1">
        <f t="shared" si="1117"/>
        <v>0</v>
      </c>
      <c r="Q5364" s="1" t="str">
        <f t="shared" si="1123"/>
        <v/>
      </c>
      <c r="R5364" s="1" t="str">
        <f t="shared" si="1118"/>
        <v/>
      </c>
      <c r="S5364" s="1">
        <f t="shared" si="1119"/>
        <v>630.90240000000244</v>
      </c>
      <c r="T5364" s="1">
        <f t="shared" si="1120"/>
        <v>0</v>
      </c>
      <c r="U5364" s="1">
        <f t="shared" si="1121"/>
        <v>0</v>
      </c>
      <c r="V5364" s="1">
        <f t="shared" si="1122"/>
        <v>0</v>
      </c>
    </row>
    <row r="5365" spans="13:22" x14ac:dyDescent="0.25">
      <c r="M5365" s="4">
        <f t="shared" si="1115"/>
        <v>173.1</v>
      </c>
      <c r="N5365" s="4"/>
      <c r="O5365" s="1">
        <f t="shared" si="1116"/>
        <v>173.1</v>
      </c>
      <c r="P5365" s="1">
        <f t="shared" si="1117"/>
        <v>0</v>
      </c>
      <c r="Q5365" s="1" t="str">
        <f t="shared" si="1123"/>
        <v/>
      </c>
      <c r="R5365" s="1" t="str">
        <f t="shared" si="1118"/>
        <v/>
      </c>
      <c r="S5365" s="1">
        <f t="shared" si="1119"/>
        <v>630.90240000000244</v>
      </c>
      <c r="T5365" s="1">
        <f t="shared" si="1120"/>
        <v>0</v>
      </c>
      <c r="U5365" s="1">
        <f t="shared" si="1121"/>
        <v>0</v>
      </c>
      <c r="V5365" s="1">
        <f t="shared" si="1122"/>
        <v>0</v>
      </c>
    </row>
    <row r="5366" spans="13:22" x14ac:dyDescent="0.25">
      <c r="M5366" s="4">
        <f t="shared" si="1115"/>
        <v>173.1</v>
      </c>
      <c r="N5366" s="4"/>
      <c r="O5366" s="1">
        <f t="shared" si="1116"/>
        <v>173.1</v>
      </c>
      <c r="P5366" s="1">
        <f t="shared" si="1117"/>
        <v>0</v>
      </c>
      <c r="Q5366" s="1" t="str">
        <f t="shared" si="1123"/>
        <v/>
      </c>
      <c r="R5366" s="1" t="str">
        <f t="shared" si="1118"/>
        <v/>
      </c>
      <c r="S5366" s="1">
        <f t="shared" si="1119"/>
        <v>630.90240000000244</v>
      </c>
      <c r="T5366" s="1">
        <f t="shared" si="1120"/>
        <v>0</v>
      </c>
      <c r="U5366" s="1">
        <f t="shared" si="1121"/>
        <v>0</v>
      </c>
      <c r="V5366" s="1">
        <f t="shared" si="1122"/>
        <v>0</v>
      </c>
    </row>
    <row r="5367" spans="13:22" x14ac:dyDescent="0.25">
      <c r="M5367" s="4">
        <f t="shared" si="1115"/>
        <v>173.1</v>
      </c>
      <c r="N5367" s="4"/>
      <c r="O5367" s="1">
        <f t="shared" si="1116"/>
        <v>173.1</v>
      </c>
      <c r="P5367" s="1">
        <f t="shared" si="1117"/>
        <v>0</v>
      </c>
      <c r="Q5367" s="1" t="str">
        <f t="shared" si="1123"/>
        <v/>
      </c>
      <c r="R5367" s="1" t="str">
        <f t="shared" si="1118"/>
        <v/>
      </c>
      <c r="S5367" s="1">
        <f t="shared" si="1119"/>
        <v>630.90240000000244</v>
      </c>
      <c r="T5367" s="1">
        <f t="shared" si="1120"/>
        <v>0</v>
      </c>
      <c r="U5367" s="1">
        <f t="shared" si="1121"/>
        <v>0</v>
      </c>
      <c r="V5367" s="1">
        <f t="shared" si="1122"/>
        <v>0</v>
      </c>
    </row>
    <row r="5368" spans="13:22" x14ac:dyDescent="0.25">
      <c r="M5368" s="4">
        <f t="shared" si="1115"/>
        <v>173.1</v>
      </c>
      <c r="N5368" s="4"/>
      <c r="O5368" s="1">
        <f t="shared" si="1116"/>
        <v>173.1</v>
      </c>
      <c r="P5368" s="1">
        <f t="shared" si="1117"/>
        <v>0</v>
      </c>
      <c r="Q5368" s="1" t="str">
        <f t="shared" si="1123"/>
        <v/>
      </c>
      <c r="R5368" s="1" t="str">
        <f t="shared" si="1118"/>
        <v/>
      </c>
      <c r="S5368" s="1">
        <f t="shared" si="1119"/>
        <v>630.90240000000244</v>
      </c>
      <c r="T5368" s="1">
        <f t="shared" si="1120"/>
        <v>0</v>
      </c>
      <c r="U5368" s="1">
        <f t="shared" si="1121"/>
        <v>0</v>
      </c>
      <c r="V5368" s="1">
        <f t="shared" si="1122"/>
        <v>0</v>
      </c>
    </row>
    <row r="5369" spans="13:22" x14ac:dyDescent="0.25">
      <c r="M5369" s="4">
        <f t="shared" si="1115"/>
        <v>173.1</v>
      </c>
      <c r="N5369" s="4"/>
      <c r="O5369" s="1">
        <f t="shared" si="1116"/>
        <v>173.1</v>
      </c>
      <c r="P5369" s="1">
        <f t="shared" si="1117"/>
        <v>0</v>
      </c>
      <c r="Q5369" s="1" t="str">
        <f t="shared" si="1123"/>
        <v/>
      </c>
      <c r="R5369" s="1" t="str">
        <f t="shared" si="1118"/>
        <v/>
      </c>
      <c r="S5369" s="1">
        <f t="shared" si="1119"/>
        <v>630.90240000000244</v>
      </c>
      <c r="T5369" s="1">
        <f t="shared" si="1120"/>
        <v>0</v>
      </c>
      <c r="U5369" s="1">
        <f t="shared" si="1121"/>
        <v>0</v>
      </c>
      <c r="V5369" s="1">
        <f t="shared" si="1122"/>
        <v>0</v>
      </c>
    </row>
    <row r="5370" spans="13:22" x14ac:dyDescent="0.25">
      <c r="M5370" s="4">
        <f t="shared" si="1115"/>
        <v>173.1</v>
      </c>
      <c r="N5370" s="4"/>
      <c r="O5370" s="1">
        <f t="shared" si="1116"/>
        <v>173.1</v>
      </c>
      <c r="P5370" s="1">
        <f t="shared" si="1117"/>
        <v>0</v>
      </c>
      <c r="Q5370" s="1" t="str">
        <f t="shared" si="1123"/>
        <v/>
      </c>
      <c r="R5370" s="1" t="str">
        <f t="shared" si="1118"/>
        <v/>
      </c>
      <c r="S5370" s="1">
        <f t="shared" si="1119"/>
        <v>630.90240000000244</v>
      </c>
      <c r="T5370" s="1">
        <f t="shared" si="1120"/>
        <v>0</v>
      </c>
      <c r="U5370" s="1">
        <f t="shared" si="1121"/>
        <v>0</v>
      </c>
      <c r="V5370" s="1">
        <f t="shared" si="1122"/>
        <v>0</v>
      </c>
    </row>
    <row r="5371" spans="13:22" x14ac:dyDescent="0.25">
      <c r="M5371" s="4">
        <f t="shared" si="1115"/>
        <v>173.1</v>
      </c>
      <c r="N5371" s="4"/>
      <c r="O5371" s="1">
        <f t="shared" si="1116"/>
        <v>173.1</v>
      </c>
      <c r="P5371" s="1">
        <f t="shared" si="1117"/>
        <v>0</v>
      </c>
      <c r="Q5371" s="1" t="str">
        <f t="shared" si="1123"/>
        <v/>
      </c>
      <c r="R5371" s="1" t="str">
        <f t="shared" si="1118"/>
        <v/>
      </c>
      <c r="S5371" s="1">
        <f t="shared" si="1119"/>
        <v>630.90240000000244</v>
      </c>
      <c r="T5371" s="1">
        <f t="shared" si="1120"/>
        <v>0</v>
      </c>
      <c r="U5371" s="1">
        <f t="shared" si="1121"/>
        <v>0</v>
      </c>
      <c r="V5371" s="1">
        <f t="shared" si="1122"/>
        <v>0</v>
      </c>
    </row>
    <row r="5372" spans="13:22" x14ac:dyDescent="0.25">
      <c r="M5372" s="4">
        <f t="shared" si="1115"/>
        <v>173.1</v>
      </c>
      <c r="N5372" s="4"/>
      <c r="O5372" s="1">
        <f t="shared" si="1116"/>
        <v>173.1</v>
      </c>
      <c r="P5372" s="1">
        <f t="shared" si="1117"/>
        <v>0</v>
      </c>
      <c r="Q5372" s="1" t="str">
        <f t="shared" si="1123"/>
        <v/>
      </c>
      <c r="R5372" s="1" t="str">
        <f t="shared" si="1118"/>
        <v/>
      </c>
      <c r="S5372" s="1">
        <f t="shared" si="1119"/>
        <v>630.90240000000244</v>
      </c>
      <c r="T5372" s="1">
        <f t="shared" si="1120"/>
        <v>0</v>
      </c>
      <c r="U5372" s="1">
        <f t="shared" si="1121"/>
        <v>0</v>
      </c>
      <c r="V5372" s="1">
        <f t="shared" si="1122"/>
        <v>0</v>
      </c>
    </row>
    <row r="5373" spans="13:22" x14ac:dyDescent="0.25">
      <c r="M5373" s="4">
        <f t="shared" si="1115"/>
        <v>173.1</v>
      </c>
      <c r="N5373" s="4"/>
      <c r="O5373" s="1">
        <f t="shared" si="1116"/>
        <v>173.1</v>
      </c>
      <c r="P5373" s="1">
        <f t="shared" si="1117"/>
        <v>0</v>
      </c>
      <c r="Q5373" s="1" t="str">
        <f t="shared" si="1123"/>
        <v/>
      </c>
      <c r="R5373" s="1" t="str">
        <f t="shared" si="1118"/>
        <v/>
      </c>
      <c r="S5373" s="1">
        <f t="shared" si="1119"/>
        <v>630.90240000000244</v>
      </c>
      <c r="T5373" s="1">
        <f t="shared" si="1120"/>
        <v>0</v>
      </c>
      <c r="U5373" s="1">
        <f t="shared" si="1121"/>
        <v>0</v>
      </c>
      <c r="V5373" s="1">
        <f t="shared" si="1122"/>
        <v>0</v>
      </c>
    </row>
    <row r="5374" spans="13:22" x14ac:dyDescent="0.25">
      <c r="M5374" s="4">
        <f t="shared" si="1115"/>
        <v>173.1</v>
      </c>
      <c r="N5374" s="4"/>
      <c r="O5374" s="1">
        <f t="shared" si="1116"/>
        <v>173.1</v>
      </c>
      <c r="P5374" s="1">
        <f t="shared" si="1117"/>
        <v>0</v>
      </c>
      <c r="Q5374" s="1" t="str">
        <f t="shared" si="1123"/>
        <v/>
      </c>
      <c r="R5374" s="1" t="str">
        <f t="shared" si="1118"/>
        <v/>
      </c>
      <c r="S5374" s="1">
        <f t="shared" si="1119"/>
        <v>630.90240000000244</v>
      </c>
      <c r="T5374" s="1">
        <f t="shared" si="1120"/>
        <v>0</v>
      </c>
      <c r="U5374" s="1">
        <f t="shared" si="1121"/>
        <v>0</v>
      </c>
      <c r="V5374" s="1">
        <f t="shared" si="1122"/>
        <v>0</v>
      </c>
    </row>
    <row r="5375" spans="13:22" x14ac:dyDescent="0.25">
      <c r="M5375" s="4">
        <f t="shared" si="1115"/>
        <v>173.1</v>
      </c>
      <c r="N5375" s="4"/>
      <c r="O5375" s="1">
        <f t="shared" si="1116"/>
        <v>173.1</v>
      </c>
      <c r="P5375" s="1">
        <f t="shared" si="1117"/>
        <v>0</v>
      </c>
      <c r="Q5375" s="1" t="str">
        <f t="shared" si="1123"/>
        <v/>
      </c>
      <c r="R5375" s="1" t="str">
        <f t="shared" si="1118"/>
        <v/>
      </c>
      <c r="S5375" s="1">
        <f t="shared" si="1119"/>
        <v>630.90240000000244</v>
      </c>
      <c r="T5375" s="1">
        <f t="shared" si="1120"/>
        <v>0</v>
      </c>
      <c r="U5375" s="1">
        <f t="shared" si="1121"/>
        <v>0</v>
      </c>
      <c r="V5375" s="1">
        <f t="shared" si="1122"/>
        <v>0</v>
      </c>
    </row>
    <row r="5376" spans="13:22" x14ac:dyDescent="0.25">
      <c r="M5376" s="4">
        <f t="shared" si="1115"/>
        <v>173.1</v>
      </c>
      <c r="N5376" s="4"/>
      <c r="O5376" s="1">
        <f t="shared" si="1116"/>
        <v>173.1</v>
      </c>
      <c r="P5376" s="1">
        <f t="shared" si="1117"/>
        <v>0</v>
      </c>
      <c r="Q5376" s="1" t="str">
        <f t="shared" si="1123"/>
        <v/>
      </c>
      <c r="R5376" s="1" t="str">
        <f t="shared" si="1118"/>
        <v/>
      </c>
      <c r="S5376" s="1">
        <f t="shared" si="1119"/>
        <v>630.90240000000244</v>
      </c>
      <c r="T5376" s="1">
        <f t="shared" si="1120"/>
        <v>0</v>
      </c>
      <c r="U5376" s="1">
        <f t="shared" si="1121"/>
        <v>0</v>
      </c>
      <c r="V5376" s="1">
        <f t="shared" si="1122"/>
        <v>0</v>
      </c>
    </row>
    <row r="5377" spans="13:22" x14ac:dyDescent="0.25">
      <c r="M5377" s="4">
        <f t="shared" si="1115"/>
        <v>173.1</v>
      </c>
      <c r="N5377" s="4"/>
      <c r="O5377" s="1">
        <f t="shared" si="1116"/>
        <v>173.1</v>
      </c>
      <c r="P5377" s="1">
        <f t="shared" si="1117"/>
        <v>0</v>
      </c>
      <c r="Q5377" s="1" t="str">
        <f t="shared" si="1123"/>
        <v/>
      </c>
      <c r="R5377" s="1" t="str">
        <f t="shared" si="1118"/>
        <v/>
      </c>
      <c r="S5377" s="1">
        <f t="shared" si="1119"/>
        <v>630.90240000000244</v>
      </c>
      <c r="T5377" s="1">
        <f t="shared" si="1120"/>
        <v>0</v>
      </c>
      <c r="U5377" s="1">
        <f t="shared" si="1121"/>
        <v>0</v>
      </c>
      <c r="V5377" s="1">
        <f t="shared" si="1122"/>
        <v>0</v>
      </c>
    </row>
    <row r="5378" spans="13:22" x14ac:dyDescent="0.25">
      <c r="M5378" s="4">
        <f t="shared" si="1115"/>
        <v>173.1</v>
      </c>
      <c r="N5378" s="4"/>
      <c r="O5378" s="1">
        <f t="shared" si="1116"/>
        <v>173.1</v>
      </c>
      <c r="P5378" s="1">
        <f t="shared" si="1117"/>
        <v>0</v>
      </c>
      <c r="Q5378" s="1" t="str">
        <f t="shared" si="1123"/>
        <v/>
      </c>
      <c r="R5378" s="1" t="str">
        <f t="shared" si="1118"/>
        <v/>
      </c>
      <c r="S5378" s="1">
        <f t="shared" si="1119"/>
        <v>630.90240000000244</v>
      </c>
      <c r="T5378" s="1">
        <f t="shared" si="1120"/>
        <v>0</v>
      </c>
      <c r="U5378" s="1">
        <f t="shared" si="1121"/>
        <v>0</v>
      </c>
      <c r="V5378" s="1">
        <f t="shared" si="1122"/>
        <v>0</v>
      </c>
    </row>
    <row r="5379" spans="13:22" x14ac:dyDescent="0.25">
      <c r="M5379" s="4">
        <f t="shared" si="1115"/>
        <v>173.1</v>
      </c>
      <c r="N5379" s="4"/>
      <c r="O5379" s="1">
        <f t="shared" si="1116"/>
        <v>173.1</v>
      </c>
      <c r="P5379" s="1">
        <f t="shared" si="1117"/>
        <v>0</v>
      </c>
      <c r="Q5379" s="1" t="str">
        <f t="shared" si="1123"/>
        <v/>
      </c>
      <c r="R5379" s="1" t="str">
        <f t="shared" si="1118"/>
        <v/>
      </c>
      <c r="S5379" s="1">
        <f t="shared" si="1119"/>
        <v>630.90240000000244</v>
      </c>
      <c r="T5379" s="1">
        <f t="shared" si="1120"/>
        <v>0</v>
      </c>
      <c r="U5379" s="1">
        <f t="shared" si="1121"/>
        <v>0</v>
      </c>
      <c r="V5379" s="1">
        <f t="shared" si="1122"/>
        <v>0</v>
      </c>
    </row>
    <row r="5380" spans="13:22" x14ac:dyDescent="0.25">
      <c r="M5380" s="4">
        <f t="shared" si="1115"/>
        <v>173.1</v>
      </c>
      <c r="N5380" s="4"/>
      <c r="O5380" s="1">
        <f t="shared" si="1116"/>
        <v>173.1</v>
      </c>
      <c r="P5380" s="1">
        <f t="shared" si="1117"/>
        <v>0</v>
      </c>
      <c r="Q5380" s="1" t="str">
        <f t="shared" si="1123"/>
        <v/>
      </c>
      <c r="R5380" s="1" t="str">
        <f t="shared" si="1118"/>
        <v/>
      </c>
      <c r="S5380" s="1">
        <f t="shared" si="1119"/>
        <v>630.90240000000244</v>
      </c>
      <c r="T5380" s="1">
        <f t="shared" si="1120"/>
        <v>0</v>
      </c>
      <c r="U5380" s="1">
        <f t="shared" si="1121"/>
        <v>0</v>
      </c>
      <c r="V5380" s="1">
        <f t="shared" si="1122"/>
        <v>0</v>
      </c>
    </row>
    <row r="5381" spans="13:22" x14ac:dyDescent="0.25">
      <c r="M5381" s="4">
        <f t="shared" si="1115"/>
        <v>173.1</v>
      </c>
      <c r="N5381" s="4"/>
      <c r="O5381" s="1">
        <f t="shared" si="1116"/>
        <v>173.1</v>
      </c>
      <c r="P5381" s="1">
        <f t="shared" si="1117"/>
        <v>0</v>
      </c>
      <c r="Q5381" s="1" t="str">
        <f t="shared" si="1123"/>
        <v/>
      </c>
      <c r="R5381" s="1" t="str">
        <f t="shared" si="1118"/>
        <v/>
      </c>
      <c r="S5381" s="1">
        <f t="shared" si="1119"/>
        <v>630.90240000000244</v>
      </c>
      <c r="T5381" s="1">
        <f t="shared" si="1120"/>
        <v>0</v>
      </c>
      <c r="U5381" s="1">
        <f t="shared" si="1121"/>
        <v>0</v>
      </c>
      <c r="V5381" s="1">
        <f t="shared" si="1122"/>
        <v>0</v>
      </c>
    </row>
    <row r="5382" spans="13:22" x14ac:dyDescent="0.25">
      <c r="M5382" s="4">
        <f t="shared" si="1115"/>
        <v>173.1</v>
      </c>
      <c r="N5382" s="4"/>
      <c r="O5382" s="1">
        <f t="shared" si="1116"/>
        <v>173.1</v>
      </c>
      <c r="P5382" s="1">
        <f t="shared" si="1117"/>
        <v>0</v>
      </c>
      <c r="Q5382" s="1" t="str">
        <f t="shared" si="1123"/>
        <v/>
      </c>
      <c r="R5382" s="1" t="str">
        <f t="shared" si="1118"/>
        <v/>
      </c>
      <c r="S5382" s="1">
        <f t="shared" si="1119"/>
        <v>630.90240000000244</v>
      </c>
      <c r="T5382" s="1">
        <f t="shared" si="1120"/>
        <v>0</v>
      </c>
      <c r="U5382" s="1">
        <f t="shared" si="1121"/>
        <v>0</v>
      </c>
      <c r="V5382" s="1">
        <f t="shared" si="1122"/>
        <v>0</v>
      </c>
    </row>
    <row r="5383" spans="13:22" x14ac:dyDescent="0.25">
      <c r="M5383" s="4">
        <f t="shared" si="1115"/>
        <v>173.1</v>
      </c>
      <c r="N5383" s="4"/>
      <c r="O5383" s="1">
        <f t="shared" si="1116"/>
        <v>173.1</v>
      </c>
      <c r="P5383" s="1">
        <f t="shared" si="1117"/>
        <v>0</v>
      </c>
      <c r="Q5383" s="1" t="str">
        <f t="shared" si="1123"/>
        <v/>
      </c>
      <c r="R5383" s="1" t="str">
        <f t="shared" si="1118"/>
        <v/>
      </c>
      <c r="S5383" s="1">
        <f t="shared" si="1119"/>
        <v>630.90240000000244</v>
      </c>
      <c r="T5383" s="1">
        <f t="shared" si="1120"/>
        <v>0</v>
      </c>
      <c r="U5383" s="1">
        <f t="shared" si="1121"/>
        <v>0</v>
      </c>
      <c r="V5383" s="1">
        <f t="shared" si="1122"/>
        <v>0</v>
      </c>
    </row>
    <row r="5384" spans="13:22" x14ac:dyDescent="0.25">
      <c r="M5384" s="4">
        <f t="shared" ref="M5384:M5447" si="1124">E5384+M5383</f>
        <v>173.1</v>
      </c>
      <c r="N5384" s="4"/>
      <c r="O5384" s="1">
        <f t="shared" ref="O5384:O5447" si="1125">E5383+O5383</f>
        <v>173.1</v>
      </c>
      <c r="P5384" s="1">
        <f t="shared" ref="P5384:P5447" si="1126">F5384*52.8*E5384</f>
        <v>0</v>
      </c>
      <c r="Q5384" s="1" t="str">
        <f t="shared" si="1123"/>
        <v/>
      </c>
      <c r="R5384" s="1" t="str">
        <f t="shared" ref="R5384:R5447" si="1127">IF(I5384="",Q5384,IF(AND(H5384=H5383,I5384=I5383),"",I5384))</f>
        <v/>
      </c>
      <c r="S5384" s="1">
        <f t="shared" ref="S5384:S5447" si="1128">S5383+U5383*T5383/100</f>
        <v>630.90240000000244</v>
      </c>
      <c r="T5384" s="1">
        <f t="shared" ref="T5384:T5447" si="1129">IF(G5384="UNK",0,G5384)</f>
        <v>0</v>
      </c>
      <c r="U5384" s="1">
        <f t="shared" ref="U5384:U5447" si="1130">E5384*5280</f>
        <v>0</v>
      </c>
      <c r="V5384" s="1">
        <f t="shared" ref="V5384:V5447" si="1131">ABS(T5384*U5384)</f>
        <v>0</v>
      </c>
    </row>
    <row r="5385" spans="13:22" x14ac:dyDescent="0.25">
      <c r="M5385" s="4">
        <f t="shared" si="1124"/>
        <v>173.1</v>
      </c>
      <c r="N5385" s="4"/>
      <c r="O5385" s="1">
        <f t="shared" si="1125"/>
        <v>173.1</v>
      </c>
      <c r="P5385" s="1">
        <f t="shared" si="1126"/>
        <v>0</v>
      </c>
      <c r="Q5385" s="1" t="str">
        <f t="shared" si="1123"/>
        <v/>
      </c>
      <c r="R5385" s="1" t="str">
        <f t="shared" si="1127"/>
        <v/>
      </c>
      <c r="S5385" s="1">
        <f t="shared" si="1128"/>
        <v>630.90240000000244</v>
      </c>
      <c r="T5385" s="1">
        <f t="shared" si="1129"/>
        <v>0</v>
      </c>
      <c r="U5385" s="1">
        <f t="shared" si="1130"/>
        <v>0</v>
      </c>
      <c r="V5385" s="1">
        <f t="shared" si="1131"/>
        <v>0</v>
      </c>
    </row>
    <row r="5386" spans="13:22" x14ac:dyDescent="0.25">
      <c r="M5386" s="4">
        <f t="shared" si="1124"/>
        <v>173.1</v>
      </c>
      <c r="N5386" s="4"/>
      <c r="O5386" s="1">
        <f t="shared" si="1125"/>
        <v>173.1</v>
      </c>
      <c r="P5386" s="1">
        <f t="shared" si="1126"/>
        <v>0</v>
      </c>
      <c r="Q5386" s="1" t="str">
        <f t="shared" si="1123"/>
        <v/>
      </c>
      <c r="R5386" s="1" t="str">
        <f t="shared" si="1127"/>
        <v/>
      </c>
      <c r="S5386" s="1">
        <f t="shared" si="1128"/>
        <v>630.90240000000244</v>
      </c>
      <c r="T5386" s="1">
        <f t="shared" si="1129"/>
        <v>0</v>
      </c>
      <c r="U5386" s="1">
        <f t="shared" si="1130"/>
        <v>0</v>
      </c>
      <c r="V5386" s="1">
        <f t="shared" si="1131"/>
        <v>0</v>
      </c>
    </row>
    <row r="5387" spans="13:22" x14ac:dyDescent="0.25">
      <c r="M5387" s="4">
        <f t="shared" si="1124"/>
        <v>173.1</v>
      </c>
      <c r="N5387" s="4"/>
      <c r="O5387" s="1">
        <f t="shared" si="1125"/>
        <v>173.1</v>
      </c>
      <c r="P5387" s="1">
        <f t="shared" si="1126"/>
        <v>0</v>
      </c>
      <c r="Q5387" s="1" t="str">
        <f t="shared" si="1123"/>
        <v/>
      </c>
      <c r="R5387" s="1" t="str">
        <f t="shared" si="1127"/>
        <v/>
      </c>
      <c r="S5387" s="1">
        <f t="shared" si="1128"/>
        <v>630.90240000000244</v>
      </c>
      <c r="T5387" s="1">
        <f t="shared" si="1129"/>
        <v>0</v>
      </c>
      <c r="U5387" s="1">
        <f t="shared" si="1130"/>
        <v>0</v>
      </c>
      <c r="V5387" s="1">
        <f t="shared" si="1131"/>
        <v>0</v>
      </c>
    </row>
    <row r="5388" spans="13:22" x14ac:dyDescent="0.25">
      <c r="M5388" s="4">
        <f t="shared" si="1124"/>
        <v>173.1</v>
      </c>
      <c r="N5388" s="4"/>
      <c r="O5388" s="1">
        <f t="shared" si="1125"/>
        <v>173.1</v>
      </c>
      <c r="P5388" s="1">
        <f t="shared" si="1126"/>
        <v>0</v>
      </c>
      <c r="Q5388" s="1" t="str">
        <f t="shared" si="1123"/>
        <v/>
      </c>
      <c r="R5388" s="1" t="str">
        <f t="shared" si="1127"/>
        <v/>
      </c>
      <c r="S5388" s="1">
        <f t="shared" si="1128"/>
        <v>630.90240000000244</v>
      </c>
      <c r="T5388" s="1">
        <f t="shared" si="1129"/>
        <v>0</v>
      </c>
      <c r="U5388" s="1">
        <f t="shared" si="1130"/>
        <v>0</v>
      </c>
      <c r="V5388" s="1">
        <f t="shared" si="1131"/>
        <v>0</v>
      </c>
    </row>
    <row r="5389" spans="13:22" x14ac:dyDescent="0.25">
      <c r="M5389" s="4">
        <f t="shared" si="1124"/>
        <v>173.1</v>
      </c>
      <c r="N5389" s="4"/>
      <c r="O5389" s="1">
        <f t="shared" si="1125"/>
        <v>173.1</v>
      </c>
      <c r="P5389" s="1">
        <f t="shared" si="1126"/>
        <v>0</v>
      </c>
      <c r="Q5389" s="1" t="str">
        <f t="shared" si="1123"/>
        <v/>
      </c>
      <c r="R5389" s="1" t="str">
        <f t="shared" si="1127"/>
        <v/>
      </c>
      <c r="S5389" s="1">
        <f t="shared" si="1128"/>
        <v>630.90240000000244</v>
      </c>
      <c r="T5389" s="1">
        <f t="shared" si="1129"/>
        <v>0</v>
      </c>
      <c r="U5389" s="1">
        <f t="shared" si="1130"/>
        <v>0</v>
      </c>
      <c r="V5389" s="1">
        <f t="shared" si="1131"/>
        <v>0</v>
      </c>
    </row>
    <row r="5390" spans="13:22" x14ac:dyDescent="0.25">
      <c r="M5390" s="4">
        <f t="shared" si="1124"/>
        <v>173.1</v>
      </c>
      <c r="N5390" s="4"/>
      <c r="O5390" s="1">
        <f t="shared" si="1125"/>
        <v>173.1</v>
      </c>
      <c r="P5390" s="1">
        <f t="shared" si="1126"/>
        <v>0</v>
      </c>
      <c r="Q5390" s="1" t="str">
        <f t="shared" si="1123"/>
        <v/>
      </c>
      <c r="R5390" s="1" t="str">
        <f t="shared" si="1127"/>
        <v/>
      </c>
      <c r="S5390" s="1">
        <f t="shared" si="1128"/>
        <v>630.90240000000244</v>
      </c>
      <c r="T5390" s="1">
        <f t="shared" si="1129"/>
        <v>0</v>
      </c>
      <c r="U5390" s="1">
        <f t="shared" si="1130"/>
        <v>0</v>
      </c>
      <c r="V5390" s="1">
        <f t="shared" si="1131"/>
        <v>0</v>
      </c>
    </row>
    <row r="5391" spans="13:22" x14ac:dyDescent="0.25">
      <c r="M5391" s="4">
        <f t="shared" si="1124"/>
        <v>173.1</v>
      </c>
      <c r="N5391" s="4"/>
      <c r="O5391" s="1">
        <f t="shared" si="1125"/>
        <v>173.1</v>
      </c>
      <c r="P5391" s="1">
        <f t="shared" si="1126"/>
        <v>0</v>
      </c>
      <c r="Q5391" s="1" t="str">
        <f t="shared" si="1123"/>
        <v/>
      </c>
      <c r="R5391" s="1" t="str">
        <f t="shared" si="1127"/>
        <v/>
      </c>
      <c r="S5391" s="1">
        <f t="shared" si="1128"/>
        <v>630.90240000000244</v>
      </c>
      <c r="T5391" s="1">
        <f t="shared" si="1129"/>
        <v>0</v>
      </c>
      <c r="U5391" s="1">
        <f t="shared" si="1130"/>
        <v>0</v>
      </c>
      <c r="V5391" s="1">
        <f t="shared" si="1131"/>
        <v>0</v>
      </c>
    </row>
    <row r="5392" spans="13:22" x14ac:dyDescent="0.25">
      <c r="M5392" s="4">
        <f t="shared" si="1124"/>
        <v>173.1</v>
      </c>
      <c r="N5392" s="4"/>
      <c r="O5392" s="1">
        <f t="shared" si="1125"/>
        <v>173.1</v>
      </c>
      <c r="P5392" s="1">
        <f t="shared" si="1126"/>
        <v>0</v>
      </c>
      <c r="Q5392" s="1" t="str">
        <f t="shared" si="1123"/>
        <v/>
      </c>
      <c r="R5392" s="1" t="str">
        <f t="shared" si="1127"/>
        <v/>
      </c>
      <c r="S5392" s="1">
        <f t="shared" si="1128"/>
        <v>630.90240000000244</v>
      </c>
      <c r="T5392" s="1">
        <f t="shared" si="1129"/>
        <v>0</v>
      </c>
      <c r="U5392" s="1">
        <f t="shared" si="1130"/>
        <v>0</v>
      </c>
      <c r="V5392" s="1">
        <f t="shared" si="1131"/>
        <v>0</v>
      </c>
    </row>
    <row r="5393" spans="13:22" x14ac:dyDescent="0.25">
      <c r="M5393" s="4">
        <f t="shared" si="1124"/>
        <v>173.1</v>
      </c>
      <c r="N5393" s="4"/>
      <c r="O5393" s="1">
        <f t="shared" si="1125"/>
        <v>173.1</v>
      </c>
      <c r="P5393" s="1">
        <f t="shared" si="1126"/>
        <v>0</v>
      </c>
      <c r="Q5393" s="1" t="str">
        <f t="shared" si="1123"/>
        <v/>
      </c>
      <c r="R5393" s="1" t="str">
        <f t="shared" si="1127"/>
        <v/>
      </c>
      <c r="S5393" s="1">
        <f t="shared" si="1128"/>
        <v>630.90240000000244</v>
      </c>
      <c r="T5393" s="1">
        <f t="shared" si="1129"/>
        <v>0</v>
      </c>
      <c r="U5393" s="1">
        <f t="shared" si="1130"/>
        <v>0</v>
      </c>
      <c r="V5393" s="1">
        <f t="shared" si="1131"/>
        <v>0</v>
      </c>
    </row>
    <row r="5394" spans="13:22" x14ac:dyDescent="0.25">
      <c r="M5394" s="4">
        <f t="shared" si="1124"/>
        <v>173.1</v>
      </c>
      <c r="N5394" s="4"/>
      <c r="O5394" s="1">
        <f t="shared" si="1125"/>
        <v>173.1</v>
      </c>
      <c r="P5394" s="1">
        <f t="shared" si="1126"/>
        <v>0</v>
      </c>
      <c r="Q5394" s="1" t="str">
        <f t="shared" si="1123"/>
        <v/>
      </c>
      <c r="R5394" s="1" t="str">
        <f t="shared" si="1127"/>
        <v/>
      </c>
      <c r="S5394" s="1">
        <f t="shared" si="1128"/>
        <v>630.90240000000244</v>
      </c>
      <c r="T5394" s="1">
        <f t="shared" si="1129"/>
        <v>0</v>
      </c>
      <c r="U5394" s="1">
        <f t="shared" si="1130"/>
        <v>0</v>
      </c>
      <c r="V5394" s="1">
        <f t="shared" si="1131"/>
        <v>0</v>
      </c>
    </row>
    <row r="5395" spans="13:22" x14ac:dyDescent="0.25">
      <c r="M5395" s="4">
        <f t="shared" si="1124"/>
        <v>173.1</v>
      </c>
      <c r="N5395" s="4"/>
      <c r="O5395" s="1">
        <f t="shared" si="1125"/>
        <v>173.1</v>
      </c>
      <c r="P5395" s="1">
        <f t="shared" si="1126"/>
        <v>0</v>
      </c>
      <c r="Q5395" s="1" t="str">
        <f t="shared" si="1123"/>
        <v/>
      </c>
      <c r="R5395" s="1" t="str">
        <f t="shared" si="1127"/>
        <v/>
      </c>
      <c r="S5395" s="1">
        <f t="shared" si="1128"/>
        <v>630.90240000000244</v>
      </c>
      <c r="T5395" s="1">
        <f t="shared" si="1129"/>
        <v>0</v>
      </c>
      <c r="U5395" s="1">
        <f t="shared" si="1130"/>
        <v>0</v>
      </c>
      <c r="V5395" s="1">
        <f t="shared" si="1131"/>
        <v>0</v>
      </c>
    </row>
    <row r="5396" spans="13:22" x14ac:dyDescent="0.25">
      <c r="M5396" s="4">
        <f t="shared" si="1124"/>
        <v>173.1</v>
      </c>
      <c r="N5396" s="4"/>
      <c r="O5396" s="1">
        <f t="shared" si="1125"/>
        <v>173.1</v>
      </c>
      <c r="P5396" s="1">
        <f t="shared" si="1126"/>
        <v>0</v>
      </c>
      <c r="Q5396" s="1" t="str">
        <f t="shared" si="1123"/>
        <v/>
      </c>
      <c r="R5396" s="1" t="str">
        <f t="shared" si="1127"/>
        <v/>
      </c>
      <c r="S5396" s="1">
        <f t="shared" si="1128"/>
        <v>630.90240000000244</v>
      </c>
      <c r="T5396" s="1">
        <f t="shared" si="1129"/>
        <v>0</v>
      </c>
      <c r="U5396" s="1">
        <f t="shared" si="1130"/>
        <v>0</v>
      </c>
      <c r="V5396" s="1">
        <f t="shared" si="1131"/>
        <v>0</v>
      </c>
    </row>
    <row r="5397" spans="13:22" x14ac:dyDescent="0.25">
      <c r="M5397" s="4">
        <f t="shared" si="1124"/>
        <v>173.1</v>
      </c>
      <c r="N5397" s="4"/>
      <c r="O5397" s="1">
        <f t="shared" si="1125"/>
        <v>173.1</v>
      </c>
      <c r="P5397" s="1">
        <f t="shared" si="1126"/>
        <v>0</v>
      </c>
      <c r="Q5397" s="1" t="str">
        <f t="shared" si="1123"/>
        <v/>
      </c>
      <c r="R5397" s="1" t="str">
        <f t="shared" si="1127"/>
        <v/>
      </c>
      <c r="S5397" s="1">
        <f t="shared" si="1128"/>
        <v>630.90240000000244</v>
      </c>
      <c r="T5397" s="1">
        <f t="shared" si="1129"/>
        <v>0</v>
      </c>
      <c r="U5397" s="1">
        <f t="shared" si="1130"/>
        <v>0</v>
      </c>
      <c r="V5397" s="1">
        <f t="shared" si="1131"/>
        <v>0</v>
      </c>
    </row>
    <row r="5398" spans="13:22" x14ac:dyDescent="0.25">
      <c r="M5398" s="4">
        <f t="shared" si="1124"/>
        <v>173.1</v>
      </c>
      <c r="N5398" s="4"/>
      <c r="O5398" s="1">
        <f t="shared" si="1125"/>
        <v>173.1</v>
      </c>
      <c r="P5398" s="1">
        <f t="shared" si="1126"/>
        <v>0</v>
      </c>
      <c r="Q5398" s="1" t="str">
        <f t="shared" si="1123"/>
        <v/>
      </c>
      <c r="R5398" s="1" t="str">
        <f t="shared" si="1127"/>
        <v/>
      </c>
      <c r="S5398" s="1">
        <f t="shared" si="1128"/>
        <v>630.90240000000244</v>
      </c>
      <c r="T5398" s="1">
        <f t="shared" si="1129"/>
        <v>0</v>
      </c>
      <c r="U5398" s="1">
        <f t="shared" si="1130"/>
        <v>0</v>
      </c>
      <c r="V5398" s="1">
        <f t="shared" si="1131"/>
        <v>0</v>
      </c>
    </row>
    <row r="5399" spans="13:22" x14ac:dyDescent="0.25">
      <c r="M5399" s="4">
        <f t="shared" si="1124"/>
        <v>173.1</v>
      </c>
      <c r="N5399" s="4"/>
      <c r="O5399" s="1">
        <f t="shared" si="1125"/>
        <v>173.1</v>
      </c>
      <c r="P5399" s="1">
        <f t="shared" si="1126"/>
        <v>0</v>
      </c>
      <c r="Q5399" s="1" t="str">
        <f t="shared" si="1123"/>
        <v/>
      </c>
      <c r="R5399" s="1" t="str">
        <f t="shared" si="1127"/>
        <v/>
      </c>
      <c r="S5399" s="1">
        <f t="shared" si="1128"/>
        <v>630.90240000000244</v>
      </c>
      <c r="T5399" s="1">
        <f t="shared" si="1129"/>
        <v>0</v>
      </c>
      <c r="U5399" s="1">
        <f t="shared" si="1130"/>
        <v>0</v>
      </c>
      <c r="V5399" s="1">
        <f t="shared" si="1131"/>
        <v>0</v>
      </c>
    </row>
    <row r="5400" spans="13:22" x14ac:dyDescent="0.25">
      <c r="M5400" s="4">
        <f t="shared" si="1124"/>
        <v>173.1</v>
      </c>
      <c r="N5400" s="4"/>
      <c r="O5400" s="1">
        <f t="shared" si="1125"/>
        <v>173.1</v>
      </c>
      <c r="P5400" s="1">
        <f t="shared" si="1126"/>
        <v>0</v>
      </c>
      <c r="Q5400" s="1" t="str">
        <f t="shared" si="1123"/>
        <v/>
      </c>
      <c r="R5400" s="1" t="str">
        <f t="shared" si="1127"/>
        <v/>
      </c>
      <c r="S5400" s="1">
        <f t="shared" si="1128"/>
        <v>630.90240000000244</v>
      </c>
      <c r="T5400" s="1">
        <f t="shared" si="1129"/>
        <v>0</v>
      </c>
      <c r="U5400" s="1">
        <f t="shared" si="1130"/>
        <v>0</v>
      </c>
      <c r="V5400" s="1">
        <f t="shared" si="1131"/>
        <v>0</v>
      </c>
    </row>
    <row r="5401" spans="13:22" x14ac:dyDescent="0.25">
      <c r="M5401" s="4">
        <f t="shared" si="1124"/>
        <v>173.1</v>
      </c>
      <c r="N5401" s="4"/>
      <c r="O5401" s="1">
        <f t="shared" si="1125"/>
        <v>173.1</v>
      </c>
      <c r="P5401" s="1">
        <f t="shared" si="1126"/>
        <v>0</v>
      </c>
      <c r="Q5401" s="1" t="str">
        <f t="shared" si="1123"/>
        <v/>
      </c>
      <c r="R5401" s="1" t="str">
        <f t="shared" si="1127"/>
        <v/>
      </c>
      <c r="S5401" s="1">
        <f t="shared" si="1128"/>
        <v>630.90240000000244</v>
      </c>
      <c r="T5401" s="1">
        <f t="shared" si="1129"/>
        <v>0</v>
      </c>
      <c r="U5401" s="1">
        <f t="shared" si="1130"/>
        <v>0</v>
      </c>
      <c r="V5401" s="1">
        <f t="shared" si="1131"/>
        <v>0</v>
      </c>
    </row>
    <row r="5402" spans="13:22" x14ac:dyDescent="0.25">
      <c r="M5402" s="4">
        <f t="shared" si="1124"/>
        <v>173.1</v>
      </c>
      <c r="N5402" s="4"/>
      <c r="O5402" s="1">
        <f t="shared" si="1125"/>
        <v>173.1</v>
      </c>
      <c r="P5402" s="1">
        <f t="shared" si="1126"/>
        <v>0</v>
      </c>
      <c r="Q5402" s="1" t="str">
        <f t="shared" si="1123"/>
        <v/>
      </c>
      <c r="R5402" s="1" t="str">
        <f t="shared" si="1127"/>
        <v/>
      </c>
      <c r="S5402" s="1">
        <f t="shared" si="1128"/>
        <v>630.90240000000244</v>
      </c>
      <c r="T5402" s="1">
        <f t="shared" si="1129"/>
        <v>0</v>
      </c>
      <c r="U5402" s="1">
        <f t="shared" si="1130"/>
        <v>0</v>
      </c>
      <c r="V5402" s="1">
        <f t="shared" si="1131"/>
        <v>0</v>
      </c>
    </row>
    <row r="5403" spans="13:22" x14ac:dyDescent="0.25">
      <c r="M5403" s="4">
        <f t="shared" si="1124"/>
        <v>173.1</v>
      </c>
      <c r="N5403" s="4"/>
      <c r="O5403" s="1">
        <f t="shared" si="1125"/>
        <v>173.1</v>
      </c>
      <c r="P5403" s="1">
        <f t="shared" si="1126"/>
        <v>0</v>
      </c>
      <c r="Q5403" s="1" t="str">
        <f t="shared" si="1123"/>
        <v/>
      </c>
      <c r="R5403" s="1" t="str">
        <f t="shared" si="1127"/>
        <v/>
      </c>
      <c r="S5403" s="1">
        <f t="shared" si="1128"/>
        <v>630.90240000000244</v>
      </c>
      <c r="T5403" s="1">
        <f t="shared" si="1129"/>
        <v>0</v>
      </c>
      <c r="U5403" s="1">
        <f t="shared" si="1130"/>
        <v>0</v>
      </c>
      <c r="V5403" s="1">
        <f t="shared" si="1131"/>
        <v>0</v>
      </c>
    </row>
    <row r="5404" spans="13:22" x14ac:dyDescent="0.25">
      <c r="M5404" s="4">
        <f t="shared" si="1124"/>
        <v>173.1</v>
      </c>
      <c r="N5404" s="4"/>
      <c r="O5404" s="1">
        <f t="shared" si="1125"/>
        <v>173.1</v>
      </c>
      <c r="P5404" s="1">
        <f t="shared" si="1126"/>
        <v>0</v>
      </c>
      <c r="Q5404" s="1" t="str">
        <f t="shared" si="1123"/>
        <v/>
      </c>
      <c r="R5404" s="1" t="str">
        <f t="shared" si="1127"/>
        <v/>
      </c>
      <c r="S5404" s="1">
        <f t="shared" si="1128"/>
        <v>630.90240000000244</v>
      </c>
      <c r="T5404" s="1">
        <f t="shared" si="1129"/>
        <v>0</v>
      </c>
      <c r="U5404" s="1">
        <f t="shared" si="1130"/>
        <v>0</v>
      </c>
      <c r="V5404" s="1">
        <f t="shared" si="1131"/>
        <v>0</v>
      </c>
    </row>
    <row r="5405" spans="13:22" x14ac:dyDescent="0.25">
      <c r="M5405" s="4">
        <f t="shared" si="1124"/>
        <v>173.1</v>
      </c>
      <c r="N5405" s="4"/>
      <c r="O5405" s="1">
        <f t="shared" si="1125"/>
        <v>173.1</v>
      </c>
      <c r="P5405" s="1">
        <f t="shared" si="1126"/>
        <v>0</v>
      </c>
      <c r="Q5405" s="1" t="str">
        <f t="shared" si="1123"/>
        <v/>
      </c>
      <c r="R5405" s="1" t="str">
        <f t="shared" si="1127"/>
        <v/>
      </c>
      <c r="S5405" s="1">
        <f t="shared" si="1128"/>
        <v>630.90240000000244</v>
      </c>
      <c r="T5405" s="1">
        <f t="shared" si="1129"/>
        <v>0</v>
      </c>
      <c r="U5405" s="1">
        <f t="shared" si="1130"/>
        <v>0</v>
      </c>
      <c r="V5405" s="1">
        <f t="shared" si="1131"/>
        <v>0</v>
      </c>
    </row>
    <row r="5406" spans="13:22" x14ac:dyDescent="0.25">
      <c r="M5406" s="4">
        <f t="shared" si="1124"/>
        <v>173.1</v>
      </c>
      <c r="N5406" s="4"/>
      <c r="O5406" s="1">
        <f t="shared" si="1125"/>
        <v>173.1</v>
      </c>
      <c r="P5406" s="1">
        <f t="shared" si="1126"/>
        <v>0</v>
      </c>
      <c r="Q5406" s="1" t="str">
        <f t="shared" si="1123"/>
        <v/>
      </c>
      <c r="R5406" s="1" t="str">
        <f t="shared" si="1127"/>
        <v/>
      </c>
      <c r="S5406" s="1">
        <f t="shared" si="1128"/>
        <v>630.90240000000244</v>
      </c>
      <c r="T5406" s="1">
        <f t="shared" si="1129"/>
        <v>0</v>
      </c>
      <c r="U5406" s="1">
        <f t="shared" si="1130"/>
        <v>0</v>
      </c>
      <c r="V5406" s="1">
        <f t="shared" si="1131"/>
        <v>0</v>
      </c>
    </row>
    <row r="5407" spans="13:22" x14ac:dyDescent="0.25">
      <c r="M5407" s="4">
        <f t="shared" si="1124"/>
        <v>173.1</v>
      </c>
      <c r="N5407" s="4"/>
      <c r="O5407" s="1">
        <f t="shared" si="1125"/>
        <v>173.1</v>
      </c>
      <c r="P5407" s="1">
        <f t="shared" si="1126"/>
        <v>0</v>
      </c>
      <c r="Q5407" s="1" t="str">
        <f t="shared" si="1123"/>
        <v/>
      </c>
      <c r="R5407" s="1" t="str">
        <f t="shared" si="1127"/>
        <v/>
      </c>
      <c r="S5407" s="1">
        <f t="shared" si="1128"/>
        <v>630.90240000000244</v>
      </c>
      <c r="T5407" s="1">
        <f t="shared" si="1129"/>
        <v>0</v>
      </c>
      <c r="U5407" s="1">
        <f t="shared" si="1130"/>
        <v>0</v>
      </c>
      <c r="V5407" s="1">
        <f t="shared" si="1131"/>
        <v>0</v>
      </c>
    </row>
    <row r="5408" spans="13:22" x14ac:dyDescent="0.25">
      <c r="M5408" s="4">
        <f t="shared" si="1124"/>
        <v>173.1</v>
      </c>
      <c r="N5408" s="4"/>
      <c r="O5408" s="1">
        <f t="shared" si="1125"/>
        <v>173.1</v>
      </c>
      <c r="P5408" s="1">
        <f t="shared" si="1126"/>
        <v>0</v>
      </c>
      <c r="Q5408" s="1" t="str">
        <f t="shared" si="1123"/>
        <v/>
      </c>
      <c r="R5408" s="1" t="str">
        <f t="shared" si="1127"/>
        <v/>
      </c>
      <c r="S5408" s="1">
        <f t="shared" si="1128"/>
        <v>630.90240000000244</v>
      </c>
      <c r="T5408" s="1">
        <f t="shared" si="1129"/>
        <v>0</v>
      </c>
      <c r="U5408" s="1">
        <f t="shared" si="1130"/>
        <v>0</v>
      </c>
      <c r="V5408" s="1">
        <f t="shared" si="1131"/>
        <v>0</v>
      </c>
    </row>
    <row r="5409" spans="13:22" x14ac:dyDescent="0.25">
      <c r="M5409" s="4">
        <f t="shared" si="1124"/>
        <v>173.1</v>
      </c>
      <c r="N5409" s="4"/>
      <c r="O5409" s="1">
        <f t="shared" si="1125"/>
        <v>173.1</v>
      </c>
      <c r="P5409" s="1">
        <f t="shared" si="1126"/>
        <v>0</v>
      </c>
      <c r="Q5409" s="1" t="str">
        <f t="shared" si="1123"/>
        <v/>
      </c>
      <c r="R5409" s="1" t="str">
        <f t="shared" si="1127"/>
        <v/>
      </c>
      <c r="S5409" s="1">
        <f t="shared" si="1128"/>
        <v>630.90240000000244</v>
      </c>
      <c r="T5409" s="1">
        <f t="shared" si="1129"/>
        <v>0</v>
      </c>
      <c r="U5409" s="1">
        <f t="shared" si="1130"/>
        <v>0</v>
      </c>
      <c r="V5409" s="1">
        <f t="shared" si="1131"/>
        <v>0</v>
      </c>
    </row>
    <row r="5410" spans="13:22" x14ac:dyDescent="0.25">
      <c r="M5410" s="4">
        <f t="shared" si="1124"/>
        <v>173.1</v>
      </c>
      <c r="N5410" s="4"/>
      <c r="O5410" s="1">
        <f t="shared" si="1125"/>
        <v>173.1</v>
      </c>
      <c r="P5410" s="1">
        <f t="shared" si="1126"/>
        <v>0</v>
      </c>
      <c r="Q5410" s="1" t="str">
        <f t="shared" si="1123"/>
        <v/>
      </c>
      <c r="R5410" s="1" t="str">
        <f t="shared" si="1127"/>
        <v/>
      </c>
      <c r="S5410" s="1">
        <f t="shared" si="1128"/>
        <v>630.90240000000244</v>
      </c>
      <c r="T5410" s="1">
        <f t="shared" si="1129"/>
        <v>0</v>
      </c>
      <c r="U5410" s="1">
        <f t="shared" si="1130"/>
        <v>0</v>
      </c>
      <c r="V5410" s="1">
        <f t="shared" si="1131"/>
        <v>0</v>
      </c>
    </row>
    <row r="5411" spans="13:22" x14ac:dyDescent="0.25">
      <c r="M5411" s="4">
        <f t="shared" si="1124"/>
        <v>173.1</v>
      </c>
      <c r="N5411" s="4"/>
      <c r="O5411" s="1">
        <f t="shared" si="1125"/>
        <v>173.1</v>
      </c>
      <c r="P5411" s="1">
        <f t="shared" si="1126"/>
        <v>0</v>
      </c>
      <c r="Q5411" s="1" t="str">
        <f t="shared" si="1123"/>
        <v/>
      </c>
      <c r="R5411" s="1" t="str">
        <f t="shared" si="1127"/>
        <v/>
      </c>
      <c r="S5411" s="1">
        <f t="shared" si="1128"/>
        <v>630.90240000000244</v>
      </c>
      <c r="T5411" s="1">
        <f t="shared" si="1129"/>
        <v>0</v>
      </c>
      <c r="U5411" s="1">
        <f t="shared" si="1130"/>
        <v>0</v>
      </c>
      <c r="V5411" s="1">
        <f t="shared" si="1131"/>
        <v>0</v>
      </c>
    </row>
    <row r="5412" spans="13:22" x14ac:dyDescent="0.25">
      <c r="M5412" s="4">
        <f t="shared" si="1124"/>
        <v>173.1</v>
      </c>
      <c r="N5412" s="4"/>
      <c r="O5412" s="1">
        <f t="shared" si="1125"/>
        <v>173.1</v>
      </c>
      <c r="P5412" s="1">
        <f t="shared" si="1126"/>
        <v>0</v>
      </c>
      <c r="Q5412" s="1" t="str">
        <f t="shared" si="1123"/>
        <v/>
      </c>
      <c r="R5412" s="1" t="str">
        <f t="shared" si="1127"/>
        <v/>
      </c>
      <c r="S5412" s="1">
        <f t="shared" si="1128"/>
        <v>630.90240000000244</v>
      </c>
      <c r="T5412" s="1">
        <f t="shared" si="1129"/>
        <v>0</v>
      </c>
      <c r="U5412" s="1">
        <f t="shared" si="1130"/>
        <v>0</v>
      </c>
      <c r="V5412" s="1">
        <f t="shared" si="1131"/>
        <v>0</v>
      </c>
    </row>
    <row r="5413" spans="13:22" x14ac:dyDescent="0.25">
      <c r="M5413" s="4">
        <f t="shared" si="1124"/>
        <v>173.1</v>
      </c>
      <c r="N5413" s="4"/>
      <c r="O5413" s="1">
        <f t="shared" si="1125"/>
        <v>173.1</v>
      </c>
      <c r="P5413" s="1">
        <f t="shared" si="1126"/>
        <v>0</v>
      </c>
      <c r="Q5413" s="1" t="str">
        <f t="shared" si="1123"/>
        <v/>
      </c>
      <c r="R5413" s="1" t="str">
        <f t="shared" si="1127"/>
        <v/>
      </c>
      <c r="S5413" s="1">
        <f t="shared" si="1128"/>
        <v>630.90240000000244</v>
      </c>
      <c r="T5413" s="1">
        <f t="shared" si="1129"/>
        <v>0</v>
      </c>
      <c r="U5413" s="1">
        <f t="shared" si="1130"/>
        <v>0</v>
      </c>
      <c r="V5413" s="1">
        <f t="shared" si="1131"/>
        <v>0</v>
      </c>
    </row>
    <row r="5414" spans="13:22" x14ac:dyDescent="0.25">
      <c r="M5414" s="4">
        <f t="shared" si="1124"/>
        <v>173.1</v>
      </c>
      <c r="N5414" s="4"/>
      <c r="O5414" s="1">
        <f t="shared" si="1125"/>
        <v>173.1</v>
      </c>
      <c r="P5414" s="1">
        <f t="shared" si="1126"/>
        <v>0</v>
      </c>
      <c r="Q5414" s="1" t="str">
        <f t="shared" si="1123"/>
        <v/>
      </c>
      <c r="R5414" s="1" t="str">
        <f t="shared" si="1127"/>
        <v/>
      </c>
      <c r="S5414" s="1">
        <f t="shared" si="1128"/>
        <v>630.90240000000244</v>
      </c>
      <c r="T5414" s="1">
        <f t="shared" si="1129"/>
        <v>0</v>
      </c>
      <c r="U5414" s="1">
        <f t="shared" si="1130"/>
        <v>0</v>
      </c>
      <c r="V5414" s="1">
        <f t="shared" si="1131"/>
        <v>0</v>
      </c>
    </row>
    <row r="5415" spans="13:22" x14ac:dyDescent="0.25">
      <c r="M5415" s="4">
        <f t="shared" si="1124"/>
        <v>173.1</v>
      </c>
      <c r="N5415" s="4"/>
      <c r="O5415" s="1">
        <f t="shared" si="1125"/>
        <v>173.1</v>
      </c>
      <c r="P5415" s="1">
        <f t="shared" si="1126"/>
        <v>0</v>
      </c>
      <c r="Q5415" s="1" t="str">
        <f t="shared" si="1123"/>
        <v/>
      </c>
      <c r="R5415" s="1" t="str">
        <f t="shared" si="1127"/>
        <v/>
      </c>
      <c r="S5415" s="1">
        <f t="shared" si="1128"/>
        <v>630.90240000000244</v>
      </c>
      <c r="T5415" s="1">
        <f t="shared" si="1129"/>
        <v>0</v>
      </c>
      <c r="U5415" s="1">
        <f t="shared" si="1130"/>
        <v>0</v>
      </c>
      <c r="V5415" s="1">
        <f t="shared" si="1131"/>
        <v>0</v>
      </c>
    </row>
    <row r="5416" spans="13:22" x14ac:dyDescent="0.25">
      <c r="M5416" s="4">
        <f t="shared" si="1124"/>
        <v>173.1</v>
      </c>
      <c r="N5416" s="4"/>
      <c r="O5416" s="1">
        <f t="shared" si="1125"/>
        <v>173.1</v>
      </c>
      <c r="P5416" s="1">
        <f t="shared" si="1126"/>
        <v>0</v>
      </c>
      <c r="Q5416" s="1" t="str">
        <f t="shared" si="1123"/>
        <v/>
      </c>
      <c r="R5416" s="1" t="str">
        <f t="shared" si="1127"/>
        <v/>
      </c>
      <c r="S5416" s="1">
        <f t="shared" si="1128"/>
        <v>630.90240000000244</v>
      </c>
      <c r="T5416" s="1">
        <f t="shared" si="1129"/>
        <v>0</v>
      </c>
      <c r="U5416" s="1">
        <f t="shared" si="1130"/>
        <v>0</v>
      </c>
      <c r="V5416" s="1">
        <f t="shared" si="1131"/>
        <v>0</v>
      </c>
    </row>
    <row r="5417" spans="13:22" x14ac:dyDescent="0.25">
      <c r="M5417" s="4">
        <f t="shared" si="1124"/>
        <v>173.1</v>
      </c>
      <c r="N5417" s="4"/>
      <c r="O5417" s="1">
        <f t="shared" si="1125"/>
        <v>173.1</v>
      </c>
      <c r="P5417" s="1">
        <f t="shared" si="1126"/>
        <v>0</v>
      </c>
      <c r="Q5417" s="1" t="str">
        <f t="shared" si="1123"/>
        <v/>
      </c>
      <c r="R5417" s="1" t="str">
        <f t="shared" si="1127"/>
        <v/>
      </c>
      <c r="S5417" s="1">
        <f t="shared" si="1128"/>
        <v>630.90240000000244</v>
      </c>
      <c r="T5417" s="1">
        <f t="shared" si="1129"/>
        <v>0</v>
      </c>
      <c r="U5417" s="1">
        <f t="shared" si="1130"/>
        <v>0</v>
      </c>
      <c r="V5417" s="1">
        <f t="shared" si="1131"/>
        <v>0</v>
      </c>
    </row>
    <row r="5418" spans="13:22" x14ac:dyDescent="0.25">
      <c r="M5418" s="4">
        <f t="shared" si="1124"/>
        <v>173.1</v>
      </c>
      <c r="N5418" s="4"/>
      <c r="O5418" s="1">
        <f t="shared" si="1125"/>
        <v>173.1</v>
      </c>
      <c r="P5418" s="1">
        <f t="shared" si="1126"/>
        <v>0</v>
      </c>
      <c r="Q5418" s="1" t="str">
        <f t="shared" si="1123"/>
        <v/>
      </c>
      <c r="R5418" s="1" t="str">
        <f t="shared" si="1127"/>
        <v/>
      </c>
      <c r="S5418" s="1">
        <f t="shared" si="1128"/>
        <v>630.90240000000244</v>
      </c>
      <c r="T5418" s="1">
        <f t="shared" si="1129"/>
        <v>0</v>
      </c>
      <c r="U5418" s="1">
        <f t="shared" si="1130"/>
        <v>0</v>
      </c>
      <c r="V5418" s="1">
        <f t="shared" si="1131"/>
        <v>0</v>
      </c>
    </row>
    <row r="5419" spans="13:22" x14ac:dyDescent="0.25">
      <c r="M5419" s="4">
        <f t="shared" si="1124"/>
        <v>173.1</v>
      </c>
      <c r="N5419" s="4"/>
      <c r="O5419" s="1">
        <f t="shared" si="1125"/>
        <v>173.1</v>
      </c>
      <c r="P5419" s="1">
        <f t="shared" si="1126"/>
        <v>0</v>
      </c>
      <c r="Q5419" s="1" t="str">
        <f t="shared" si="1123"/>
        <v/>
      </c>
      <c r="R5419" s="1" t="str">
        <f t="shared" si="1127"/>
        <v/>
      </c>
      <c r="S5419" s="1">
        <f t="shared" si="1128"/>
        <v>630.90240000000244</v>
      </c>
      <c r="T5419" s="1">
        <f t="shared" si="1129"/>
        <v>0</v>
      </c>
      <c r="U5419" s="1">
        <f t="shared" si="1130"/>
        <v>0</v>
      </c>
      <c r="V5419" s="1">
        <f t="shared" si="1131"/>
        <v>0</v>
      </c>
    </row>
    <row r="5420" spans="13:22" x14ac:dyDescent="0.25">
      <c r="M5420" s="4">
        <f t="shared" si="1124"/>
        <v>173.1</v>
      </c>
      <c r="N5420" s="4"/>
      <c r="O5420" s="1">
        <f t="shared" si="1125"/>
        <v>173.1</v>
      </c>
      <c r="P5420" s="1">
        <f t="shared" si="1126"/>
        <v>0</v>
      </c>
      <c r="Q5420" s="1" t="str">
        <f t="shared" si="1123"/>
        <v/>
      </c>
      <c r="R5420" s="1" t="str">
        <f t="shared" si="1127"/>
        <v/>
      </c>
      <c r="S5420" s="1">
        <f t="shared" si="1128"/>
        <v>630.90240000000244</v>
      </c>
      <c r="T5420" s="1">
        <f t="shared" si="1129"/>
        <v>0</v>
      </c>
      <c r="U5420" s="1">
        <f t="shared" si="1130"/>
        <v>0</v>
      </c>
      <c r="V5420" s="1">
        <f t="shared" si="1131"/>
        <v>0</v>
      </c>
    </row>
    <row r="5421" spans="13:22" x14ac:dyDescent="0.25">
      <c r="M5421" s="4">
        <f t="shared" si="1124"/>
        <v>173.1</v>
      </c>
      <c r="N5421" s="4"/>
      <c r="O5421" s="1">
        <f t="shared" si="1125"/>
        <v>173.1</v>
      </c>
      <c r="P5421" s="1">
        <f t="shared" si="1126"/>
        <v>0</v>
      </c>
      <c r="Q5421" s="1" t="str">
        <f t="shared" si="1123"/>
        <v/>
      </c>
      <c r="R5421" s="1" t="str">
        <f t="shared" si="1127"/>
        <v/>
      </c>
      <c r="S5421" s="1">
        <f t="shared" si="1128"/>
        <v>630.90240000000244</v>
      </c>
      <c r="T5421" s="1">
        <f t="shared" si="1129"/>
        <v>0</v>
      </c>
      <c r="U5421" s="1">
        <f t="shared" si="1130"/>
        <v>0</v>
      </c>
      <c r="V5421" s="1">
        <f t="shared" si="1131"/>
        <v>0</v>
      </c>
    </row>
    <row r="5422" spans="13:22" x14ac:dyDescent="0.25">
      <c r="M5422" s="4">
        <f t="shared" si="1124"/>
        <v>173.1</v>
      </c>
      <c r="N5422" s="4"/>
      <c r="O5422" s="1">
        <f t="shared" si="1125"/>
        <v>173.1</v>
      </c>
      <c r="P5422" s="1">
        <f t="shared" si="1126"/>
        <v>0</v>
      </c>
      <c r="Q5422" s="1" t="str">
        <f t="shared" si="1123"/>
        <v/>
      </c>
      <c r="R5422" s="1" t="str">
        <f t="shared" si="1127"/>
        <v/>
      </c>
      <c r="S5422" s="1">
        <f t="shared" si="1128"/>
        <v>630.90240000000244</v>
      </c>
      <c r="T5422" s="1">
        <f t="shared" si="1129"/>
        <v>0</v>
      </c>
      <c r="U5422" s="1">
        <f t="shared" si="1130"/>
        <v>0</v>
      </c>
      <c r="V5422" s="1">
        <f t="shared" si="1131"/>
        <v>0</v>
      </c>
    </row>
    <row r="5423" spans="13:22" x14ac:dyDescent="0.25">
      <c r="M5423" s="4">
        <f t="shared" si="1124"/>
        <v>173.1</v>
      </c>
      <c r="N5423" s="4"/>
      <c r="O5423" s="1">
        <f t="shared" si="1125"/>
        <v>173.1</v>
      </c>
      <c r="P5423" s="1">
        <f t="shared" si="1126"/>
        <v>0</v>
      </c>
      <c r="Q5423" s="1" t="str">
        <f t="shared" si="1123"/>
        <v/>
      </c>
      <c r="R5423" s="1" t="str">
        <f t="shared" si="1127"/>
        <v/>
      </c>
      <c r="S5423" s="1">
        <f t="shared" si="1128"/>
        <v>630.90240000000244</v>
      </c>
      <c r="T5423" s="1">
        <f t="shared" si="1129"/>
        <v>0</v>
      </c>
      <c r="U5423" s="1">
        <f t="shared" si="1130"/>
        <v>0</v>
      </c>
      <c r="V5423" s="1">
        <f t="shared" si="1131"/>
        <v>0</v>
      </c>
    </row>
    <row r="5424" spans="13:22" x14ac:dyDescent="0.25">
      <c r="M5424" s="4">
        <f t="shared" si="1124"/>
        <v>173.1</v>
      </c>
      <c r="N5424" s="4"/>
      <c r="O5424" s="1">
        <f t="shared" si="1125"/>
        <v>173.1</v>
      </c>
      <c r="P5424" s="1">
        <f t="shared" si="1126"/>
        <v>0</v>
      </c>
      <c r="Q5424" s="1" t="str">
        <f t="shared" si="1123"/>
        <v/>
      </c>
      <c r="R5424" s="1" t="str">
        <f t="shared" si="1127"/>
        <v/>
      </c>
      <c r="S5424" s="1">
        <f t="shared" si="1128"/>
        <v>630.90240000000244</v>
      </c>
      <c r="T5424" s="1">
        <f t="shared" si="1129"/>
        <v>0</v>
      </c>
      <c r="U5424" s="1">
        <f t="shared" si="1130"/>
        <v>0</v>
      </c>
      <c r="V5424" s="1">
        <f t="shared" si="1131"/>
        <v>0</v>
      </c>
    </row>
    <row r="5425" spans="13:22" x14ac:dyDescent="0.25">
      <c r="M5425" s="4">
        <f t="shared" si="1124"/>
        <v>173.1</v>
      </c>
      <c r="N5425" s="4"/>
      <c r="O5425" s="1">
        <f t="shared" si="1125"/>
        <v>173.1</v>
      </c>
      <c r="P5425" s="1">
        <f t="shared" si="1126"/>
        <v>0</v>
      </c>
      <c r="Q5425" s="1" t="str">
        <f t="shared" si="1123"/>
        <v/>
      </c>
      <c r="R5425" s="1" t="str">
        <f t="shared" si="1127"/>
        <v/>
      </c>
      <c r="S5425" s="1">
        <f t="shared" si="1128"/>
        <v>630.90240000000244</v>
      </c>
      <c r="T5425" s="1">
        <f t="shared" si="1129"/>
        <v>0</v>
      </c>
      <c r="U5425" s="1">
        <f t="shared" si="1130"/>
        <v>0</v>
      </c>
      <c r="V5425" s="1">
        <f t="shared" si="1131"/>
        <v>0</v>
      </c>
    </row>
    <row r="5426" spans="13:22" x14ac:dyDescent="0.25">
      <c r="M5426" s="4">
        <f t="shared" si="1124"/>
        <v>173.1</v>
      </c>
      <c r="N5426" s="4"/>
      <c r="O5426" s="1">
        <f t="shared" si="1125"/>
        <v>173.1</v>
      </c>
      <c r="P5426" s="1">
        <f t="shared" si="1126"/>
        <v>0</v>
      </c>
      <c r="Q5426" s="1" t="str">
        <f t="shared" ref="Q5426:Q5489" si="1132">IF(H5426&lt;&gt;"",IF(H5426=H5425,"",H5426),IF(H5424="","",MAX(H5425,Q5425)))</f>
        <v/>
      </c>
      <c r="R5426" s="1" t="str">
        <f t="shared" si="1127"/>
        <v/>
      </c>
      <c r="S5426" s="1">
        <f t="shared" si="1128"/>
        <v>630.90240000000244</v>
      </c>
      <c r="T5426" s="1">
        <f t="shared" si="1129"/>
        <v>0</v>
      </c>
      <c r="U5426" s="1">
        <f t="shared" si="1130"/>
        <v>0</v>
      </c>
      <c r="V5426" s="1">
        <f t="shared" si="1131"/>
        <v>0</v>
      </c>
    </row>
    <row r="5427" spans="13:22" x14ac:dyDescent="0.25">
      <c r="M5427" s="4">
        <f t="shared" si="1124"/>
        <v>173.1</v>
      </c>
      <c r="N5427" s="4"/>
      <c r="O5427" s="1">
        <f t="shared" si="1125"/>
        <v>173.1</v>
      </c>
      <c r="P5427" s="1">
        <f t="shared" si="1126"/>
        <v>0</v>
      </c>
      <c r="Q5427" s="1" t="str">
        <f t="shared" si="1132"/>
        <v/>
      </c>
      <c r="R5427" s="1" t="str">
        <f t="shared" si="1127"/>
        <v/>
      </c>
      <c r="S5427" s="1">
        <f t="shared" si="1128"/>
        <v>630.90240000000244</v>
      </c>
      <c r="T5427" s="1">
        <f t="shared" si="1129"/>
        <v>0</v>
      </c>
      <c r="U5427" s="1">
        <f t="shared" si="1130"/>
        <v>0</v>
      </c>
      <c r="V5427" s="1">
        <f t="shared" si="1131"/>
        <v>0</v>
      </c>
    </row>
    <row r="5428" spans="13:22" x14ac:dyDescent="0.25">
      <c r="M5428" s="4">
        <f t="shared" si="1124"/>
        <v>173.1</v>
      </c>
      <c r="N5428" s="4"/>
      <c r="O5428" s="1">
        <f t="shared" si="1125"/>
        <v>173.1</v>
      </c>
      <c r="P5428" s="1">
        <f t="shared" si="1126"/>
        <v>0</v>
      </c>
      <c r="Q5428" s="1" t="str">
        <f t="shared" si="1132"/>
        <v/>
      </c>
      <c r="R5428" s="1" t="str">
        <f t="shared" si="1127"/>
        <v/>
      </c>
      <c r="S5428" s="1">
        <f t="shared" si="1128"/>
        <v>630.90240000000244</v>
      </c>
      <c r="T5428" s="1">
        <f t="shared" si="1129"/>
        <v>0</v>
      </c>
      <c r="U5428" s="1">
        <f t="shared" si="1130"/>
        <v>0</v>
      </c>
      <c r="V5428" s="1">
        <f t="shared" si="1131"/>
        <v>0</v>
      </c>
    </row>
    <row r="5429" spans="13:22" x14ac:dyDescent="0.25">
      <c r="M5429" s="4">
        <f t="shared" si="1124"/>
        <v>173.1</v>
      </c>
      <c r="N5429" s="4"/>
      <c r="O5429" s="1">
        <f t="shared" si="1125"/>
        <v>173.1</v>
      </c>
      <c r="P5429" s="1">
        <f t="shared" si="1126"/>
        <v>0</v>
      </c>
      <c r="Q5429" s="1" t="str">
        <f t="shared" si="1132"/>
        <v/>
      </c>
      <c r="R5429" s="1" t="str">
        <f t="shared" si="1127"/>
        <v/>
      </c>
      <c r="S5429" s="1">
        <f t="shared" si="1128"/>
        <v>630.90240000000244</v>
      </c>
      <c r="T5429" s="1">
        <f t="shared" si="1129"/>
        <v>0</v>
      </c>
      <c r="U5429" s="1">
        <f t="shared" si="1130"/>
        <v>0</v>
      </c>
      <c r="V5429" s="1">
        <f t="shared" si="1131"/>
        <v>0</v>
      </c>
    </row>
    <row r="5430" spans="13:22" x14ac:dyDescent="0.25">
      <c r="M5430" s="4">
        <f t="shared" si="1124"/>
        <v>173.1</v>
      </c>
      <c r="N5430" s="4"/>
      <c r="O5430" s="1">
        <f t="shared" si="1125"/>
        <v>173.1</v>
      </c>
      <c r="P5430" s="1">
        <f t="shared" si="1126"/>
        <v>0</v>
      </c>
      <c r="Q5430" s="1" t="str">
        <f t="shared" si="1132"/>
        <v/>
      </c>
      <c r="R5430" s="1" t="str">
        <f t="shared" si="1127"/>
        <v/>
      </c>
      <c r="S5430" s="1">
        <f t="shared" si="1128"/>
        <v>630.90240000000244</v>
      </c>
      <c r="T5430" s="1">
        <f t="shared" si="1129"/>
        <v>0</v>
      </c>
      <c r="U5430" s="1">
        <f t="shared" si="1130"/>
        <v>0</v>
      </c>
      <c r="V5430" s="1">
        <f t="shared" si="1131"/>
        <v>0</v>
      </c>
    </row>
    <row r="5431" spans="13:22" x14ac:dyDescent="0.25">
      <c r="M5431" s="4">
        <f t="shared" si="1124"/>
        <v>173.1</v>
      </c>
      <c r="N5431" s="4"/>
      <c r="O5431" s="1">
        <f t="shared" si="1125"/>
        <v>173.1</v>
      </c>
      <c r="P5431" s="1">
        <f t="shared" si="1126"/>
        <v>0</v>
      </c>
      <c r="Q5431" s="1" t="str">
        <f t="shared" si="1132"/>
        <v/>
      </c>
      <c r="R5431" s="1" t="str">
        <f t="shared" si="1127"/>
        <v/>
      </c>
      <c r="S5431" s="1">
        <f t="shared" si="1128"/>
        <v>630.90240000000244</v>
      </c>
      <c r="T5431" s="1">
        <f t="shared" si="1129"/>
        <v>0</v>
      </c>
      <c r="U5431" s="1">
        <f t="shared" si="1130"/>
        <v>0</v>
      </c>
      <c r="V5431" s="1">
        <f t="shared" si="1131"/>
        <v>0</v>
      </c>
    </row>
    <row r="5432" spans="13:22" x14ac:dyDescent="0.25">
      <c r="M5432" s="4">
        <f t="shared" si="1124"/>
        <v>173.1</v>
      </c>
      <c r="N5432" s="4"/>
      <c r="O5432" s="1">
        <f t="shared" si="1125"/>
        <v>173.1</v>
      </c>
      <c r="P5432" s="1">
        <f t="shared" si="1126"/>
        <v>0</v>
      </c>
      <c r="Q5432" s="1" t="str">
        <f t="shared" si="1132"/>
        <v/>
      </c>
      <c r="R5432" s="1" t="str">
        <f t="shared" si="1127"/>
        <v/>
      </c>
      <c r="S5432" s="1">
        <f t="shared" si="1128"/>
        <v>630.90240000000244</v>
      </c>
      <c r="T5432" s="1">
        <f t="shared" si="1129"/>
        <v>0</v>
      </c>
      <c r="U5432" s="1">
        <f t="shared" si="1130"/>
        <v>0</v>
      </c>
      <c r="V5432" s="1">
        <f t="shared" si="1131"/>
        <v>0</v>
      </c>
    </row>
    <row r="5433" spans="13:22" x14ac:dyDescent="0.25">
      <c r="M5433" s="4">
        <f t="shared" si="1124"/>
        <v>173.1</v>
      </c>
      <c r="N5433" s="4"/>
      <c r="O5433" s="1">
        <f t="shared" si="1125"/>
        <v>173.1</v>
      </c>
      <c r="P5433" s="1">
        <f t="shared" si="1126"/>
        <v>0</v>
      </c>
      <c r="Q5433" s="1" t="str">
        <f t="shared" si="1132"/>
        <v/>
      </c>
      <c r="R5433" s="1" t="str">
        <f t="shared" si="1127"/>
        <v/>
      </c>
      <c r="S5433" s="1">
        <f t="shared" si="1128"/>
        <v>630.90240000000244</v>
      </c>
      <c r="T5433" s="1">
        <f t="shared" si="1129"/>
        <v>0</v>
      </c>
      <c r="U5433" s="1">
        <f t="shared" si="1130"/>
        <v>0</v>
      </c>
      <c r="V5433" s="1">
        <f t="shared" si="1131"/>
        <v>0</v>
      </c>
    </row>
    <row r="5434" spans="13:22" x14ac:dyDescent="0.25">
      <c r="M5434" s="4">
        <f t="shared" si="1124"/>
        <v>173.1</v>
      </c>
      <c r="N5434" s="4"/>
      <c r="O5434" s="1">
        <f t="shared" si="1125"/>
        <v>173.1</v>
      </c>
      <c r="P5434" s="1">
        <f t="shared" si="1126"/>
        <v>0</v>
      </c>
      <c r="Q5434" s="1" t="str">
        <f t="shared" si="1132"/>
        <v/>
      </c>
      <c r="R5434" s="1" t="str">
        <f t="shared" si="1127"/>
        <v/>
      </c>
      <c r="S5434" s="1">
        <f t="shared" si="1128"/>
        <v>630.90240000000244</v>
      </c>
      <c r="T5434" s="1">
        <f t="shared" si="1129"/>
        <v>0</v>
      </c>
      <c r="U5434" s="1">
        <f t="shared" si="1130"/>
        <v>0</v>
      </c>
      <c r="V5434" s="1">
        <f t="shared" si="1131"/>
        <v>0</v>
      </c>
    </row>
    <row r="5435" spans="13:22" x14ac:dyDescent="0.25">
      <c r="M5435" s="4">
        <f t="shared" si="1124"/>
        <v>173.1</v>
      </c>
      <c r="N5435" s="4"/>
      <c r="O5435" s="1">
        <f t="shared" si="1125"/>
        <v>173.1</v>
      </c>
      <c r="P5435" s="1">
        <f t="shared" si="1126"/>
        <v>0</v>
      </c>
      <c r="Q5435" s="1" t="str">
        <f t="shared" si="1132"/>
        <v/>
      </c>
      <c r="R5435" s="1" t="str">
        <f t="shared" si="1127"/>
        <v/>
      </c>
      <c r="S5435" s="1">
        <f t="shared" si="1128"/>
        <v>630.90240000000244</v>
      </c>
      <c r="T5435" s="1">
        <f t="shared" si="1129"/>
        <v>0</v>
      </c>
      <c r="U5435" s="1">
        <f t="shared" si="1130"/>
        <v>0</v>
      </c>
      <c r="V5435" s="1">
        <f t="shared" si="1131"/>
        <v>0</v>
      </c>
    </row>
    <row r="5436" spans="13:22" x14ac:dyDescent="0.25">
      <c r="M5436" s="4">
        <f t="shared" si="1124"/>
        <v>173.1</v>
      </c>
      <c r="N5436" s="4"/>
      <c r="O5436" s="1">
        <f t="shared" si="1125"/>
        <v>173.1</v>
      </c>
      <c r="P5436" s="1">
        <f t="shared" si="1126"/>
        <v>0</v>
      </c>
      <c r="Q5436" s="1" t="str">
        <f t="shared" si="1132"/>
        <v/>
      </c>
      <c r="R5436" s="1" t="str">
        <f t="shared" si="1127"/>
        <v/>
      </c>
      <c r="S5436" s="1">
        <f t="shared" si="1128"/>
        <v>630.90240000000244</v>
      </c>
      <c r="T5436" s="1">
        <f t="shared" si="1129"/>
        <v>0</v>
      </c>
      <c r="U5436" s="1">
        <f t="shared" si="1130"/>
        <v>0</v>
      </c>
      <c r="V5436" s="1">
        <f t="shared" si="1131"/>
        <v>0</v>
      </c>
    </row>
    <row r="5437" spans="13:22" x14ac:dyDescent="0.25">
      <c r="M5437" s="4">
        <f t="shared" si="1124"/>
        <v>173.1</v>
      </c>
      <c r="N5437" s="4"/>
      <c r="O5437" s="1">
        <f t="shared" si="1125"/>
        <v>173.1</v>
      </c>
      <c r="P5437" s="1">
        <f t="shared" si="1126"/>
        <v>0</v>
      </c>
      <c r="Q5437" s="1" t="str">
        <f t="shared" si="1132"/>
        <v/>
      </c>
      <c r="R5437" s="1" t="str">
        <f t="shared" si="1127"/>
        <v/>
      </c>
      <c r="S5437" s="1">
        <f t="shared" si="1128"/>
        <v>630.90240000000244</v>
      </c>
      <c r="T5437" s="1">
        <f t="shared" si="1129"/>
        <v>0</v>
      </c>
      <c r="U5437" s="1">
        <f t="shared" si="1130"/>
        <v>0</v>
      </c>
      <c r="V5437" s="1">
        <f t="shared" si="1131"/>
        <v>0</v>
      </c>
    </row>
    <row r="5438" spans="13:22" x14ac:dyDescent="0.25">
      <c r="M5438" s="4">
        <f t="shared" si="1124"/>
        <v>173.1</v>
      </c>
      <c r="N5438" s="4"/>
      <c r="O5438" s="1">
        <f t="shared" si="1125"/>
        <v>173.1</v>
      </c>
      <c r="P5438" s="1">
        <f t="shared" si="1126"/>
        <v>0</v>
      </c>
      <c r="Q5438" s="1" t="str">
        <f t="shared" si="1132"/>
        <v/>
      </c>
      <c r="R5438" s="1" t="str">
        <f t="shared" si="1127"/>
        <v/>
      </c>
      <c r="S5438" s="1">
        <f t="shared" si="1128"/>
        <v>630.90240000000244</v>
      </c>
      <c r="T5438" s="1">
        <f t="shared" si="1129"/>
        <v>0</v>
      </c>
      <c r="U5438" s="1">
        <f t="shared" si="1130"/>
        <v>0</v>
      </c>
      <c r="V5438" s="1">
        <f t="shared" si="1131"/>
        <v>0</v>
      </c>
    </row>
    <row r="5439" spans="13:22" x14ac:dyDescent="0.25">
      <c r="M5439" s="4">
        <f t="shared" si="1124"/>
        <v>173.1</v>
      </c>
      <c r="N5439" s="4"/>
      <c r="O5439" s="1">
        <f t="shared" si="1125"/>
        <v>173.1</v>
      </c>
      <c r="P5439" s="1">
        <f t="shared" si="1126"/>
        <v>0</v>
      </c>
      <c r="Q5439" s="1" t="str">
        <f t="shared" si="1132"/>
        <v/>
      </c>
      <c r="R5439" s="1" t="str">
        <f t="shared" si="1127"/>
        <v/>
      </c>
      <c r="S5439" s="1">
        <f t="shared" si="1128"/>
        <v>630.90240000000244</v>
      </c>
      <c r="T5439" s="1">
        <f t="shared" si="1129"/>
        <v>0</v>
      </c>
      <c r="U5439" s="1">
        <f t="shared" si="1130"/>
        <v>0</v>
      </c>
      <c r="V5439" s="1">
        <f t="shared" si="1131"/>
        <v>0</v>
      </c>
    </row>
    <row r="5440" spans="13:22" x14ac:dyDescent="0.25">
      <c r="M5440" s="4">
        <f t="shared" si="1124"/>
        <v>173.1</v>
      </c>
      <c r="N5440" s="4"/>
      <c r="O5440" s="1">
        <f t="shared" si="1125"/>
        <v>173.1</v>
      </c>
      <c r="P5440" s="1">
        <f t="shared" si="1126"/>
        <v>0</v>
      </c>
      <c r="Q5440" s="1" t="str">
        <f t="shared" si="1132"/>
        <v/>
      </c>
      <c r="R5440" s="1" t="str">
        <f t="shared" si="1127"/>
        <v/>
      </c>
      <c r="S5440" s="1">
        <f t="shared" si="1128"/>
        <v>630.90240000000244</v>
      </c>
      <c r="T5440" s="1">
        <f t="shared" si="1129"/>
        <v>0</v>
      </c>
      <c r="U5440" s="1">
        <f t="shared" si="1130"/>
        <v>0</v>
      </c>
      <c r="V5440" s="1">
        <f t="shared" si="1131"/>
        <v>0</v>
      </c>
    </row>
    <row r="5441" spans="13:22" x14ac:dyDescent="0.25">
      <c r="M5441" s="4">
        <f t="shared" si="1124"/>
        <v>173.1</v>
      </c>
      <c r="N5441" s="4"/>
      <c r="O5441" s="1">
        <f t="shared" si="1125"/>
        <v>173.1</v>
      </c>
      <c r="P5441" s="1">
        <f t="shared" si="1126"/>
        <v>0</v>
      </c>
      <c r="Q5441" s="1" t="str">
        <f t="shared" si="1132"/>
        <v/>
      </c>
      <c r="R5441" s="1" t="str">
        <f t="shared" si="1127"/>
        <v/>
      </c>
      <c r="S5441" s="1">
        <f t="shared" si="1128"/>
        <v>630.90240000000244</v>
      </c>
      <c r="T5441" s="1">
        <f t="shared" si="1129"/>
        <v>0</v>
      </c>
      <c r="U5441" s="1">
        <f t="shared" si="1130"/>
        <v>0</v>
      </c>
      <c r="V5441" s="1">
        <f t="shared" si="1131"/>
        <v>0</v>
      </c>
    </row>
    <row r="5442" spans="13:22" x14ac:dyDescent="0.25">
      <c r="M5442" s="4">
        <f t="shared" si="1124"/>
        <v>173.1</v>
      </c>
      <c r="N5442" s="4"/>
      <c r="O5442" s="1">
        <f t="shared" si="1125"/>
        <v>173.1</v>
      </c>
      <c r="P5442" s="1">
        <f t="shared" si="1126"/>
        <v>0</v>
      </c>
      <c r="Q5442" s="1" t="str">
        <f t="shared" si="1132"/>
        <v/>
      </c>
      <c r="R5442" s="1" t="str">
        <f t="shared" si="1127"/>
        <v/>
      </c>
      <c r="S5442" s="1">
        <f t="shared" si="1128"/>
        <v>630.90240000000244</v>
      </c>
      <c r="T5442" s="1">
        <f t="shared" si="1129"/>
        <v>0</v>
      </c>
      <c r="U5442" s="1">
        <f t="shared" si="1130"/>
        <v>0</v>
      </c>
      <c r="V5442" s="1">
        <f t="shared" si="1131"/>
        <v>0</v>
      </c>
    </row>
    <row r="5443" spans="13:22" x14ac:dyDescent="0.25">
      <c r="M5443" s="4">
        <f t="shared" si="1124"/>
        <v>173.1</v>
      </c>
      <c r="N5443" s="4"/>
      <c r="O5443" s="1">
        <f t="shared" si="1125"/>
        <v>173.1</v>
      </c>
      <c r="P5443" s="1">
        <f t="shared" si="1126"/>
        <v>0</v>
      </c>
      <c r="Q5443" s="1" t="str">
        <f t="shared" si="1132"/>
        <v/>
      </c>
      <c r="R5443" s="1" t="str">
        <f t="shared" si="1127"/>
        <v/>
      </c>
      <c r="S5443" s="1">
        <f t="shared" si="1128"/>
        <v>630.90240000000244</v>
      </c>
      <c r="T5443" s="1">
        <f t="shared" si="1129"/>
        <v>0</v>
      </c>
      <c r="U5443" s="1">
        <f t="shared" si="1130"/>
        <v>0</v>
      </c>
      <c r="V5443" s="1">
        <f t="shared" si="1131"/>
        <v>0</v>
      </c>
    </row>
    <row r="5444" spans="13:22" x14ac:dyDescent="0.25">
      <c r="M5444" s="4">
        <f t="shared" si="1124"/>
        <v>173.1</v>
      </c>
      <c r="N5444" s="4"/>
      <c r="O5444" s="1">
        <f t="shared" si="1125"/>
        <v>173.1</v>
      </c>
      <c r="P5444" s="1">
        <f t="shared" si="1126"/>
        <v>0</v>
      </c>
      <c r="Q5444" s="1" t="str">
        <f t="shared" si="1132"/>
        <v/>
      </c>
      <c r="R5444" s="1" t="str">
        <f t="shared" si="1127"/>
        <v/>
      </c>
      <c r="S5444" s="1">
        <f t="shared" si="1128"/>
        <v>630.90240000000244</v>
      </c>
      <c r="T5444" s="1">
        <f t="shared" si="1129"/>
        <v>0</v>
      </c>
      <c r="U5444" s="1">
        <f t="shared" si="1130"/>
        <v>0</v>
      </c>
      <c r="V5444" s="1">
        <f t="shared" si="1131"/>
        <v>0</v>
      </c>
    </row>
    <row r="5445" spans="13:22" x14ac:dyDescent="0.25">
      <c r="M5445" s="4">
        <f t="shared" si="1124"/>
        <v>173.1</v>
      </c>
      <c r="N5445" s="4"/>
      <c r="O5445" s="1">
        <f t="shared" si="1125"/>
        <v>173.1</v>
      </c>
      <c r="P5445" s="1">
        <f t="shared" si="1126"/>
        <v>0</v>
      </c>
      <c r="Q5445" s="1" t="str">
        <f t="shared" si="1132"/>
        <v/>
      </c>
      <c r="R5445" s="1" t="str">
        <f t="shared" si="1127"/>
        <v/>
      </c>
      <c r="S5445" s="1">
        <f t="shared" si="1128"/>
        <v>630.90240000000244</v>
      </c>
      <c r="T5445" s="1">
        <f t="shared" si="1129"/>
        <v>0</v>
      </c>
      <c r="U5445" s="1">
        <f t="shared" si="1130"/>
        <v>0</v>
      </c>
      <c r="V5445" s="1">
        <f t="shared" si="1131"/>
        <v>0</v>
      </c>
    </row>
    <row r="5446" spans="13:22" x14ac:dyDescent="0.25">
      <c r="M5446" s="4">
        <f t="shared" si="1124"/>
        <v>173.1</v>
      </c>
      <c r="N5446" s="4"/>
      <c r="O5446" s="1">
        <f t="shared" si="1125"/>
        <v>173.1</v>
      </c>
      <c r="P5446" s="1">
        <f t="shared" si="1126"/>
        <v>0</v>
      </c>
      <c r="Q5446" s="1" t="str">
        <f t="shared" si="1132"/>
        <v/>
      </c>
      <c r="R5446" s="1" t="str">
        <f t="shared" si="1127"/>
        <v/>
      </c>
      <c r="S5446" s="1">
        <f t="shared" si="1128"/>
        <v>630.90240000000244</v>
      </c>
      <c r="T5446" s="1">
        <f t="shared" si="1129"/>
        <v>0</v>
      </c>
      <c r="U5446" s="1">
        <f t="shared" si="1130"/>
        <v>0</v>
      </c>
      <c r="V5446" s="1">
        <f t="shared" si="1131"/>
        <v>0</v>
      </c>
    </row>
    <row r="5447" spans="13:22" x14ac:dyDescent="0.25">
      <c r="M5447" s="4">
        <f t="shared" si="1124"/>
        <v>173.1</v>
      </c>
      <c r="N5447" s="4"/>
      <c r="O5447" s="1">
        <f t="shared" si="1125"/>
        <v>173.1</v>
      </c>
      <c r="P5447" s="1">
        <f t="shared" si="1126"/>
        <v>0</v>
      </c>
      <c r="Q5447" s="1" t="str">
        <f t="shared" si="1132"/>
        <v/>
      </c>
      <c r="R5447" s="1" t="str">
        <f t="shared" si="1127"/>
        <v/>
      </c>
      <c r="S5447" s="1">
        <f t="shared" si="1128"/>
        <v>630.90240000000244</v>
      </c>
      <c r="T5447" s="1">
        <f t="shared" si="1129"/>
        <v>0</v>
      </c>
      <c r="U5447" s="1">
        <f t="shared" si="1130"/>
        <v>0</v>
      </c>
      <c r="V5447" s="1">
        <f t="shared" si="1131"/>
        <v>0</v>
      </c>
    </row>
    <row r="5448" spans="13:22" x14ac:dyDescent="0.25">
      <c r="M5448" s="4">
        <f t="shared" ref="M5448:M5511" si="1133">E5448+M5447</f>
        <v>173.1</v>
      </c>
      <c r="N5448" s="4"/>
      <c r="O5448" s="1">
        <f t="shared" ref="O5448:O5511" si="1134">E5447+O5447</f>
        <v>173.1</v>
      </c>
      <c r="P5448" s="1">
        <f t="shared" ref="P5448:P5511" si="1135">F5448*52.8*E5448</f>
        <v>0</v>
      </c>
      <c r="Q5448" s="1" t="str">
        <f t="shared" si="1132"/>
        <v/>
      </c>
      <c r="R5448" s="1" t="str">
        <f t="shared" ref="R5448:R5511" si="1136">IF(I5448="",Q5448,IF(AND(H5448=H5447,I5448=I5447),"",I5448))</f>
        <v/>
      </c>
      <c r="S5448" s="1">
        <f t="shared" ref="S5448:S5511" si="1137">S5447+U5447*T5447/100</f>
        <v>630.90240000000244</v>
      </c>
      <c r="T5448" s="1">
        <f t="shared" ref="T5448:T5511" si="1138">IF(G5448="UNK",0,G5448)</f>
        <v>0</v>
      </c>
      <c r="U5448" s="1">
        <f t="shared" ref="U5448:U5511" si="1139">E5448*5280</f>
        <v>0</v>
      </c>
      <c r="V5448" s="1">
        <f t="shared" ref="V5448:V5511" si="1140">ABS(T5448*U5448)</f>
        <v>0</v>
      </c>
    </row>
    <row r="5449" spans="13:22" x14ac:dyDescent="0.25">
      <c r="M5449" s="4">
        <f t="shared" si="1133"/>
        <v>173.1</v>
      </c>
      <c r="N5449" s="4"/>
      <c r="O5449" s="1">
        <f t="shared" si="1134"/>
        <v>173.1</v>
      </c>
      <c r="P5449" s="1">
        <f t="shared" si="1135"/>
        <v>0</v>
      </c>
      <c r="Q5449" s="1" t="str">
        <f t="shared" si="1132"/>
        <v/>
      </c>
      <c r="R5449" s="1" t="str">
        <f t="shared" si="1136"/>
        <v/>
      </c>
      <c r="S5449" s="1">
        <f t="shared" si="1137"/>
        <v>630.90240000000244</v>
      </c>
      <c r="T5449" s="1">
        <f t="shared" si="1138"/>
        <v>0</v>
      </c>
      <c r="U5449" s="1">
        <f t="shared" si="1139"/>
        <v>0</v>
      </c>
      <c r="V5449" s="1">
        <f t="shared" si="1140"/>
        <v>0</v>
      </c>
    </row>
    <row r="5450" spans="13:22" x14ac:dyDescent="0.25">
      <c r="M5450" s="4">
        <f t="shared" si="1133"/>
        <v>173.1</v>
      </c>
      <c r="N5450" s="4"/>
      <c r="O5450" s="1">
        <f t="shared" si="1134"/>
        <v>173.1</v>
      </c>
      <c r="P5450" s="1">
        <f t="shared" si="1135"/>
        <v>0</v>
      </c>
      <c r="Q5450" s="1" t="str">
        <f t="shared" si="1132"/>
        <v/>
      </c>
      <c r="R5450" s="1" t="str">
        <f t="shared" si="1136"/>
        <v/>
      </c>
      <c r="S5450" s="1">
        <f t="shared" si="1137"/>
        <v>630.90240000000244</v>
      </c>
      <c r="T5450" s="1">
        <f t="shared" si="1138"/>
        <v>0</v>
      </c>
      <c r="U5450" s="1">
        <f t="shared" si="1139"/>
        <v>0</v>
      </c>
      <c r="V5450" s="1">
        <f t="shared" si="1140"/>
        <v>0</v>
      </c>
    </row>
    <row r="5451" spans="13:22" x14ac:dyDescent="0.25">
      <c r="M5451" s="4">
        <f t="shared" si="1133"/>
        <v>173.1</v>
      </c>
      <c r="N5451" s="4"/>
      <c r="O5451" s="1">
        <f t="shared" si="1134"/>
        <v>173.1</v>
      </c>
      <c r="P5451" s="1">
        <f t="shared" si="1135"/>
        <v>0</v>
      </c>
      <c r="Q5451" s="1" t="str">
        <f t="shared" si="1132"/>
        <v/>
      </c>
      <c r="R5451" s="1" t="str">
        <f t="shared" si="1136"/>
        <v/>
      </c>
      <c r="S5451" s="1">
        <f t="shared" si="1137"/>
        <v>630.90240000000244</v>
      </c>
      <c r="T5451" s="1">
        <f t="shared" si="1138"/>
        <v>0</v>
      </c>
      <c r="U5451" s="1">
        <f t="shared" si="1139"/>
        <v>0</v>
      </c>
      <c r="V5451" s="1">
        <f t="shared" si="1140"/>
        <v>0</v>
      </c>
    </row>
    <row r="5452" spans="13:22" x14ac:dyDescent="0.25">
      <c r="M5452" s="4">
        <f t="shared" si="1133"/>
        <v>173.1</v>
      </c>
      <c r="N5452" s="4"/>
      <c r="O5452" s="1">
        <f t="shared" si="1134"/>
        <v>173.1</v>
      </c>
      <c r="P5452" s="1">
        <f t="shared" si="1135"/>
        <v>0</v>
      </c>
      <c r="Q5452" s="1" t="str">
        <f t="shared" si="1132"/>
        <v/>
      </c>
      <c r="R5452" s="1" t="str">
        <f t="shared" si="1136"/>
        <v/>
      </c>
      <c r="S5452" s="1">
        <f t="shared" si="1137"/>
        <v>630.90240000000244</v>
      </c>
      <c r="T5452" s="1">
        <f t="shared" si="1138"/>
        <v>0</v>
      </c>
      <c r="U5452" s="1">
        <f t="shared" si="1139"/>
        <v>0</v>
      </c>
      <c r="V5452" s="1">
        <f t="shared" si="1140"/>
        <v>0</v>
      </c>
    </row>
    <row r="5453" spans="13:22" x14ac:dyDescent="0.25">
      <c r="M5453" s="4">
        <f t="shared" si="1133"/>
        <v>173.1</v>
      </c>
      <c r="N5453" s="4"/>
      <c r="O5453" s="1">
        <f t="shared" si="1134"/>
        <v>173.1</v>
      </c>
      <c r="P5453" s="1">
        <f t="shared" si="1135"/>
        <v>0</v>
      </c>
      <c r="Q5453" s="1" t="str">
        <f t="shared" si="1132"/>
        <v/>
      </c>
      <c r="R5453" s="1" t="str">
        <f t="shared" si="1136"/>
        <v/>
      </c>
      <c r="S5453" s="1">
        <f t="shared" si="1137"/>
        <v>630.90240000000244</v>
      </c>
      <c r="T5453" s="1">
        <f t="shared" si="1138"/>
        <v>0</v>
      </c>
      <c r="U5453" s="1">
        <f t="shared" si="1139"/>
        <v>0</v>
      </c>
      <c r="V5453" s="1">
        <f t="shared" si="1140"/>
        <v>0</v>
      </c>
    </row>
    <row r="5454" spans="13:22" x14ac:dyDescent="0.25">
      <c r="M5454" s="4">
        <f t="shared" si="1133"/>
        <v>173.1</v>
      </c>
      <c r="N5454" s="4"/>
      <c r="O5454" s="1">
        <f t="shared" si="1134"/>
        <v>173.1</v>
      </c>
      <c r="P5454" s="1">
        <f t="shared" si="1135"/>
        <v>0</v>
      </c>
      <c r="Q5454" s="1" t="str">
        <f t="shared" si="1132"/>
        <v/>
      </c>
      <c r="R5454" s="1" t="str">
        <f t="shared" si="1136"/>
        <v/>
      </c>
      <c r="S5454" s="1">
        <f t="shared" si="1137"/>
        <v>630.90240000000244</v>
      </c>
      <c r="T5454" s="1">
        <f t="shared" si="1138"/>
        <v>0</v>
      </c>
      <c r="U5454" s="1">
        <f t="shared" si="1139"/>
        <v>0</v>
      </c>
      <c r="V5454" s="1">
        <f t="shared" si="1140"/>
        <v>0</v>
      </c>
    </row>
    <row r="5455" spans="13:22" x14ac:dyDescent="0.25">
      <c r="M5455" s="4">
        <f t="shared" si="1133"/>
        <v>173.1</v>
      </c>
      <c r="N5455" s="4"/>
      <c r="O5455" s="1">
        <f t="shared" si="1134"/>
        <v>173.1</v>
      </c>
      <c r="P5455" s="1">
        <f t="shared" si="1135"/>
        <v>0</v>
      </c>
      <c r="Q5455" s="1" t="str">
        <f t="shared" si="1132"/>
        <v/>
      </c>
      <c r="R5455" s="1" t="str">
        <f t="shared" si="1136"/>
        <v/>
      </c>
      <c r="S5455" s="1">
        <f t="shared" si="1137"/>
        <v>630.90240000000244</v>
      </c>
      <c r="T5455" s="1">
        <f t="shared" si="1138"/>
        <v>0</v>
      </c>
      <c r="U5455" s="1">
        <f t="shared" si="1139"/>
        <v>0</v>
      </c>
      <c r="V5455" s="1">
        <f t="shared" si="1140"/>
        <v>0</v>
      </c>
    </row>
    <row r="5456" spans="13:22" x14ac:dyDescent="0.25">
      <c r="M5456" s="4">
        <f t="shared" si="1133"/>
        <v>173.1</v>
      </c>
      <c r="N5456" s="4"/>
      <c r="O5456" s="1">
        <f t="shared" si="1134"/>
        <v>173.1</v>
      </c>
      <c r="P5456" s="1">
        <f t="shared" si="1135"/>
        <v>0</v>
      </c>
      <c r="Q5456" s="1" t="str">
        <f t="shared" si="1132"/>
        <v/>
      </c>
      <c r="R5456" s="1" t="str">
        <f t="shared" si="1136"/>
        <v/>
      </c>
      <c r="S5456" s="1">
        <f t="shared" si="1137"/>
        <v>630.90240000000244</v>
      </c>
      <c r="T5456" s="1">
        <f t="shared" si="1138"/>
        <v>0</v>
      </c>
      <c r="U5456" s="1">
        <f t="shared" si="1139"/>
        <v>0</v>
      </c>
      <c r="V5456" s="1">
        <f t="shared" si="1140"/>
        <v>0</v>
      </c>
    </row>
    <row r="5457" spans="13:22" x14ac:dyDescent="0.25">
      <c r="M5457" s="4">
        <f t="shared" si="1133"/>
        <v>173.1</v>
      </c>
      <c r="N5457" s="4"/>
      <c r="O5457" s="1">
        <f t="shared" si="1134"/>
        <v>173.1</v>
      </c>
      <c r="P5457" s="1">
        <f t="shared" si="1135"/>
        <v>0</v>
      </c>
      <c r="Q5457" s="1" t="str">
        <f t="shared" si="1132"/>
        <v/>
      </c>
      <c r="R5457" s="1" t="str">
        <f t="shared" si="1136"/>
        <v/>
      </c>
      <c r="S5457" s="1">
        <f t="shared" si="1137"/>
        <v>630.90240000000244</v>
      </c>
      <c r="T5457" s="1">
        <f t="shared" si="1138"/>
        <v>0</v>
      </c>
      <c r="U5457" s="1">
        <f t="shared" si="1139"/>
        <v>0</v>
      </c>
      <c r="V5457" s="1">
        <f t="shared" si="1140"/>
        <v>0</v>
      </c>
    </row>
    <row r="5458" spans="13:22" x14ac:dyDescent="0.25">
      <c r="M5458" s="4">
        <f t="shared" si="1133"/>
        <v>173.1</v>
      </c>
      <c r="N5458" s="4"/>
      <c r="O5458" s="1">
        <f t="shared" si="1134"/>
        <v>173.1</v>
      </c>
      <c r="P5458" s="1">
        <f t="shared" si="1135"/>
        <v>0</v>
      </c>
      <c r="Q5458" s="1" t="str">
        <f t="shared" si="1132"/>
        <v/>
      </c>
      <c r="R5458" s="1" t="str">
        <f t="shared" si="1136"/>
        <v/>
      </c>
      <c r="S5458" s="1">
        <f t="shared" si="1137"/>
        <v>630.90240000000244</v>
      </c>
      <c r="T5458" s="1">
        <f t="shared" si="1138"/>
        <v>0</v>
      </c>
      <c r="U5458" s="1">
        <f t="shared" si="1139"/>
        <v>0</v>
      </c>
      <c r="V5458" s="1">
        <f t="shared" si="1140"/>
        <v>0</v>
      </c>
    </row>
    <row r="5459" spans="13:22" x14ac:dyDescent="0.25">
      <c r="M5459" s="4">
        <f t="shared" si="1133"/>
        <v>173.1</v>
      </c>
      <c r="N5459" s="4"/>
      <c r="O5459" s="1">
        <f t="shared" si="1134"/>
        <v>173.1</v>
      </c>
      <c r="P5459" s="1">
        <f t="shared" si="1135"/>
        <v>0</v>
      </c>
      <c r="Q5459" s="1" t="str">
        <f t="shared" si="1132"/>
        <v/>
      </c>
      <c r="R5459" s="1" t="str">
        <f t="shared" si="1136"/>
        <v/>
      </c>
      <c r="S5459" s="1">
        <f t="shared" si="1137"/>
        <v>630.90240000000244</v>
      </c>
      <c r="T5459" s="1">
        <f t="shared" si="1138"/>
        <v>0</v>
      </c>
      <c r="U5459" s="1">
        <f t="shared" si="1139"/>
        <v>0</v>
      </c>
      <c r="V5459" s="1">
        <f t="shared" si="1140"/>
        <v>0</v>
      </c>
    </row>
    <row r="5460" spans="13:22" x14ac:dyDescent="0.25">
      <c r="M5460" s="4">
        <f t="shared" si="1133"/>
        <v>173.1</v>
      </c>
      <c r="N5460" s="4"/>
      <c r="O5460" s="1">
        <f t="shared" si="1134"/>
        <v>173.1</v>
      </c>
      <c r="P5460" s="1">
        <f t="shared" si="1135"/>
        <v>0</v>
      </c>
      <c r="Q5460" s="1" t="str">
        <f t="shared" si="1132"/>
        <v/>
      </c>
      <c r="R5460" s="1" t="str">
        <f t="shared" si="1136"/>
        <v/>
      </c>
      <c r="S5460" s="1">
        <f t="shared" si="1137"/>
        <v>630.90240000000244</v>
      </c>
      <c r="T5460" s="1">
        <f t="shared" si="1138"/>
        <v>0</v>
      </c>
      <c r="U5460" s="1">
        <f t="shared" si="1139"/>
        <v>0</v>
      </c>
      <c r="V5460" s="1">
        <f t="shared" si="1140"/>
        <v>0</v>
      </c>
    </row>
    <row r="5461" spans="13:22" x14ac:dyDescent="0.25">
      <c r="M5461" s="4">
        <f t="shared" si="1133"/>
        <v>173.1</v>
      </c>
      <c r="N5461" s="4"/>
      <c r="O5461" s="1">
        <f t="shared" si="1134"/>
        <v>173.1</v>
      </c>
      <c r="P5461" s="1">
        <f t="shared" si="1135"/>
        <v>0</v>
      </c>
      <c r="Q5461" s="1" t="str">
        <f t="shared" si="1132"/>
        <v/>
      </c>
      <c r="R5461" s="1" t="str">
        <f t="shared" si="1136"/>
        <v/>
      </c>
      <c r="S5461" s="1">
        <f t="shared" si="1137"/>
        <v>630.90240000000244</v>
      </c>
      <c r="T5461" s="1">
        <f t="shared" si="1138"/>
        <v>0</v>
      </c>
      <c r="U5461" s="1">
        <f t="shared" si="1139"/>
        <v>0</v>
      </c>
      <c r="V5461" s="1">
        <f t="shared" si="1140"/>
        <v>0</v>
      </c>
    </row>
    <row r="5462" spans="13:22" x14ac:dyDescent="0.25">
      <c r="M5462" s="4">
        <f t="shared" si="1133"/>
        <v>173.1</v>
      </c>
      <c r="N5462" s="4"/>
      <c r="O5462" s="1">
        <f t="shared" si="1134"/>
        <v>173.1</v>
      </c>
      <c r="P5462" s="1">
        <f t="shared" si="1135"/>
        <v>0</v>
      </c>
      <c r="Q5462" s="1" t="str">
        <f t="shared" si="1132"/>
        <v/>
      </c>
      <c r="R5462" s="1" t="str">
        <f t="shared" si="1136"/>
        <v/>
      </c>
      <c r="S5462" s="1">
        <f t="shared" si="1137"/>
        <v>630.90240000000244</v>
      </c>
      <c r="T5462" s="1">
        <f t="shared" si="1138"/>
        <v>0</v>
      </c>
      <c r="U5462" s="1">
        <f t="shared" si="1139"/>
        <v>0</v>
      </c>
      <c r="V5462" s="1">
        <f t="shared" si="1140"/>
        <v>0</v>
      </c>
    </row>
    <row r="5463" spans="13:22" x14ac:dyDescent="0.25">
      <c r="M5463" s="4">
        <f t="shared" si="1133"/>
        <v>173.1</v>
      </c>
      <c r="N5463" s="4"/>
      <c r="O5463" s="1">
        <f t="shared" si="1134"/>
        <v>173.1</v>
      </c>
      <c r="P5463" s="1">
        <f t="shared" si="1135"/>
        <v>0</v>
      </c>
      <c r="Q5463" s="1" t="str">
        <f t="shared" si="1132"/>
        <v/>
      </c>
      <c r="R5463" s="1" t="str">
        <f t="shared" si="1136"/>
        <v/>
      </c>
      <c r="S5463" s="1">
        <f t="shared" si="1137"/>
        <v>630.90240000000244</v>
      </c>
      <c r="T5463" s="1">
        <f t="shared" si="1138"/>
        <v>0</v>
      </c>
      <c r="U5463" s="1">
        <f t="shared" si="1139"/>
        <v>0</v>
      </c>
      <c r="V5463" s="1">
        <f t="shared" si="1140"/>
        <v>0</v>
      </c>
    </row>
    <row r="5464" spans="13:22" x14ac:dyDescent="0.25">
      <c r="M5464" s="4">
        <f t="shared" si="1133"/>
        <v>173.1</v>
      </c>
      <c r="N5464" s="4"/>
      <c r="O5464" s="1">
        <f t="shared" si="1134"/>
        <v>173.1</v>
      </c>
      <c r="P5464" s="1">
        <f t="shared" si="1135"/>
        <v>0</v>
      </c>
      <c r="Q5464" s="1" t="str">
        <f t="shared" si="1132"/>
        <v/>
      </c>
      <c r="R5464" s="1" t="str">
        <f t="shared" si="1136"/>
        <v/>
      </c>
      <c r="S5464" s="1">
        <f t="shared" si="1137"/>
        <v>630.90240000000244</v>
      </c>
      <c r="T5464" s="1">
        <f t="shared" si="1138"/>
        <v>0</v>
      </c>
      <c r="U5464" s="1">
        <f t="shared" si="1139"/>
        <v>0</v>
      </c>
      <c r="V5464" s="1">
        <f t="shared" si="1140"/>
        <v>0</v>
      </c>
    </row>
    <row r="5465" spans="13:22" x14ac:dyDescent="0.25">
      <c r="M5465" s="4">
        <f t="shared" si="1133"/>
        <v>173.1</v>
      </c>
      <c r="N5465" s="4"/>
      <c r="O5465" s="1">
        <f t="shared" si="1134"/>
        <v>173.1</v>
      </c>
      <c r="P5465" s="1">
        <f t="shared" si="1135"/>
        <v>0</v>
      </c>
      <c r="Q5465" s="1" t="str">
        <f t="shared" si="1132"/>
        <v/>
      </c>
      <c r="R5465" s="1" t="str">
        <f t="shared" si="1136"/>
        <v/>
      </c>
      <c r="S5465" s="1">
        <f t="shared" si="1137"/>
        <v>630.90240000000244</v>
      </c>
      <c r="T5465" s="1">
        <f t="shared" si="1138"/>
        <v>0</v>
      </c>
      <c r="U5465" s="1">
        <f t="shared" si="1139"/>
        <v>0</v>
      </c>
      <c r="V5465" s="1">
        <f t="shared" si="1140"/>
        <v>0</v>
      </c>
    </row>
    <row r="5466" spans="13:22" x14ac:dyDescent="0.25">
      <c r="M5466" s="4">
        <f t="shared" si="1133"/>
        <v>173.1</v>
      </c>
      <c r="N5466" s="4"/>
      <c r="O5466" s="1">
        <f t="shared" si="1134"/>
        <v>173.1</v>
      </c>
      <c r="P5466" s="1">
        <f t="shared" si="1135"/>
        <v>0</v>
      </c>
      <c r="Q5466" s="1" t="str">
        <f t="shared" si="1132"/>
        <v/>
      </c>
      <c r="R5466" s="1" t="str">
        <f t="shared" si="1136"/>
        <v/>
      </c>
      <c r="S5466" s="1">
        <f t="shared" si="1137"/>
        <v>630.90240000000244</v>
      </c>
      <c r="T5466" s="1">
        <f t="shared" si="1138"/>
        <v>0</v>
      </c>
      <c r="U5466" s="1">
        <f t="shared" si="1139"/>
        <v>0</v>
      </c>
      <c r="V5466" s="1">
        <f t="shared" si="1140"/>
        <v>0</v>
      </c>
    </row>
    <row r="5467" spans="13:22" x14ac:dyDescent="0.25">
      <c r="M5467" s="4">
        <f t="shared" si="1133"/>
        <v>173.1</v>
      </c>
      <c r="N5467" s="4"/>
      <c r="O5467" s="1">
        <f t="shared" si="1134"/>
        <v>173.1</v>
      </c>
      <c r="P5467" s="1">
        <f t="shared" si="1135"/>
        <v>0</v>
      </c>
      <c r="Q5467" s="1" t="str">
        <f t="shared" si="1132"/>
        <v/>
      </c>
      <c r="R5467" s="1" t="str">
        <f t="shared" si="1136"/>
        <v/>
      </c>
      <c r="S5467" s="1">
        <f t="shared" si="1137"/>
        <v>630.90240000000244</v>
      </c>
      <c r="T5467" s="1">
        <f t="shared" si="1138"/>
        <v>0</v>
      </c>
      <c r="U5467" s="1">
        <f t="shared" si="1139"/>
        <v>0</v>
      </c>
      <c r="V5467" s="1">
        <f t="shared" si="1140"/>
        <v>0</v>
      </c>
    </row>
    <row r="5468" spans="13:22" x14ac:dyDescent="0.25">
      <c r="M5468" s="4">
        <f t="shared" si="1133"/>
        <v>173.1</v>
      </c>
      <c r="N5468" s="4"/>
      <c r="O5468" s="1">
        <f t="shared" si="1134"/>
        <v>173.1</v>
      </c>
      <c r="P5468" s="1">
        <f t="shared" si="1135"/>
        <v>0</v>
      </c>
      <c r="Q5468" s="1" t="str">
        <f t="shared" si="1132"/>
        <v/>
      </c>
      <c r="R5468" s="1" t="str">
        <f t="shared" si="1136"/>
        <v/>
      </c>
      <c r="S5468" s="1">
        <f t="shared" si="1137"/>
        <v>630.90240000000244</v>
      </c>
      <c r="T5468" s="1">
        <f t="shared" si="1138"/>
        <v>0</v>
      </c>
      <c r="U5468" s="1">
        <f t="shared" si="1139"/>
        <v>0</v>
      </c>
      <c r="V5468" s="1">
        <f t="shared" si="1140"/>
        <v>0</v>
      </c>
    </row>
    <row r="5469" spans="13:22" x14ac:dyDescent="0.25">
      <c r="M5469" s="4">
        <f t="shared" si="1133"/>
        <v>173.1</v>
      </c>
      <c r="N5469" s="4"/>
      <c r="O5469" s="1">
        <f t="shared" si="1134"/>
        <v>173.1</v>
      </c>
      <c r="P5469" s="1">
        <f t="shared" si="1135"/>
        <v>0</v>
      </c>
      <c r="Q5469" s="1" t="str">
        <f t="shared" si="1132"/>
        <v/>
      </c>
      <c r="R5469" s="1" t="str">
        <f t="shared" si="1136"/>
        <v/>
      </c>
      <c r="S5469" s="1">
        <f t="shared" si="1137"/>
        <v>630.90240000000244</v>
      </c>
      <c r="T5469" s="1">
        <f t="shared" si="1138"/>
        <v>0</v>
      </c>
      <c r="U5469" s="1">
        <f t="shared" si="1139"/>
        <v>0</v>
      </c>
      <c r="V5469" s="1">
        <f t="shared" si="1140"/>
        <v>0</v>
      </c>
    </row>
    <row r="5470" spans="13:22" x14ac:dyDescent="0.25">
      <c r="M5470" s="4">
        <f t="shared" si="1133"/>
        <v>173.1</v>
      </c>
      <c r="N5470" s="4"/>
      <c r="O5470" s="1">
        <f t="shared" si="1134"/>
        <v>173.1</v>
      </c>
      <c r="P5470" s="1">
        <f t="shared" si="1135"/>
        <v>0</v>
      </c>
      <c r="Q5470" s="1" t="str">
        <f t="shared" si="1132"/>
        <v/>
      </c>
      <c r="R5470" s="1" t="str">
        <f t="shared" si="1136"/>
        <v/>
      </c>
      <c r="S5470" s="1">
        <f t="shared" si="1137"/>
        <v>630.90240000000244</v>
      </c>
      <c r="T5470" s="1">
        <f t="shared" si="1138"/>
        <v>0</v>
      </c>
      <c r="U5470" s="1">
        <f t="shared" si="1139"/>
        <v>0</v>
      </c>
      <c r="V5470" s="1">
        <f t="shared" si="1140"/>
        <v>0</v>
      </c>
    </row>
    <row r="5471" spans="13:22" x14ac:dyDescent="0.25">
      <c r="M5471" s="4">
        <f t="shared" si="1133"/>
        <v>173.1</v>
      </c>
      <c r="N5471" s="4"/>
      <c r="O5471" s="1">
        <f t="shared" si="1134"/>
        <v>173.1</v>
      </c>
      <c r="P5471" s="1">
        <f t="shared" si="1135"/>
        <v>0</v>
      </c>
      <c r="Q5471" s="1" t="str">
        <f t="shared" si="1132"/>
        <v/>
      </c>
      <c r="R5471" s="1" t="str">
        <f t="shared" si="1136"/>
        <v/>
      </c>
      <c r="S5471" s="1">
        <f t="shared" si="1137"/>
        <v>630.90240000000244</v>
      </c>
      <c r="T5471" s="1">
        <f t="shared" si="1138"/>
        <v>0</v>
      </c>
      <c r="U5471" s="1">
        <f t="shared" si="1139"/>
        <v>0</v>
      </c>
      <c r="V5471" s="1">
        <f t="shared" si="1140"/>
        <v>0</v>
      </c>
    </row>
    <row r="5472" spans="13:22" x14ac:dyDescent="0.25">
      <c r="M5472" s="4">
        <f t="shared" si="1133"/>
        <v>173.1</v>
      </c>
      <c r="N5472" s="4"/>
      <c r="O5472" s="1">
        <f t="shared" si="1134"/>
        <v>173.1</v>
      </c>
      <c r="P5472" s="1">
        <f t="shared" si="1135"/>
        <v>0</v>
      </c>
      <c r="Q5472" s="1" t="str">
        <f t="shared" si="1132"/>
        <v/>
      </c>
      <c r="R5472" s="1" t="str">
        <f t="shared" si="1136"/>
        <v/>
      </c>
      <c r="S5472" s="1">
        <f t="shared" si="1137"/>
        <v>630.90240000000244</v>
      </c>
      <c r="T5472" s="1">
        <f t="shared" si="1138"/>
        <v>0</v>
      </c>
      <c r="U5472" s="1">
        <f t="shared" si="1139"/>
        <v>0</v>
      </c>
      <c r="V5472" s="1">
        <f t="shared" si="1140"/>
        <v>0</v>
      </c>
    </row>
    <row r="5473" spans="13:22" x14ac:dyDescent="0.25">
      <c r="M5473" s="4">
        <f t="shared" si="1133"/>
        <v>173.1</v>
      </c>
      <c r="N5473" s="4"/>
      <c r="O5473" s="1">
        <f t="shared" si="1134"/>
        <v>173.1</v>
      </c>
      <c r="P5473" s="1">
        <f t="shared" si="1135"/>
        <v>0</v>
      </c>
      <c r="Q5473" s="1" t="str">
        <f t="shared" si="1132"/>
        <v/>
      </c>
      <c r="R5473" s="1" t="str">
        <f t="shared" si="1136"/>
        <v/>
      </c>
      <c r="S5473" s="1">
        <f t="shared" si="1137"/>
        <v>630.90240000000244</v>
      </c>
      <c r="T5473" s="1">
        <f t="shared" si="1138"/>
        <v>0</v>
      </c>
      <c r="U5473" s="1">
        <f t="shared" si="1139"/>
        <v>0</v>
      </c>
      <c r="V5473" s="1">
        <f t="shared" si="1140"/>
        <v>0</v>
      </c>
    </row>
    <row r="5474" spans="13:22" x14ac:dyDescent="0.25">
      <c r="M5474" s="4">
        <f t="shared" si="1133"/>
        <v>173.1</v>
      </c>
      <c r="N5474" s="4"/>
      <c r="O5474" s="1">
        <f t="shared" si="1134"/>
        <v>173.1</v>
      </c>
      <c r="P5474" s="1">
        <f t="shared" si="1135"/>
        <v>0</v>
      </c>
      <c r="Q5474" s="1" t="str">
        <f t="shared" si="1132"/>
        <v/>
      </c>
      <c r="R5474" s="1" t="str">
        <f t="shared" si="1136"/>
        <v/>
      </c>
      <c r="S5474" s="1">
        <f t="shared" si="1137"/>
        <v>630.90240000000244</v>
      </c>
      <c r="T5474" s="1">
        <f t="shared" si="1138"/>
        <v>0</v>
      </c>
      <c r="U5474" s="1">
        <f t="shared" si="1139"/>
        <v>0</v>
      </c>
      <c r="V5474" s="1">
        <f t="shared" si="1140"/>
        <v>0</v>
      </c>
    </row>
    <row r="5475" spans="13:22" x14ac:dyDescent="0.25">
      <c r="M5475" s="4">
        <f t="shared" si="1133"/>
        <v>173.1</v>
      </c>
      <c r="N5475" s="4"/>
      <c r="O5475" s="1">
        <f t="shared" si="1134"/>
        <v>173.1</v>
      </c>
      <c r="P5475" s="1">
        <f t="shared" si="1135"/>
        <v>0</v>
      </c>
      <c r="Q5475" s="1" t="str">
        <f t="shared" si="1132"/>
        <v/>
      </c>
      <c r="R5475" s="1" t="str">
        <f t="shared" si="1136"/>
        <v/>
      </c>
      <c r="S5475" s="1">
        <f t="shared" si="1137"/>
        <v>630.90240000000244</v>
      </c>
      <c r="T5475" s="1">
        <f t="shared" si="1138"/>
        <v>0</v>
      </c>
      <c r="U5475" s="1">
        <f t="shared" si="1139"/>
        <v>0</v>
      </c>
      <c r="V5475" s="1">
        <f t="shared" si="1140"/>
        <v>0</v>
      </c>
    </row>
    <row r="5476" spans="13:22" x14ac:dyDescent="0.25">
      <c r="M5476" s="4">
        <f t="shared" si="1133"/>
        <v>173.1</v>
      </c>
      <c r="N5476" s="4"/>
      <c r="O5476" s="1">
        <f t="shared" si="1134"/>
        <v>173.1</v>
      </c>
      <c r="P5476" s="1">
        <f t="shared" si="1135"/>
        <v>0</v>
      </c>
      <c r="Q5476" s="1" t="str">
        <f t="shared" si="1132"/>
        <v/>
      </c>
      <c r="R5476" s="1" t="str">
        <f t="shared" si="1136"/>
        <v/>
      </c>
      <c r="S5476" s="1">
        <f t="shared" si="1137"/>
        <v>630.90240000000244</v>
      </c>
      <c r="T5476" s="1">
        <f t="shared" si="1138"/>
        <v>0</v>
      </c>
      <c r="U5476" s="1">
        <f t="shared" si="1139"/>
        <v>0</v>
      </c>
      <c r="V5476" s="1">
        <f t="shared" si="1140"/>
        <v>0</v>
      </c>
    </row>
    <row r="5477" spans="13:22" x14ac:dyDescent="0.25">
      <c r="M5477" s="4">
        <f t="shared" si="1133"/>
        <v>173.1</v>
      </c>
      <c r="N5477" s="4"/>
      <c r="O5477" s="1">
        <f t="shared" si="1134"/>
        <v>173.1</v>
      </c>
      <c r="P5477" s="1">
        <f t="shared" si="1135"/>
        <v>0</v>
      </c>
      <c r="Q5477" s="1" t="str">
        <f t="shared" si="1132"/>
        <v/>
      </c>
      <c r="R5477" s="1" t="str">
        <f t="shared" si="1136"/>
        <v/>
      </c>
      <c r="S5477" s="1">
        <f t="shared" si="1137"/>
        <v>630.90240000000244</v>
      </c>
      <c r="T5477" s="1">
        <f t="shared" si="1138"/>
        <v>0</v>
      </c>
      <c r="U5477" s="1">
        <f t="shared" si="1139"/>
        <v>0</v>
      </c>
      <c r="V5477" s="1">
        <f t="shared" si="1140"/>
        <v>0</v>
      </c>
    </row>
    <row r="5478" spans="13:22" x14ac:dyDescent="0.25">
      <c r="M5478" s="4">
        <f t="shared" si="1133"/>
        <v>173.1</v>
      </c>
      <c r="N5478" s="4"/>
      <c r="O5478" s="1">
        <f t="shared" si="1134"/>
        <v>173.1</v>
      </c>
      <c r="P5478" s="1">
        <f t="shared" si="1135"/>
        <v>0</v>
      </c>
      <c r="Q5478" s="1" t="str">
        <f t="shared" si="1132"/>
        <v/>
      </c>
      <c r="R5478" s="1" t="str">
        <f t="shared" si="1136"/>
        <v/>
      </c>
      <c r="S5478" s="1">
        <f t="shared" si="1137"/>
        <v>630.90240000000244</v>
      </c>
      <c r="T5478" s="1">
        <f t="shared" si="1138"/>
        <v>0</v>
      </c>
      <c r="U5478" s="1">
        <f t="shared" si="1139"/>
        <v>0</v>
      </c>
      <c r="V5478" s="1">
        <f t="shared" si="1140"/>
        <v>0</v>
      </c>
    </row>
    <row r="5479" spans="13:22" x14ac:dyDescent="0.25">
      <c r="M5479" s="4">
        <f t="shared" si="1133"/>
        <v>173.1</v>
      </c>
      <c r="N5479" s="4"/>
      <c r="O5479" s="1">
        <f t="shared" si="1134"/>
        <v>173.1</v>
      </c>
      <c r="P5479" s="1">
        <f t="shared" si="1135"/>
        <v>0</v>
      </c>
      <c r="Q5479" s="1" t="str">
        <f t="shared" si="1132"/>
        <v/>
      </c>
      <c r="R5479" s="1" t="str">
        <f t="shared" si="1136"/>
        <v/>
      </c>
      <c r="S5479" s="1">
        <f t="shared" si="1137"/>
        <v>630.90240000000244</v>
      </c>
      <c r="T5479" s="1">
        <f t="shared" si="1138"/>
        <v>0</v>
      </c>
      <c r="U5479" s="1">
        <f t="shared" si="1139"/>
        <v>0</v>
      </c>
      <c r="V5479" s="1">
        <f t="shared" si="1140"/>
        <v>0</v>
      </c>
    </row>
    <row r="5480" spans="13:22" x14ac:dyDescent="0.25">
      <c r="M5480" s="4">
        <f t="shared" si="1133"/>
        <v>173.1</v>
      </c>
      <c r="N5480" s="4"/>
      <c r="O5480" s="1">
        <f t="shared" si="1134"/>
        <v>173.1</v>
      </c>
      <c r="P5480" s="1">
        <f t="shared" si="1135"/>
        <v>0</v>
      </c>
      <c r="Q5480" s="1" t="str">
        <f t="shared" si="1132"/>
        <v/>
      </c>
      <c r="R5480" s="1" t="str">
        <f t="shared" si="1136"/>
        <v/>
      </c>
      <c r="S5480" s="1">
        <f t="shared" si="1137"/>
        <v>630.90240000000244</v>
      </c>
      <c r="T5480" s="1">
        <f t="shared" si="1138"/>
        <v>0</v>
      </c>
      <c r="U5480" s="1">
        <f t="shared" si="1139"/>
        <v>0</v>
      </c>
      <c r="V5480" s="1">
        <f t="shared" si="1140"/>
        <v>0</v>
      </c>
    </row>
    <row r="5481" spans="13:22" x14ac:dyDescent="0.25">
      <c r="M5481" s="4">
        <f t="shared" si="1133"/>
        <v>173.1</v>
      </c>
      <c r="N5481" s="4"/>
      <c r="O5481" s="1">
        <f t="shared" si="1134"/>
        <v>173.1</v>
      </c>
      <c r="P5481" s="1">
        <f t="shared" si="1135"/>
        <v>0</v>
      </c>
      <c r="Q5481" s="1" t="str">
        <f t="shared" si="1132"/>
        <v/>
      </c>
      <c r="R5481" s="1" t="str">
        <f t="shared" si="1136"/>
        <v/>
      </c>
      <c r="S5481" s="1">
        <f t="shared" si="1137"/>
        <v>630.90240000000244</v>
      </c>
      <c r="T5481" s="1">
        <f t="shared" si="1138"/>
        <v>0</v>
      </c>
      <c r="U5481" s="1">
        <f t="shared" si="1139"/>
        <v>0</v>
      </c>
      <c r="V5481" s="1">
        <f t="shared" si="1140"/>
        <v>0</v>
      </c>
    </row>
    <row r="5482" spans="13:22" x14ac:dyDescent="0.25">
      <c r="M5482" s="4">
        <f t="shared" si="1133"/>
        <v>173.1</v>
      </c>
      <c r="N5482" s="4"/>
      <c r="O5482" s="1">
        <f t="shared" si="1134"/>
        <v>173.1</v>
      </c>
      <c r="P5482" s="1">
        <f t="shared" si="1135"/>
        <v>0</v>
      </c>
      <c r="Q5482" s="1" t="str">
        <f t="shared" si="1132"/>
        <v/>
      </c>
      <c r="R5482" s="1" t="str">
        <f t="shared" si="1136"/>
        <v/>
      </c>
      <c r="S5482" s="1">
        <f t="shared" si="1137"/>
        <v>630.90240000000244</v>
      </c>
      <c r="T5482" s="1">
        <f t="shared" si="1138"/>
        <v>0</v>
      </c>
      <c r="U5482" s="1">
        <f t="shared" si="1139"/>
        <v>0</v>
      </c>
      <c r="V5482" s="1">
        <f t="shared" si="1140"/>
        <v>0</v>
      </c>
    </row>
    <row r="5483" spans="13:22" x14ac:dyDescent="0.25">
      <c r="M5483" s="4">
        <f t="shared" si="1133"/>
        <v>173.1</v>
      </c>
      <c r="N5483" s="4"/>
      <c r="O5483" s="1">
        <f t="shared" si="1134"/>
        <v>173.1</v>
      </c>
      <c r="P5483" s="1">
        <f t="shared" si="1135"/>
        <v>0</v>
      </c>
      <c r="Q5483" s="1" t="str">
        <f t="shared" si="1132"/>
        <v/>
      </c>
      <c r="R5483" s="1" t="str">
        <f t="shared" si="1136"/>
        <v/>
      </c>
      <c r="S5483" s="1">
        <f t="shared" si="1137"/>
        <v>630.90240000000244</v>
      </c>
      <c r="T5483" s="1">
        <f t="shared" si="1138"/>
        <v>0</v>
      </c>
      <c r="U5483" s="1">
        <f t="shared" si="1139"/>
        <v>0</v>
      </c>
      <c r="V5483" s="1">
        <f t="shared" si="1140"/>
        <v>0</v>
      </c>
    </row>
    <row r="5484" spans="13:22" x14ac:dyDescent="0.25">
      <c r="M5484" s="4">
        <f t="shared" si="1133"/>
        <v>173.1</v>
      </c>
      <c r="N5484" s="4"/>
      <c r="O5484" s="1">
        <f t="shared" si="1134"/>
        <v>173.1</v>
      </c>
      <c r="P5484" s="1">
        <f t="shared" si="1135"/>
        <v>0</v>
      </c>
      <c r="Q5484" s="1" t="str">
        <f t="shared" si="1132"/>
        <v/>
      </c>
      <c r="R5484" s="1" t="str">
        <f t="shared" si="1136"/>
        <v/>
      </c>
      <c r="S5484" s="1">
        <f t="shared" si="1137"/>
        <v>630.90240000000244</v>
      </c>
      <c r="T5484" s="1">
        <f t="shared" si="1138"/>
        <v>0</v>
      </c>
      <c r="U5484" s="1">
        <f t="shared" si="1139"/>
        <v>0</v>
      </c>
      <c r="V5484" s="1">
        <f t="shared" si="1140"/>
        <v>0</v>
      </c>
    </row>
    <row r="5485" spans="13:22" x14ac:dyDescent="0.25">
      <c r="M5485" s="4">
        <f t="shared" si="1133"/>
        <v>173.1</v>
      </c>
      <c r="N5485" s="4"/>
      <c r="O5485" s="1">
        <f t="shared" si="1134"/>
        <v>173.1</v>
      </c>
      <c r="P5485" s="1">
        <f t="shared" si="1135"/>
        <v>0</v>
      </c>
      <c r="Q5485" s="1" t="str">
        <f t="shared" si="1132"/>
        <v/>
      </c>
      <c r="R5485" s="1" t="str">
        <f t="shared" si="1136"/>
        <v/>
      </c>
      <c r="S5485" s="1">
        <f t="shared" si="1137"/>
        <v>630.90240000000244</v>
      </c>
      <c r="T5485" s="1">
        <f t="shared" si="1138"/>
        <v>0</v>
      </c>
      <c r="U5485" s="1">
        <f t="shared" si="1139"/>
        <v>0</v>
      </c>
      <c r="V5485" s="1">
        <f t="shared" si="1140"/>
        <v>0</v>
      </c>
    </row>
    <row r="5486" spans="13:22" x14ac:dyDescent="0.25">
      <c r="M5486" s="4">
        <f t="shared" si="1133"/>
        <v>173.1</v>
      </c>
      <c r="N5486" s="4"/>
      <c r="O5486" s="1">
        <f t="shared" si="1134"/>
        <v>173.1</v>
      </c>
      <c r="P5486" s="1">
        <f t="shared" si="1135"/>
        <v>0</v>
      </c>
      <c r="Q5486" s="1" t="str">
        <f t="shared" si="1132"/>
        <v/>
      </c>
      <c r="R5486" s="1" t="str">
        <f t="shared" si="1136"/>
        <v/>
      </c>
      <c r="S5486" s="1">
        <f t="shared" si="1137"/>
        <v>630.90240000000244</v>
      </c>
      <c r="T5486" s="1">
        <f t="shared" si="1138"/>
        <v>0</v>
      </c>
      <c r="U5486" s="1">
        <f t="shared" si="1139"/>
        <v>0</v>
      </c>
      <c r="V5486" s="1">
        <f t="shared" si="1140"/>
        <v>0</v>
      </c>
    </row>
    <row r="5487" spans="13:22" x14ac:dyDescent="0.25">
      <c r="M5487" s="4">
        <f t="shared" si="1133"/>
        <v>173.1</v>
      </c>
      <c r="N5487" s="4"/>
      <c r="O5487" s="1">
        <f t="shared" si="1134"/>
        <v>173.1</v>
      </c>
      <c r="P5487" s="1">
        <f t="shared" si="1135"/>
        <v>0</v>
      </c>
      <c r="Q5487" s="1" t="str">
        <f t="shared" si="1132"/>
        <v/>
      </c>
      <c r="R5487" s="1" t="str">
        <f t="shared" si="1136"/>
        <v/>
      </c>
      <c r="S5487" s="1">
        <f t="shared" si="1137"/>
        <v>630.90240000000244</v>
      </c>
      <c r="T5487" s="1">
        <f t="shared" si="1138"/>
        <v>0</v>
      </c>
      <c r="U5487" s="1">
        <f t="shared" si="1139"/>
        <v>0</v>
      </c>
      <c r="V5487" s="1">
        <f t="shared" si="1140"/>
        <v>0</v>
      </c>
    </row>
    <row r="5488" spans="13:22" x14ac:dyDescent="0.25">
      <c r="M5488" s="4">
        <f t="shared" si="1133"/>
        <v>173.1</v>
      </c>
      <c r="N5488" s="4"/>
      <c r="O5488" s="1">
        <f t="shared" si="1134"/>
        <v>173.1</v>
      </c>
      <c r="P5488" s="1">
        <f t="shared" si="1135"/>
        <v>0</v>
      </c>
      <c r="Q5488" s="1" t="str">
        <f t="shared" si="1132"/>
        <v/>
      </c>
      <c r="R5488" s="1" t="str">
        <f t="shared" si="1136"/>
        <v/>
      </c>
      <c r="S5488" s="1">
        <f t="shared" si="1137"/>
        <v>630.90240000000244</v>
      </c>
      <c r="T5488" s="1">
        <f t="shared" si="1138"/>
        <v>0</v>
      </c>
      <c r="U5488" s="1">
        <f t="shared" si="1139"/>
        <v>0</v>
      </c>
      <c r="V5488" s="1">
        <f t="shared" si="1140"/>
        <v>0</v>
      </c>
    </row>
    <row r="5489" spans="13:22" x14ac:dyDescent="0.25">
      <c r="M5489" s="4">
        <f t="shared" si="1133"/>
        <v>173.1</v>
      </c>
      <c r="N5489" s="4"/>
      <c r="O5489" s="1">
        <f t="shared" si="1134"/>
        <v>173.1</v>
      </c>
      <c r="P5489" s="1">
        <f t="shared" si="1135"/>
        <v>0</v>
      </c>
      <c r="Q5489" s="1" t="str">
        <f t="shared" si="1132"/>
        <v/>
      </c>
      <c r="R5489" s="1" t="str">
        <f t="shared" si="1136"/>
        <v/>
      </c>
      <c r="S5489" s="1">
        <f t="shared" si="1137"/>
        <v>630.90240000000244</v>
      </c>
      <c r="T5489" s="1">
        <f t="shared" si="1138"/>
        <v>0</v>
      </c>
      <c r="U5489" s="1">
        <f t="shared" si="1139"/>
        <v>0</v>
      </c>
      <c r="V5489" s="1">
        <f t="shared" si="1140"/>
        <v>0</v>
      </c>
    </row>
    <row r="5490" spans="13:22" x14ac:dyDescent="0.25">
      <c r="M5490" s="4">
        <f t="shared" si="1133"/>
        <v>173.1</v>
      </c>
      <c r="N5490" s="4"/>
      <c r="O5490" s="1">
        <f t="shared" si="1134"/>
        <v>173.1</v>
      </c>
      <c r="P5490" s="1">
        <f t="shared" si="1135"/>
        <v>0</v>
      </c>
      <c r="Q5490" s="1" t="str">
        <f t="shared" ref="Q5490:Q5553" si="1141">IF(H5490&lt;&gt;"",IF(H5490=H5489,"",H5490),IF(H5488="","",MAX(H5489,Q5489)))</f>
        <v/>
      </c>
      <c r="R5490" s="1" t="str">
        <f t="shared" si="1136"/>
        <v/>
      </c>
      <c r="S5490" s="1">
        <f t="shared" si="1137"/>
        <v>630.90240000000244</v>
      </c>
      <c r="T5490" s="1">
        <f t="shared" si="1138"/>
        <v>0</v>
      </c>
      <c r="U5490" s="1">
        <f t="shared" si="1139"/>
        <v>0</v>
      </c>
      <c r="V5490" s="1">
        <f t="shared" si="1140"/>
        <v>0</v>
      </c>
    </row>
    <row r="5491" spans="13:22" x14ac:dyDescent="0.25">
      <c r="M5491" s="4">
        <f t="shared" si="1133"/>
        <v>173.1</v>
      </c>
      <c r="N5491" s="4"/>
      <c r="O5491" s="1">
        <f t="shared" si="1134"/>
        <v>173.1</v>
      </c>
      <c r="P5491" s="1">
        <f t="shared" si="1135"/>
        <v>0</v>
      </c>
      <c r="Q5491" s="1" t="str">
        <f t="shared" si="1141"/>
        <v/>
      </c>
      <c r="R5491" s="1" t="str">
        <f t="shared" si="1136"/>
        <v/>
      </c>
      <c r="S5491" s="1">
        <f t="shared" si="1137"/>
        <v>630.90240000000244</v>
      </c>
      <c r="T5491" s="1">
        <f t="shared" si="1138"/>
        <v>0</v>
      </c>
      <c r="U5491" s="1">
        <f t="shared" si="1139"/>
        <v>0</v>
      </c>
      <c r="V5491" s="1">
        <f t="shared" si="1140"/>
        <v>0</v>
      </c>
    </row>
    <row r="5492" spans="13:22" x14ac:dyDescent="0.25">
      <c r="M5492" s="4">
        <f t="shared" si="1133"/>
        <v>173.1</v>
      </c>
      <c r="N5492" s="4"/>
      <c r="O5492" s="1">
        <f t="shared" si="1134"/>
        <v>173.1</v>
      </c>
      <c r="P5492" s="1">
        <f t="shared" si="1135"/>
        <v>0</v>
      </c>
      <c r="Q5492" s="1" t="str">
        <f t="shared" si="1141"/>
        <v/>
      </c>
      <c r="R5492" s="1" t="str">
        <f t="shared" si="1136"/>
        <v/>
      </c>
      <c r="S5492" s="1">
        <f t="shared" si="1137"/>
        <v>630.90240000000244</v>
      </c>
      <c r="T5492" s="1">
        <f t="shared" si="1138"/>
        <v>0</v>
      </c>
      <c r="U5492" s="1">
        <f t="shared" si="1139"/>
        <v>0</v>
      </c>
      <c r="V5492" s="1">
        <f t="shared" si="1140"/>
        <v>0</v>
      </c>
    </row>
    <row r="5493" spans="13:22" x14ac:dyDescent="0.25">
      <c r="M5493" s="4">
        <f t="shared" si="1133"/>
        <v>173.1</v>
      </c>
      <c r="N5493" s="4"/>
      <c r="O5493" s="1">
        <f t="shared" si="1134"/>
        <v>173.1</v>
      </c>
      <c r="P5493" s="1">
        <f t="shared" si="1135"/>
        <v>0</v>
      </c>
      <c r="Q5493" s="1" t="str">
        <f t="shared" si="1141"/>
        <v/>
      </c>
      <c r="R5493" s="1" t="str">
        <f t="shared" si="1136"/>
        <v/>
      </c>
      <c r="S5493" s="1">
        <f t="shared" si="1137"/>
        <v>630.90240000000244</v>
      </c>
      <c r="T5493" s="1">
        <f t="shared" si="1138"/>
        <v>0</v>
      </c>
      <c r="U5493" s="1">
        <f t="shared" si="1139"/>
        <v>0</v>
      </c>
      <c r="V5493" s="1">
        <f t="shared" si="1140"/>
        <v>0</v>
      </c>
    </row>
    <row r="5494" spans="13:22" x14ac:dyDescent="0.25">
      <c r="M5494" s="4">
        <f t="shared" si="1133"/>
        <v>173.1</v>
      </c>
      <c r="N5494" s="4"/>
      <c r="O5494" s="1">
        <f t="shared" si="1134"/>
        <v>173.1</v>
      </c>
      <c r="P5494" s="1">
        <f t="shared" si="1135"/>
        <v>0</v>
      </c>
      <c r="Q5494" s="1" t="str">
        <f t="shared" si="1141"/>
        <v/>
      </c>
      <c r="R5494" s="1" t="str">
        <f t="shared" si="1136"/>
        <v/>
      </c>
      <c r="S5494" s="1">
        <f t="shared" si="1137"/>
        <v>630.90240000000244</v>
      </c>
      <c r="T5494" s="1">
        <f t="shared" si="1138"/>
        <v>0</v>
      </c>
      <c r="U5494" s="1">
        <f t="shared" si="1139"/>
        <v>0</v>
      </c>
      <c r="V5494" s="1">
        <f t="shared" si="1140"/>
        <v>0</v>
      </c>
    </row>
    <row r="5495" spans="13:22" x14ac:dyDescent="0.25">
      <c r="M5495" s="4">
        <f t="shared" si="1133"/>
        <v>173.1</v>
      </c>
      <c r="N5495" s="4"/>
      <c r="O5495" s="1">
        <f t="shared" si="1134"/>
        <v>173.1</v>
      </c>
      <c r="P5495" s="1">
        <f t="shared" si="1135"/>
        <v>0</v>
      </c>
      <c r="Q5495" s="1" t="str">
        <f t="shared" si="1141"/>
        <v/>
      </c>
      <c r="R5495" s="1" t="str">
        <f t="shared" si="1136"/>
        <v/>
      </c>
      <c r="S5495" s="1">
        <f t="shared" si="1137"/>
        <v>630.90240000000244</v>
      </c>
      <c r="T5495" s="1">
        <f t="shared" si="1138"/>
        <v>0</v>
      </c>
      <c r="U5495" s="1">
        <f t="shared" si="1139"/>
        <v>0</v>
      </c>
      <c r="V5495" s="1">
        <f t="shared" si="1140"/>
        <v>0</v>
      </c>
    </row>
    <row r="5496" spans="13:22" x14ac:dyDescent="0.25">
      <c r="M5496" s="4">
        <f t="shared" si="1133"/>
        <v>173.1</v>
      </c>
      <c r="N5496" s="4"/>
      <c r="O5496" s="1">
        <f t="shared" si="1134"/>
        <v>173.1</v>
      </c>
      <c r="P5496" s="1">
        <f t="shared" si="1135"/>
        <v>0</v>
      </c>
      <c r="Q5496" s="1" t="str">
        <f t="shared" si="1141"/>
        <v/>
      </c>
      <c r="R5496" s="1" t="str">
        <f t="shared" si="1136"/>
        <v/>
      </c>
      <c r="S5496" s="1">
        <f t="shared" si="1137"/>
        <v>630.90240000000244</v>
      </c>
      <c r="T5496" s="1">
        <f t="shared" si="1138"/>
        <v>0</v>
      </c>
      <c r="U5496" s="1">
        <f t="shared" si="1139"/>
        <v>0</v>
      </c>
      <c r="V5496" s="1">
        <f t="shared" si="1140"/>
        <v>0</v>
      </c>
    </row>
    <row r="5497" spans="13:22" x14ac:dyDescent="0.25">
      <c r="M5497" s="4">
        <f t="shared" si="1133"/>
        <v>173.1</v>
      </c>
      <c r="N5497" s="4"/>
      <c r="O5497" s="1">
        <f t="shared" si="1134"/>
        <v>173.1</v>
      </c>
      <c r="P5497" s="1">
        <f t="shared" si="1135"/>
        <v>0</v>
      </c>
      <c r="Q5497" s="1" t="str">
        <f t="shared" si="1141"/>
        <v/>
      </c>
      <c r="R5497" s="1" t="str">
        <f t="shared" si="1136"/>
        <v/>
      </c>
      <c r="S5497" s="1">
        <f t="shared" si="1137"/>
        <v>630.90240000000244</v>
      </c>
      <c r="T5497" s="1">
        <f t="shared" si="1138"/>
        <v>0</v>
      </c>
      <c r="U5497" s="1">
        <f t="shared" si="1139"/>
        <v>0</v>
      </c>
      <c r="V5497" s="1">
        <f t="shared" si="1140"/>
        <v>0</v>
      </c>
    </row>
    <row r="5498" spans="13:22" x14ac:dyDescent="0.25">
      <c r="M5498" s="4">
        <f t="shared" si="1133"/>
        <v>173.1</v>
      </c>
      <c r="N5498" s="4"/>
      <c r="O5498" s="1">
        <f t="shared" si="1134"/>
        <v>173.1</v>
      </c>
      <c r="P5498" s="1">
        <f t="shared" si="1135"/>
        <v>0</v>
      </c>
      <c r="Q5498" s="1" t="str">
        <f t="shared" si="1141"/>
        <v/>
      </c>
      <c r="R5498" s="1" t="str">
        <f t="shared" si="1136"/>
        <v/>
      </c>
      <c r="S5498" s="1">
        <f t="shared" si="1137"/>
        <v>630.90240000000244</v>
      </c>
      <c r="T5498" s="1">
        <f t="shared" si="1138"/>
        <v>0</v>
      </c>
      <c r="U5498" s="1">
        <f t="shared" si="1139"/>
        <v>0</v>
      </c>
      <c r="V5498" s="1">
        <f t="shared" si="1140"/>
        <v>0</v>
      </c>
    </row>
    <row r="5499" spans="13:22" x14ac:dyDescent="0.25">
      <c r="M5499" s="4">
        <f t="shared" si="1133"/>
        <v>173.1</v>
      </c>
      <c r="N5499" s="4"/>
      <c r="O5499" s="1">
        <f t="shared" si="1134"/>
        <v>173.1</v>
      </c>
      <c r="P5499" s="1">
        <f t="shared" si="1135"/>
        <v>0</v>
      </c>
      <c r="Q5499" s="1" t="str">
        <f t="shared" si="1141"/>
        <v/>
      </c>
      <c r="R5499" s="1" t="str">
        <f t="shared" si="1136"/>
        <v/>
      </c>
      <c r="S5499" s="1">
        <f t="shared" si="1137"/>
        <v>630.90240000000244</v>
      </c>
      <c r="T5499" s="1">
        <f t="shared" si="1138"/>
        <v>0</v>
      </c>
      <c r="U5499" s="1">
        <f t="shared" si="1139"/>
        <v>0</v>
      </c>
      <c r="V5499" s="1">
        <f t="shared" si="1140"/>
        <v>0</v>
      </c>
    </row>
    <row r="5500" spans="13:22" x14ac:dyDescent="0.25">
      <c r="M5500" s="4">
        <f t="shared" si="1133"/>
        <v>173.1</v>
      </c>
      <c r="N5500" s="4"/>
      <c r="O5500" s="1">
        <f t="shared" si="1134"/>
        <v>173.1</v>
      </c>
      <c r="P5500" s="1">
        <f t="shared" si="1135"/>
        <v>0</v>
      </c>
      <c r="Q5500" s="1" t="str">
        <f t="shared" si="1141"/>
        <v/>
      </c>
      <c r="R5500" s="1" t="str">
        <f t="shared" si="1136"/>
        <v/>
      </c>
      <c r="S5500" s="1">
        <f t="shared" si="1137"/>
        <v>630.90240000000244</v>
      </c>
      <c r="T5500" s="1">
        <f t="shared" si="1138"/>
        <v>0</v>
      </c>
      <c r="U5500" s="1">
        <f t="shared" si="1139"/>
        <v>0</v>
      </c>
      <c r="V5500" s="1">
        <f t="shared" si="1140"/>
        <v>0</v>
      </c>
    </row>
    <row r="5501" spans="13:22" x14ac:dyDescent="0.25">
      <c r="M5501" s="4">
        <f t="shared" si="1133"/>
        <v>173.1</v>
      </c>
      <c r="N5501" s="4"/>
      <c r="O5501" s="1">
        <f t="shared" si="1134"/>
        <v>173.1</v>
      </c>
      <c r="P5501" s="1">
        <f t="shared" si="1135"/>
        <v>0</v>
      </c>
      <c r="Q5501" s="1" t="str">
        <f t="shared" si="1141"/>
        <v/>
      </c>
      <c r="R5501" s="1" t="str">
        <f t="shared" si="1136"/>
        <v/>
      </c>
      <c r="S5501" s="1">
        <f t="shared" si="1137"/>
        <v>630.90240000000244</v>
      </c>
      <c r="T5501" s="1">
        <f t="shared" si="1138"/>
        <v>0</v>
      </c>
      <c r="U5501" s="1">
        <f t="shared" si="1139"/>
        <v>0</v>
      </c>
      <c r="V5501" s="1">
        <f t="shared" si="1140"/>
        <v>0</v>
      </c>
    </row>
    <row r="5502" spans="13:22" x14ac:dyDescent="0.25">
      <c r="M5502" s="4">
        <f t="shared" si="1133"/>
        <v>173.1</v>
      </c>
      <c r="N5502" s="4"/>
      <c r="O5502" s="1">
        <f t="shared" si="1134"/>
        <v>173.1</v>
      </c>
      <c r="P5502" s="1">
        <f t="shared" si="1135"/>
        <v>0</v>
      </c>
      <c r="Q5502" s="1" t="str">
        <f t="shared" si="1141"/>
        <v/>
      </c>
      <c r="R5502" s="1" t="str">
        <f t="shared" si="1136"/>
        <v/>
      </c>
      <c r="S5502" s="1">
        <f t="shared" si="1137"/>
        <v>630.90240000000244</v>
      </c>
      <c r="T5502" s="1">
        <f t="shared" si="1138"/>
        <v>0</v>
      </c>
      <c r="U5502" s="1">
        <f t="shared" si="1139"/>
        <v>0</v>
      </c>
      <c r="V5502" s="1">
        <f t="shared" si="1140"/>
        <v>0</v>
      </c>
    </row>
    <row r="5503" spans="13:22" x14ac:dyDescent="0.25">
      <c r="M5503" s="4">
        <f t="shared" si="1133"/>
        <v>173.1</v>
      </c>
      <c r="N5503" s="4"/>
      <c r="O5503" s="1">
        <f t="shared" si="1134"/>
        <v>173.1</v>
      </c>
      <c r="P5503" s="1">
        <f t="shared" si="1135"/>
        <v>0</v>
      </c>
      <c r="Q5503" s="1" t="str">
        <f t="shared" si="1141"/>
        <v/>
      </c>
      <c r="R5503" s="1" t="str">
        <f t="shared" si="1136"/>
        <v/>
      </c>
      <c r="S5503" s="1">
        <f t="shared" si="1137"/>
        <v>630.90240000000244</v>
      </c>
      <c r="T5503" s="1">
        <f t="shared" si="1138"/>
        <v>0</v>
      </c>
      <c r="U5503" s="1">
        <f t="shared" si="1139"/>
        <v>0</v>
      </c>
      <c r="V5503" s="1">
        <f t="shared" si="1140"/>
        <v>0</v>
      </c>
    </row>
    <row r="5504" spans="13:22" x14ac:dyDescent="0.25">
      <c r="M5504" s="4">
        <f t="shared" si="1133"/>
        <v>173.1</v>
      </c>
      <c r="N5504" s="4"/>
      <c r="O5504" s="1">
        <f t="shared" si="1134"/>
        <v>173.1</v>
      </c>
      <c r="P5504" s="1">
        <f t="shared" si="1135"/>
        <v>0</v>
      </c>
      <c r="Q5504" s="1" t="str">
        <f t="shared" si="1141"/>
        <v/>
      </c>
      <c r="R5504" s="1" t="str">
        <f t="shared" si="1136"/>
        <v/>
      </c>
      <c r="S5504" s="1">
        <f t="shared" si="1137"/>
        <v>630.90240000000244</v>
      </c>
      <c r="T5504" s="1">
        <f t="shared" si="1138"/>
        <v>0</v>
      </c>
      <c r="U5504" s="1">
        <f t="shared" si="1139"/>
        <v>0</v>
      </c>
      <c r="V5504" s="1">
        <f t="shared" si="1140"/>
        <v>0</v>
      </c>
    </row>
    <row r="5505" spans="13:22" x14ac:dyDescent="0.25">
      <c r="M5505" s="4">
        <f t="shared" si="1133"/>
        <v>173.1</v>
      </c>
      <c r="N5505" s="4"/>
      <c r="O5505" s="1">
        <f t="shared" si="1134"/>
        <v>173.1</v>
      </c>
      <c r="P5505" s="1">
        <f t="shared" si="1135"/>
        <v>0</v>
      </c>
      <c r="Q5505" s="1" t="str">
        <f t="shared" si="1141"/>
        <v/>
      </c>
      <c r="R5505" s="1" t="str">
        <f t="shared" si="1136"/>
        <v/>
      </c>
      <c r="S5505" s="1">
        <f t="shared" si="1137"/>
        <v>630.90240000000244</v>
      </c>
      <c r="T5505" s="1">
        <f t="shared" si="1138"/>
        <v>0</v>
      </c>
      <c r="U5505" s="1">
        <f t="shared" si="1139"/>
        <v>0</v>
      </c>
      <c r="V5505" s="1">
        <f t="shared" si="1140"/>
        <v>0</v>
      </c>
    </row>
    <row r="5506" spans="13:22" x14ac:dyDescent="0.25">
      <c r="M5506" s="4">
        <f t="shared" si="1133"/>
        <v>173.1</v>
      </c>
      <c r="N5506" s="4"/>
      <c r="O5506" s="1">
        <f t="shared" si="1134"/>
        <v>173.1</v>
      </c>
      <c r="P5506" s="1">
        <f t="shared" si="1135"/>
        <v>0</v>
      </c>
      <c r="Q5506" s="1" t="str">
        <f t="shared" si="1141"/>
        <v/>
      </c>
      <c r="R5506" s="1" t="str">
        <f t="shared" si="1136"/>
        <v/>
      </c>
      <c r="S5506" s="1">
        <f t="shared" si="1137"/>
        <v>630.90240000000244</v>
      </c>
      <c r="T5506" s="1">
        <f t="shared" si="1138"/>
        <v>0</v>
      </c>
      <c r="U5506" s="1">
        <f t="shared" si="1139"/>
        <v>0</v>
      </c>
      <c r="V5506" s="1">
        <f t="shared" si="1140"/>
        <v>0</v>
      </c>
    </row>
    <row r="5507" spans="13:22" x14ac:dyDescent="0.25">
      <c r="M5507" s="4">
        <f t="shared" si="1133"/>
        <v>173.1</v>
      </c>
      <c r="N5507" s="4"/>
      <c r="O5507" s="1">
        <f t="shared" si="1134"/>
        <v>173.1</v>
      </c>
      <c r="P5507" s="1">
        <f t="shared" si="1135"/>
        <v>0</v>
      </c>
      <c r="Q5507" s="1" t="str">
        <f t="shared" si="1141"/>
        <v/>
      </c>
      <c r="R5507" s="1" t="str">
        <f t="shared" si="1136"/>
        <v/>
      </c>
      <c r="S5507" s="1">
        <f t="shared" si="1137"/>
        <v>630.90240000000244</v>
      </c>
      <c r="T5507" s="1">
        <f t="shared" si="1138"/>
        <v>0</v>
      </c>
      <c r="U5507" s="1">
        <f t="shared" si="1139"/>
        <v>0</v>
      </c>
      <c r="V5507" s="1">
        <f t="shared" si="1140"/>
        <v>0</v>
      </c>
    </row>
    <row r="5508" spans="13:22" x14ac:dyDescent="0.25">
      <c r="M5508" s="4">
        <f t="shared" si="1133"/>
        <v>173.1</v>
      </c>
      <c r="N5508" s="4"/>
      <c r="O5508" s="1">
        <f t="shared" si="1134"/>
        <v>173.1</v>
      </c>
      <c r="P5508" s="1">
        <f t="shared" si="1135"/>
        <v>0</v>
      </c>
      <c r="Q5508" s="1" t="str">
        <f t="shared" si="1141"/>
        <v/>
      </c>
      <c r="R5508" s="1" t="str">
        <f t="shared" si="1136"/>
        <v/>
      </c>
      <c r="S5508" s="1">
        <f t="shared" si="1137"/>
        <v>630.90240000000244</v>
      </c>
      <c r="T5508" s="1">
        <f t="shared" si="1138"/>
        <v>0</v>
      </c>
      <c r="U5508" s="1">
        <f t="shared" si="1139"/>
        <v>0</v>
      </c>
      <c r="V5508" s="1">
        <f t="shared" si="1140"/>
        <v>0</v>
      </c>
    </row>
    <row r="5509" spans="13:22" x14ac:dyDescent="0.25">
      <c r="M5509" s="4">
        <f t="shared" si="1133"/>
        <v>173.1</v>
      </c>
      <c r="N5509" s="4"/>
      <c r="O5509" s="1">
        <f t="shared" si="1134"/>
        <v>173.1</v>
      </c>
      <c r="P5509" s="1">
        <f t="shared" si="1135"/>
        <v>0</v>
      </c>
      <c r="Q5509" s="1" t="str">
        <f t="shared" si="1141"/>
        <v/>
      </c>
      <c r="R5509" s="1" t="str">
        <f t="shared" si="1136"/>
        <v/>
      </c>
      <c r="S5509" s="1">
        <f t="shared" si="1137"/>
        <v>630.90240000000244</v>
      </c>
      <c r="T5509" s="1">
        <f t="shared" si="1138"/>
        <v>0</v>
      </c>
      <c r="U5509" s="1">
        <f t="shared" si="1139"/>
        <v>0</v>
      </c>
      <c r="V5509" s="1">
        <f t="shared" si="1140"/>
        <v>0</v>
      </c>
    </row>
    <row r="5510" spans="13:22" x14ac:dyDescent="0.25">
      <c r="M5510" s="4">
        <f t="shared" si="1133"/>
        <v>173.1</v>
      </c>
      <c r="N5510" s="4"/>
      <c r="O5510" s="1">
        <f t="shared" si="1134"/>
        <v>173.1</v>
      </c>
      <c r="P5510" s="1">
        <f t="shared" si="1135"/>
        <v>0</v>
      </c>
      <c r="Q5510" s="1" t="str">
        <f t="shared" si="1141"/>
        <v/>
      </c>
      <c r="R5510" s="1" t="str">
        <f t="shared" si="1136"/>
        <v/>
      </c>
      <c r="S5510" s="1">
        <f t="shared" si="1137"/>
        <v>630.90240000000244</v>
      </c>
      <c r="T5510" s="1">
        <f t="shared" si="1138"/>
        <v>0</v>
      </c>
      <c r="U5510" s="1">
        <f t="shared" si="1139"/>
        <v>0</v>
      </c>
      <c r="V5510" s="1">
        <f t="shared" si="1140"/>
        <v>0</v>
      </c>
    </row>
    <row r="5511" spans="13:22" x14ac:dyDescent="0.25">
      <c r="M5511" s="4">
        <f t="shared" si="1133"/>
        <v>173.1</v>
      </c>
      <c r="N5511" s="4"/>
      <c r="O5511" s="1">
        <f t="shared" si="1134"/>
        <v>173.1</v>
      </c>
      <c r="P5511" s="1">
        <f t="shared" si="1135"/>
        <v>0</v>
      </c>
      <c r="Q5511" s="1" t="str">
        <f t="shared" si="1141"/>
        <v/>
      </c>
      <c r="R5511" s="1" t="str">
        <f t="shared" si="1136"/>
        <v/>
      </c>
      <c r="S5511" s="1">
        <f t="shared" si="1137"/>
        <v>630.90240000000244</v>
      </c>
      <c r="T5511" s="1">
        <f t="shared" si="1138"/>
        <v>0</v>
      </c>
      <c r="U5511" s="1">
        <f t="shared" si="1139"/>
        <v>0</v>
      </c>
      <c r="V5511" s="1">
        <f t="shared" si="1140"/>
        <v>0</v>
      </c>
    </row>
    <row r="5512" spans="13:22" x14ac:dyDescent="0.25">
      <c r="M5512" s="4">
        <f t="shared" ref="M5512:M5575" si="1142">E5512+M5511</f>
        <v>173.1</v>
      </c>
      <c r="N5512" s="4"/>
      <c r="O5512" s="1">
        <f t="shared" ref="O5512:O5575" si="1143">E5511+O5511</f>
        <v>173.1</v>
      </c>
      <c r="P5512" s="1">
        <f t="shared" ref="P5512:P5575" si="1144">F5512*52.8*E5512</f>
        <v>0</v>
      </c>
      <c r="Q5512" s="1" t="str">
        <f t="shared" si="1141"/>
        <v/>
      </c>
      <c r="R5512" s="1" t="str">
        <f t="shared" ref="R5512:R5575" si="1145">IF(I5512="",Q5512,IF(AND(H5512=H5511,I5512=I5511),"",I5512))</f>
        <v/>
      </c>
      <c r="S5512" s="1">
        <f t="shared" ref="S5512:S5575" si="1146">S5511+U5511*T5511/100</f>
        <v>630.90240000000244</v>
      </c>
      <c r="T5512" s="1">
        <f t="shared" ref="T5512:T5575" si="1147">IF(G5512="UNK",0,G5512)</f>
        <v>0</v>
      </c>
      <c r="U5512" s="1">
        <f t="shared" ref="U5512:U5575" si="1148">E5512*5280</f>
        <v>0</v>
      </c>
      <c r="V5512" s="1">
        <f t="shared" ref="V5512:V5575" si="1149">ABS(T5512*U5512)</f>
        <v>0</v>
      </c>
    </row>
    <row r="5513" spans="13:22" x14ac:dyDescent="0.25">
      <c r="M5513" s="4">
        <f t="shared" si="1142"/>
        <v>173.1</v>
      </c>
      <c r="N5513" s="4"/>
      <c r="O5513" s="1">
        <f t="shared" si="1143"/>
        <v>173.1</v>
      </c>
      <c r="P5513" s="1">
        <f t="shared" si="1144"/>
        <v>0</v>
      </c>
      <c r="Q5513" s="1" t="str">
        <f t="shared" si="1141"/>
        <v/>
      </c>
      <c r="R5513" s="1" t="str">
        <f t="shared" si="1145"/>
        <v/>
      </c>
      <c r="S5513" s="1">
        <f t="shared" si="1146"/>
        <v>630.90240000000244</v>
      </c>
      <c r="T5513" s="1">
        <f t="shared" si="1147"/>
        <v>0</v>
      </c>
      <c r="U5513" s="1">
        <f t="shared" si="1148"/>
        <v>0</v>
      </c>
      <c r="V5513" s="1">
        <f t="shared" si="1149"/>
        <v>0</v>
      </c>
    </row>
    <row r="5514" spans="13:22" x14ac:dyDescent="0.25">
      <c r="M5514" s="4">
        <f t="shared" si="1142"/>
        <v>173.1</v>
      </c>
      <c r="N5514" s="4"/>
      <c r="O5514" s="1">
        <f t="shared" si="1143"/>
        <v>173.1</v>
      </c>
      <c r="P5514" s="1">
        <f t="shared" si="1144"/>
        <v>0</v>
      </c>
      <c r="Q5514" s="1" t="str">
        <f t="shared" si="1141"/>
        <v/>
      </c>
      <c r="R5514" s="1" t="str">
        <f t="shared" si="1145"/>
        <v/>
      </c>
      <c r="S5514" s="1">
        <f t="shared" si="1146"/>
        <v>630.90240000000244</v>
      </c>
      <c r="T5514" s="1">
        <f t="shared" si="1147"/>
        <v>0</v>
      </c>
      <c r="U5514" s="1">
        <f t="shared" si="1148"/>
        <v>0</v>
      </c>
      <c r="V5514" s="1">
        <f t="shared" si="1149"/>
        <v>0</v>
      </c>
    </row>
    <row r="5515" spans="13:22" x14ac:dyDescent="0.25">
      <c r="M5515" s="4">
        <f t="shared" si="1142"/>
        <v>173.1</v>
      </c>
      <c r="N5515" s="4"/>
      <c r="O5515" s="1">
        <f t="shared" si="1143"/>
        <v>173.1</v>
      </c>
      <c r="P5515" s="1">
        <f t="shared" si="1144"/>
        <v>0</v>
      </c>
      <c r="Q5515" s="1" t="str">
        <f t="shared" si="1141"/>
        <v/>
      </c>
      <c r="R5515" s="1" t="str">
        <f t="shared" si="1145"/>
        <v/>
      </c>
      <c r="S5515" s="1">
        <f t="shared" si="1146"/>
        <v>630.90240000000244</v>
      </c>
      <c r="T5515" s="1">
        <f t="shared" si="1147"/>
        <v>0</v>
      </c>
      <c r="U5515" s="1">
        <f t="shared" si="1148"/>
        <v>0</v>
      </c>
      <c r="V5515" s="1">
        <f t="shared" si="1149"/>
        <v>0</v>
      </c>
    </row>
    <row r="5516" spans="13:22" x14ac:dyDescent="0.25">
      <c r="M5516" s="4">
        <f t="shared" si="1142"/>
        <v>173.1</v>
      </c>
      <c r="N5516" s="4"/>
      <c r="O5516" s="1">
        <f t="shared" si="1143"/>
        <v>173.1</v>
      </c>
      <c r="P5516" s="1">
        <f t="shared" si="1144"/>
        <v>0</v>
      </c>
      <c r="Q5516" s="1" t="str">
        <f t="shared" si="1141"/>
        <v/>
      </c>
      <c r="R5516" s="1" t="str">
        <f t="shared" si="1145"/>
        <v/>
      </c>
      <c r="S5516" s="1">
        <f t="shared" si="1146"/>
        <v>630.90240000000244</v>
      </c>
      <c r="T5516" s="1">
        <f t="shared" si="1147"/>
        <v>0</v>
      </c>
      <c r="U5516" s="1">
        <f t="shared" si="1148"/>
        <v>0</v>
      </c>
      <c r="V5516" s="1">
        <f t="shared" si="1149"/>
        <v>0</v>
      </c>
    </row>
    <row r="5517" spans="13:22" x14ac:dyDescent="0.25">
      <c r="M5517" s="4">
        <f t="shared" si="1142"/>
        <v>173.1</v>
      </c>
      <c r="N5517" s="4"/>
      <c r="O5517" s="1">
        <f t="shared" si="1143"/>
        <v>173.1</v>
      </c>
      <c r="P5517" s="1">
        <f t="shared" si="1144"/>
        <v>0</v>
      </c>
      <c r="Q5517" s="1" t="str">
        <f t="shared" si="1141"/>
        <v/>
      </c>
      <c r="R5517" s="1" t="str">
        <f t="shared" si="1145"/>
        <v/>
      </c>
      <c r="S5517" s="1">
        <f t="shared" si="1146"/>
        <v>630.90240000000244</v>
      </c>
      <c r="T5517" s="1">
        <f t="shared" si="1147"/>
        <v>0</v>
      </c>
      <c r="U5517" s="1">
        <f t="shared" si="1148"/>
        <v>0</v>
      </c>
      <c r="V5517" s="1">
        <f t="shared" si="1149"/>
        <v>0</v>
      </c>
    </row>
    <row r="5518" spans="13:22" x14ac:dyDescent="0.25">
      <c r="M5518" s="4">
        <f t="shared" si="1142"/>
        <v>173.1</v>
      </c>
      <c r="N5518" s="4"/>
      <c r="O5518" s="1">
        <f t="shared" si="1143"/>
        <v>173.1</v>
      </c>
      <c r="P5518" s="1">
        <f t="shared" si="1144"/>
        <v>0</v>
      </c>
      <c r="Q5518" s="1" t="str">
        <f t="shared" si="1141"/>
        <v/>
      </c>
      <c r="R5518" s="1" t="str">
        <f t="shared" si="1145"/>
        <v/>
      </c>
      <c r="S5518" s="1">
        <f t="shared" si="1146"/>
        <v>630.90240000000244</v>
      </c>
      <c r="T5518" s="1">
        <f t="shared" si="1147"/>
        <v>0</v>
      </c>
      <c r="U5518" s="1">
        <f t="shared" si="1148"/>
        <v>0</v>
      </c>
      <c r="V5518" s="1">
        <f t="shared" si="1149"/>
        <v>0</v>
      </c>
    </row>
    <row r="5519" spans="13:22" x14ac:dyDescent="0.25">
      <c r="M5519" s="4">
        <f t="shared" si="1142"/>
        <v>173.1</v>
      </c>
      <c r="N5519" s="4"/>
      <c r="O5519" s="1">
        <f t="shared" si="1143"/>
        <v>173.1</v>
      </c>
      <c r="P5519" s="1">
        <f t="shared" si="1144"/>
        <v>0</v>
      </c>
      <c r="Q5519" s="1" t="str">
        <f t="shared" si="1141"/>
        <v/>
      </c>
      <c r="R5519" s="1" t="str">
        <f t="shared" si="1145"/>
        <v/>
      </c>
      <c r="S5519" s="1">
        <f t="shared" si="1146"/>
        <v>630.90240000000244</v>
      </c>
      <c r="T5519" s="1">
        <f t="shared" si="1147"/>
        <v>0</v>
      </c>
      <c r="U5519" s="1">
        <f t="shared" si="1148"/>
        <v>0</v>
      </c>
      <c r="V5519" s="1">
        <f t="shared" si="1149"/>
        <v>0</v>
      </c>
    </row>
    <row r="5520" spans="13:22" x14ac:dyDescent="0.25">
      <c r="M5520" s="4">
        <f t="shared" si="1142"/>
        <v>173.1</v>
      </c>
      <c r="N5520" s="4"/>
      <c r="O5520" s="1">
        <f t="shared" si="1143"/>
        <v>173.1</v>
      </c>
      <c r="P5520" s="1">
        <f t="shared" si="1144"/>
        <v>0</v>
      </c>
      <c r="Q5520" s="1" t="str">
        <f t="shared" si="1141"/>
        <v/>
      </c>
      <c r="R5520" s="1" t="str">
        <f t="shared" si="1145"/>
        <v/>
      </c>
      <c r="S5520" s="1">
        <f t="shared" si="1146"/>
        <v>630.90240000000244</v>
      </c>
      <c r="T5520" s="1">
        <f t="shared" si="1147"/>
        <v>0</v>
      </c>
      <c r="U5520" s="1">
        <f t="shared" si="1148"/>
        <v>0</v>
      </c>
      <c r="V5520" s="1">
        <f t="shared" si="1149"/>
        <v>0</v>
      </c>
    </row>
    <row r="5521" spans="13:22" x14ac:dyDescent="0.25">
      <c r="M5521" s="4">
        <f t="shared" si="1142"/>
        <v>173.1</v>
      </c>
      <c r="N5521" s="4"/>
      <c r="O5521" s="1">
        <f t="shared" si="1143"/>
        <v>173.1</v>
      </c>
      <c r="P5521" s="1">
        <f t="shared" si="1144"/>
        <v>0</v>
      </c>
      <c r="Q5521" s="1" t="str">
        <f t="shared" si="1141"/>
        <v/>
      </c>
      <c r="R5521" s="1" t="str">
        <f t="shared" si="1145"/>
        <v/>
      </c>
      <c r="S5521" s="1">
        <f t="shared" si="1146"/>
        <v>630.90240000000244</v>
      </c>
      <c r="T5521" s="1">
        <f t="shared" si="1147"/>
        <v>0</v>
      </c>
      <c r="U5521" s="1">
        <f t="shared" si="1148"/>
        <v>0</v>
      </c>
      <c r="V5521" s="1">
        <f t="shared" si="1149"/>
        <v>0</v>
      </c>
    </row>
    <row r="5522" spans="13:22" x14ac:dyDescent="0.25">
      <c r="M5522" s="4">
        <f t="shared" si="1142"/>
        <v>173.1</v>
      </c>
      <c r="N5522" s="4"/>
      <c r="O5522" s="1">
        <f t="shared" si="1143"/>
        <v>173.1</v>
      </c>
      <c r="P5522" s="1">
        <f t="shared" si="1144"/>
        <v>0</v>
      </c>
      <c r="Q5522" s="1" t="str">
        <f t="shared" si="1141"/>
        <v/>
      </c>
      <c r="R5522" s="1" t="str">
        <f t="shared" si="1145"/>
        <v/>
      </c>
      <c r="S5522" s="1">
        <f t="shared" si="1146"/>
        <v>630.90240000000244</v>
      </c>
      <c r="T5522" s="1">
        <f t="shared" si="1147"/>
        <v>0</v>
      </c>
      <c r="U5522" s="1">
        <f t="shared" si="1148"/>
        <v>0</v>
      </c>
      <c r="V5522" s="1">
        <f t="shared" si="1149"/>
        <v>0</v>
      </c>
    </row>
    <row r="5523" spans="13:22" x14ac:dyDescent="0.25">
      <c r="M5523" s="4">
        <f t="shared" si="1142"/>
        <v>173.1</v>
      </c>
      <c r="N5523" s="4"/>
      <c r="O5523" s="1">
        <f t="shared" si="1143"/>
        <v>173.1</v>
      </c>
      <c r="P5523" s="1">
        <f t="shared" si="1144"/>
        <v>0</v>
      </c>
      <c r="Q5523" s="1" t="str">
        <f t="shared" si="1141"/>
        <v/>
      </c>
      <c r="R5523" s="1" t="str">
        <f t="shared" si="1145"/>
        <v/>
      </c>
      <c r="S5523" s="1">
        <f t="shared" si="1146"/>
        <v>630.90240000000244</v>
      </c>
      <c r="T5523" s="1">
        <f t="shared" si="1147"/>
        <v>0</v>
      </c>
      <c r="U5523" s="1">
        <f t="shared" si="1148"/>
        <v>0</v>
      </c>
      <c r="V5523" s="1">
        <f t="shared" si="1149"/>
        <v>0</v>
      </c>
    </row>
    <row r="5524" spans="13:22" x14ac:dyDescent="0.25">
      <c r="M5524" s="4">
        <f t="shared" si="1142"/>
        <v>173.1</v>
      </c>
      <c r="N5524" s="4"/>
      <c r="O5524" s="1">
        <f t="shared" si="1143"/>
        <v>173.1</v>
      </c>
      <c r="P5524" s="1">
        <f t="shared" si="1144"/>
        <v>0</v>
      </c>
      <c r="Q5524" s="1" t="str">
        <f t="shared" si="1141"/>
        <v/>
      </c>
      <c r="R5524" s="1" t="str">
        <f t="shared" si="1145"/>
        <v/>
      </c>
      <c r="S5524" s="1">
        <f t="shared" si="1146"/>
        <v>630.90240000000244</v>
      </c>
      <c r="T5524" s="1">
        <f t="shared" si="1147"/>
        <v>0</v>
      </c>
      <c r="U5524" s="1">
        <f t="shared" si="1148"/>
        <v>0</v>
      </c>
      <c r="V5524" s="1">
        <f t="shared" si="1149"/>
        <v>0</v>
      </c>
    </row>
    <row r="5525" spans="13:22" x14ac:dyDescent="0.25">
      <c r="M5525" s="4">
        <f t="shared" si="1142"/>
        <v>173.1</v>
      </c>
      <c r="N5525" s="4"/>
      <c r="O5525" s="1">
        <f t="shared" si="1143"/>
        <v>173.1</v>
      </c>
      <c r="P5525" s="1">
        <f t="shared" si="1144"/>
        <v>0</v>
      </c>
      <c r="Q5525" s="1" t="str">
        <f t="shared" si="1141"/>
        <v/>
      </c>
      <c r="R5525" s="1" t="str">
        <f t="shared" si="1145"/>
        <v/>
      </c>
      <c r="S5525" s="1">
        <f t="shared" si="1146"/>
        <v>630.90240000000244</v>
      </c>
      <c r="T5525" s="1">
        <f t="shared" si="1147"/>
        <v>0</v>
      </c>
      <c r="U5525" s="1">
        <f t="shared" si="1148"/>
        <v>0</v>
      </c>
      <c r="V5525" s="1">
        <f t="shared" si="1149"/>
        <v>0</v>
      </c>
    </row>
    <row r="5526" spans="13:22" x14ac:dyDescent="0.25">
      <c r="M5526" s="4">
        <f t="shared" si="1142"/>
        <v>173.1</v>
      </c>
      <c r="N5526" s="4"/>
      <c r="O5526" s="1">
        <f t="shared" si="1143"/>
        <v>173.1</v>
      </c>
      <c r="P5526" s="1">
        <f t="shared" si="1144"/>
        <v>0</v>
      </c>
      <c r="Q5526" s="1" t="str">
        <f t="shared" si="1141"/>
        <v/>
      </c>
      <c r="R5526" s="1" t="str">
        <f t="shared" si="1145"/>
        <v/>
      </c>
      <c r="S5526" s="1">
        <f t="shared" si="1146"/>
        <v>630.90240000000244</v>
      </c>
      <c r="T5526" s="1">
        <f t="shared" si="1147"/>
        <v>0</v>
      </c>
      <c r="U5526" s="1">
        <f t="shared" si="1148"/>
        <v>0</v>
      </c>
      <c r="V5526" s="1">
        <f t="shared" si="1149"/>
        <v>0</v>
      </c>
    </row>
    <row r="5527" spans="13:22" x14ac:dyDescent="0.25">
      <c r="M5527" s="4">
        <f t="shared" si="1142"/>
        <v>173.1</v>
      </c>
      <c r="N5527" s="4"/>
      <c r="O5527" s="1">
        <f t="shared" si="1143"/>
        <v>173.1</v>
      </c>
      <c r="P5527" s="1">
        <f t="shared" si="1144"/>
        <v>0</v>
      </c>
      <c r="Q5527" s="1" t="str">
        <f t="shared" si="1141"/>
        <v/>
      </c>
      <c r="R5527" s="1" t="str">
        <f t="shared" si="1145"/>
        <v/>
      </c>
      <c r="S5527" s="1">
        <f t="shared" si="1146"/>
        <v>630.90240000000244</v>
      </c>
      <c r="T5527" s="1">
        <f t="shared" si="1147"/>
        <v>0</v>
      </c>
      <c r="U5527" s="1">
        <f t="shared" si="1148"/>
        <v>0</v>
      </c>
      <c r="V5527" s="1">
        <f t="shared" si="1149"/>
        <v>0</v>
      </c>
    </row>
    <row r="5528" spans="13:22" x14ac:dyDescent="0.25">
      <c r="M5528" s="4">
        <f t="shared" si="1142"/>
        <v>173.1</v>
      </c>
      <c r="N5528" s="4"/>
      <c r="O5528" s="1">
        <f t="shared" si="1143"/>
        <v>173.1</v>
      </c>
      <c r="P5528" s="1">
        <f t="shared" si="1144"/>
        <v>0</v>
      </c>
      <c r="Q5528" s="1" t="str">
        <f t="shared" si="1141"/>
        <v/>
      </c>
      <c r="R5528" s="1" t="str">
        <f t="shared" si="1145"/>
        <v/>
      </c>
      <c r="S5528" s="1">
        <f t="shared" si="1146"/>
        <v>630.90240000000244</v>
      </c>
      <c r="T5528" s="1">
        <f t="shared" si="1147"/>
        <v>0</v>
      </c>
      <c r="U5528" s="1">
        <f t="shared" si="1148"/>
        <v>0</v>
      </c>
      <c r="V5528" s="1">
        <f t="shared" si="1149"/>
        <v>0</v>
      </c>
    </row>
    <row r="5529" spans="13:22" x14ac:dyDescent="0.25">
      <c r="M5529" s="4">
        <f t="shared" si="1142"/>
        <v>173.1</v>
      </c>
      <c r="N5529" s="4"/>
      <c r="O5529" s="1">
        <f t="shared" si="1143"/>
        <v>173.1</v>
      </c>
      <c r="P5529" s="1">
        <f t="shared" si="1144"/>
        <v>0</v>
      </c>
      <c r="Q5529" s="1" t="str">
        <f t="shared" si="1141"/>
        <v/>
      </c>
      <c r="R5529" s="1" t="str">
        <f t="shared" si="1145"/>
        <v/>
      </c>
      <c r="S5529" s="1">
        <f t="shared" si="1146"/>
        <v>630.90240000000244</v>
      </c>
      <c r="T5529" s="1">
        <f t="shared" si="1147"/>
        <v>0</v>
      </c>
      <c r="U5529" s="1">
        <f t="shared" si="1148"/>
        <v>0</v>
      </c>
      <c r="V5529" s="1">
        <f t="shared" si="1149"/>
        <v>0</v>
      </c>
    </row>
    <row r="5530" spans="13:22" x14ac:dyDescent="0.25">
      <c r="M5530" s="4">
        <f t="shared" si="1142"/>
        <v>173.1</v>
      </c>
      <c r="N5530" s="4"/>
      <c r="O5530" s="1">
        <f t="shared" si="1143"/>
        <v>173.1</v>
      </c>
      <c r="P5530" s="1">
        <f t="shared" si="1144"/>
        <v>0</v>
      </c>
      <c r="Q5530" s="1" t="str">
        <f t="shared" si="1141"/>
        <v/>
      </c>
      <c r="R5530" s="1" t="str">
        <f t="shared" si="1145"/>
        <v/>
      </c>
      <c r="S5530" s="1">
        <f t="shared" si="1146"/>
        <v>630.90240000000244</v>
      </c>
      <c r="T5530" s="1">
        <f t="shared" si="1147"/>
        <v>0</v>
      </c>
      <c r="U5530" s="1">
        <f t="shared" si="1148"/>
        <v>0</v>
      </c>
      <c r="V5530" s="1">
        <f t="shared" si="1149"/>
        <v>0</v>
      </c>
    </row>
    <row r="5531" spans="13:22" x14ac:dyDescent="0.25">
      <c r="M5531" s="4">
        <f t="shared" si="1142"/>
        <v>173.1</v>
      </c>
      <c r="N5531" s="4"/>
      <c r="O5531" s="1">
        <f t="shared" si="1143"/>
        <v>173.1</v>
      </c>
      <c r="P5531" s="1">
        <f t="shared" si="1144"/>
        <v>0</v>
      </c>
      <c r="Q5531" s="1" t="str">
        <f t="shared" si="1141"/>
        <v/>
      </c>
      <c r="R5531" s="1" t="str">
        <f t="shared" si="1145"/>
        <v/>
      </c>
      <c r="S5531" s="1">
        <f t="shared" si="1146"/>
        <v>630.90240000000244</v>
      </c>
      <c r="T5531" s="1">
        <f t="shared" si="1147"/>
        <v>0</v>
      </c>
      <c r="U5531" s="1">
        <f t="shared" si="1148"/>
        <v>0</v>
      </c>
      <c r="V5531" s="1">
        <f t="shared" si="1149"/>
        <v>0</v>
      </c>
    </row>
    <row r="5532" spans="13:22" x14ac:dyDescent="0.25">
      <c r="M5532" s="4">
        <f t="shared" si="1142"/>
        <v>173.1</v>
      </c>
      <c r="N5532" s="4"/>
      <c r="O5532" s="1">
        <f t="shared" si="1143"/>
        <v>173.1</v>
      </c>
      <c r="P5532" s="1">
        <f t="shared" si="1144"/>
        <v>0</v>
      </c>
      <c r="Q5532" s="1" t="str">
        <f t="shared" si="1141"/>
        <v/>
      </c>
      <c r="R5532" s="1" t="str">
        <f t="shared" si="1145"/>
        <v/>
      </c>
      <c r="S5532" s="1">
        <f t="shared" si="1146"/>
        <v>630.90240000000244</v>
      </c>
      <c r="T5532" s="1">
        <f t="shared" si="1147"/>
        <v>0</v>
      </c>
      <c r="U5532" s="1">
        <f t="shared" si="1148"/>
        <v>0</v>
      </c>
      <c r="V5532" s="1">
        <f t="shared" si="1149"/>
        <v>0</v>
      </c>
    </row>
    <row r="5533" spans="13:22" x14ac:dyDescent="0.25">
      <c r="M5533" s="4">
        <f t="shared" si="1142"/>
        <v>173.1</v>
      </c>
      <c r="N5533" s="4"/>
      <c r="O5533" s="1">
        <f t="shared" si="1143"/>
        <v>173.1</v>
      </c>
      <c r="P5533" s="1">
        <f t="shared" si="1144"/>
        <v>0</v>
      </c>
      <c r="Q5533" s="1" t="str">
        <f t="shared" si="1141"/>
        <v/>
      </c>
      <c r="R5533" s="1" t="str">
        <f t="shared" si="1145"/>
        <v/>
      </c>
      <c r="S5533" s="1">
        <f t="shared" si="1146"/>
        <v>630.90240000000244</v>
      </c>
      <c r="T5533" s="1">
        <f t="shared" si="1147"/>
        <v>0</v>
      </c>
      <c r="U5533" s="1">
        <f t="shared" si="1148"/>
        <v>0</v>
      </c>
      <c r="V5533" s="1">
        <f t="shared" si="1149"/>
        <v>0</v>
      </c>
    </row>
    <row r="5534" spans="13:22" x14ac:dyDescent="0.25">
      <c r="M5534" s="4">
        <f t="shared" si="1142"/>
        <v>173.1</v>
      </c>
      <c r="N5534" s="4"/>
      <c r="O5534" s="1">
        <f t="shared" si="1143"/>
        <v>173.1</v>
      </c>
      <c r="P5534" s="1">
        <f t="shared" si="1144"/>
        <v>0</v>
      </c>
      <c r="Q5534" s="1" t="str">
        <f t="shared" si="1141"/>
        <v/>
      </c>
      <c r="R5534" s="1" t="str">
        <f t="shared" si="1145"/>
        <v/>
      </c>
      <c r="S5534" s="1">
        <f t="shared" si="1146"/>
        <v>630.90240000000244</v>
      </c>
      <c r="T5534" s="1">
        <f t="shared" si="1147"/>
        <v>0</v>
      </c>
      <c r="U5534" s="1">
        <f t="shared" si="1148"/>
        <v>0</v>
      </c>
      <c r="V5534" s="1">
        <f t="shared" si="1149"/>
        <v>0</v>
      </c>
    </row>
    <row r="5535" spans="13:22" x14ac:dyDescent="0.25">
      <c r="M5535" s="4">
        <f t="shared" si="1142"/>
        <v>173.1</v>
      </c>
      <c r="N5535" s="4"/>
      <c r="O5535" s="1">
        <f t="shared" si="1143"/>
        <v>173.1</v>
      </c>
      <c r="P5535" s="1">
        <f t="shared" si="1144"/>
        <v>0</v>
      </c>
      <c r="Q5535" s="1" t="str">
        <f t="shared" si="1141"/>
        <v/>
      </c>
      <c r="R5535" s="1" t="str">
        <f t="shared" si="1145"/>
        <v/>
      </c>
      <c r="S5535" s="1">
        <f t="shared" si="1146"/>
        <v>630.90240000000244</v>
      </c>
      <c r="T5535" s="1">
        <f t="shared" si="1147"/>
        <v>0</v>
      </c>
      <c r="U5535" s="1">
        <f t="shared" si="1148"/>
        <v>0</v>
      </c>
      <c r="V5535" s="1">
        <f t="shared" si="1149"/>
        <v>0</v>
      </c>
    </row>
    <row r="5536" spans="13:22" x14ac:dyDescent="0.25">
      <c r="M5536" s="4">
        <f t="shared" si="1142"/>
        <v>173.1</v>
      </c>
      <c r="N5536" s="4"/>
      <c r="O5536" s="1">
        <f t="shared" si="1143"/>
        <v>173.1</v>
      </c>
      <c r="P5536" s="1">
        <f t="shared" si="1144"/>
        <v>0</v>
      </c>
      <c r="Q5536" s="1" t="str">
        <f t="shared" si="1141"/>
        <v/>
      </c>
      <c r="R5536" s="1" t="str">
        <f t="shared" si="1145"/>
        <v/>
      </c>
      <c r="S5536" s="1">
        <f t="shared" si="1146"/>
        <v>630.90240000000244</v>
      </c>
      <c r="T5536" s="1">
        <f t="shared" si="1147"/>
        <v>0</v>
      </c>
      <c r="U5536" s="1">
        <f t="shared" si="1148"/>
        <v>0</v>
      </c>
      <c r="V5536" s="1">
        <f t="shared" si="1149"/>
        <v>0</v>
      </c>
    </row>
    <row r="5537" spans="13:22" x14ac:dyDescent="0.25">
      <c r="M5537" s="4">
        <f t="shared" si="1142"/>
        <v>173.1</v>
      </c>
      <c r="N5537" s="4"/>
      <c r="O5537" s="1">
        <f t="shared" si="1143"/>
        <v>173.1</v>
      </c>
      <c r="P5537" s="1">
        <f t="shared" si="1144"/>
        <v>0</v>
      </c>
      <c r="Q5537" s="1" t="str">
        <f t="shared" si="1141"/>
        <v/>
      </c>
      <c r="R5537" s="1" t="str">
        <f t="shared" si="1145"/>
        <v/>
      </c>
      <c r="S5537" s="1">
        <f t="shared" si="1146"/>
        <v>630.90240000000244</v>
      </c>
      <c r="T5537" s="1">
        <f t="shared" si="1147"/>
        <v>0</v>
      </c>
      <c r="U5537" s="1">
        <f t="shared" si="1148"/>
        <v>0</v>
      </c>
      <c r="V5537" s="1">
        <f t="shared" si="1149"/>
        <v>0</v>
      </c>
    </row>
    <row r="5538" spans="13:22" x14ac:dyDescent="0.25">
      <c r="M5538" s="4">
        <f t="shared" si="1142"/>
        <v>173.1</v>
      </c>
      <c r="N5538" s="4"/>
      <c r="O5538" s="1">
        <f t="shared" si="1143"/>
        <v>173.1</v>
      </c>
      <c r="P5538" s="1">
        <f t="shared" si="1144"/>
        <v>0</v>
      </c>
      <c r="Q5538" s="1" t="str">
        <f t="shared" si="1141"/>
        <v/>
      </c>
      <c r="R5538" s="1" t="str">
        <f t="shared" si="1145"/>
        <v/>
      </c>
      <c r="S5538" s="1">
        <f t="shared" si="1146"/>
        <v>630.90240000000244</v>
      </c>
      <c r="T5538" s="1">
        <f t="shared" si="1147"/>
        <v>0</v>
      </c>
      <c r="U5538" s="1">
        <f t="shared" si="1148"/>
        <v>0</v>
      </c>
      <c r="V5538" s="1">
        <f t="shared" si="1149"/>
        <v>0</v>
      </c>
    </row>
    <row r="5539" spans="13:22" x14ac:dyDescent="0.25">
      <c r="M5539" s="4">
        <f t="shared" si="1142"/>
        <v>173.1</v>
      </c>
      <c r="N5539" s="4"/>
      <c r="O5539" s="1">
        <f t="shared" si="1143"/>
        <v>173.1</v>
      </c>
      <c r="P5539" s="1">
        <f t="shared" si="1144"/>
        <v>0</v>
      </c>
      <c r="Q5539" s="1" t="str">
        <f t="shared" si="1141"/>
        <v/>
      </c>
      <c r="R5539" s="1" t="str">
        <f t="shared" si="1145"/>
        <v/>
      </c>
      <c r="S5539" s="1">
        <f t="shared" si="1146"/>
        <v>630.90240000000244</v>
      </c>
      <c r="T5539" s="1">
        <f t="shared" si="1147"/>
        <v>0</v>
      </c>
      <c r="U5539" s="1">
        <f t="shared" si="1148"/>
        <v>0</v>
      </c>
      <c r="V5539" s="1">
        <f t="shared" si="1149"/>
        <v>0</v>
      </c>
    </row>
    <row r="5540" spans="13:22" x14ac:dyDescent="0.25">
      <c r="M5540" s="4">
        <f t="shared" si="1142"/>
        <v>173.1</v>
      </c>
      <c r="N5540" s="4"/>
      <c r="O5540" s="1">
        <f t="shared" si="1143"/>
        <v>173.1</v>
      </c>
      <c r="P5540" s="1">
        <f t="shared" si="1144"/>
        <v>0</v>
      </c>
      <c r="Q5540" s="1" t="str">
        <f t="shared" si="1141"/>
        <v/>
      </c>
      <c r="R5540" s="1" t="str">
        <f t="shared" si="1145"/>
        <v/>
      </c>
      <c r="S5540" s="1">
        <f t="shared" si="1146"/>
        <v>630.90240000000244</v>
      </c>
      <c r="T5540" s="1">
        <f t="shared" si="1147"/>
        <v>0</v>
      </c>
      <c r="U5540" s="1">
        <f t="shared" si="1148"/>
        <v>0</v>
      </c>
      <c r="V5540" s="1">
        <f t="shared" si="1149"/>
        <v>0</v>
      </c>
    </row>
    <row r="5541" spans="13:22" x14ac:dyDescent="0.25">
      <c r="M5541" s="4">
        <f t="shared" si="1142"/>
        <v>173.1</v>
      </c>
      <c r="N5541" s="4"/>
      <c r="O5541" s="1">
        <f t="shared" si="1143"/>
        <v>173.1</v>
      </c>
      <c r="P5541" s="1">
        <f t="shared" si="1144"/>
        <v>0</v>
      </c>
      <c r="Q5541" s="1" t="str">
        <f t="shared" si="1141"/>
        <v/>
      </c>
      <c r="R5541" s="1" t="str">
        <f t="shared" si="1145"/>
        <v/>
      </c>
      <c r="S5541" s="1">
        <f t="shared" si="1146"/>
        <v>630.90240000000244</v>
      </c>
      <c r="T5541" s="1">
        <f t="shared" si="1147"/>
        <v>0</v>
      </c>
      <c r="U5541" s="1">
        <f t="shared" si="1148"/>
        <v>0</v>
      </c>
      <c r="V5541" s="1">
        <f t="shared" si="1149"/>
        <v>0</v>
      </c>
    </row>
    <row r="5542" spans="13:22" x14ac:dyDescent="0.25">
      <c r="M5542" s="4">
        <f t="shared" si="1142"/>
        <v>173.1</v>
      </c>
      <c r="N5542" s="4"/>
      <c r="O5542" s="1">
        <f t="shared" si="1143"/>
        <v>173.1</v>
      </c>
      <c r="P5542" s="1">
        <f t="shared" si="1144"/>
        <v>0</v>
      </c>
      <c r="Q5542" s="1" t="str">
        <f t="shared" si="1141"/>
        <v/>
      </c>
      <c r="R5542" s="1" t="str">
        <f t="shared" si="1145"/>
        <v/>
      </c>
      <c r="S5542" s="1">
        <f t="shared" si="1146"/>
        <v>630.90240000000244</v>
      </c>
      <c r="T5542" s="1">
        <f t="shared" si="1147"/>
        <v>0</v>
      </c>
      <c r="U5542" s="1">
        <f t="shared" si="1148"/>
        <v>0</v>
      </c>
      <c r="V5542" s="1">
        <f t="shared" si="1149"/>
        <v>0</v>
      </c>
    </row>
    <row r="5543" spans="13:22" x14ac:dyDescent="0.25">
      <c r="M5543" s="4">
        <f t="shared" si="1142"/>
        <v>173.1</v>
      </c>
      <c r="N5543" s="4"/>
      <c r="O5543" s="1">
        <f t="shared" si="1143"/>
        <v>173.1</v>
      </c>
      <c r="P5543" s="1">
        <f t="shared" si="1144"/>
        <v>0</v>
      </c>
      <c r="Q5543" s="1" t="str">
        <f t="shared" si="1141"/>
        <v/>
      </c>
      <c r="R5543" s="1" t="str">
        <f t="shared" si="1145"/>
        <v/>
      </c>
      <c r="S5543" s="1">
        <f t="shared" si="1146"/>
        <v>630.90240000000244</v>
      </c>
      <c r="T5543" s="1">
        <f t="shared" si="1147"/>
        <v>0</v>
      </c>
      <c r="U5543" s="1">
        <f t="shared" si="1148"/>
        <v>0</v>
      </c>
      <c r="V5543" s="1">
        <f t="shared" si="1149"/>
        <v>0</v>
      </c>
    </row>
    <row r="5544" spans="13:22" x14ac:dyDescent="0.25">
      <c r="M5544" s="4">
        <f t="shared" si="1142"/>
        <v>173.1</v>
      </c>
      <c r="N5544" s="4"/>
      <c r="O5544" s="1">
        <f t="shared" si="1143"/>
        <v>173.1</v>
      </c>
      <c r="P5544" s="1">
        <f t="shared" si="1144"/>
        <v>0</v>
      </c>
      <c r="Q5544" s="1" t="str">
        <f t="shared" si="1141"/>
        <v/>
      </c>
      <c r="R5544" s="1" t="str">
        <f t="shared" si="1145"/>
        <v/>
      </c>
      <c r="S5544" s="1">
        <f t="shared" si="1146"/>
        <v>630.90240000000244</v>
      </c>
      <c r="T5544" s="1">
        <f t="shared" si="1147"/>
        <v>0</v>
      </c>
      <c r="U5544" s="1">
        <f t="shared" si="1148"/>
        <v>0</v>
      </c>
      <c r="V5544" s="1">
        <f t="shared" si="1149"/>
        <v>0</v>
      </c>
    </row>
    <row r="5545" spans="13:22" x14ac:dyDescent="0.25">
      <c r="M5545" s="4">
        <f t="shared" si="1142"/>
        <v>173.1</v>
      </c>
      <c r="N5545" s="4"/>
      <c r="O5545" s="1">
        <f t="shared" si="1143"/>
        <v>173.1</v>
      </c>
      <c r="P5545" s="1">
        <f t="shared" si="1144"/>
        <v>0</v>
      </c>
      <c r="Q5545" s="1" t="str">
        <f t="shared" si="1141"/>
        <v/>
      </c>
      <c r="R5545" s="1" t="str">
        <f t="shared" si="1145"/>
        <v/>
      </c>
      <c r="S5545" s="1">
        <f t="shared" si="1146"/>
        <v>630.90240000000244</v>
      </c>
      <c r="T5545" s="1">
        <f t="shared" si="1147"/>
        <v>0</v>
      </c>
      <c r="U5545" s="1">
        <f t="shared" si="1148"/>
        <v>0</v>
      </c>
      <c r="V5545" s="1">
        <f t="shared" si="1149"/>
        <v>0</v>
      </c>
    </row>
    <row r="5546" spans="13:22" x14ac:dyDescent="0.25">
      <c r="M5546" s="4">
        <f t="shared" si="1142"/>
        <v>173.1</v>
      </c>
      <c r="N5546" s="4"/>
      <c r="O5546" s="1">
        <f t="shared" si="1143"/>
        <v>173.1</v>
      </c>
      <c r="P5546" s="1">
        <f t="shared" si="1144"/>
        <v>0</v>
      </c>
      <c r="Q5546" s="1" t="str">
        <f t="shared" si="1141"/>
        <v/>
      </c>
      <c r="R5546" s="1" t="str">
        <f t="shared" si="1145"/>
        <v/>
      </c>
      <c r="S5546" s="1">
        <f t="shared" si="1146"/>
        <v>630.90240000000244</v>
      </c>
      <c r="T5546" s="1">
        <f t="shared" si="1147"/>
        <v>0</v>
      </c>
      <c r="U5546" s="1">
        <f t="shared" si="1148"/>
        <v>0</v>
      </c>
      <c r="V5546" s="1">
        <f t="shared" si="1149"/>
        <v>0</v>
      </c>
    </row>
    <row r="5547" spans="13:22" x14ac:dyDescent="0.25">
      <c r="M5547" s="4">
        <f t="shared" si="1142"/>
        <v>173.1</v>
      </c>
      <c r="N5547" s="4"/>
      <c r="O5547" s="1">
        <f t="shared" si="1143"/>
        <v>173.1</v>
      </c>
      <c r="P5547" s="1">
        <f t="shared" si="1144"/>
        <v>0</v>
      </c>
      <c r="Q5547" s="1" t="str">
        <f t="shared" si="1141"/>
        <v/>
      </c>
      <c r="R5547" s="1" t="str">
        <f t="shared" si="1145"/>
        <v/>
      </c>
      <c r="S5547" s="1">
        <f t="shared" si="1146"/>
        <v>630.90240000000244</v>
      </c>
      <c r="T5547" s="1">
        <f t="shared" si="1147"/>
        <v>0</v>
      </c>
      <c r="U5547" s="1">
        <f t="shared" si="1148"/>
        <v>0</v>
      </c>
      <c r="V5547" s="1">
        <f t="shared" si="1149"/>
        <v>0</v>
      </c>
    </row>
    <row r="5548" spans="13:22" x14ac:dyDescent="0.25">
      <c r="M5548" s="4">
        <f t="shared" si="1142"/>
        <v>173.1</v>
      </c>
      <c r="N5548" s="4"/>
      <c r="O5548" s="1">
        <f t="shared" si="1143"/>
        <v>173.1</v>
      </c>
      <c r="P5548" s="1">
        <f t="shared" si="1144"/>
        <v>0</v>
      </c>
      <c r="Q5548" s="1" t="str">
        <f t="shared" si="1141"/>
        <v/>
      </c>
      <c r="R5548" s="1" t="str">
        <f t="shared" si="1145"/>
        <v/>
      </c>
      <c r="S5548" s="1">
        <f t="shared" si="1146"/>
        <v>630.90240000000244</v>
      </c>
      <c r="T5548" s="1">
        <f t="shared" si="1147"/>
        <v>0</v>
      </c>
      <c r="U5548" s="1">
        <f t="shared" si="1148"/>
        <v>0</v>
      </c>
      <c r="V5548" s="1">
        <f t="shared" si="1149"/>
        <v>0</v>
      </c>
    </row>
    <row r="5549" spans="13:22" x14ac:dyDescent="0.25">
      <c r="M5549" s="4">
        <f t="shared" si="1142"/>
        <v>173.1</v>
      </c>
      <c r="N5549" s="4"/>
      <c r="O5549" s="1">
        <f t="shared" si="1143"/>
        <v>173.1</v>
      </c>
      <c r="P5549" s="1">
        <f t="shared" si="1144"/>
        <v>0</v>
      </c>
      <c r="Q5549" s="1" t="str">
        <f t="shared" si="1141"/>
        <v/>
      </c>
      <c r="R5549" s="1" t="str">
        <f t="shared" si="1145"/>
        <v/>
      </c>
      <c r="S5549" s="1">
        <f t="shared" si="1146"/>
        <v>630.90240000000244</v>
      </c>
      <c r="T5549" s="1">
        <f t="shared" si="1147"/>
        <v>0</v>
      </c>
      <c r="U5549" s="1">
        <f t="shared" si="1148"/>
        <v>0</v>
      </c>
      <c r="V5549" s="1">
        <f t="shared" si="1149"/>
        <v>0</v>
      </c>
    </row>
    <row r="5550" spans="13:22" x14ac:dyDescent="0.25">
      <c r="M5550" s="4">
        <f t="shared" si="1142"/>
        <v>173.1</v>
      </c>
      <c r="N5550" s="4"/>
      <c r="O5550" s="1">
        <f t="shared" si="1143"/>
        <v>173.1</v>
      </c>
      <c r="P5550" s="1">
        <f t="shared" si="1144"/>
        <v>0</v>
      </c>
      <c r="Q5550" s="1" t="str">
        <f t="shared" si="1141"/>
        <v/>
      </c>
      <c r="R5550" s="1" t="str">
        <f t="shared" si="1145"/>
        <v/>
      </c>
      <c r="S5550" s="1">
        <f t="shared" si="1146"/>
        <v>630.90240000000244</v>
      </c>
      <c r="T5550" s="1">
        <f t="shared" si="1147"/>
        <v>0</v>
      </c>
      <c r="U5550" s="1">
        <f t="shared" si="1148"/>
        <v>0</v>
      </c>
      <c r="V5550" s="1">
        <f t="shared" si="1149"/>
        <v>0</v>
      </c>
    </row>
    <row r="5551" spans="13:22" x14ac:dyDescent="0.25">
      <c r="M5551" s="4">
        <f t="shared" si="1142"/>
        <v>173.1</v>
      </c>
      <c r="N5551" s="4"/>
      <c r="O5551" s="1">
        <f t="shared" si="1143"/>
        <v>173.1</v>
      </c>
      <c r="P5551" s="1">
        <f t="shared" si="1144"/>
        <v>0</v>
      </c>
      <c r="Q5551" s="1" t="str">
        <f t="shared" si="1141"/>
        <v/>
      </c>
      <c r="R5551" s="1" t="str">
        <f t="shared" si="1145"/>
        <v/>
      </c>
      <c r="S5551" s="1">
        <f t="shared" si="1146"/>
        <v>630.90240000000244</v>
      </c>
      <c r="T5551" s="1">
        <f t="shared" si="1147"/>
        <v>0</v>
      </c>
      <c r="U5551" s="1">
        <f t="shared" si="1148"/>
        <v>0</v>
      </c>
      <c r="V5551" s="1">
        <f t="shared" si="1149"/>
        <v>0</v>
      </c>
    </row>
    <row r="5552" spans="13:22" x14ac:dyDescent="0.25">
      <c r="M5552" s="4">
        <f t="shared" si="1142"/>
        <v>173.1</v>
      </c>
      <c r="N5552" s="4"/>
      <c r="O5552" s="1">
        <f t="shared" si="1143"/>
        <v>173.1</v>
      </c>
      <c r="P5552" s="1">
        <f t="shared" si="1144"/>
        <v>0</v>
      </c>
      <c r="Q5552" s="1" t="str">
        <f t="shared" si="1141"/>
        <v/>
      </c>
      <c r="R5552" s="1" t="str">
        <f t="shared" si="1145"/>
        <v/>
      </c>
      <c r="S5552" s="1">
        <f t="shared" si="1146"/>
        <v>630.90240000000244</v>
      </c>
      <c r="T5552" s="1">
        <f t="shared" si="1147"/>
        <v>0</v>
      </c>
      <c r="U5552" s="1">
        <f t="shared" si="1148"/>
        <v>0</v>
      </c>
      <c r="V5552" s="1">
        <f t="shared" si="1149"/>
        <v>0</v>
      </c>
    </row>
    <row r="5553" spans="13:22" x14ac:dyDescent="0.25">
      <c r="M5553" s="4">
        <f t="shared" si="1142"/>
        <v>173.1</v>
      </c>
      <c r="N5553" s="4"/>
      <c r="O5553" s="1">
        <f t="shared" si="1143"/>
        <v>173.1</v>
      </c>
      <c r="P5553" s="1">
        <f t="shared" si="1144"/>
        <v>0</v>
      </c>
      <c r="Q5553" s="1" t="str">
        <f t="shared" si="1141"/>
        <v/>
      </c>
      <c r="R5553" s="1" t="str">
        <f t="shared" si="1145"/>
        <v/>
      </c>
      <c r="S5553" s="1">
        <f t="shared" si="1146"/>
        <v>630.90240000000244</v>
      </c>
      <c r="T5553" s="1">
        <f t="shared" si="1147"/>
        <v>0</v>
      </c>
      <c r="U5553" s="1">
        <f t="shared" si="1148"/>
        <v>0</v>
      </c>
      <c r="V5553" s="1">
        <f t="shared" si="1149"/>
        <v>0</v>
      </c>
    </row>
    <row r="5554" spans="13:22" x14ac:dyDescent="0.25">
      <c r="M5554" s="4">
        <f t="shared" si="1142"/>
        <v>173.1</v>
      </c>
      <c r="N5554" s="4"/>
      <c r="O5554" s="1">
        <f t="shared" si="1143"/>
        <v>173.1</v>
      </c>
      <c r="P5554" s="1">
        <f t="shared" si="1144"/>
        <v>0</v>
      </c>
      <c r="Q5554" s="1" t="str">
        <f t="shared" ref="Q5554:Q5617" si="1150">IF(H5554&lt;&gt;"",IF(H5554=H5553,"",H5554),IF(H5552="","",MAX(H5553,Q5553)))</f>
        <v/>
      </c>
      <c r="R5554" s="1" t="str">
        <f t="shared" si="1145"/>
        <v/>
      </c>
      <c r="S5554" s="1">
        <f t="shared" si="1146"/>
        <v>630.90240000000244</v>
      </c>
      <c r="T5554" s="1">
        <f t="shared" si="1147"/>
        <v>0</v>
      </c>
      <c r="U5554" s="1">
        <f t="shared" si="1148"/>
        <v>0</v>
      </c>
      <c r="V5554" s="1">
        <f t="shared" si="1149"/>
        <v>0</v>
      </c>
    </row>
    <row r="5555" spans="13:22" x14ac:dyDescent="0.25">
      <c r="M5555" s="4">
        <f t="shared" si="1142"/>
        <v>173.1</v>
      </c>
      <c r="N5555" s="4"/>
      <c r="O5555" s="1">
        <f t="shared" si="1143"/>
        <v>173.1</v>
      </c>
      <c r="P5555" s="1">
        <f t="shared" si="1144"/>
        <v>0</v>
      </c>
      <c r="Q5555" s="1" t="str">
        <f t="shared" si="1150"/>
        <v/>
      </c>
      <c r="R5555" s="1" t="str">
        <f t="shared" si="1145"/>
        <v/>
      </c>
      <c r="S5555" s="1">
        <f t="shared" si="1146"/>
        <v>630.90240000000244</v>
      </c>
      <c r="T5555" s="1">
        <f t="shared" si="1147"/>
        <v>0</v>
      </c>
      <c r="U5555" s="1">
        <f t="shared" si="1148"/>
        <v>0</v>
      </c>
      <c r="V5555" s="1">
        <f t="shared" si="1149"/>
        <v>0</v>
      </c>
    </row>
    <row r="5556" spans="13:22" x14ac:dyDescent="0.25">
      <c r="M5556" s="4">
        <f t="shared" si="1142"/>
        <v>173.1</v>
      </c>
      <c r="N5556" s="4"/>
      <c r="O5556" s="1">
        <f t="shared" si="1143"/>
        <v>173.1</v>
      </c>
      <c r="P5556" s="1">
        <f t="shared" si="1144"/>
        <v>0</v>
      </c>
      <c r="Q5556" s="1" t="str">
        <f t="shared" si="1150"/>
        <v/>
      </c>
      <c r="R5556" s="1" t="str">
        <f t="shared" si="1145"/>
        <v/>
      </c>
      <c r="S5556" s="1">
        <f t="shared" si="1146"/>
        <v>630.90240000000244</v>
      </c>
      <c r="T5556" s="1">
        <f t="shared" si="1147"/>
        <v>0</v>
      </c>
      <c r="U5556" s="1">
        <f t="shared" si="1148"/>
        <v>0</v>
      </c>
      <c r="V5556" s="1">
        <f t="shared" si="1149"/>
        <v>0</v>
      </c>
    </row>
    <row r="5557" spans="13:22" x14ac:dyDescent="0.25">
      <c r="M5557" s="4">
        <f t="shared" si="1142"/>
        <v>173.1</v>
      </c>
      <c r="N5557" s="4"/>
      <c r="O5557" s="1">
        <f t="shared" si="1143"/>
        <v>173.1</v>
      </c>
      <c r="P5557" s="1">
        <f t="shared" si="1144"/>
        <v>0</v>
      </c>
      <c r="Q5557" s="1" t="str">
        <f t="shared" si="1150"/>
        <v/>
      </c>
      <c r="R5557" s="1" t="str">
        <f t="shared" si="1145"/>
        <v/>
      </c>
      <c r="S5557" s="1">
        <f t="shared" si="1146"/>
        <v>630.90240000000244</v>
      </c>
      <c r="T5557" s="1">
        <f t="shared" si="1147"/>
        <v>0</v>
      </c>
      <c r="U5557" s="1">
        <f t="shared" si="1148"/>
        <v>0</v>
      </c>
      <c r="V5557" s="1">
        <f t="shared" si="1149"/>
        <v>0</v>
      </c>
    </row>
    <row r="5558" spans="13:22" x14ac:dyDescent="0.25">
      <c r="M5558" s="4">
        <f t="shared" si="1142"/>
        <v>173.1</v>
      </c>
      <c r="N5558" s="4"/>
      <c r="O5558" s="1">
        <f t="shared" si="1143"/>
        <v>173.1</v>
      </c>
      <c r="P5558" s="1">
        <f t="shared" si="1144"/>
        <v>0</v>
      </c>
      <c r="Q5558" s="1" t="str">
        <f t="shared" si="1150"/>
        <v/>
      </c>
      <c r="R5558" s="1" t="str">
        <f t="shared" si="1145"/>
        <v/>
      </c>
      <c r="S5558" s="1">
        <f t="shared" si="1146"/>
        <v>630.90240000000244</v>
      </c>
      <c r="T5558" s="1">
        <f t="shared" si="1147"/>
        <v>0</v>
      </c>
      <c r="U5558" s="1">
        <f t="shared" si="1148"/>
        <v>0</v>
      </c>
      <c r="V5558" s="1">
        <f t="shared" si="1149"/>
        <v>0</v>
      </c>
    </row>
    <row r="5559" spans="13:22" x14ac:dyDescent="0.25">
      <c r="M5559" s="4">
        <f t="shared" si="1142"/>
        <v>173.1</v>
      </c>
      <c r="N5559" s="4"/>
      <c r="O5559" s="1">
        <f t="shared" si="1143"/>
        <v>173.1</v>
      </c>
      <c r="P5559" s="1">
        <f t="shared" si="1144"/>
        <v>0</v>
      </c>
      <c r="Q5559" s="1" t="str">
        <f t="shared" si="1150"/>
        <v/>
      </c>
      <c r="R5559" s="1" t="str">
        <f t="shared" si="1145"/>
        <v/>
      </c>
      <c r="S5559" s="1">
        <f t="shared" si="1146"/>
        <v>630.90240000000244</v>
      </c>
      <c r="T5559" s="1">
        <f t="shared" si="1147"/>
        <v>0</v>
      </c>
      <c r="U5559" s="1">
        <f t="shared" si="1148"/>
        <v>0</v>
      </c>
      <c r="V5559" s="1">
        <f t="shared" si="1149"/>
        <v>0</v>
      </c>
    </row>
    <row r="5560" spans="13:22" x14ac:dyDescent="0.25">
      <c r="M5560" s="4">
        <f t="shared" si="1142"/>
        <v>173.1</v>
      </c>
      <c r="N5560" s="4"/>
      <c r="O5560" s="1">
        <f t="shared" si="1143"/>
        <v>173.1</v>
      </c>
      <c r="P5560" s="1">
        <f t="shared" si="1144"/>
        <v>0</v>
      </c>
      <c r="Q5560" s="1" t="str">
        <f t="shared" si="1150"/>
        <v/>
      </c>
      <c r="R5560" s="1" t="str">
        <f t="shared" si="1145"/>
        <v/>
      </c>
      <c r="S5560" s="1">
        <f t="shared" si="1146"/>
        <v>630.90240000000244</v>
      </c>
      <c r="T5560" s="1">
        <f t="shared" si="1147"/>
        <v>0</v>
      </c>
      <c r="U5560" s="1">
        <f t="shared" si="1148"/>
        <v>0</v>
      </c>
      <c r="V5560" s="1">
        <f t="shared" si="1149"/>
        <v>0</v>
      </c>
    </row>
    <row r="5561" spans="13:22" x14ac:dyDescent="0.25">
      <c r="M5561" s="4">
        <f t="shared" si="1142"/>
        <v>173.1</v>
      </c>
      <c r="N5561" s="4"/>
      <c r="O5561" s="1">
        <f t="shared" si="1143"/>
        <v>173.1</v>
      </c>
      <c r="P5561" s="1">
        <f t="shared" si="1144"/>
        <v>0</v>
      </c>
      <c r="Q5561" s="1" t="str">
        <f t="shared" si="1150"/>
        <v/>
      </c>
      <c r="R5561" s="1" t="str">
        <f t="shared" si="1145"/>
        <v/>
      </c>
      <c r="S5561" s="1">
        <f t="shared" si="1146"/>
        <v>630.90240000000244</v>
      </c>
      <c r="T5561" s="1">
        <f t="shared" si="1147"/>
        <v>0</v>
      </c>
      <c r="U5561" s="1">
        <f t="shared" si="1148"/>
        <v>0</v>
      </c>
      <c r="V5561" s="1">
        <f t="shared" si="1149"/>
        <v>0</v>
      </c>
    </row>
    <row r="5562" spans="13:22" x14ac:dyDescent="0.25">
      <c r="M5562" s="4">
        <f t="shared" si="1142"/>
        <v>173.1</v>
      </c>
      <c r="N5562" s="4"/>
      <c r="O5562" s="1">
        <f t="shared" si="1143"/>
        <v>173.1</v>
      </c>
      <c r="P5562" s="1">
        <f t="shared" si="1144"/>
        <v>0</v>
      </c>
      <c r="Q5562" s="1" t="str">
        <f t="shared" si="1150"/>
        <v/>
      </c>
      <c r="R5562" s="1" t="str">
        <f t="shared" si="1145"/>
        <v/>
      </c>
      <c r="S5562" s="1">
        <f t="shared" si="1146"/>
        <v>630.90240000000244</v>
      </c>
      <c r="T5562" s="1">
        <f t="shared" si="1147"/>
        <v>0</v>
      </c>
      <c r="U5562" s="1">
        <f t="shared" si="1148"/>
        <v>0</v>
      </c>
      <c r="V5562" s="1">
        <f t="shared" si="1149"/>
        <v>0</v>
      </c>
    </row>
    <row r="5563" spans="13:22" x14ac:dyDescent="0.25">
      <c r="M5563" s="4">
        <f t="shared" si="1142"/>
        <v>173.1</v>
      </c>
      <c r="N5563" s="4"/>
      <c r="O5563" s="1">
        <f t="shared" si="1143"/>
        <v>173.1</v>
      </c>
      <c r="P5563" s="1">
        <f t="shared" si="1144"/>
        <v>0</v>
      </c>
      <c r="Q5563" s="1" t="str">
        <f t="shared" si="1150"/>
        <v/>
      </c>
      <c r="R5563" s="1" t="str">
        <f t="shared" si="1145"/>
        <v/>
      </c>
      <c r="S5563" s="1">
        <f t="shared" si="1146"/>
        <v>630.90240000000244</v>
      </c>
      <c r="T5563" s="1">
        <f t="shared" si="1147"/>
        <v>0</v>
      </c>
      <c r="U5563" s="1">
        <f t="shared" si="1148"/>
        <v>0</v>
      </c>
      <c r="V5563" s="1">
        <f t="shared" si="1149"/>
        <v>0</v>
      </c>
    </row>
    <row r="5564" spans="13:22" x14ac:dyDescent="0.25">
      <c r="M5564" s="4">
        <f t="shared" si="1142"/>
        <v>173.1</v>
      </c>
      <c r="N5564" s="4"/>
      <c r="O5564" s="1">
        <f t="shared" si="1143"/>
        <v>173.1</v>
      </c>
      <c r="P5564" s="1">
        <f t="shared" si="1144"/>
        <v>0</v>
      </c>
      <c r="Q5564" s="1" t="str">
        <f t="shared" si="1150"/>
        <v/>
      </c>
      <c r="R5564" s="1" t="str">
        <f t="shared" si="1145"/>
        <v/>
      </c>
      <c r="S5564" s="1">
        <f t="shared" si="1146"/>
        <v>630.90240000000244</v>
      </c>
      <c r="T5564" s="1">
        <f t="shared" si="1147"/>
        <v>0</v>
      </c>
      <c r="U5564" s="1">
        <f t="shared" si="1148"/>
        <v>0</v>
      </c>
      <c r="V5564" s="1">
        <f t="shared" si="1149"/>
        <v>0</v>
      </c>
    </row>
    <row r="5565" spans="13:22" x14ac:dyDescent="0.25">
      <c r="M5565" s="4">
        <f t="shared" si="1142"/>
        <v>173.1</v>
      </c>
      <c r="N5565" s="4"/>
      <c r="O5565" s="1">
        <f t="shared" si="1143"/>
        <v>173.1</v>
      </c>
      <c r="P5565" s="1">
        <f t="shared" si="1144"/>
        <v>0</v>
      </c>
      <c r="Q5565" s="1" t="str">
        <f t="shared" si="1150"/>
        <v/>
      </c>
      <c r="R5565" s="1" t="str">
        <f t="shared" si="1145"/>
        <v/>
      </c>
      <c r="S5565" s="1">
        <f t="shared" si="1146"/>
        <v>630.90240000000244</v>
      </c>
      <c r="T5565" s="1">
        <f t="shared" si="1147"/>
        <v>0</v>
      </c>
      <c r="U5565" s="1">
        <f t="shared" si="1148"/>
        <v>0</v>
      </c>
      <c r="V5565" s="1">
        <f t="shared" si="1149"/>
        <v>0</v>
      </c>
    </row>
    <row r="5566" spans="13:22" x14ac:dyDescent="0.25">
      <c r="M5566" s="4">
        <f t="shared" si="1142"/>
        <v>173.1</v>
      </c>
      <c r="N5566" s="4"/>
      <c r="O5566" s="1">
        <f t="shared" si="1143"/>
        <v>173.1</v>
      </c>
      <c r="P5566" s="1">
        <f t="shared" si="1144"/>
        <v>0</v>
      </c>
      <c r="Q5566" s="1" t="str">
        <f t="shared" si="1150"/>
        <v/>
      </c>
      <c r="R5566" s="1" t="str">
        <f t="shared" si="1145"/>
        <v/>
      </c>
      <c r="S5566" s="1">
        <f t="shared" si="1146"/>
        <v>630.90240000000244</v>
      </c>
      <c r="T5566" s="1">
        <f t="shared" si="1147"/>
        <v>0</v>
      </c>
      <c r="U5566" s="1">
        <f t="shared" si="1148"/>
        <v>0</v>
      </c>
      <c r="V5566" s="1">
        <f t="shared" si="1149"/>
        <v>0</v>
      </c>
    </row>
    <row r="5567" spans="13:22" x14ac:dyDescent="0.25">
      <c r="M5567" s="4">
        <f t="shared" si="1142"/>
        <v>173.1</v>
      </c>
      <c r="N5567" s="4"/>
      <c r="O5567" s="1">
        <f t="shared" si="1143"/>
        <v>173.1</v>
      </c>
      <c r="P5567" s="1">
        <f t="shared" si="1144"/>
        <v>0</v>
      </c>
      <c r="Q5567" s="1" t="str">
        <f t="shared" si="1150"/>
        <v/>
      </c>
      <c r="R5567" s="1" t="str">
        <f t="shared" si="1145"/>
        <v/>
      </c>
      <c r="S5567" s="1">
        <f t="shared" si="1146"/>
        <v>630.90240000000244</v>
      </c>
      <c r="T5567" s="1">
        <f t="shared" si="1147"/>
        <v>0</v>
      </c>
      <c r="U5567" s="1">
        <f t="shared" si="1148"/>
        <v>0</v>
      </c>
      <c r="V5567" s="1">
        <f t="shared" si="1149"/>
        <v>0</v>
      </c>
    </row>
    <row r="5568" spans="13:22" x14ac:dyDescent="0.25">
      <c r="M5568" s="4">
        <f t="shared" si="1142"/>
        <v>173.1</v>
      </c>
      <c r="N5568" s="4"/>
      <c r="O5568" s="1">
        <f t="shared" si="1143"/>
        <v>173.1</v>
      </c>
      <c r="P5568" s="1">
        <f t="shared" si="1144"/>
        <v>0</v>
      </c>
      <c r="Q5568" s="1" t="str">
        <f t="shared" si="1150"/>
        <v/>
      </c>
      <c r="R5568" s="1" t="str">
        <f t="shared" si="1145"/>
        <v/>
      </c>
      <c r="S5568" s="1">
        <f t="shared" si="1146"/>
        <v>630.90240000000244</v>
      </c>
      <c r="T5568" s="1">
        <f t="shared" si="1147"/>
        <v>0</v>
      </c>
      <c r="U5568" s="1">
        <f t="shared" si="1148"/>
        <v>0</v>
      </c>
      <c r="V5568" s="1">
        <f t="shared" si="1149"/>
        <v>0</v>
      </c>
    </row>
    <row r="5569" spans="13:22" x14ac:dyDescent="0.25">
      <c r="M5569" s="4">
        <f t="shared" si="1142"/>
        <v>173.1</v>
      </c>
      <c r="N5569" s="4"/>
      <c r="O5569" s="1">
        <f t="shared" si="1143"/>
        <v>173.1</v>
      </c>
      <c r="P5569" s="1">
        <f t="shared" si="1144"/>
        <v>0</v>
      </c>
      <c r="Q5569" s="1" t="str">
        <f t="shared" si="1150"/>
        <v/>
      </c>
      <c r="R5569" s="1" t="str">
        <f t="shared" si="1145"/>
        <v/>
      </c>
      <c r="S5569" s="1">
        <f t="shared" si="1146"/>
        <v>630.90240000000244</v>
      </c>
      <c r="T5569" s="1">
        <f t="shared" si="1147"/>
        <v>0</v>
      </c>
      <c r="U5569" s="1">
        <f t="shared" si="1148"/>
        <v>0</v>
      </c>
      <c r="V5569" s="1">
        <f t="shared" si="1149"/>
        <v>0</v>
      </c>
    </row>
    <row r="5570" spans="13:22" x14ac:dyDescent="0.25">
      <c r="M5570" s="4">
        <f t="shared" si="1142"/>
        <v>173.1</v>
      </c>
      <c r="N5570" s="4"/>
      <c r="O5570" s="1">
        <f t="shared" si="1143"/>
        <v>173.1</v>
      </c>
      <c r="P5570" s="1">
        <f t="shared" si="1144"/>
        <v>0</v>
      </c>
      <c r="Q5570" s="1" t="str">
        <f t="shared" si="1150"/>
        <v/>
      </c>
      <c r="R5570" s="1" t="str">
        <f t="shared" si="1145"/>
        <v/>
      </c>
      <c r="S5570" s="1">
        <f t="shared" si="1146"/>
        <v>630.90240000000244</v>
      </c>
      <c r="T5570" s="1">
        <f t="shared" si="1147"/>
        <v>0</v>
      </c>
      <c r="U5570" s="1">
        <f t="shared" si="1148"/>
        <v>0</v>
      </c>
      <c r="V5570" s="1">
        <f t="shared" si="1149"/>
        <v>0</v>
      </c>
    </row>
    <row r="5571" spans="13:22" x14ac:dyDescent="0.25">
      <c r="M5571" s="4">
        <f t="shared" si="1142"/>
        <v>173.1</v>
      </c>
      <c r="N5571" s="4"/>
      <c r="O5571" s="1">
        <f t="shared" si="1143"/>
        <v>173.1</v>
      </c>
      <c r="P5571" s="1">
        <f t="shared" si="1144"/>
        <v>0</v>
      </c>
      <c r="Q5571" s="1" t="str">
        <f t="shared" si="1150"/>
        <v/>
      </c>
      <c r="R5571" s="1" t="str">
        <f t="shared" si="1145"/>
        <v/>
      </c>
      <c r="S5571" s="1">
        <f t="shared" si="1146"/>
        <v>630.90240000000244</v>
      </c>
      <c r="T5571" s="1">
        <f t="shared" si="1147"/>
        <v>0</v>
      </c>
      <c r="U5571" s="1">
        <f t="shared" si="1148"/>
        <v>0</v>
      </c>
      <c r="V5571" s="1">
        <f t="shared" si="1149"/>
        <v>0</v>
      </c>
    </row>
    <row r="5572" spans="13:22" x14ac:dyDescent="0.25">
      <c r="M5572" s="4">
        <f t="shared" si="1142"/>
        <v>173.1</v>
      </c>
      <c r="N5572" s="4"/>
      <c r="O5572" s="1">
        <f t="shared" si="1143"/>
        <v>173.1</v>
      </c>
      <c r="P5572" s="1">
        <f t="shared" si="1144"/>
        <v>0</v>
      </c>
      <c r="Q5572" s="1" t="str">
        <f t="shared" si="1150"/>
        <v/>
      </c>
      <c r="R5572" s="1" t="str">
        <f t="shared" si="1145"/>
        <v/>
      </c>
      <c r="S5572" s="1">
        <f t="shared" si="1146"/>
        <v>630.90240000000244</v>
      </c>
      <c r="T5572" s="1">
        <f t="shared" si="1147"/>
        <v>0</v>
      </c>
      <c r="U5572" s="1">
        <f t="shared" si="1148"/>
        <v>0</v>
      </c>
      <c r="V5572" s="1">
        <f t="shared" si="1149"/>
        <v>0</v>
      </c>
    </row>
    <row r="5573" spans="13:22" x14ac:dyDescent="0.25">
      <c r="M5573" s="4">
        <f t="shared" si="1142"/>
        <v>173.1</v>
      </c>
      <c r="N5573" s="4"/>
      <c r="O5573" s="1">
        <f t="shared" si="1143"/>
        <v>173.1</v>
      </c>
      <c r="P5573" s="1">
        <f t="shared" si="1144"/>
        <v>0</v>
      </c>
      <c r="Q5573" s="1" t="str">
        <f t="shared" si="1150"/>
        <v/>
      </c>
      <c r="R5573" s="1" t="str">
        <f t="shared" si="1145"/>
        <v/>
      </c>
      <c r="S5573" s="1">
        <f t="shared" si="1146"/>
        <v>630.90240000000244</v>
      </c>
      <c r="T5573" s="1">
        <f t="shared" si="1147"/>
        <v>0</v>
      </c>
      <c r="U5573" s="1">
        <f t="shared" si="1148"/>
        <v>0</v>
      </c>
      <c r="V5573" s="1">
        <f t="shared" si="1149"/>
        <v>0</v>
      </c>
    </row>
    <row r="5574" spans="13:22" x14ac:dyDescent="0.25">
      <c r="M5574" s="4">
        <f t="shared" si="1142"/>
        <v>173.1</v>
      </c>
      <c r="N5574" s="4"/>
      <c r="O5574" s="1">
        <f t="shared" si="1143"/>
        <v>173.1</v>
      </c>
      <c r="P5574" s="1">
        <f t="shared" si="1144"/>
        <v>0</v>
      </c>
      <c r="Q5574" s="1" t="str">
        <f t="shared" si="1150"/>
        <v/>
      </c>
      <c r="R5574" s="1" t="str">
        <f t="shared" si="1145"/>
        <v/>
      </c>
      <c r="S5574" s="1">
        <f t="shared" si="1146"/>
        <v>630.90240000000244</v>
      </c>
      <c r="T5574" s="1">
        <f t="shared" si="1147"/>
        <v>0</v>
      </c>
      <c r="U5574" s="1">
        <f t="shared" si="1148"/>
        <v>0</v>
      </c>
      <c r="V5574" s="1">
        <f t="shared" si="1149"/>
        <v>0</v>
      </c>
    </row>
    <row r="5575" spans="13:22" x14ac:dyDescent="0.25">
      <c r="M5575" s="4">
        <f t="shared" si="1142"/>
        <v>173.1</v>
      </c>
      <c r="N5575" s="4"/>
      <c r="O5575" s="1">
        <f t="shared" si="1143"/>
        <v>173.1</v>
      </c>
      <c r="P5575" s="1">
        <f t="shared" si="1144"/>
        <v>0</v>
      </c>
      <c r="Q5575" s="1" t="str">
        <f t="shared" si="1150"/>
        <v/>
      </c>
      <c r="R5575" s="1" t="str">
        <f t="shared" si="1145"/>
        <v/>
      </c>
      <c r="S5575" s="1">
        <f t="shared" si="1146"/>
        <v>630.90240000000244</v>
      </c>
      <c r="T5575" s="1">
        <f t="shared" si="1147"/>
        <v>0</v>
      </c>
      <c r="U5575" s="1">
        <f t="shared" si="1148"/>
        <v>0</v>
      </c>
      <c r="V5575" s="1">
        <f t="shared" si="1149"/>
        <v>0</v>
      </c>
    </row>
    <row r="5576" spans="13:22" x14ac:dyDescent="0.25">
      <c r="M5576" s="4">
        <f t="shared" ref="M5576:M5639" si="1151">E5576+M5575</f>
        <v>173.1</v>
      </c>
      <c r="N5576" s="4"/>
      <c r="O5576" s="1">
        <f t="shared" ref="O5576:O5639" si="1152">E5575+O5575</f>
        <v>173.1</v>
      </c>
      <c r="P5576" s="1">
        <f t="shared" ref="P5576:P5639" si="1153">F5576*52.8*E5576</f>
        <v>0</v>
      </c>
      <c r="Q5576" s="1" t="str">
        <f t="shared" si="1150"/>
        <v/>
      </c>
      <c r="R5576" s="1" t="str">
        <f t="shared" ref="R5576:R5639" si="1154">IF(I5576="",Q5576,IF(AND(H5576=H5575,I5576=I5575),"",I5576))</f>
        <v/>
      </c>
      <c r="S5576" s="1">
        <f t="shared" ref="S5576:S5639" si="1155">S5575+U5575*T5575/100</f>
        <v>630.90240000000244</v>
      </c>
      <c r="T5576" s="1">
        <f t="shared" ref="T5576:T5639" si="1156">IF(G5576="UNK",0,G5576)</f>
        <v>0</v>
      </c>
      <c r="U5576" s="1">
        <f t="shared" ref="U5576:U5639" si="1157">E5576*5280</f>
        <v>0</v>
      </c>
      <c r="V5576" s="1">
        <f t="shared" ref="V5576:V5639" si="1158">ABS(T5576*U5576)</f>
        <v>0</v>
      </c>
    </row>
    <row r="5577" spans="13:22" x14ac:dyDescent="0.25">
      <c r="M5577" s="4">
        <f t="shared" si="1151"/>
        <v>173.1</v>
      </c>
      <c r="N5577" s="4"/>
      <c r="O5577" s="1">
        <f t="shared" si="1152"/>
        <v>173.1</v>
      </c>
      <c r="P5577" s="1">
        <f t="shared" si="1153"/>
        <v>0</v>
      </c>
      <c r="Q5577" s="1" t="str">
        <f t="shared" si="1150"/>
        <v/>
      </c>
      <c r="R5577" s="1" t="str">
        <f t="shared" si="1154"/>
        <v/>
      </c>
      <c r="S5577" s="1">
        <f t="shared" si="1155"/>
        <v>630.90240000000244</v>
      </c>
      <c r="T5577" s="1">
        <f t="shared" si="1156"/>
        <v>0</v>
      </c>
      <c r="U5577" s="1">
        <f t="shared" si="1157"/>
        <v>0</v>
      </c>
      <c r="V5577" s="1">
        <f t="shared" si="1158"/>
        <v>0</v>
      </c>
    </row>
    <row r="5578" spans="13:22" x14ac:dyDescent="0.25">
      <c r="M5578" s="4">
        <f t="shared" si="1151"/>
        <v>173.1</v>
      </c>
      <c r="N5578" s="4"/>
      <c r="O5578" s="1">
        <f t="shared" si="1152"/>
        <v>173.1</v>
      </c>
      <c r="P5578" s="1">
        <f t="shared" si="1153"/>
        <v>0</v>
      </c>
      <c r="Q5578" s="1" t="str">
        <f t="shared" si="1150"/>
        <v/>
      </c>
      <c r="R5578" s="1" t="str">
        <f t="shared" si="1154"/>
        <v/>
      </c>
      <c r="S5578" s="1">
        <f t="shared" si="1155"/>
        <v>630.90240000000244</v>
      </c>
      <c r="T5578" s="1">
        <f t="shared" si="1156"/>
        <v>0</v>
      </c>
      <c r="U5578" s="1">
        <f t="shared" si="1157"/>
        <v>0</v>
      </c>
      <c r="V5578" s="1">
        <f t="shared" si="1158"/>
        <v>0</v>
      </c>
    </row>
    <row r="5579" spans="13:22" x14ac:dyDescent="0.25">
      <c r="M5579" s="4">
        <f t="shared" si="1151"/>
        <v>173.1</v>
      </c>
      <c r="N5579" s="4"/>
      <c r="O5579" s="1">
        <f t="shared" si="1152"/>
        <v>173.1</v>
      </c>
      <c r="P5579" s="1">
        <f t="shared" si="1153"/>
        <v>0</v>
      </c>
      <c r="Q5579" s="1" t="str">
        <f t="shared" si="1150"/>
        <v/>
      </c>
      <c r="R5579" s="1" t="str">
        <f t="shared" si="1154"/>
        <v/>
      </c>
      <c r="S5579" s="1">
        <f t="shared" si="1155"/>
        <v>630.90240000000244</v>
      </c>
      <c r="T5579" s="1">
        <f t="shared" si="1156"/>
        <v>0</v>
      </c>
      <c r="U5579" s="1">
        <f t="shared" si="1157"/>
        <v>0</v>
      </c>
      <c r="V5579" s="1">
        <f t="shared" si="1158"/>
        <v>0</v>
      </c>
    </row>
    <row r="5580" spans="13:22" x14ac:dyDescent="0.25">
      <c r="M5580" s="4">
        <f t="shared" si="1151"/>
        <v>173.1</v>
      </c>
      <c r="N5580" s="4"/>
      <c r="O5580" s="1">
        <f t="shared" si="1152"/>
        <v>173.1</v>
      </c>
      <c r="P5580" s="1">
        <f t="shared" si="1153"/>
        <v>0</v>
      </c>
      <c r="Q5580" s="1" t="str">
        <f t="shared" si="1150"/>
        <v/>
      </c>
      <c r="R5580" s="1" t="str">
        <f t="shared" si="1154"/>
        <v/>
      </c>
      <c r="S5580" s="1">
        <f t="shared" si="1155"/>
        <v>630.90240000000244</v>
      </c>
      <c r="T5580" s="1">
        <f t="shared" si="1156"/>
        <v>0</v>
      </c>
      <c r="U5580" s="1">
        <f t="shared" si="1157"/>
        <v>0</v>
      </c>
      <c r="V5580" s="1">
        <f t="shared" si="1158"/>
        <v>0</v>
      </c>
    </row>
    <row r="5581" spans="13:22" x14ac:dyDescent="0.25">
      <c r="M5581" s="4">
        <f t="shared" si="1151"/>
        <v>173.1</v>
      </c>
      <c r="N5581" s="4"/>
      <c r="O5581" s="1">
        <f t="shared" si="1152"/>
        <v>173.1</v>
      </c>
      <c r="P5581" s="1">
        <f t="shared" si="1153"/>
        <v>0</v>
      </c>
      <c r="Q5581" s="1" t="str">
        <f t="shared" si="1150"/>
        <v/>
      </c>
      <c r="R5581" s="1" t="str">
        <f t="shared" si="1154"/>
        <v/>
      </c>
      <c r="S5581" s="1">
        <f t="shared" si="1155"/>
        <v>630.90240000000244</v>
      </c>
      <c r="T5581" s="1">
        <f t="shared" si="1156"/>
        <v>0</v>
      </c>
      <c r="U5581" s="1">
        <f t="shared" si="1157"/>
        <v>0</v>
      </c>
      <c r="V5581" s="1">
        <f t="shared" si="1158"/>
        <v>0</v>
      </c>
    </row>
    <row r="5582" spans="13:22" x14ac:dyDescent="0.25">
      <c r="M5582" s="4">
        <f t="shared" si="1151"/>
        <v>173.1</v>
      </c>
      <c r="N5582" s="4"/>
      <c r="O5582" s="1">
        <f t="shared" si="1152"/>
        <v>173.1</v>
      </c>
      <c r="P5582" s="1">
        <f t="shared" si="1153"/>
        <v>0</v>
      </c>
      <c r="Q5582" s="1" t="str">
        <f t="shared" si="1150"/>
        <v/>
      </c>
      <c r="R5582" s="1" t="str">
        <f t="shared" si="1154"/>
        <v/>
      </c>
      <c r="S5582" s="1">
        <f t="shared" si="1155"/>
        <v>630.90240000000244</v>
      </c>
      <c r="T5582" s="1">
        <f t="shared" si="1156"/>
        <v>0</v>
      </c>
      <c r="U5582" s="1">
        <f t="shared" si="1157"/>
        <v>0</v>
      </c>
      <c r="V5582" s="1">
        <f t="shared" si="1158"/>
        <v>0</v>
      </c>
    </row>
    <row r="5583" spans="13:22" x14ac:dyDescent="0.25">
      <c r="M5583" s="4">
        <f t="shared" si="1151"/>
        <v>173.1</v>
      </c>
      <c r="N5583" s="4"/>
      <c r="O5583" s="1">
        <f t="shared" si="1152"/>
        <v>173.1</v>
      </c>
      <c r="P5583" s="1">
        <f t="shared" si="1153"/>
        <v>0</v>
      </c>
      <c r="Q5583" s="1" t="str">
        <f t="shared" si="1150"/>
        <v/>
      </c>
      <c r="R5583" s="1" t="str">
        <f t="shared" si="1154"/>
        <v/>
      </c>
      <c r="S5583" s="1">
        <f t="shared" si="1155"/>
        <v>630.90240000000244</v>
      </c>
      <c r="T5583" s="1">
        <f t="shared" si="1156"/>
        <v>0</v>
      </c>
      <c r="U5583" s="1">
        <f t="shared" si="1157"/>
        <v>0</v>
      </c>
      <c r="V5583" s="1">
        <f t="shared" si="1158"/>
        <v>0</v>
      </c>
    </row>
    <row r="5584" spans="13:22" x14ac:dyDescent="0.25">
      <c r="M5584" s="4">
        <f t="shared" si="1151"/>
        <v>173.1</v>
      </c>
      <c r="N5584" s="4"/>
      <c r="O5584" s="1">
        <f t="shared" si="1152"/>
        <v>173.1</v>
      </c>
      <c r="P5584" s="1">
        <f t="shared" si="1153"/>
        <v>0</v>
      </c>
      <c r="Q5584" s="1" t="str">
        <f t="shared" si="1150"/>
        <v/>
      </c>
      <c r="R5584" s="1" t="str">
        <f t="shared" si="1154"/>
        <v/>
      </c>
      <c r="S5584" s="1">
        <f t="shared" si="1155"/>
        <v>630.90240000000244</v>
      </c>
      <c r="T5584" s="1">
        <f t="shared" si="1156"/>
        <v>0</v>
      </c>
      <c r="U5584" s="1">
        <f t="shared" si="1157"/>
        <v>0</v>
      </c>
      <c r="V5584" s="1">
        <f t="shared" si="1158"/>
        <v>0</v>
      </c>
    </row>
    <row r="5585" spans="13:22" x14ac:dyDescent="0.25">
      <c r="M5585" s="4">
        <f t="shared" si="1151"/>
        <v>173.1</v>
      </c>
      <c r="N5585" s="4"/>
      <c r="O5585" s="1">
        <f t="shared" si="1152"/>
        <v>173.1</v>
      </c>
      <c r="P5585" s="1">
        <f t="shared" si="1153"/>
        <v>0</v>
      </c>
      <c r="Q5585" s="1" t="str">
        <f t="shared" si="1150"/>
        <v/>
      </c>
      <c r="R5585" s="1" t="str">
        <f t="shared" si="1154"/>
        <v/>
      </c>
      <c r="S5585" s="1">
        <f t="shared" si="1155"/>
        <v>630.90240000000244</v>
      </c>
      <c r="T5585" s="1">
        <f t="shared" si="1156"/>
        <v>0</v>
      </c>
      <c r="U5585" s="1">
        <f t="shared" si="1157"/>
        <v>0</v>
      </c>
      <c r="V5585" s="1">
        <f t="shared" si="1158"/>
        <v>0</v>
      </c>
    </row>
    <row r="5586" spans="13:22" x14ac:dyDescent="0.25">
      <c r="M5586" s="4">
        <f t="shared" si="1151"/>
        <v>173.1</v>
      </c>
      <c r="N5586" s="4"/>
      <c r="O5586" s="1">
        <f t="shared" si="1152"/>
        <v>173.1</v>
      </c>
      <c r="P5586" s="1">
        <f t="shared" si="1153"/>
        <v>0</v>
      </c>
      <c r="Q5586" s="1" t="str">
        <f t="shared" si="1150"/>
        <v/>
      </c>
      <c r="R5586" s="1" t="str">
        <f t="shared" si="1154"/>
        <v/>
      </c>
      <c r="S5586" s="1">
        <f t="shared" si="1155"/>
        <v>630.90240000000244</v>
      </c>
      <c r="T5586" s="1">
        <f t="shared" si="1156"/>
        <v>0</v>
      </c>
      <c r="U5586" s="1">
        <f t="shared" si="1157"/>
        <v>0</v>
      </c>
      <c r="V5586" s="1">
        <f t="shared" si="1158"/>
        <v>0</v>
      </c>
    </row>
    <row r="5587" spans="13:22" x14ac:dyDescent="0.25">
      <c r="M5587" s="4">
        <f t="shared" si="1151"/>
        <v>173.1</v>
      </c>
      <c r="N5587" s="4"/>
      <c r="O5587" s="1">
        <f t="shared" si="1152"/>
        <v>173.1</v>
      </c>
      <c r="P5587" s="1">
        <f t="shared" si="1153"/>
        <v>0</v>
      </c>
      <c r="Q5587" s="1" t="str">
        <f t="shared" si="1150"/>
        <v/>
      </c>
      <c r="R5587" s="1" t="str">
        <f t="shared" si="1154"/>
        <v/>
      </c>
      <c r="S5587" s="1">
        <f t="shared" si="1155"/>
        <v>630.90240000000244</v>
      </c>
      <c r="T5587" s="1">
        <f t="shared" si="1156"/>
        <v>0</v>
      </c>
      <c r="U5587" s="1">
        <f t="shared" si="1157"/>
        <v>0</v>
      </c>
      <c r="V5587" s="1">
        <f t="shared" si="1158"/>
        <v>0</v>
      </c>
    </row>
    <row r="5588" spans="13:22" x14ac:dyDescent="0.25">
      <c r="M5588" s="4">
        <f t="shared" si="1151"/>
        <v>173.1</v>
      </c>
      <c r="N5588" s="4"/>
      <c r="O5588" s="1">
        <f t="shared" si="1152"/>
        <v>173.1</v>
      </c>
      <c r="P5588" s="1">
        <f t="shared" si="1153"/>
        <v>0</v>
      </c>
      <c r="Q5588" s="1" t="str">
        <f t="shared" si="1150"/>
        <v/>
      </c>
      <c r="R5588" s="1" t="str">
        <f t="shared" si="1154"/>
        <v/>
      </c>
      <c r="S5588" s="1">
        <f t="shared" si="1155"/>
        <v>630.90240000000244</v>
      </c>
      <c r="T5588" s="1">
        <f t="shared" si="1156"/>
        <v>0</v>
      </c>
      <c r="U5588" s="1">
        <f t="shared" si="1157"/>
        <v>0</v>
      </c>
      <c r="V5588" s="1">
        <f t="shared" si="1158"/>
        <v>0</v>
      </c>
    </row>
    <row r="5589" spans="13:22" x14ac:dyDescent="0.25">
      <c r="M5589" s="4">
        <f t="shared" si="1151"/>
        <v>173.1</v>
      </c>
      <c r="N5589" s="4"/>
      <c r="O5589" s="1">
        <f t="shared" si="1152"/>
        <v>173.1</v>
      </c>
      <c r="P5589" s="1">
        <f t="shared" si="1153"/>
        <v>0</v>
      </c>
      <c r="Q5589" s="1" t="str">
        <f t="shared" si="1150"/>
        <v/>
      </c>
      <c r="R5589" s="1" t="str">
        <f t="shared" si="1154"/>
        <v/>
      </c>
      <c r="S5589" s="1">
        <f t="shared" si="1155"/>
        <v>630.90240000000244</v>
      </c>
      <c r="T5589" s="1">
        <f t="shared" si="1156"/>
        <v>0</v>
      </c>
      <c r="U5589" s="1">
        <f t="shared" si="1157"/>
        <v>0</v>
      </c>
      <c r="V5589" s="1">
        <f t="shared" si="1158"/>
        <v>0</v>
      </c>
    </row>
    <row r="5590" spans="13:22" x14ac:dyDescent="0.25">
      <c r="M5590" s="4">
        <f t="shared" si="1151"/>
        <v>173.1</v>
      </c>
      <c r="N5590" s="4"/>
      <c r="O5590" s="1">
        <f t="shared" si="1152"/>
        <v>173.1</v>
      </c>
      <c r="P5590" s="1">
        <f t="shared" si="1153"/>
        <v>0</v>
      </c>
      <c r="Q5590" s="1" t="str">
        <f t="shared" si="1150"/>
        <v/>
      </c>
      <c r="R5590" s="1" t="str">
        <f t="shared" si="1154"/>
        <v/>
      </c>
      <c r="S5590" s="1">
        <f t="shared" si="1155"/>
        <v>630.90240000000244</v>
      </c>
      <c r="T5590" s="1">
        <f t="shared" si="1156"/>
        <v>0</v>
      </c>
      <c r="U5590" s="1">
        <f t="shared" si="1157"/>
        <v>0</v>
      </c>
      <c r="V5590" s="1">
        <f t="shared" si="1158"/>
        <v>0</v>
      </c>
    </row>
    <row r="5591" spans="13:22" x14ac:dyDescent="0.25">
      <c r="M5591" s="4">
        <f t="shared" si="1151"/>
        <v>173.1</v>
      </c>
      <c r="N5591" s="4"/>
      <c r="O5591" s="1">
        <f t="shared" si="1152"/>
        <v>173.1</v>
      </c>
      <c r="P5591" s="1">
        <f t="shared" si="1153"/>
        <v>0</v>
      </c>
      <c r="Q5591" s="1" t="str">
        <f t="shared" si="1150"/>
        <v/>
      </c>
      <c r="R5591" s="1" t="str">
        <f t="shared" si="1154"/>
        <v/>
      </c>
      <c r="S5591" s="1">
        <f t="shared" si="1155"/>
        <v>630.90240000000244</v>
      </c>
      <c r="T5591" s="1">
        <f t="shared" si="1156"/>
        <v>0</v>
      </c>
      <c r="U5591" s="1">
        <f t="shared" si="1157"/>
        <v>0</v>
      </c>
      <c r="V5591" s="1">
        <f t="shared" si="1158"/>
        <v>0</v>
      </c>
    </row>
    <row r="5592" spans="13:22" x14ac:dyDescent="0.25">
      <c r="M5592" s="4">
        <f t="shared" si="1151"/>
        <v>173.1</v>
      </c>
      <c r="N5592" s="4"/>
      <c r="O5592" s="1">
        <f t="shared" si="1152"/>
        <v>173.1</v>
      </c>
      <c r="P5592" s="1">
        <f t="shared" si="1153"/>
        <v>0</v>
      </c>
      <c r="Q5592" s="1" t="str">
        <f t="shared" si="1150"/>
        <v/>
      </c>
      <c r="R5592" s="1" t="str">
        <f t="shared" si="1154"/>
        <v/>
      </c>
      <c r="S5592" s="1">
        <f t="shared" si="1155"/>
        <v>630.90240000000244</v>
      </c>
      <c r="T5592" s="1">
        <f t="shared" si="1156"/>
        <v>0</v>
      </c>
      <c r="U5592" s="1">
        <f t="shared" si="1157"/>
        <v>0</v>
      </c>
      <c r="V5592" s="1">
        <f t="shared" si="1158"/>
        <v>0</v>
      </c>
    </row>
    <row r="5593" spans="13:22" x14ac:dyDescent="0.25">
      <c r="M5593" s="4">
        <f t="shared" si="1151"/>
        <v>173.1</v>
      </c>
      <c r="N5593" s="4"/>
      <c r="O5593" s="1">
        <f t="shared" si="1152"/>
        <v>173.1</v>
      </c>
      <c r="P5593" s="1">
        <f t="shared" si="1153"/>
        <v>0</v>
      </c>
      <c r="Q5593" s="1" t="str">
        <f t="shared" si="1150"/>
        <v/>
      </c>
      <c r="R5593" s="1" t="str">
        <f t="shared" si="1154"/>
        <v/>
      </c>
      <c r="S5593" s="1">
        <f t="shared" si="1155"/>
        <v>630.90240000000244</v>
      </c>
      <c r="T5593" s="1">
        <f t="shared" si="1156"/>
        <v>0</v>
      </c>
      <c r="U5593" s="1">
        <f t="shared" si="1157"/>
        <v>0</v>
      </c>
      <c r="V5593" s="1">
        <f t="shared" si="1158"/>
        <v>0</v>
      </c>
    </row>
    <row r="5594" spans="13:22" x14ac:dyDescent="0.25">
      <c r="M5594" s="4">
        <f t="shared" si="1151"/>
        <v>173.1</v>
      </c>
      <c r="N5594" s="4"/>
      <c r="O5594" s="1">
        <f t="shared" si="1152"/>
        <v>173.1</v>
      </c>
      <c r="P5594" s="1">
        <f t="shared" si="1153"/>
        <v>0</v>
      </c>
      <c r="Q5594" s="1" t="str">
        <f t="shared" si="1150"/>
        <v/>
      </c>
      <c r="R5594" s="1" t="str">
        <f t="shared" si="1154"/>
        <v/>
      </c>
      <c r="S5594" s="1">
        <f t="shared" si="1155"/>
        <v>630.90240000000244</v>
      </c>
      <c r="T5594" s="1">
        <f t="shared" si="1156"/>
        <v>0</v>
      </c>
      <c r="U5594" s="1">
        <f t="shared" si="1157"/>
        <v>0</v>
      </c>
      <c r="V5594" s="1">
        <f t="shared" si="1158"/>
        <v>0</v>
      </c>
    </row>
    <row r="5595" spans="13:22" x14ac:dyDescent="0.25">
      <c r="M5595" s="4">
        <f t="shared" si="1151"/>
        <v>173.1</v>
      </c>
      <c r="N5595" s="4"/>
      <c r="O5595" s="1">
        <f t="shared" si="1152"/>
        <v>173.1</v>
      </c>
      <c r="P5595" s="1">
        <f t="shared" si="1153"/>
        <v>0</v>
      </c>
      <c r="Q5595" s="1" t="str">
        <f t="shared" si="1150"/>
        <v/>
      </c>
      <c r="R5595" s="1" t="str">
        <f t="shared" si="1154"/>
        <v/>
      </c>
      <c r="S5595" s="1">
        <f t="shared" si="1155"/>
        <v>630.90240000000244</v>
      </c>
      <c r="T5595" s="1">
        <f t="shared" si="1156"/>
        <v>0</v>
      </c>
      <c r="U5595" s="1">
        <f t="shared" si="1157"/>
        <v>0</v>
      </c>
      <c r="V5595" s="1">
        <f t="shared" si="1158"/>
        <v>0</v>
      </c>
    </row>
    <row r="5596" spans="13:22" x14ac:dyDescent="0.25">
      <c r="M5596" s="4">
        <f t="shared" si="1151"/>
        <v>173.1</v>
      </c>
      <c r="N5596" s="4"/>
      <c r="O5596" s="1">
        <f t="shared" si="1152"/>
        <v>173.1</v>
      </c>
      <c r="P5596" s="1">
        <f t="shared" si="1153"/>
        <v>0</v>
      </c>
      <c r="Q5596" s="1" t="str">
        <f t="shared" si="1150"/>
        <v/>
      </c>
      <c r="R5596" s="1" t="str">
        <f t="shared" si="1154"/>
        <v/>
      </c>
      <c r="S5596" s="1">
        <f t="shared" si="1155"/>
        <v>630.90240000000244</v>
      </c>
      <c r="T5596" s="1">
        <f t="shared" si="1156"/>
        <v>0</v>
      </c>
      <c r="U5596" s="1">
        <f t="shared" si="1157"/>
        <v>0</v>
      </c>
      <c r="V5596" s="1">
        <f t="shared" si="1158"/>
        <v>0</v>
      </c>
    </row>
    <row r="5597" spans="13:22" x14ac:dyDescent="0.25">
      <c r="M5597" s="4">
        <f t="shared" si="1151"/>
        <v>173.1</v>
      </c>
      <c r="N5597" s="4"/>
      <c r="O5597" s="1">
        <f t="shared" si="1152"/>
        <v>173.1</v>
      </c>
      <c r="P5597" s="1">
        <f t="shared" si="1153"/>
        <v>0</v>
      </c>
      <c r="Q5597" s="1" t="str">
        <f t="shared" si="1150"/>
        <v/>
      </c>
      <c r="R5597" s="1" t="str">
        <f t="shared" si="1154"/>
        <v/>
      </c>
      <c r="S5597" s="1">
        <f t="shared" si="1155"/>
        <v>630.90240000000244</v>
      </c>
      <c r="T5597" s="1">
        <f t="shared" si="1156"/>
        <v>0</v>
      </c>
      <c r="U5597" s="1">
        <f t="shared" si="1157"/>
        <v>0</v>
      </c>
      <c r="V5597" s="1">
        <f t="shared" si="1158"/>
        <v>0</v>
      </c>
    </row>
    <row r="5598" spans="13:22" x14ac:dyDescent="0.25">
      <c r="M5598" s="4">
        <f t="shared" si="1151"/>
        <v>173.1</v>
      </c>
      <c r="N5598" s="4"/>
      <c r="O5598" s="1">
        <f t="shared" si="1152"/>
        <v>173.1</v>
      </c>
      <c r="P5598" s="1">
        <f t="shared" si="1153"/>
        <v>0</v>
      </c>
      <c r="Q5598" s="1" t="str">
        <f t="shared" si="1150"/>
        <v/>
      </c>
      <c r="R5598" s="1" t="str">
        <f t="shared" si="1154"/>
        <v/>
      </c>
      <c r="S5598" s="1">
        <f t="shared" si="1155"/>
        <v>630.90240000000244</v>
      </c>
      <c r="T5598" s="1">
        <f t="shared" si="1156"/>
        <v>0</v>
      </c>
      <c r="U5598" s="1">
        <f t="shared" si="1157"/>
        <v>0</v>
      </c>
      <c r="V5598" s="1">
        <f t="shared" si="1158"/>
        <v>0</v>
      </c>
    </row>
    <row r="5599" spans="13:22" x14ac:dyDescent="0.25">
      <c r="M5599" s="4">
        <f t="shared" si="1151"/>
        <v>173.1</v>
      </c>
      <c r="N5599" s="4"/>
      <c r="O5599" s="1">
        <f t="shared" si="1152"/>
        <v>173.1</v>
      </c>
      <c r="P5599" s="1">
        <f t="shared" si="1153"/>
        <v>0</v>
      </c>
      <c r="Q5599" s="1" t="str">
        <f t="shared" si="1150"/>
        <v/>
      </c>
      <c r="R5599" s="1" t="str">
        <f t="shared" si="1154"/>
        <v/>
      </c>
      <c r="S5599" s="1">
        <f t="shared" si="1155"/>
        <v>630.90240000000244</v>
      </c>
      <c r="T5599" s="1">
        <f t="shared" si="1156"/>
        <v>0</v>
      </c>
      <c r="U5599" s="1">
        <f t="shared" si="1157"/>
        <v>0</v>
      </c>
      <c r="V5599" s="1">
        <f t="shared" si="1158"/>
        <v>0</v>
      </c>
    </row>
    <row r="5600" spans="13:22" x14ac:dyDescent="0.25">
      <c r="M5600" s="4">
        <f t="shared" si="1151"/>
        <v>173.1</v>
      </c>
      <c r="N5600" s="4"/>
      <c r="O5600" s="1">
        <f t="shared" si="1152"/>
        <v>173.1</v>
      </c>
      <c r="P5600" s="1">
        <f t="shared" si="1153"/>
        <v>0</v>
      </c>
      <c r="Q5600" s="1" t="str">
        <f t="shared" si="1150"/>
        <v/>
      </c>
      <c r="R5600" s="1" t="str">
        <f t="shared" si="1154"/>
        <v/>
      </c>
      <c r="S5600" s="1">
        <f t="shared" si="1155"/>
        <v>630.90240000000244</v>
      </c>
      <c r="T5600" s="1">
        <f t="shared" si="1156"/>
        <v>0</v>
      </c>
      <c r="U5600" s="1">
        <f t="shared" si="1157"/>
        <v>0</v>
      </c>
      <c r="V5600" s="1">
        <f t="shared" si="1158"/>
        <v>0</v>
      </c>
    </row>
    <row r="5601" spans="13:22" x14ac:dyDescent="0.25">
      <c r="M5601" s="4">
        <f t="shared" si="1151"/>
        <v>173.1</v>
      </c>
      <c r="N5601" s="4"/>
      <c r="O5601" s="1">
        <f t="shared" si="1152"/>
        <v>173.1</v>
      </c>
      <c r="P5601" s="1">
        <f t="shared" si="1153"/>
        <v>0</v>
      </c>
      <c r="Q5601" s="1" t="str">
        <f t="shared" si="1150"/>
        <v/>
      </c>
      <c r="R5601" s="1" t="str">
        <f t="shared" si="1154"/>
        <v/>
      </c>
      <c r="S5601" s="1">
        <f t="shared" si="1155"/>
        <v>630.90240000000244</v>
      </c>
      <c r="T5601" s="1">
        <f t="shared" si="1156"/>
        <v>0</v>
      </c>
      <c r="U5601" s="1">
        <f t="shared" si="1157"/>
        <v>0</v>
      </c>
      <c r="V5601" s="1">
        <f t="shared" si="1158"/>
        <v>0</v>
      </c>
    </row>
    <row r="5602" spans="13:22" x14ac:dyDescent="0.25">
      <c r="M5602" s="4">
        <f t="shared" si="1151"/>
        <v>173.1</v>
      </c>
      <c r="N5602" s="4"/>
      <c r="O5602" s="1">
        <f t="shared" si="1152"/>
        <v>173.1</v>
      </c>
      <c r="P5602" s="1">
        <f t="shared" si="1153"/>
        <v>0</v>
      </c>
      <c r="Q5602" s="1" t="str">
        <f t="shared" si="1150"/>
        <v/>
      </c>
      <c r="R5602" s="1" t="str">
        <f t="shared" si="1154"/>
        <v/>
      </c>
      <c r="S5602" s="1">
        <f t="shared" si="1155"/>
        <v>630.90240000000244</v>
      </c>
      <c r="T5602" s="1">
        <f t="shared" si="1156"/>
        <v>0</v>
      </c>
      <c r="U5602" s="1">
        <f t="shared" si="1157"/>
        <v>0</v>
      </c>
      <c r="V5602" s="1">
        <f t="shared" si="1158"/>
        <v>0</v>
      </c>
    </row>
    <row r="5603" spans="13:22" x14ac:dyDescent="0.25">
      <c r="M5603" s="4">
        <f t="shared" si="1151"/>
        <v>173.1</v>
      </c>
      <c r="N5603" s="4"/>
      <c r="O5603" s="1">
        <f t="shared" si="1152"/>
        <v>173.1</v>
      </c>
      <c r="P5603" s="1">
        <f t="shared" si="1153"/>
        <v>0</v>
      </c>
      <c r="Q5603" s="1" t="str">
        <f t="shared" si="1150"/>
        <v/>
      </c>
      <c r="R5603" s="1" t="str">
        <f t="shared" si="1154"/>
        <v/>
      </c>
      <c r="S5603" s="1">
        <f t="shared" si="1155"/>
        <v>630.90240000000244</v>
      </c>
      <c r="T5603" s="1">
        <f t="shared" si="1156"/>
        <v>0</v>
      </c>
      <c r="U5603" s="1">
        <f t="shared" si="1157"/>
        <v>0</v>
      </c>
      <c r="V5603" s="1">
        <f t="shared" si="1158"/>
        <v>0</v>
      </c>
    </row>
    <row r="5604" spans="13:22" x14ac:dyDescent="0.25">
      <c r="M5604" s="4">
        <f t="shared" si="1151"/>
        <v>173.1</v>
      </c>
      <c r="N5604" s="4"/>
      <c r="O5604" s="1">
        <f t="shared" si="1152"/>
        <v>173.1</v>
      </c>
      <c r="P5604" s="1">
        <f t="shared" si="1153"/>
        <v>0</v>
      </c>
      <c r="Q5604" s="1" t="str">
        <f t="shared" si="1150"/>
        <v/>
      </c>
      <c r="R5604" s="1" t="str">
        <f t="shared" si="1154"/>
        <v/>
      </c>
      <c r="S5604" s="1">
        <f t="shared" si="1155"/>
        <v>630.90240000000244</v>
      </c>
      <c r="T5604" s="1">
        <f t="shared" si="1156"/>
        <v>0</v>
      </c>
      <c r="U5604" s="1">
        <f t="shared" si="1157"/>
        <v>0</v>
      </c>
      <c r="V5604" s="1">
        <f t="shared" si="1158"/>
        <v>0</v>
      </c>
    </row>
    <row r="5605" spans="13:22" x14ac:dyDescent="0.25">
      <c r="M5605" s="4">
        <f t="shared" si="1151"/>
        <v>173.1</v>
      </c>
      <c r="N5605" s="4"/>
      <c r="O5605" s="1">
        <f t="shared" si="1152"/>
        <v>173.1</v>
      </c>
      <c r="P5605" s="1">
        <f t="shared" si="1153"/>
        <v>0</v>
      </c>
      <c r="Q5605" s="1" t="str">
        <f t="shared" si="1150"/>
        <v/>
      </c>
      <c r="R5605" s="1" t="str">
        <f t="shared" si="1154"/>
        <v/>
      </c>
      <c r="S5605" s="1">
        <f t="shared" si="1155"/>
        <v>630.90240000000244</v>
      </c>
      <c r="T5605" s="1">
        <f t="shared" si="1156"/>
        <v>0</v>
      </c>
      <c r="U5605" s="1">
        <f t="shared" si="1157"/>
        <v>0</v>
      </c>
      <c r="V5605" s="1">
        <f t="shared" si="1158"/>
        <v>0</v>
      </c>
    </row>
    <row r="5606" spans="13:22" x14ac:dyDescent="0.25">
      <c r="M5606" s="4">
        <f t="shared" si="1151"/>
        <v>173.1</v>
      </c>
      <c r="N5606" s="4"/>
      <c r="O5606" s="1">
        <f t="shared" si="1152"/>
        <v>173.1</v>
      </c>
      <c r="P5606" s="1">
        <f t="shared" si="1153"/>
        <v>0</v>
      </c>
      <c r="Q5606" s="1" t="str">
        <f t="shared" si="1150"/>
        <v/>
      </c>
      <c r="R5606" s="1" t="str">
        <f t="shared" si="1154"/>
        <v/>
      </c>
      <c r="S5606" s="1">
        <f t="shared" si="1155"/>
        <v>630.90240000000244</v>
      </c>
      <c r="T5606" s="1">
        <f t="shared" si="1156"/>
        <v>0</v>
      </c>
      <c r="U5606" s="1">
        <f t="shared" si="1157"/>
        <v>0</v>
      </c>
      <c r="V5606" s="1">
        <f t="shared" si="1158"/>
        <v>0</v>
      </c>
    </row>
    <row r="5607" spans="13:22" x14ac:dyDescent="0.25">
      <c r="M5607" s="4">
        <f t="shared" si="1151"/>
        <v>173.1</v>
      </c>
      <c r="N5607" s="4"/>
      <c r="O5607" s="1">
        <f t="shared" si="1152"/>
        <v>173.1</v>
      </c>
      <c r="P5607" s="1">
        <f t="shared" si="1153"/>
        <v>0</v>
      </c>
      <c r="Q5607" s="1" t="str">
        <f t="shared" si="1150"/>
        <v/>
      </c>
      <c r="R5607" s="1" t="str">
        <f t="shared" si="1154"/>
        <v/>
      </c>
      <c r="S5607" s="1">
        <f t="shared" si="1155"/>
        <v>630.90240000000244</v>
      </c>
      <c r="T5607" s="1">
        <f t="shared" si="1156"/>
        <v>0</v>
      </c>
      <c r="U5607" s="1">
        <f t="shared" si="1157"/>
        <v>0</v>
      </c>
      <c r="V5607" s="1">
        <f t="shared" si="1158"/>
        <v>0</v>
      </c>
    </row>
    <row r="5608" spans="13:22" x14ac:dyDescent="0.25">
      <c r="M5608" s="4">
        <f t="shared" si="1151"/>
        <v>173.1</v>
      </c>
      <c r="N5608" s="4"/>
      <c r="O5608" s="1">
        <f t="shared" si="1152"/>
        <v>173.1</v>
      </c>
      <c r="P5608" s="1">
        <f t="shared" si="1153"/>
        <v>0</v>
      </c>
      <c r="Q5608" s="1" t="str">
        <f t="shared" si="1150"/>
        <v/>
      </c>
      <c r="R5608" s="1" t="str">
        <f t="shared" si="1154"/>
        <v/>
      </c>
      <c r="S5608" s="1">
        <f t="shared" si="1155"/>
        <v>630.90240000000244</v>
      </c>
      <c r="T5608" s="1">
        <f t="shared" si="1156"/>
        <v>0</v>
      </c>
      <c r="U5608" s="1">
        <f t="shared" si="1157"/>
        <v>0</v>
      </c>
      <c r="V5608" s="1">
        <f t="shared" si="1158"/>
        <v>0</v>
      </c>
    </row>
    <row r="5609" spans="13:22" x14ac:dyDescent="0.25">
      <c r="M5609" s="4">
        <f t="shared" si="1151"/>
        <v>173.1</v>
      </c>
      <c r="N5609" s="4"/>
      <c r="O5609" s="1">
        <f t="shared" si="1152"/>
        <v>173.1</v>
      </c>
      <c r="P5609" s="1">
        <f t="shared" si="1153"/>
        <v>0</v>
      </c>
      <c r="Q5609" s="1" t="str">
        <f t="shared" si="1150"/>
        <v/>
      </c>
      <c r="R5609" s="1" t="str">
        <f t="shared" si="1154"/>
        <v/>
      </c>
      <c r="S5609" s="1">
        <f t="shared" si="1155"/>
        <v>630.90240000000244</v>
      </c>
      <c r="T5609" s="1">
        <f t="shared" si="1156"/>
        <v>0</v>
      </c>
      <c r="U5609" s="1">
        <f t="shared" si="1157"/>
        <v>0</v>
      </c>
      <c r="V5609" s="1">
        <f t="shared" si="1158"/>
        <v>0</v>
      </c>
    </row>
    <row r="5610" spans="13:22" x14ac:dyDescent="0.25">
      <c r="M5610" s="4">
        <f t="shared" si="1151"/>
        <v>173.1</v>
      </c>
      <c r="N5610" s="4"/>
      <c r="O5610" s="1">
        <f t="shared" si="1152"/>
        <v>173.1</v>
      </c>
      <c r="P5610" s="1">
        <f t="shared" si="1153"/>
        <v>0</v>
      </c>
      <c r="Q5610" s="1" t="str">
        <f t="shared" si="1150"/>
        <v/>
      </c>
      <c r="R5610" s="1" t="str">
        <f t="shared" si="1154"/>
        <v/>
      </c>
      <c r="S5610" s="1">
        <f t="shared" si="1155"/>
        <v>630.90240000000244</v>
      </c>
      <c r="T5610" s="1">
        <f t="shared" si="1156"/>
        <v>0</v>
      </c>
      <c r="U5610" s="1">
        <f t="shared" si="1157"/>
        <v>0</v>
      </c>
      <c r="V5610" s="1">
        <f t="shared" si="1158"/>
        <v>0</v>
      </c>
    </row>
    <row r="5611" spans="13:22" x14ac:dyDescent="0.25">
      <c r="M5611" s="4">
        <f t="shared" si="1151"/>
        <v>173.1</v>
      </c>
      <c r="N5611" s="4"/>
      <c r="O5611" s="1">
        <f t="shared" si="1152"/>
        <v>173.1</v>
      </c>
      <c r="P5611" s="1">
        <f t="shared" si="1153"/>
        <v>0</v>
      </c>
      <c r="Q5611" s="1" t="str">
        <f t="shared" si="1150"/>
        <v/>
      </c>
      <c r="R5611" s="1" t="str">
        <f t="shared" si="1154"/>
        <v/>
      </c>
      <c r="S5611" s="1">
        <f t="shared" si="1155"/>
        <v>630.90240000000244</v>
      </c>
      <c r="T5611" s="1">
        <f t="shared" si="1156"/>
        <v>0</v>
      </c>
      <c r="U5611" s="1">
        <f t="shared" si="1157"/>
        <v>0</v>
      </c>
      <c r="V5611" s="1">
        <f t="shared" si="1158"/>
        <v>0</v>
      </c>
    </row>
    <row r="5612" spans="13:22" x14ac:dyDescent="0.25">
      <c r="M5612" s="4">
        <f t="shared" si="1151"/>
        <v>173.1</v>
      </c>
      <c r="N5612" s="4"/>
      <c r="O5612" s="1">
        <f t="shared" si="1152"/>
        <v>173.1</v>
      </c>
      <c r="P5612" s="1">
        <f t="shared" si="1153"/>
        <v>0</v>
      </c>
      <c r="Q5612" s="1" t="str">
        <f t="shared" si="1150"/>
        <v/>
      </c>
      <c r="R5612" s="1" t="str">
        <f t="shared" si="1154"/>
        <v/>
      </c>
      <c r="S5612" s="1">
        <f t="shared" si="1155"/>
        <v>630.90240000000244</v>
      </c>
      <c r="T5612" s="1">
        <f t="shared" si="1156"/>
        <v>0</v>
      </c>
      <c r="U5612" s="1">
        <f t="shared" si="1157"/>
        <v>0</v>
      </c>
      <c r="V5612" s="1">
        <f t="shared" si="1158"/>
        <v>0</v>
      </c>
    </row>
    <row r="5613" spans="13:22" x14ac:dyDescent="0.25">
      <c r="M5613" s="4">
        <f t="shared" si="1151"/>
        <v>173.1</v>
      </c>
      <c r="N5613" s="4"/>
      <c r="O5613" s="1">
        <f t="shared" si="1152"/>
        <v>173.1</v>
      </c>
      <c r="P5613" s="1">
        <f t="shared" si="1153"/>
        <v>0</v>
      </c>
      <c r="Q5613" s="1" t="str">
        <f t="shared" si="1150"/>
        <v/>
      </c>
      <c r="R5613" s="1" t="str">
        <f t="shared" si="1154"/>
        <v/>
      </c>
      <c r="S5613" s="1">
        <f t="shared" si="1155"/>
        <v>630.90240000000244</v>
      </c>
      <c r="T5613" s="1">
        <f t="shared" si="1156"/>
        <v>0</v>
      </c>
      <c r="U5613" s="1">
        <f t="shared" si="1157"/>
        <v>0</v>
      </c>
      <c r="V5613" s="1">
        <f t="shared" si="1158"/>
        <v>0</v>
      </c>
    </row>
    <row r="5614" spans="13:22" x14ac:dyDescent="0.25">
      <c r="M5614" s="4">
        <f t="shared" si="1151"/>
        <v>173.1</v>
      </c>
      <c r="N5614" s="4"/>
      <c r="O5614" s="1">
        <f t="shared" si="1152"/>
        <v>173.1</v>
      </c>
      <c r="P5614" s="1">
        <f t="shared" si="1153"/>
        <v>0</v>
      </c>
      <c r="Q5614" s="1" t="str">
        <f t="shared" si="1150"/>
        <v/>
      </c>
      <c r="R5614" s="1" t="str">
        <f t="shared" si="1154"/>
        <v/>
      </c>
      <c r="S5614" s="1">
        <f t="shared" si="1155"/>
        <v>630.90240000000244</v>
      </c>
      <c r="T5614" s="1">
        <f t="shared" si="1156"/>
        <v>0</v>
      </c>
      <c r="U5614" s="1">
        <f t="shared" si="1157"/>
        <v>0</v>
      </c>
      <c r="V5614" s="1">
        <f t="shared" si="1158"/>
        <v>0</v>
      </c>
    </row>
    <row r="5615" spans="13:22" x14ac:dyDescent="0.25">
      <c r="M5615" s="4">
        <f t="shared" si="1151"/>
        <v>173.1</v>
      </c>
      <c r="N5615" s="4"/>
      <c r="O5615" s="1">
        <f t="shared" si="1152"/>
        <v>173.1</v>
      </c>
      <c r="P5615" s="1">
        <f t="shared" si="1153"/>
        <v>0</v>
      </c>
      <c r="Q5615" s="1" t="str">
        <f t="shared" si="1150"/>
        <v/>
      </c>
      <c r="R5615" s="1" t="str">
        <f t="shared" si="1154"/>
        <v/>
      </c>
      <c r="S5615" s="1">
        <f t="shared" si="1155"/>
        <v>630.90240000000244</v>
      </c>
      <c r="T5615" s="1">
        <f t="shared" si="1156"/>
        <v>0</v>
      </c>
      <c r="U5615" s="1">
        <f t="shared" si="1157"/>
        <v>0</v>
      </c>
      <c r="V5615" s="1">
        <f t="shared" si="1158"/>
        <v>0</v>
      </c>
    </row>
    <row r="5616" spans="13:22" x14ac:dyDescent="0.25">
      <c r="M5616" s="4">
        <f t="shared" si="1151"/>
        <v>173.1</v>
      </c>
      <c r="N5616" s="4"/>
      <c r="O5616" s="1">
        <f t="shared" si="1152"/>
        <v>173.1</v>
      </c>
      <c r="P5616" s="1">
        <f t="shared" si="1153"/>
        <v>0</v>
      </c>
      <c r="Q5616" s="1" t="str">
        <f t="shared" si="1150"/>
        <v/>
      </c>
      <c r="R5616" s="1" t="str">
        <f t="shared" si="1154"/>
        <v/>
      </c>
      <c r="S5616" s="1">
        <f t="shared" si="1155"/>
        <v>630.90240000000244</v>
      </c>
      <c r="T5616" s="1">
        <f t="shared" si="1156"/>
        <v>0</v>
      </c>
      <c r="U5616" s="1">
        <f t="shared" si="1157"/>
        <v>0</v>
      </c>
      <c r="V5616" s="1">
        <f t="shared" si="1158"/>
        <v>0</v>
      </c>
    </row>
    <row r="5617" spans="13:22" x14ac:dyDescent="0.25">
      <c r="M5617" s="4">
        <f t="shared" si="1151"/>
        <v>173.1</v>
      </c>
      <c r="N5617" s="4"/>
      <c r="O5617" s="1">
        <f t="shared" si="1152"/>
        <v>173.1</v>
      </c>
      <c r="P5617" s="1">
        <f t="shared" si="1153"/>
        <v>0</v>
      </c>
      <c r="Q5617" s="1" t="str">
        <f t="shared" si="1150"/>
        <v/>
      </c>
      <c r="R5617" s="1" t="str">
        <f t="shared" si="1154"/>
        <v/>
      </c>
      <c r="S5617" s="1">
        <f t="shared" si="1155"/>
        <v>630.90240000000244</v>
      </c>
      <c r="T5617" s="1">
        <f t="shared" si="1156"/>
        <v>0</v>
      </c>
      <c r="U5617" s="1">
        <f t="shared" si="1157"/>
        <v>0</v>
      </c>
      <c r="V5617" s="1">
        <f t="shared" si="1158"/>
        <v>0</v>
      </c>
    </row>
    <row r="5618" spans="13:22" x14ac:dyDescent="0.25">
      <c r="M5618" s="4">
        <f t="shared" si="1151"/>
        <v>173.1</v>
      </c>
      <c r="N5618" s="4"/>
      <c r="O5618" s="1">
        <f t="shared" si="1152"/>
        <v>173.1</v>
      </c>
      <c r="P5618" s="1">
        <f t="shared" si="1153"/>
        <v>0</v>
      </c>
      <c r="Q5618" s="1" t="str">
        <f t="shared" ref="Q5618:Q5681" si="1159">IF(H5618&lt;&gt;"",IF(H5618=H5617,"",H5618),IF(H5616="","",MAX(H5617,Q5617)))</f>
        <v/>
      </c>
      <c r="R5618" s="1" t="str">
        <f t="shared" si="1154"/>
        <v/>
      </c>
      <c r="S5618" s="1">
        <f t="shared" si="1155"/>
        <v>630.90240000000244</v>
      </c>
      <c r="T5618" s="1">
        <f t="shared" si="1156"/>
        <v>0</v>
      </c>
      <c r="U5618" s="1">
        <f t="shared" si="1157"/>
        <v>0</v>
      </c>
      <c r="V5618" s="1">
        <f t="shared" si="1158"/>
        <v>0</v>
      </c>
    </row>
    <row r="5619" spans="13:22" x14ac:dyDescent="0.25">
      <c r="M5619" s="4">
        <f t="shared" si="1151"/>
        <v>173.1</v>
      </c>
      <c r="N5619" s="4"/>
      <c r="O5619" s="1">
        <f t="shared" si="1152"/>
        <v>173.1</v>
      </c>
      <c r="P5619" s="1">
        <f t="shared" si="1153"/>
        <v>0</v>
      </c>
      <c r="Q5619" s="1" t="str">
        <f t="shared" si="1159"/>
        <v/>
      </c>
      <c r="R5619" s="1" t="str">
        <f t="shared" si="1154"/>
        <v/>
      </c>
      <c r="S5619" s="1">
        <f t="shared" si="1155"/>
        <v>630.90240000000244</v>
      </c>
      <c r="T5619" s="1">
        <f t="shared" si="1156"/>
        <v>0</v>
      </c>
      <c r="U5619" s="1">
        <f t="shared" si="1157"/>
        <v>0</v>
      </c>
      <c r="V5619" s="1">
        <f t="shared" si="1158"/>
        <v>0</v>
      </c>
    </row>
    <row r="5620" spans="13:22" x14ac:dyDescent="0.25">
      <c r="M5620" s="4">
        <f t="shared" si="1151"/>
        <v>173.1</v>
      </c>
      <c r="N5620" s="4"/>
      <c r="O5620" s="1">
        <f t="shared" si="1152"/>
        <v>173.1</v>
      </c>
      <c r="P5620" s="1">
        <f t="shared" si="1153"/>
        <v>0</v>
      </c>
      <c r="Q5620" s="1" t="str">
        <f t="shared" si="1159"/>
        <v/>
      </c>
      <c r="R5620" s="1" t="str">
        <f t="shared" si="1154"/>
        <v/>
      </c>
      <c r="S5620" s="1">
        <f t="shared" si="1155"/>
        <v>630.90240000000244</v>
      </c>
      <c r="T5620" s="1">
        <f t="shared" si="1156"/>
        <v>0</v>
      </c>
      <c r="U5620" s="1">
        <f t="shared" si="1157"/>
        <v>0</v>
      </c>
      <c r="V5620" s="1">
        <f t="shared" si="1158"/>
        <v>0</v>
      </c>
    </row>
    <row r="5621" spans="13:22" x14ac:dyDescent="0.25">
      <c r="M5621" s="4">
        <f t="shared" si="1151"/>
        <v>173.1</v>
      </c>
      <c r="N5621" s="4"/>
      <c r="O5621" s="1">
        <f t="shared" si="1152"/>
        <v>173.1</v>
      </c>
      <c r="P5621" s="1">
        <f t="shared" si="1153"/>
        <v>0</v>
      </c>
      <c r="Q5621" s="1" t="str">
        <f t="shared" si="1159"/>
        <v/>
      </c>
      <c r="R5621" s="1" t="str">
        <f t="shared" si="1154"/>
        <v/>
      </c>
      <c r="S5621" s="1">
        <f t="shared" si="1155"/>
        <v>630.90240000000244</v>
      </c>
      <c r="T5621" s="1">
        <f t="shared" si="1156"/>
        <v>0</v>
      </c>
      <c r="U5621" s="1">
        <f t="shared" si="1157"/>
        <v>0</v>
      </c>
      <c r="V5621" s="1">
        <f t="shared" si="1158"/>
        <v>0</v>
      </c>
    </row>
    <row r="5622" spans="13:22" x14ac:dyDescent="0.25">
      <c r="M5622" s="4">
        <f t="shared" si="1151"/>
        <v>173.1</v>
      </c>
      <c r="N5622" s="4"/>
      <c r="O5622" s="1">
        <f t="shared" si="1152"/>
        <v>173.1</v>
      </c>
      <c r="P5622" s="1">
        <f t="shared" si="1153"/>
        <v>0</v>
      </c>
      <c r="Q5622" s="1" t="str">
        <f t="shared" si="1159"/>
        <v/>
      </c>
      <c r="R5622" s="1" t="str">
        <f t="shared" si="1154"/>
        <v/>
      </c>
      <c r="S5622" s="1">
        <f t="shared" si="1155"/>
        <v>630.90240000000244</v>
      </c>
      <c r="T5622" s="1">
        <f t="shared" si="1156"/>
        <v>0</v>
      </c>
      <c r="U5622" s="1">
        <f t="shared" si="1157"/>
        <v>0</v>
      </c>
      <c r="V5622" s="1">
        <f t="shared" si="1158"/>
        <v>0</v>
      </c>
    </row>
    <row r="5623" spans="13:22" x14ac:dyDescent="0.25">
      <c r="M5623" s="4">
        <f t="shared" si="1151"/>
        <v>173.1</v>
      </c>
      <c r="N5623" s="4"/>
      <c r="O5623" s="1">
        <f t="shared" si="1152"/>
        <v>173.1</v>
      </c>
      <c r="P5623" s="1">
        <f t="shared" si="1153"/>
        <v>0</v>
      </c>
      <c r="Q5623" s="1" t="str">
        <f t="shared" si="1159"/>
        <v/>
      </c>
      <c r="R5623" s="1" t="str">
        <f t="shared" si="1154"/>
        <v/>
      </c>
      <c r="S5623" s="1">
        <f t="shared" si="1155"/>
        <v>630.90240000000244</v>
      </c>
      <c r="T5623" s="1">
        <f t="shared" si="1156"/>
        <v>0</v>
      </c>
      <c r="U5623" s="1">
        <f t="shared" si="1157"/>
        <v>0</v>
      </c>
      <c r="V5623" s="1">
        <f t="shared" si="1158"/>
        <v>0</v>
      </c>
    </row>
    <row r="5624" spans="13:22" x14ac:dyDescent="0.25">
      <c r="M5624" s="4">
        <f t="shared" si="1151"/>
        <v>173.1</v>
      </c>
      <c r="N5624" s="4"/>
      <c r="O5624" s="1">
        <f t="shared" si="1152"/>
        <v>173.1</v>
      </c>
      <c r="P5624" s="1">
        <f t="shared" si="1153"/>
        <v>0</v>
      </c>
      <c r="Q5624" s="1" t="str">
        <f t="shared" si="1159"/>
        <v/>
      </c>
      <c r="R5624" s="1" t="str">
        <f t="shared" si="1154"/>
        <v/>
      </c>
      <c r="S5624" s="1">
        <f t="shared" si="1155"/>
        <v>630.90240000000244</v>
      </c>
      <c r="T5624" s="1">
        <f t="shared" si="1156"/>
        <v>0</v>
      </c>
      <c r="U5624" s="1">
        <f t="shared" si="1157"/>
        <v>0</v>
      </c>
      <c r="V5624" s="1">
        <f t="shared" si="1158"/>
        <v>0</v>
      </c>
    </row>
    <row r="5625" spans="13:22" x14ac:dyDescent="0.25">
      <c r="M5625" s="4">
        <f t="shared" si="1151"/>
        <v>173.1</v>
      </c>
      <c r="N5625" s="4"/>
      <c r="O5625" s="1">
        <f t="shared" si="1152"/>
        <v>173.1</v>
      </c>
      <c r="P5625" s="1">
        <f t="shared" si="1153"/>
        <v>0</v>
      </c>
      <c r="Q5625" s="1" t="str">
        <f t="shared" si="1159"/>
        <v/>
      </c>
      <c r="R5625" s="1" t="str">
        <f t="shared" si="1154"/>
        <v/>
      </c>
      <c r="S5625" s="1">
        <f t="shared" si="1155"/>
        <v>630.90240000000244</v>
      </c>
      <c r="T5625" s="1">
        <f t="shared" si="1156"/>
        <v>0</v>
      </c>
      <c r="U5625" s="1">
        <f t="shared" si="1157"/>
        <v>0</v>
      </c>
      <c r="V5625" s="1">
        <f t="shared" si="1158"/>
        <v>0</v>
      </c>
    </row>
    <row r="5626" spans="13:22" x14ac:dyDescent="0.25">
      <c r="M5626" s="4">
        <f t="shared" si="1151"/>
        <v>173.1</v>
      </c>
      <c r="N5626" s="4"/>
      <c r="O5626" s="1">
        <f t="shared" si="1152"/>
        <v>173.1</v>
      </c>
      <c r="P5626" s="1">
        <f t="shared" si="1153"/>
        <v>0</v>
      </c>
      <c r="Q5626" s="1" t="str">
        <f t="shared" si="1159"/>
        <v/>
      </c>
      <c r="R5626" s="1" t="str">
        <f t="shared" si="1154"/>
        <v/>
      </c>
      <c r="S5626" s="1">
        <f t="shared" si="1155"/>
        <v>630.90240000000244</v>
      </c>
      <c r="T5626" s="1">
        <f t="shared" si="1156"/>
        <v>0</v>
      </c>
      <c r="U5626" s="1">
        <f t="shared" si="1157"/>
        <v>0</v>
      </c>
      <c r="V5626" s="1">
        <f t="shared" si="1158"/>
        <v>0</v>
      </c>
    </row>
    <row r="5627" spans="13:22" x14ac:dyDescent="0.25">
      <c r="M5627" s="4">
        <f t="shared" si="1151"/>
        <v>173.1</v>
      </c>
      <c r="N5627" s="4"/>
      <c r="O5627" s="1">
        <f t="shared" si="1152"/>
        <v>173.1</v>
      </c>
      <c r="P5627" s="1">
        <f t="shared" si="1153"/>
        <v>0</v>
      </c>
      <c r="Q5627" s="1" t="str">
        <f t="shared" si="1159"/>
        <v/>
      </c>
      <c r="R5627" s="1" t="str">
        <f t="shared" si="1154"/>
        <v/>
      </c>
      <c r="S5627" s="1">
        <f t="shared" si="1155"/>
        <v>630.90240000000244</v>
      </c>
      <c r="T5627" s="1">
        <f t="shared" si="1156"/>
        <v>0</v>
      </c>
      <c r="U5627" s="1">
        <f t="shared" si="1157"/>
        <v>0</v>
      </c>
      <c r="V5627" s="1">
        <f t="shared" si="1158"/>
        <v>0</v>
      </c>
    </row>
    <row r="5628" spans="13:22" x14ac:dyDescent="0.25">
      <c r="M5628" s="4">
        <f t="shared" si="1151"/>
        <v>173.1</v>
      </c>
      <c r="N5628" s="4"/>
      <c r="O5628" s="1">
        <f t="shared" si="1152"/>
        <v>173.1</v>
      </c>
      <c r="P5628" s="1">
        <f t="shared" si="1153"/>
        <v>0</v>
      </c>
      <c r="Q5628" s="1" t="str">
        <f t="shared" si="1159"/>
        <v/>
      </c>
      <c r="R5628" s="1" t="str">
        <f t="shared" si="1154"/>
        <v/>
      </c>
      <c r="S5628" s="1">
        <f t="shared" si="1155"/>
        <v>630.90240000000244</v>
      </c>
      <c r="T5628" s="1">
        <f t="shared" si="1156"/>
        <v>0</v>
      </c>
      <c r="U5628" s="1">
        <f t="shared" si="1157"/>
        <v>0</v>
      </c>
      <c r="V5628" s="1">
        <f t="shared" si="1158"/>
        <v>0</v>
      </c>
    </row>
    <row r="5629" spans="13:22" x14ac:dyDescent="0.25">
      <c r="M5629" s="4">
        <f t="shared" si="1151"/>
        <v>173.1</v>
      </c>
      <c r="N5629" s="4"/>
      <c r="O5629" s="1">
        <f t="shared" si="1152"/>
        <v>173.1</v>
      </c>
      <c r="P5629" s="1">
        <f t="shared" si="1153"/>
        <v>0</v>
      </c>
      <c r="Q5629" s="1" t="str">
        <f t="shared" si="1159"/>
        <v/>
      </c>
      <c r="R5629" s="1" t="str">
        <f t="shared" si="1154"/>
        <v/>
      </c>
      <c r="S5629" s="1">
        <f t="shared" si="1155"/>
        <v>630.90240000000244</v>
      </c>
      <c r="T5629" s="1">
        <f t="shared" si="1156"/>
        <v>0</v>
      </c>
      <c r="U5629" s="1">
        <f t="shared" si="1157"/>
        <v>0</v>
      </c>
      <c r="V5629" s="1">
        <f t="shared" si="1158"/>
        <v>0</v>
      </c>
    </row>
    <row r="5630" spans="13:22" x14ac:dyDescent="0.25">
      <c r="M5630" s="4">
        <f t="shared" si="1151"/>
        <v>173.1</v>
      </c>
      <c r="N5630" s="4"/>
      <c r="O5630" s="1">
        <f t="shared" si="1152"/>
        <v>173.1</v>
      </c>
      <c r="P5630" s="1">
        <f t="shared" si="1153"/>
        <v>0</v>
      </c>
      <c r="Q5630" s="1" t="str">
        <f t="shared" si="1159"/>
        <v/>
      </c>
      <c r="R5630" s="1" t="str">
        <f t="shared" si="1154"/>
        <v/>
      </c>
      <c r="S5630" s="1">
        <f t="shared" si="1155"/>
        <v>630.90240000000244</v>
      </c>
      <c r="T5630" s="1">
        <f t="shared" si="1156"/>
        <v>0</v>
      </c>
      <c r="U5630" s="1">
        <f t="shared" si="1157"/>
        <v>0</v>
      </c>
      <c r="V5630" s="1">
        <f t="shared" si="1158"/>
        <v>0</v>
      </c>
    </row>
    <row r="5631" spans="13:22" x14ac:dyDescent="0.25">
      <c r="M5631" s="4">
        <f t="shared" si="1151"/>
        <v>173.1</v>
      </c>
      <c r="N5631" s="4"/>
      <c r="O5631" s="1">
        <f t="shared" si="1152"/>
        <v>173.1</v>
      </c>
      <c r="P5631" s="1">
        <f t="shared" si="1153"/>
        <v>0</v>
      </c>
      <c r="Q5631" s="1" t="str">
        <f t="shared" si="1159"/>
        <v/>
      </c>
      <c r="R5631" s="1" t="str">
        <f t="shared" si="1154"/>
        <v/>
      </c>
      <c r="S5631" s="1">
        <f t="shared" si="1155"/>
        <v>630.90240000000244</v>
      </c>
      <c r="T5631" s="1">
        <f t="shared" si="1156"/>
        <v>0</v>
      </c>
      <c r="U5631" s="1">
        <f t="shared" si="1157"/>
        <v>0</v>
      </c>
      <c r="V5631" s="1">
        <f t="shared" si="1158"/>
        <v>0</v>
      </c>
    </row>
    <row r="5632" spans="13:22" x14ac:dyDescent="0.25">
      <c r="M5632" s="4">
        <f t="shared" si="1151"/>
        <v>173.1</v>
      </c>
      <c r="N5632" s="4"/>
      <c r="O5632" s="1">
        <f t="shared" si="1152"/>
        <v>173.1</v>
      </c>
      <c r="P5632" s="1">
        <f t="shared" si="1153"/>
        <v>0</v>
      </c>
      <c r="Q5632" s="1" t="str">
        <f t="shared" si="1159"/>
        <v/>
      </c>
      <c r="R5632" s="1" t="str">
        <f t="shared" si="1154"/>
        <v/>
      </c>
      <c r="S5632" s="1">
        <f t="shared" si="1155"/>
        <v>630.90240000000244</v>
      </c>
      <c r="T5632" s="1">
        <f t="shared" si="1156"/>
        <v>0</v>
      </c>
      <c r="U5632" s="1">
        <f t="shared" si="1157"/>
        <v>0</v>
      </c>
      <c r="V5632" s="1">
        <f t="shared" si="1158"/>
        <v>0</v>
      </c>
    </row>
    <row r="5633" spans="13:22" x14ac:dyDescent="0.25">
      <c r="M5633" s="4">
        <f t="shared" si="1151"/>
        <v>173.1</v>
      </c>
      <c r="N5633" s="4"/>
      <c r="O5633" s="1">
        <f t="shared" si="1152"/>
        <v>173.1</v>
      </c>
      <c r="P5633" s="1">
        <f t="shared" si="1153"/>
        <v>0</v>
      </c>
      <c r="Q5633" s="1" t="str">
        <f t="shared" si="1159"/>
        <v/>
      </c>
      <c r="R5633" s="1" t="str">
        <f t="shared" si="1154"/>
        <v/>
      </c>
      <c r="S5633" s="1">
        <f t="shared" si="1155"/>
        <v>630.90240000000244</v>
      </c>
      <c r="T5633" s="1">
        <f t="shared" si="1156"/>
        <v>0</v>
      </c>
      <c r="U5633" s="1">
        <f t="shared" si="1157"/>
        <v>0</v>
      </c>
      <c r="V5633" s="1">
        <f t="shared" si="1158"/>
        <v>0</v>
      </c>
    </row>
    <row r="5634" spans="13:22" x14ac:dyDescent="0.25">
      <c r="M5634" s="4">
        <f t="shared" si="1151"/>
        <v>173.1</v>
      </c>
      <c r="N5634" s="4"/>
      <c r="O5634" s="1">
        <f t="shared" si="1152"/>
        <v>173.1</v>
      </c>
      <c r="P5634" s="1">
        <f t="shared" si="1153"/>
        <v>0</v>
      </c>
      <c r="Q5634" s="1" t="str">
        <f t="shared" si="1159"/>
        <v/>
      </c>
      <c r="R5634" s="1" t="str">
        <f t="shared" si="1154"/>
        <v/>
      </c>
      <c r="S5634" s="1">
        <f t="shared" si="1155"/>
        <v>630.90240000000244</v>
      </c>
      <c r="T5634" s="1">
        <f t="shared" si="1156"/>
        <v>0</v>
      </c>
      <c r="U5634" s="1">
        <f t="shared" si="1157"/>
        <v>0</v>
      </c>
      <c r="V5634" s="1">
        <f t="shared" si="1158"/>
        <v>0</v>
      </c>
    </row>
    <row r="5635" spans="13:22" x14ac:dyDescent="0.25">
      <c r="M5635" s="4">
        <f t="shared" si="1151"/>
        <v>173.1</v>
      </c>
      <c r="N5635" s="4"/>
      <c r="O5635" s="1">
        <f t="shared" si="1152"/>
        <v>173.1</v>
      </c>
      <c r="P5635" s="1">
        <f t="shared" si="1153"/>
        <v>0</v>
      </c>
      <c r="Q5635" s="1" t="str">
        <f t="shared" si="1159"/>
        <v/>
      </c>
      <c r="R5635" s="1" t="str">
        <f t="shared" si="1154"/>
        <v/>
      </c>
      <c r="S5635" s="1">
        <f t="shared" si="1155"/>
        <v>630.90240000000244</v>
      </c>
      <c r="T5635" s="1">
        <f t="shared" si="1156"/>
        <v>0</v>
      </c>
      <c r="U5635" s="1">
        <f t="shared" si="1157"/>
        <v>0</v>
      </c>
      <c r="V5635" s="1">
        <f t="shared" si="1158"/>
        <v>0</v>
      </c>
    </row>
    <row r="5636" spans="13:22" x14ac:dyDescent="0.25">
      <c r="M5636" s="4">
        <f t="shared" si="1151"/>
        <v>173.1</v>
      </c>
      <c r="N5636" s="4"/>
      <c r="O5636" s="1">
        <f t="shared" si="1152"/>
        <v>173.1</v>
      </c>
      <c r="P5636" s="1">
        <f t="shared" si="1153"/>
        <v>0</v>
      </c>
      <c r="Q5636" s="1" t="str">
        <f t="shared" si="1159"/>
        <v/>
      </c>
      <c r="R5636" s="1" t="str">
        <f t="shared" si="1154"/>
        <v/>
      </c>
      <c r="S5636" s="1">
        <f t="shared" si="1155"/>
        <v>630.90240000000244</v>
      </c>
      <c r="T5636" s="1">
        <f t="shared" si="1156"/>
        <v>0</v>
      </c>
      <c r="U5636" s="1">
        <f t="shared" si="1157"/>
        <v>0</v>
      </c>
      <c r="V5636" s="1">
        <f t="shared" si="1158"/>
        <v>0</v>
      </c>
    </row>
    <row r="5637" spans="13:22" x14ac:dyDescent="0.25">
      <c r="M5637" s="4">
        <f t="shared" si="1151"/>
        <v>173.1</v>
      </c>
      <c r="N5637" s="4"/>
      <c r="O5637" s="1">
        <f t="shared" si="1152"/>
        <v>173.1</v>
      </c>
      <c r="P5637" s="1">
        <f t="shared" si="1153"/>
        <v>0</v>
      </c>
      <c r="Q5637" s="1" t="str">
        <f t="shared" si="1159"/>
        <v/>
      </c>
      <c r="R5637" s="1" t="str">
        <f t="shared" si="1154"/>
        <v/>
      </c>
      <c r="S5637" s="1">
        <f t="shared" si="1155"/>
        <v>630.90240000000244</v>
      </c>
      <c r="T5637" s="1">
        <f t="shared" si="1156"/>
        <v>0</v>
      </c>
      <c r="U5637" s="1">
        <f t="shared" si="1157"/>
        <v>0</v>
      </c>
      <c r="V5637" s="1">
        <f t="shared" si="1158"/>
        <v>0</v>
      </c>
    </row>
    <row r="5638" spans="13:22" x14ac:dyDescent="0.25">
      <c r="M5638" s="4">
        <f t="shared" si="1151"/>
        <v>173.1</v>
      </c>
      <c r="N5638" s="4"/>
      <c r="O5638" s="1">
        <f t="shared" si="1152"/>
        <v>173.1</v>
      </c>
      <c r="P5638" s="1">
        <f t="shared" si="1153"/>
        <v>0</v>
      </c>
      <c r="Q5638" s="1" t="str">
        <f t="shared" si="1159"/>
        <v/>
      </c>
      <c r="R5638" s="1" t="str">
        <f t="shared" si="1154"/>
        <v/>
      </c>
      <c r="S5638" s="1">
        <f t="shared" si="1155"/>
        <v>630.90240000000244</v>
      </c>
      <c r="T5638" s="1">
        <f t="shared" si="1156"/>
        <v>0</v>
      </c>
      <c r="U5638" s="1">
        <f t="shared" si="1157"/>
        <v>0</v>
      </c>
      <c r="V5638" s="1">
        <f t="shared" si="1158"/>
        <v>0</v>
      </c>
    </row>
    <row r="5639" spans="13:22" x14ac:dyDescent="0.25">
      <c r="M5639" s="4">
        <f t="shared" si="1151"/>
        <v>173.1</v>
      </c>
      <c r="N5639" s="4"/>
      <c r="O5639" s="1">
        <f t="shared" si="1152"/>
        <v>173.1</v>
      </c>
      <c r="P5639" s="1">
        <f t="shared" si="1153"/>
        <v>0</v>
      </c>
      <c r="Q5639" s="1" t="str">
        <f t="shared" si="1159"/>
        <v/>
      </c>
      <c r="R5639" s="1" t="str">
        <f t="shared" si="1154"/>
        <v/>
      </c>
      <c r="S5639" s="1">
        <f t="shared" si="1155"/>
        <v>630.90240000000244</v>
      </c>
      <c r="T5639" s="1">
        <f t="shared" si="1156"/>
        <v>0</v>
      </c>
      <c r="U5639" s="1">
        <f t="shared" si="1157"/>
        <v>0</v>
      </c>
      <c r="V5639" s="1">
        <f t="shared" si="1158"/>
        <v>0</v>
      </c>
    </row>
    <row r="5640" spans="13:22" x14ac:dyDescent="0.25">
      <c r="M5640" s="4">
        <f t="shared" ref="M5640:M5703" si="1160">E5640+M5639</f>
        <v>173.1</v>
      </c>
      <c r="N5640" s="4"/>
      <c r="O5640" s="1">
        <f t="shared" ref="O5640:O5703" si="1161">E5639+O5639</f>
        <v>173.1</v>
      </c>
      <c r="P5640" s="1">
        <f t="shared" ref="P5640:P5703" si="1162">F5640*52.8*E5640</f>
        <v>0</v>
      </c>
      <c r="Q5640" s="1" t="str">
        <f t="shared" si="1159"/>
        <v/>
      </c>
      <c r="R5640" s="1" t="str">
        <f t="shared" ref="R5640:R5703" si="1163">IF(I5640="",Q5640,IF(AND(H5640=H5639,I5640=I5639),"",I5640))</f>
        <v/>
      </c>
      <c r="S5640" s="1">
        <f t="shared" ref="S5640:S5703" si="1164">S5639+U5639*T5639/100</f>
        <v>630.90240000000244</v>
      </c>
      <c r="T5640" s="1">
        <f t="shared" ref="T5640:T5703" si="1165">IF(G5640="UNK",0,G5640)</f>
        <v>0</v>
      </c>
      <c r="U5640" s="1">
        <f t="shared" ref="U5640:U5703" si="1166">E5640*5280</f>
        <v>0</v>
      </c>
      <c r="V5640" s="1">
        <f t="shared" ref="V5640:V5703" si="1167">ABS(T5640*U5640)</f>
        <v>0</v>
      </c>
    </row>
    <row r="5641" spans="13:22" x14ac:dyDescent="0.25">
      <c r="M5641" s="4">
        <f t="shared" si="1160"/>
        <v>173.1</v>
      </c>
      <c r="N5641" s="4"/>
      <c r="O5641" s="1">
        <f t="shared" si="1161"/>
        <v>173.1</v>
      </c>
      <c r="P5641" s="1">
        <f t="shared" si="1162"/>
        <v>0</v>
      </c>
      <c r="Q5641" s="1" t="str">
        <f t="shared" si="1159"/>
        <v/>
      </c>
      <c r="R5641" s="1" t="str">
        <f t="shared" si="1163"/>
        <v/>
      </c>
      <c r="S5641" s="1">
        <f t="shared" si="1164"/>
        <v>630.90240000000244</v>
      </c>
      <c r="T5641" s="1">
        <f t="shared" si="1165"/>
        <v>0</v>
      </c>
      <c r="U5641" s="1">
        <f t="shared" si="1166"/>
        <v>0</v>
      </c>
      <c r="V5641" s="1">
        <f t="shared" si="1167"/>
        <v>0</v>
      </c>
    </row>
    <row r="5642" spans="13:22" x14ac:dyDescent="0.25">
      <c r="M5642" s="4">
        <f t="shared" si="1160"/>
        <v>173.1</v>
      </c>
      <c r="N5642" s="4"/>
      <c r="O5642" s="1">
        <f t="shared" si="1161"/>
        <v>173.1</v>
      </c>
      <c r="P5642" s="1">
        <f t="shared" si="1162"/>
        <v>0</v>
      </c>
      <c r="Q5642" s="1" t="str">
        <f t="shared" si="1159"/>
        <v/>
      </c>
      <c r="R5642" s="1" t="str">
        <f t="shared" si="1163"/>
        <v/>
      </c>
      <c r="S5642" s="1">
        <f t="shared" si="1164"/>
        <v>630.90240000000244</v>
      </c>
      <c r="T5642" s="1">
        <f t="shared" si="1165"/>
        <v>0</v>
      </c>
      <c r="U5642" s="1">
        <f t="shared" si="1166"/>
        <v>0</v>
      </c>
      <c r="V5642" s="1">
        <f t="shared" si="1167"/>
        <v>0</v>
      </c>
    </row>
    <row r="5643" spans="13:22" x14ac:dyDescent="0.25">
      <c r="M5643" s="4">
        <f t="shared" si="1160"/>
        <v>173.1</v>
      </c>
      <c r="N5643" s="4"/>
      <c r="O5643" s="1">
        <f t="shared" si="1161"/>
        <v>173.1</v>
      </c>
      <c r="P5643" s="1">
        <f t="shared" si="1162"/>
        <v>0</v>
      </c>
      <c r="Q5643" s="1" t="str">
        <f t="shared" si="1159"/>
        <v/>
      </c>
      <c r="R5643" s="1" t="str">
        <f t="shared" si="1163"/>
        <v/>
      </c>
      <c r="S5643" s="1">
        <f t="shared" si="1164"/>
        <v>630.90240000000244</v>
      </c>
      <c r="T5643" s="1">
        <f t="shared" si="1165"/>
        <v>0</v>
      </c>
      <c r="U5643" s="1">
        <f t="shared" si="1166"/>
        <v>0</v>
      </c>
      <c r="V5643" s="1">
        <f t="shared" si="1167"/>
        <v>0</v>
      </c>
    </row>
    <row r="5644" spans="13:22" x14ac:dyDescent="0.25">
      <c r="M5644" s="4">
        <f t="shared" si="1160"/>
        <v>173.1</v>
      </c>
      <c r="N5644" s="4"/>
      <c r="O5644" s="1">
        <f t="shared" si="1161"/>
        <v>173.1</v>
      </c>
      <c r="P5644" s="1">
        <f t="shared" si="1162"/>
        <v>0</v>
      </c>
      <c r="Q5644" s="1" t="str">
        <f t="shared" si="1159"/>
        <v/>
      </c>
      <c r="R5644" s="1" t="str">
        <f t="shared" si="1163"/>
        <v/>
      </c>
      <c r="S5644" s="1">
        <f t="shared" si="1164"/>
        <v>630.90240000000244</v>
      </c>
      <c r="T5644" s="1">
        <f t="shared" si="1165"/>
        <v>0</v>
      </c>
      <c r="U5644" s="1">
        <f t="shared" si="1166"/>
        <v>0</v>
      </c>
      <c r="V5644" s="1">
        <f t="shared" si="1167"/>
        <v>0</v>
      </c>
    </row>
    <row r="5645" spans="13:22" x14ac:dyDescent="0.25">
      <c r="M5645" s="4">
        <f t="shared" si="1160"/>
        <v>173.1</v>
      </c>
      <c r="N5645" s="4"/>
      <c r="O5645" s="1">
        <f t="shared" si="1161"/>
        <v>173.1</v>
      </c>
      <c r="P5645" s="1">
        <f t="shared" si="1162"/>
        <v>0</v>
      </c>
      <c r="Q5645" s="1" t="str">
        <f t="shared" si="1159"/>
        <v/>
      </c>
      <c r="R5645" s="1" t="str">
        <f t="shared" si="1163"/>
        <v/>
      </c>
      <c r="S5645" s="1">
        <f t="shared" si="1164"/>
        <v>630.90240000000244</v>
      </c>
      <c r="T5645" s="1">
        <f t="shared" si="1165"/>
        <v>0</v>
      </c>
      <c r="U5645" s="1">
        <f t="shared" si="1166"/>
        <v>0</v>
      </c>
      <c r="V5645" s="1">
        <f t="shared" si="1167"/>
        <v>0</v>
      </c>
    </row>
    <row r="5646" spans="13:22" x14ac:dyDescent="0.25">
      <c r="M5646" s="4">
        <f t="shared" si="1160"/>
        <v>173.1</v>
      </c>
      <c r="N5646" s="4"/>
      <c r="O5646" s="1">
        <f t="shared" si="1161"/>
        <v>173.1</v>
      </c>
      <c r="P5646" s="1">
        <f t="shared" si="1162"/>
        <v>0</v>
      </c>
      <c r="Q5646" s="1" t="str">
        <f t="shared" si="1159"/>
        <v/>
      </c>
      <c r="R5646" s="1" t="str">
        <f t="shared" si="1163"/>
        <v/>
      </c>
      <c r="S5646" s="1">
        <f t="shared" si="1164"/>
        <v>630.90240000000244</v>
      </c>
      <c r="T5646" s="1">
        <f t="shared" si="1165"/>
        <v>0</v>
      </c>
      <c r="U5646" s="1">
        <f t="shared" si="1166"/>
        <v>0</v>
      </c>
      <c r="V5646" s="1">
        <f t="shared" si="1167"/>
        <v>0</v>
      </c>
    </row>
    <row r="5647" spans="13:22" x14ac:dyDescent="0.25">
      <c r="M5647" s="4">
        <f t="shared" si="1160"/>
        <v>173.1</v>
      </c>
      <c r="N5647" s="4"/>
      <c r="O5647" s="1">
        <f t="shared" si="1161"/>
        <v>173.1</v>
      </c>
      <c r="P5647" s="1">
        <f t="shared" si="1162"/>
        <v>0</v>
      </c>
      <c r="Q5647" s="1" t="str">
        <f t="shared" si="1159"/>
        <v/>
      </c>
      <c r="R5647" s="1" t="str">
        <f t="shared" si="1163"/>
        <v/>
      </c>
      <c r="S5647" s="1">
        <f t="shared" si="1164"/>
        <v>630.90240000000244</v>
      </c>
      <c r="T5647" s="1">
        <f t="shared" si="1165"/>
        <v>0</v>
      </c>
      <c r="U5647" s="1">
        <f t="shared" si="1166"/>
        <v>0</v>
      </c>
      <c r="V5647" s="1">
        <f t="shared" si="1167"/>
        <v>0</v>
      </c>
    </row>
    <row r="5648" spans="13:22" x14ac:dyDescent="0.25">
      <c r="M5648" s="4">
        <f t="shared" si="1160"/>
        <v>173.1</v>
      </c>
      <c r="N5648" s="4"/>
      <c r="O5648" s="1">
        <f t="shared" si="1161"/>
        <v>173.1</v>
      </c>
      <c r="P5648" s="1">
        <f t="shared" si="1162"/>
        <v>0</v>
      </c>
      <c r="Q5648" s="1" t="str">
        <f t="shared" si="1159"/>
        <v/>
      </c>
      <c r="R5648" s="1" t="str">
        <f t="shared" si="1163"/>
        <v/>
      </c>
      <c r="S5648" s="1">
        <f t="shared" si="1164"/>
        <v>630.90240000000244</v>
      </c>
      <c r="T5648" s="1">
        <f t="shared" si="1165"/>
        <v>0</v>
      </c>
      <c r="U5648" s="1">
        <f t="shared" si="1166"/>
        <v>0</v>
      </c>
      <c r="V5648" s="1">
        <f t="shared" si="1167"/>
        <v>0</v>
      </c>
    </row>
    <row r="5649" spans="13:22" x14ac:dyDescent="0.25">
      <c r="M5649" s="4">
        <f t="shared" si="1160"/>
        <v>173.1</v>
      </c>
      <c r="N5649" s="4"/>
      <c r="O5649" s="1">
        <f t="shared" si="1161"/>
        <v>173.1</v>
      </c>
      <c r="P5649" s="1">
        <f t="shared" si="1162"/>
        <v>0</v>
      </c>
      <c r="Q5649" s="1" t="str">
        <f t="shared" si="1159"/>
        <v/>
      </c>
      <c r="R5649" s="1" t="str">
        <f t="shared" si="1163"/>
        <v/>
      </c>
      <c r="S5649" s="1">
        <f t="shared" si="1164"/>
        <v>630.90240000000244</v>
      </c>
      <c r="T5649" s="1">
        <f t="shared" si="1165"/>
        <v>0</v>
      </c>
      <c r="U5649" s="1">
        <f t="shared" si="1166"/>
        <v>0</v>
      </c>
      <c r="V5649" s="1">
        <f t="shared" si="1167"/>
        <v>0</v>
      </c>
    </row>
    <row r="5650" spans="13:22" x14ac:dyDescent="0.25">
      <c r="M5650" s="4">
        <f t="shared" si="1160"/>
        <v>173.1</v>
      </c>
      <c r="N5650" s="4"/>
      <c r="O5650" s="1">
        <f t="shared" si="1161"/>
        <v>173.1</v>
      </c>
      <c r="P5650" s="1">
        <f t="shared" si="1162"/>
        <v>0</v>
      </c>
      <c r="Q5650" s="1" t="str">
        <f t="shared" si="1159"/>
        <v/>
      </c>
      <c r="R5650" s="1" t="str">
        <f t="shared" si="1163"/>
        <v/>
      </c>
      <c r="S5650" s="1">
        <f t="shared" si="1164"/>
        <v>630.90240000000244</v>
      </c>
      <c r="T5650" s="1">
        <f t="shared" si="1165"/>
        <v>0</v>
      </c>
      <c r="U5650" s="1">
        <f t="shared" si="1166"/>
        <v>0</v>
      </c>
      <c r="V5650" s="1">
        <f t="shared" si="1167"/>
        <v>0</v>
      </c>
    </row>
    <row r="5651" spans="13:22" x14ac:dyDescent="0.25">
      <c r="M5651" s="4">
        <f t="shared" si="1160"/>
        <v>173.1</v>
      </c>
      <c r="N5651" s="4"/>
      <c r="O5651" s="1">
        <f t="shared" si="1161"/>
        <v>173.1</v>
      </c>
      <c r="P5651" s="1">
        <f t="shared" si="1162"/>
        <v>0</v>
      </c>
      <c r="Q5651" s="1" t="str">
        <f t="shared" si="1159"/>
        <v/>
      </c>
      <c r="R5651" s="1" t="str">
        <f t="shared" si="1163"/>
        <v/>
      </c>
      <c r="S5651" s="1">
        <f t="shared" si="1164"/>
        <v>630.90240000000244</v>
      </c>
      <c r="T5651" s="1">
        <f t="shared" si="1165"/>
        <v>0</v>
      </c>
      <c r="U5651" s="1">
        <f t="shared" si="1166"/>
        <v>0</v>
      </c>
      <c r="V5651" s="1">
        <f t="shared" si="1167"/>
        <v>0</v>
      </c>
    </row>
    <row r="5652" spans="13:22" x14ac:dyDescent="0.25">
      <c r="M5652" s="4">
        <f t="shared" si="1160"/>
        <v>173.1</v>
      </c>
      <c r="N5652" s="4"/>
      <c r="O5652" s="1">
        <f t="shared" si="1161"/>
        <v>173.1</v>
      </c>
      <c r="P5652" s="1">
        <f t="shared" si="1162"/>
        <v>0</v>
      </c>
      <c r="Q5652" s="1" t="str">
        <f t="shared" si="1159"/>
        <v/>
      </c>
      <c r="R5652" s="1" t="str">
        <f t="shared" si="1163"/>
        <v/>
      </c>
      <c r="S5652" s="1">
        <f t="shared" si="1164"/>
        <v>630.90240000000244</v>
      </c>
      <c r="T5652" s="1">
        <f t="shared" si="1165"/>
        <v>0</v>
      </c>
      <c r="U5652" s="1">
        <f t="shared" si="1166"/>
        <v>0</v>
      </c>
      <c r="V5652" s="1">
        <f t="shared" si="1167"/>
        <v>0</v>
      </c>
    </row>
    <row r="5653" spans="13:22" x14ac:dyDescent="0.25">
      <c r="M5653" s="4">
        <f t="shared" si="1160"/>
        <v>173.1</v>
      </c>
      <c r="N5653" s="4"/>
      <c r="O5653" s="1">
        <f t="shared" si="1161"/>
        <v>173.1</v>
      </c>
      <c r="P5653" s="1">
        <f t="shared" si="1162"/>
        <v>0</v>
      </c>
      <c r="Q5653" s="1" t="str">
        <f t="shared" si="1159"/>
        <v/>
      </c>
      <c r="R5653" s="1" t="str">
        <f t="shared" si="1163"/>
        <v/>
      </c>
      <c r="S5653" s="1">
        <f t="shared" si="1164"/>
        <v>630.90240000000244</v>
      </c>
      <c r="T5653" s="1">
        <f t="shared" si="1165"/>
        <v>0</v>
      </c>
      <c r="U5653" s="1">
        <f t="shared" si="1166"/>
        <v>0</v>
      </c>
      <c r="V5653" s="1">
        <f t="shared" si="1167"/>
        <v>0</v>
      </c>
    </row>
    <row r="5654" spans="13:22" x14ac:dyDescent="0.25">
      <c r="M5654" s="4">
        <f t="shared" si="1160"/>
        <v>173.1</v>
      </c>
      <c r="N5654" s="4"/>
      <c r="O5654" s="1">
        <f t="shared" si="1161"/>
        <v>173.1</v>
      </c>
      <c r="P5654" s="1">
        <f t="shared" si="1162"/>
        <v>0</v>
      </c>
      <c r="Q5654" s="1" t="str">
        <f t="shared" si="1159"/>
        <v/>
      </c>
      <c r="R5654" s="1" t="str">
        <f t="shared" si="1163"/>
        <v/>
      </c>
      <c r="S5654" s="1">
        <f t="shared" si="1164"/>
        <v>630.90240000000244</v>
      </c>
      <c r="T5654" s="1">
        <f t="shared" si="1165"/>
        <v>0</v>
      </c>
      <c r="U5654" s="1">
        <f t="shared" si="1166"/>
        <v>0</v>
      </c>
      <c r="V5654" s="1">
        <f t="shared" si="1167"/>
        <v>0</v>
      </c>
    </row>
    <row r="5655" spans="13:22" x14ac:dyDescent="0.25">
      <c r="M5655" s="4">
        <f t="shared" si="1160"/>
        <v>173.1</v>
      </c>
      <c r="N5655" s="4"/>
      <c r="O5655" s="1">
        <f t="shared" si="1161"/>
        <v>173.1</v>
      </c>
      <c r="P5655" s="1">
        <f t="shared" si="1162"/>
        <v>0</v>
      </c>
      <c r="Q5655" s="1" t="str">
        <f t="shared" si="1159"/>
        <v/>
      </c>
      <c r="R5655" s="1" t="str">
        <f t="shared" si="1163"/>
        <v/>
      </c>
      <c r="S5655" s="1">
        <f t="shared" si="1164"/>
        <v>630.90240000000244</v>
      </c>
      <c r="T5655" s="1">
        <f t="shared" si="1165"/>
        <v>0</v>
      </c>
      <c r="U5655" s="1">
        <f t="shared" si="1166"/>
        <v>0</v>
      </c>
      <c r="V5655" s="1">
        <f t="shared" si="1167"/>
        <v>0</v>
      </c>
    </row>
    <row r="5656" spans="13:22" x14ac:dyDescent="0.25">
      <c r="M5656" s="4">
        <f t="shared" si="1160"/>
        <v>173.1</v>
      </c>
      <c r="N5656" s="4"/>
      <c r="O5656" s="1">
        <f t="shared" si="1161"/>
        <v>173.1</v>
      </c>
      <c r="P5656" s="1">
        <f t="shared" si="1162"/>
        <v>0</v>
      </c>
      <c r="Q5656" s="1" t="str">
        <f t="shared" si="1159"/>
        <v/>
      </c>
      <c r="R5656" s="1" t="str">
        <f t="shared" si="1163"/>
        <v/>
      </c>
      <c r="S5656" s="1">
        <f t="shared" si="1164"/>
        <v>630.90240000000244</v>
      </c>
      <c r="T5656" s="1">
        <f t="shared" si="1165"/>
        <v>0</v>
      </c>
      <c r="U5656" s="1">
        <f t="shared" si="1166"/>
        <v>0</v>
      </c>
      <c r="V5656" s="1">
        <f t="shared" si="1167"/>
        <v>0</v>
      </c>
    </row>
    <row r="5657" spans="13:22" x14ac:dyDescent="0.25">
      <c r="M5657" s="4">
        <f t="shared" si="1160"/>
        <v>173.1</v>
      </c>
      <c r="N5657" s="4"/>
      <c r="O5657" s="1">
        <f t="shared" si="1161"/>
        <v>173.1</v>
      </c>
      <c r="P5657" s="1">
        <f t="shared" si="1162"/>
        <v>0</v>
      </c>
      <c r="Q5657" s="1" t="str">
        <f t="shared" si="1159"/>
        <v/>
      </c>
      <c r="R5657" s="1" t="str">
        <f t="shared" si="1163"/>
        <v/>
      </c>
      <c r="S5657" s="1">
        <f t="shared" si="1164"/>
        <v>630.90240000000244</v>
      </c>
      <c r="T5657" s="1">
        <f t="shared" si="1165"/>
        <v>0</v>
      </c>
      <c r="U5657" s="1">
        <f t="shared" si="1166"/>
        <v>0</v>
      </c>
      <c r="V5657" s="1">
        <f t="shared" si="1167"/>
        <v>0</v>
      </c>
    </row>
    <row r="5658" spans="13:22" x14ac:dyDescent="0.25">
      <c r="M5658" s="4">
        <f t="shared" si="1160"/>
        <v>173.1</v>
      </c>
      <c r="N5658" s="4"/>
      <c r="O5658" s="1">
        <f t="shared" si="1161"/>
        <v>173.1</v>
      </c>
      <c r="P5658" s="1">
        <f t="shared" si="1162"/>
        <v>0</v>
      </c>
      <c r="Q5658" s="1" t="str">
        <f t="shared" si="1159"/>
        <v/>
      </c>
      <c r="R5658" s="1" t="str">
        <f t="shared" si="1163"/>
        <v/>
      </c>
      <c r="S5658" s="1">
        <f t="shared" si="1164"/>
        <v>630.90240000000244</v>
      </c>
      <c r="T5658" s="1">
        <f t="shared" si="1165"/>
        <v>0</v>
      </c>
      <c r="U5658" s="1">
        <f t="shared" si="1166"/>
        <v>0</v>
      </c>
      <c r="V5658" s="1">
        <f t="shared" si="1167"/>
        <v>0</v>
      </c>
    </row>
    <row r="5659" spans="13:22" x14ac:dyDescent="0.25">
      <c r="M5659" s="4">
        <f t="shared" si="1160"/>
        <v>173.1</v>
      </c>
      <c r="N5659" s="4"/>
      <c r="O5659" s="1">
        <f t="shared" si="1161"/>
        <v>173.1</v>
      </c>
      <c r="P5659" s="1">
        <f t="shared" si="1162"/>
        <v>0</v>
      </c>
      <c r="Q5659" s="1" t="str">
        <f t="shared" si="1159"/>
        <v/>
      </c>
      <c r="R5659" s="1" t="str">
        <f t="shared" si="1163"/>
        <v/>
      </c>
      <c r="S5659" s="1">
        <f t="shared" si="1164"/>
        <v>630.90240000000244</v>
      </c>
      <c r="T5659" s="1">
        <f t="shared" si="1165"/>
        <v>0</v>
      </c>
      <c r="U5659" s="1">
        <f t="shared" si="1166"/>
        <v>0</v>
      </c>
      <c r="V5659" s="1">
        <f t="shared" si="1167"/>
        <v>0</v>
      </c>
    </row>
    <row r="5660" spans="13:22" x14ac:dyDescent="0.25">
      <c r="M5660" s="4">
        <f t="shared" si="1160"/>
        <v>173.1</v>
      </c>
      <c r="N5660" s="4"/>
      <c r="O5660" s="1">
        <f t="shared" si="1161"/>
        <v>173.1</v>
      </c>
      <c r="P5660" s="1">
        <f t="shared" si="1162"/>
        <v>0</v>
      </c>
      <c r="Q5660" s="1" t="str">
        <f t="shared" si="1159"/>
        <v/>
      </c>
      <c r="R5660" s="1" t="str">
        <f t="shared" si="1163"/>
        <v/>
      </c>
      <c r="S5660" s="1">
        <f t="shared" si="1164"/>
        <v>630.90240000000244</v>
      </c>
      <c r="T5660" s="1">
        <f t="shared" si="1165"/>
        <v>0</v>
      </c>
      <c r="U5660" s="1">
        <f t="shared" si="1166"/>
        <v>0</v>
      </c>
      <c r="V5660" s="1">
        <f t="shared" si="1167"/>
        <v>0</v>
      </c>
    </row>
    <row r="5661" spans="13:22" x14ac:dyDescent="0.25">
      <c r="M5661" s="4">
        <f t="shared" si="1160"/>
        <v>173.1</v>
      </c>
      <c r="N5661" s="4"/>
      <c r="O5661" s="1">
        <f t="shared" si="1161"/>
        <v>173.1</v>
      </c>
      <c r="P5661" s="1">
        <f t="shared" si="1162"/>
        <v>0</v>
      </c>
      <c r="Q5661" s="1" t="str">
        <f t="shared" si="1159"/>
        <v/>
      </c>
      <c r="R5661" s="1" t="str">
        <f t="shared" si="1163"/>
        <v/>
      </c>
      <c r="S5661" s="1">
        <f t="shared" si="1164"/>
        <v>630.90240000000244</v>
      </c>
      <c r="T5661" s="1">
        <f t="shared" si="1165"/>
        <v>0</v>
      </c>
      <c r="U5661" s="1">
        <f t="shared" si="1166"/>
        <v>0</v>
      </c>
      <c r="V5661" s="1">
        <f t="shared" si="1167"/>
        <v>0</v>
      </c>
    </row>
    <row r="5662" spans="13:22" x14ac:dyDescent="0.25">
      <c r="M5662" s="4">
        <f t="shared" si="1160"/>
        <v>173.1</v>
      </c>
      <c r="N5662" s="4"/>
      <c r="O5662" s="1">
        <f t="shared" si="1161"/>
        <v>173.1</v>
      </c>
      <c r="P5662" s="1">
        <f t="shared" si="1162"/>
        <v>0</v>
      </c>
      <c r="Q5662" s="1" t="str">
        <f t="shared" si="1159"/>
        <v/>
      </c>
      <c r="R5662" s="1" t="str">
        <f t="shared" si="1163"/>
        <v/>
      </c>
      <c r="S5662" s="1">
        <f t="shared" si="1164"/>
        <v>630.90240000000244</v>
      </c>
      <c r="T5662" s="1">
        <f t="shared" si="1165"/>
        <v>0</v>
      </c>
      <c r="U5662" s="1">
        <f t="shared" si="1166"/>
        <v>0</v>
      </c>
      <c r="V5662" s="1">
        <f t="shared" si="1167"/>
        <v>0</v>
      </c>
    </row>
    <row r="5663" spans="13:22" x14ac:dyDescent="0.25">
      <c r="M5663" s="4">
        <f t="shared" si="1160"/>
        <v>173.1</v>
      </c>
      <c r="N5663" s="4"/>
      <c r="O5663" s="1">
        <f t="shared" si="1161"/>
        <v>173.1</v>
      </c>
      <c r="P5663" s="1">
        <f t="shared" si="1162"/>
        <v>0</v>
      </c>
      <c r="Q5663" s="1" t="str">
        <f t="shared" si="1159"/>
        <v/>
      </c>
      <c r="R5663" s="1" t="str">
        <f t="shared" si="1163"/>
        <v/>
      </c>
      <c r="S5663" s="1">
        <f t="shared" si="1164"/>
        <v>630.90240000000244</v>
      </c>
      <c r="T5663" s="1">
        <f t="shared" si="1165"/>
        <v>0</v>
      </c>
      <c r="U5663" s="1">
        <f t="shared" si="1166"/>
        <v>0</v>
      </c>
      <c r="V5663" s="1">
        <f t="shared" si="1167"/>
        <v>0</v>
      </c>
    </row>
    <row r="5664" spans="13:22" x14ac:dyDescent="0.25">
      <c r="M5664" s="4">
        <f t="shared" si="1160"/>
        <v>173.1</v>
      </c>
      <c r="N5664" s="4"/>
      <c r="O5664" s="1">
        <f t="shared" si="1161"/>
        <v>173.1</v>
      </c>
      <c r="P5664" s="1">
        <f t="shared" si="1162"/>
        <v>0</v>
      </c>
      <c r="Q5664" s="1" t="str">
        <f t="shared" si="1159"/>
        <v/>
      </c>
      <c r="R5664" s="1" t="str">
        <f t="shared" si="1163"/>
        <v/>
      </c>
      <c r="S5664" s="1">
        <f t="shared" si="1164"/>
        <v>630.90240000000244</v>
      </c>
      <c r="T5664" s="1">
        <f t="shared" si="1165"/>
        <v>0</v>
      </c>
      <c r="U5664" s="1">
        <f t="shared" si="1166"/>
        <v>0</v>
      </c>
      <c r="V5664" s="1">
        <f t="shared" si="1167"/>
        <v>0</v>
      </c>
    </row>
    <row r="5665" spans="13:22" x14ac:dyDescent="0.25">
      <c r="M5665" s="4">
        <f t="shared" si="1160"/>
        <v>173.1</v>
      </c>
      <c r="N5665" s="4"/>
      <c r="O5665" s="1">
        <f t="shared" si="1161"/>
        <v>173.1</v>
      </c>
      <c r="P5665" s="1">
        <f t="shared" si="1162"/>
        <v>0</v>
      </c>
      <c r="Q5665" s="1" t="str">
        <f t="shared" si="1159"/>
        <v/>
      </c>
      <c r="R5665" s="1" t="str">
        <f t="shared" si="1163"/>
        <v/>
      </c>
      <c r="S5665" s="1">
        <f t="shared" si="1164"/>
        <v>630.90240000000244</v>
      </c>
      <c r="T5665" s="1">
        <f t="shared" si="1165"/>
        <v>0</v>
      </c>
      <c r="U5665" s="1">
        <f t="shared" si="1166"/>
        <v>0</v>
      </c>
      <c r="V5665" s="1">
        <f t="shared" si="1167"/>
        <v>0</v>
      </c>
    </row>
    <row r="5666" spans="13:22" x14ac:dyDescent="0.25">
      <c r="M5666" s="4">
        <f t="shared" si="1160"/>
        <v>173.1</v>
      </c>
      <c r="N5666" s="4"/>
      <c r="O5666" s="1">
        <f t="shared" si="1161"/>
        <v>173.1</v>
      </c>
      <c r="P5666" s="1">
        <f t="shared" si="1162"/>
        <v>0</v>
      </c>
      <c r="Q5666" s="1" t="str">
        <f t="shared" si="1159"/>
        <v/>
      </c>
      <c r="R5666" s="1" t="str">
        <f t="shared" si="1163"/>
        <v/>
      </c>
      <c r="S5666" s="1">
        <f t="shared" si="1164"/>
        <v>630.90240000000244</v>
      </c>
      <c r="T5666" s="1">
        <f t="shared" si="1165"/>
        <v>0</v>
      </c>
      <c r="U5666" s="1">
        <f t="shared" si="1166"/>
        <v>0</v>
      </c>
      <c r="V5666" s="1">
        <f t="shared" si="1167"/>
        <v>0</v>
      </c>
    </row>
    <row r="5667" spans="13:22" x14ac:dyDescent="0.25">
      <c r="M5667" s="4">
        <f t="shared" si="1160"/>
        <v>173.1</v>
      </c>
      <c r="N5667" s="4"/>
      <c r="O5667" s="1">
        <f t="shared" si="1161"/>
        <v>173.1</v>
      </c>
      <c r="P5667" s="1">
        <f t="shared" si="1162"/>
        <v>0</v>
      </c>
      <c r="Q5667" s="1" t="str">
        <f t="shared" si="1159"/>
        <v/>
      </c>
      <c r="R5667" s="1" t="str">
        <f t="shared" si="1163"/>
        <v/>
      </c>
      <c r="S5667" s="1">
        <f t="shared" si="1164"/>
        <v>630.90240000000244</v>
      </c>
      <c r="T5667" s="1">
        <f t="shared" si="1165"/>
        <v>0</v>
      </c>
      <c r="U5667" s="1">
        <f t="shared" si="1166"/>
        <v>0</v>
      </c>
      <c r="V5667" s="1">
        <f t="shared" si="1167"/>
        <v>0</v>
      </c>
    </row>
    <row r="5668" spans="13:22" x14ac:dyDescent="0.25">
      <c r="M5668" s="4">
        <f t="shared" si="1160"/>
        <v>173.1</v>
      </c>
      <c r="N5668" s="4"/>
      <c r="O5668" s="1">
        <f t="shared" si="1161"/>
        <v>173.1</v>
      </c>
      <c r="P5668" s="1">
        <f t="shared" si="1162"/>
        <v>0</v>
      </c>
      <c r="Q5668" s="1" t="str">
        <f t="shared" si="1159"/>
        <v/>
      </c>
      <c r="R5668" s="1" t="str">
        <f t="shared" si="1163"/>
        <v/>
      </c>
      <c r="S5668" s="1">
        <f t="shared" si="1164"/>
        <v>630.90240000000244</v>
      </c>
      <c r="T5668" s="1">
        <f t="shared" si="1165"/>
        <v>0</v>
      </c>
      <c r="U5668" s="1">
        <f t="shared" si="1166"/>
        <v>0</v>
      </c>
      <c r="V5668" s="1">
        <f t="shared" si="1167"/>
        <v>0</v>
      </c>
    </row>
    <row r="5669" spans="13:22" x14ac:dyDescent="0.25">
      <c r="M5669" s="4">
        <f t="shared" si="1160"/>
        <v>173.1</v>
      </c>
      <c r="N5669" s="4"/>
      <c r="O5669" s="1">
        <f t="shared" si="1161"/>
        <v>173.1</v>
      </c>
      <c r="P5669" s="1">
        <f t="shared" si="1162"/>
        <v>0</v>
      </c>
      <c r="Q5669" s="1" t="str">
        <f t="shared" si="1159"/>
        <v/>
      </c>
      <c r="R5669" s="1" t="str">
        <f t="shared" si="1163"/>
        <v/>
      </c>
      <c r="S5669" s="1">
        <f t="shared" si="1164"/>
        <v>630.90240000000244</v>
      </c>
      <c r="T5669" s="1">
        <f t="shared" si="1165"/>
        <v>0</v>
      </c>
      <c r="U5669" s="1">
        <f t="shared" si="1166"/>
        <v>0</v>
      </c>
      <c r="V5669" s="1">
        <f t="shared" si="1167"/>
        <v>0</v>
      </c>
    </row>
    <row r="5670" spans="13:22" x14ac:dyDescent="0.25">
      <c r="M5670" s="4">
        <f t="shared" si="1160"/>
        <v>173.1</v>
      </c>
      <c r="N5670" s="4"/>
      <c r="O5670" s="1">
        <f t="shared" si="1161"/>
        <v>173.1</v>
      </c>
      <c r="P5670" s="1">
        <f t="shared" si="1162"/>
        <v>0</v>
      </c>
      <c r="Q5670" s="1" t="str">
        <f t="shared" si="1159"/>
        <v/>
      </c>
      <c r="R5670" s="1" t="str">
        <f t="shared" si="1163"/>
        <v/>
      </c>
      <c r="S5670" s="1">
        <f t="shared" si="1164"/>
        <v>630.90240000000244</v>
      </c>
      <c r="T5670" s="1">
        <f t="shared" si="1165"/>
        <v>0</v>
      </c>
      <c r="U5670" s="1">
        <f t="shared" si="1166"/>
        <v>0</v>
      </c>
      <c r="V5670" s="1">
        <f t="shared" si="1167"/>
        <v>0</v>
      </c>
    </row>
    <row r="5671" spans="13:22" x14ac:dyDescent="0.25">
      <c r="M5671" s="4">
        <f t="shared" si="1160"/>
        <v>173.1</v>
      </c>
      <c r="N5671" s="4"/>
      <c r="O5671" s="1">
        <f t="shared" si="1161"/>
        <v>173.1</v>
      </c>
      <c r="P5671" s="1">
        <f t="shared" si="1162"/>
        <v>0</v>
      </c>
      <c r="Q5671" s="1" t="str">
        <f t="shared" si="1159"/>
        <v/>
      </c>
      <c r="R5671" s="1" t="str">
        <f t="shared" si="1163"/>
        <v/>
      </c>
      <c r="S5671" s="1">
        <f t="shared" si="1164"/>
        <v>630.90240000000244</v>
      </c>
      <c r="T5671" s="1">
        <f t="shared" si="1165"/>
        <v>0</v>
      </c>
      <c r="U5671" s="1">
        <f t="shared" si="1166"/>
        <v>0</v>
      </c>
      <c r="V5671" s="1">
        <f t="shared" si="1167"/>
        <v>0</v>
      </c>
    </row>
    <row r="5672" spans="13:22" x14ac:dyDescent="0.25">
      <c r="M5672" s="4">
        <f t="shared" si="1160"/>
        <v>173.1</v>
      </c>
      <c r="N5672" s="4"/>
      <c r="O5672" s="1">
        <f t="shared" si="1161"/>
        <v>173.1</v>
      </c>
      <c r="P5672" s="1">
        <f t="shared" si="1162"/>
        <v>0</v>
      </c>
      <c r="Q5672" s="1" t="str">
        <f t="shared" si="1159"/>
        <v/>
      </c>
      <c r="R5672" s="1" t="str">
        <f t="shared" si="1163"/>
        <v/>
      </c>
      <c r="S5672" s="1">
        <f t="shared" si="1164"/>
        <v>630.90240000000244</v>
      </c>
      <c r="T5672" s="1">
        <f t="shared" si="1165"/>
        <v>0</v>
      </c>
      <c r="U5672" s="1">
        <f t="shared" si="1166"/>
        <v>0</v>
      </c>
      <c r="V5672" s="1">
        <f t="shared" si="1167"/>
        <v>0</v>
      </c>
    </row>
    <row r="5673" spans="13:22" x14ac:dyDescent="0.25">
      <c r="M5673" s="4">
        <f t="shared" si="1160"/>
        <v>173.1</v>
      </c>
      <c r="N5673" s="4"/>
      <c r="O5673" s="1">
        <f t="shared" si="1161"/>
        <v>173.1</v>
      </c>
      <c r="P5673" s="1">
        <f t="shared" si="1162"/>
        <v>0</v>
      </c>
      <c r="Q5673" s="1" t="str">
        <f t="shared" si="1159"/>
        <v/>
      </c>
      <c r="R5673" s="1" t="str">
        <f t="shared" si="1163"/>
        <v/>
      </c>
      <c r="S5673" s="1">
        <f t="shared" si="1164"/>
        <v>630.90240000000244</v>
      </c>
      <c r="T5673" s="1">
        <f t="shared" si="1165"/>
        <v>0</v>
      </c>
      <c r="U5673" s="1">
        <f t="shared" si="1166"/>
        <v>0</v>
      </c>
      <c r="V5673" s="1">
        <f t="shared" si="1167"/>
        <v>0</v>
      </c>
    </row>
    <row r="5674" spans="13:22" x14ac:dyDescent="0.25">
      <c r="M5674" s="4">
        <f t="shared" si="1160"/>
        <v>173.1</v>
      </c>
      <c r="N5674" s="4"/>
      <c r="O5674" s="1">
        <f t="shared" si="1161"/>
        <v>173.1</v>
      </c>
      <c r="P5674" s="1">
        <f t="shared" si="1162"/>
        <v>0</v>
      </c>
      <c r="Q5674" s="1" t="str">
        <f t="shared" si="1159"/>
        <v/>
      </c>
      <c r="R5674" s="1" t="str">
        <f t="shared" si="1163"/>
        <v/>
      </c>
      <c r="S5674" s="1">
        <f t="shared" si="1164"/>
        <v>630.90240000000244</v>
      </c>
      <c r="T5674" s="1">
        <f t="shared" si="1165"/>
        <v>0</v>
      </c>
      <c r="U5674" s="1">
        <f t="shared" si="1166"/>
        <v>0</v>
      </c>
      <c r="V5674" s="1">
        <f t="shared" si="1167"/>
        <v>0</v>
      </c>
    </row>
    <row r="5675" spans="13:22" x14ac:dyDescent="0.25">
      <c r="M5675" s="4">
        <f t="shared" si="1160"/>
        <v>173.1</v>
      </c>
      <c r="N5675" s="4"/>
      <c r="O5675" s="1">
        <f t="shared" si="1161"/>
        <v>173.1</v>
      </c>
      <c r="P5675" s="1">
        <f t="shared" si="1162"/>
        <v>0</v>
      </c>
      <c r="Q5675" s="1" t="str">
        <f t="shared" si="1159"/>
        <v/>
      </c>
      <c r="R5675" s="1" t="str">
        <f t="shared" si="1163"/>
        <v/>
      </c>
      <c r="S5675" s="1">
        <f t="shared" si="1164"/>
        <v>630.90240000000244</v>
      </c>
      <c r="T5675" s="1">
        <f t="shared" si="1165"/>
        <v>0</v>
      </c>
      <c r="U5675" s="1">
        <f t="shared" si="1166"/>
        <v>0</v>
      </c>
      <c r="V5675" s="1">
        <f t="shared" si="1167"/>
        <v>0</v>
      </c>
    </row>
    <row r="5676" spans="13:22" x14ac:dyDescent="0.25">
      <c r="M5676" s="4">
        <f t="shared" si="1160"/>
        <v>173.1</v>
      </c>
      <c r="N5676" s="4"/>
      <c r="O5676" s="1">
        <f t="shared" si="1161"/>
        <v>173.1</v>
      </c>
      <c r="P5676" s="1">
        <f t="shared" si="1162"/>
        <v>0</v>
      </c>
      <c r="Q5676" s="1" t="str">
        <f t="shared" si="1159"/>
        <v/>
      </c>
      <c r="R5676" s="1" t="str">
        <f t="shared" si="1163"/>
        <v/>
      </c>
      <c r="S5676" s="1">
        <f t="shared" si="1164"/>
        <v>630.90240000000244</v>
      </c>
      <c r="T5676" s="1">
        <f t="shared" si="1165"/>
        <v>0</v>
      </c>
      <c r="U5676" s="1">
        <f t="shared" si="1166"/>
        <v>0</v>
      </c>
      <c r="V5676" s="1">
        <f t="shared" si="1167"/>
        <v>0</v>
      </c>
    </row>
    <row r="5677" spans="13:22" x14ac:dyDescent="0.25">
      <c r="M5677" s="4">
        <f t="shared" si="1160"/>
        <v>173.1</v>
      </c>
      <c r="N5677" s="4"/>
      <c r="O5677" s="1">
        <f t="shared" si="1161"/>
        <v>173.1</v>
      </c>
      <c r="P5677" s="1">
        <f t="shared" si="1162"/>
        <v>0</v>
      </c>
      <c r="Q5677" s="1" t="str">
        <f t="shared" si="1159"/>
        <v/>
      </c>
      <c r="R5677" s="1" t="str">
        <f t="shared" si="1163"/>
        <v/>
      </c>
      <c r="S5677" s="1">
        <f t="shared" si="1164"/>
        <v>630.90240000000244</v>
      </c>
      <c r="T5677" s="1">
        <f t="shared" si="1165"/>
        <v>0</v>
      </c>
      <c r="U5677" s="1">
        <f t="shared" si="1166"/>
        <v>0</v>
      </c>
      <c r="V5677" s="1">
        <f t="shared" si="1167"/>
        <v>0</v>
      </c>
    </row>
    <row r="5678" spans="13:22" x14ac:dyDescent="0.25">
      <c r="M5678" s="4">
        <f t="shared" si="1160"/>
        <v>173.1</v>
      </c>
      <c r="N5678" s="4"/>
      <c r="O5678" s="1">
        <f t="shared" si="1161"/>
        <v>173.1</v>
      </c>
      <c r="P5678" s="1">
        <f t="shared" si="1162"/>
        <v>0</v>
      </c>
      <c r="Q5678" s="1" t="str">
        <f t="shared" si="1159"/>
        <v/>
      </c>
      <c r="R5678" s="1" t="str">
        <f t="shared" si="1163"/>
        <v/>
      </c>
      <c r="S5678" s="1">
        <f t="shared" si="1164"/>
        <v>630.90240000000244</v>
      </c>
      <c r="T5678" s="1">
        <f t="shared" si="1165"/>
        <v>0</v>
      </c>
      <c r="U5678" s="1">
        <f t="shared" si="1166"/>
        <v>0</v>
      </c>
      <c r="V5678" s="1">
        <f t="shared" si="1167"/>
        <v>0</v>
      </c>
    </row>
    <row r="5679" spans="13:22" x14ac:dyDescent="0.25">
      <c r="M5679" s="4">
        <f t="shared" si="1160"/>
        <v>173.1</v>
      </c>
      <c r="N5679" s="4"/>
      <c r="O5679" s="1">
        <f t="shared" si="1161"/>
        <v>173.1</v>
      </c>
      <c r="P5679" s="1">
        <f t="shared" si="1162"/>
        <v>0</v>
      </c>
      <c r="Q5679" s="1" t="str">
        <f t="shared" si="1159"/>
        <v/>
      </c>
      <c r="R5679" s="1" t="str">
        <f t="shared" si="1163"/>
        <v/>
      </c>
      <c r="S5679" s="1">
        <f t="shared" si="1164"/>
        <v>630.90240000000244</v>
      </c>
      <c r="T5679" s="1">
        <f t="shared" si="1165"/>
        <v>0</v>
      </c>
      <c r="U5679" s="1">
        <f t="shared" si="1166"/>
        <v>0</v>
      </c>
      <c r="V5679" s="1">
        <f t="shared" si="1167"/>
        <v>0</v>
      </c>
    </row>
    <row r="5680" spans="13:22" x14ac:dyDescent="0.25">
      <c r="M5680" s="4">
        <f t="shared" si="1160"/>
        <v>173.1</v>
      </c>
      <c r="N5680" s="4"/>
      <c r="O5680" s="1">
        <f t="shared" si="1161"/>
        <v>173.1</v>
      </c>
      <c r="P5680" s="1">
        <f t="shared" si="1162"/>
        <v>0</v>
      </c>
      <c r="Q5680" s="1" t="str">
        <f t="shared" si="1159"/>
        <v/>
      </c>
      <c r="R5680" s="1" t="str">
        <f t="shared" si="1163"/>
        <v/>
      </c>
      <c r="S5680" s="1">
        <f t="shared" si="1164"/>
        <v>630.90240000000244</v>
      </c>
      <c r="T5680" s="1">
        <f t="shared" si="1165"/>
        <v>0</v>
      </c>
      <c r="U5680" s="1">
        <f t="shared" si="1166"/>
        <v>0</v>
      </c>
      <c r="V5680" s="1">
        <f t="shared" si="1167"/>
        <v>0</v>
      </c>
    </row>
    <row r="5681" spans="13:22" x14ac:dyDescent="0.25">
      <c r="M5681" s="4">
        <f t="shared" si="1160"/>
        <v>173.1</v>
      </c>
      <c r="N5681" s="4"/>
      <c r="O5681" s="1">
        <f t="shared" si="1161"/>
        <v>173.1</v>
      </c>
      <c r="P5681" s="1">
        <f t="shared" si="1162"/>
        <v>0</v>
      </c>
      <c r="Q5681" s="1" t="str">
        <f t="shared" si="1159"/>
        <v/>
      </c>
      <c r="R5681" s="1" t="str">
        <f t="shared" si="1163"/>
        <v/>
      </c>
      <c r="S5681" s="1">
        <f t="shared" si="1164"/>
        <v>630.90240000000244</v>
      </c>
      <c r="T5681" s="1">
        <f t="shared" si="1165"/>
        <v>0</v>
      </c>
      <c r="U5681" s="1">
        <f t="shared" si="1166"/>
        <v>0</v>
      </c>
      <c r="V5681" s="1">
        <f t="shared" si="1167"/>
        <v>0</v>
      </c>
    </row>
    <row r="5682" spans="13:22" x14ac:dyDescent="0.25">
      <c r="M5682" s="4">
        <f t="shared" si="1160"/>
        <v>173.1</v>
      </c>
      <c r="N5682" s="4"/>
      <c r="O5682" s="1">
        <f t="shared" si="1161"/>
        <v>173.1</v>
      </c>
      <c r="P5682" s="1">
        <f t="shared" si="1162"/>
        <v>0</v>
      </c>
      <c r="Q5682" s="1" t="str">
        <f t="shared" ref="Q5682:Q5745" si="1168">IF(H5682&lt;&gt;"",IF(H5682=H5681,"",H5682),IF(H5680="","",MAX(H5681,Q5681)))</f>
        <v/>
      </c>
      <c r="R5682" s="1" t="str">
        <f t="shared" si="1163"/>
        <v/>
      </c>
      <c r="S5682" s="1">
        <f t="shared" si="1164"/>
        <v>630.90240000000244</v>
      </c>
      <c r="T5682" s="1">
        <f t="shared" si="1165"/>
        <v>0</v>
      </c>
      <c r="U5682" s="1">
        <f t="shared" si="1166"/>
        <v>0</v>
      </c>
      <c r="V5682" s="1">
        <f t="shared" si="1167"/>
        <v>0</v>
      </c>
    </row>
    <row r="5683" spans="13:22" x14ac:dyDescent="0.25">
      <c r="M5683" s="4">
        <f t="shared" si="1160"/>
        <v>173.1</v>
      </c>
      <c r="N5683" s="4"/>
      <c r="O5683" s="1">
        <f t="shared" si="1161"/>
        <v>173.1</v>
      </c>
      <c r="P5683" s="1">
        <f t="shared" si="1162"/>
        <v>0</v>
      </c>
      <c r="Q5683" s="1" t="str">
        <f t="shared" si="1168"/>
        <v/>
      </c>
      <c r="R5683" s="1" t="str">
        <f t="shared" si="1163"/>
        <v/>
      </c>
      <c r="S5683" s="1">
        <f t="shared" si="1164"/>
        <v>630.90240000000244</v>
      </c>
      <c r="T5683" s="1">
        <f t="shared" si="1165"/>
        <v>0</v>
      </c>
      <c r="U5683" s="1">
        <f t="shared" si="1166"/>
        <v>0</v>
      </c>
      <c r="V5683" s="1">
        <f t="shared" si="1167"/>
        <v>0</v>
      </c>
    </row>
    <row r="5684" spans="13:22" x14ac:dyDescent="0.25">
      <c r="M5684" s="4">
        <f t="shared" si="1160"/>
        <v>173.1</v>
      </c>
      <c r="N5684" s="4"/>
      <c r="O5684" s="1">
        <f t="shared" si="1161"/>
        <v>173.1</v>
      </c>
      <c r="P5684" s="1">
        <f t="shared" si="1162"/>
        <v>0</v>
      </c>
      <c r="Q5684" s="1" t="str">
        <f t="shared" si="1168"/>
        <v/>
      </c>
      <c r="R5684" s="1" t="str">
        <f t="shared" si="1163"/>
        <v/>
      </c>
      <c r="S5684" s="1">
        <f t="shared" si="1164"/>
        <v>630.90240000000244</v>
      </c>
      <c r="T5684" s="1">
        <f t="shared" si="1165"/>
        <v>0</v>
      </c>
      <c r="U5684" s="1">
        <f t="shared" si="1166"/>
        <v>0</v>
      </c>
      <c r="V5684" s="1">
        <f t="shared" si="1167"/>
        <v>0</v>
      </c>
    </row>
    <row r="5685" spans="13:22" x14ac:dyDescent="0.25">
      <c r="M5685" s="4">
        <f t="shared" si="1160"/>
        <v>173.1</v>
      </c>
      <c r="N5685" s="4"/>
      <c r="O5685" s="1">
        <f t="shared" si="1161"/>
        <v>173.1</v>
      </c>
      <c r="P5685" s="1">
        <f t="shared" si="1162"/>
        <v>0</v>
      </c>
      <c r="Q5685" s="1" t="str">
        <f t="shared" si="1168"/>
        <v/>
      </c>
      <c r="R5685" s="1" t="str">
        <f t="shared" si="1163"/>
        <v/>
      </c>
      <c r="S5685" s="1">
        <f t="shared" si="1164"/>
        <v>630.90240000000244</v>
      </c>
      <c r="T5685" s="1">
        <f t="shared" si="1165"/>
        <v>0</v>
      </c>
      <c r="U5685" s="1">
        <f t="shared" si="1166"/>
        <v>0</v>
      </c>
      <c r="V5685" s="1">
        <f t="shared" si="1167"/>
        <v>0</v>
      </c>
    </row>
    <row r="5686" spans="13:22" x14ac:dyDescent="0.25">
      <c r="M5686" s="4">
        <f t="shared" si="1160"/>
        <v>173.1</v>
      </c>
      <c r="N5686" s="4"/>
      <c r="O5686" s="1">
        <f t="shared" si="1161"/>
        <v>173.1</v>
      </c>
      <c r="P5686" s="1">
        <f t="shared" si="1162"/>
        <v>0</v>
      </c>
      <c r="Q5686" s="1" t="str">
        <f t="shared" si="1168"/>
        <v/>
      </c>
      <c r="R5686" s="1" t="str">
        <f t="shared" si="1163"/>
        <v/>
      </c>
      <c r="S5686" s="1">
        <f t="shared" si="1164"/>
        <v>630.90240000000244</v>
      </c>
      <c r="T5686" s="1">
        <f t="shared" si="1165"/>
        <v>0</v>
      </c>
      <c r="U5686" s="1">
        <f t="shared" si="1166"/>
        <v>0</v>
      </c>
      <c r="V5686" s="1">
        <f t="shared" si="1167"/>
        <v>0</v>
      </c>
    </row>
    <row r="5687" spans="13:22" x14ac:dyDescent="0.25">
      <c r="M5687" s="4">
        <f t="shared" si="1160"/>
        <v>173.1</v>
      </c>
      <c r="N5687" s="4"/>
      <c r="O5687" s="1">
        <f t="shared" si="1161"/>
        <v>173.1</v>
      </c>
      <c r="P5687" s="1">
        <f t="shared" si="1162"/>
        <v>0</v>
      </c>
      <c r="Q5687" s="1" t="str">
        <f t="shared" si="1168"/>
        <v/>
      </c>
      <c r="R5687" s="1" t="str">
        <f t="shared" si="1163"/>
        <v/>
      </c>
      <c r="S5687" s="1">
        <f t="shared" si="1164"/>
        <v>630.90240000000244</v>
      </c>
      <c r="T5687" s="1">
        <f t="shared" si="1165"/>
        <v>0</v>
      </c>
      <c r="U5687" s="1">
        <f t="shared" si="1166"/>
        <v>0</v>
      </c>
      <c r="V5687" s="1">
        <f t="shared" si="1167"/>
        <v>0</v>
      </c>
    </row>
    <row r="5688" spans="13:22" x14ac:dyDescent="0.25">
      <c r="M5688" s="4">
        <f t="shared" si="1160"/>
        <v>173.1</v>
      </c>
      <c r="N5688" s="4"/>
      <c r="O5688" s="1">
        <f t="shared" si="1161"/>
        <v>173.1</v>
      </c>
      <c r="P5688" s="1">
        <f t="shared" si="1162"/>
        <v>0</v>
      </c>
      <c r="Q5688" s="1" t="str">
        <f t="shared" si="1168"/>
        <v/>
      </c>
      <c r="R5688" s="1" t="str">
        <f t="shared" si="1163"/>
        <v/>
      </c>
      <c r="S5688" s="1">
        <f t="shared" si="1164"/>
        <v>630.90240000000244</v>
      </c>
      <c r="T5688" s="1">
        <f t="shared" si="1165"/>
        <v>0</v>
      </c>
      <c r="U5688" s="1">
        <f t="shared" si="1166"/>
        <v>0</v>
      </c>
      <c r="V5688" s="1">
        <f t="shared" si="1167"/>
        <v>0</v>
      </c>
    </row>
    <row r="5689" spans="13:22" x14ac:dyDescent="0.25">
      <c r="M5689" s="4">
        <f t="shared" si="1160"/>
        <v>173.1</v>
      </c>
      <c r="N5689" s="4"/>
      <c r="O5689" s="1">
        <f t="shared" si="1161"/>
        <v>173.1</v>
      </c>
      <c r="P5689" s="1">
        <f t="shared" si="1162"/>
        <v>0</v>
      </c>
      <c r="Q5689" s="1" t="str">
        <f t="shared" si="1168"/>
        <v/>
      </c>
      <c r="R5689" s="1" t="str">
        <f t="shared" si="1163"/>
        <v/>
      </c>
      <c r="S5689" s="1">
        <f t="shared" si="1164"/>
        <v>630.90240000000244</v>
      </c>
      <c r="T5689" s="1">
        <f t="shared" si="1165"/>
        <v>0</v>
      </c>
      <c r="U5689" s="1">
        <f t="shared" si="1166"/>
        <v>0</v>
      </c>
      <c r="V5689" s="1">
        <f t="shared" si="1167"/>
        <v>0</v>
      </c>
    </row>
    <row r="5690" spans="13:22" x14ac:dyDescent="0.25">
      <c r="M5690" s="4">
        <f t="shared" si="1160"/>
        <v>173.1</v>
      </c>
      <c r="N5690" s="4"/>
      <c r="O5690" s="1">
        <f t="shared" si="1161"/>
        <v>173.1</v>
      </c>
      <c r="P5690" s="1">
        <f t="shared" si="1162"/>
        <v>0</v>
      </c>
      <c r="Q5690" s="1" t="str">
        <f t="shared" si="1168"/>
        <v/>
      </c>
      <c r="R5690" s="1" t="str">
        <f t="shared" si="1163"/>
        <v/>
      </c>
      <c r="S5690" s="1">
        <f t="shared" si="1164"/>
        <v>630.90240000000244</v>
      </c>
      <c r="T5690" s="1">
        <f t="shared" si="1165"/>
        <v>0</v>
      </c>
      <c r="U5690" s="1">
        <f t="shared" si="1166"/>
        <v>0</v>
      </c>
      <c r="V5690" s="1">
        <f t="shared" si="1167"/>
        <v>0</v>
      </c>
    </row>
    <row r="5691" spans="13:22" x14ac:dyDescent="0.25">
      <c r="M5691" s="4">
        <f t="shared" si="1160"/>
        <v>173.1</v>
      </c>
      <c r="N5691" s="4"/>
      <c r="O5691" s="1">
        <f t="shared" si="1161"/>
        <v>173.1</v>
      </c>
      <c r="P5691" s="1">
        <f t="shared" si="1162"/>
        <v>0</v>
      </c>
      <c r="Q5691" s="1" t="str">
        <f t="shared" si="1168"/>
        <v/>
      </c>
      <c r="R5691" s="1" t="str">
        <f t="shared" si="1163"/>
        <v/>
      </c>
      <c r="S5691" s="1">
        <f t="shared" si="1164"/>
        <v>630.90240000000244</v>
      </c>
      <c r="T5691" s="1">
        <f t="shared" si="1165"/>
        <v>0</v>
      </c>
      <c r="U5691" s="1">
        <f t="shared" si="1166"/>
        <v>0</v>
      </c>
      <c r="V5691" s="1">
        <f t="shared" si="1167"/>
        <v>0</v>
      </c>
    </row>
    <row r="5692" spans="13:22" x14ac:dyDescent="0.25">
      <c r="M5692" s="4">
        <f t="shared" si="1160"/>
        <v>173.1</v>
      </c>
      <c r="N5692" s="4"/>
      <c r="O5692" s="1">
        <f t="shared" si="1161"/>
        <v>173.1</v>
      </c>
      <c r="P5692" s="1">
        <f t="shared" si="1162"/>
        <v>0</v>
      </c>
      <c r="Q5692" s="1" t="str">
        <f t="shared" si="1168"/>
        <v/>
      </c>
      <c r="R5692" s="1" t="str">
        <f t="shared" si="1163"/>
        <v/>
      </c>
      <c r="S5692" s="1">
        <f t="shared" si="1164"/>
        <v>630.90240000000244</v>
      </c>
      <c r="T5692" s="1">
        <f t="shared" si="1165"/>
        <v>0</v>
      </c>
      <c r="U5692" s="1">
        <f t="shared" si="1166"/>
        <v>0</v>
      </c>
      <c r="V5692" s="1">
        <f t="shared" si="1167"/>
        <v>0</v>
      </c>
    </row>
    <row r="5693" spans="13:22" x14ac:dyDescent="0.25">
      <c r="M5693" s="4">
        <f t="shared" si="1160"/>
        <v>173.1</v>
      </c>
      <c r="N5693" s="4"/>
      <c r="O5693" s="1">
        <f t="shared" si="1161"/>
        <v>173.1</v>
      </c>
      <c r="P5693" s="1">
        <f t="shared" si="1162"/>
        <v>0</v>
      </c>
      <c r="Q5693" s="1" t="str">
        <f t="shared" si="1168"/>
        <v/>
      </c>
      <c r="R5693" s="1" t="str">
        <f t="shared" si="1163"/>
        <v/>
      </c>
      <c r="S5693" s="1">
        <f t="shared" si="1164"/>
        <v>630.90240000000244</v>
      </c>
      <c r="T5693" s="1">
        <f t="shared" si="1165"/>
        <v>0</v>
      </c>
      <c r="U5693" s="1">
        <f t="shared" si="1166"/>
        <v>0</v>
      </c>
      <c r="V5693" s="1">
        <f t="shared" si="1167"/>
        <v>0</v>
      </c>
    </row>
    <row r="5694" spans="13:22" x14ac:dyDescent="0.25">
      <c r="M5694" s="4">
        <f t="shared" si="1160"/>
        <v>173.1</v>
      </c>
      <c r="N5694" s="4"/>
      <c r="O5694" s="1">
        <f t="shared" si="1161"/>
        <v>173.1</v>
      </c>
      <c r="P5694" s="1">
        <f t="shared" si="1162"/>
        <v>0</v>
      </c>
      <c r="Q5694" s="1" t="str">
        <f t="shared" si="1168"/>
        <v/>
      </c>
      <c r="R5694" s="1" t="str">
        <f t="shared" si="1163"/>
        <v/>
      </c>
      <c r="S5694" s="1">
        <f t="shared" si="1164"/>
        <v>630.90240000000244</v>
      </c>
      <c r="T5694" s="1">
        <f t="shared" si="1165"/>
        <v>0</v>
      </c>
      <c r="U5694" s="1">
        <f t="shared" si="1166"/>
        <v>0</v>
      </c>
      <c r="V5694" s="1">
        <f t="shared" si="1167"/>
        <v>0</v>
      </c>
    </row>
    <row r="5695" spans="13:22" x14ac:dyDescent="0.25">
      <c r="M5695" s="4">
        <f t="shared" si="1160"/>
        <v>173.1</v>
      </c>
      <c r="N5695" s="4"/>
      <c r="O5695" s="1">
        <f t="shared" si="1161"/>
        <v>173.1</v>
      </c>
      <c r="P5695" s="1">
        <f t="shared" si="1162"/>
        <v>0</v>
      </c>
      <c r="Q5695" s="1" t="str">
        <f t="shared" si="1168"/>
        <v/>
      </c>
      <c r="R5695" s="1" t="str">
        <f t="shared" si="1163"/>
        <v/>
      </c>
      <c r="S5695" s="1">
        <f t="shared" si="1164"/>
        <v>630.90240000000244</v>
      </c>
      <c r="T5695" s="1">
        <f t="shared" si="1165"/>
        <v>0</v>
      </c>
      <c r="U5695" s="1">
        <f t="shared" si="1166"/>
        <v>0</v>
      </c>
      <c r="V5695" s="1">
        <f t="shared" si="1167"/>
        <v>0</v>
      </c>
    </row>
    <row r="5696" spans="13:22" x14ac:dyDescent="0.25">
      <c r="M5696" s="4">
        <f t="shared" si="1160"/>
        <v>173.1</v>
      </c>
      <c r="N5696" s="4"/>
      <c r="O5696" s="1">
        <f t="shared" si="1161"/>
        <v>173.1</v>
      </c>
      <c r="P5696" s="1">
        <f t="shared" si="1162"/>
        <v>0</v>
      </c>
      <c r="Q5696" s="1" t="str">
        <f t="shared" si="1168"/>
        <v/>
      </c>
      <c r="R5696" s="1" t="str">
        <f t="shared" si="1163"/>
        <v/>
      </c>
      <c r="S5696" s="1">
        <f t="shared" si="1164"/>
        <v>630.90240000000244</v>
      </c>
      <c r="T5696" s="1">
        <f t="shared" si="1165"/>
        <v>0</v>
      </c>
      <c r="U5696" s="1">
        <f t="shared" si="1166"/>
        <v>0</v>
      </c>
      <c r="V5696" s="1">
        <f t="shared" si="1167"/>
        <v>0</v>
      </c>
    </row>
    <row r="5697" spans="13:22" x14ac:dyDescent="0.25">
      <c r="M5697" s="4">
        <f t="shared" si="1160"/>
        <v>173.1</v>
      </c>
      <c r="N5697" s="4"/>
      <c r="O5697" s="1">
        <f t="shared" si="1161"/>
        <v>173.1</v>
      </c>
      <c r="P5697" s="1">
        <f t="shared" si="1162"/>
        <v>0</v>
      </c>
      <c r="Q5697" s="1" t="str">
        <f t="shared" si="1168"/>
        <v/>
      </c>
      <c r="R5697" s="1" t="str">
        <f t="shared" si="1163"/>
        <v/>
      </c>
      <c r="S5697" s="1">
        <f t="shared" si="1164"/>
        <v>630.90240000000244</v>
      </c>
      <c r="T5697" s="1">
        <f t="shared" si="1165"/>
        <v>0</v>
      </c>
      <c r="U5697" s="1">
        <f t="shared" si="1166"/>
        <v>0</v>
      </c>
      <c r="V5697" s="1">
        <f t="shared" si="1167"/>
        <v>0</v>
      </c>
    </row>
    <row r="5698" spans="13:22" x14ac:dyDescent="0.25">
      <c r="M5698" s="4">
        <f t="shared" si="1160"/>
        <v>173.1</v>
      </c>
      <c r="N5698" s="4"/>
      <c r="O5698" s="1">
        <f t="shared" si="1161"/>
        <v>173.1</v>
      </c>
      <c r="P5698" s="1">
        <f t="shared" si="1162"/>
        <v>0</v>
      </c>
      <c r="Q5698" s="1" t="str">
        <f t="shared" si="1168"/>
        <v/>
      </c>
      <c r="R5698" s="1" t="str">
        <f t="shared" si="1163"/>
        <v/>
      </c>
      <c r="S5698" s="1">
        <f t="shared" si="1164"/>
        <v>630.90240000000244</v>
      </c>
      <c r="T5698" s="1">
        <f t="shared" si="1165"/>
        <v>0</v>
      </c>
      <c r="U5698" s="1">
        <f t="shared" si="1166"/>
        <v>0</v>
      </c>
      <c r="V5698" s="1">
        <f t="shared" si="1167"/>
        <v>0</v>
      </c>
    </row>
    <row r="5699" spans="13:22" x14ac:dyDescent="0.25">
      <c r="M5699" s="4">
        <f t="shared" si="1160"/>
        <v>173.1</v>
      </c>
      <c r="N5699" s="4"/>
      <c r="O5699" s="1">
        <f t="shared" si="1161"/>
        <v>173.1</v>
      </c>
      <c r="P5699" s="1">
        <f t="shared" si="1162"/>
        <v>0</v>
      </c>
      <c r="Q5699" s="1" t="str">
        <f t="shared" si="1168"/>
        <v/>
      </c>
      <c r="R5699" s="1" t="str">
        <f t="shared" si="1163"/>
        <v/>
      </c>
      <c r="S5699" s="1">
        <f t="shared" si="1164"/>
        <v>630.90240000000244</v>
      </c>
      <c r="T5699" s="1">
        <f t="shared" si="1165"/>
        <v>0</v>
      </c>
      <c r="U5699" s="1">
        <f t="shared" si="1166"/>
        <v>0</v>
      </c>
      <c r="V5699" s="1">
        <f t="shared" si="1167"/>
        <v>0</v>
      </c>
    </row>
    <row r="5700" spans="13:22" x14ac:dyDescent="0.25">
      <c r="M5700" s="4">
        <f t="shared" si="1160"/>
        <v>173.1</v>
      </c>
      <c r="N5700" s="4"/>
      <c r="O5700" s="1">
        <f t="shared" si="1161"/>
        <v>173.1</v>
      </c>
      <c r="P5700" s="1">
        <f t="shared" si="1162"/>
        <v>0</v>
      </c>
      <c r="Q5700" s="1" t="str">
        <f t="shared" si="1168"/>
        <v/>
      </c>
      <c r="R5700" s="1" t="str">
        <f t="shared" si="1163"/>
        <v/>
      </c>
      <c r="S5700" s="1">
        <f t="shared" si="1164"/>
        <v>630.90240000000244</v>
      </c>
      <c r="T5700" s="1">
        <f t="shared" si="1165"/>
        <v>0</v>
      </c>
      <c r="U5700" s="1">
        <f t="shared" si="1166"/>
        <v>0</v>
      </c>
      <c r="V5700" s="1">
        <f t="shared" si="1167"/>
        <v>0</v>
      </c>
    </row>
    <row r="5701" spans="13:22" x14ac:dyDescent="0.25">
      <c r="M5701" s="4">
        <f t="shared" si="1160"/>
        <v>173.1</v>
      </c>
      <c r="N5701" s="4"/>
      <c r="O5701" s="1">
        <f t="shared" si="1161"/>
        <v>173.1</v>
      </c>
      <c r="P5701" s="1">
        <f t="shared" si="1162"/>
        <v>0</v>
      </c>
      <c r="Q5701" s="1" t="str">
        <f t="shared" si="1168"/>
        <v/>
      </c>
      <c r="R5701" s="1" t="str">
        <f t="shared" si="1163"/>
        <v/>
      </c>
      <c r="S5701" s="1">
        <f t="shared" si="1164"/>
        <v>630.90240000000244</v>
      </c>
      <c r="T5701" s="1">
        <f t="shared" si="1165"/>
        <v>0</v>
      </c>
      <c r="U5701" s="1">
        <f t="shared" si="1166"/>
        <v>0</v>
      </c>
      <c r="V5701" s="1">
        <f t="shared" si="1167"/>
        <v>0</v>
      </c>
    </row>
    <row r="5702" spans="13:22" x14ac:dyDescent="0.25">
      <c r="M5702" s="4">
        <f t="shared" si="1160"/>
        <v>173.1</v>
      </c>
      <c r="N5702" s="4"/>
      <c r="O5702" s="1">
        <f t="shared" si="1161"/>
        <v>173.1</v>
      </c>
      <c r="P5702" s="1">
        <f t="shared" si="1162"/>
        <v>0</v>
      </c>
      <c r="Q5702" s="1" t="str">
        <f t="shared" si="1168"/>
        <v/>
      </c>
      <c r="R5702" s="1" t="str">
        <f t="shared" si="1163"/>
        <v/>
      </c>
      <c r="S5702" s="1">
        <f t="shared" si="1164"/>
        <v>630.90240000000244</v>
      </c>
      <c r="T5702" s="1">
        <f t="shared" si="1165"/>
        <v>0</v>
      </c>
      <c r="U5702" s="1">
        <f t="shared" si="1166"/>
        <v>0</v>
      </c>
      <c r="V5702" s="1">
        <f t="shared" si="1167"/>
        <v>0</v>
      </c>
    </row>
    <row r="5703" spans="13:22" x14ac:dyDescent="0.25">
      <c r="M5703" s="4">
        <f t="shared" si="1160"/>
        <v>173.1</v>
      </c>
      <c r="N5703" s="4"/>
      <c r="O5703" s="1">
        <f t="shared" si="1161"/>
        <v>173.1</v>
      </c>
      <c r="P5703" s="1">
        <f t="shared" si="1162"/>
        <v>0</v>
      </c>
      <c r="Q5703" s="1" t="str">
        <f t="shared" si="1168"/>
        <v/>
      </c>
      <c r="R5703" s="1" t="str">
        <f t="shared" si="1163"/>
        <v/>
      </c>
      <c r="S5703" s="1">
        <f t="shared" si="1164"/>
        <v>630.90240000000244</v>
      </c>
      <c r="T5703" s="1">
        <f t="shared" si="1165"/>
        <v>0</v>
      </c>
      <c r="U5703" s="1">
        <f t="shared" si="1166"/>
        <v>0</v>
      </c>
      <c r="V5703" s="1">
        <f t="shared" si="1167"/>
        <v>0</v>
      </c>
    </row>
    <row r="5704" spans="13:22" x14ac:dyDescent="0.25">
      <c r="M5704" s="4">
        <f t="shared" ref="M5704:M5767" si="1169">E5704+M5703</f>
        <v>173.1</v>
      </c>
      <c r="N5704" s="4"/>
      <c r="O5704" s="1">
        <f t="shared" ref="O5704:O5767" si="1170">E5703+O5703</f>
        <v>173.1</v>
      </c>
      <c r="P5704" s="1">
        <f t="shared" ref="P5704:P5767" si="1171">F5704*52.8*E5704</f>
        <v>0</v>
      </c>
      <c r="Q5704" s="1" t="str">
        <f t="shared" si="1168"/>
        <v/>
      </c>
      <c r="R5704" s="1" t="str">
        <f t="shared" ref="R5704:R5767" si="1172">IF(I5704="",Q5704,IF(AND(H5704=H5703,I5704=I5703),"",I5704))</f>
        <v/>
      </c>
      <c r="S5704" s="1">
        <f t="shared" ref="S5704:S5767" si="1173">S5703+U5703*T5703/100</f>
        <v>630.90240000000244</v>
      </c>
      <c r="T5704" s="1">
        <f t="shared" ref="T5704:T5767" si="1174">IF(G5704="UNK",0,G5704)</f>
        <v>0</v>
      </c>
      <c r="U5704" s="1">
        <f t="shared" ref="U5704:U5767" si="1175">E5704*5280</f>
        <v>0</v>
      </c>
      <c r="V5704" s="1">
        <f t="shared" ref="V5704:V5767" si="1176">ABS(T5704*U5704)</f>
        <v>0</v>
      </c>
    </row>
    <row r="5705" spans="13:22" x14ac:dyDescent="0.25">
      <c r="M5705" s="4">
        <f t="shared" si="1169"/>
        <v>173.1</v>
      </c>
      <c r="N5705" s="4"/>
      <c r="O5705" s="1">
        <f t="shared" si="1170"/>
        <v>173.1</v>
      </c>
      <c r="P5705" s="1">
        <f t="shared" si="1171"/>
        <v>0</v>
      </c>
      <c r="Q5705" s="1" t="str">
        <f t="shared" si="1168"/>
        <v/>
      </c>
      <c r="R5705" s="1" t="str">
        <f t="shared" si="1172"/>
        <v/>
      </c>
      <c r="S5705" s="1">
        <f t="shared" si="1173"/>
        <v>630.90240000000244</v>
      </c>
      <c r="T5705" s="1">
        <f t="shared" si="1174"/>
        <v>0</v>
      </c>
      <c r="U5705" s="1">
        <f t="shared" si="1175"/>
        <v>0</v>
      </c>
      <c r="V5705" s="1">
        <f t="shared" si="1176"/>
        <v>0</v>
      </c>
    </row>
    <row r="5706" spans="13:22" x14ac:dyDescent="0.25">
      <c r="M5706" s="4">
        <f t="shared" si="1169"/>
        <v>173.1</v>
      </c>
      <c r="N5706" s="4"/>
      <c r="O5706" s="1">
        <f t="shared" si="1170"/>
        <v>173.1</v>
      </c>
      <c r="P5706" s="1">
        <f t="shared" si="1171"/>
        <v>0</v>
      </c>
      <c r="Q5706" s="1" t="str">
        <f t="shared" si="1168"/>
        <v/>
      </c>
      <c r="R5706" s="1" t="str">
        <f t="shared" si="1172"/>
        <v/>
      </c>
      <c r="S5706" s="1">
        <f t="shared" si="1173"/>
        <v>630.90240000000244</v>
      </c>
      <c r="T5706" s="1">
        <f t="shared" si="1174"/>
        <v>0</v>
      </c>
      <c r="U5706" s="1">
        <f t="shared" si="1175"/>
        <v>0</v>
      </c>
      <c r="V5706" s="1">
        <f t="shared" si="1176"/>
        <v>0</v>
      </c>
    </row>
    <row r="5707" spans="13:22" x14ac:dyDescent="0.25">
      <c r="M5707" s="4">
        <f t="shared" si="1169"/>
        <v>173.1</v>
      </c>
      <c r="N5707" s="4"/>
      <c r="O5707" s="1">
        <f t="shared" si="1170"/>
        <v>173.1</v>
      </c>
      <c r="P5707" s="1">
        <f t="shared" si="1171"/>
        <v>0</v>
      </c>
      <c r="Q5707" s="1" t="str">
        <f t="shared" si="1168"/>
        <v/>
      </c>
      <c r="R5707" s="1" t="str">
        <f t="shared" si="1172"/>
        <v/>
      </c>
      <c r="S5707" s="1">
        <f t="shared" si="1173"/>
        <v>630.90240000000244</v>
      </c>
      <c r="T5707" s="1">
        <f t="shared" si="1174"/>
        <v>0</v>
      </c>
      <c r="U5707" s="1">
        <f t="shared" si="1175"/>
        <v>0</v>
      </c>
      <c r="V5707" s="1">
        <f t="shared" si="1176"/>
        <v>0</v>
      </c>
    </row>
    <row r="5708" spans="13:22" x14ac:dyDescent="0.25">
      <c r="M5708" s="4">
        <f t="shared" si="1169"/>
        <v>173.1</v>
      </c>
      <c r="N5708" s="4"/>
      <c r="O5708" s="1">
        <f t="shared" si="1170"/>
        <v>173.1</v>
      </c>
      <c r="P5708" s="1">
        <f t="shared" si="1171"/>
        <v>0</v>
      </c>
      <c r="Q5708" s="1" t="str">
        <f t="shared" si="1168"/>
        <v/>
      </c>
      <c r="R5708" s="1" t="str">
        <f t="shared" si="1172"/>
        <v/>
      </c>
      <c r="S5708" s="1">
        <f t="shared" si="1173"/>
        <v>630.90240000000244</v>
      </c>
      <c r="T5708" s="1">
        <f t="shared" si="1174"/>
        <v>0</v>
      </c>
      <c r="U5708" s="1">
        <f t="shared" si="1175"/>
        <v>0</v>
      </c>
      <c r="V5708" s="1">
        <f t="shared" si="1176"/>
        <v>0</v>
      </c>
    </row>
    <row r="5709" spans="13:22" x14ac:dyDescent="0.25">
      <c r="M5709" s="4">
        <f t="shared" si="1169"/>
        <v>173.1</v>
      </c>
      <c r="N5709" s="4"/>
      <c r="O5709" s="1">
        <f t="shared" si="1170"/>
        <v>173.1</v>
      </c>
      <c r="P5709" s="1">
        <f t="shared" si="1171"/>
        <v>0</v>
      </c>
      <c r="Q5709" s="1" t="str">
        <f t="shared" si="1168"/>
        <v/>
      </c>
      <c r="R5709" s="1" t="str">
        <f t="shared" si="1172"/>
        <v/>
      </c>
      <c r="S5709" s="1">
        <f t="shared" si="1173"/>
        <v>630.90240000000244</v>
      </c>
      <c r="T5709" s="1">
        <f t="shared" si="1174"/>
        <v>0</v>
      </c>
      <c r="U5709" s="1">
        <f t="shared" si="1175"/>
        <v>0</v>
      </c>
      <c r="V5709" s="1">
        <f t="shared" si="1176"/>
        <v>0</v>
      </c>
    </row>
    <row r="5710" spans="13:22" x14ac:dyDescent="0.25">
      <c r="M5710" s="4">
        <f t="shared" si="1169"/>
        <v>173.1</v>
      </c>
      <c r="N5710" s="4"/>
      <c r="O5710" s="1">
        <f t="shared" si="1170"/>
        <v>173.1</v>
      </c>
      <c r="P5710" s="1">
        <f t="shared" si="1171"/>
        <v>0</v>
      </c>
      <c r="Q5710" s="1" t="str">
        <f t="shared" si="1168"/>
        <v/>
      </c>
      <c r="R5710" s="1" t="str">
        <f t="shared" si="1172"/>
        <v/>
      </c>
      <c r="S5710" s="1">
        <f t="shared" si="1173"/>
        <v>630.90240000000244</v>
      </c>
      <c r="T5710" s="1">
        <f t="shared" si="1174"/>
        <v>0</v>
      </c>
      <c r="U5710" s="1">
        <f t="shared" si="1175"/>
        <v>0</v>
      </c>
      <c r="V5710" s="1">
        <f t="shared" si="1176"/>
        <v>0</v>
      </c>
    </row>
    <row r="5711" spans="13:22" x14ac:dyDescent="0.25">
      <c r="M5711" s="4">
        <f t="shared" si="1169"/>
        <v>173.1</v>
      </c>
      <c r="N5711" s="4"/>
      <c r="O5711" s="1">
        <f t="shared" si="1170"/>
        <v>173.1</v>
      </c>
      <c r="P5711" s="1">
        <f t="shared" si="1171"/>
        <v>0</v>
      </c>
      <c r="Q5711" s="1" t="str">
        <f t="shared" si="1168"/>
        <v/>
      </c>
      <c r="R5711" s="1" t="str">
        <f t="shared" si="1172"/>
        <v/>
      </c>
      <c r="S5711" s="1">
        <f t="shared" si="1173"/>
        <v>630.90240000000244</v>
      </c>
      <c r="T5711" s="1">
        <f t="shared" si="1174"/>
        <v>0</v>
      </c>
      <c r="U5711" s="1">
        <f t="shared" si="1175"/>
        <v>0</v>
      </c>
      <c r="V5711" s="1">
        <f t="shared" si="1176"/>
        <v>0</v>
      </c>
    </row>
    <row r="5712" spans="13:22" x14ac:dyDescent="0.25">
      <c r="M5712" s="4">
        <f t="shared" si="1169"/>
        <v>173.1</v>
      </c>
      <c r="N5712" s="4"/>
      <c r="O5712" s="1">
        <f t="shared" si="1170"/>
        <v>173.1</v>
      </c>
      <c r="P5712" s="1">
        <f t="shared" si="1171"/>
        <v>0</v>
      </c>
      <c r="Q5712" s="1" t="str">
        <f t="shared" si="1168"/>
        <v/>
      </c>
      <c r="R5712" s="1" t="str">
        <f t="shared" si="1172"/>
        <v/>
      </c>
      <c r="S5712" s="1">
        <f t="shared" si="1173"/>
        <v>630.90240000000244</v>
      </c>
      <c r="T5712" s="1">
        <f t="shared" si="1174"/>
        <v>0</v>
      </c>
      <c r="U5712" s="1">
        <f t="shared" si="1175"/>
        <v>0</v>
      </c>
      <c r="V5712" s="1">
        <f t="shared" si="1176"/>
        <v>0</v>
      </c>
    </row>
    <row r="5713" spans="13:22" x14ac:dyDescent="0.25">
      <c r="M5713" s="4">
        <f t="shared" si="1169"/>
        <v>173.1</v>
      </c>
      <c r="N5713" s="4"/>
      <c r="O5713" s="1">
        <f t="shared" si="1170"/>
        <v>173.1</v>
      </c>
      <c r="P5713" s="1">
        <f t="shared" si="1171"/>
        <v>0</v>
      </c>
      <c r="Q5713" s="1" t="str">
        <f t="shared" si="1168"/>
        <v/>
      </c>
      <c r="R5713" s="1" t="str">
        <f t="shared" si="1172"/>
        <v/>
      </c>
      <c r="S5713" s="1">
        <f t="shared" si="1173"/>
        <v>630.90240000000244</v>
      </c>
      <c r="T5713" s="1">
        <f t="shared" si="1174"/>
        <v>0</v>
      </c>
      <c r="U5713" s="1">
        <f t="shared" si="1175"/>
        <v>0</v>
      </c>
      <c r="V5713" s="1">
        <f t="shared" si="1176"/>
        <v>0</v>
      </c>
    </row>
    <row r="5714" spans="13:22" x14ac:dyDescent="0.25">
      <c r="M5714" s="4">
        <f t="shared" si="1169"/>
        <v>173.1</v>
      </c>
      <c r="N5714" s="4"/>
      <c r="O5714" s="1">
        <f t="shared" si="1170"/>
        <v>173.1</v>
      </c>
      <c r="P5714" s="1">
        <f t="shared" si="1171"/>
        <v>0</v>
      </c>
      <c r="Q5714" s="1" t="str">
        <f t="shared" si="1168"/>
        <v/>
      </c>
      <c r="R5714" s="1" t="str">
        <f t="shared" si="1172"/>
        <v/>
      </c>
      <c r="S5714" s="1">
        <f t="shared" si="1173"/>
        <v>630.90240000000244</v>
      </c>
      <c r="T5714" s="1">
        <f t="shared" si="1174"/>
        <v>0</v>
      </c>
      <c r="U5714" s="1">
        <f t="shared" si="1175"/>
        <v>0</v>
      </c>
      <c r="V5714" s="1">
        <f t="shared" si="1176"/>
        <v>0</v>
      </c>
    </row>
    <row r="5715" spans="13:22" x14ac:dyDescent="0.25">
      <c r="M5715" s="4">
        <f t="shared" si="1169"/>
        <v>173.1</v>
      </c>
      <c r="N5715" s="4"/>
      <c r="O5715" s="1">
        <f t="shared" si="1170"/>
        <v>173.1</v>
      </c>
      <c r="P5715" s="1">
        <f t="shared" si="1171"/>
        <v>0</v>
      </c>
      <c r="Q5715" s="1" t="str">
        <f t="shared" si="1168"/>
        <v/>
      </c>
      <c r="R5715" s="1" t="str">
        <f t="shared" si="1172"/>
        <v/>
      </c>
      <c r="S5715" s="1">
        <f t="shared" si="1173"/>
        <v>630.90240000000244</v>
      </c>
      <c r="T5715" s="1">
        <f t="shared" si="1174"/>
        <v>0</v>
      </c>
      <c r="U5715" s="1">
        <f t="shared" si="1175"/>
        <v>0</v>
      </c>
      <c r="V5715" s="1">
        <f t="shared" si="1176"/>
        <v>0</v>
      </c>
    </row>
    <row r="5716" spans="13:22" x14ac:dyDescent="0.25">
      <c r="M5716" s="4">
        <f t="shared" si="1169"/>
        <v>173.1</v>
      </c>
      <c r="N5716" s="4"/>
      <c r="O5716" s="1">
        <f t="shared" si="1170"/>
        <v>173.1</v>
      </c>
      <c r="P5716" s="1">
        <f t="shared" si="1171"/>
        <v>0</v>
      </c>
      <c r="Q5716" s="1" t="str">
        <f t="shared" si="1168"/>
        <v/>
      </c>
      <c r="R5716" s="1" t="str">
        <f t="shared" si="1172"/>
        <v/>
      </c>
      <c r="S5716" s="1">
        <f t="shared" si="1173"/>
        <v>630.90240000000244</v>
      </c>
      <c r="T5716" s="1">
        <f t="shared" si="1174"/>
        <v>0</v>
      </c>
      <c r="U5716" s="1">
        <f t="shared" si="1175"/>
        <v>0</v>
      </c>
      <c r="V5716" s="1">
        <f t="shared" si="1176"/>
        <v>0</v>
      </c>
    </row>
    <row r="5717" spans="13:22" x14ac:dyDescent="0.25">
      <c r="M5717" s="4">
        <f t="shared" si="1169"/>
        <v>173.1</v>
      </c>
      <c r="N5717" s="4"/>
      <c r="O5717" s="1">
        <f t="shared" si="1170"/>
        <v>173.1</v>
      </c>
      <c r="P5717" s="1">
        <f t="shared" si="1171"/>
        <v>0</v>
      </c>
      <c r="Q5717" s="1" t="str">
        <f t="shared" si="1168"/>
        <v/>
      </c>
      <c r="R5717" s="1" t="str">
        <f t="shared" si="1172"/>
        <v/>
      </c>
      <c r="S5717" s="1">
        <f t="shared" si="1173"/>
        <v>630.90240000000244</v>
      </c>
      <c r="T5717" s="1">
        <f t="shared" si="1174"/>
        <v>0</v>
      </c>
      <c r="U5717" s="1">
        <f t="shared" si="1175"/>
        <v>0</v>
      </c>
      <c r="V5717" s="1">
        <f t="shared" si="1176"/>
        <v>0</v>
      </c>
    </row>
    <row r="5718" spans="13:22" x14ac:dyDescent="0.25">
      <c r="M5718" s="4">
        <f t="shared" si="1169"/>
        <v>173.1</v>
      </c>
      <c r="N5718" s="4"/>
      <c r="O5718" s="1">
        <f t="shared" si="1170"/>
        <v>173.1</v>
      </c>
      <c r="P5718" s="1">
        <f t="shared" si="1171"/>
        <v>0</v>
      </c>
      <c r="Q5718" s="1" t="str">
        <f t="shared" si="1168"/>
        <v/>
      </c>
      <c r="R5718" s="1" t="str">
        <f t="shared" si="1172"/>
        <v/>
      </c>
      <c r="S5718" s="1">
        <f t="shared" si="1173"/>
        <v>630.90240000000244</v>
      </c>
      <c r="T5718" s="1">
        <f t="shared" si="1174"/>
        <v>0</v>
      </c>
      <c r="U5718" s="1">
        <f t="shared" si="1175"/>
        <v>0</v>
      </c>
      <c r="V5718" s="1">
        <f t="shared" si="1176"/>
        <v>0</v>
      </c>
    </row>
    <row r="5719" spans="13:22" x14ac:dyDescent="0.25">
      <c r="M5719" s="4">
        <f t="shared" si="1169"/>
        <v>173.1</v>
      </c>
      <c r="N5719" s="4"/>
      <c r="O5719" s="1">
        <f t="shared" si="1170"/>
        <v>173.1</v>
      </c>
      <c r="P5719" s="1">
        <f t="shared" si="1171"/>
        <v>0</v>
      </c>
      <c r="Q5719" s="1" t="str">
        <f t="shared" si="1168"/>
        <v/>
      </c>
      <c r="R5719" s="1" t="str">
        <f t="shared" si="1172"/>
        <v/>
      </c>
      <c r="S5719" s="1">
        <f t="shared" si="1173"/>
        <v>630.90240000000244</v>
      </c>
      <c r="T5719" s="1">
        <f t="shared" si="1174"/>
        <v>0</v>
      </c>
      <c r="U5719" s="1">
        <f t="shared" si="1175"/>
        <v>0</v>
      </c>
      <c r="V5719" s="1">
        <f t="shared" si="1176"/>
        <v>0</v>
      </c>
    </row>
    <row r="5720" spans="13:22" x14ac:dyDescent="0.25">
      <c r="M5720" s="4">
        <f t="shared" si="1169"/>
        <v>173.1</v>
      </c>
      <c r="N5720" s="4"/>
      <c r="O5720" s="1">
        <f t="shared" si="1170"/>
        <v>173.1</v>
      </c>
      <c r="P5720" s="1">
        <f t="shared" si="1171"/>
        <v>0</v>
      </c>
      <c r="Q5720" s="1" t="str">
        <f t="shared" si="1168"/>
        <v/>
      </c>
      <c r="R5720" s="1" t="str">
        <f t="shared" si="1172"/>
        <v/>
      </c>
      <c r="S5720" s="1">
        <f t="shared" si="1173"/>
        <v>630.90240000000244</v>
      </c>
      <c r="T5720" s="1">
        <f t="shared" si="1174"/>
        <v>0</v>
      </c>
      <c r="U5720" s="1">
        <f t="shared" si="1175"/>
        <v>0</v>
      </c>
      <c r="V5720" s="1">
        <f t="shared" si="1176"/>
        <v>0</v>
      </c>
    </row>
    <row r="5721" spans="13:22" x14ac:dyDescent="0.25">
      <c r="M5721" s="4">
        <f t="shared" si="1169"/>
        <v>173.1</v>
      </c>
      <c r="N5721" s="4"/>
      <c r="O5721" s="1">
        <f t="shared" si="1170"/>
        <v>173.1</v>
      </c>
      <c r="P5721" s="1">
        <f t="shared" si="1171"/>
        <v>0</v>
      </c>
      <c r="Q5721" s="1" t="str">
        <f t="shared" si="1168"/>
        <v/>
      </c>
      <c r="R5721" s="1" t="str">
        <f t="shared" si="1172"/>
        <v/>
      </c>
      <c r="S5721" s="1">
        <f t="shared" si="1173"/>
        <v>630.90240000000244</v>
      </c>
      <c r="T5721" s="1">
        <f t="shared" si="1174"/>
        <v>0</v>
      </c>
      <c r="U5721" s="1">
        <f t="shared" si="1175"/>
        <v>0</v>
      </c>
      <c r="V5721" s="1">
        <f t="shared" si="1176"/>
        <v>0</v>
      </c>
    </row>
    <row r="5722" spans="13:22" x14ac:dyDescent="0.25">
      <c r="M5722" s="4">
        <f t="shared" si="1169"/>
        <v>173.1</v>
      </c>
      <c r="N5722" s="4"/>
      <c r="O5722" s="1">
        <f t="shared" si="1170"/>
        <v>173.1</v>
      </c>
      <c r="P5722" s="1">
        <f t="shared" si="1171"/>
        <v>0</v>
      </c>
      <c r="Q5722" s="1" t="str">
        <f t="shared" si="1168"/>
        <v/>
      </c>
      <c r="R5722" s="1" t="str">
        <f t="shared" si="1172"/>
        <v/>
      </c>
      <c r="S5722" s="1">
        <f t="shared" si="1173"/>
        <v>630.90240000000244</v>
      </c>
      <c r="T5722" s="1">
        <f t="shared" si="1174"/>
        <v>0</v>
      </c>
      <c r="U5722" s="1">
        <f t="shared" si="1175"/>
        <v>0</v>
      </c>
      <c r="V5722" s="1">
        <f t="shared" si="1176"/>
        <v>0</v>
      </c>
    </row>
    <row r="5723" spans="13:22" x14ac:dyDescent="0.25">
      <c r="M5723" s="4">
        <f t="shared" si="1169"/>
        <v>173.1</v>
      </c>
      <c r="N5723" s="4"/>
      <c r="O5723" s="1">
        <f t="shared" si="1170"/>
        <v>173.1</v>
      </c>
      <c r="P5723" s="1">
        <f t="shared" si="1171"/>
        <v>0</v>
      </c>
      <c r="Q5723" s="1" t="str">
        <f t="shared" si="1168"/>
        <v/>
      </c>
      <c r="R5723" s="1" t="str">
        <f t="shared" si="1172"/>
        <v/>
      </c>
      <c r="S5723" s="1">
        <f t="shared" si="1173"/>
        <v>630.90240000000244</v>
      </c>
      <c r="T5723" s="1">
        <f t="shared" si="1174"/>
        <v>0</v>
      </c>
      <c r="U5723" s="1">
        <f t="shared" si="1175"/>
        <v>0</v>
      </c>
      <c r="V5723" s="1">
        <f t="shared" si="1176"/>
        <v>0</v>
      </c>
    </row>
    <row r="5724" spans="13:22" x14ac:dyDescent="0.25">
      <c r="M5724" s="4">
        <f t="shared" si="1169"/>
        <v>173.1</v>
      </c>
      <c r="N5724" s="4"/>
      <c r="O5724" s="1">
        <f t="shared" si="1170"/>
        <v>173.1</v>
      </c>
      <c r="P5724" s="1">
        <f t="shared" si="1171"/>
        <v>0</v>
      </c>
      <c r="Q5724" s="1" t="str">
        <f t="shared" si="1168"/>
        <v/>
      </c>
      <c r="R5724" s="1" t="str">
        <f t="shared" si="1172"/>
        <v/>
      </c>
      <c r="S5724" s="1">
        <f t="shared" si="1173"/>
        <v>630.90240000000244</v>
      </c>
      <c r="T5724" s="1">
        <f t="shared" si="1174"/>
        <v>0</v>
      </c>
      <c r="U5724" s="1">
        <f t="shared" si="1175"/>
        <v>0</v>
      </c>
      <c r="V5724" s="1">
        <f t="shared" si="1176"/>
        <v>0</v>
      </c>
    </row>
    <row r="5725" spans="13:22" x14ac:dyDescent="0.25">
      <c r="M5725" s="4">
        <f t="shared" si="1169"/>
        <v>173.1</v>
      </c>
      <c r="N5725" s="4"/>
      <c r="O5725" s="1">
        <f t="shared" si="1170"/>
        <v>173.1</v>
      </c>
      <c r="P5725" s="1">
        <f t="shared" si="1171"/>
        <v>0</v>
      </c>
      <c r="Q5725" s="1" t="str">
        <f t="shared" si="1168"/>
        <v/>
      </c>
      <c r="R5725" s="1" t="str">
        <f t="shared" si="1172"/>
        <v/>
      </c>
      <c r="S5725" s="1">
        <f t="shared" si="1173"/>
        <v>630.90240000000244</v>
      </c>
      <c r="T5725" s="1">
        <f t="shared" si="1174"/>
        <v>0</v>
      </c>
      <c r="U5725" s="1">
        <f t="shared" si="1175"/>
        <v>0</v>
      </c>
      <c r="V5725" s="1">
        <f t="shared" si="1176"/>
        <v>0</v>
      </c>
    </row>
    <row r="5726" spans="13:22" x14ac:dyDescent="0.25">
      <c r="M5726" s="4">
        <f t="shared" si="1169"/>
        <v>173.1</v>
      </c>
      <c r="N5726" s="4"/>
      <c r="O5726" s="1">
        <f t="shared" si="1170"/>
        <v>173.1</v>
      </c>
      <c r="P5726" s="1">
        <f t="shared" si="1171"/>
        <v>0</v>
      </c>
      <c r="Q5726" s="1" t="str">
        <f t="shared" si="1168"/>
        <v/>
      </c>
      <c r="R5726" s="1" t="str">
        <f t="shared" si="1172"/>
        <v/>
      </c>
      <c r="S5726" s="1">
        <f t="shared" si="1173"/>
        <v>630.90240000000244</v>
      </c>
      <c r="T5726" s="1">
        <f t="shared" si="1174"/>
        <v>0</v>
      </c>
      <c r="U5726" s="1">
        <f t="shared" si="1175"/>
        <v>0</v>
      </c>
      <c r="V5726" s="1">
        <f t="shared" si="1176"/>
        <v>0</v>
      </c>
    </row>
    <row r="5727" spans="13:22" x14ac:dyDescent="0.25">
      <c r="M5727" s="4">
        <f t="shared" si="1169"/>
        <v>173.1</v>
      </c>
      <c r="N5727" s="4"/>
      <c r="O5727" s="1">
        <f t="shared" si="1170"/>
        <v>173.1</v>
      </c>
      <c r="P5727" s="1">
        <f t="shared" si="1171"/>
        <v>0</v>
      </c>
      <c r="Q5727" s="1" t="str">
        <f t="shared" si="1168"/>
        <v/>
      </c>
      <c r="R5727" s="1" t="str">
        <f t="shared" si="1172"/>
        <v/>
      </c>
      <c r="S5727" s="1">
        <f t="shared" si="1173"/>
        <v>630.90240000000244</v>
      </c>
      <c r="T5727" s="1">
        <f t="shared" si="1174"/>
        <v>0</v>
      </c>
      <c r="U5727" s="1">
        <f t="shared" si="1175"/>
        <v>0</v>
      </c>
      <c r="V5727" s="1">
        <f t="shared" si="1176"/>
        <v>0</v>
      </c>
    </row>
    <row r="5728" spans="13:22" x14ac:dyDescent="0.25">
      <c r="M5728" s="4">
        <f t="shared" si="1169"/>
        <v>173.1</v>
      </c>
      <c r="N5728" s="4"/>
      <c r="O5728" s="1">
        <f t="shared" si="1170"/>
        <v>173.1</v>
      </c>
      <c r="P5728" s="1">
        <f t="shared" si="1171"/>
        <v>0</v>
      </c>
      <c r="Q5728" s="1" t="str">
        <f t="shared" si="1168"/>
        <v/>
      </c>
      <c r="R5728" s="1" t="str">
        <f t="shared" si="1172"/>
        <v/>
      </c>
      <c r="S5728" s="1">
        <f t="shared" si="1173"/>
        <v>630.90240000000244</v>
      </c>
      <c r="T5728" s="1">
        <f t="shared" si="1174"/>
        <v>0</v>
      </c>
      <c r="U5728" s="1">
        <f t="shared" si="1175"/>
        <v>0</v>
      </c>
      <c r="V5728" s="1">
        <f t="shared" si="1176"/>
        <v>0</v>
      </c>
    </row>
    <row r="5729" spans="13:22" x14ac:dyDescent="0.25">
      <c r="M5729" s="4">
        <f t="shared" si="1169"/>
        <v>173.1</v>
      </c>
      <c r="N5729" s="4"/>
      <c r="O5729" s="1">
        <f t="shared" si="1170"/>
        <v>173.1</v>
      </c>
      <c r="P5729" s="1">
        <f t="shared" si="1171"/>
        <v>0</v>
      </c>
      <c r="Q5729" s="1" t="str">
        <f t="shared" si="1168"/>
        <v/>
      </c>
      <c r="R5729" s="1" t="str">
        <f t="shared" si="1172"/>
        <v/>
      </c>
      <c r="S5729" s="1">
        <f t="shared" si="1173"/>
        <v>630.90240000000244</v>
      </c>
      <c r="T5729" s="1">
        <f t="shared" si="1174"/>
        <v>0</v>
      </c>
      <c r="U5729" s="1">
        <f t="shared" si="1175"/>
        <v>0</v>
      </c>
      <c r="V5729" s="1">
        <f t="shared" si="1176"/>
        <v>0</v>
      </c>
    </row>
    <row r="5730" spans="13:22" x14ac:dyDescent="0.25">
      <c r="M5730" s="4">
        <f t="shared" si="1169"/>
        <v>173.1</v>
      </c>
      <c r="N5730" s="4"/>
      <c r="O5730" s="1">
        <f t="shared" si="1170"/>
        <v>173.1</v>
      </c>
      <c r="P5730" s="1">
        <f t="shared" si="1171"/>
        <v>0</v>
      </c>
      <c r="Q5730" s="1" t="str">
        <f t="shared" si="1168"/>
        <v/>
      </c>
      <c r="R5730" s="1" t="str">
        <f t="shared" si="1172"/>
        <v/>
      </c>
      <c r="S5730" s="1">
        <f t="shared" si="1173"/>
        <v>630.90240000000244</v>
      </c>
      <c r="T5730" s="1">
        <f t="shared" si="1174"/>
        <v>0</v>
      </c>
      <c r="U5730" s="1">
        <f t="shared" si="1175"/>
        <v>0</v>
      </c>
      <c r="V5730" s="1">
        <f t="shared" si="1176"/>
        <v>0</v>
      </c>
    </row>
    <row r="5731" spans="13:22" x14ac:dyDescent="0.25">
      <c r="M5731" s="4">
        <f t="shared" si="1169"/>
        <v>173.1</v>
      </c>
      <c r="N5731" s="4"/>
      <c r="O5731" s="1">
        <f t="shared" si="1170"/>
        <v>173.1</v>
      </c>
      <c r="P5731" s="1">
        <f t="shared" si="1171"/>
        <v>0</v>
      </c>
      <c r="Q5731" s="1" t="str">
        <f t="shared" si="1168"/>
        <v/>
      </c>
      <c r="R5731" s="1" t="str">
        <f t="shared" si="1172"/>
        <v/>
      </c>
      <c r="S5731" s="1">
        <f t="shared" si="1173"/>
        <v>630.90240000000244</v>
      </c>
      <c r="T5731" s="1">
        <f t="shared" si="1174"/>
        <v>0</v>
      </c>
      <c r="U5731" s="1">
        <f t="shared" si="1175"/>
        <v>0</v>
      </c>
      <c r="V5731" s="1">
        <f t="shared" si="1176"/>
        <v>0</v>
      </c>
    </row>
    <row r="5732" spans="13:22" x14ac:dyDescent="0.25">
      <c r="M5732" s="4">
        <f t="shared" si="1169"/>
        <v>173.1</v>
      </c>
      <c r="N5732" s="4"/>
      <c r="O5732" s="1">
        <f t="shared" si="1170"/>
        <v>173.1</v>
      </c>
      <c r="P5732" s="1">
        <f t="shared" si="1171"/>
        <v>0</v>
      </c>
      <c r="Q5732" s="1" t="str">
        <f t="shared" si="1168"/>
        <v/>
      </c>
      <c r="R5732" s="1" t="str">
        <f t="shared" si="1172"/>
        <v/>
      </c>
      <c r="S5732" s="1">
        <f t="shared" si="1173"/>
        <v>630.90240000000244</v>
      </c>
      <c r="T5732" s="1">
        <f t="shared" si="1174"/>
        <v>0</v>
      </c>
      <c r="U5732" s="1">
        <f t="shared" si="1175"/>
        <v>0</v>
      </c>
      <c r="V5732" s="1">
        <f t="shared" si="1176"/>
        <v>0</v>
      </c>
    </row>
    <row r="5733" spans="13:22" x14ac:dyDescent="0.25">
      <c r="M5733" s="4">
        <f t="shared" si="1169"/>
        <v>173.1</v>
      </c>
      <c r="N5733" s="4"/>
      <c r="O5733" s="1">
        <f t="shared" si="1170"/>
        <v>173.1</v>
      </c>
      <c r="P5733" s="1">
        <f t="shared" si="1171"/>
        <v>0</v>
      </c>
      <c r="Q5733" s="1" t="str">
        <f t="shared" si="1168"/>
        <v/>
      </c>
      <c r="R5733" s="1" t="str">
        <f t="shared" si="1172"/>
        <v/>
      </c>
      <c r="S5733" s="1">
        <f t="shared" si="1173"/>
        <v>630.90240000000244</v>
      </c>
      <c r="T5733" s="1">
        <f t="shared" si="1174"/>
        <v>0</v>
      </c>
      <c r="U5733" s="1">
        <f t="shared" si="1175"/>
        <v>0</v>
      </c>
      <c r="V5733" s="1">
        <f t="shared" si="1176"/>
        <v>0</v>
      </c>
    </row>
    <row r="5734" spans="13:22" x14ac:dyDescent="0.25">
      <c r="M5734" s="4">
        <f t="shared" si="1169"/>
        <v>173.1</v>
      </c>
      <c r="N5734" s="4"/>
      <c r="O5734" s="1">
        <f t="shared" si="1170"/>
        <v>173.1</v>
      </c>
      <c r="P5734" s="1">
        <f t="shared" si="1171"/>
        <v>0</v>
      </c>
      <c r="Q5734" s="1" t="str">
        <f t="shared" si="1168"/>
        <v/>
      </c>
      <c r="R5734" s="1" t="str">
        <f t="shared" si="1172"/>
        <v/>
      </c>
      <c r="S5734" s="1">
        <f t="shared" si="1173"/>
        <v>630.90240000000244</v>
      </c>
      <c r="T5734" s="1">
        <f t="shared" si="1174"/>
        <v>0</v>
      </c>
      <c r="U5734" s="1">
        <f t="shared" si="1175"/>
        <v>0</v>
      </c>
      <c r="V5734" s="1">
        <f t="shared" si="1176"/>
        <v>0</v>
      </c>
    </row>
    <row r="5735" spans="13:22" x14ac:dyDescent="0.25">
      <c r="M5735" s="4">
        <f t="shared" si="1169"/>
        <v>173.1</v>
      </c>
      <c r="N5735" s="4"/>
      <c r="O5735" s="1">
        <f t="shared" si="1170"/>
        <v>173.1</v>
      </c>
      <c r="P5735" s="1">
        <f t="shared" si="1171"/>
        <v>0</v>
      </c>
      <c r="Q5735" s="1" t="str">
        <f t="shared" si="1168"/>
        <v/>
      </c>
      <c r="R5735" s="1" t="str">
        <f t="shared" si="1172"/>
        <v/>
      </c>
      <c r="S5735" s="1">
        <f t="shared" si="1173"/>
        <v>630.90240000000244</v>
      </c>
      <c r="T5735" s="1">
        <f t="shared" si="1174"/>
        <v>0</v>
      </c>
      <c r="U5735" s="1">
        <f t="shared" si="1175"/>
        <v>0</v>
      </c>
      <c r="V5735" s="1">
        <f t="shared" si="1176"/>
        <v>0</v>
      </c>
    </row>
    <row r="5736" spans="13:22" x14ac:dyDescent="0.25">
      <c r="M5736" s="4">
        <f t="shared" si="1169"/>
        <v>173.1</v>
      </c>
      <c r="N5736" s="4"/>
      <c r="O5736" s="1">
        <f t="shared" si="1170"/>
        <v>173.1</v>
      </c>
      <c r="P5736" s="1">
        <f t="shared" si="1171"/>
        <v>0</v>
      </c>
      <c r="Q5736" s="1" t="str">
        <f t="shared" si="1168"/>
        <v/>
      </c>
      <c r="R5736" s="1" t="str">
        <f t="shared" si="1172"/>
        <v/>
      </c>
      <c r="S5736" s="1">
        <f t="shared" si="1173"/>
        <v>630.90240000000244</v>
      </c>
      <c r="T5736" s="1">
        <f t="shared" si="1174"/>
        <v>0</v>
      </c>
      <c r="U5736" s="1">
        <f t="shared" si="1175"/>
        <v>0</v>
      </c>
      <c r="V5736" s="1">
        <f t="shared" si="1176"/>
        <v>0</v>
      </c>
    </row>
    <row r="5737" spans="13:22" x14ac:dyDescent="0.25">
      <c r="M5737" s="4">
        <f t="shared" si="1169"/>
        <v>173.1</v>
      </c>
      <c r="N5737" s="4"/>
      <c r="O5737" s="1">
        <f t="shared" si="1170"/>
        <v>173.1</v>
      </c>
      <c r="P5737" s="1">
        <f t="shared" si="1171"/>
        <v>0</v>
      </c>
      <c r="Q5737" s="1" t="str">
        <f t="shared" si="1168"/>
        <v/>
      </c>
      <c r="R5737" s="1" t="str">
        <f t="shared" si="1172"/>
        <v/>
      </c>
      <c r="S5737" s="1">
        <f t="shared" si="1173"/>
        <v>630.90240000000244</v>
      </c>
      <c r="T5737" s="1">
        <f t="shared" si="1174"/>
        <v>0</v>
      </c>
      <c r="U5737" s="1">
        <f t="shared" si="1175"/>
        <v>0</v>
      </c>
      <c r="V5737" s="1">
        <f t="shared" si="1176"/>
        <v>0</v>
      </c>
    </row>
    <row r="5738" spans="13:22" x14ac:dyDescent="0.25">
      <c r="M5738" s="4">
        <f t="shared" si="1169"/>
        <v>173.1</v>
      </c>
      <c r="N5738" s="4"/>
      <c r="O5738" s="1">
        <f t="shared" si="1170"/>
        <v>173.1</v>
      </c>
      <c r="P5738" s="1">
        <f t="shared" si="1171"/>
        <v>0</v>
      </c>
      <c r="Q5738" s="1" t="str">
        <f t="shared" si="1168"/>
        <v/>
      </c>
      <c r="R5738" s="1" t="str">
        <f t="shared" si="1172"/>
        <v/>
      </c>
      <c r="S5738" s="1">
        <f t="shared" si="1173"/>
        <v>630.90240000000244</v>
      </c>
      <c r="T5738" s="1">
        <f t="shared" si="1174"/>
        <v>0</v>
      </c>
      <c r="U5738" s="1">
        <f t="shared" si="1175"/>
        <v>0</v>
      </c>
      <c r="V5738" s="1">
        <f t="shared" si="1176"/>
        <v>0</v>
      </c>
    </row>
    <row r="5739" spans="13:22" x14ac:dyDescent="0.25">
      <c r="M5739" s="4">
        <f t="shared" si="1169"/>
        <v>173.1</v>
      </c>
      <c r="N5739" s="4"/>
      <c r="O5739" s="1">
        <f t="shared" si="1170"/>
        <v>173.1</v>
      </c>
      <c r="P5739" s="1">
        <f t="shared" si="1171"/>
        <v>0</v>
      </c>
      <c r="Q5739" s="1" t="str">
        <f t="shared" si="1168"/>
        <v/>
      </c>
      <c r="R5739" s="1" t="str">
        <f t="shared" si="1172"/>
        <v/>
      </c>
      <c r="S5739" s="1">
        <f t="shared" si="1173"/>
        <v>630.90240000000244</v>
      </c>
      <c r="T5739" s="1">
        <f t="shared" si="1174"/>
        <v>0</v>
      </c>
      <c r="U5739" s="1">
        <f t="shared" si="1175"/>
        <v>0</v>
      </c>
      <c r="V5739" s="1">
        <f t="shared" si="1176"/>
        <v>0</v>
      </c>
    </row>
    <row r="5740" spans="13:22" x14ac:dyDescent="0.25">
      <c r="M5740" s="4">
        <f t="shared" si="1169"/>
        <v>173.1</v>
      </c>
      <c r="N5740" s="4"/>
      <c r="O5740" s="1">
        <f t="shared" si="1170"/>
        <v>173.1</v>
      </c>
      <c r="P5740" s="1">
        <f t="shared" si="1171"/>
        <v>0</v>
      </c>
      <c r="Q5740" s="1" t="str">
        <f t="shared" si="1168"/>
        <v/>
      </c>
      <c r="R5740" s="1" t="str">
        <f t="shared" si="1172"/>
        <v/>
      </c>
      <c r="S5740" s="1">
        <f t="shared" si="1173"/>
        <v>630.90240000000244</v>
      </c>
      <c r="T5740" s="1">
        <f t="shared" si="1174"/>
        <v>0</v>
      </c>
      <c r="U5740" s="1">
        <f t="shared" si="1175"/>
        <v>0</v>
      </c>
      <c r="V5740" s="1">
        <f t="shared" si="1176"/>
        <v>0</v>
      </c>
    </row>
    <row r="5741" spans="13:22" x14ac:dyDescent="0.25">
      <c r="M5741" s="4">
        <f t="shared" si="1169"/>
        <v>173.1</v>
      </c>
      <c r="N5741" s="4"/>
      <c r="O5741" s="1">
        <f t="shared" si="1170"/>
        <v>173.1</v>
      </c>
      <c r="P5741" s="1">
        <f t="shared" si="1171"/>
        <v>0</v>
      </c>
      <c r="Q5741" s="1" t="str">
        <f t="shared" si="1168"/>
        <v/>
      </c>
      <c r="R5741" s="1" t="str">
        <f t="shared" si="1172"/>
        <v/>
      </c>
      <c r="S5741" s="1">
        <f t="shared" si="1173"/>
        <v>630.90240000000244</v>
      </c>
      <c r="T5741" s="1">
        <f t="shared" si="1174"/>
        <v>0</v>
      </c>
      <c r="U5741" s="1">
        <f t="shared" si="1175"/>
        <v>0</v>
      </c>
      <c r="V5741" s="1">
        <f t="shared" si="1176"/>
        <v>0</v>
      </c>
    </row>
    <row r="5742" spans="13:22" x14ac:dyDescent="0.25">
      <c r="M5742" s="4">
        <f t="shared" si="1169"/>
        <v>173.1</v>
      </c>
      <c r="N5742" s="4"/>
      <c r="O5742" s="1">
        <f t="shared" si="1170"/>
        <v>173.1</v>
      </c>
      <c r="P5742" s="1">
        <f t="shared" si="1171"/>
        <v>0</v>
      </c>
      <c r="Q5742" s="1" t="str">
        <f t="shared" si="1168"/>
        <v/>
      </c>
      <c r="R5742" s="1" t="str">
        <f t="shared" si="1172"/>
        <v/>
      </c>
      <c r="S5742" s="1">
        <f t="shared" si="1173"/>
        <v>630.90240000000244</v>
      </c>
      <c r="T5742" s="1">
        <f t="shared" si="1174"/>
        <v>0</v>
      </c>
      <c r="U5742" s="1">
        <f t="shared" si="1175"/>
        <v>0</v>
      </c>
      <c r="V5742" s="1">
        <f t="shared" si="1176"/>
        <v>0</v>
      </c>
    </row>
    <row r="5743" spans="13:22" x14ac:dyDescent="0.25">
      <c r="M5743" s="4">
        <f t="shared" si="1169"/>
        <v>173.1</v>
      </c>
      <c r="N5743" s="4"/>
      <c r="O5743" s="1">
        <f t="shared" si="1170"/>
        <v>173.1</v>
      </c>
      <c r="P5743" s="1">
        <f t="shared" si="1171"/>
        <v>0</v>
      </c>
      <c r="Q5743" s="1" t="str">
        <f t="shared" si="1168"/>
        <v/>
      </c>
      <c r="R5743" s="1" t="str">
        <f t="shared" si="1172"/>
        <v/>
      </c>
      <c r="S5743" s="1">
        <f t="shared" si="1173"/>
        <v>630.90240000000244</v>
      </c>
      <c r="T5743" s="1">
        <f t="shared" si="1174"/>
        <v>0</v>
      </c>
      <c r="U5743" s="1">
        <f t="shared" si="1175"/>
        <v>0</v>
      </c>
      <c r="V5743" s="1">
        <f t="shared" si="1176"/>
        <v>0</v>
      </c>
    </row>
    <row r="5744" spans="13:22" x14ac:dyDescent="0.25">
      <c r="M5744" s="4">
        <f t="shared" si="1169"/>
        <v>173.1</v>
      </c>
      <c r="N5744" s="4"/>
      <c r="O5744" s="1">
        <f t="shared" si="1170"/>
        <v>173.1</v>
      </c>
      <c r="P5744" s="1">
        <f t="shared" si="1171"/>
        <v>0</v>
      </c>
      <c r="Q5744" s="1" t="str">
        <f t="shared" si="1168"/>
        <v/>
      </c>
      <c r="R5744" s="1" t="str">
        <f t="shared" si="1172"/>
        <v/>
      </c>
      <c r="S5744" s="1">
        <f t="shared" si="1173"/>
        <v>630.90240000000244</v>
      </c>
      <c r="T5744" s="1">
        <f t="shared" si="1174"/>
        <v>0</v>
      </c>
      <c r="U5744" s="1">
        <f t="shared" si="1175"/>
        <v>0</v>
      </c>
      <c r="V5744" s="1">
        <f t="shared" si="1176"/>
        <v>0</v>
      </c>
    </row>
    <row r="5745" spans="13:22" x14ac:dyDescent="0.25">
      <c r="M5745" s="4">
        <f t="shared" si="1169"/>
        <v>173.1</v>
      </c>
      <c r="N5745" s="4"/>
      <c r="O5745" s="1">
        <f t="shared" si="1170"/>
        <v>173.1</v>
      </c>
      <c r="P5745" s="1">
        <f t="shared" si="1171"/>
        <v>0</v>
      </c>
      <c r="Q5745" s="1" t="str">
        <f t="shared" si="1168"/>
        <v/>
      </c>
      <c r="R5745" s="1" t="str">
        <f t="shared" si="1172"/>
        <v/>
      </c>
      <c r="S5745" s="1">
        <f t="shared" si="1173"/>
        <v>630.90240000000244</v>
      </c>
      <c r="T5745" s="1">
        <f t="shared" si="1174"/>
        <v>0</v>
      </c>
      <c r="U5745" s="1">
        <f t="shared" si="1175"/>
        <v>0</v>
      </c>
      <c r="V5745" s="1">
        <f t="shared" si="1176"/>
        <v>0</v>
      </c>
    </row>
    <row r="5746" spans="13:22" x14ac:dyDescent="0.25">
      <c r="M5746" s="4">
        <f t="shared" si="1169"/>
        <v>173.1</v>
      </c>
      <c r="N5746" s="4"/>
      <c r="O5746" s="1">
        <f t="shared" si="1170"/>
        <v>173.1</v>
      </c>
      <c r="P5746" s="1">
        <f t="shared" si="1171"/>
        <v>0</v>
      </c>
      <c r="Q5746" s="1" t="str">
        <f t="shared" ref="Q5746:Q5809" si="1177">IF(H5746&lt;&gt;"",IF(H5746=H5745,"",H5746),IF(H5744="","",MAX(H5745,Q5745)))</f>
        <v/>
      </c>
      <c r="R5746" s="1" t="str">
        <f t="shared" si="1172"/>
        <v/>
      </c>
      <c r="S5746" s="1">
        <f t="shared" si="1173"/>
        <v>630.90240000000244</v>
      </c>
      <c r="T5746" s="1">
        <f t="shared" si="1174"/>
        <v>0</v>
      </c>
      <c r="U5746" s="1">
        <f t="shared" si="1175"/>
        <v>0</v>
      </c>
      <c r="V5746" s="1">
        <f t="shared" si="1176"/>
        <v>0</v>
      </c>
    </row>
    <row r="5747" spans="13:22" x14ac:dyDescent="0.25">
      <c r="M5747" s="4">
        <f t="shared" si="1169"/>
        <v>173.1</v>
      </c>
      <c r="N5747" s="4"/>
      <c r="O5747" s="1">
        <f t="shared" si="1170"/>
        <v>173.1</v>
      </c>
      <c r="P5747" s="1">
        <f t="shared" si="1171"/>
        <v>0</v>
      </c>
      <c r="Q5747" s="1" t="str">
        <f t="shared" si="1177"/>
        <v/>
      </c>
      <c r="R5747" s="1" t="str">
        <f t="shared" si="1172"/>
        <v/>
      </c>
      <c r="S5747" s="1">
        <f t="shared" si="1173"/>
        <v>630.90240000000244</v>
      </c>
      <c r="T5747" s="1">
        <f t="shared" si="1174"/>
        <v>0</v>
      </c>
      <c r="U5747" s="1">
        <f t="shared" si="1175"/>
        <v>0</v>
      </c>
      <c r="V5747" s="1">
        <f t="shared" si="1176"/>
        <v>0</v>
      </c>
    </row>
    <row r="5748" spans="13:22" x14ac:dyDescent="0.25">
      <c r="M5748" s="4">
        <f t="shared" si="1169"/>
        <v>173.1</v>
      </c>
      <c r="N5748" s="4"/>
      <c r="O5748" s="1">
        <f t="shared" si="1170"/>
        <v>173.1</v>
      </c>
      <c r="P5748" s="1">
        <f t="shared" si="1171"/>
        <v>0</v>
      </c>
      <c r="Q5748" s="1" t="str">
        <f t="shared" si="1177"/>
        <v/>
      </c>
      <c r="R5748" s="1" t="str">
        <f t="shared" si="1172"/>
        <v/>
      </c>
      <c r="S5748" s="1">
        <f t="shared" si="1173"/>
        <v>630.90240000000244</v>
      </c>
      <c r="T5748" s="1">
        <f t="shared" si="1174"/>
        <v>0</v>
      </c>
      <c r="U5748" s="1">
        <f t="shared" si="1175"/>
        <v>0</v>
      </c>
      <c r="V5748" s="1">
        <f t="shared" si="1176"/>
        <v>0</v>
      </c>
    </row>
    <row r="5749" spans="13:22" x14ac:dyDescent="0.25">
      <c r="M5749" s="4">
        <f t="shared" si="1169"/>
        <v>173.1</v>
      </c>
      <c r="N5749" s="4"/>
      <c r="O5749" s="1">
        <f t="shared" si="1170"/>
        <v>173.1</v>
      </c>
      <c r="P5749" s="1">
        <f t="shared" si="1171"/>
        <v>0</v>
      </c>
      <c r="Q5749" s="1" t="str">
        <f t="shared" si="1177"/>
        <v/>
      </c>
      <c r="R5749" s="1" t="str">
        <f t="shared" si="1172"/>
        <v/>
      </c>
      <c r="S5749" s="1">
        <f t="shared" si="1173"/>
        <v>630.90240000000244</v>
      </c>
      <c r="T5749" s="1">
        <f t="shared" si="1174"/>
        <v>0</v>
      </c>
      <c r="U5749" s="1">
        <f t="shared" si="1175"/>
        <v>0</v>
      </c>
      <c r="V5749" s="1">
        <f t="shared" si="1176"/>
        <v>0</v>
      </c>
    </row>
    <row r="5750" spans="13:22" x14ac:dyDescent="0.25">
      <c r="M5750" s="4">
        <f t="shared" si="1169"/>
        <v>173.1</v>
      </c>
      <c r="N5750" s="4"/>
      <c r="O5750" s="1">
        <f t="shared" si="1170"/>
        <v>173.1</v>
      </c>
      <c r="P5750" s="1">
        <f t="shared" si="1171"/>
        <v>0</v>
      </c>
      <c r="Q5750" s="1" t="str">
        <f t="shared" si="1177"/>
        <v/>
      </c>
      <c r="R5750" s="1" t="str">
        <f t="shared" si="1172"/>
        <v/>
      </c>
      <c r="S5750" s="1">
        <f t="shared" si="1173"/>
        <v>630.90240000000244</v>
      </c>
      <c r="T5750" s="1">
        <f t="shared" si="1174"/>
        <v>0</v>
      </c>
      <c r="U5750" s="1">
        <f t="shared" si="1175"/>
        <v>0</v>
      </c>
      <c r="V5750" s="1">
        <f t="shared" si="1176"/>
        <v>0</v>
      </c>
    </row>
    <row r="5751" spans="13:22" x14ac:dyDescent="0.25">
      <c r="M5751" s="4">
        <f t="shared" si="1169"/>
        <v>173.1</v>
      </c>
      <c r="N5751" s="4"/>
      <c r="O5751" s="1">
        <f t="shared" si="1170"/>
        <v>173.1</v>
      </c>
      <c r="P5751" s="1">
        <f t="shared" si="1171"/>
        <v>0</v>
      </c>
      <c r="Q5751" s="1" t="str">
        <f t="shared" si="1177"/>
        <v/>
      </c>
      <c r="R5751" s="1" t="str">
        <f t="shared" si="1172"/>
        <v/>
      </c>
      <c r="S5751" s="1">
        <f t="shared" si="1173"/>
        <v>630.90240000000244</v>
      </c>
      <c r="T5751" s="1">
        <f t="shared" si="1174"/>
        <v>0</v>
      </c>
      <c r="U5751" s="1">
        <f t="shared" si="1175"/>
        <v>0</v>
      </c>
      <c r="V5751" s="1">
        <f t="shared" si="1176"/>
        <v>0</v>
      </c>
    </row>
    <row r="5752" spans="13:22" x14ac:dyDescent="0.25">
      <c r="M5752" s="4">
        <f t="shared" si="1169"/>
        <v>173.1</v>
      </c>
      <c r="N5752" s="4"/>
      <c r="O5752" s="1">
        <f t="shared" si="1170"/>
        <v>173.1</v>
      </c>
      <c r="P5752" s="1">
        <f t="shared" si="1171"/>
        <v>0</v>
      </c>
      <c r="Q5752" s="1" t="str">
        <f t="shared" si="1177"/>
        <v/>
      </c>
      <c r="R5752" s="1" t="str">
        <f t="shared" si="1172"/>
        <v/>
      </c>
      <c r="S5752" s="1">
        <f t="shared" si="1173"/>
        <v>630.90240000000244</v>
      </c>
      <c r="T5752" s="1">
        <f t="shared" si="1174"/>
        <v>0</v>
      </c>
      <c r="U5752" s="1">
        <f t="shared" si="1175"/>
        <v>0</v>
      </c>
      <c r="V5752" s="1">
        <f t="shared" si="1176"/>
        <v>0</v>
      </c>
    </row>
    <row r="5753" spans="13:22" x14ac:dyDescent="0.25">
      <c r="M5753" s="4">
        <f t="shared" si="1169"/>
        <v>173.1</v>
      </c>
      <c r="N5753" s="4"/>
      <c r="O5753" s="1">
        <f t="shared" si="1170"/>
        <v>173.1</v>
      </c>
      <c r="P5753" s="1">
        <f t="shared" si="1171"/>
        <v>0</v>
      </c>
      <c r="Q5753" s="1" t="str">
        <f t="shared" si="1177"/>
        <v/>
      </c>
      <c r="R5753" s="1" t="str">
        <f t="shared" si="1172"/>
        <v/>
      </c>
      <c r="S5753" s="1">
        <f t="shared" si="1173"/>
        <v>630.90240000000244</v>
      </c>
      <c r="T5753" s="1">
        <f t="shared" si="1174"/>
        <v>0</v>
      </c>
      <c r="U5753" s="1">
        <f t="shared" si="1175"/>
        <v>0</v>
      </c>
      <c r="V5753" s="1">
        <f t="shared" si="1176"/>
        <v>0</v>
      </c>
    </row>
    <row r="5754" spans="13:22" x14ac:dyDescent="0.25">
      <c r="M5754" s="4">
        <f t="shared" si="1169"/>
        <v>173.1</v>
      </c>
      <c r="N5754" s="4"/>
      <c r="O5754" s="1">
        <f t="shared" si="1170"/>
        <v>173.1</v>
      </c>
      <c r="P5754" s="1">
        <f t="shared" si="1171"/>
        <v>0</v>
      </c>
      <c r="Q5754" s="1" t="str">
        <f t="shared" si="1177"/>
        <v/>
      </c>
      <c r="R5754" s="1" t="str">
        <f t="shared" si="1172"/>
        <v/>
      </c>
      <c r="S5754" s="1">
        <f t="shared" si="1173"/>
        <v>630.90240000000244</v>
      </c>
      <c r="T5754" s="1">
        <f t="shared" si="1174"/>
        <v>0</v>
      </c>
      <c r="U5754" s="1">
        <f t="shared" si="1175"/>
        <v>0</v>
      </c>
      <c r="V5754" s="1">
        <f t="shared" si="1176"/>
        <v>0</v>
      </c>
    </row>
    <row r="5755" spans="13:22" x14ac:dyDescent="0.25">
      <c r="M5755" s="4">
        <f t="shared" si="1169"/>
        <v>173.1</v>
      </c>
      <c r="N5755" s="4"/>
      <c r="O5755" s="1">
        <f t="shared" si="1170"/>
        <v>173.1</v>
      </c>
      <c r="P5755" s="1">
        <f t="shared" si="1171"/>
        <v>0</v>
      </c>
      <c r="Q5755" s="1" t="str">
        <f t="shared" si="1177"/>
        <v/>
      </c>
      <c r="R5755" s="1" t="str">
        <f t="shared" si="1172"/>
        <v/>
      </c>
      <c r="S5755" s="1">
        <f t="shared" si="1173"/>
        <v>630.90240000000244</v>
      </c>
      <c r="T5755" s="1">
        <f t="shared" si="1174"/>
        <v>0</v>
      </c>
      <c r="U5755" s="1">
        <f t="shared" si="1175"/>
        <v>0</v>
      </c>
      <c r="V5755" s="1">
        <f t="shared" si="1176"/>
        <v>0</v>
      </c>
    </row>
    <row r="5756" spans="13:22" x14ac:dyDescent="0.25">
      <c r="M5756" s="4">
        <f t="shared" si="1169"/>
        <v>173.1</v>
      </c>
      <c r="N5756" s="4"/>
      <c r="O5756" s="1">
        <f t="shared" si="1170"/>
        <v>173.1</v>
      </c>
      <c r="P5756" s="1">
        <f t="shared" si="1171"/>
        <v>0</v>
      </c>
      <c r="Q5756" s="1" t="str">
        <f t="shared" si="1177"/>
        <v/>
      </c>
      <c r="R5756" s="1" t="str">
        <f t="shared" si="1172"/>
        <v/>
      </c>
      <c r="S5756" s="1">
        <f t="shared" si="1173"/>
        <v>630.90240000000244</v>
      </c>
      <c r="T5756" s="1">
        <f t="shared" si="1174"/>
        <v>0</v>
      </c>
      <c r="U5756" s="1">
        <f t="shared" si="1175"/>
        <v>0</v>
      </c>
      <c r="V5756" s="1">
        <f t="shared" si="1176"/>
        <v>0</v>
      </c>
    </row>
    <row r="5757" spans="13:22" x14ac:dyDescent="0.25">
      <c r="M5757" s="4">
        <f t="shared" si="1169"/>
        <v>173.1</v>
      </c>
      <c r="N5757" s="4"/>
      <c r="O5757" s="1">
        <f t="shared" si="1170"/>
        <v>173.1</v>
      </c>
      <c r="P5757" s="1">
        <f t="shared" si="1171"/>
        <v>0</v>
      </c>
      <c r="Q5757" s="1" t="str">
        <f t="shared" si="1177"/>
        <v/>
      </c>
      <c r="R5757" s="1" t="str">
        <f t="shared" si="1172"/>
        <v/>
      </c>
      <c r="S5757" s="1">
        <f t="shared" si="1173"/>
        <v>630.90240000000244</v>
      </c>
      <c r="T5757" s="1">
        <f t="shared" si="1174"/>
        <v>0</v>
      </c>
      <c r="U5757" s="1">
        <f t="shared" si="1175"/>
        <v>0</v>
      </c>
      <c r="V5757" s="1">
        <f t="shared" si="1176"/>
        <v>0</v>
      </c>
    </row>
    <row r="5758" spans="13:22" x14ac:dyDescent="0.25">
      <c r="M5758" s="4">
        <f t="shared" si="1169"/>
        <v>173.1</v>
      </c>
      <c r="N5758" s="4"/>
      <c r="O5758" s="1">
        <f t="shared" si="1170"/>
        <v>173.1</v>
      </c>
      <c r="P5758" s="1">
        <f t="shared" si="1171"/>
        <v>0</v>
      </c>
      <c r="Q5758" s="1" t="str">
        <f t="shared" si="1177"/>
        <v/>
      </c>
      <c r="R5758" s="1" t="str">
        <f t="shared" si="1172"/>
        <v/>
      </c>
      <c r="S5758" s="1">
        <f t="shared" si="1173"/>
        <v>630.90240000000244</v>
      </c>
      <c r="T5758" s="1">
        <f t="shared" si="1174"/>
        <v>0</v>
      </c>
      <c r="U5758" s="1">
        <f t="shared" si="1175"/>
        <v>0</v>
      </c>
      <c r="V5758" s="1">
        <f t="shared" si="1176"/>
        <v>0</v>
      </c>
    </row>
    <row r="5759" spans="13:22" x14ac:dyDescent="0.25">
      <c r="M5759" s="4">
        <f t="shared" si="1169"/>
        <v>173.1</v>
      </c>
      <c r="N5759" s="4"/>
      <c r="O5759" s="1">
        <f t="shared" si="1170"/>
        <v>173.1</v>
      </c>
      <c r="P5759" s="1">
        <f t="shared" si="1171"/>
        <v>0</v>
      </c>
      <c r="Q5759" s="1" t="str">
        <f t="shared" si="1177"/>
        <v/>
      </c>
      <c r="R5759" s="1" t="str">
        <f t="shared" si="1172"/>
        <v/>
      </c>
      <c r="S5759" s="1">
        <f t="shared" si="1173"/>
        <v>630.90240000000244</v>
      </c>
      <c r="T5759" s="1">
        <f t="shared" si="1174"/>
        <v>0</v>
      </c>
      <c r="U5759" s="1">
        <f t="shared" si="1175"/>
        <v>0</v>
      </c>
      <c r="V5759" s="1">
        <f t="shared" si="1176"/>
        <v>0</v>
      </c>
    </row>
    <row r="5760" spans="13:22" x14ac:dyDescent="0.25">
      <c r="M5760" s="4">
        <f t="shared" si="1169"/>
        <v>173.1</v>
      </c>
      <c r="N5760" s="4"/>
      <c r="O5760" s="1">
        <f t="shared" si="1170"/>
        <v>173.1</v>
      </c>
      <c r="P5760" s="1">
        <f t="shared" si="1171"/>
        <v>0</v>
      </c>
      <c r="Q5760" s="1" t="str">
        <f t="shared" si="1177"/>
        <v/>
      </c>
      <c r="R5760" s="1" t="str">
        <f t="shared" si="1172"/>
        <v/>
      </c>
      <c r="S5760" s="1">
        <f t="shared" si="1173"/>
        <v>630.90240000000244</v>
      </c>
      <c r="T5760" s="1">
        <f t="shared" si="1174"/>
        <v>0</v>
      </c>
      <c r="U5760" s="1">
        <f t="shared" si="1175"/>
        <v>0</v>
      </c>
      <c r="V5760" s="1">
        <f t="shared" si="1176"/>
        <v>0</v>
      </c>
    </row>
    <row r="5761" spans="13:22" x14ac:dyDescent="0.25">
      <c r="M5761" s="4">
        <f t="shared" si="1169"/>
        <v>173.1</v>
      </c>
      <c r="N5761" s="4"/>
      <c r="O5761" s="1">
        <f t="shared" si="1170"/>
        <v>173.1</v>
      </c>
      <c r="P5761" s="1">
        <f t="shared" si="1171"/>
        <v>0</v>
      </c>
      <c r="Q5761" s="1" t="str">
        <f t="shared" si="1177"/>
        <v/>
      </c>
      <c r="R5761" s="1" t="str">
        <f t="shared" si="1172"/>
        <v/>
      </c>
      <c r="S5761" s="1">
        <f t="shared" si="1173"/>
        <v>630.90240000000244</v>
      </c>
      <c r="T5761" s="1">
        <f t="shared" si="1174"/>
        <v>0</v>
      </c>
      <c r="U5761" s="1">
        <f t="shared" si="1175"/>
        <v>0</v>
      </c>
      <c r="V5761" s="1">
        <f t="shared" si="1176"/>
        <v>0</v>
      </c>
    </row>
    <row r="5762" spans="13:22" x14ac:dyDescent="0.25">
      <c r="M5762" s="4">
        <f t="shared" si="1169"/>
        <v>173.1</v>
      </c>
      <c r="N5762" s="4"/>
      <c r="O5762" s="1">
        <f t="shared" si="1170"/>
        <v>173.1</v>
      </c>
      <c r="P5762" s="1">
        <f t="shared" si="1171"/>
        <v>0</v>
      </c>
      <c r="Q5762" s="1" t="str">
        <f t="shared" si="1177"/>
        <v/>
      </c>
      <c r="R5762" s="1" t="str">
        <f t="shared" si="1172"/>
        <v/>
      </c>
      <c r="S5762" s="1">
        <f t="shared" si="1173"/>
        <v>630.90240000000244</v>
      </c>
      <c r="T5762" s="1">
        <f t="shared" si="1174"/>
        <v>0</v>
      </c>
      <c r="U5762" s="1">
        <f t="shared" si="1175"/>
        <v>0</v>
      </c>
      <c r="V5762" s="1">
        <f t="shared" si="1176"/>
        <v>0</v>
      </c>
    </row>
    <row r="5763" spans="13:22" x14ac:dyDescent="0.25">
      <c r="M5763" s="4">
        <f t="shared" si="1169"/>
        <v>173.1</v>
      </c>
      <c r="N5763" s="4"/>
      <c r="O5763" s="1">
        <f t="shared" si="1170"/>
        <v>173.1</v>
      </c>
      <c r="P5763" s="1">
        <f t="shared" si="1171"/>
        <v>0</v>
      </c>
      <c r="Q5763" s="1" t="str">
        <f t="shared" si="1177"/>
        <v/>
      </c>
      <c r="R5763" s="1" t="str">
        <f t="shared" si="1172"/>
        <v/>
      </c>
      <c r="S5763" s="1">
        <f t="shared" si="1173"/>
        <v>630.90240000000244</v>
      </c>
      <c r="T5763" s="1">
        <f t="shared" si="1174"/>
        <v>0</v>
      </c>
      <c r="U5763" s="1">
        <f t="shared" si="1175"/>
        <v>0</v>
      </c>
      <c r="V5763" s="1">
        <f t="shared" si="1176"/>
        <v>0</v>
      </c>
    </row>
    <row r="5764" spans="13:22" x14ac:dyDescent="0.25">
      <c r="M5764" s="4">
        <f t="shared" si="1169"/>
        <v>173.1</v>
      </c>
      <c r="N5764" s="4"/>
      <c r="O5764" s="1">
        <f t="shared" si="1170"/>
        <v>173.1</v>
      </c>
      <c r="P5764" s="1">
        <f t="shared" si="1171"/>
        <v>0</v>
      </c>
      <c r="Q5764" s="1" t="str">
        <f t="shared" si="1177"/>
        <v/>
      </c>
      <c r="R5764" s="1" t="str">
        <f t="shared" si="1172"/>
        <v/>
      </c>
      <c r="S5764" s="1">
        <f t="shared" si="1173"/>
        <v>630.90240000000244</v>
      </c>
      <c r="T5764" s="1">
        <f t="shared" si="1174"/>
        <v>0</v>
      </c>
      <c r="U5764" s="1">
        <f t="shared" si="1175"/>
        <v>0</v>
      </c>
      <c r="V5764" s="1">
        <f t="shared" si="1176"/>
        <v>0</v>
      </c>
    </row>
    <row r="5765" spans="13:22" x14ac:dyDescent="0.25">
      <c r="M5765" s="4">
        <f t="shared" si="1169"/>
        <v>173.1</v>
      </c>
      <c r="N5765" s="4"/>
      <c r="O5765" s="1">
        <f t="shared" si="1170"/>
        <v>173.1</v>
      </c>
      <c r="P5765" s="1">
        <f t="shared" si="1171"/>
        <v>0</v>
      </c>
      <c r="Q5765" s="1" t="str">
        <f t="shared" si="1177"/>
        <v/>
      </c>
      <c r="R5765" s="1" t="str">
        <f t="shared" si="1172"/>
        <v/>
      </c>
      <c r="S5765" s="1">
        <f t="shared" si="1173"/>
        <v>630.90240000000244</v>
      </c>
      <c r="T5765" s="1">
        <f t="shared" si="1174"/>
        <v>0</v>
      </c>
      <c r="U5765" s="1">
        <f t="shared" si="1175"/>
        <v>0</v>
      </c>
      <c r="V5765" s="1">
        <f t="shared" si="1176"/>
        <v>0</v>
      </c>
    </row>
    <row r="5766" spans="13:22" x14ac:dyDescent="0.25">
      <c r="M5766" s="4">
        <f t="shared" si="1169"/>
        <v>173.1</v>
      </c>
      <c r="N5766" s="4"/>
      <c r="O5766" s="1">
        <f t="shared" si="1170"/>
        <v>173.1</v>
      </c>
      <c r="P5766" s="1">
        <f t="shared" si="1171"/>
        <v>0</v>
      </c>
      <c r="Q5766" s="1" t="str">
        <f t="shared" si="1177"/>
        <v/>
      </c>
      <c r="R5766" s="1" t="str">
        <f t="shared" si="1172"/>
        <v/>
      </c>
      <c r="S5766" s="1">
        <f t="shared" si="1173"/>
        <v>630.90240000000244</v>
      </c>
      <c r="T5766" s="1">
        <f t="shared" si="1174"/>
        <v>0</v>
      </c>
      <c r="U5766" s="1">
        <f t="shared" si="1175"/>
        <v>0</v>
      </c>
      <c r="V5766" s="1">
        <f t="shared" si="1176"/>
        <v>0</v>
      </c>
    </row>
    <row r="5767" spans="13:22" x14ac:dyDescent="0.25">
      <c r="M5767" s="4">
        <f t="shared" si="1169"/>
        <v>173.1</v>
      </c>
      <c r="N5767" s="4"/>
      <c r="O5767" s="1">
        <f t="shared" si="1170"/>
        <v>173.1</v>
      </c>
      <c r="P5767" s="1">
        <f t="shared" si="1171"/>
        <v>0</v>
      </c>
      <c r="Q5767" s="1" t="str">
        <f t="shared" si="1177"/>
        <v/>
      </c>
      <c r="R5767" s="1" t="str">
        <f t="shared" si="1172"/>
        <v/>
      </c>
      <c r="S5767" s="1">
        <f t="shared" si="1173"/>
        <v>630.90240000000244</v>
      </c>
      <c r="T5767" s="1">
        <f t="shared" si="1174"/>
        <v>0</v>
      </c>
      <c r="U5767" s="1">
        <f t="shared" si="1175"/>
        <v>0</v>
      </c>
      <c r="V5767" s="1">
        <f t="shared" si="1176"/>
        <v>0</v>
      </c>
    </row>
    <row r="5768" spans="13:22" x14ac:dyDescent="0.25">
      <c r="M5768" s="4">
        <f t="shared" ref="M5768:M5831" si="1178">E5768+M5767</f>
        <v>173.1</v>
      </c>
      <c r="N5768" s="4"/>
      <c r="O5768" s="1">
        <f t="shared" ref="O5768:O5831" si="1179">E5767+O5767</f>
        <v>173.1</v>
      </c>
      <c r="P5768" s="1">
        <f t="shared" ref="P5768:P5831" si="1180">F5768*52.8*E5768</f>
        <v>0</v>
      </c>
      <c r="Q5768" s="1" t="str">
        <f t="shared" si="1177"/>
        <v/>
      </c>
      <c r="R5768" s="1" t="str">
        <f t="shared" ref="R5768:R5831" si="1181">IF(I5768="",Q5768,IF(AND(H5768=H5767,I5768=I5767),"",I5768))</f>
        <v/>
      </c>
      <c r="S5768" s="1">
        <f t="shared" ref="S5768:S5831" si="1182">S5767+U5767*T5767/100</f>
        <v>630.90240000000244</v>
      </c>
      <c r="T5768" s="1">
        <f t="shared" ref="T5768:T5831" si="1183">IF(G5768="UNK",0,G5768)</f>
        <v>0</v>
      </c>
      <c r="U5768" s="1">
        <f t="shared" ref="U5768:U5831" si="1184">E5768*5280</f>
        <v>0</v>
      </c>
      <c r="V5768" s="1">
        <f t="shared" ref="V5768:V5831" si="1185">ABS(T5768*U5768)</f>
        <v>0</v>
      </c>
    </row>
    <row r="5769" spans="13:22" x14ac:dyDescent="0.25">
      <c r="M5769" s="4">
        <f t="shared" si="1178"/>
        <v>173.1</v>
      </c>
      <c r="N5769" s="4"/>
      <c r="O5769" s="1">
        <f t="shared" si="1179"/>
        <v>173.1</v>
      </c>
      <c r="P5769" s="1">
        <f t="shared" si="1180"/>
        <v>0</v>
      </c>
      <c r="Q5769" s="1" t="str">
        <f t="shared" si="1177"/>
        <v/>
      </c>
      <c r="R5769" s="1" t="str">
        <f t="shared" si="1181"/>
        <v/>
      </c>
      <c r="S5769" s="1">
        <f t="shared" si="1182"/>
        <v>630.90240000000244</v>
      </c>
      <c r="T5769" s="1">
        <f t="shared" si="1183"/>
        <v>0</v>
      </c>
      <c r="U5769" s="1">
        <f t="shared" si="1184"/>
        <v>0</v>
      </c>
      <c r="V5769" s="1">
        <f t="shared" si="1185"/>
        <v>0</v>
      </c>
    </row>
    <row r="5770" spans="13:22" x14ac:dyDescent="0.25">
      <c r="M5770" s="4">
        <f t="shared" si="1178"/>
        <v>173.1</v>
      </c>
      <c r="N5770" s="4"/>
      <c r="O5770" s="1">
        <f t="shared" si="1179"/>
        <v>173.1</v>
      </c>
      <c r="P5770" s="1">
        <f t="shared" si="1180"/>
        <v>0</v>
      </c>
      <c r="Q5770" s="1" t="str">
        <f t="shared" si="1177"/>
        <v/>
      </c>
      <c r="R5770" s="1" t="str">
        <f t="shared" si="1181"/>
        <v/>
      </c>
      <c r="S5770" s="1">
        <f t="shared" si="1182"/>
        <v>630.90240000000244</v>
      </c>
      <c r="T5770" s="1">
        <f t="shared" si="1183"/>
        <v>0</v>
      </c>
      <c r="U5770" s="1">
        <f t="shared" si="1184"/>
        <v>0</v>
      </c>
      <c r="V5770" s="1">
        <f t="shared" si="1185"/>
        <v>0</v>
      </c>
    </row>
    <row r="5771" spans="13:22" x14ac:dyDescent="0.25">
      <c r="M5771" s="4">
        <f t="shared" si="1178"/>
        <v>173.1</v>
      </c>
      <c r="N5771" s="4"/>
      <c r="O5771" s="1">
        <f t="shared" si="1179"/>
        <v>173.1</v>
      </c>
      <c r="P5771" s="1">
        <f t="shared" si="1180"/>
        <v>0</v>
      </c>
      <c r="Q5771" s="1" t="str">
        <f t="shared" si="1177"/>
        <v/>
      </c>
      <c r="R5771" s="1" t="str">
        <f t="shared" si="1181"/>
        <v/>
      </c>
      <c r="S5771" s="1">
        <f t="shared" si="1182"/>
        <v>630.90240000000244</v>
      </c>
      <c r="T5771" s="1">
        <f t="shared" si="1183"/>
        <v>0</v>
      </c>
      <c r="U5771" s="1">
        <f t="shared" si="1184"/>
        <v>0</v>
      </c>
      <c r="V5771" s="1">
        <f t="shared" si="1185"/>
        <v>0</v>
      </c>
    </row>
    <row r="5772" spans="13:22" x14ac:dyDescent="0.25">
      <c r="M5772" s="4">
        <f t="shared" si="1178"/>
        <v>173.1</v>
      </c>
      <c r="N5772" s="4"/>
      <c r="O5772" s="1">
        <f t="shared" si="1179"/>
        <v>173.1</v>
      </c>
      <c r="P5772" s="1">
        <f t="shared" si="1180"/>
        <v>0</v>
      </c>
      <c r="Q5772" s="1" t="str">
        <f t="shared" si="1177"/>
        <v/>
      </c>
      <c r="R5772" s="1" t="str">
        <f t="shared" si="1181"/>
        <v/>
      </c>
      <c r="S5772" s="1">
        <f t="shared" si="1182"/>
        <v>630.90240000000244</v>
      </c>
      <c r="T5772" s="1">
        <f t="shared" si="1183"/>
        <v>0</v>
      </c>
      <c r="U5772" s="1">
        <f t="shared" si="1184"/>
        <v>0</v>
      </c>
      <c r="V5772" s="1">
        <f t="shared" si="1185"/>
        <v>0</v>
      </c>
    </row>
    <row r="5773" spans="13:22" x14ac:dyDescent="0.25">
      <c r="M5773" s="4">
        <f t="shared" si="1178"/>
        <v>173.1</v>
      </c>
      <c r="N5773" s="4"/>
      <c r="O5773" s="1">
        <f t="shared" si="1179"/>
        <v>173.1</v>
      </c>
      <c r="P5773" s="1">
        <f t="shared" si="1180"/>
        <v>0</v>
      </c>
      <c r="Q5773" s="1" t="str">
        <f t="shared" si="1177"/>
        <v/>
      </c>
      <c r="R5773" s="1" t="str">
        <f t="shared" si="1181"/>
        <v/>
      </c>
      <c r="S5773" s="1">
        <f t="shared" si="1182"/>
        <v>630.90240000000244</v>
      </c>
      <c r="T5773" s="1">
        <f t="shared" si="1183"/>
        <v>0</v>
      </c>
      <c r="U5773" s="1">
        <f t="shared" si="1184"/>
        <v>0</v>
      </c>
      <c r="V5773" s="1">
        <f t="shared" si="1185"/>
        <v>0</v>
      </c>
    </row>
    <row r="5774" spans="13:22" x14ac:dyDescent="0.25">
      <c r="M5774" s="4">
        <f t="shared" si="1178"/>
        <v>173.1</v>
      </c>
      <c r="N5774" s="4"/>
      <c r="O5774" s="1">
        <f t="shared" si="1179"/>
        <v>173.1</v>
      </c>
      <c r="P5774" s="1">
        <f t="shared" si="1180"/>
        <v>0</v>
      </c>
      <c r="Q5774" s="1" t="str">
        <f t="shared" si="1177"/>
        <v/>
      </c>
      <c r="R5774" s="1" t="str">
        <f t="shared" si="1181"/>
        <v/>
      </c>
      <c r="S5774" s="1">
        <f t="shared" si="1182"/>
        <v>630.90240000000244</v>
      </c>
      <c r="T5774" s="1">
        <f t="shared" si="1183"/>
        <v>0</v>
      </c>
      <c r="U5774" s="1">
        <f t="shared" si="1184"/>
        <v>0</v>
      </c>
      <c r="V5774" s="1">
        <f t="shared" si="1185"/>
        <v>0</v>
      </c>
    </row>
    <row r="5775" spans="13:22" x14ac:dyDescent="0.25">
      <c r="M5775" s="4">
        <f t="shared" si="1178"/>
        <v>173.1</v>
      </c>
      <c r="N5775" s="4"/>
      <c r="O5775" s="1">
        <f t="shared" si="1179"/>
        <v>173.1</v>
      </c>
      <c r="P5775" s="1">
        <f t="shared" si="1180"/>
        <v>0</v>
      </c>
      <c r="Q5775" s="1" t="str">
        <f t="shared" si="1177"/>
        <v/>
      </c>
      <c r="R5775" s="1" t="str">
        <f t="shared" si="1181"/>
        <v/>
      </c>
      <c r="S5775" s="1">
        <f t="shared" si="1182"/>
        <v>630.90240000000244</v>
      </c>
      <c r="T5775" s="1">
        <f t="shared" si="1183"/>
        <v>0</v>
      </c>
      <c r="U5775" s="1">
        <f t="shared" si="1184"/>
        <v>0</v>
      </c>
      <c r="V5775" s="1">
        <f t="shared" si="1185"/>
        <v>0</v>
      </c>
    </row>
    <row r="5776" spans="13:22" x14ac:dyDescent="0.25">
      <c r="M5776" s="4">
        <f t="shared" si="1178"/>
        <v>173.1</v>
      </c>
      <c r="N5776" s="4"/>
      <c r="O5776" s="1">
        <f t="shared" si="1179"/>
        <v>173.1</v>
      </c>
      <c r="P5776" s="1">
        <f t="shared" si="1180"/>
        <v>0</v>
      </c>
      <c r="Q5776" s="1" t="str">
        <f t="shared" si="1177"/>
        <v/>
      </c>
      <c r="R5776" s="1" t="str">
        <f t="shared" si="1181"/>
        <v/>
      </c>
      <c r="S5776" s="1">
        <f t="shared" si="1182"/>
        <v>630.90240000000244</v>
      </c>
      <c r="T5776" s="1">
        <f t="shared" si="1183"/>
        <v>0</v>
      </c>
      <c r="U5776" s="1">
        <f t="shared" si="1184"/>
        <v>0</v>
      </c>
      <c r="V5776" s="1">
        <f t="shared" si="1185"/>
        <v>0</v>
      </c>
    </row>
    <row r="5777" spans="13:22" x14ac:dyDescent="0.25">
      <c r="M5777" s="4">
        <f t="shared" si="1178"/>
        <v>173.1</v>
      </c>
      <c r="N5777" s="4"/>
      <c r="O5777" s="1">
        <f t="shared" si="1179"/>
        <v>173.1</v>
      </c>
      <c r="P5777" s="1">
        <f t="shared" si="1180"/>
        <v>0</v>
      </c>
      <c r="Q5777" s="1" t="str">
        <f t="shared" si="1177"/>
        <v/>
      </c>
      <c r="R5777" s="1" t="str">
        <f t="shared" si="1181"/>
        <v/>
      </c>
      <c r="S5777" s="1">
        <f t="shared" si="1182"/>
        <v>630.90240000000244</v>
      </c>
      <c r="T5777" s="1">
        <f t="shared" si="1183"/>
        <v>0</v>
      </c>
      <c r="U5777" s="1">
        <f t="shared" si="1184"/>
        <v>0</v>
      </c>
      <c r="V5777" s="1">
        <f t="shared" si="1185"/>
        <v>0</v>
      </c>
    </row>
    <row r="5778" spans="13:22" x14ac:dyDescent="0.25">
      <c r="M5778" s="4">
        <f t="shared" si="1178"/>
        <v>173.1</v>
      </c>
      <c r="N5778" s="4"/>
      <c r="O5778" s="1">
        <f t="shared" si="1179"/>
        <v>173.1</v>
      </c>
      <c r="P5778" s="1">
        <f t="shared" si="1180"/>
        <v>0</v>
      </c>
      <c r="Q5778" s="1" t="str">
        <f t="shared" si="1177"/>
        <v/>
      </c>
      <c r="R5778" s="1" t="str">
        <f t="shared" si="1181"/>
        <v/>
      </c>
      <c r="S5778" s="1">
        <f t="shared" si="1182"/>
        <v>630.90240000000244</v>
      </c>
      <c r="T5778" s="1">
        <f t="shared" si="1183"/>
        <v>0</v>
      </c>
      <c r="U5778" s="1">
        <f t="shared" si="1184"/>
        <v>0</v>
      </c>
      <c r="V5778" s="1">
        <f t="shared" si="1185"/>
        <v>0</v>
      </c>
    </row>
    <row r="5779" spans="13:22" x14ac:dyDescent="0.25">
      <c r="M5779" s="4">
        <f t="shared" si="1178"/>
        <v>173.1</v>
      </c>
      <c r="N5779" s="4"/>
      <c r="O5779" s="1">
        <f t="shared" si="1179"/>
        <v>173.1</v>
      </c>
      <c r="P5779" s="1">
        <f t="shared" si="1180"/>
        <v>0</v>
      </c>
      <c r="Q5779" s="1" t="str">
        <f t="shared" si="1177"/>
        <v/>
      </c>
      <c r="R5779" s="1" t="str">
        <f t="shared" si="1181"/>
        <v/>
      </c>
      <c r="S5779" s="1">
        <f t="shared" si="1182"/>
        <v>630.90240000000244</v>
      </c>
      <c r="T5779" s="1">
        <f t="shared" si="1183"/>
        <v>0</v>
      </c>
      <c r="U5779" s="1">
        <f t="shared" si="1184"/>
        <v>0</v>
      </c>
      <c r="V5779" s="1">
        <f t="shared" si="1185"/>
        <v>0</v>
      </c>
    </row>
    <row r="5780" spans="13:22" x14ac:dyDescent="0.25">
      <c r="M5780" s="4">
        <f t="shared" si="1178"/>
        <v>173.1</v>
      </c>
      <c r="N5780" s="4"/>
      <c r="O5780" s="1">
        <f t="shared" si="1179"/>
        <v>173.1</v>
      </c>
      <c r="P5780" s="1">
        <f t="shared" si="1180"/>
        <v>0</v>
      </c>
      <c r="Q5780" s="1" t="str">
        <f t="shared" si="1177"/>
        <v/>
      </c>
      <c r="R5780" s="1" t="str">
        <f t="shared" si="1181"/>
        <v/>
      </c>
      <c r="S5780" s="1">
        <f t="shared" si="1182"/>
        <v>630.90240000000244</v>
      </c>
      <c r="T5780" s="1">
        <f t="shared" si="1183"/>
        <v>0</v>
      </c>
      <c r="U5780" s="1">
        <f t="shared" si="1184"/>
        <v>0</v>
      </c>
      <c r="V5780" s="1">
        <f t="shared" si="1185"/>
        <v>0</v>
      </c>
    </row>
    <row r="5781" spans="13:22" x14ac:dyDescent="0.25">
      <c r="M5781" s="4">
        <f t="shared" si="1178"/>
        <v>173.1</v>
      </c>
      <c r="N5781" s="4"/>
      <c r="O5781" s="1">
        <f t="shared" si="1179"/>
        <v>173.1</v>
      </c>
      <c r="P5781" s="1">
        <f t="shared" si="1180"/>
        <v>0</v>
      </c>
      <c r="Q5781" s="1" t="str">
        <f t="shared" si="1177"/>
        <v/>
      </c>
      <c r="R5781" s="1" t="str">
        <f t="shared" si="1181"/>
        <v/>
      </c>
      <c r="S5781" s="1">
        <f t="shared" si="1182"/>
        <v>630.90240000000244</v>
      </c>
      <c r="T5781" s="1">
        <f t="shared" si="1183"/>
        <v>0</v>
      </c>
      <c r="U5781" s="1">
        <f t="shared" si="1184"/>
        <v>0</v>
      </c>
      <c r="V5781" s="1">
        <f t="shared" si="1185"/>
        <v>0</v>
      </c>
    </row>
    <row r="5782" spans="13:22" x14ac:dyDescent="0.25">
      <c r="M5782" s="4">
        <f t="shared" si="1178"/>
        <v>173.1</v>
      </c>
      <c r="N5782" s="4"/>
      <c r="O5782" s="1">
        <f t="shared" si="1179"/>
        <v>173.1</v>
      </c>
      <c r="P5782" s="1">
        <f t="shared" si="1180"/>
        <v>0</v>
      </c>
      <c r="Q5782" s="1" t="str">
        <f t="shared" si="1177"/>
        <v/>
      </c>
      <c r="R5782" s="1" t="str">
        <f t="shared" si="1181"/>
        <v/>
      </c>
      <c r="S5782" s="1">
        <f t="shared" si="1182"/>
        <v>630.90240000000244</v>
      </c>
      <c r="T5782" s="1">
        <f t="shared" si="1183"/>
        <v>0</v>
      </c>
      <c r="U5782" s="1">
        <f t="shared" si="1184"/>
        <v>0</v>
      </c>
      <c r="V5782" s="1">
        <f t="shared" si="1185"/>
        <v>0</v>
      </c>
    </row>
    <row r="5783" spans="13:22" x14ac:dyDescent="0.25">
      <c r="M5783" s="4">
        <f t="shared" si="1178"/>
        <v>173.1</v>
      </c>
      <c r="N5783" s="4"/>
      <c r="O5783" s="1">
        <f t="shared" si="1179"/>
        <v>173.1</v>
      </c>
      <c r="P5783" s="1">
        <f t="shared" si="1180"/>
        <v>0</v>
      </c>
      <c r="Q5783" s="1" t="str">
        <f t="shared" si="1177"/>
        <v/>
      </c>
      <c r="R5783" s="1" t="str">
        <f t="shared" si="1181"/>
        <v/>
      </c>
      <c r="S5783" s="1">
        <f t="shared" si="1182"/>
        <v>630.90240000000244</v>
      </c>
      <c r="T5783" s="1">
        <f t="shared" si="1183"/>
        <v>0</v>
      </c>
      <c r="U5783" s="1">
        <f t="shared" si="1184"/>
        <v>0</v>
      </c>
      <c r="V5783" s="1">
        <f t="shared" si="1185"/>
        <v>0</v>
      </c>
    </row>
    <row r="5784" spans="13:22" x14ac:dyDescent="0.25">
      <c r="M5784" s="4">
        <f t="shared" si="1178"/>
        <v>173.1</v>
      </c>
      <c r="N5784" s="4"/>
      <c r="O5784" s="1">
        <f t="shared" si="1179"/>
        <v>173.1</v>
      </c>
      <c r="P5784" s="1">
        <f t="shared" si="1180"/>
        <v>0</v>
      </c>
      <c r="Q5784" s="1" t="str">
        <f t="shared" si="1177"/>
        <v/>
      </c>
      <c r="R5784" s="1" t="str">
        <f t="shared" si="1181"/>
        <v/>
      </c>
      <c r="S5784" s="1">
        <f t="shared" si="1182"/>
        <v>630.90240000000244</v>
      </c>
      <c r="T5784" s="1">
        <f t="shared" si="1183"/>
        <v>0</v>
      </c>
      <c r="U5784" s="1">
        <f t="shared" si="1184"/>
        <v>0</v>
      </c>
      <c r="V5784" s="1">
        <f t="shared" si="1185"/>
        <v>0</v>
      </c>
    </row>
    <row r="5785" spans="13:22" x14ac:dyDescent="0.25">
      <c r="M5785" s="4">
        <f t="shared" si="1178"/>
        <v>173.1</v>
      </c>
      <c r="N5785" s="4"/>
      <c r="O5785" s="1">
        <f t="shared" si="1179"/>
        <v>173.1</v>
      </c>
      <c r="P5785" s="1">
        <f t="shared" si="1180"/>
        <v>0</v>
      </c>
      <c r="Q5785" s="1" t="str">
        <f t="shared" si="1177"/>
        <v/>
      </c>
      <c r="R5785" s="1" t="str">
        <f t="shared" si="1181"/>
        <v/>
      </c>
      <c r="S5785" s="1">
        <f t="shared" si="1182"/>
        <v>630.90240000000244</v>
      </c>
      <c r="T5785" s="1">
        <f t="shared" si="1183"/>
        <v>0</v>
      </c>
      <c r="U5785" s="1">
        <f t="shared" si="1184"/>
        <v>0</v>
      </c>
      <c r="V5785" s="1">
        <f t="shared" si="1185"/>
        <v>0</v>
      </c>
    </row>
    <row r="5786" spans="13:22" x14ac:dyDescent="0.25">
      <c r="M5786" s="4">
        <f t="shared" si="1178"/>
        <v>173.1</v>
      </c>
      <c r="N5786" s="4"/>
      <c r="O5786" s="1">
        <f t="shared" si="1179"/>
        <v>173.1</v>
      </c>
      <c r="P5786" s="1">
        <f t="shared" si="1180"/>
        <v>0</v>
      </c>
      <c r="Q5786" s="1" t="str">
        <f t="shared" si="1177"/>
        <v/>
      </c>
      <c r="R5786" s="1" t="str">
        <f t="shared" si="1181"/>
        <v/>
      </c>
      <c r="S5786" s="1">
        <f t="shared" si="1182"/>
        <v>630.90240000000244</v>
      </c>
      <c r="T5786" s="1">
        <f t="shared" si="1183"/>
        <v>0</v>
      </c>
      <c r="U5786" s="1">
        <f t="shared" si="1184"/>
        <v>0</v>
      </c>
      <c r="V5786" s="1">
        <f t="shared" si="1185"/>
        <v>0</v>
      </c>
    </row>
    <row r="5787" spans="13:22" x14ac:dyDescent="0.25">
      <c r="M5787" s="4">
        <f t="shared" si="1178"/>
        <v>173.1</v>
      </c>
      <c r="N5787" s="4"/>
      <c r="O5787" s="1">
        <f t="shared" si="1179"/>
        <v>173.1</v>
      </c>
      <c r="P5787" s="1">
        <f t="shared" si="1180"/>
        <v>0</v>
      </c>
      <c r="Q5787" s="1" t="str">
        <f t="shared" si="1177"/>
        <v/>
      </c>
      <c r="R5787" s="1" t="str">
        <f t="shared" si="1181"/>
        <v/>
      </c>
      <c r="S5787" s="1">
        <f t="shared" si="1182"/>
        <v>630.90240000000244</v>
      </c>
      <c r="T5787" s="1">
        <f t="shared" si="1183"/>
        <v>0</v>
      </c>
      <c r="U5787" s="1">
        <f t="shared" si="1184"/>
        <v>0</v>
      </c>
      <c r="V5787" s="1">
        <f t="shared" si="1185"/>
        <v>0</v>
      </c>
    </row>
    <row r="5788" spans="13:22" x14ac:dyDescent="0.25">
      <c r="M5788" s="4">
        <f t="shared" si="1178"/>
        <v>173.1</v>
      </c>
      <c r="N5788" s="4"/>
      <c r="O5788" s="1">
        <f t="shared" si="1179"/>
        <v>173.1</v>
      </c>
      <c r="P5788" s="1">
        <f t="shared" si="1180"/>
        <v>0</v>
      </c>
      <c r="Q5788" s="1" t="str">
        <f t="shared" si="1177"/>
        <v/>
      </c>
      <c r="R5788" s="1" t="str">
        <f t="shared" si="1181"/>
        <v/>
      </c>
      <c r="S5788" s="1">
        <f t="shared" si="1182"/>
        <v>630.90240000000244</v>
      </c>
      <c r="T5788" s="1">
        <f t="shared" si="1183"/>
        <v>0</v>
      </c>
      <c r="U5788" s="1">
        <f t="shared" si="1184"/>
        <v>0</v>
      </c>
      <c r="V5788" s="1">
        <f t="shared" si="1185"/>
        <v>0</v>
      </c>
    </row>
    <row r="5789" spans="13:22" x14ac:dyDescent="0.25">
      <c r="M5789" s="4">
        <f t="shared" si="1178"/>
        <v>173.1</v>
      </c>
      <c r="N5789" s="4"/>
      <c r="O5789" s="1">
        <f t="shared" si="1179"/>
        <v>173.1</v>
      </c>
      <c r="P5789" s="1">
        <f t="shared" si="1180"/>
        <v>0</v>
      </c>
      <c r="Q5789" s="1" t="str">
        <f t="shared" si="1177"/>
        <v/>
      </c>
      <c r="R5789" s="1" t="str">
        <f t="shared" si="1181"/>
        <v/>
      </c>
      <c r="S5789" s="1">
        <f t="shared" si="1182"/>
        <v>630.90240000000244</v>
      </c>
      <c r="T5789" s="1">
        <f t="shared" si="1183"/>
        <v>0</v>
      </c>
      <c r="U5789" s="1">
        <f t="shared" si="1184"/>
        <v>0</v>
      </c>
      <c r="V5789" s="1">
        <f t="shared" si="1185"/>
        <v>0</v>
      </c>
    </row>
    <row r="5790" spans="13:22" x14ac:dyDescent="0.25">
      <c r="M5790" s="4">
        <f t="shared" si="1178"/>
        <v>173.1</v>
      </c>
      <c r="N5790" s="4"/>
      <c r="O5790" s="1">
        <f t="shared" si="1179"/>
        <v>173.1</v>
      </c>
      <c r="P5790" s="1">
        <f t="shared" si="1180"/>
        <v>0</v>
      </c>
      <c r="Q5790" s="1" t="str">
        <f t="shared" si="1177"/>
        <v/>
      </c>
      <c r="R5790" s="1" t="str">
        <f t="shared" si="1181"/>
        <v/>
      </c>
      <c r="S5790" s="1">
        <f t="shared" si="1182"/>
        <v>630.90240000000244</v>
      </c>
      <c r="T5790" s="1">
        <f t="shared" si="1183"/>
        <v>0</v>
      </c>
      <c r="U5790" s="1">
        <f t="shared" si="1184"/>
        <v>0</v>
      </c>
      <c r="V5790" s="1">
        <f t="shared" si="1185"/>
        <v>0</v>
      </c>
    </row>
    <row r="5791" spans="13:22" x14ac:dyDescent="0.25">
      <c r="M5791" s="4">
        <f t="shared" si="1178"/>
        <v>173.1</v>
      </c>
      <c r="N5791" s="4"/>
      <c r="O5791" s="1">
        <f t="shared" si="1179"/>
        <v>173.1</v>
      </c>
      <c r="P5791" s="1">
        <f t="shared" si="1180"/>
        <v>0</v>
      </c>
      <c r="Q5791" s="1" t="str">
        <f t="shared" si="1177"/>
        <v/>
      </c>
      <c r="R5791" s="1" t="str">
        <f t="shared" si="1181"/>
        <v/>
      </c>
      <c r="S5791" s="1">
        <f t="shared" si="1182"/>
        <v>630.90240000000244</v>
      </c>
      <c r="T5791" s="1">
        <f t="shared" si="1183"/>
        <v>0</v>
      </c>
      <c r="U5791" s="1">
        <f t="shared" si="1184"/>
        <v>0</v>
      </c>
      <c r="V5791" s="1">
        <f t="shared" si="1185"/>
        <v>0</v>
      </c>
    </row>
    <row r="5792" spans="13:22" x14ac:dyDescent="0.25">
      <c r="M5792" s="4">
        <f t="shared" si="1178"/>
        <v>173.1</v>
      </c>
      <c r="N5792" s="4"/>
      <c r="O5792" s="1">
        <f t="shared" si="1179"/>
        <v>173.1</v>
      </c>
      <c r="P5792" s="1">
        <f t="shared" si="1180"/>
        <v>0</v>
      </c>
      <c r="Q5792" s="1" t="str">
        <f t="shared" si="1177"/>
        <v/>
      </c>
      <c r="R5792" s="1" t="str">
        <f t="shared" si="1181"/>
        <v/>
      </c>
      <c r="S5792" s="1">
        <f t="shared" si="1182"/>
        <v>630.90240000000244</v>
      </c>
      <c r="T5792" s="1">
        <f t="shared" si="1183"/>
        <v>0</v>
      </c>
      <c r="U5792" s="1">
        <f t="shared" si="1184"/>
        <v>0</v>
      </c>
      <c r="V5792" s="1">
        <f t="shared" si="1185"/>
        <v>0</v>
      </c>
    </row>
    <row r="5793" spans="13:22" x14ac:dyDescent="0.25">
      <c r="M5793" s="4">
        <f t="shared" si="1178"/>
        <v>173.1</v>
      </c>
      <c r="N5793" s="4"/>
      <c r="O5793" s="1">
        <f t="shared" si="1179"/>
        <v>173.1</v>
      </c>
      <c r="P5793" s="1">
        <f t="shared" si="1180"/>
        <v>0</v>
      </c>
      <c r="Q5793" s="1" t="str">
        <f t="shared" si="1177"/>
        <v/>
      </c>
      <c r="R5793" s="1" t="str">
        <f t="shared" si="1181"/>
        <v/>
      </c>
      <c r="S5793" s="1">
        <f t="shared" si="1182"/>
        <v>630.90240000000244</v>
      </c>
      <c r="T5793" s="1">
        <f t="shared" si="1183"/>
        <v>0</v>
      </c>
      <c r="U5793" s="1">
        <f t="shared" si="1184"/>
        <v>0</v>
      </c>
      <c r="V5793" s="1">
        <f t="shared" si="1185"/>
        <v>0</v>
      </c>
    </row>
    <row r="5794" spans="13:22" x14ac:dyDescent="0.25">
      <c r="M5794" s="4">
        <f t="shared" si="1178"/>
        <v>173.1</v>
      </c>
      <c r="N5794" s="4"/>
      <c r="O5794" s="1">
        <f t="shared" si="1179"/>
        <v>173.1</v>
      </c>
      <c r="P5794" s="1">
        <f t="shared" si="1180"/>
        <v>0</v>
      </c>
      <c r="Q5794" s="1" t="str">
        <f t="shared" si="1177"/>
        <v/>
      </c>
      <c r="R5794" s="1" t="str">
        <f t="shared" si="1181"/>
        <v/>
      </c>
      <c r="S5794" s="1">
        <f t="shared" si="1182"/>
        <v>630.90240000000244</v>
      </c>
      <c r="T5794" s="1">
        <f t="shared" si="1183"/>
        <v>0</v>
      </c>
      <c r="U5794" s="1">
        <f t="shared" si="1184"/>
        <v>0</v>
      </c>
      <c r="V5794" s="1">
        <f t="shared" si="1185"/>
        <v>0</v>
      </c>
    </row>
    <row r="5795" spans="13:22" x14ac:dyDescent="0.25">
      <c r="M5795" s="4">
        <f t="shared" si="1178"/>
        <v>173.1</v>
      </c>
      <c r="N5795" s="4"/>
      <c r="O5795" s="1">
        <f t="shared" si="1179"/>
        <v>173.1</v>
      </c>
      <c r="P5795" s="1">
        <f t="shared" si="1180"/>
        <v>0</v>
      </c>
      <c r="Q5795" s="1" t="str">
        <f t="shared" si="1177"/>
        <v/>
      </c>
      <c r="R5795" s="1" t="str">
        <f t="shared" si="1181"/>
        <v/>
      </c>
      <c r="S5795" s="1">
        <f t="shared" si="1182"/>
        <v>630.90240000000244</v>
      </c>
      <c r="T5795" s="1">
        <f t="shared" si="1183"/>
        <v>0</v>
      </c>
      <c r="U5795" s="1">
        <f t="shared" si="1184"/>
        <v>0</v>
      </c>
      <c r="V5795" s="1">
        <f t="shared" si="1185"/>
        <v>0</v>
      </c>
    </row>
    <row r="5796" spans="13:22" x14ac:dyDescent="0.25">
      <c r="M5796" s="4">
        <f t="shared" si="1178"/>
        <v>173.1</v>
      </c>
      <c r="N5796" s="4"/>
      <c r="O5796" s="1">
        <f t="shared" si="1179"/>
        <v>173.1</v>
      </c>
      <c r="P5796" s="1">
        <f t="shared" si="1180"/>
        <v>0</v>
      </c>
      <c r="Q5796" s="1" t="str">
        <f t="shared" si="1177"/>
        <v/>
      </c>
      <c r="R5796" s="1" t="str">
        <f t="shared" si="1181"/>
        <v/>
      </c>
      <c r="S5796" s="1">
        <f t="shared" si="1182"/>
        <v>630.90240000000244</v>
      </c>
      <c r="T5796" s="1">
        <f t="shared" si="1183"/>
        <v>0</v>
      </c>
      <c r="U5796" s="1">
        <f t="shared" si="1184"/>
        <v>0</v>
      </c>
      <c r="V5796" s="1">
        <f t="shared" si="1185"/>
        <v>0</v>
      </c>
    </row>
    <row r="5797" spans="13:22" x14ac:dyDescent="0.25">
      <c r="M5797" s="4">
        <f t="shared" si="1178"/>
        <v>173.1</v>
      </c>
      <c r="N5797" s="4"/>
      <c r="O5797" s="1">
        <f t="shared" si="1179"/>
        <v>173.1</v>
      </c>
      <c r="P5797" s="1">
        <f t="shared" si="1180"/>
        <v>0</v>
      </c>
      <c r="Q5797" s="1" t="str">
        <f t="shared" si="1177"/>
        <v/>
      </c>
      <c r="R5797" s="1" t="str">
        <f t="shared" si="1181"/>
        <v/>
      </c>
      <c r="S5797" s="1">
        <f t="shared" si="1182"/>
        <v>630.90240000000244</v>
      </c>
      <c r="T5797" s="1">
        <f t="shared" si="1183"/>
        <v>0</v>
      </c>
      <c r="U5797" s="1">
        <f t="shared" si="1184"/>
        <v>0</v>
      </c>
      <c r="V5797" s="1">
        <f t="shared" si="1185"/>
        <v>0</v>
      </c>
    </row>
    <row r="5798" spans="13:22" x14ac:dyDescent="0.25">
      <c r="M5798" s="4">
        <f t="shared" si="1178"/>
        <v>173.1</v>
      </c>
      <c r="N5798" s="4"/>
      <c r="O5798" s="1">
        <f t="shared" si="1179"/>
        <v>173.1</v>
      </c>
      <c r="P5798" s="1">
        <f t="shared" si="1180"/>
        <v>0</v>
      </c>
      <c r="Q5798" s="1" t="str">
        <f t="shared" si="1177"/>
        <v/>
      </c>
      <c r="R5798" s="1" t="str">
        <f t="shared" si="1181"/>
        <v/>
      </c>
      <c r="S5798" s="1">
        <f t="shared" si="1182"/>
        <v>630.90240000000244</v>
      </c>
      <c r="T5798" s="1">
        <f t="shared" si="1183"/>
        <v>0</v>
      </c>
      <c r="U5798" s="1">
        <f t="shared" si="1184"/>
        <v>0</v>
      </c>
      <c r="V5798" s="1">
        <f t="shared" si="1185"/>
        <v>0</v>
      </c>
    </row>
    <row r="5799" spans="13:22" x14ac:dyDescent="0.25">
      <c r="M5799" s="4">
        <f t="shared" si="1178"/>
        <v>173.1</v>
      </c>
      <c r="N5799" s="4"/>
      <c r="O5799" s="1">
        <f t="shared" si="1179"/>
        <v>173.1</v>
      </c>
      <c r="P5799" s="1">
        <f t="shared" si="1180"/>
        <v>0</v>
      </c>
      <c r="Q5799" s="1" t="str">
        <f t="shared" si="1177"/>
        <v/>
      </c>
      <c r="R5799" s="1" t="str">
        <f t="shared" si="1181"/>
        <v/>
      </c>
      <c r="S5799" s="1">
        <f t="shared" si="1182"/>
        <v>630.90240000000244</v>
      </c>
      <c r="T5799" s="1">
        <f t="shared" si="1183"/>
        <v>0</v>
      </c>
      <c r="U5799" s="1">
        <f t="shared" si="1184"/>
        <v>0</v>
      </c>
      <c r="V5799" s="1">
        <f t="shared" si="1185"/>
        <v>0</v>
      </c>
    </row>
    <row r="5800" spans="13:22" x14ac:dyDescent="0.25">
      <c r="M5800" s="4">
        <f t="shared" si="1178"/>
        <v>173.1</v>
      </c>
      <c r="N5800" s="4"/>
      <c r="O5800" s="1">
        <f t="shared" si="1179"/>
        <v>173.1</v>
      </c>
      <c r="P5800" s="1">
        <f t="shared" si="1180"/>
        <v>0</v>
      </c>
      <c r="Q5800" s="1" t="str">
        <f t="shared" si="1177"/>
        <v/>
      </c>
      <c r="R5800" s="1" t="str">
        <f t="shared" si="1181"/>
        <v/>
      </c>
      <c r="S5800" s="1">
        <f t="shared" si="1182"/>
        <v>630.90240000000244</v>
      </c>
      <c r="T5800" s="1">
        <f t="shared" si="1183"/>
        <v>0</v>
      </c>
      <c r="U5800" s="1">
        <f t="shared" si="1184"/>
        <v>0</v>
      </c>
      <c r="V5800" s="1">
        <f t="shared" si="1185"/>
        <v>0</v>
      </c>
    </row>
    <row r="5801" spans="13:22" x14ac:dyDescent="0.25">
      <c r="M5801" s="4">
        <f t="shared" si="1178"/>
        <v>173.1</v>
      </c>
      <c r="N5801" s="4"/>
      <c r="O5801" s="1">
        <f t="shared" si="1179"/>
        <v>173.1</v>
      </c>
      <c r="P5801" s="1">
        <f t="shared" si="1180"/>
        <v>0</v>
      </c>
      <c r="Q5801" s="1" t="str">
        <f t="shared" si="1177"/>
        <v/>
      </c>
      <c r="R5801" s="1" t="str">
        <f t="shared" si="1181"/>
        <v/>
      </c>
      <c r="S5801" s="1">
        <f t="shared" si="1182"/>
        <v>630.90240000000244</v>
      </c>
      <c r="T5801" s="1">
        <f t="shared" si="1183"/>
        <v>0</v>
      </c>
      <c r="U5801" s="1">
        <f t="shared" si="1184"/>
        <v>0</v>
      </c>
      <c r="V5801" s="1">
        <f t="shared" si="1185"/>
        <v>0</v>
      </c>
    </row>
    <row r="5802" spans="13:22" x14ac:dyDescent="0.25">
      <c r="M5802" s="4">
        <f t="shared" si="1178"/>
        <v>173.1</v>
      </c>
      <c r="N5802" s="4"/>
      <c r="O5802" s="1">
        <f t="shared" si="1179"/>
        <v>173.1</v>
      </c>
      <c r="P5802" s="1">
        <f t="shared" si="1180"/>
        <v>0</v>
      </c>
      <c r="Q5802" s="1" t="str">
        <f t="shared" si="1177"/>
        <v/>
      </c>
      <c r="R5802" s="1" t="str">
        <f t="shared" si="1181"/>
        <v/>
      </c>
      <c r="S5802" s="1">
        <f t="shared" si="1182"/>
        <v>630.90240000000244</v>
      </c>
      <c r="T5802" s="1">
        <f t="shared" si="1183"/>
        <v>0</v>
      </c>
      <c r="U5802" s="1">
        <f t="shared" si="1184"/>
        <v>0</v>
      </c>
      <c r="V5802" s="1">
        <f t="shared" si="1185"/>
        <v>0</v>
      </c>
    </row>
    <row r="5803" spans="13:22" x14ac:dyDescent="0.25">
      <c r="M5803" s="4">
        <f t="shared" si="1178"/>
        <v>173.1</v>
      </c>
      <c r="N5803" s="4"/>
      <c r="O5803" s="1">
        <f t="shared" si="1179"/>
        <v>173.1</v>
      </c>
      <c r="P5803" s="1">
        <f t="shared" si="1180"/>
        <v>0</v>
      </c>
      <c r="Q5803" s="1" t="str">
        <f t="shared" si="1177"/>
        <v/>
      </c>
      <c r="R5803" s="1" t="str">
        <f t="shared" si="1181"/>
        <v/>
      </c>
      <c r="S5803" s="1">
        <f t="shared" si="1182"/>
        <v>630.90240000000244</v>
      </c>
      <c r="T5803" s="1">
        <f t="shared" si="1183"/>
        <v>0</v>
      </c>
      <c r="U5803" s="1">
        <f t="shared" si="1184"/>
        <v>0</v>
      </c>
      <c r="V5803" s="1">
        <f t="shared" si="1185"/>
        <v>0</v>
      </c>
    </row>
    <row r="5804" spans="13:22" x14ac:dyDescent="0.25">
      <c r="M5804" s="4">
        <f t="shared" si="1178"/>
        <v>173.1</v>
      </c>
      <c r="N5804" s="4"/>
      <c r="O5804" s="1">
        <f t="shared" si="1179"/>
        <v>173.1</v>
      </c>
      <c r="P5804" s="1">
        <f t="shared" si="1180"/>
        <v>0</v>
      </c>
      <c r="Q5804" s="1" t="str">
        <f t="shared" si="1177"/>
        <v/>
      </c>
      <c r="R5804" s="1" t="str">
        <f t="shared" si="1181"/>
        <v/>
      </c>
      <c r="S5804" s="1">
        <f t="shared" si="1182"/>
        <v>630.90240000000244</v>
      </c>
      <c r="T5804" s="1">
        <f t="shared" si="1183"/>
        <v>0</v>
      </c>
      <c r="U5804" s="1">
        <f t="shared" si="1184"/>
        <v>0</v>
      </c>
      <c r="V5804" s="1">
        <f t="shared" si="1185"/>
        <v>0</v>
      </c>
    </row>
    <row r="5805" spans="13:22" x14ac:dyDescent="0.25">
      <c r="M5805" s="4">
        <f t="shared" si="1178"/>
        <v>173.1</v>
      </c>
      <c r="N5805" s="4"/>
      <c r="O5805" s="1">
        <f t="shared" si="1179"/>
        <v>173.1</v>
      </c>
      <c r="P5805" s="1">
        <f t="shared" si="1180"/>
        <v>0</v>
      </c>
      <c r="Q5805" s="1" t="str">
        <f t="shared" si="1177"/>
        <v/>
      </c>
      <c r="R5805" s="1" t="str">
        <f t="shared" si="1181"/>
        <v/>
      </c>
      <c r="S5805" s="1">
        <f t="shared" si="1182"/>
        <v>630.90240000000244</v>
      </c>
      <c r="T5805" s="1">
        <f t="shared" si="1183"/>
        <v>0</v>
      </c>
      <c r="U5805" s="1">
        <f t="shared" si="1184"/>
        <v>0</v>
      </c>
      <c r="V5805" s="1">
        <f t="shared" si="1185"/>
        <v>0</v>
      </c>
    </row>
    <row r="5806" spans="13:22" x14ac:dyDescent="0.25">
      <c r="M5806" s="4">
        <f t="shared" si="1178"/>
        <v>173.1</v>
      </c>
      <c r="N5806" s="4"/>
      <c r="O5806" s="1">
        <f t="shared" si="1179"/>
        <v>173.1</v>
      </c>
      <c r="P5806" s="1">
        <f t="shared" si="1180"/>
        <v>0</v>
      </c>
      <c r="Q5806" s="1" t="str">
        <f t="shared" si="1177"/>
        <v/>
      </c>
      <c r="R5806" s="1" t="str">
        <f t="shared" si="1181"/>
        <v/>
      </c>
      <c r="S5806" s="1">
        <f t="shared" si="1182"/>
        <v>630.90240000000244</v>
      </c>
      <c r="T5806" s="1">
        <f t="shared" si="1183"/>
        <v>0</v>
      </c>
      <c r="U5806" s="1">
        <f t="shared" si="1184"/>
        <v>0</v>
      </c>
      <c r="V5806" s="1">
        <f t="shared" si="1185"/>
        <v>0</v>
      </c>
    </row>
    <row r="5807" spans="13:22" x14ac:dyDescent="0.25">
      <c r="M5807" s="4">
        <f t="shared" si="1178"/>
        <v>173.1</v>
      </c>
      <c r="N5807" s="4"/>
      <c r="O5807" s="1">
        <f t="shared" si="1179"/>
        <v>173.1</v>
      </c>
      <c r="P5807" s="1">
        <f t="shared" si="1180"/>
        <v>0</v>
      </c>
      <c r="Q5807" s="1" t="str">
        <f t="shared" si="1177"/>
        <v/>
      </c>
      <c r="R5807" s="1" t="str">
        <f t="shared" si="1181"/>
        <v/>
      </c>
      <c r="S5807" s="1">
        <f t="shared" si="1182"/>
        <v>630.90240000000244</v>
      </c>
      <c r="T5807" s="1">
        <f t="shared" si="1183"/>
        <v>0</v>
      </c>
      <c r="U5807" s="1">
        <f t="shared" si="1184"/>
        <v>0</v>
      </c>
      <c r="V5807" s="1">
        <f t="shared" si="1185"/>
        <v>0</v>
      </c>
    </row>
    <row r="5808" spans="13:22" x14ac:dyDescent="0.25">
      <c r="M5808" s="4">
        <f t="shared" si="1178"/>
        <v>173.1</v>
      </c>
      <c r="N5808" s="4"/>
      <c r="O5808" s="1">
        <f t="shared" si="1179"/>
        <v>173.1</v>
      </c>
      <c r="P5808" s="1">
        <f t="shared" si="1180"/>
        <v>0</v>
      </c>
      <c r="Q5808" s="1" t="str">
        <f t="shared" si="1177"/>
        <v/>
      </c>
      <c r="R5808" s="1" t="str">
        <f t="shared" si="1181"/>
        <v/>
      </c>
      <c r="S5808" s="1">
        <f t="shared" si="1182"/>
        <v>630.90240000000244</v>
      </c>
      <c r="T5808" s="1">
        <f t="shared" si="1183"/>
        <v>0</v>
      </c>
      <c r="U5808" s="1">
        <f t="shared" si="1184"/>
        <v>0</v>
      </c>
      <c r="V5808" s="1">
        <f t="shared" si="1185"/>
        <v>0</v>
      </c>
    </row>
    <row r="5809" spans="13:22" x14ac:dyDescent="0.25">
      <c r="M5809" s="4">
        <f t="shared" si="1178"/>
        <v>173.1</v>
      </c>
      <c r="N5809" s="4"/>
      <c r="O5809" s="1">
        <f t="shared" si="1179"/>
        <v>173.1</v>
      </c>
      <c r="P5809" s="1">
        <f t="shared" si="1180"/>
        <v>0</v>
      </c>
      <c r="Q5809" s="1" t="str">
        <f t="shared" si="1177"/>
        <v/>
      </c>
      <c r="R5809" s="1" t="str">
        <f t="shared" si="1181"/>
        <v/>
      </c>
      <c r="S5809" s="1">
        <f t="shared" si="1182"/>
        <v>630.90240000000244</v>
      </c>
      <c r="T5809" s="1">
        <f t="shared" si="1183"/>
        <v>0</v>
      </c>
      <c r="U5809" s="1">
        <f t="shared" si="1184"/>
        <v>0</v>
      </c>
      <c r="V5809" s="1">
        <f t="shared" si="1185"/>
        <v>0</v>
      </c>
    </row>
    <row r="5810" spans="13:22" x14ac:dyDescent="0.25">
      <c r="M5810" s="4">
        <f t="shared" si="1178"/>
        <v>173.1</v>
      </c>
      <c r="N5810" s="4"/>
      <c r="O5810" s="1">
        <f t="shared" si="1179"/>
        <v>173.1</v>
      </c>
      <c r="P5810" s="1">
        <f t="shared" si="1180"/>
        <v>0</v>
      </c>
      <c r="Q5810" s="1" t="str">
        <f t="shared" ref="Q5810:Q5873" si="1186">IF(H5810&lt;&gt;"",IF(H5810=H5809,"",H5810),IF(H5808="","",MAX(H5809,Q5809)))</f>
        <v/>
      </c>
      <c r="R5810" s="1" t="str">
        <f t="shared" si="1181"/>
        <v/>
      </c>
      <c r="S5810" s="1">
        <f t="shared" si="1182"/>
        <v>630.90240000000244</v>
      </c>
      <c r="T5810" s="1">
        <f t="shared" si="1183"/>
        <v>0</v>
      </c>
      <c r="U5810" s="1">
        <f t="shared" si="1184"/>
        <v>0</v>
      </c>
      <c r="V5810" s="1">
        <f t="shared" si="1185"/>
        <v>0</v>
      </c>
    </row>
    <row r="5811" spans="13:22" x14ac:dyDescent="0.25">
      <c r="M5811" s="4">
        <f t="shared" si="1178"/>
        <v>173.1</v>
      </c>
      <c r="N5811" s="4"/>
      <c r="O5811" s="1">
        <f t="shared" si="1179"/>
        <v>173.1</v>
      </c>
      <c r="P5811" s="1">
        <f t="shared" si="1180"/>
        <v>0</v>
      </c>
      <c r="Q5811" s="1" t="str">
        <f t="shared" si="1186"/>
        <v/>
      </c>
      <c r="R5811" s="1" t="str">
        <f t="shared" si="1181"/>
        <v/>
      </c>
      <c r="S5811" s="1">
        <f t="shared" si="1182"/>
        <v>630.90240000000244</v>
      </c>
      <c r="T5811" s="1">
        <f t="shared" si="1183"/>
        <v>0</v>
      </c>
      <c r="U5811" s="1">
        <f t="shared" si="1184"/>
        <v>0</v>
      </c>
      <c r="V5811" s="1">
        <f t="shared" si="1185"/>
        <v>0</v>
      </c>
    </row>
    <row r="5812" spans="13:22" x14ac:dyDescent="0.25">
      <c r="M5812" s="4">
        <f t="shared" si="1178"/>
        <v>173.1</v>
      </c>
      <c r="N5812" s="4"/>
      <c r="O5812" s="1">
        <f t="shared" si="1179"/>
        <v>173.1</v>
      </c>
      <c r="P5812" s="1">
        <f t="shared" si="1180"/>
        <v>0</v>
      </c>
      <c r="Q5812" s="1" t="str">
        <f t="shared" si="1186"/>
        <v/>
      </c>
      <c r="R5812" s="1" t="str">
        <f t="shared" si="1181"/>
        <v/>
      </c>
      <c r="S5812" s="1">
        <f t="shared" si="1182"/>
        <v>630.90240000000244</v>
      </c>
      <c r="T5812" s="1">
        <f t="shared" si="1183"/>
        <v>0</v>
      </c>
      <c r="U5812" s="1">
        <f t="shared" si="1184"/>
        <v>0</v>
      </c>
      <c r="V5812" s="1">
        <f t="shared" si="1185"/>
        <v>0</v>
      </c>
    </row>
    <row r="5813" spans="13:22" x14ac:dyDescent="0.25">
      <c r="M5813" s="4">
        <f t="shared" si="1178"/>
        <v>173.1</v>
      </c>
      <c r="N5813" s="4"/>
      <c r="O5813" s="1">
        <f t="shared" si="1179"/>
        <v>173.1</v>
      </c>
      <c r="P5813" s="1">
        <f t="shared" si="1180"/>
        <v>0</v>
      </c>
      <c r="Q5813" s="1" t="str">
        <f t="shared" si="1186"/>
        <v/>
      </c>
      <c r="R5813" s="1" t="str">
        <f t="shared" si="1181"/>
        <v/>
      </c>
      <c r="S5813" s="1">
        <f t="shared" si="1182"/>
        <v>630.90240000000244</v>
      </c>
      <c r="T5813" s="1">
        <f t="shared" si="1183"/>
        <v>0</v>
      </c>
      <c r="U5813" s="1">
        <f t="shared" si="1184"/>
        <v>0</v>
      </c>
      <c r="V5813" s="1">
        <f t="shared" si="1185"/>
        <v>0</v>
      </c>
    </row>
    <row r="5814" spans="13:22" x14ac:dyDescent="0.25">
      <c r="M5814" s="4">
        <f t="shared" si="1178"/>
        <v>173.1</v>
      </c>
      <c r="N5814" s="4"/>
      <c r="O5814" s="1">
        <f t="shared" si="1179"/>
        <v>173.1</v>
      </c>
      <c r="P5814" s="1">
        <f t="shared" si="1180"/>
        <v>0</v>
      </c>
      <c r="Q5814" s="1" t="str">
        <f t="shared" si="1186"/>
        <v/>
      </c>
      <c r="R5814" s="1" t="str">
        <f t="shared" si="1181"/>
        <v/>
      </c>
      <c r="S5814" s="1">
        <f t="shared" si="1182"/>
        <v>630.90240000000244</v>
      </c>
      <c r="T5814" s="1">
        <f t="shared" si="1183"/>
        <v>0</v>
      </c>
      <c r="U5814" s="1">
        <f t="shared" si="1184"/>
        <v>0</v>
      </c>
      <c r="V5814" s="1">
        <f t="shared" si="1185"/>
        <v>0</v>
      </c>
    </row>
    <row r="5815" spans="13:22" x14ac:dyDescent="0.25">
      <c r="M5815" s="4">
        <f t="shared" si="1178"/>
        <v>173.1</v>
      </c>
      <c r="N5815" s="4"/>
      <c r="O5815" s="1">
        <f t="shared" si="1179"/>
        <v>173.1</v>
      </c>
      <c r="P5815" s="1">
        <f t="shared" si="1180"/>
        <v>0</v>
      </c>
      <c r="Q5815" s="1" t="str">
        <f t="shared" si="1186"/>
        <v/>
      </c>
      <c r="R5815" s="1" t="str">
        <f t="shared" si="1181"/>
        <v/>
      </c>
      <c r="S5815" s="1">
        <f t="shared" si="1182"/>
        <v>630.90240000000244</v>
      </c>
      <c r="T5815" s="1">
        <f t="shared" si="1183"/>
        <v>0</v>
      </c>
      <c r="U5815" s="1">
        <f t="shared" si="1184"/>
        <v>0</v>
      </c>
      <c r="V5815" s="1">
        <f t="shared" si="1185"/>
        <v>0</v>
      </c>
    </row>
    <row r="5816" spans="13:22" x14ac:dyDescent="0.25">
      <c r="M5816" s="4">
        <f t="shared" si="1178"/>
        <v>173.1</v>
      </c>
      <c r="N5816" s="4"/>
      <c r="O5816" s="1">
        <f t="shared" si="1179"/>
        <v>173.1</v>
      </c>
      <c r="P5816" s="1">
        <f t="shared" si="1180"/>
        <v>0</v>
      </c>
      <c r="Q5816" s="1" t="str">
        <f t="shared" si="1186"/>
        <v/>
      </c>
      <c r="R5816" s="1" t="str">
        <f t="shared" si="1181"/>
        <v/>
      </c>
      <c r="S5816" s="1">
        <f t="shared" si="1182"/>
        <v>630.90240000000244</v>
      </c>
      <c r="T5816" s="1">
        <f t="shared" si="1183"/>
        <v>0</v>
      </c>
      <c r="U5816" s="1">
        <f t="shared" si="1184"/>
        <v>0</v>
      </c>
      <c r="V5816" s="1">
        <f t="shared" si="1185"/>
        <v>0</v>
      </c>
    </row>
    <row r="5817" spans="13:22" x14ac:dyDescent="0.25">
      <c r="M5817" s="4">
        <f t="shared" si="1178"/>
        <v>173.1</v>
      </c>
      <c r="N5817" s="4"/>
      <c r="O5817" s="1">
        <f t="shared" si="1179"/>
        <v>173.1</v>
      </c>
      <c r="P5817" s="1">
        <f t="shared" si="1180"/>
        <v>0</v>
      </c>
      <c r="Q5817" s="1" t="str">
        <f t="shared" si="1186"/>
        <v/>
      </c>
      <c r="R5817" s="1" t="str">
        <f t="shared" si="1181"/>
        <v/>
      </c>
      <c r="S5817" s="1">
        <f t="shared" si="1182"/>
        <v>630.90240000000244</v>
      </c>
      <c r="T5817" s="1">
        <f t="shared" si="1183"/>
        <v>0</v>
      </c>
      <c r="U5817" s="1">
        <f t="shared" si="1184"/>
        <v>0</v>
      </c>
      <c r="V5817" s="1">
        <f t="shared" si="1185"/>
        <v>0</v>
      </c>
    </row>
    <row r="5818" spans="13:22" x14ac:dyDescent="0.25">
      <c r="M5818" s="4">
        <f t="shared" si="1178"/>
        <v>173.1</v>
      </c>
      <c r="N5818" s="4"/>
      <c r="O5818" s="1">
        <f t="shared" si="1179"/>
        <v>173.1</v>
      </c>
      <c r="P5818" s="1">
        <f t="shared" si="1180"/>
        <v>0</v>
      </c>
      <c r="Q5818" s="1" t="str">
        <f t="shared" si="1186"/>
        <v/>
      </c>
      <c r="R5818" s="1" t="str">
        <f t="shared" si="1181"/>
        <v/>
      </c>
      <c r="S5818" s="1">
        <f t="shared" si="1182"/>
        <v>630.90240000000244</v>
      </c>
      <c r="T5818" s="1">
        <f t="shared" si="1183"/>
        <v>0</v>
      </c>
      <c r="U5818" s="1">
        <f t="shared" si="1184"/>
        <v>0</v>
      </c>
      <c r="V5818" s="1">
        <f t="shared" si="1185"/>
        <v>0</v>
      </c>
    </row>
    <row r="5819" spans="13:22" x14ac:dyDescent="0.25">
      <c r="M5819" s="4">
        <f t="shared" si="1178"/>
        <v>173.1</v>
      </c>
      <c r="N5819" s="4"/>
      <c r="O5819" s="1">
        <f t="shared" si="1179"/>
        <v>173.1</v>
      </c>
      <c r="P5819" s="1">
        <f t="shared" si="1180"/>
        <v>0</v>
      </c>
      <c r="Q5819" s="1" t="str">
        <f t="shared" si="1186"/>
        <v/>
      </c>
      <c r="R5819" s="1" t="str">
        <f t="shared" si="1181"/>
        <v/>
      </c>
      <c r="S5819" s="1">
        <f t="shared" si="1182"/>
        <v>630.90240000000244</v>
      </c>
      <c r="T5819" s="1">
        <f t="shared" si="1183"/>
        <v>0</v>
      </c>
      <c r="U5819" s="1">
        <f t="shared" si="1184"/>
        <v>0</v>
      </c>
      <c r="V5819" s="1">
        <f t="shared" si="1185"/>
        <v>0</v>
      </c>
    </row>
    <row r="5820" spans="13:22" x14ac:dyDescent="0.25">
      <c r="M5820" s="4">
        <f t="shared" si="1178"/>
        <v>173.1</v>
      </c>
      <c r="N5820" s="4"/>
      <c r="O5820" s="1">
        <f t="shared" si="1179"/>
        <v>173.1</v>
      </c>
      <c r="P5820" s="1">
        <f t="shared" si="1180"/>
        <v>0</v>
      </c>
      <c r="Q5820" s="1" t="str">
        <f t="shared" si="1186"/>
        <v/>
      </c>
      <c r="R5820" s="1" t="str">
        <f t="shared" si="1181"/>
        <v/>
      </c>
      <c r="S5820" s="1">
        <f t="shared" si="1182"/>
        <v>630.90240000000244</v>
      </c>
      <c r="T5820" s="1">
        <f t="shared" si="1183"/>
        <v>0</v>
      </c>
      <c r="U5820" s="1">
        <f t="shared" si="1184"/>
        <v>0</v>
      </c>
      <c r="V5820" s="1">
        <f t="shared" si="1185"/>
        <v>0</v>
      </c>
    </row>
    <row r="5821" spans="13:22" x14ac:dyDescent="0.25">
      <c r="M5821" s="4">
        <f t="shared" si="1178"/>
        <v>173.1</v>
      </c>
      <c r="N5821" s="4"/>
      <c r="O5821" s="1">
        <f t="shared" si="1179"/>
        <v>173.1</v>
      </c>
      <c r="P5821" s="1">
        <f t="shared" si="1180"/>
        <v>0</v>
      </c>
      <c r="Q5821" s="1" t="str">
        <f t="shared" si="1186"/>
        <v/>
      </c>
      <c r="R5821" s="1" t="str">
        <f t="shared" si="1181"/>
        <v/>
      </c>
      <c r="S5821" s="1">
        <f t="shared" si="1182"/>
        <v>630.90240000000244</v>
      </c>
      <c r="T5821" s="1">
        <f t="shared" si="1183"/>
        <v>0</v>
      </c>
      <c r="U5821" s="1">
        <f t="shared" si="1184"/>
        <v>0</v>
      </c>
      <c r="V5821" s="1">
        <f t="shared" si="1185"/>
        <v>0</v>
      </c>
    </row>
    <row r="5822" spans="13:22" x14ac:dyDescent="0.25">
      <c r="M5822" s="4">
        <f t="shared" si="1178"/>
        <v>173.1</v>
      </c>
      <c r="N5822" s="4"/>
      <c r="O5822" s="1">
        <f t="shared" si="1179"/>
        <v>173.1</v>
      </c>
      <c r="P5822" s="1">
        <f t="shared" si="1180"/>
        <v>0</v>
      </c>
      <c r="Q5822" s="1" t="str">
        <f t="shared" si="1186"/>
        <v/>
      </c>
      <c r="R5822" s="1" t="str">
        <f t="shared" si="1181"/>
        <v/>
      </c>
      <c r="S5822" s="1">
        <f t="shared" si="1182"/>
        <v>630.90240000000244</v>
      </c>
      <c r="T5822" s="1">
        <f t="shared" si="1183"/>
        <v>0</v>
      </c>
      <c r="U5822" s="1">
        <f t="shared" si="1184"/>
        <v>0</v>
      </c>
      <c r="V5822" s="1">
        <f t="shared" si="1185"/>
        <v>0</v>
      </c>
    </row>
    <row r="5823" spans="13:22" x14ac:dyDescent="0.25">
      <c r="M5823" s="4">
        <f t="shared" si="1178"/>
        <v>173.1</v>
      </c>
      <c r="N5823" s="4"/>
      <c r="O5823" s="1">
        <f t="shared" si="1179"/>
        <v>173.1</v>
      </c>
      <c r="P5823" s="1">
        <f t="shared" si="1180"/>
        <v>0</v>
      </c>
      <c r="Q5823" s="1" t="str">
        <f t="shared" si="1186"/>
        <v/>
      </c>
      <c r="R5823" s="1" t="str">
        <f t="shared" si="1181"/>
        <v/>
      </c>
      <c r="S5823" s="1">
        <f t="shared" si="1182"/>
        <v>630.90240000000244</v>
      </c>
      <c r="T5823" s="1">
        <f t="shared" si="1183"/>
        <v>0</v>
      </c>
      <c r="U5823" s="1">
        <f t="shared" si="1184"/>
        <v>0</v>
      </c>
      <c r="V5823" s="1">
        <f t="shared" si="1185"/>
        <v>0</v>
      </c>
    </row>
    <row r="5824" spans="13:22" x14ac:dyDescent="0.25">
      <c r="M5824" s="4">
        <f t="shared" si="1178"/>
        <v>173.1</v>
      </c>
      <c r="N5824" s="4"/>
      <c r="O5824" s="1">
        <f t="shared" si="1179"/>
        <v>173.1</v>
      </c>
      <c r="P5824" s="1">
        <f t="shared" si="1180"/>
        <v>0</v>
      </c>
      <c r="Q5824" s="1" t="str">
        <f t="shared" si="1186"/>
        <v/>
      </c>
      <c r="R5824" s="1" t="str">
        <f t="shared" si="1181"/>
        <v/>
      </c>
      <c r="S5824" s="1">
        <f t="shared" si="1182"/>
        <v>630.90240000000244</v>
      </c>
      <c r="T5824" s="1">
        <f t="shared" si="1183"/>
        <v>0</v>
      </c>
      <c r="U5824" s="1">
        <f t="shared" si="1184"/>
        <v>0</v>
      </c>
      <c r="V5824" s="1">
        <f t="shared" si="1185"/>
        <v>0</v>
      </c>
    </row>
    <row r="5825" spans="13:22" x14ac:dyDescent="0.25">
      <c r="M5825" s="4">
        <f t="shared" si="1178"/>
        <v>173.1</v>
      </c>
      <c r="N5825" s="4"/>
      <c r="O5825" s="1">
        <f t="shared" si="1179"/>
        <v>173.1</v>
      </c>
      <c r="P5825" s="1">
        <f t="shared" si="1180"/>
        <v>0</v>
      </c>
      <c r="Q5825" s="1" t="str">
        <f t="shared" si="1186"/>
        <v/>
      </c>
      <c r="R5825" s="1" t="str">
        <f t="shared" si="1181"/>
        <v/>
      </c>
      <c r="S5825" s="1">
        <f t="shared" si="1182"/>
        <v>630.90240000000244</v>
      </c>
      <c r="T5825" s="1">
        <f t="shared" si="1183"/>
        <v>0</v>
      </c>
      <c r="U5825" s="1">
        <f t="shared" si="1184"/>
        <v>0</v>
      </c>
      <c r="V5825" s="1">
        <f t="shared" si="1185"/>
        <v>0</v>
      </c>
    </row>
    <row r="5826" spans="13:22" x14ac:dyDescent="0.25">
      <c r="M5826" s="4">
        <f t="shared" si="1178"/>
        <v>173.1</v>
      </c>
      <c r="N5826" s="4"/>
      <c r="O5826" s="1">
        <f t="shared" si="1179"/>
        <v>173.1</v>
      </c>
      <c r="P5826" s="1">
        <f t="shared" si="1180"/>
        <v>0</v>
      </c>
      <c r="Q5826" s="1" t="str">
        <f t="shared" si="1186"/>
        <v/>
      </c>
      <c r="R5826" s="1" t="str">
        <f t="shared" si="1181"/>
        <v/>
      </c>
      <c r="S5826" s="1">
        <f t="shared" si="1182"/>
        <v>630.90240000000244</v>
      </c>
      <c r="T5826" s="1">
        <f t="shared" si="1183"/>
        <v>0</v>
      </c>
      <c r="U5826" s="1">
        <f t="shared" si="1184"/>
        <v>0</v>
      </c>
      <c r="V5826" s="1">
        <f t="shared" si="1185"/>
        <v>0</v>
      </c>
    </row>
    <row r="5827" spans="13:22" x14ac:dyDescent="0.25">
      <c r="M5827" s="4">
        <f t="shared" si="1178"/>
        <v>173.1</v>
      </c>
      <c r="N5827" s="4"/>
      <c r="O5827" s="1">
        <f t="shared" si="1179"/>
        <v>173.1</v>
      </c>
      <c r="P5827" s="1">
        <f t="shared" si="1180"/>
        <v>0</v>
      </c>
      <c r="Q5827" s="1" t="str">
        <f t="shared" si="1186"/>
        <v/>
      </c>
      <c r="R5827" s="1" t="str">
        <f t="shared" si="1181"/>
        <v/>
      </c>
      <c r="S5827" s="1">
        <f t="shared" si="1182"/>
        <v>630.90240000000244</v>
      </c>
      <c r="T5827" s="1">
        <f t="shared" si="1183"/>
        <v>0</v>
      </c>
      <c r="U5827" s="1">
        <f t="shared" si="1184"/>
        <v>0</v>
      </c>
      <c r="V5827" s="1">
        <f t="shared" si="1185"/>
        <v>0</v>
      </c>
    </row>
    <row r="5828" spans="13:22" x14ac:dyDescent="0.25">
      <c r="M5828" s="4">
        <f t="shared" si="1178"/>
        <v>173.1</v>
      </c>
      <c r="N5828" s="4"/>
      <c r="O5828" s="1">
        <f t="shared" si="1179"/>
        <v>173.1</v>
      </c>
      <c r="P5828" s="1">
        <f t="shared" si="1180"/>
        <v>0</v>
      </c>
      <c r="Q5828" s="1" t="str">
        <f t="shared" si="1186"/>
        <v/>
      </c>
      <c r="R5828" s="1" t="str">
        <f t="shared" si="1181"/>
        <v/>
      </c>
      <c r="S5828" s="1">
        <f t="shared" si="1182"/>
        <v>630.90240000000244</v>
      </c>
      <c r="T5828" s="1">
        <f t="shared" si="1183"/>
        <v>0</v>
      </c>
      <c r="U5828" s="1">
        <f t="shared" si="1184"/>
        <v>0</v>
      </c>
      <c r="V5828" s="1">
        <f t="shared" si="1185"/>
        <v>0</v>
      </c>
    </row>
    <row r="5829" spans="13:22" x14ac:dyDescent="0.25">
      <c r="M5829" s="4">
        <f t="shared" si="1178"/>
        <v>173.1</v>
      </c>
      <c r="N5829" s="4"/>
      <c r="O5829" s="1">
        <f t="shared" si="1179"/>
        <v>173.1</v>
      </c>
      <c r="P5829" s="1">
        <f t="shared" si="1180"/>
        <v>0</v>
      </c>
      <c r="Q5829" s="1" t="str">
        <f t="shared" si="1186"/>
        <v/>
      </c>
      <c r="R5829" s="1" t="str">
        <f t="shared" si="1181"/>
        <v/>
      </c>
      <c r="S5829" s="1">
        <f t="shared" si="1182"/>
        <v>630.90240000000244</v>
      </c>
      <c r="T5829" s="1">
        <f t="shared" si="1183"/>
        <v>0</v>
      </c>
      <c r="U5829" s="1">
        <f t="shared" si="1184"/>
        <v>0</v>
      </c>
      <c r="V5829" s="1">
        <f t="shared" si="1185"/>
        <v>0</v>
      </c>
    </row>
    <row r="5830" spans="13:22" x14ac:dyDescent="0.25">
      <c r="M5830" s="4">
        <f t="shared" si="1178"/>
        <v>173.1</v>
      </c>
      <c r="N5830" s="4"/>
      <c r="O5830" s="1">
        <f t="shared" si="1179"/>
        <v>173.1</v>
      </c>
      <c r="P5830" s="1">
        <f t="shared" si="1180"/>
        <v>0</v>
      </c>
      <c r="Q5830" s="1" t="str">
        <f t="shared" si="1186"/>
        <v/>
      </c>
      <c r="R5830" s="1" t="str">
        <f t="shared" si="1181"/>
        <v/>
      </c>
      <c r="S5830" s="1">
        <f t="shared" si="1182"/>
        <v>630.90240000000244</v>
      </c>
      <c r="T5830" s="1">
        <f t="shared" si="1183"/>
        <v>0</v>
      </c>
      <c r="U5830" s="1">
        <f t="shared" si="1184"/>
        <v>0</v>
      </c>
      <c r="V5830" s="1">
        <f t="shared" si="1185"/>
        <v>0</v>
      </c>
    </row>
    <row r="5831" spans="13:22" x14ac:dyDescent="0.25">
      <c r="M5831" s="4">
        <f t="shared" si="1178"/>
        <v>173.1</v>
      </c>
      <c r="N5831" s="4"/>
      <c r="O5831" s="1">
        <f t="shared" si="1179"/>
        <v>173.1</v>
      </c>
      <c r="P5831" s="1">
        <f t="shared" si="1180"/>
        <v>0</v>
      </c>
      <c r="Q5831" s="1" t="str">
        <f t="shared" si="1186"/>
        <v/>
      </c>
      <c r="R5831" s="1" t="str">
        <f t="shared" si="1181"/>
        <v/>
      </c>
      <c r="S5831" s="1">
        <f t="shared" si="1182"/>
        <v>630.90240000000244</v>
      </c>
      <c r="T5831" s="1">
        <f t="shared" si="1183"/>
        <v>0</v>
      </c>
      <c r="U5831" s="1">
        <f t="shared" si="1184"/>
        <v>0</v>
      </c>
      <c r="V5831" s="1">
        <f t="shared" si="1185"/>
        <v>0</v>
      </c>
    </row>
    <row r="5832" spans="13:22" x14ac:dyDescent="0.25">
      <c r="M5832" s="4">
        <f t="shared" ref="M5832:M5895" si="1187">E5832+M5831</f>
        <v>173.1</v>
      </c>
      <c r="N5832" s="4"/>
      <c r="O5832" s="1">
        <f t="shared" ref="O5832:O5895" si="1188">E5831+O5831</f>
        <v>173.1</v>
      </c>
      <c r="P5832" s="1">
        <f t="shared" ref="P5832:P5895" si="1189">F5832*52.8*E5832</f>
        <v>0</v>
      </c>
      <c r="Q5832" s="1" t="str">
        <f t="shared" si="1186"/>
        <v/>
      </c>
      <c r="R5832" s="1" t="str">
        <f t="shared" ref="R5832:R5895" si="1190">IF(I5832="",Q5832,IF(AND(H5832=H5831,I5832=I5831),"",I5832))</f>
        <v/>
      </c>
      <c r="S5832" s="1">
        <f t="shared" ref="S5832:S5895" si="1191">S5831+U5831*T5831/100</f>
        <v>630.90240000000244</v>
      </c>
      <c r="T5832" s="1">
        <f t="shared" ref="T5832:T5895" si="1192">IF(G5832="UNK",0,G5832)</f>
        <v>0</v>
      </c>
      <c r="U5832" s="1">
        <f t="shared" ref="U5832:U5895" si="1193">E5832*5280</f>
        <v>0</v>
      </c>
      <c r="V5832" s="1">
        <f t="shared" ref="V5832:V5895" si="1194">ABS(T5832*U5832)</f>
        <v>0</v>
      </c>
    </row>
    <row r="5833" spans="13:22" x14ac:dyDescent="0.25">
      <c r="M5833" s="4">
        <f t="shared" si="1187"/>
        <v>173.1</v>
      </c>
      <c r="N5833" s="4"/>
      <c r="O5833" s="1">
        <f t="shared" si="1188"/>
        <v>173.1</v>
      </c>
      <c r="P5833" s="1">
        <f t="shared" si="1189"/>
        <v>0</v>
      </c>
      <c r="Q5833" s="1" t="str">
        <f t="shared" si="1186"/>
        <v/>
      </c>
      <c r="R5833" s="1" t="str">
        <f t="shared" si="1190"/>
        <v/>
      </c>
      <c r="S5833" s="1">
        <f t="shared" si="1191"/>
        <v>630.90240000000244</v>
      </c>
      <c r="T5833" s="1">
        <f t="shared" si="1192"/>
        <v>0</v>
      </c>
      <c r="U5833" s="1">
        <f t="shared" si="1193"/>
        <v>0</v>
      </c>
      <c r="V5833" s="1">
        <f t="shared" si="1194"/>
        <v>0</v>
      </c>
    </row>
    <row r="5834" spans="13:22" x14ac:dyDescent="0.25">
      <c r="M5834" s="4">
        <f t="shared" si="1187"/>
        <v>173.1</v>
      </c>
      <c r="N5834" s="4"/>
      <c r="O5834" s="1">
        <f t="shared" si="1188"/>
        <v>173.1</v>
      </c>
      <c r="P5834" s="1">
        <f t="shared" si="1189"/>
        <v>0</v>
      </c>
      <c r="Q5834" s="1" t="str">
        <f t="shared" si="1186"/>
        <v/>
      </c>
      <c r="R5834" s="1" t="str">
        <f t="shared" si="1190"/>
        <v/>
      </c>
      <c r="S5834" s="1">
        <f t="shared" si="1191"/>
        <v>630.90240000000244</v>
      </c>
      <c r="T5834" s="1">
        <f t="shared" si="1192"/>
        <v>0</v>
      </c>
      <c r="U5834" s="1">
        <f t="shared" si="1193"/>
        <v>0</v>
      </c>
      <c r="V5834" s="1">
        <f t="shared" si="1194"/>
        <v>0</v>
      </c>
    </row>
    <row r="5835" spans="13:22" x14ac:dyDescent="0.25">
      <c r="M5835" s="4">
        <f t="shared" si="1187"/>
        <v>173.1</v>
      </c>
      <c r="N5835" s="4"/>
      <c r="O5835" s="1">
        <f t="shared" si="1188"/>
        <v>173.1</v>
      </c>
      <c r="P5835" s="1">
        <f t="shared" si="1189"/>
        <v>0</v>
      </c>
      <c r="Q5835" s="1" t="str">
        <f t="shared" si="1186"/>
        <v/>
      </c>
      <c r="R5835" s="1" t="str">
        <f t="shared" si="1190"/>
        <v/>
      </c>
      <c r="S5835" s="1">
        <f t="shared" si="1191"/>
        <v>630.90240000000244</v>
      </c>
      <c r="T5835" s="1">
        <f t="shared" si="1192"/>
        <v>0</v>
      </c>
      <c r="U5835" s="1">
        <f t="shared" si="1193"/>
        <v>0</v>
      </c>
      <c r="V5835" s="1">
        <f t="shared" si="1194"/>
        <v>0</v>
      </c>
    </row>
    <row r="5836" spans="13:22" x14ac:dyDescent="0.25">
      <c r="M5836" s="4">
        <f t="shared" si="1187"/>
        <v>173.1</v>
      </c>
      <c r="N5836" s="4"/>
      <c r="O5836" s="1">
        <f t="shared" si="1188"/>
        <v>173.1</v>
      </c>
      <c r="P5836" s="1">
        <f t="shared" si="1189"/>
        <v>0</v>
      </c>
      <c r="Q5836" s="1" t="str">
        <f t="shared" si="1186"/>
        <v/>
      </c>
      <c r="R5836" s="1" t="str">
        <f t="shared" si="1190"/>
        <v/>
      </c>
      <c r="S5836" s="1">
        <f t="shared" si="1191"/>
        <v>630.90240000000244</v>
      </c>
      <c r="T5836" s="1">
        <f t="shared" si="1192"/>
        <v>0</v>
      </c>
      <c r="U5836" s="1">
        <f t="shared" si="1193"/>
        <v>0</v>
      </c>
      <c r="V5836" s="1">
        <f t="shared" si="1194"/>
        <v>0</v>
      </c>
    </row>
    <row r="5837" spans="13:22" x14ac:dyDescent="0.25">
      <c r="M5837" s="4">
        <f t="shared" si="1187"/>
        <v>173.1</v>
      </c>
      <c r="N5837" s="4"/>
      <c r="O5837" s="1">
        <f t="shared" si="1188"/>
        <v>173.1</v>
      </c>
      <c r="P5837" s="1">
        <f t="shared" si="1189"/>
        <v>0</v>
      </c>
      <c r="Q5837" s="1" t="str">
        <f t="shared" si="1186"/>
        <v/>
      </c>
      <c r="R5837" s="1" t="str">
        <f t="shared" si="1190"/>
        <v/>
      </c>
      <c r="S5837" s="1">
        <f t="shared" si="1191"/>
        <v>630.90240000000244</v>
      </c>
      <c r="T5837" s="1">
        <f t="shared" si="1192"/>
        <v>0</v>
      </c>
      <c r="U5837" s="1">
        <f t="shared" si="1193"/>
        <v>0</v>
      </c>
      <c r="V5837" s="1">
        <f t="shared" si="1194"/>
        <v>0</v>
      </c>
    </row>
    <row r="5838" spans="13:22" x14ac:dyDescent="0.25">
      <c r="M5838" s="4">
        <f t="shared" si="1187"/>
        <v>173.1</v>
      </c>
      <c r="N5838" s="4"/>
      <c r="O5838" s="1">
        <f t="shared" si="1188"/>
        <v>173.1</v>
      </c>
      <c r="P5838" s="1">
        <f t="shared" si="1189"/>
        <v>0</v>
      </c>
      <c r="Q5838" s="1" t="str">
        <f t="shared" si="1186"/>
        <v/>
      </c>
      <c r="R5838" s="1" t="str">
        <f t="shared" si="1190"/>
        <v/>
      </c>
      <c r="S5838" s="1">
        <f t="shared" si="1191"/>
        <v>630.90240000000244</v>
      </c>
      <c r="T5838" s="1">
        <f t="shared" si="1192"/>
        <v>0</v>
      </c>
      <c r="U5838" s="1">
        <f t="shared" si="1193"/>
        <v>0</v>
      </c>
      <c r="V5838" s="1">
        <f t="shared" si="1194"/>
        <v>0</v>
      </c>
    </row>
    <row r="5839" spans="13:22" x14ac:dyDescent="0.25">
      <c r="M5839" s="4">
        <f t="shared" si="1187"/>
        <v>173.1</v>
      </c>
      <c r="N5839" s="4"/>
      <c r="O5839" s="1">
        <f t="shared" si="1188"/>
        <v>173.1</v>
      </c>
      <c r="P5839" s="1">
        <f t="shared" si="1189"/>
        <v>0</v>
      </c>
      <c r="Q5839" s="1" t="str">
        <f t="shared" si="1186"/>
        <v/>
      </c>
      <c r="R5839" s="1" t="str">
        <f t="shared" si="1190"/>
        <v/>
      </c>
      <c r="S5839" s="1">
        <f t="shared" si="1191"/>
        <v>630.90240000000244</v>
      </c>
      <c r="T5839" s="1">
        <f t="shared" si="1192"/>
        <v>0</v>
      </c>
      <c r="U5839" s="1">
        <f t="shared" si="1193"/>
        <v>0</v>
      </c>
      <c r="V5839" s="1">
        <f t="shared" si="1194"/>
        <v>0</v>
      </c>
    </row>
    <row r="5840" spans="13:22" x14ac:dyDescent="0.25">
      <c r="M5840" s="4">
        <f t="shared" si="1187"/>
        <v>173.1</v>
      </c>
      <c r="N5840" s="4"/>
      <c r="O5840" s="1">
        <f t="shared" si="1188"/>
        <v>173.1</v>
      </c>
      <c r="P5840" s="1">
        <f t="shared" si="1189"/>
        <v>0</v>
      </c>
      <c r="Q5840" s="1" t="str">
        <f t="shared" si="1186"/>
        <v/>
      </c>
      <c r="R5840" s="1" t="str">
        <f t="shared" si="1190"/>
        <v/>
      </c>
      <c r="S5840" s="1">
        <f t="shared" si="1191"/>
        <v>630.90240000000244</v>
      </c>
      <c r="T5840" s="1">
        <f t="shared" si="1192"/>
        <v>0</v>
      </c>
      <c r="U5840" s="1">
        <f t="shared" si="1193"/>
        <v>0</v>
      </c>
      <c r="V5840" s="1">
        <f t="shared" si="1194"/>
        <v>0</v>
      </c>
    </row>
    <row r="5841" spans="13:22" x14ac:dyDescent="0.25">
      <c r="M5841" s="4">
        <f t="shared" si="1187"/>
        <v>173.1</v>
      </c>
      <c r="N5841" s="4"/>
      <c r="O5841" s="1">
        <f t="shared" si="1188"/>
        <v>173.1</v>
      </c>
      <c r="P5841" s="1">
        <f t="shared" si="1189"/>
        <v>0</v>
      </c>
      <c r="Q5841" s="1" t="str">
        <f t="shared" si="1186"/>
        <v/>
      </c>
      <c r="R5841" s="1" t="str">
        <f t="shared" si="1190"/>
        <v/>
      </c>
      <c r="S5841" s="1">
        <f t="shared" si="1191"/>
        <v>630.90240000000244</v>
      </c>
      <c r="T5841" s="1">
        <f t="shared" si="1192"/>
        <v>0</v>
      </c>
      <c r="U5841" s="1">
        <f t="shared" si="1193"/>
        <v>0</v>
      </c>
      <c r="V5841" s="1">
        <f t="shared" si="1194"/>
        <v>0</v>
      </c>
    </row>
    <row r="5842" spans="13:22" x14ac:dyDescent="0.25">
      <c r="M5842" s="4">
        <f t="shared" si="1187"/>
        <v>173.1</v>
      </c>
      <c r="N5842" s="4"/>
      <c r="O5842" s="1">
        <f t="shared" si="1188"/>
        <v>173.1</v>
      </c>
      <c r="P5842" s="1">
        <f t="shared" si="1189"/>
        <v>0</v>
      </c>
      <c r="Q5842" s="1" t="str">
        <f t="shared" si="1186"/>
        <v/>
      </c>
      <c r="R5842" s="1" t="str">
        <f t="shared" si="1190"/>
        <v/>
      </c>
      <c r="S5842" s="1">
        <f t="shared" si="1191"/>
        <v>630.90240000000244</v>
      </c>
      <c r="T5842" s="1">
        <f t="shared" si="1192"/>
        <v>0</v>
      </c>
      <c r="U5842" s="1">
        <f t="shared" si="1193"/>
        <v>0</v>
      </c>
      <c r="V5842" s="1">
        <f t="shared" si="1194"/>
        <v>0</v>
      </c>
    </row>
    <row r="5843" spans="13:22" x14ac:dyDescent="0.25">
      <c r="M5843" s="4">
        <f t="shared" si="1187"/>
        <v>173.1</v>
      </c>
      <c r="N5843" s="4"/>
      <c r="O5843" s="1">
        <f t="shared" si="1188"/>
        <v>173.1</v>
      </c>
      <c r="P5843" s="1">
        <f t="shared" si="1189"/>
        <v>0</v>
      </c>
      <c r="Q5843" s="1" t="str">
        <f t="shared" si="1186"/>
        <v/>
      </c>
      <c r="R5843" s="1" t="str">
        <f t="shared" si="1190"/>
        <v/>
      </c>
      <c r="S5843" s="1">
        <f t="shared" si="1191"/>
        <v>630.90240000000244</v>
      </c>
      <c r="T5843" s="1">
        <f t="shared" si="1192"/>
        <v>0</v>
      </c>
      <c r="U5843" s="1">
        <f t="shared" si="1193"/>
        <v>0</v>
      </c>
      <c r="V5843" s="1">
        <f t="shared" si="1194"/>
        <v>0</v>
      </c>
    </row>
    <row r="5844" spans="13:22" x14ac:dyDescent="0.25">
      <c r="M5844" s="4">
        <f t="shared" si="1187"/>
        <v>173.1</v>
      </c>
      <c r="N5844" s="4"/>
      <c r="O5844" s="1">
        <f t="shared" si="1188"/>
        <v>173.1</v>
      </c>
      <c r="P5844" s="1">
        <f t="shared" si="1189"/>
        <v>0</v>
      </c>
      <c r="Q5844" s="1" t="str">
        <f t="shared" si="1186"/>
        <v/>
      </c>
      <c r="R5844" s="1" t="str">
        <f t="shared" si="1190"/>
        <v/>
      </c>
      <c r="S5844" s="1">
        <f t="shared" si="1191"/>
        <v>630.90240000000244</v>
      </c>
      <c r="T5844" s="1">
        <f t="shared" si="1192"/>
        <v>0</v>
      </c>
      <c r="U5844" s="1">
        <f t="shared" si="1193"/>
        <v>0</v>
      </c>
      <c r="V5844" s="1">
        <f t="shared" si="1194"/>
        <v>0</v>
      </c>
    </row>
    <row r="5845" spans="13:22" x14ac:dyDescent="0.25">
      <c r="M5845" s="4">
        <f t="shared" si="1187"/>
        <v>173.1</v>
      </c>
      <c r="N5845" s="4"/>
      <c r="O5845" s="1">
        <f t="shared" si="1188"/>
        <v>173.1</v>
      </c>
      <c r="P5845" s="1">
        <f t="shared" si="1189"/>
        <v>0</v>
      </c>
      <c r="Q5845" s="1" t="str">
        <f t="shared" si="1186"/>
        <v/>
      </c>
      <c r="R5845" s="1" t="str">
        <f t="shared" si="1190"/>
        <v/>
      </c>
      <c r="S5845" s="1">
        <f t="shared" si="1191"/>
        <v>630.90240000000244</v>
      </c>
      <c r="T5845" s="1">
        <f t="shared" si="1192"/>
        <v>0</v>
      </c>
      <c r="U5845" s="1">
        <f t="shared" si="1193"/>
        <v>0</v>
      </c>
      <c r="V5845" s="1">
        <f t="shared" si="1194"/>
        <v>0</v>
      </c>
    </row>
    <row r="5846" spans="13:22" x14ac:dyDescent="0.25">
      <c r="M5846" s="4">
        <f t="shared" si="1187"/>
        <v>173.1</v>
      </c>
      <c r="N5846" s="4"/>
      <c r="O5846" s="1">
        <f t="shared" si="1188"/>
        <v>173.1</v>
      </c>
      <c r="P5846" s="1">
        <f t="shared" si="1189"/>
        <v>0</v>
      </c>
      <c r="Q5846" s="1" t="str">
        <f t="shared" si="1186"/>
        <v/>
      </c>
      <c r="R5846" s="1" t="str">
        <f t="shared" si="1190"/>
        <v/>
      </c>
      <c r="S5846" s="1">
        <f t="shared" si="1191"/>
        <v>630.90240000000244</v>
      </c>
      <c r="T5846" s="1">
        <f t="shared" si="1192"/>
        <v>0</v>
      </c>
      <c r="U5846" s="1">
        <f t="shared" si="1193"/>
        <v>0</v>
      </c>
      <c r="V5846" s="1">
        <f t="shared" si="1194"/>
        <v>0</v>
      </c>
    </row>
    <row r="5847" spans="13:22" x14ac:dyDescent="0.25">
      <c r="M5847" s="4">
        <f t="shared" si="1187"/>
        <v>173.1</v>
      </c>
      <c r="N5847" s="4"/>
      <c r="O5847" s="1">
        <f t="shared" si="1188"/>
        <v>173.1</v>
      </c>
      <c r="P5847" s="1">
        <f t="shared" si="1189"/>
        <v>0</v>
      </c>
      <c r="Q5847" s="1" t="str">
        <f t="shared" si="1186"/>
        <v/>
      </c>
      <c r="R5847" s="1" t="str">
        <f t="shared" si="1190"/>
        <v/>
      </c>
      <c r="S5847" s="1">
        <f t="shared" si="1191"/>
        <v>630.90240000000244</v>
      </c>
      <c r="T5847" s="1">
        <f t="shared" si="1192"/>
        <v>0</v>
      </c>
      <c r="U5847" s="1">
        <f t="shared" si="1193"/>
        <v>0</v>
      </c>
      <c r="V5847" s="1">
        <f t="shared" si="1194"/>
        <v>0</v>
      </c>
    </row>
    <row r="5848" spans="13:22" x14ac:dyDescent="0.25">
      <c r="M5848" s="4">
        <f t="shared" si="1187"/>
        <v>173.1</v>
      </c>
      <c r="N5848" s="4"/>
      <c r="O5848" s="1">
        <f t="shared" si="1188"/>
        <v>173.1</v>
      </c>
      <c r="P5848" s="1">
        <f t="shared" si="1189"/>
        <v>0</v>
      </c>
      <c r="Q5848" s="1" t="str">
        <f t="shared" si="1186"/>
        <v/>
      </c>
      <c r="R5848" s="1" t="str">
        <f t="shared" si="1190"/>
        <v/>
      </c>
      <c r="S5848" s="1">
        <f t="shared" si="1191"/>
        <v>630.90240000000244</v>
      </c>
      <c r="T5848" s="1">
        <f t="shared" si="1192"/>
        <v>0</v>
      </c>
      <c r="U5848" s="1">
        <f t="shared" si="1193"/>
        <v>0</v>
      </c>
      <c r="V5848" s="1">
        <f t="shared" si="1194"/>
        <v>0</v>
      </c>
    </row>
    <row r="5849" spans="13:22" x14ac:dyDescent="0.25">
      <c r="M5849" s="4">
        <f t="shared" si="1187"/>
        <v>173.1</v>
      </c>
      <c r="N5849" s="4"/>
      <c r="O5849" s="1">
        <f t="shared" si="1188"/>
        <v>173.1</v>
      </c>
      <c r="P5849" s="1">
        <f t="shared" si="1189"/>
        <v>0</v>
      </c>
      <c r="Q5849" s="1" t="str">
        <f t="shared" si="1186"/>
        <v/>
      </c>
      <c r="R5849" s="1" t="str">
        <f t="shared" si="1190"/>
        <v/>
      </c>
      <c r="S5849" s="1">
        <f t="shared" si="1191"/>
        <v>630.90240000000244</v>
      </c>
      <c r="T5849" s="1">
        <f t="shared" si="1192"/>
        <v>0</v>
      </c>
      <c r="U5849" s="1">
        <f t="shared" si="1193"/>
        <v>0</v>
      </c>
      <c r="V5849" s="1">
        <f t="shared" si="1194"/>
        <v>0</v>
      </c>
    </row>
    <row r="5850" spans="13:22" x14ac:dyDescent="0.25">
      <c r="M5850" s="4">
        <f t="shared" si="1187"/>
        <v>173.1</v>
      </c>
      <c r="N5850" s="4"/>
      <c r="O5850" s="1">
        <f t="shared" si="1188"/>
        <v>173.1</v>
      </c>
      <c r="P5850" s="1">
        <f t="shared" si="1189"/>
        <v>0</v>
      </c>
      <c r="Q5850" s="1" t="str">
        <f t="shared" si="1186"/>
        <v/>
      </c>
      <c r="R5850" s="1" t="str">
        <f t="shared" si="1190"/>
        <v/>
      </c>
      <c r="S5850" s="1">
        <f t="shared" si="1191"/>
        <v>630.90240000000244</v>
      </c>
      <c r="T5850" s="1">
        <f t="shared" si="1192"/>
        <v>0</v>
      </c>
      <c r="U5850" s="1">
        <f t="shared" si="1193"/>
        <v>0</v>
      </c>
      <c r="V5850" s="1">
        <f t="shared" si="1194"/>
        <v>0</v>
      </c>
    </row>
    <row r="5851" spans="13:22" x14ac:dyDescent="0.25">
      <c r="M5851" s="4">
        <f t="shared" si="1187"/>
        <v>173.1</v>
      </c>
      <c r="N5851" s="4"/>
      <c r="O5851" s="1">
        <f t="shared" si="1188"/>
        <v>173.1</v>
      </c>
      <c r="P5851" s="1">
        <f t="shared" si="1189"/>
        <v>0</v>
      </c>
      <c r="Q5851" s="1" t="str">
        <f t="shared" si="1186"/>
        <v/>
      </c>
      <c r="R5851" s="1" t="str">
        <f t="shared" si="1190"/>
        <v/>
      </c>
      <c r="S5851" s="1">
        <f t="shared" si="1191"/>
        <v>630.90240000000244</v>
      </c>
      <c r="T5851" s="1">
        <f t="shared" si="1192"/>
        <v>0</v>
      </c>
      <c r="U5851" s="1">
        <f t="shared" si="1193"/>
        <v>0</v>
      </c>
      <c r="V5851" s="1">
        <f t="shared" si="1194"/>
        <v>0</v>
      </c>
    </row>
    <row r="5852" spans="13:22" x14ac:dyDescent="0.25">
      <c r="M5852" s="4">
        <f t="shared" si="1187"/>
        <v>173.1</v>
      </c>
      <c r="N5852" s="4"/>
      <c r="O5852" s="1">
        <f t="shared" si="1188"/>
        <v>173.1</v>
      </c>
      <c r="P5852" s="1">
        <f t="shared" si="1189"/>
        <v>0</v>
      </c>
      <c r="Q5852" s="1" t="str">
        <f t="shared" si="1186"/>
        <v/>
      </c>
      <c r="R5852" s="1" t="str">
        <f t="shared" si="1190"/>
        <v/>
      </c>
      <c r="S5852" s="1">
        <f t="shared" si="1191"/>
        <v>630.90240000000244</v>
      </c>
      <c r="T5852" s="1">
        <f t="shared" si="1192"/>
        <v>0</v>
      </c>
      <c r="U5852" s="1">
        <f t="shared" si="1193"/>
        <v>0</v>
      </c>
      <c r="V5852" s="1">
        <f t="shared" si="1194"/>
        <v>0</v>
      </c>
    </row>
    <row r="5853" spans="13:22" x14ac:dyDescent="0.25">
      <c r="M5853" s="4">
        <f t="shared" si="1187"/>
        <v>173.1</v>
      </c>
      <c r="N5853" s="4"/>
      <c r="O5853" s="1">
        <f t="shared" si="1188"/>
        <v>173.1</v>
      </c>
      <c r="P5853" s="1">
        <f t="shared" si="1189"/>
        <v>0</v>
      </c>
      <c r="Q5853" s="1" t="str">
        <f t="shared" si="1186"/>
        <v/>
      </c>
      <c r="R5853" s="1" t="str">
        <f t="shared" si="1190"/>
        <v/>
      </c>
      <c r="S5853" s="1">
        <f t="shared" si="1191"/>
        <v>630.90240000000244</v>
      </c>
      <c r="T5853" s="1">
        <f t="shared" si="1192"/>
        <v>0</v>
      </c>
      <c r="U5853" s="1">
        <f t="shared" si="1193"/>
        <v>0</v>
      </c>
      <c r="V5853" s="1">
        <f t="shared" si="1194"/>
        <v>0</v>
      </c>
    </row>
    <row r="5854" spans="13:22" x14ac:dyDescent="0.25">
      <c r="M5854" s="4">
        <f t="shared" si="1187"/>
        <v>173.1</v>
      </c>
      <c r="N5854" s="4"/>
      <c r="O5854" s="1">
        <f t="shared" si="1188"/>
        <v>173.1</v>
      </c>
      <c r="P5854" s="1">
        <f t="shared" si="1189"/>
        <v>0</v>
      </c>
      <c r="Q5854" s="1" t="str">
        <f t="shared" si="1186"/>
        <v/>
      </c>
      <c r="R5854" s="1" t="str">
        <f t="shared" si="1190"/>
        <v/>
      </c>
      <c r="S5854" s="1">
        <f t="shared" si="1191"/>
        <v>630.90240000000244</v>
      </c>
      <c r="T5854" s="1">
        <f t="shared" si="1192"/>
        <v>0</v>
      </c>
      <c r="U5854" s="1">
        <f t="shared" si="1193"/>
        <v>0</v>
      </c>
      <c r="V5854" s="1">
        <f t="shared" si="1194"/>
        <v>0</v>
      </c>
    </row>
    <row r="5855" spans="13:22" x14ac:dyDescent="0.25">
      <c r="M5855" s="4">
        <f t="shared" si="1187"/>
        <v>173.1</v>
      </c>
      <c r="N5855" s="4"/>
      <c r="O5855" s="1">
        <f t="shared" si="1188"/>
        <v>173.1</v>
      </c>
      <c r="P5855" s="1">
        <f t="shared" si="1189"/>
        <v>0</v>
      </c>
      <c r="Q5855" s="1" t="str">
        <f t="shared" si="1186"/>
        <v/>
      </c>
      <c r="R5855" s="1" t="str">
        <f t="shared" si="1190"/>
        <v/>
      </c>
      <c r="S5855" s="1">
        <f t="shared" si="1191"/>
        <v>630.90240000000244</v>
      </c>
      <c r="T5855" s="1">
        <f t="shared" si="1192"/>
        <v>0</v>
      </c>
      <c r="U5855" s="1">
        <f t="shared" si="1193"/>
        <v>0</v>
      </c>
      <c r="V5855" s="1">
        <f t="shared" si="1194"/>
        <v>0</v>
      </c>
    </row>
    <row r="5856" spans="13:22" x14ac:dyDescent="0.25">
      <c r="M5856" s="4">
        <f t="shared" si="1187"/>
        <v>173.1</v>
      </c>
      <c r="N5856" s="4"/>
      <c r="O5856" s="1">
        <f t="shared" si="1188"/>
        <v>173.1</v>
      </c>
      <c r="P5856" s="1">
        <f t="shared" si="1189"/>
        <v>0</v>
      </c>
      <c r="Q5856" s="1" t="str">
        <f t="shared" si="1186"/>
        <v/>
      </c>
      <c r="R5856" s="1" t="str">
        <f t="shared" si="1190"/>
        <v/>
      </c>
      <c r="S5856" s="1">
        <f t="shared" si="1191"/>
        <v>630.90240000000244</v>
      </c>
      <c r="T5856" s="1">
        <f t="shared" si="1192"/>
        <v>0</v>
      </c>
      <c r="U5856" s="1">
        <f t="shared" si="1193"/>
        <v>0</v>
      </c>
      <c r="V5856" s="1">
        <f t="shared" si="1194"/>
        <v>0</v>
      </c>
    </row>
    <row r="5857" spans="13:22" x14ac:dyDescent="0.25">
      <c r="M5857" s="4">
        <f t="shared" si="1187"/>
        <v>173.1</v>
      </c>
      <c r="N5857" s="4"/>
      <c r="O5857" s="1">
        <f t="shared" si="1188"/>
        <v>173.1</v>
      </c>
      <c r="P5857" s="1">
        <f t="shared" si="1189"/>
        <v>0</v>
      </c>
      <c r="Q5857" s="1" t="str">
        <f t="shared" si="1186"/>
        <v/>
      </c>
      <c r="R5857" s="1" t="str">
        <f t="shared" si="1190"/>
        <v/>
      </c>
      <c r="S5857" s="1">
        <f t="shared" si="1191"/>
        <v>630.90240000000244</v>
      </c>
      <c r="T5857" s="1">
        <f t="shared" si="1192"/>
        <v>0</v>
      </c>
      <c r="U5857" s="1">
        <f t="shared" si="1193"/>
        <v>0</v>
      </c>
      <c r="V5857" s="1">
        <f t="shared" si="1194"/>
        <v>0</v>
      </c>
    </row>
    <row r="5858" spans="13:22" x14ac:dyDescent="0.25">
      <c r="M5858" s="4">
        <f t="shared" si="1187"/>
        <v>173.1</v>
      </c>
      <c r="N5858" s="4"/>
      <c r="O5858" s="1">
        <f t="shared" si="1188"/>
        <v>173.1</v>
      </c>
      <c r="P5858" s="1">
        <f t="shared" si="1189"/>
        <v>0</v>
      </c>
      <c r="Q5858" s="1" t="str">
        <f t="shared" si="1186"/>
        <v/>
      </c>
      <c r="R5858" s="1" t="str">
        <f t="shared" si="1190"/>
        <v/>
      </c>
      <c r="S5858" s="1">
        <f t="shared" si="1191"/>
        <v>630.90240000000244</v>
      </c>
      <c r="T5858" s="1">
        <f t="shared" si="1192"/>
        <v>0</v>
      </c>
      <c r="U5858" s="1">
        <f t="shared" si="1193"/>
        <v>0</v>
      </c>
      <c r="V5858" s="1">
        <f t="shared" si="1194"/>
        <v>0</v>
      </c>
    </row>
    <row r="5859" spans="13:22" x14ac:dyDescent="0.25">
      <c r="M5859" s="4">
        <f t="shared" si="1187"/>
        <v>173.1</v>
      </c>
      <c r="N5859" s="4"/>
      <c r="O5859" s="1">
        <f t="shared" si="1188"/>
        <v>173.1</v>
      </c>
      <c r="P5859" s="1">
        <f t="shared" si="1189"/>
        <v>0</v>
      </c>
      <c r="Q5859" s="1" t="str">
        <f t="shared" si="1186"/>
        <v/>
      </c>
      <c r="R5859" s="1" t="str">
        <f t="shared" si="1190"/>
        <v/>
      </c>
      <c r="S5859" s="1">
        <f t="shared" si="1191"/>
        <v>630.90240000000244</v>
      </c>
      <c r="T5859" s="1">
        <f t="shared" si="1192"/>
        <v>0</v>
      </c>
      <c r="U5859" s="1">
        <f t="shared" si="1193"/>
        <v>0</v>
      </c>
      <c r="V5859" s="1">
        <f t="shared" si="1194"/>
        <v>0</v>
      </c>
    </row>
    <row r="5860" spans="13:22" x14ac:dyDescent="0.25">
      <c r="M5860" s="4">
        <f t="shared" si="1187"/>
        <v>173.1</v>
      </c>
      <c r="N5860" s="4"/>
      <c r="O5860" s="1">
        <f t="shared" si="1188"/>
        <v>173.1</v>
      </c>
      <c r="P5860" s="1">
        <f t="shared" si="1189"/>
        <v>0</v>
      </c>
      <c r="Q5860" s="1" t="str">
        <f t="shared" si="1186"/>
        <v/>
      </c>
      <c r="R5860" s="1" t="str">
        <f t="shared" si="1190"/>
        <v/>
      </c>
      <c r="S5860" s="1">
        <f t="shared" si="1191"/>
        <v>630.90240000000244</v>
      </c>
      <c r="T5860" s="1">
        <f t="shared" si="1192"/>
        <v>0</v>
      </c>
      <c r="U5860" s="1">
        <f t="shared" si="1193"/>
        <v>0</v>
      </c>
      <c r="V5860" s="1">
        <f t="shared" si="1194"/>
        <v>0</v>
      </c>
    </row>
    <row r="5861" spans="13:22" x14ac:dyDescent="0.25">
      <c r="M5861" s="4">
        <f t="shared" si="1187"/>
        <v>173.1</v>
      </c>
      <c r="N5861" s="4"/>
      <c r="O5861" s="1">
        <f t="shared" si="1188"/>
        <v>173.1</v>
      </c>
      <c r="P5861" s="1">
        <f t="shared" si="1189"/>
        <v>0</v>
      </c>
      <c r="Q5861" s="1" t="str">
        <f t="shared" si="1186"/>
        <v/>
      </c>
      <c r="R5861" s="1" t="str">
        <f t="shared" si="1190"/>
        <v/>
      </c>
      <c r="S5861" s="1">
        <f t="shared" si="1191"/>
        <v>630.90240000000244</v>
      </c>
      <c r="T5861" s="1">
        <f t="shared" si="1192"/>
        <v>0</v>
      </c>
      <c r="U5861" s="1">
        <f t="shared" si="1193"/>
        <v>0</v>
      </c>
      <c r="V5861" s="1">
        <f t="shared" si="1194"/>
        <v>0</v>
      </c>
    </row>
    <row r="5862" spans="13:22" x14ac:dyDescent="0.25">
      <c r="M5862" s="4">
        <f t="shared" si="1187"/>
        <v>173.1</v>
      </c>
      <c r="N5862" s="4"/>
      <c r="O5862" s="1">
        <f t="shared" si="1188"/>
        <v>173.1</v>
      </c>
      <c r="P5862" s="1">
        <f t="shared" si="1189"/>
        <v>0</v>
      </c>
      <c r="Q5862" s="1" t="str">
        <f t="shared" si="1186"/>
        <v/>
      </c>
      <c r="R5862" s="1" t="str">
        <f t="shared" si="1190"/>
        <v/>
      </c>
      <c r="S5862" s="1">
        <f t="shared" si="1191"/>
        <v>630.90240000000244</v>
      </c>
      <c r="T5862" s="1">
        <f t="shared" si="1192"/>
        <v>0</v>
      </c>
      <c r="U5862" s="1">
        <f t="shared" si="1193"/>
        <v>0</v>
      </c>
      <c r="V5862" s="1">
        <f t="shared" si="1194"/>
        <v>0</v>
      </c>
    </row>
    <row r="5863" spans="13:22" x14ac:dyDescent="0.25">
      <c r="M5863" s="4">
        <f t="shared" si="1187"/>
        <v>173.1</v>
      </c>
      <c r="N5863" s="4"/>
      <c r="O5863" s="1">
        <f t="shared" si="1188"/>
        <v>173.1</v>
      </c>
      <c r="P5863" s="1">
        <f t="shared" si="1189"/>
        <v>0</v>
      </c>
      <c r="Q5863" s="1" t="str">
        <f t="shared" si="1186"/>
        <v/>
      </c>
      <c r="R5863" s="1" t="str">
        <f t="shared" si="1190"/>
        <v/>
      </c>
      <c r="S5863" s="1">
        <f t="shared" si="1191"/>
        <v>630.90240000000244</v>
      </c>
      <c r="T5863" s="1">
        <f t="shared" si="1192"/>
        <v>0</v>
      </c>
      <c r="U5863" s="1">
        <f t="shared" si="1193"/>
        <v>0</v>
      </c>
      <c r="V5863" s="1">
        <f t="shared" si="1194"/>
        <v>0</v>
      </c>
    </row>
    <row r="5864" spans="13:22" x14ac:dyDescent="0.25">
      <c r="M5864" s="4">
        <f t="shared" si="1187"/>
        <v>173.1</v>
      </c>
      <c r="N5864" s="4"/>
      <c r="O5864" s="1">
        <f t="shared" si="1188"/>
        <v>173.1</v>
      </c>
      <c r="P5864" s="1">
        <f t="shared" si="1189"/>
        <v>0</v>
      </c>
      <c r="Q5864" s="1" t="str">
        <f t="shared" si="1186"/>
        <v/>
      </c>
      <c r="R5864" s="1" t="str">
        <f t="shared" si="1190"/>
        <v/>
      </c>
      <c r="S5864" s="1">
        <f t="shared" si="1191"/>
        <v>630.90240000000244</v>
      </c>
      <c r="T5864" s="1">
        <f t="shared" si="1192"/>
        <v>0</v>
      </c>
      <c r="U5864" s="1">
        <f t="shared" si="1193"/>
        <v>0</v>
      </c>
      <c r="V5864" s="1">
        <f t="shared" si="1194"/>
        <v>0</v>
      </c>
    </row>
    <row r="5865" spans="13:22" x14ac:dyDescent="0.25">
      <c r="M5865" s="4">
        <f t="shared" si="1187"/>
        <v>173.1</v>
      </c>
      <c r="N5865" s="4"/>
      <c r="O5865" s="1">
        <f t="shared" si="1188"/>
        <v>173.1</v>
      </c>
      <c r="P5865" s="1">
        <f t="shared" si="1189"/>
        <v>0</v>
      </c>
      <c r="Q5865" s="1" t="str">
        <f t="shared" si="1186"/>
        <v/>
      </c>
      <c r="R5865" s="1" t="str">
        <f t="shared" si="1190"/>
        <v/>
      </c>
      <c r="S5865" s="1">
        <f t="shared" si="1191"/>
        <v>630.90240000000244</v>
      </c>
      <c r="T5865" s="1">
        <f t="shared" si="1192"/>
        <v>0</v>
      </c>
      <c r="U5865" s="1">
        <f t="shared" si="1193"/>
        <v>0</v>
      </c>
      <c r="V5865" s="1">
        <f t="shared" si="1194"/>
        <v>0</v>
      </c>
    </row>
    <row r="5866" spans="13:22" x14ac:dyDescent="0.25">
      <c r="M5866" s="4">
        <f t="shared" si="1187"/>
        <v>173.1</v>
      </c>
      <c r="N5866" s="4"/>
      <c r="O5866" s="1">
        <f t="shared" si="1188"/>
        <v>173.1</v>
      </c>
      <c r="P5866" s="1">
        <f t="shared" si="1189"/>
        <v>0</v>
      </c>
      <c r="Q5866" s="1" t="str">
        <f t="shared" si="1186"/>
        <v/>
      </c>
      <c r="R5866" s="1" t="str">
        <f t="shared" si="1190"/>
        <v/>
      </c>
      <c r="S5866" s="1">
        <f t="shared" si="1191"/>
        <v>630.90240000000244</v>
      </c>
      <c r="T5866" s="1">
        <f t="shared" si="1192"/>
        <v>0</v>
      </c>
      <c r="U5866" s="1">
        <f t="shared" si="1193"/>
        <v>0</v>
      </c>
      <c r="V5866" s="1">
        <f t="shared" si="1194"/>
        <v>0</v>
      </c>
    </row>
    <row r="5867" spans="13:22" x14ac:dyDescent="0.25">
      <c r="M5867" s="4">
        <f t="shared" si="1187"/>
        <v>173.1</v>
      </c>
      <c r="N5867" s="4"/>
      <c r="O5867" s="1">
        <f t="shared" si="1188"/>
        <v>173.1</v>
      </c>
      <c r="P5867" s="1">
        <f t="shared" si="1189"/>
        <v>0</v>
      </c>
      <c r="Q5867" s="1" t="str">
        <f t="shared" si="1186"/>
        <v/>
      </c>
      <c r="R5867" s="1" t="str">
        <f t="shared" si="1190"/>
        <v/>
      </c>
      <c r="S5867" s="1">
        <f t="shared" si="1191"/>
        <v>630.90240000000244</v>
      </c>
      <c r="T5867" s="1">
        <f t="shared" si="1192"/>
        <v>0</v>
      </c>
      <c r="U5867" s="1">
        <f t="shared" si="1193"/>
        <v>0</v>
      </c>
      <c r="V5867" s="1">
        <f t="shared" si="1194"/>
        <v>0</v>
      </c>
    </row>
    <row r="5868" spans="13:22" x14ac:dyDescent="0.25">
      <c r="M5868" s="4">
        <f t="shared" si="1187"/>
        <v>173.1</v>
      </c>
      <c r="N5868" s="4"/>
      <c r="O5868" s="1">
        <f t="shared" si="1188"/>
        <v>173.1</v>
      </c>
      <c r="P5868" s="1">
        <f t="shared" si="1189"/>
        <v>0</v>
      </c>
      <c r="Q5868" s="1" t="str">
        <f t="shared" si="1186"/>
        <v/>
      </c>
      <c r="R5868" s="1" t="str">
        <f t="shared" si="1190"/>
        <v/>
      </c>
      <c r="S5868" s="1">
        <f t="shared" si="1191"/>
        <v>630.90240000000244</v>
      </c>
      <c r="T5868" s="1">
        <f t="shared" si="1192"/>
        <v>0</v>
      </c>
      <c r="U5868" s="1">
        <f t="shared" si="1193"/>
        <v>0</v>
      </c>
      <c r="V5868" s="1">
        <f t="shared" si="1194"/>
        <v>0</v>
      </c>
    </row>
    <row r="5869" spans="13:22" x14ac:dyDescent="0.25">
      <c r="M5869" s="4">
        <f t="shared" si="1187"/>
        <v>173.1</v>
      </c>
      <c r="N5869" s="4"/>
      <c r="O5869" s="1">
        <f t="shared" si="1188"/>
        <v>173.1</v>
      </c>
      <c r="P5869" s="1">
        <f t="shared" si="1189"/>
        <v>0</v>
      </c>
      <c r="Q5869" s="1" t="str">
        <f t="shared" si="1186"/>
        <v/>
      </c>
      <c r="R5869" s="1" t="str">
        <f t="shared" si="1190"/>
        <v/>
      </c>
      <c r="S5869" s="1">
        <f t="shared" si="1191"/>
        <v>630.90240000000244</v>
      </c>
      <c r="T5869" s="1">
        <f t="shared" si="1192"/>
        <v>0</v>
      </c>
      <c r="U5869" s="1">
        <f t="shared" si="1193"/>
        <v>0</v>
      </c>
      <c r="V5869" s="1">
        <f t="shared" si="1194"/>
        <v>0</v>
      </c>
    </row>
    <row r="5870" spans="13:22" x14ac:dyDescent="0.25">
      <c r="M5870" s="4">
        <f t="shared" si="1187"/>
        <v>173.1</v>
      </c>
      <c r="N5870" s="4"/>
      <c r="O5870" s="1">
        <f t="shared" si="1188"/>
        <v>173.1</v>
      </c>
      <c r="P5870" s="1">
        <f t="shared" si="1189"/>
        <v>0</v>
      </c>
      <c r="Q5870" s="1" t="str">
        <f t="shared" si="1186"/>
        <v/>
      </c>
      <c r="R5870" s="1" t="str">
        <f t="shared" si="1190"/>
        <v/>
      </c>
      <c r="S5870" s="1">
        <f t="shared" si="1191"/>
        <v>630.90240000000244</v>
      </c>
      <c r="T5870" s="1">
        <f t="shared" si="1192"/>
        <v>0</v>
      </c>
      <c r="U5870" s="1">
        <f t="shared" si="1193"/>
        <v>0</v>
      </c>
      <c r="V5870" s="1">
        <f t="shared" si="1194"/>
        <v>0</v>
      </c>
    </row>
    <row r="5871" spans="13:22" x14ac:dyDescent="0.25">
      <c r="M5871" s="4">
        <f t="shared" si="1187"/>
        <v>173.1</v>
      </c>
      <c r="N5871" s="4"/>
      <c r="O5871" s="1">
        <f t="shared" si="1188"/>
        <v>173.1</v>
      </c>
      <c r="P5871" s="1">
        <f t="shared" si="1189"/>
        <v>0</v>
      </c>
      <c r="Q5871" s="1" t="str">
        <f t="shared" si="1186"/>
        <v/>
      </c>
      <c r="R5871" s="1" t="str">
        <f t="shared" si="1190"/>
        <v/>
      </c>
      <c r="S5871" s="1">
        <f t="shared" si="1191"/>
        <v>630.90240000000244</v>
      </c>
      <c r="T5871" s="1">
        <f t="shared" si="1192"/>
        <v>0</v>
      </c>
      <c r="U5871" s="1">
        <f t="shared" si="1193"/>
        <v>0</v>
      </c>
      <c r="V5871" s="1">
        <f t="shared" si="1194"/>
        <v>0</v>
      </c>
    </row>
    <row r="5872" spans="13:22" x14ac:dyDescent="0.25">
      <c r="M5872" s="4">
        <f t="shared" si="1187"/>
        <v>173.1</v>
      </c>
      <c r="N5872" s="4"/>
      <c r="O5872" s="1">
        <f t="shared" si="1188"/>
        <v>173.1</v>
      </c>
      <c r="P5872" s="1">
        <f t="shared" si="1189"/>
        <v>0</v>
      </c>
      <c r="Q5872" s="1" t="str">
        <f t="shared" si="1186"/>
        <v/>
      </c>
      <c r="R5872" s="1" t="str">
        <f t="shared" si="1190"/>
        <v/>
      </c>
      <c r="S5872" s="1">
        <f t="shared" si="1191"/>
        <v>630.90240000000244</v>
      </c>
      <c r="T5872" s="1">
        <f t="shared" si="1192"/>
        <v>0</v>
      </c>
      <c r="U5872" s="1">
        <f t="shared" si="1193"/>
        <v>0</v>
      </c>
      <c r="V5872" s="1">
        <f t="shared" si="1194"/>
        <v>0</v>
      </c>
    </row>
    <row r="5873" spans="13:22" x14ac:dyDescent="0.25">
      <c r="M5873" s="4">
        <f t="shared" si="1187"/>
        <v>173.1</v>
      </c>
      <c r="N5873" s="4"/>
      <c r="O5873" s="1">
        <f t="shared" si="1188"/>
        <v>173.1</v>
      </c>
      <c r="P5873" s="1">
        <f t="shared" si="1189"/>
        <v>0</v>
      </c>
      <c r="Q5873" s="1" t="str">
        <f t="shared" si="1186"/>
        <v/>
      </c>
      <c r="R5873" s="1" t="str">
        <f t="shared" si="1190"/>
        <v/>
      </c>
      <c r="S5873" s="1">
        <f t="shared" si="1191"/>
        <v>630.90240000000244</v>
      </c>
      <c r="T5873" s="1">
        <f t="shared" si="1192"/>
        <v>0</v>
      </c>
      <c r="U5873" s="1">
        <f t="shared" si="1193"/>
        <v>0</v>
      </c>
      <c r="V5873" s="1">
        <f t="shared" si="1194"/>
        <v>0</v>
      </c>
    </row>
    <row r="5874" spans="13:22" x14ac:dyDescent="0.25">
      <c r="M5874" s="4">
        <f t="shared" si="1187"/>
        <v>173.1</v>
      </c>
      <c r="N5874" s="4"/>
      <c r="O5874" s="1">
        <f t="shared" si="1188"/>
        <v>173.1</v>
      </c>
      <c r="P5874" s="1">
        <f t="shared" si="1189"/>
        <v>0</v>
      </c>
      <c r="Q5874" s="1" t="str">
        <f t="shared" ref="Q5874:Q5937" si="1195">IF(H5874&lt;&gt;"",IF(H5874=H5873,"",H5874),IF(H5872="","",MAX(H5873,Q5873)))</f>
        <v/>
      </c>
      <c r="R5874" s="1" t="str">
        <f t="shared" si="1190"/>
        <v/>
      </c>
      <c r="S5874" s="1">
        <f t="shared" si="1191"/>
        <v>630.90240000000244</v>
      </c>
      <c r="T5874" s="1">
        <f t="shared" si="1192"/>
        <v>0</v>
      </c>
      <c r="U5874" s="1">
        <f t="shared" si="1193"/>
        <v>0</v>
      </c>
      <c r="V5874" s="1">
        <f t="shared" si="1194"/>
        <v>0</v>
      </c>
    </row>
    <row r="5875" spans="13:22" x14ac:dyDescent="0.25">
      <c r="M5875" s="4">
        <f t="shared" si="1187"/>
        <v>173.1</v>
      </c>
      <c r="N5875" s="4"/>
      <c r="O5875" s="1">
        <f t="shared" si="1188"/>
        <v>173.1</v>
      </c>
      <c r="P5875" s="1">
        <f t="shared" si="1189"/>
        <v>0</v>
      </c>
      <c r="Q5875" s="1" t="str">
        <f t="shared" si="1195"/>
        <v/>
      </c>
      <c r="R5875" s="1" t="str">
        <f t="shared" si="1190"/>
        <v/>
      </c>
      <c r="S5875" s="1">
        <f t="shared" si="1191"/>
        <v>630.90240000000244</v>
      </c>
      <c r="T5875" s="1">
        <f t="shared" si="1192"/>
        <v>0</v>
      </c>
      <c r="U5875" s="1">
        <f t="shared" si="1193"/>
        <v>0</v>
      </c>
      <c r="V5875" s="1">
        <f t="shared" si="1194"/>
        <v>0</v>
      </c>
    </row>
    <row r="5876" spans="13:22" x14ac:dyDescent="0.25">
      <c r="M5876" s="4">
        <f t="shared" si="1187"/>
        <v>173.1</v>
      </c>
      <c r="N5876" s="4"/>
      <c r="O5876" s="1">
        <f t="shared" si="1188"/>
        <v>173.1</v>
      </c>
      <c r="P5876" s="1">
        <f t="shared" si="1189"/>
        <v>0</v>
      </c>
      <c r="Q5876" s="1" t="str">
        <f t="shared" si="1195"/>
        <v/>
      </c>
      <c r="R5876" s="1" t="str">
        <f t="shared" si="1190"/>
        <v/>
      </c>
      <c r="S5876" s="1">
        <f t="shared" si="1191"/>
        <v>630.90240000000244</v>
      </c>
      <c r="T5876" s="1">
        <f t="shared" si="1192"/>
        <v>0</v>
      </c>
      <c r="U5876" s="1">
        <f t="shared" si="1193"/>
        <v>0</v>
      </c>
      <c r="V5876" s="1">
        <f t="shared" si="1194"/>
        <v>0</v>
      </c>
    </row>
    <row r="5877" spans="13:22" x14ac:dyDescent="0.25">
      <c r="M5877" s="4">
        <f t="shared" si="1187"/>
        <v>173.1</v>
      </c>
      <c r="N5877" s="4"/>
      <c r="O5877" s="1">
        <f t="shared" si="1188"/>
        <v>173.1</v>
      </c>
      <c r="P5877" s="1">
        <f t="shared" si="1189"/>
        <v>0</v>
      </c>
      <c r="Q5877" s="1" t="str">
        <f t="shared" si="1195"/>
        <v/>
      </c>
      <c r="R5877" s="1" t="str">
        <f t="shared" si="1190"/>
        <v/>
      </c>
      <c r="S5877" s="1">
        <f t="shared" si="1191"/>
        <v>630.90240000000244</v>
      </c>
      <c r="T5877" s="1">
        <f t="shared" si="1192"/>
        <v>0</v>
      </c>
      <c r="U5877" s="1">
        <f t="shared" si="1193"/>
        <v>0</v>
      </c>
      <c r="V5877" s="1">
        <f t="shared" si="1194"/>
        <v>0</v>
      </c>
    </row>
    <row r="5878" spans="13:22" x14ac:dyDescent="0.25">
      <c r="M5878" s="4">
        <f t="shared" si="1187"/>
        <v>173.1</v>
      </c>
      <c r="N5878" s="4"/>
      <c r="O5878" s="1">
        <f t="shared" si="1188"/>
        <v>173.1</v>
      </c>
      <c r="P5878" s="1">
        <f t="shared" si="1189"/>
        <v>0</v>
      </c>
      <c r="Q5878" s="1" t="str">
        <f t="shared" si="1195"/>
        <v/>
      </c>
      <c r="R5878" s="1" t="str">
        <f t="shared" si="1190"/>
        <v/>
      </c>
      <c r="S5878" s="1">
        <f t="shared" si="1191"/>
        <v>630.90240000000244</v>
      </c>
      <c r="T5878" s="1">
        <f t="shared" si="1192"/>
        <v>0</v>
      </c>
      <c r="U5878" s="1">
        <f t="shared" si="1193"/>
        <v>0</v>
      </c>
      <c r="V5878" s="1">
        <f t="shared" si="1194"/>
        <v>0</v>
      </c>
    </row>
    <row r="5879" spans="13:22" x14ac:dyDescent="0.25">
      <c r="M5879" s="4">
        <f t="shared" si="1187"/>
        <v>173.1</v>
      </c>
      <c r="N5879" s="4"/>
      <c r="O5879" s="1">
        <f t="shared" si="1188"/>
        <v>173.1</v>
      </c>
      <c r="P5879" s="1">
        <f t="shared" si="1189"/>
        <v>0</v>
      </c>
      <c r="Q5879" s="1" t="str">
        <f t="shared" si="1195"/>
        <v/>
      </c>
      <c r="R5879" s="1" t="str">
        <f t="shared" si="1190"/>
        <v/>
      </c>
      <c r="S5879" s="1">
        <f t="shared" si="1191"/>
        <v>630.90240000000244</v>
      </c>
      <c r="T5879" s="1">
        <f t="shared" si="1192"/>
        <v>0</v>
      </c>
      <c r="U5879" s="1">
        <f t="shared" si="1193"/>
        <v>0</v>
      </c>
      <c r="V5879" s="1">
        <f t="shared" si="1194"/>
        <v>0</v>
      </c>
    </row>
    <row r="5880" spans="13:22" x14ac:dyDescent="0.25">
      <c r="M5880" s="4">
        <f t="shared" si="1187"/>
        <v>173.1</v>
      </c>
      <c r="N5880" s="4"/>
      <c r="O5880" s="1">
        <f t="shared" si="1188"/>
        <v>173.1</v>
      </c>
      <c r="P5880" s="1">
        <f t="shared" si="1189"/>
        <v>0</v>
      </c>
      <c r="Q5880" s="1" t="str">
        <f t="shared" si="1195"/>
        <v/>
      </c>
      <c r="R5880" s="1" t="str">
        <f t="shared" si="1190"/>
        <v/>
      </c>
      <c r="S5880" s="1">
        <f t="shared" si="1191"/>
        <v>630.90240000000244</v>
      </c>
      <c r="T5880" s="1">
        <f t="shared" si="1192"/>
        <v>0</v>
      </c>
      <c r="U5880" s="1">
        <f t="shared" si="1193"/>
        <v>0</v>
      </c>
      <c r="V5880" s="1">
        <f t="shared" si="1194"/>
        <v>0</v>
      </c>
    </row>
    <row r="5881" spans="13:22" x14ac:dyDescent="0.25">
      <c r="M5881" s="4">
        <f t="shared" si="1187"/>
        <v>173.1</v>
      </c>
      <c r="N5881" s="4"/>
      <c r="O5881" s="1">
        <f t="shared" si="1188"/>
        <v>173.1</v>
      </c>
      <c r="P5881" s="1">
        <f t="shared" si="1189"/>
        <v>0</v>
      </c>
      <c r="Q5881" s="1" t="str">
        <f t="shared" si="1195"/>
        <v/>
      </c>
      <c r="R5881" s="1" t="str">
        <f t="shared" si="1190"/>
        <v/>
      </c>
      <c r="S5881" s="1">
        <f t="shared" si="1191"/>
        <v>630.90240000000244</v>
      </c>
      <c r="T5881" s="1">
        <f t="shared" si="1192"/>
        <v>0</v>
      </c>
      <c r="U5881" s="1">
        <f t="shared" si="1193"/>
        <v>0</v>
      </c>
      <c r="V5881" s="1">
        <f t="shared" si="1194"/>
        <v>0</v>
      </c>
    </row>
    <row r="5882" spans="13:22" x14ac:dyDescent="0.25">
      <c r="M5882" s="4">
        <f t="shared" si="1187"/>
        <v>173.1</v>
      </c>
      <c r="N5882" s="4"/>
      <c r="O5882" s="1">
        <f t="shared" si="1188"/>
        <v>173.1</v>
      </c>
      <c r="P5882" s="1">
        <f t="shared" si="1189"/>
        <v>0</v>
      </c>
      <c r="Q5882" s="1" t="str">
        <f t="shared" si="1195"/>
        <v/>
      </c>
      <c r="R5882" s="1" t="str">
        <f t="shared" si="1190"/>
        <v/>
      </c>
      <c r="S5882" s="1">
        <f t="shared" si="1191"/>
        <v>630.90240000000244</v>
      </c>
      <c r="T5882" s="1">
        <f t="shared" si="1192"/>
        <v>0</v>
      </c>
      <c r="U5882" s="1">
        <f t="shared" si="1193"/>
        <v>0</v>
      </c>
      <c r="V5882" s="1">
        <f t="shared" si="1194"/>
        <v>0</v>
      </c>
    </row>
    <row r="5883" spans="13:22" x14ac:dyDescent="0.25">
      <c r="M5883" s="4">
        <f t="shared" si="1187"/>
        <v>173.1</v>
      </c>
      <c r="N5883" s="4"/>
      <c r="O5883" s="1">
        <f t="shared" si="1188"/>
        <v>173.1</v>
      </c>
      <c r="P5883" s="1">
        <f t="shared" si="1189"/>
        <v>0</v>
      </c>
      <c r="Q5883" s="1" t="str">
        <f t="shared" si="1195"/>
        <v/>
      </c>
      <c r="R5883" s="1" t="str">
        <f t="shared" si="1190"/>
        <v/>
      </c>
      <c r="S5883" s="1">
        <f t="shared" si="1191"/>
        <v>630.90240000000244</v>
      </c>
      <c r="T5883" s="1">
        <f t="shared" si="1192"/>
        <v>0</v>
      </c>
      <c r="U5883" s="1">
        <f t="shared" si="1193"/>
        <v>0</v>
      </c>
      <c r="V5883" s="1">
        <f t="shared" si="1194"/>
        <v>0</v>
      </c>
    </row>
    <row r="5884" spans="13:22" x14ac:dyDescent="0.25">
      <c r="M5884" s="4">
        <f t="shared" si="1187"/>
        <v>173.1</v>
      </c>
      <c r="N5884" s="4"/>
      <c r="O5884" s="1">
        <f t="shared" si="1188"/>
        <v>173.1</v>
      </c>
      <c r="P5884" s="1">
        <f t="shared" si="1189"/>
        <v>0</v>
      </c>
      <c r="Q5884" s="1" t="str">
        <f t="shared" si="1195"/>
        <v/>
      </c>
      <c r="R5884" s="1" t="str">
        <f t="shared" si="1190"/>
        <v/>
      </c>
      <c r="S5884" s="1">
        <f t="shared" si="1191"/>
        <v>630.90240000000244</v>
      </c>
      <c r="T5884" s="1">
        <f t="shared" si="1192"/>
        <v>0</v>
      </c>
      <c r="U5884" s="1">
        <f t="shared" si="1193"/>
        <v>0</v>
      </c>
      <c r="V5884" s="1">
        <f t="shared" si="1194"/>
        <v>0</v>
      </c>
    </row>
    <row r="5885" spans="13:22" x14ac:dyDescent="0.25">
      <c r="M5885" s="4">
        <f t="shared" si="1187"/>
        <v>173.1</v>
      </c>
      <c r="N5885" s="4"/>
      <c r="O5885" s="1">
        <f t="shared" si="1188"/>
        <v>173.1</v>
      </c>
      <c r="P5885" s="1">
        <f t="shared" si="1189"/>
        <v>0</v>
      </c>
      <c r="Q5885" s="1" t="str">
        <f t="shared" si="1195"/>
        <v/>
      </c>
      <c r="R5885" s="1" t="str">
        <f t="shared" si="1190"/>
        <v/>
      </c>
      <c r="S5885" s="1">
        <f t="shared" si="1191"/>
        <v>630.90240000000244</v>
      </c>
      <c r="T5885" s="1">
        <f t="shared" si="1192"/>
        <v>0</v>
      </c>
      <c r="U5885" s="1">
        <f t="shared" si="1193"/>
        <v>0</v>
      </c>
      <c r="V5885" s="1">
        <f t="shared" si="1194"/>
        <v>0</v>
      </c>
    </row>
    <row r="5886" spans="13:22" x14ac:dyDescent="0.25">
      <c r="M5886" s="4">
        <f t="shared" si="1187"/>
        <v>173.1</v>
      </c>
      <c r="N5886" s="4"/>
      <c r="O5886" s="1">
        <f t="shared" si="1188"/>
        <v>173.1</v>
      </c>
      <c r="P5886" s="1">
        <f t="shared" si="1189"/>
        <v>0</v>
      </c>
      <c r="Q5886" s="1" t="str">
        <f t="shared" si="1195"/>
        <v/>
      </c>
      <c r="R5886" s="1" t="str">
        <f t="shared" si="1190"/>
        <v/>
      </c>
      <c r="S5886" s="1">
        <f t="shared" si="1191"/>
        <v>630.90240000000244</v>
      </c>
      <c r="T5886" s="1">
        <f t="shared" si="1192"/>
        <v>0</v>
      </c>
      <c r="U5886" s="1">
        <f t="shared" si="1193"/>
        <v>0</v>
      </c>
      <c r="V5886" s="1">
        <f t="shared" si="1194"/>
        <v>0</v>
      </c>
    </row>
    <row r="5887" spans="13:22" x14ac:dyDescent="0.25">
      <c r="M5887" s="4">
        <f t="shared" si="1187"/>
        <v>173.1</v>
      </c>
      <c r="N5887" s="4"/>
      <c r="O5887" s="1">
        <f t="shared" si="1188"/>
        <v>173.1</v>
      </c>
      <c r="P5887" s="1">
        <f t="shared" si="1189"/>
        <v>0</v>
      </c>
      <c r="Q5887" s="1" t="str">
        <f t="shared" si="1195"/>
        <v/>
      </c>
      <c r="R5887" s="1" t="str">
        <f t="shared" si="1190"/>
        <v/>
      </c>
      <c r="S5887" s="1">
        <f t="shared" si="1191"/>
        <v>630.90240000000244</v>
      </c>
      <c r="T5887" s="1">
        <f t="shared" si="1192"/>
        <v>0</v>
      </c>
      <c r="U5887" s="1">
        <f t="shared" si="1193"/>
        <v>0</v>
      </c>
      <c r="V5887" s="1">
        <f t="shared" si="1194"/>
        <v>0</v>
      </c>
    </row>
    <row r="5888" spans="13:22" x14ac:dyDescent="0.25">
      <c r="M5888" s="4">
        <f t="shared" si="1187"/>
        <v>173.1</v>
      </c>
      <c r="N5888" s="4"/>
      <c r="O5888" s="1">
        <f t="shared" si="1188"/>
        <v>173.1</v>
      </c>
      <c r="P5888" s="1">
        <f t="shared" si="1189"/>
        <v>0</v>
      </c>
      <c r="Q5888" s="1" t="str">
        <f t="shared" si="1195"/>
        <v/>
      </c>
      <c r="R5888" s="1" t="str">
        <f t="shared" si="1190"/>
        <v/>
      </c>
      <c r="S5888" s="1">
        <f t="shared" si="1191"/>
        <v>630.90240000000244</v>
      </c>
      <c r="T5888" s="1">
        <f t="shared" si="1192"/>
        <v>0</v>
      </c>
      <c r="U5888" s="1">
        <f t="shared" si="1193"/>
        <v>0</v>
      </c>
      <c r="V5888" s="1">
        <f t="shared" si="1194"/>
        <v>0</v>
      </c>
    </row>
    <row r="5889" spans="13:22" x14ac:dyDescent="0.25">
      <c r="M5889" s="4">
        <f t="shared" si="1187"/>
        <v>173.1</v>
      </c>
      <c r="N5889" s="4"/>
      <c r="O5889" s="1">
        <f t="shared" si="1188"/>
        <v>173.1</v>
      </c>
      <c r="P5889" s="1">
        <f t="shared" si="1189"/>
        <v>0</v>
      </c>
      <c r="Q5889" s="1" t="str">
        <f t="shared" si="1195"/>
        <v/>
      </c>
      <c r="R5889" s="1" t="str">
        <f t="shared" si="1190"/>
        <v/>
      </c>
      <c r="S5889" s="1">
        <f t="shared" si="1191"/>
        <v>630.90240000000244</v>
      </c>
      <c r="T5889" s="1">
        <f t="shared" si="1192"/>
        <v>0</v>
      </c>
      <c r="U5889" s="1">
        <f t="shared" si="1193"/>
        <v>0</v>
      </c>
      <c r="V5889" s="1">
        <f t="shared" si="1194"/>
        <v>0</v>
      </c>
    </row>
    <row r="5890" spans="13:22" x14ac:dyDescent="0.25">
      <c r="M5890" s="4">
        <f t="shared" si="1187"/>
        <v>173.1</v>
      </c>
      <c r="N5890" s="4"/>
      <c r="O5890" s="1">
        <f t="shared" si="1188"/>
        <v>173.1</v>
      </c>
      <c r="P5890" s="1">
        <f t="shared" si="1189"/>
        <v>0</v>
      </c>
      <c r="Q5890" s="1" t="str">
        <f t="shared" si="1195"/>
        <v/>
      </c>
      <c r="R5890" s="1" t="str">
        <f t="shared" si="1190"/>
        <v/>
      </c>
      <c r="S5890" s="1">
        <f t="shared" si="1191"/>
        <v>630.90240000000244</v>
      </c>
      <c r="T5890" s="1">
        <f t="shared" si="1192"/>
        <v>0</v>
      </c>
      <c r="U5890" s="1">
        <f t="shared" si="1193"/>
        <v>0</v>
      </c>
      <c r="V5890" s="1">
        <f t="shared" si="1194"/>
        <v>0</v>
      </c>
    </row>
    <row r="5891" spans="13:22" x14ac:dyDescent="0.25">
      <c r="M5891" s="4">
        <f t="shared" si="1187"/>
        <v>173.1</v>
      </c>
      <c r="N5891" s="4"/>
      <c r="O5891" s="1">
        <f t="shared" si="1188"/>
        <v>173.1</v>
      </c>
      <c r="P5891" s="1">
        <f t="shared" si="1189"/>
        <v>0</v>
      </c>
      <c r="Q5891" s="1" t="str">
        <f t="shared" si="1195"/>
        <v/>
      </c>
      <c r="R5891" s="1" t="str">
        <f t="shared" si="1190"/>
        <v/>
      </c>
      <c r="S5891" s="1">
        <f t="shared" si="1191"/>
        <v>630.90240000000244</v>
      </c>
      <c r="T5891" s="1">
        <f t="shared" si="1192"/>
        <v>0</v>
      </c>
      <c r="U5891" s="1">
        <f t="shared" si="1193"/>
        <v>0</v>
      </c>
      <c r="V5891" s="1">
        <f t="shared" si="1194"/>
        <v>0</v>
      </c>
    </row>
    <row r="5892" spans="13:22" x14ac:dyDescent="0.25">
      <c r="M5892" s="4">
        <f t="shared" si="1187"/>
        <v>173.1</v>
      </c>
      <c r="N5892" s="4"/>
      <c r="O5892" s="1">
        <f t="shared" si="1188"/>
        <v>173.1</v>
      </c>
      <c r="P5892" s="1">
        <f t="shared" si="1189"/>
        <v>0</v>
      </c>
      <c r="Q5892" s="1" t="str">
        <f t="shared" si="1195"/>
        <v/>
      </c>
      <c r="R5892" s="1" t="str">
        <f t="shared" si="1190"/>
        <v/>
      </c>
      <c r="S5892" s="1">
        <f t="shared" si="1191"/>
        <v>630.90240000000244</v>
      </c>
      <c r="T5892" s="1">
        <f t="shared" si="1192"/>
        <v>0</v>
      </c>
      <c r="U5892" s="1">
        <f t="shared" si="1193"/>
        <v>0</v>
      </c>
      <c r="V5892" s="1">
        <f t="shared" si="1194"/>
        <v>0</v>
      </c>
    </row>
    <row r="5893" spans="13:22" x14ac:dyDescent="0.25">
      <c r="M5893" s="4">
        <f t="shared" si="1187"/>
        <v>173.1</v>
      </c>
      <c r="N5893" s="4"/>
      <c r="O5893" s="1">
        <f t="shared" si="1188"/>
        <v>173.1</v>
      </c>
      <c r="P5893" s="1">
        <f t="shared" si="1189"/>
        <v>0</v>
      </c>
      <c r="Q5893" s="1" t="str">
        <f t="shared" si="1195"/>
        <v/>
      </c>
      <c r="R5893" s="1" t="str">
        <f t="shared" si="1190"/>
        <v/>
      </c>
      <c r="S5893" s="1">
        <f t="shared" si="1191"/>
        <v>630.90240000000244</v>
      </c>
      <c r="T5893" s="1">
        <f t="shared" si="1192"/>
        <v>0</v>
      </c>
      <c r="U5893" s="1">
        <f t="shared" si="1193"/>
        <v>0</v>
      </c>
      <c r="V5893" s="1">
        <f t="shared" si="1194"/>
        <v>0</v>
      </c>
    </row>
    <row r="5894" spans="13:22" x14ac:dyDescent="0.25">
      <c r="M5894" s="4">
        <f t="shared" si="1187"/>
        <v>173.1</v>
      </c>
      <c r="N5894" s="4"/>
      <c r="O5894" s="1">
        <f t="shared" si="1188"/>
        <v>173.1</v>
      </c>
      <c r="P5894" s="1">
        <f t="shared" si="1189"/>
        <v>0</v>
      </c>
      <c r="Q5894" s="1" t="str">
        <f t="shared" si="1195"/>
        <v/>
      </c>
      <c r="R5894" s="1" t="str">
        <f t="shared" si="1190"/>
        <v/>
      </c>
      <c r="S5894" s="1">
        <f t="shared" si="1191"/>
        <v>630.90240000000244</v>
      </c>
      <c r="T5894" s="1">
        <f t="shared" si="1192"/>
        <v>0</v>
      </c>
      <c r="U5894" s="1">
        <f t="shared" si="1193"/>
        <v>0</v>
      </c>
      <c r="V5894" s="1">
        <f t="shared" si="1194"/>
        <v>0</v>
      </c>
    </row>
    <row r="5895" spans="13:22" x14ac:dyDescent="0.25">
      <c r="M5895" s="4">
        <f t="shared" si="1187"/>
        <v>173.1</v>
      </c>
      <c r="N5895" s="4"/>
      <c r="O5895" s="1">
        <f t="shared" si="1188"/>
        <v>173.1</v>
      </c>
      <c r="P5895" s="1">
        <f t="shared" si="1189"/>
        <v>0</v>
      </c>
      <c r="Q5895" s="1" t="str">
        <f t="shared" si="1195"/>
        <v/>
      </c>
      <c r="R5895" s="1" t="str">
        <f t="shared" si="1190"/>
        <v/>
      </c>
      <c r="S5895" s="1">
        <f t="shared" si="1191"/>
        <v>630.90240000000244</v>
      </c>
      <c r="T5895" s="1">
        <f t="shared" si="1192"/>
        <v>0</v>
      </c>
      <c r="U5895" s="1">
        <f t="shared" si="1193"/>
        <v>0</v>
      </c>
      <c r="V5895" s="1">
        <f t="shared" si="1194"/>
        <v>0</v>
      </c>
    </row>
    <row r="5896" spans="13:22" x14ac:dyDescent="0.25">
      <c r="M5896" s="4">
        <f t="shared" ref="M5896:M5959" si="1196">E5896+M5895</f>
        <v>173.1</v>
      </c>
      <c r="N5896" s="4"/>
      <c r="O5896" s="1">
        <f t="shared" ref="O5896:O5959" si="1197">E5895+O5895</f>
        <v>173.1</v>
      </c>
      <c r="P5896" s="1">
        <f t="shared" ref="P5896:P5959" si="1198">F5896*52.8*E5896</f>
        <v>0</v>
      </c>
      <c r="Q5896" s="1" t="str">
        <f t="shared" si="1195"/>
        <v/>
      </c>
      <c r="R5896" s="1" t="str">
        <f t="shared" ref="R5896:R5959" si="1199">IF(I5896="",Q5896,IF(AND(H5896=H5895,I5896=I5895),"",I5896))</f>
        <v/>
      </c>
      <c r="S5896" s="1">
        <f t="shared" ref="S5896:S5959" si="1200">S5895+U5895*T5895/100</f>
        <v>630.90240000000244</v>
      </c>
      <c r="T5896" s="1">
        <f t="shared" ref="T5896:T5959" si="1201">IF(G5896="UNK",0,G5896)</f>
        <v>0</v>
      </c>
      <c r="U5896" s="1">
        <f t="shared" ref="U5896:U5959" si="1202">E5896*5280</f>
        <v>0</v>
      </c>
      <c r="V5896" s="1">
        <f t="shared" ref="V5896:V5959" si="1203">ABS(T5896*U5896)</f>
        <v>0</v>
      </c>
    </row>
    <row r="5897" spans="13:22" x14ac:dyDescent="0.25">
      <c r="M5897" s="4">
        <f t="shared" si="1196"/>
        <v>173.1</v>
      </c>
      <c r="N5897" s="4"/>
      <c r="O5897" s="1">
        <f t="shared" si="1197"/>
        <v>173.1</v>
      </c>
      <c r="P5897" s="1">
        <f t="shared" si="1198"/>
        <v>0</v>
      </c>
      <c r="Q5897" s="1" t="str">
        <f t="shared" si="1195"/>
        <v/>
      </c>
      <c r="R5897" s="1" t="str">
        <f t="shared" si="1199"/>
        <v/>
      </c>
      <c r="S5897" s="1">
        <f t="shared" si="1200"/>
        <v>630.90240000000244</v>
      </c>
      <c r="T5897" s="1">
        <f t="shared" si="1201"/>
        <v>0</v>
      </c>
      <c r="U5897" s="1">
        <f t="shared" si="1202"/>
        <v>0</v>
      </c>
      <c r="V5897" s="1">
        <f t="shared" si="1203"/>
        <v>0</v>
      </c>
    </row>
    <row r="5898" spans="13:22" x14ac:dyDescent="0.25">
      <c r="M5898" s="4">
        <f t="shared" si="1196"/>
        <v>173.1</v>
      </c>
      <c r="N5898" s="4"/>
      <c r="O5898" s="1">
        <f t="shared" si="1197"/>
        <v>173.1</v>
      </c>
      <c r="P5898" s="1">
        <f t="shared" si="1198"/>
        <v>0</v>
      </c>
      <c r="Q5898" s="1" t="str">
        <f t="shared" si="1195"/>
        <v/>
      </c>
      <c r="R5898" s="1" t="str">
        <f t="shared" si="1199"/>
        <v/>
      </c>
      <c r="S5898" s="1">
        <f t="shared" si="1200"/>
        <v>630.90240000000244</v>
      </c>
      <c r="T5898" s="1">
        <f t="shared" si="1201"/>
        <v>0</v>
      </c>
      <c r="U5898" s="1">
        <f t="shared" si="1202"/>
        <v>0</v>
      </c>
      <c r="V5898" s="1">
        <f t="shared" si="1203"/>
        <v>0</v>
      </c>
    </row>
    <row r="5899" spans="13:22" x14ac:dyDescent="0.25">
      <c r="M5899" s="4">
        <f t="shared" si="1196"/>
        <v>173.1</v>
      </c>
      <c r="N5899" s="4"/>
      <c r="O5899" s="1">
        <f t="shared" si="1197"/>
        <v>173.1</v>
      </c>
      <c r="P5899" s="1">
        <f t="shared" si="1198"/>
        <v>0</v>
      </c>
      <c r="Q5899" s="1" t="str">
        <f t="shared" si="1195"/>
        <v/>
      </c>
      <c r="R5899" s="1" t="str">
        <f t="shared" si="1199"/>
        <v/>
      </c>
      <c r="S5899" s="1">
        <f t="shared" si="1200"/>
        <v>630.90240000000244</v>
      </c>
      <c r="T5899" s="1">
        <f t="shared" si="1201"/>
        <v>0</v>
      </c>
      <c r="U5899" s="1">
        <f t="shared" si="1202"/>
        <v>0</v>
      </c>
      <c r="V5899" s="1">
        <f t="shared" si="1203"/>
        <v>0</v>
      </c>
    </row>
    <row r="5900" spans="13:22" x14ac:dyDescent="0.25">
      <c r="M5900" s="4">
        <f t="shared" si="1196"/>
        <v>173.1</v>
      </c>
      <c r="N5900" s="4"/>
      <c r="O5900" s="1">
        <f t="shared" si="1197"/>
        <v>173.1</v>
      </c>
      <c r="P5900" s="1">
        <f t="shared" si="1198"/>
        <v>0</v>
      </c>
      <c r="Q5900" s="1" t="str">
        <f t="shared" si="1195"/>
        <v/>
      </c>
      <c r="R5900" s="1" t="str">
        <f t="shared" si="1199"/>
        <v/>
      </c>
      <c r="S5900" s="1">
        <f t="shared" si="1200"/>
        <v>630.90240000000244</v>
      </c>
      <c r="T5900" s="1">
        <f t="shared" si="1201"/>
        <v>0</v>
      </c>
      <c r="U5900" s="1">
        <f t="shared" si="1202"/>
        <v>0</v>
      </c>
      <c r="V5900" s="1">
        <f t="shared" si="1203"/>
        <v>0</v>
      </c>
    </row>
    <row r="5901" spans="13:22" x14ac:dyDescent="0.25">
      <c r="M5901" s="4">
        <f t="shared" si="1196"/>
        <v>173.1</v>
      </c>
      <c r="N5901" s="4"/>
      <c r="O5901" s="1">
        <f t="shared" si="1197"/>
        <v>173.1</v>
      </c>
      <c r="P5901" s="1">
        <f t="shared" si="1198"/>
        <v>0</v>
      </c>
      <c r="Q5901" s="1" t="str">
        <f t="shared" si="1195"/>
        <v/>
      </c>
      <c r="R5901" s="1" t="str">
        <f t="shared" si="1199"/>
        <v/>
      </c>
      <c r="S5901" s="1">
        <f t="shared" si="1200"/>
        <v>630.90240000000244</v>
      </c>
      <c r="T5901" s="1">
        <f t="shared" si="1201"/>
        <v>0</v>
      </c>
      <c r="U5901" s="1">
        <f t="shared" si="1202"/>
        <v>0</v>
      </c>
      <c r="V5901" s="1">
        <f t="shared" si="1203"/>
        <v>0</v>
      </c>
    </row>
    <row r="5902" spans="13:22" x14ac:dyDescent="0.25">
      <c r="M5902" s="4">
        <f t="shared" si="1196"/>
        <v>173.1</v>
      </c>
      <c r="N5902" s="4"/>
      <c r="O5902" s="1">
        <f t="shared" si="1197"/>
        <v>173.1</v>
      </c>
      <c r="P5902" s="1">
        <f t="shared" si="1198"/>
        <v>0</v>
      </c>
      <c r="Q5902" s="1" t="str">
        <f t="shared" si="1195"/>
        <v/>
      </c>
      <c r="R5902" s="1" t="str">
        <f t="shared" si="1199"/>
        <v/>
      </c>
      <c r="S5902" s="1">
        <f t="shared" si="1200"/>
        <v>630.90240000000244</v>
      </c>
      <c r="T5902" s="1">
        <f t="shared" si="1201"/>
        <v>0</v>
      </c>
      <c r="U5902" s="1">
        <f t="shared" si="1202"/>
        <v>0</v>
      </c>
      <c r="V5902" s="1">
        <f t="shared" si="1203"/>
        <v>0</v>
      </c>
    </row>
    <row r="5903" spans="13:22" x14ac:dyDescent="0.25">
      <c r="M5903" s="4">
        <f t="shared" si="1196"/>
        <v>173.1</v>
      </c>
      <c r="N5903" s="4"/>
      <c r="O5903" s="1">
        <f t="shared" si="1197"/>
        <v>173.1</v>
      </c>
      <c r="P5903" s="1">
        <f t="shared" si="1198"/>
        <v>0</v>
      </c>
      <c r="Q5903" s="1" t="str">
        <f t="shared" si="1195"/>
        <v/>
      </c>
      <c r="R5903" s="1" t="str">
        <f t="shared" si="1199"/>
        <v/>
      </c>
      <c r="S5903" s="1">
        <f t="shared" si="1200"/>
        <v>630.90240000000244</v>
      </c>
      <c r="T5903" s="1">
        <f t="shared" si="1201"/>
        <v>0</v>
      </c>
      <c r="U5903" s="1">
        <f t="shared" si="1202"/>
        <v>0</v>
      </c>
      <c r="V5903" s="1">
        <f t="shared" si="1203"/>
        <v>0</v>
      </c>
    </row>
    <row r="5904" spans="13:22" x14ac:dyDescent="0.25">
      <c r="M5904" s="4">
        <f t="shared" si="1196"/>
        <v>173.1</v>
      </c>
      <c r="N5904" s="4"/>
      <c r="O5904" s="1">
        <f t="shared" si="1197"/>
        <v>173.1</v>
      </c>
      <c r="P5904" s="1">
        <f t="shared" si="1198"/>
        <v>0</v>
      </c>
      <c r="Q5904" s="1" t="str">
        <f t="shared" si="1195"/>
        <v/>
      </c>
      <c r="R5904" s="1" t="str">
        <f t="shared" si="1199"/>
        <v/>
      </c>
      <c r="S5904" s="1">
        <f t="shared" si="1200"/>
        <v>630.90240000000244</v>
      </c>
      <c r="T5904" s="1">
        <f t="shared" si="1201"/>
        <v>0</v>
      </c>
      <c r="U5904" s="1">
        <f t="shared" si="1202"/>
        <v>0</v>
      </c>
      <c r="V5904" s="1">
        <f t="shared" si="1203"/>
        <v>0</v>
      </c>
    </row>
    <row r="5905" spans="13:22" x14ac:dyDescent="0.25">
      <c r="M5905" s="4">
        <f t="shared" si="1196"/>
        <v>173.1</v>
      </c>
      <c r="N5905" s="4"/>
      <c r="O5905" s="1">
        <f t="shared" si="1197"/>
        <v>173.1</v>
      </c>
      <c r="P5905" s="1">
        <f t="shared" si="1198"/>
        <v>0</v>
      </c>
      <c r="Q5905" s="1" t="str">
        <f t="shared" si="1195"/>
        <v/>
      </c>
      <c r="R5905" s="1" t="str">
        <f t="shared" si="1199"/>
        <v/>
      </c>
      <c r="S5905" s="1">
        <f t="shared" si="1200"/>
        <v>630.90240000000244</v>
      </c>
      <c r="T5905" s="1">
        <f t="shared" si="1201"/>
        <v>0</v>
      </c>
      <c r="U5905" s="1">
        <f t="shared" si="1202"/>
        <v>0</v>
      </c>
      <c r="V5905" s="1">
        <f t="shared" si="1203"/>
        <v>0</v>
      </c>
    </row>
    <row r="5906" spans="13:22" x14ac:dyDescent="0.25">
      <c r="M5906" s="4">
        <f t="shared" si="1196"/>
        <v>173.1</v>
      </c>
      <c r="N5906" s="4"/>
      <c r="O5906" s="1">
        <f t="shared" si="1197"/>
        <v>173.1</v>
      </c>
      <c r="P5906" s="1">
        <f t="shared" si="1198"/>
        <v>0</v>
      </c>
      <c r="Q5906" s="1" t="str">
        <f t="shared" si="1195"/>
        <v/>
      </c>
      <c r="R5906" s="1" t="str">
        <f t="shared" si="1199"/>
        <v/>
      </c>
      <c r="S5906" s="1">
        <f t="shared" si="1200"/>
        <v>630.90240000000244</v>
      </c>
      <c r="T5906" s="1">
        <f t="shared" si="1201"/>
        <v>0</v>
      </c>
      <c r="U5906" s="1">
        <f t="shared" si="1202"/>
        <v>0</v>
      </c>
      <c r="V5906" s="1">
        <f t="shared" si="1203"/>
        <v>0</v>
      </c>
    </row>
    <row r="5907" spans="13:22" x14ac:dyDescent="0.25">
      <c r="M5907" s="4">
        <f t="shared" si="1196"/>
        <v>173.1</v>
      </c>
      <c r="N5907" s="4"/>
      <c r="O5907" s="1">
        <f t="shared" si="1197"/>
        <v>173.1</v>
      </c>
      <c r="P5907" s="1">
        <f t="shared" si="1198"/>
        <v>0</v>
      </c>
      <c r="Q5907" s="1" t="str">
        <f t="shared" si="1195"/>
        <v/>
      </c>
      <c r="R5907" s="1" t="str">
        <f t="shared" si="1199"/>
        <v/>
      </c>
      <c r="S5907" s="1">
        <f t="shared" si="1200"/>
        <v>630.90240000000244</v>
      </c>
      <c r="T5907" s="1">
        <f t="shared" si="1201"/>
        <v>0</v>
      </c>
      <c r="U5907" s="1">
        <f t="shared" si="1202"/>
        <v>0</v>
      </c>
      <c r="V5907" s="1">
        <f t="shared" si="1203"/>
        <v>0</v>
      </c>
    </row>
    <row r="5908" spans="13:22" x14ac:dyDescent="0.25">
      <c r="M5908" s="4">
        <f t="shared" si="1196"/>
        <v>173.1</v>
      </c>
      <c r="N5908" s="4"/>
      <c r="O5908" s="1">
        <f t="shared" si="1197"/>
        <v>173.1</v>
      </c>
      <c r="P5908" s="1">
        <f t="shared" si="1198"/>
        <v>0</v>
      </c>
      <c r="Q5908" s="1" t="str">
        <f t="shared" si="1195"/>
        <v/>
      </c>
      <c r="R5908" s="1" t="str">
        <f t="shared" si="1199"/>
        <v/>
      </c>
      <c r="S5908" s="1">
        <f t="shared" si="1200"/>
        <v>630.90240000000244</v>
      </c>
      <c r="T5908" s="1">
        <f t="shared" si="1201"/>
        <v>0</v>
      </c>
      <c r="U5908" s="1">
        <f t="shared" si="1202"/>
        <v>0</v>
      </c>
      <c r="V5908" s="1">
        <f t="shared" si="1203"/>
        <v>0</v>
      </c>
    </row>
    <row r="5909" spans="13:22" x14ac:dyDescent="0.25">
      <c r="M5909" s="4">
        <f t="shared" si="1196"/>
        <v>173.1</v>
      </c>
      <c r="N5909" s="4"/>
      <c r="O5909" s="1">
        <f t="shared" si="1197"/>
        <v>173.1</v>
      </c>
      <c r="P5909" s="1">
        <f t="shared" si="1198"/>
        <v>0</v>
      </c>
      <c r="Q5909" s="1" t="str">
        <f t="shared" si="1195"/>
        <v/>
      </c>
      <c r="R5909" s="1" t="str">
        <f t="shared" si="1199"/>
        <v/>
      </c>
      <c r="S5909" s="1">
        <f t="shared" si="1200"/>
        <v>630.90240000000244</v>
      </c>
      <c r="T5909" s="1">
        <f t="shared" si="1201"/>
        <v>0</v>
      </c>
      <c r="U5909" s="1">
        <f t="shared" si="1202"/>
        <v>0</v>
      </c>
      <c r="V5909" s="1">
        <f t="shared" si="1203"/>
        <v>0</v>
      </c>
    </row>
    <row r="5910" spans="13:22" x14ac:dyDescent="0.25">
      <c r="M5910" s="4">
        <f t="shared" si="1196"/>
        <v>173.1</v>
      </c>
      <c r="N5910" s="4"/>
      <c r="O5910" s="1">
        <f t="shared" si="1197"/>
        <v>173.1</v>
      </c>
      <c r="P5910" s="1">
        <f t="shared" si="1198"/>
        <v>0</v>
      </c>
      <c r="Q5910" s="1" t="str">
        <f t="shared" si="1195"/>
        <v/>
      </c>
      <c r="R5910" s="1" t="str">
        <f t="shared" si="1199"/>
        <v/>
      </c>
      <c r="S5910" s="1">
        <f t="shared" si="1200"/>
        <v>630.90240000000244</v>
      </c>
      <c r="T5910" s="1">
        <f t="shared" si="1201"/>
        <v>0</v>
      </c>
      <c r="U5910" s="1">
        <f t="shared" si="1202"/>
        <v>0</v>
      </c>
      <c r="V5910" s="1">
        <f t="shared" si="1203"/>
        <v>0</v>
      </c>
    </row>
    <row r="5911" spans="13:22" x14ac:dyDescent="0.25">
      <c r="M5911" s="4">
        <f t="shared" si="1196"/>
        <v>173.1</v>
      </c>
      <c r="N5911" s="4"/>
      <c r="O5911" s="1">
        <f t="shared" si="1197"/>
        <v>173.1</v>
      </c>
      <c r="P5911" s="1">
        <f t="shared" si="1198"/>
        <v>0</v>
      </c>
      <c r="Q5911" s="1" t="str">
        <f t="shared" si="1195"/>
        <v/>
      </c>
      <c r="R5911" s="1" t="str">
        <f t="shared" si="1199"/>
        <v/>
      </c>
      <c r="S5911" s="1">
        <f t="shared" si="1200"/>
        <v>630.90240000000244</v>
      </c>
      <c r="T5911" s="1">
        <f t="shared" si="1201"/>
        <v>0</v>
      </c>
      <c r="U5911" s="1">
        <f t="shared" si="1202"/>
        <v>0</v>
      </c>
      <c r="V5911" s="1">
        <f t="shared" si="1203"/>
        <v>0</v>
      </c>
    </row>
    <row r="5912" spans="13:22" x14ac:dyDescent="0.25">
      <c r="M5912" s="4">
        <f t="shared" si="1196"/>
        <v>173.1</v>
      </c>
      <c r="N5912" s="4"/>
      <c r="O5912" s="1">
        <f t="shared" si="1197"/>
        <v>173.1</v>
      </c>
      <c r="P5912" s="1">
        <f t="shared" si="1198"/>
        <v>0</v>
      </c>
      <c r="Q5912" s="1" t="str">
        <f t="shared" si="1195"/>
        <v/>
      </c>
      <c r="R5912" s="1" t="str">
        <f t="shared" si="1199"/>
        <v/>
      </c>
      <c r="S5912" s="1">
        <f t="shared" si="1200"/>
        <v>630.90240000000244</v>
      </c>
      <c r="T5912" s="1">
        <f t="shared" si="1201"/>
        <v>0</v>
      </c>
      <c r="U5912" s="1">
        <f t="shared" si="1202"/>
        <v>0</v>
      </c>
      <c r="V5912" s="1">
        <f t="shared" si="1203"/>
        <v>0</v>
      </c>
    </row>
    <row r="5913" spans="13:22" x14ac:dyDescent="0.25">
      <c r="M5913" s="4">
        <f t="shared" si="1196"/>
        <v>173.1</v>
      </c>
      <c r="N5913" s="4"/>
      <c r="O5913" s="1">
        <f t="shared" si="1197"/>
        <v>173.1</v>
      </c>
      <c r="P5913" s="1">
        <f t="shared" si="1198"/>
        <v>0</v>
      </c>
      <c r="Q5913" s="1" t="str">
        <f t="shared" si="1195"/>
        <v/>
      </c>
      <c r="R5913" s="1" t="str">
        <f t="shared" si="1199"/>
        <v/>
      </c>
      <c r="S5913" s="1">
        <f t="shared" si="1200"/>
        <v>630.90240000000244</v>
      </c>
      <c r="T5913" s="1">
        <f t="shared" si="1201"/>
        <v>0</v>
      </c>
      <c r="U5913" s="1">
        <f t="shared" si="1202"/>
        <v>0</v>
      </c>
      <c r="V5913" s="1">
        <f t="shared" si="1203"/>
        <v>0</v>
      </c>
    </row>
    <row r="5914" spans="13:22" x14ac:dyDescent="0.25">
      <c r="M5914" s="4">
        <f t="shared" si="1196"/>
        <v>173.1</v>
      </c>
      <c r="N5914" s="4"/>
      <c r="O5914" s="1">
        <f t="shared" si="1197"/>
        <v>173.1</v>
      </c>
      <c r="P5914" s="1">
        <f t="shared" si="1198"/>
        <v>0</v>
      </c>
      <c r="Q5914" s="1" t="str">
        <f t="shared" si="1195"/>
        <v/>
      </c>
      <c r="R5914" s="1" t="str">
        <f t="shared" si="1199"/>
        <v/>
      </c>
      <c r="S5914" s="1">
        <f t="shared" si="1200"/>
        <v>630.90240000000244</v>
      </c>
      <c r="T5914" s="1">
        <f t="shared" si="1201"/>
        <v>0</v>
      </c>
      <c r="U5914" s="1">
        <f t="shared" si="1202"/>
        <v>0</v>
      </c>
      <c r="V5914" s="1">
        <f t="shared" si="1203"/>
        <v>0</v>
      </c>
    </row>
    <row r="5915" spans="13:22" x14ac:dyDescent="0.25">
      <c r="M5915" s="4">
        <f t="shared" si="1196"/>
        <v>173.1</v>
      </c>
      <c r="N5915" s="4"/>
      <c r="O5915" s="1">
        <f t="shared" si="1197"/>
        <v>173.1</v>
      </c>
      <c r="P5915" s="1">
        <f t="shared" si="1198"/>
        <v>0</v>
      </c>
      <c r="Q5915" s="1" t="str">
        <f t="shared" si="1195"/>
        <v/>
      </c>
      <c r="R5915" s="1" t="str">
        <f t="shared" si="1199"/>
        <v/>
      </c>
      <c r="S5915" s="1">
        <f t="shared" si="1200"/>
        <v>630.90240000000244</v>
      </c>
      <c r="T5915" s="1">
        <f t="shared" si="1201"/>
        <v>0</v>
      </c>
      <c r="U5915" s="1">
        <f t="shared" si="1202"/>
        <v>0</v>
      </c>
      <c r="V5915" s="1">
        <f t="shared" si="1203"/>
        <v>0</v>
      </c>
    </row>
    <row r="5916" spans="13:22" x14ac:dyDescent="0.25">
      <c r="M5916" s="4">
        <f t="shared" si="1196"/>
        <v>173.1</v>
      </c>
      <c r="N5916" s="4"/>
      <c r="O5916" s="1">
        <f t="shared" si="1197"/>
        <v>173.1</v>
      </c>
      <c r="P5916" s="1">
        <f t="shared" si="1198"/>
        <v>0</v>
      </c>
      <c r="Q5916" s="1" t="str">
        <f t="shared" si="1195"/>
        <v/>
      </c>
      <c r="R5916" s="1" t="str">
        <f t="shared" si="1199"/>
        <v/>
      </c>
      <c r="S5916" s="1">
        <f t="shared" si="1200"/>
        <v>630.90240000000244</v>
      </c>
      <c r="T5916" s="1">
        <f t="shared" si="1201"/>
        <v>0</v>
      </c>
      <c r="U5916" s="1">
        <f t="shared" si="1202"/>
        <v>0</v>
      </c>
      <c r="V5916" s="1">
        <f t="shared" si="1203"/>
        <v>0</v>
      </c>
    </row>
    <row r="5917" spans="13:22" x14ac:dyDescent="0.25">
      <c r="M5917" s="4">
        <f t="shared" si="1196"/>
        <v>173.1</v>
      </c>
      <c r="N5917" s="4"/>
      <c r="O5917" s="1">
        <f t="shared" si="1197"/>
        <v>173.1</v>
      </c>
      <c r="P5917" s="1">
        <f t="shared" si="1198"/>
        <v>0</v>
      </c>
      <c r="Q5917" s="1" t="str">
        <f t="shared" si="1195"/>
        <v/>
      </c>
      <c r="R5917" s="1" t="str">
        <f t="shared" si="1199"/>
        <v/>
      </c>
      <c r="S5917" s="1">
        <f t="shared" si="1200"/>
        <v>630.90240000000244</v>
      </c>
      <c r="T5917" s="1">
        <f t="shared" si="1201"/>
        <v>0</v>
      </c>
      <c r="U5917" s="1">
        <f t="shared" si="1202"/>
        <v>0</v>
      </c>
      <c r="V5917" s="1">
        <f t="shared" si="1203"/>
        <v>0</v>
      </c>
    </row>
    <row r="5918" spans="13:22" x14ac:dyDescent="0.25">
      <c r="M5918" s="4">
        <f t="shared" si="1196"/>
        <v>173.1</v>
      </c>
      <c r="N5918" s="4"/>
      <c r="O5918" s="1">
        <f t="shared" si="1197"/>
        <v>173.1</v>
      </c>
      <c r="P5918" s="1">
        <f t="shared" si="1198"/>
        <v>0</v>
      </c>
      <c r="Q5918" s="1" t="str">
        <f t="shared" si="1195"/>
        <v/>
      </c>
      <c r="R5918" s="1" t="str">
        <f t="shared" si="1199"/>
        <v/>
      </c>
      <c r="S5918" s="1">
        <f t="shared" si="1200"/>
        <v>630.90240000000244</v>
      </c>
      <c r="T5918" s="1">
        <f t="shared" si="1201"/>
        <v>0</v>
      </c>
      <c r="U5918" s="1">
        <f t="shared" si="1202"/>
        <v>0</v>
      </c>
      <c r="V5918" s="1">
        <f t="shared" si="1203"/>
        <v>0</v>
      </c>
    </row>
    <row r="5919" spans="13:22" x14ac:dyDescent="0.25">
      <c r="M5919" s="4">
        <f t="shared" si="1196"/>
        <v>173.1</v>
      </c>
      <c r="N5919" s="4"/>
      <c r="O5919" s="1">
        <f t="shared" si="1197"/>
        <v>173.1</v>
      </c>
      <c r="P5919" s="1">
        <f t="shared" si="1198"/>
        <v>0</v>
      </c>
      <c r="Q5919" s="1" t="str">
        <f t="shared" si="1195"/>
        <v/>
      </c>
      <c r="R5919" s="1" t="str">
        <f t="shared" si="1199"/>
        <v/>
      </c>
      <c r="S5919" s="1">
        <f t="shared" si="1200"/>
        <v>630.90240000000244</v>
      </c>
      <c r="T5919" s="1">
        <f t="shared" si="1201"/>
        <v>0</v>
      </c>
      <c r="U5919" s="1">
        <f t="shared" si="1202"/>
        <v>0</v>
      </c>
      <c r="V5919" s="1">
        <f t="shared" si="1203"/>
        <v>0</v>
      </c>
    </row>
    <row r="5920" spans="13:22" x14ac:dyDescent="0.25">
      <c r="M5920" s="4">
        <f t="shared" si="1196"/>
        <v>173.1</v>
      </c>
      <c r="N5920" s="4"/>
      <c r="O5920" s="1">
        <f t="shared" si="1197"/>
        <v>173.1</v>
      </c>
      <c r="P5920" s="1">
        <f t="shared" si="1198"/>
        <v>0</v>
      </c>
      <c r="Q5920" s="1" t="str">
        <f t="shared" si="1195"/>
        <v/>
      </c>
      <c r="R5920" s="1" t="str">
        <f t="shared" si="1199"/>
        <v/>
      </c>
      <c r="S5920" s="1">
        <f t="shared" si="1200"/>
        <v>630.90240000000244</v>
      </c>
      <c r="T5920" s="1">
        <f t="shared" si="1201"/>
        <v>0</v>
      </c>
      <c r="U5920" s="1">
        <f t="shared" si="1202"/>
        <v>0</v>
      </c>
      <c r="V5920" s="1">
        <f t="shared" si="1203"/>
        <v>0</v>
      </c>
    </row>
    <row r="5921" spans="13:22" x14ac:dyDescent="0.25">
      <c r="M5921" s="4">
        <f t="shared" si="1196"/>
        <v>173.1</v>
      </c>
      <c r="N5921" s="4"/>
      <c r="O5921" s="1">
        <f t="shared" si="1197"/>
        <v>173.1</v>
      </c>
      <c r="P5921" s="1">
        <f t="shared" si="1198"/>
        <v>0</v>
      </c>
      <c r="Q5921" s="1" t="str">
        <f t="shared" si="1195"/>
        <v/>
      </c>
      <c r="R5921" s="1" t="str">
        <f t="shared" si="1199"/>
        <v/>
      </c>
      <c r="S5921" s="1">
        <f t="shared" si="1200"/>
        <v>630.90240000000244</v>
      </c>
      <c r="T5921" s="1">
        <f t="shared" si="1201"/>
        <v>0</v>
      </c>
      <c r="U5921" s="1">
        <f t="shared" si="1202"/>
        <v>0</v>
      </c>
      <c r="V5921" s="1">
        <f t="shared" si="1203"/>
        <v>0</v>
      </c>
    </row>
    <row r="5922" spans="13:22" x14ac:dyDescent="0.25">
      <c r="M5922" s="4">
        <f t="shared" si="1196"/>
        <v>173.1</v>
      </c>
      <c r="N5922" s="4"/>
      <c r="O5922" s="1">
        <f t="shared" si="1197"/>
        <v>173.1</v>
      </c>
      <c r="P5922" s="1">
        <f t="shared" si="1198"/>
        <v>0</v>
      </c>
      <c r="Q5922" s="1" t="str">
        <f t="shared" si="1195"/>
        <v/>
      </c>
      <c r="R5922" s="1" t="str">
        <f t="shared" si="1199"/>
        <v/>
      </c>
      <c r="S5922" s="1">
        <f t="shared" si="1200"/>
        <v>630.90240000000244</v>
      </c>
      <c r="T5922" s="1">
        <f t="shared" si="1201"/>
        <v>0</v>
      </c>
      <c r="U5922" s="1">
        <f t="shared" si="1202"/>
        <v>0</v>
      </c>
      <c r="V5922" s="1">
        <f t="shared" si="1203"/>
        <v>0</v>
      </c>
    </row>
    <row r="5923" spans="13:22" x14ac:dyDescent="0.25">
      <c r="M5923" s="4">
        <f t="shared" si="1196"/>
        <v>173.1</v>
      </c>
      <c r="N5923" s="4"/>
      <c r="O5923" s="1">
        <f t="shared" si="1197"/>
        <v>173.1</v>
      </c>
      <c r="P5923" s="1">
        <f t="shared" si="1198"/>
        <v>0</v>
      </c>
      <c r="Q5923" s="1" t="str">
        <f t="shared" si="1195"/>
        <v/>
      </c>
      <c r="R5923" s="1" t="str">
        <f t="shared" si="1199"/>
        <v/>
      </c>
      <c r="S5923" s="1">
        <f t="shared" si="1200"/>
        <v>630.90240000000244</v>
      </c>
      <c r="T5923" s="1">
        <f t="shared" si="1201"/>
        <v>0</v>
      </c>
      <c r="U5923" s="1">
        <f t="shared" si="1202"/>
        <v>0</v>
      </c>
      <c r="V5923" s="1">
        <f t="shared" si="1203"/>
        <v>0</v>
      </c>
    </row>
    <row r="5924" spans="13:22" x14ac:dyDescent="0.25">
      <c r="M5924" s="4">
        <f t="shared" si="1196"/>
        <v>173.1</v>
      </c>
      <c r="N5924" s="4"/>
      <c r="O5924" s="1">
        <f t="shared" si="1197"/>
        <v>173.1</v>
      </c>
      <c r="P5924" s="1">
        <f t="shared" si="1198"/>
        <v>0</v>
      </c>
      <c r="Q5924" s="1" t="str">
        <f t="shared" si="1195"/>
        <v/>
      </c>
      <c r="R5924" s="1" t="str">
        <f t="shared" si="1199"/>
        <v/>
      </c>
      <c r="S5924" s="1">
        <f t="shared" si="1200"/>
        <v>630.90240000000244</v>
      </c>
      <c r="T5924" s="1">
        <f t="shared" si="1201"/>
        <v>0</v>
      </c>
      <c r="U5924" s="1">
        <f t="shared" si="1202"/>
        <v>0</v>
      </c>
      <c r="V5924" s="1">
        <f t="shared" si="1203"/>
        <v>0</v>
      </c>
    </row>
    <row r="5925" spans="13:22" x14ac:dyDescent="0.25">
      <c r="M5925" s="4">
        <f t="shared" si="1196"/>
        <v>173.1</v>
      </c>
      <c r="N5925" s="4"/>
      <c r="O5925" s="1">
        <f t="shared" si="1197"/>
        <v>173.1</v>
      </c>
      <c r="P5925" s="1">
        <f t="shared" si="1198"/>
        <v>0</v>
      </c>
      <c r="Q5925" s="1" t="str">
        <f t="shared" si="1195"/>
        <v/>
      </c>
      <c r="R5925" s="1" t="str">
        <f t="shared" si="1199"/>
        <v/>
      </c>
      <c r="S5925" s="1">
        <f t="shared" si="1200"/>
        <v>630.90240000000244</v>
      </c>
      <c r="T5925" s="1">
        <f t="shared" si="1201"/>
        <v>0</v>
      </c>
      <c r="U5925" s="1">
        <f t="shared" si="1202"/>
        <v>0</v>
      </c>
      <c r="V5925" s="1">
        <f t="shared" si="1203"/>
        <v>0</v>
      </c>
    </row>
    <row r="5926" spans="13:22" x14ac:dyDescent="0.25">
      <c r="M5926" s="4">
        <f t="shared" si="1196"/>
        <v>173.1</v>
      </c>
      <c r="N5926" s="4"/>
      <c r="O5926" s="1">
        <f t="shared" si="1197"/>
        <v>173.1</v>
      </c>
      <c r="P5926" s="1">
        <f t="shared" si="1198"/>
        <v>0</v>
      </c>
      <c r="Q5926" s="1" t="str">
        <f t="shared" si="1195"/>
        <v/>
      </c>
      <c r="R5926" s="1" t="str">
        <f t="shared" si="1199"/>
        <v/>
      </c>
      <c r="S5926" s="1">
        <f t="shared" si="1200"/>
        <v>630.90240000000244</v>
      </c>
      <c r="T5926" s="1">
        <f t="shared" si="1201"/>
        <v>0</v>
      </c>
      <c r="U5926" s="1">
        <f t="shared" si="1202"/>
        <v>0</v>
      </c>
      <c r="V5926" s="1">
        <f t="shared" si="1203"/>
        <v>0</v>
      </c>
    </row>
    <row r="5927" spans="13:22" x14ac:dyDescent="0.25">
      <c r="M5927" s="4">
        <f t="shared" si="1196"/>
        <v>173.1</v>
      </c>
      <c r="N5927" s="4"/>
      <c r="O5927" s="1">
        <f t="shared" si="1197"/>
        <v>173.1</v>
      </c>
      <c r="P5927" s="1">
        <f t="shared" si="1198"/>
        <v>0</v>
      </c>
      <c r="Q5927" s="1" t="str">
        <f t="shared" si="1195"/>
        <v/>
      </c>
      <c r="R5927" s="1" t="str">
        <f t="shared" si="1199"/>
        <v/>
      </c>
      <c r="S5927" s="1">
        <f t="shared" si="1200"/>
        <v>630.90240000000244</v>
      </c>
      <c r="T5927" s="1">
        <f t="shared" si="1201"/>
        <v>0</v>
      </c>
      <c r="U5927" s="1">
        <f t="shared" si="1202"/>
        <v>0</v>
      </c>
      <c r="V5927" s="1">
        <f t="shared" si="1203"/>
        <v>0</v>
      </c>
    </row>
    <row r="5928" spans="13:22" x14ac:dyDescent="0.25">
      <c r="M5928" s="4">
        <f t="shared" si="1196"/>
        <v>173.1</v>
      </c>
      <c r="N5928" s="4"/>
      <c r="O5928" s="1">
        <f t="shared" si="1197"/>
        <v>173.1</v>
      </c>
      <c r="P5928" s="1">
        <f t="shared" si="1198"/>
        <v>0</v>
      </c>
      <c r="Q5928" s="1" t="str">
        <f t="shared" si="1195"/>
        <v/>
      </c>
      <c r="R5928" s="1" t="str">
        <f t="shared" si="1199"/>
        <v/>
      </c>
      <c r="S5928" s="1">
        <f t="shared" si="1200"/>
        <v>630.90240000000244</v>
      </c>
      <c r="T5928" s="1">
        <f t="shared" si="1201"/>
        <v>0</v>
      </c>
      <c r="U5928" s="1">
        <f t="shared" si="1202"/>
        <v>0</v>
      </c>
      <c r="V5928" s="1">
        <f t="shared" si="1203"/>
        <v>0</v>
      </c>
    </row>
    <row r="5929" spans="13:22" x14ac:dyDescent="0.25">
      <c r="M5929" s="4">
        <f t="shared" si="1196"/>
        <v>173.1</v>
      </c>
      <c r="N5929" s="4"/>
      <c r="O5929" s="1">
        <f t="shared" si="1197"/>
        <v>173.1</v>
      </c>
      <c r="P5929" s="1">
        <f t="shared" si="1198"/>
        <v>0</v>
      </c>
      <c r="Q5929" s="1" t="str">
        <f t="shared" si="1195"/>
        <v/>
      </c>
      <c r="R5929" s="1" t="str">
        <f t="shared" si="1199"/>
        <v/>
      </c>
      <c r="S5929" s="1">
        <f t="shared" si="1200"/>
        <v>630.90240000000244</v>
      </c>
      <c r="T5929" s="1">
        <f t="shared" si="1201"/>
        <v>0</v>
      </c>
      <c r="U5929" s="1">
        <f t="shared" si="1202"/>
        <v>0</v>
      </c>
      <c r="V5929" s="1">
        <f t="shared" si="1203"/>
        <v>0</v>
      </c>
    </row>
    <row r="5930" spans="13:22" x14ac:dyDescent="0.25">
      <c r="M5930" s="4">
        <f t="shared" si="1196"/>
        <v>173.1</v>
      </c>
      <c r="N5930" s="4"/>
      <c r="O5930" s="1">
        <f t="shared" si="1197"/>
        <v>173.1</v>
      </c>
      <c r="P5930" s="1">
        <f t="shared" si="1198"/>
        <v>0</v>
      </c>
      <c r="Q5930" s="1" t="str">
        <f t="shared" si="1195"/>
        <v/>
      </c>
      <c r="R5930" s="1" t="str">
        <f t="shared" si="1199"/>
        <v/>
      </c>
      <c r="S5930" s="1">
        <f t="shared" si="1200"/>
        <v>630.90240000000244</v>
      </c>
      <c r="T5930" s="1">
        <f t="shared" si="1201"/>
        <v>0</v>
      </c>
      <c r="U5930" s="1">
        <f t="shared" si="1202"/>
        <v>0</v>
      </c>
      <c r="V5930" s="1">
        <f t="shared" si="1203"/>
        <v>0</v>
      </c>
    </row>
    <row r="5931" spans="13:22" x14ac:dyDescent="0.25">
      <c r="M5931" s="4">
        <f t="shared" si="1196"/>
        <v>173.1</v>
      </c>
      <c r="N5931" s="4"/>
      <c r="O5931" s="1">
        <f t="shared" si="1197"/>
        <v>173.1</v>
      </c>
      <c r="P5931" s="1">
        <f t="shared" si="1198"/>
        <v>0</v>
      </c>
      <c r="Q5931" s="1" t="str">
        <f t="shared" si="1195"/>
        <v/>
      </c>
      <c r="R5931" s="1" t="str">
        <f t="shared" si="1199"/>
        <v/>
      </c>
      <c r="S5931" s="1">
        <f t="shared" si="1200"/>
        <v>630.90240000000244</v>
      </c>
      <c r="T5931" s="1">
        <f t="shared" si="1201"/>
        <v>0</v>
      </c>
      <c r="U5931" s="1">
        <f t="shared" si="1202"/>
        <v>0</v>
      </c>
      <c r="V5931" s="1">
        <f t="shared" si="1203"/>
        <v>0</v>
      </c>
    </row>
    <row r="5932" spans="13:22" x14ac:dyDescent="0.25">
      <c r="M5932" s="4">
        <f t="shared" si="1196"/>
        <v>173.1</v>
      </c>
      <c r="N5932" s="4"/>
      <c r="O5932" s="1">
        <f t="shared" si="1197"/>
        <v>173.1</v>
      </c>
      <c r="P5932" s="1">
        <f t="shared" si="1198"/>
        <v>0</v>
      </c>
      <c r="Q5932" s="1" t="str">
        <f t="shared" si="1195"/>
        <v/>
      </c>
      <c r="R5932" s="1" t="str">
        <f t="shared" si="1199"/>
        <v/>
      </c>
      <c r="S5932" s="1">
        <f t="shared" si="1200"/>
        <v>630.90240000000244</v>
      </c>
      <c r="T5932" s="1">
        <f t="shared" si="1201"/>
        <v>0</v>
      </c>
      <c r="U5932" s="1">
        <f t="shared" si="1202"/>
        <v>0</v>
      </c>
      <c r="V5932" s="1">
        <f t="shared" si="1203"/>
        <v>0</v>
      </c>
    </row>
    <row r="5933" spans="13:22" x14ac:dyDescent="0.25">
      <c r="M5933" s="4">
        <f t="shared" si="1196"/>
        <v>173.1</v>
      </c>
      <c r="N5933" s="4"/>
      <c r="O5933" s="1">
        <f t="shared" si="1197"/>
        <v>173.1</v>
      </c>
      <c r="P5933" s="1">
        <f t="shared" si="1198"/>
        <v>0</v>
      </c>
      <c r="Q5933" s="1" t="str">
        <f t="shared" si="1195"/>
        <v/>
      </c>
      <c r="R5933" s="1" t="str">
        <f t="shared" si="1199"/>
        <v/>
      </c>
      <c r="S5933" s="1">
        <f t="shared" si="1200"/>
        <v>630.90240000000244</v>
      </c>
      <c r="T5933" s="1">
        <f t="shared" si="1201"/>
        <v>0</v>
      </c>
      <c r="U5933" s="1">
        <f t="shared" si="1202"/>
        <v>0</v>
      </c>
      <c r="V5933" s="1">
        <f t="shared" si="1203"/>
        <v>0</v>
      </c>
    </row>
    <row r="5934" spans="13:22" x14ac:dyDescent="0.25">
      <c r="M5934" s="4">
        <f t="shared" si="1196"/>
        <v>173.1</v>
      </c>
      <c r="N5934" s="4"/>
      <c r="O5934" s="1">
        <f t="shared" si="1197"/>
        <v>173.1</v>
      </c>
      <c r="P5934" s="1">
        <f t="shared" si="1198"/>
        <v>0</v>
      </c>
      <c r="Q5934" s="1" t="str">
        <f t="shared" si="1195"/>
        <v/>
      </c>
      <c r="R5934" s="1" t="str">
        <f t="shared" si="1199"/>
        <v/>
      </c>
      <c r="S5934" s="1">
        <f t="shared" si="1200"/>
        <v>630.90240000000244</v>
      </c>
      <c r="T5934" s="1">
        <f t="shared" si="1201"/>
        <v>0</v>
      </c>
      <c r="U5934" s="1">
        <f t="shared" si="1202"/>
        <v>0</v>
      </c>
      <c r="V5934" s="1">
        <f t="shared" si="1203"/>
        <v>0</v>
      </c>
    </row>
    <row r="5935" spans="13:22" x14ac:dyDescent="0.25">
      <c r="M5935" s="4">
        <f t="shared" si="1196"/>
        <v>173.1</v>
      </c>
      <c r="N5935" s="4"/>
      <c r="O5935" s="1">
        <f t="shared" si="1197"/>
        <v>173.1</v>
      </c>
      <c r="P5935" s="1">
        <f t="shared" si="1198"/>
        <v>0</v>
      </c>
      <c r="Q5935" s="1" t="str">
        <f t="shared" si="1195"/>
        <v/>
      </c>
      <c r="R5935" s="1" t="str">
        <f t="shared" si="1199"/>
        <v/>
      </c>
      <c r="S5935" s="1">
        <f t="shared" si="1200"/>
        <v>630.90240000000244</v>
      </c>
      <c r="T5935" s="1">
        <f t="shared" si="1201"/>
        <v>0</v>
      </c>
      <c r="U5935" s="1">
        <f t="shared" si="1202"/>
        <v>0</v>
      </c>
      <c r="V5935" s="1">
        <f t="shared" si="1203"/>
        <v>0</v>
      </c>
    </row>
    <row r="5936" spans="13:22" x14ac:dyDescent="0.25">
      <c r="M5936" s="4">
        <f t="shared" si="1196"/>
        <v>173.1</v>
      </c>
      <c r="N5936" s="4"/>
      <c r="O5936" s="1">
        <f t="shared" si="1197"/>
        <v>173.1</v>
      </c>
      <c r="P5936" s="1">
        <f t="shared" si="1198"/>
        <v>0</v>
      </c>
      <c r="Q5936" s="1" t="str">
        <f t="shared" si="1195"/>
        <v/>
      </c>
      <c r="R5936" s="1" t="str">
        <f t="shared" si="1199"/>
        <v/>
      </c>
      <c r="S5936" s="1">
        <f t="shared" si="1200"/>
        <v>630.90240000000244</v>
      </c>
      <c r="T5936" s="1">
        <f t="shared" si="1201"/>
        <v>0</v>
      </c>
      <c r="U5936" s="1">
        <f t="shared" si="1202"/>
        <v>0</v>
      </c>
      <c r="V5936" s="1">
        <f t="shared" si="1203"/>
        <v>0</v>
      </c>
    </row>
    <row r="5937" spans="13:22" x14ac:dyDescent="0.25">
      <c r="M5937" s="4">
        <f t="shared" si="1196"/>
        <v>173.1</v>
      </c>
      <c r="N5937" s="4"/>
      <c r="O5937" s="1">
        <f t="shared" si="1197"/>
        <v>173.1</v>
      </c>
      <c r="P5937" s="1">
        <f t="shared" si="1198"/>
        <v>0</v>
      </c>
      <c r="Q5937" s="1" t="str">
        <f t="shared" si="1195"/>
        <v/>
      </c>
      <c r="R5937" s="1" t="str">
        <f t="shared" si="1199"/>
        <v/>
      </c>
      <c r="S5937" s="1">
        <f t="shared" si="1200"/>
        <v>630.90240000000244</v>
      </c>
      <c r="T5937" s="1">
        <f t="shared" si="1201"/>
        <v>0</v>
      </c>
      <c r="U5937" s="1">
        <f t="shared" si="1202"/>
        <v>0</v>
      </c>
      <c r="V5937" s="1">
        <f t="shared" si="1203"/>
        <v>0</v>
      </c>
    </row>
    <row r="5938" spans="13:22" x14ac:dyDescent="0.25">
      <c r="M5938" s="4">
        <f t="shared" si="1196"/>
        <v>173.1</v>
      </c>
      <c r="N5938" s="4"/>
      <c r="O5938" s="1">
        <f t="shared" si="1197"/>
        <v>173.1</v>
      </c>
      <c r="P5938" s="1">
        <f t="shared" si="1198"/>
        <v>0</v>
      </c>
      <c r="Q5938" s="1" t="str">
        <f t="shared" ref="Q5938:Q6001" si="1204">IF(H5938&lt;&gt;"",IF(H5938=H5937,"",H5938),IF(H5936="","",MAX(H5937,Q5937)))</f>
        <v/>
      </c>
      <c r="R5938" s="1" t="str">
        <f t="shared" si="1199"/>
        <v/>
      </c>
      <c r="S5938" s="1">
        <f t="shared" si="1200"/>
        <v>630.90240000000244</v>
      </c>
      <c r="T5938" s="1">
        <f t="shared" si="1201"/>
        <v>0</v>
      </c>
      <c r="U5938" s="1">
        <f t="shared" si="1202"/>
        <v>0</v>
      </c>
      <c r="V5938" s="1">
        <f t="shared" si="1203"/>
        <v>0</v>
      </c>
    </row>
    <row r="5939" spans="13:22" x14ac:dyDescent="0.25">
      <c r="M5939" s="4">
        <f t="shared" si="1196"/>
        <v>173.1</v>
      </c>
      <c r="N5939" s="4"/>
      <c r="O5939" s="1">
        <f t="shared" si="1197"/>
        <v>173.1</v>
      </c>
      <c r="P5939" s="1">
        <f t="shared" si="1198"/>
        <v>0</v>
      </c>
      <c r="Q5939" s="1" t="str">
        <f t="shared" si="1204"/>
        <v/>
      </c>
      <c r="R5939" s="1" t="str">
        <f t="shared" si="1199"/>
        <v/>
      </c>
      <c r="S5939" s="1">
        <f t="shared" si="1200"/>
        <v>630.90240000000244</v>
      </c>
      <c r="T5939" s="1">
        <f t="shared" si="1201"/>
        <v>0</v>
      </c>
      <c r="U5939" s="1">
        <f t="shared" si="1202"/>
        <v>0</v>
      </c>
      <c r="V5939" s="1">
        <f t="shared" si="1203"/>
        <v>0</v>
      </c>
    </row>
    <row r="5940" spans="13:22" x14ac:dyDescent="0.25">
      <c r="M5940" s="4">
        <f t="shared" si="1196"/>
        <v>173.1</v>
      </c>
      <c r="N5940" s="4"/>
      <c r="O5940" s="1">
        <f t="shared" si="1197"/>
        <v>173.1</v>
      </c>
      <c r="P5940" s="1">
        <f t="shared" si="1198"/>
        <v>0</v>
      </c>
      <c r="Q5940" s="1" t="str">
        <f t="shared" si="1204"/>
        <v/>
      </c>
      <c r="R5940" s="1" t="str">
        <f t="shared" si="1199"/>
        <v/>
      </c>
      <c r="S5940" s="1">
        <f t="shared" si="1200"/>
        <v>630.90240000000244</v>
      </c>
      <c r="T5940" s="1">
        <f t="shared" si="1201"/>
        <v>0</v>
      </c>
      <c r="U5940" s="1">
        <f t="shared" si="1202"/>
        <v>0</v>
      </c>
      <c r="V5940" s="1">
        <f t="shared" si="1203"/>
        <v>0</v>
      </c>
    </row>
    <row r="5941" spans="13:22" x14ac:dyDescent="0.25">
      <c r="M5941" s="4">
        <f t="shared" si="1196"/>
        <v>173.1</v>
      </c>
      <c r="N5941" s="4"/>
      <c r="O5941" s="1">
        <f t="shared" si="1197"/>
        <v>173.1</v>
      </c>
      <c r="P5941" s="1">
        <f t="shared" si="1198"/>
        <v>0</v>
      </c>
      <c r="Q5941" s="1" t="str">
        <f t="shared" si="1204"/>
        <v/>
      </c>
      <c r="R5941" s="1" t="str">
        <f t="shared" si="1199"/>
        <v/>
      </c>
      <c r="S5941" s="1">
        <f t="shared" si="1200"/>
        <v>630.90240000000244</v>
      </c>
      <c r="T5941" s="1">
        <f t="shared" si="1201"/>
        <v>0</v>
      </c>
      <c r="U5941" s="1">
        <f t="shared" si="1202"/>
        <v>0</v>
      </c>
      <c r="V5941" s="1">
        <f t="shared" si="1203"/>
        <v>0</v>
      </c>
    </row>
    <row r="5942" spans="13:22" x14ac:dyDescent="0.25">
      <c r="M5942" s="4">
        <f t="shared" si="1196"/>
        <v>173.1</v>
      </c>
      <c r="N5942" s="4"/>
      <c r="O5942" s="1">
        <f t="shared" si="1197"/>
        <v>173.1</v>
      </c>
      <c r="P5942" s="1">
        <f t="shared" si="1198"/>
        <v>0</v>
      </c>
      <c r="Q5942" s="1" t="str">
        <f t="shared" si="1204"/>
        <v/>
      </c>
      <c r="R5942" s="1" t="str">
        <f t="shared" si="1199"/>
        <v/>
      </c>
      <c r="S5942" s="1">
        <f t="shared" si="1200"/>
        <v>630.90240000000244</v>
      </c>
      <c r="T5942" s="1">
        <f t="shared" si="1201"/>
        <v>0</v>
      </c>
      <c r="U5942" s="1">
        <f t="shared" si="1202"/>
        <v>0</v>
      </c>
      <c r="V5942" s="1">
        <f t="shared" si="1203"/>
        <v>0</v>
      </c>
    </row>
    <row r="5943" spans="13:22" x14ac:dyDescent="0.25">
      <c r="M5943" s="4">
        <f t="shared" si="1196"/>
        <v>173.1</v>
      </c>
      <c r="N5943" s="4"/>
      <c r="O5943" s="1">
        <f t="shared" si="1197"/>
        <v>173.1</v>
      </c>
      <c r="P5943" s="1">
        <f t="shared" si="1198"/>
        <v>0</v>
      </c>
      <c r="Q5943" s="1" t="str">
        <f t="shared" si="1204"/>
        <v/>
      </c>
      <c r="R5943" s="1" t="str">
        <f t="shared" si="1199"/>
        <v/>
      </c>
      <c r="S5943" s="1">
        <f t="shared" si="1200"/>
        <v>630.90240000000244</v>
      </c>
      <c r="T5943" s="1">
        <f t="shared" si="1201"/>
        <v>0</v>
      </c>
      <c r="U5943" s="1">
        <f t="shared" si="1202"/>
        <v>0</v>
      </c>
      <c r="V5943" s="1">
        <f t="shared" si="1203"/>
        <v>0</v>
      </c>
    </row>
    <row r="5944" spans="13:22" x14ac:dyDescent="0.25">
      <c r="M5944" s="4">
        <f t="shared" si="1196"/>
        <v>173.1</v>
      </c>
      <c r="N5944" s="4"/>
      <c r="O5944" s="1">
        <f t="shared" si="1197"/>
        <v>173.1</v>
      </c>
      <c r="P5944" s="1">
        <f t="shared" si="1198"/>
        <v>0</v>
      </c>
      <c r="Q5944" s="1" t="str">
        <f t="shared" si="1204"/>
        <v/>
      </c>
      <c r="R5944" s="1" t="str">
        <f t="shared" si="1199"/>
        <v/>
      </c>
      <c r="S5944" s="1">
        <f t="shared" si="1200"/>
        <v>630.90240000000244</v>
      </c>
      <c r="T5944" s="1">
        <f t="shared" si="1201"/>
        <v>0</v>
      </c>
      <c r="U5944" s="1">
        <f t="shared" si="1202"/>
        <v>0</v>
      </c>
      <c r="V5944" s="1">
        <f t="shared" si="1203"/>
        <v>0</v>
      </c>
    </row>
    <row r="5945" spans="13:22" x14ac:dyDescent="0.25">
      <c r="M5945" s="4">
        <f t="shared" si="1196"/>
        <v>173.1</v>
      </c>
      <c r="N5945" s="4"/>
      <c r="O5945" s="1">
        <f t="shared" si="1197"/>
        <v>173.1</v>
      </c>
      <c r="P5945" s="1">
        <f t="shared" si="1198"/>
        <v>0</v>
      </c>
      <c r="Q5945" s="1" t="str">
        <f t="shared" si="1204"/>
        <v/>
      </c>
      <c r="R5945" s="1" t="str">
        <f t="shared" si="1199"/>
        <v/>
      </c>
      <c r="S5945" s="1">
        <f t="shared" si="1200"/>
        <v>630.90240000000244</v>
      </c>
      <c r="T5945" s="1">
        <f t="shared" si="1201"/>
        <v>0</v>
      </c>
      <c r="U5945" s="1">
        <f t="shared" si="1202"/>
        <v>0</v>
      </c>
      <c r="V5945" s="1">
        <f t="shared" si="1203"/>
        <v>0</v>
      </c>
    </row>
    <row r="5946" spans="13:22" x14ac:dyDescent="0.25">
      <c r="M5946" s="4">
        <f t="shared" si="1196"/>
        <v>173.1</v>
      </c>
      <c r="N5946" s="4"/>
      <c r="O5946" s="1">
        <f t="shared" si="1197"/>
        <v>173.1</v>
      </c>
      <c r="P5946" s="1">
        <f t="shared" si="1198"/>
        <v>0</v>
      </c>
      <c r="Q5946" s="1" t="str">
        <f t="shared" si="1204"/>
        <v/>
      </c>
      <c r="R5946" s="1" t="str">
        <f t="shared" si="1199"/>
        <v/>
      </c>
      <c r="S5946" s="1">
        <f t="shared" si="1200"/>
        <v>630.90240000000244</v>
      </c>
      <c r="T5946" s="1">
        <f t="shared" si="1201"/>
        <v>0</v>
      </c>
      <c r="U5946" s="1">
        <f t="shared" si="1202"/>
        <v>0</v>
      </c>
      <c r="V5946" s="1">
        <f t="shared" si="1203"/>
        <v>0</v>
      </c>
    </row>
    <row r="5947" spans="13:22" x14ac:dyDescent="0.25">
      <c r="M5947" s="4">
        <f t="shared" si="1196"/>
        <v>173.1</v>
      </c>
      <c r="N5947" s="4"/>
      <c r="O5947" s="1">
        <f t="shared" si="1197"/>
        <v>173.1</v>
      </c>
      <c r="P5947" s="1">
        <f t="shared" si="1198"/>
        <v>0</v>
      </c>
      <c r="Q5947" s="1" t="str">
        <f t="shared" si="1204"/>
        <v/>
      </c>
      <c r="R5947" s="1" t="str">
        <f t="shared" si="1199"/>
        <v/>
      </c>
      <c r="S5947" s="1">
        <f t="shared" si="1200"/>
        <v>630.90240000000244</v>
      </c>
      <c r="T5947" s="1">
        <f t="shared" si="1201"/>
        <v>0</v>
      </c>
      <c r="U5947" s="1">
        <f t="shared" si="1202"/>
        <v>0</v>
      </c>
      <c r="V5947" s="1">
        <f t="shared" si="1203"/>
        <v>0</v>
      </c>
    </row>
    <row r="5948" spans="13:22" x14ac:dyDescent="0.25">
      <c r="M5948" s="4">
        <f t="shared" si="1196"/>
        <v>173.1</v>
      </c>
      <c r="N5948" s="4"/>
      <c r="O5948" s="1">
        <f t="shared" si="1197"/>
        <v>173.1</v>
      </c>
      <c r="P5948" s="1">
        <f t="shared" si="1198"/>
        <v>0</v>
      </c>
      <c r="Q5948" s="1" t="str">
        <f t="shared" si="1204"/>
        <v/>
      </c>
      <c r="R5948" s="1" t="str">
        <f t="shared" si="1199"/>
        <v/>
      </c>
      <c r="S5948" s="1">
        <f t="shared" si="1200"/>
        <v>630.90240000000244</v>
      </c>
      <c r="T5948" s="1">
        <f t="shared" si="1201"/>
        <v>0</v>
      </c>
      <c r="U5948" s="1">
        <f t="shared" si="1202"/>
        <v>0</v>
      </c>
      <c r="V5948" s="1">
        <f t="shared" si="1203"/>
        <v>0</v>
      </c>
    </row>
    <row r="5949" spans="13:22" x14ac:dyDescent="0.25">
      <c r="M5949" s="4">
        <f t="shared" si="1196"/>
        <v>173.1</v>
      </c>
      <c r="N5949" s="4"/>
      <c r="O5949" s="1">
        <f t="shared" si="1197"/>
        <v>173.1</v>
      </c>
      <c r="P5949" s="1">
        <f t="shared" si="1198"/>
        <v>0</v>
      </c>
      <c r="Q5949" s="1" t="str">
        <f t="shared" si="1204"/>
        <v/>
      </c>
      <c r="R5949" s="1" t="str">
        <f t="shared" si="1199"/>
        <v/>
      </c>
      <c r="S5949" s="1">
        <f t="shared" si="1200"/>
        <v>630.90240000000244</v>
      </c>
      <c r="T5949" s="1">
        <f t="shared" si="1201"/>
        <v>0</v>
      </c>
      <c r="U5949" s="1">
        <f t="shared" si="1202"/>
        <v>0</v>
      </c>
      <c r="V5949" s="1">
        <f t="shared" si="1203"/>
        <v>0</v>
      </c>
    </row>
    <row r="5950" spans="13:22" x14ac:dyDescent="0.25">
      <c r="M5950" s="4">
        <f t="shared" si="1196"/>
        <v>173.1</v>
      </c>
      <c r="N5950" s="4"/>
      <c r="O5950" s="1">
        <f t="shared" si="1197"/>
        <v>173.1</v>
      </c>
      <c r="P5950" s="1">
        <f t="shared" si="1198"/>
        <v>0</v>
      </c>
      <c r="Q5950" s="1" t="str">
        <f t="shared" si="1204"/>
        <v/>
      </c>
      <c r="R5950" s="1" t="str">
        <f t="shared" si="1199"/>
        <v/>
      </c>
      <c r="S5950" s="1">
        <f t="shared" si="1200"/>
        <v>630.90240000000244</v>
      </c>
      <c r="T5950" s="1">
        <f t="shared" si="1201"/>
        <v>0</v>
      </c>
      <c r="U5950" s="1">
        <f t="shared" si="1202"/>
        <v>0</v>
      </c>
      <c r="V5950" s="1">
        <f t="shared" si="1203"/>
        <v>0</v>
      </c>
    </row>
    <row r="5951" spans="13:22" x14ac:dyDescent="0.25">
      <c r="M5951" s="4">
        <f t="shared" si="1196"/>
        <v>173.1</v>
      </c>
      <c r="N5951" s="4"/>
      <c r="O5951" s="1">
        <f t="shared" si="1197"/>
        <v>173.1</v>
      </c>
      <c r="P5951" s="1">
        <f t="shared" si="1198"/>
        <v>0</v>
      </c>
      <c r="Q5951" s="1" t="str">
        <f t="shared" si="1204"/>
        <v/>
      </c>
      <c r="R5951" s="1" t="str">
        <f t="shared" si="1199"/>
        <v/>
      </c>
      <c r="S5951" s="1">
        <f t="shared" si="1200"/>
        <v>630.90240000000244</v>
      </c>
      <c r="T5951" s="1">
        <f t="shared" si="1201"/>
        <v>0</v>
      </c>
      <c r="U5951" s="1">
        <f t="shared" si="1202"/>
        <v>0</v>
      </c>
      <c r="V5951" s="1">
        <f t="shared" si="1203"/>
        <v>0</v>
      </c>
    </row>
    <row r="5952" spans="13:22" x14ac:dyDescent="0.25">
      <c r="M5952" s="4">
        <f t="shared" si="1196"/>
        <v>173.1</v>
      </c>
      <c r="N5952" s="4"/>
      <c r="O5952" s="1">
        <f t="shared" si="1197"/>
        <v>173.1</v>
      </c>
      <c r="P5952" s="1">
        <f t="shared" si="1198"/>
        <v>0</v>
      </c>
      <c r="Q5952" s="1" t="str">
        <f t="shared" si="1204"/>
        <v/>
      </c>
      <c r="R5952" s="1" t="str">
        <f t="shared" si="1199"/>
        <v/>
      </c>
      <c r="S5952" s="1">
        <f t="shared" si="1200"/>
        <v>630.90240000000244</v>
      </c>
      <c r="T5952" s="1">
        <f t="shared" si="1201"/>
        <v>0</v>
      </c>
      <c r="U5952" s="1">
        <f t="shared" si="1202"/>
        <v>0</v>
      </c>
      <c r="V5952" s="1">
        <f t="shared" si="1203"/>
        <v>0</v>
      </c>
    </row>
    <row r="5953" spans="13:22" x14ac:dyDescent="0.25">
      <c r="M5953" s="4">
        <f t="shared" si="1196"/>
        <v>173.1</v>
      </c>
      <c r="N5953" s="4"/>
      <c r="O5953" s="1">
        <f t="shared" si="1197"/>
        <v>173.1</v>
      </c>
      <c r="P5953" s="1">
        <f t="shared" si="1198"/>
        <v>0</v>
      </c>
      <c r="Q5953" s="1" t="str">
        <f t="shared" si="1204"/>
        <v/>
      </c>
      <c r="R5953" s="1" t="str">
        <f t="shared" si="1199"/>
        <v/>
      </c>
      <c r="S5953" s="1">
        <f t="shared" si="1200"/>
        <v>630.90240000000244</v>
      </c>
      <c r="T5953" s="1">
        <f t="shared" si="1201"/>
        <v>0</v>
      </c>
      <c r="U5953" s="1">
        <f t="shared" si="1202"/>
        <v>0</v>
      </c>
      <c r="V5953" s="1">
        <f t="shared" si="1203"/>
        <v>0</v>
      </c>
    </row>
    <row r="5954" spans="13:22" x14ac:dyDescent="0.25">
      <c r="M5954" s="4">
        <f t="shared" si="1196"/>
        <v>173.1</v>
      </c>
      <c r="N5954" s="4"/>
      <c r="O5954" s="1">
        <f t="shared" si="1197"/>
        <v>173.1</v>
      </c>
      <c r="P5954" s="1">
        <f t="shared" si="1198"/>
        <v>0</v>
      </c>
      <c r="Q5954" s="1" t="str">
        <f t="shared" si="1204"/>
        <v/>
      </c>
      <c r="R5954" s="1" t="str">
        <f t="shared" si="1199"/>
        <v/>
      </c>
      <c r="S5954" s="1">
        <f t="shared" si="1200"/>
        <v>630.90240000000244</v>
      </c>
      <c r="T5954" s="1">
        <f t="shared" si="1201"/>
        <v>0</v>
      </c>
      <c r="U5954" s="1">
        <f t="shared" si="1202"/>
        <v>0</v>
      </c>
      <c r="V5954" s="1">
        <f t="shared" si="1203"/>
        <v>0</v>
      </c>
    </row>
    <row r="5955" spans="13:22" x14ac:dyDescent="0.25">
      <c r="M5955" s="4">
        <f t="shared" si="1196"/>
        <v>173.1</v>
      </c>
      <c r="N5955" s="4"/>
      <c r="O5955" s="1">
        <f t="shared" si="1197"/>
        <v>173.1</v>
      </c>
      <c r="P5955" s="1">
        <f t="shared" si="1198"/>
        <v>0</v>
      </c>
      <c r="Q5955" s="1" t="str">
        <f t="shared" si="1204"/>
        <v/>
      </c>
      <c r="R5955" s="1" t="str">
        <f t="shared" si="1199"/>
        <v/>
      </c>
      <c r="S5955" s="1">
        <f t="shared" si="1200"/>
        <v>630.90240000000244</v>
      </c>
      <c r="T5955" s="1">
        <f t="shared" si="1201"/>
        <v>0</v>
      </c>
      <c r="U5955" s="1">
        <f t="shared" si="1202"/>
        <v>0</v>
      </c>
      <c r="V5955" s="1">
        <f t="shared" si="1203"/>
        <v>0</v>
      </c>
    </row>
    <row r="5956" spans="13:22" x14ac:dyDescent="0.25">
      <c r="M5956" s="4">
        <f t="shared" si="1196"/>
        <v>173.1</v>
      </c>
      <c r="N5956" s="4"/>
      <c r="O5956" s="1">
        <f t="shared" si="1197"/>
        <v>173.1</v>
      </c>
      <c r="P5956" s="1">
        <f t="shared" si="1198"/>
        <v>0</v>
      </c>
      <c r="Q5956" s="1" t="str">
        <f t="shared" si="1204"/>
        <v/>
      </c>
      <c r="R5956" s="1" t="str">
        <f t="shared" si="1199"/>
        <v/>
      </c>
      <c r="S5956" s="1">
        <f t="shared" si="1200"/>
        <v>630.90240000000244</v>
      </c>
      <c r="T5956" s="1">
        <f t="shared" si="1201"/>
        <v>0</v>
      </c>
      <c r="U5956" s="1">
        <f t="shared" si="1202"/>
        <v>0</v>
      </c>
      <c r="V5956" s="1">
        <f t="shared" si="1203"/>
        <v>0</v>
      </c>
    </row>
    <row r="5957" spans="13:22" x14ac:dyDescent="0.25">
      <c r="M5957" s="4">
        <f t="shared" si="1196"/>
        <v>173.1</v>
      </c>
      <c r="N5957" s="4"/>
      <c r="O5957" s="1">
        <f t="shared" si="1197"/>
        <v>173.1</v>
      </c>
      <c r="P5957" s="1">
        <f t="shared" si="1198"/>
        <v>0</v>
      </c>
      <c r="Q5957" s="1" t="str">
        <f t="shared" si="1204"/>
        <v/>
      </c>
      <c r="R5957" s="1" t="str">
        <f t="shared" si="1199"/>
        <v/>
      </c>
      <c r="S5957" s="1">
        <f t="shared" si="1200"/>
        <v>630.90240000000244</v>
      </c>
      <c r="T5957" s="1">
        <f t="shared" si="1201"/>
        <v>0</v>
      </c>
      <c r="U5957" s="1">
        <f t="shared" si="1202"/>
        <v>0</v>
      </c>
      <c r="V5957" s="1">
        <f t="shared" si="1203"/>
        <v>0</v>
      </c>
    </row>
    <row r="5958" spans="13:22" x14ac:dyDescent="0.25">
      <c r="M5958" s="4">
        <f t="shared" si="1196"/>
        <v>173.1</v>
      </c>
      <c r="N5958" s="4"/>
      <c r="O5958" s="1">
        <f t="shared" si="1197"/>
        <v>173.1</v>
      </c>
      <c r="P5958" s="1">
        <f t="shared" si="1198"/>
        <v>0</v>
      </c>
      <c r="Q5958" s="1" t="str">
        <f t="shared" si="1204"/>
        <v/>
      </c>
      <c r="R5958" s="1" t="str">
        <f t="shared" si="1199"/>
        <v/>
      </c>
      <c r="S5958" s="1">
        <f t="shared" si="1200"/>
        <v>630.90240000000244</v>
      </c>
      <c r="T5958" s="1">
        <f t="shared" si="1201"/>
        <v>0</v>
      </c>
      <c r="U5958" s="1">
        <f t="shared" si="1202"/>
        <v>0</v>
      </c>
      <c r="V5958" s="1">
        <f t="shared" si="1203"/>
        <v>0</v>
      </c>
    </row>
    <row r="5959" spans="13:22" x14ac:dyDescent="0.25">
      <c r="M5959" s="4">
        <f t="shared" si="1196"/>
        <v>173.1</v>
      </c>
      <c r="N5959" s="4"/>
      <c r="O5959" s="1">
        <f t="shared" si="1197"/>
        <v>173.1</v>
      </c>
      <c r="P5959" s="1">
        <f t="shared" si="1198"/>
        <v>0</v>
      </c>
      <c r="Q5959" s="1" t="str">
        <f t="shared" si="1204"/>
        <v/>
      </c>
      <c r="R5959" s="1" t="str">
        <f t="shared" si="1199"/>
        <v/>
      </c>
      <c r="S5959" s="1">
        <f t="shared" si="1200"/>
        <v>630.90240000000244</v>
      </c>
      <c r="T5959" s="1">
        <f t="shared" si="1201"/>
        <v>0</v>
      </c>
      <c r="U5959" s="1">
        <f t="shared" si="1202"/>
        <v>0</v>
      </c>
      <c r="V5959" s="1">
        <f t="shared" si="1203"/>
        <v>0</v>
      </c>
    </row>
    <row r="5960" spans="13:22" x14ac:dyDescent="0.25">
      <c r="M5960" s="4">
        <f t="shared" ref="M5960:M6011" si="1205">E5960+M5959</f>
        <v>173.1</v>
      </c>
      <c r="N5960" s="4"/>
      <c r="O5960" s="1">
        <f t="shared" ref="O5960:O6011" si="1206">E5959+O5959</f>
        <v>173.1</v>
      </c>
      <c r="P5960" s="1">
        <f t="shared" ref="P5960:P6011" si="1207">F5960*52.8*E5960</f>
        <v>0</v>
      </c>
      <c r="Q5960" s="1" t="str">
        <f t="shared" si="1204"/>
        <v/>
      </c>
      <c r="R5960" s="1" t="str">
        <f t="shared" ref="R5960:R6011" si="1208">IF(I5960="",Q5960,IF(AND(H5960=H5959,I5960=I5959),"",I5960))</f>
        <v/>
      </c>
      <c r="S5960" s="1">
        <f t="shared" ref="S5960:S6011" si="1209">S5959+U5959*T5959/100</f>
        <v>630.90240000000244</v>
      </c>
      <c r="T5960" s="1">
        <f t="shared" ref="T5960:T6011" si="1210">IF(G5960="UNK",0,G5960)</f>
        <v>0</v>
      </c>
      <c r="U5960" s="1">
        <f t="shared" ref="U5960:U6011" si="1211">E5960*5280</f>
        <v>0</v>
      </c>
      <c r="V5960" s="1">
        <f t="shared" ref="V5960:V6011" si="1212">ABS(T5960*U5960)</f>
        <v>0</v>
      </c>
    </row>
    <row r="5961" spans="13:22" x14ac:dyDescent="0.25">
      <c r="M5961" s="4">
        <f t="shared" si="1205"/>
        <v>173.1</v>
      </c>
      <c r="N5961" s="4"/>
      <c r="O5961" s="1">
        <f t="shared" si="1206"/>
        <v>173.1</v>
      </c>
      <c r="P5961" s="1">
        <f t="shared" si="1207"/>
        <v>0</v>
      </c>
      <c r="Q5961" s="1" t="str">
        <f t="shared" si="1204"/>
        <v/>
      </c>
      <c r="R5961" s="1" t="str">
        <f t="shared" si="1208"/>
        <v/>
      </c>
      <c r="S5961" s="1">
        <f t="shared" si="1209"/>
        <v>630.90240000000244</v>
      </c>
      <c r="T5961" s="1">
        <f t="shared" si="1210"/>
        <v>0</v>
      </c>
      <c r="U5961" s="1">
        <f t="shared" si="1211"/>
        <v>0</v>
      </c>
      <c r="V5961" s="1">
        <f t="shared" si="1212"/>
        <v>0</v>
      </c>
    </row>
    <row r="5962" spans="13:22" x14ac:dyDescent="0.25">
      <c r="M5962" s="4">
        <f t="shared" si="1205"/>
        <v>173.1</v>
      </c>
      <c r="N5962" s="4"/>
      <c r="O5962" s="1">
        <f t="shared" si="1206"/>
        <v>173.1</v>
      </c>
      <c r="P5962" s="1">
        <f t="shared" si="1207"/>
        <v>0</v>
      </c>
      <c r="Q5962" s="1" t="str">
        <f t="shared" si="1204"/>
        <v/>
      </c>
      <c r="R5962" s="1" t="str">
        <f t="shared" si="1208"/>
        <v/>
      </c>
      <c r="S5962" s="1">
        <f t="shared" si="1209"/>
        <v>630.90240000000244</v>
      </c>
      <c r="T5962" s="1">
        <f t="shared" si="1210"/>
        <v>0</v>
      </c>
      <c r="U5962" s="1">
        <f t="shared" si="1211"/>
        <v>0</v>
      </c>
      <c r="V5962" s="1">
        <f t="shared" si="1212"/>
        <v>0</v>
      </c>
    </row>
    <row r="5963" spans="13:22" x14ac:dyDescent="0.25">
      <c r="M5963" s="4">
        <f t="shared" si="1205"/>
        <v>173.1</v>
      </c>
      <c r="N5963" s="4"/>
      <c r="O5963" s="1">
        <f t="shared" si="1206"/>
        <v>173.1</v>
      </c>
      <c r="P5963" s="1">
        <f t="shared" si="1207"/>
        <v>0</v>
      </c>
      <c r="Q5963" s="1" t="str">
        <f t="shared" si="1204"/>
        <v/>
      </c>
      <c r="R5963" s="1" t="str">
        <f t="shared" si="1208"/>
        <v/>
      </c>
      <c r="S5963" s="1">
        <f t="shared" si="1209"/>
        <v>630.90240000000244</v>
      </c>
      <c r="T5963" s="1">
        <f t="shared" si="1210"/>
        <v>0</v>
      </c>
      <c r="U5963" s="1">
        <f t="shared" si="1211"/>
        <v>0</v>
      </c>
      <c r="V5963" s="1">
        <f t="shared" si="1212"/>
        <v>0</v>
      </c>
    </row>
    <row r="5964" spans="13:22" x14ac:dyDescent="0.25">
      <c r="M5964" s="4">
        <f t="shared" si="1205"/>
        <v>173.1</v>
      </c>
      <c r="N5964" s="4"/>
      <c r="O5964" s="1">
        <f t="shared" si="1206"/>
        <v>173.1</v>
      </c>
      <c r="P5964" s="1">
        <f t="shared" si="1207"/>
        <v>0</v>
      </c>
      <c r="Q5964" s="1" t="str">
        <f t="shared" si="1204"/>
        <v/>
      </c>
      <c r="R5964" s="1" t="str">
        <f t="shared" si="1208"/>
        <v/>
      </c>
      <c r="S5964" s="1">
        <f t="shared" si="1209"/>
        <v>630.90240000000244</v>
      </c>
      <c r="T5964" s="1">
        <f t="shared" si="1210"/>
        <v>0</v>
      </c>
      <c r="U5964" s="1">
        <f t="shared" si="1211"/>
        <v>0</v>
      </c>
      <c r="V5964" s="1">
        <f t="shared" si="1212"/>
        <v>0</v>
      </c>
    </row>
    <row r="5965" spans="13:22" x14ac:dyDescent="0.25">
      <c r="M5965" s="4">
        <f t="shared" si="1205"/>
        <v>173.1</v>
      </c>
      <c r="N5965" s="4"/>
      <c r="O5965" s="1">
        <f t="shared" si="1206"/>
        <v>173.1</v>
      </c>
      <c r="P5965" s="1">
        <f t="shared" si="1207"/>
        <v>0</v>
      </c>
      <c r="Q5965" s="1" t="str">
        <f t="shared" si="1204"/>
        <v/>
      </c>
      <c r="R5965" s="1" t="str">
        <f t="shared" si="1208"/>
        <v/>
      </c>
      <c r="S5965" s="1">
        <f t="shared" si="1209"/>
        <v>630.90240000000244</v>
      </c>
      <c r="T5965" s="1">
        <f t="shared" si="1210"/>
        <v>0</v>
      </c>
      <c r="U5965" s="1">
        <f t="shared" si="1211"/>
        <v>0</v>
      </c>
      <c r="V5965" s="1">
        <f t="shared" si="1212"/>
        <v>0</v>
      </c>
    </row>
    <row r="5966" spans="13:22" x14ac:dyDescent="0.25">
      <c r="M5966" s="4">
        <f t="shared" si="1205"/>
        <v>173.1</v>
      </c>
      <c r="N5966" s="4"/>
      <c r="O5966" s="1">
        <f t="shared" si="1206"/>
        <v>173.1</v>
      </c>
      <c r="P5966" s="1">
        <f t="shared" si="1207"/>
        <v>0</v>
      </c>
      <c r="Q5966" s="1" t="str">
        <f t="shared" si="1204"/>
        <v/>
      </c>
      <c r="R5966" s="1" t="str">
        <f t="shared" si="1208"/>
        <v/>
      </c>
      <c r="S5966" s="1">
        <f t="shared" si="1209"/>
        <v>630.90240000000244</v>
      </c>
      <c r="T5966" s="1">
        <f t="shared" si="1210"/>
        <v>0</v>
      </c>
      <c r="U5966" s="1">
        <f t="shared" si="1211"/>
        <v>0</v>
      </c>
      <c r="V5966" s="1">
        <f t="shared" si="1212"/>
        <v>0</v>
      </c>
    </row>
    <row r="5967" spans="13:22" x14ac:dyDescent="0.25">
      <c r="M5967" s="4">
        <f t="shared" si="1205"/>
        <v>173.1</v>
      </c>
      <c r="N5967" s="4"/>
      <c r="O5967" s="1">
        <f t="shared" si="1206"/>
        <v>173.1</v>
      </c>
      <c r="P5967" s="1">
        <f t="shared" si="1207"/>
        <v>0</v>
      </c>
      <c r="Q5967" s="1" t="str">
        <f t="shared" si="1204"/>
        <v/>
      </c>
      <c r="R5967" s="1" t="str">
        <f t="shared" si="1208"/>
        <v/>
      </c>
      <c r="S5967" s="1">
        <f t="shared" si="1209"/>
        <v>630.90240000000244</v>
      </c>
      <c r="T5967" s="1">
        <f t="shared" si="1210"/>
        <v>0</v>
      </c>
      <c r="U5967" s="1">
        <f t="shared" si="1211"/>
        <v>0</v>
      </c>
      <c r="V5967" s="1">
        <f t="shared" si="1212"/>
        <v>0</v>
      </c>
    </row>
    <row r="5968" spans="13:22" x14ac:dyDescent="0.25">
      <c r="M5968" s="4">
        <f t="shared" si="1205"/>
        <v>173.1</v>
      </c>
      <c r="N5968" s="4"/>
      <c r="O5968" s="1">
        <f t="shared" si="1206"/>
        <v>173.1</v>
      </c>
      <c r="P5968" s="1">
        <f t="shared" si="1207"/>
        <v>0</v>
      </c>
      <c r="Q5968" s="1" t="str">
        <f t="shared" si="1204"/>
        <v/>
      </c>
      <c r="R5968" s="1" t="str">
        <f t="shared" si="1208"/>
        <v/>
      </c>
      <c r="S5968" s="1">
        <f t="shared" si="1209"/>
        <v>630.90240000000244</v>
      </c>
      <c r="T5968" s="1">
        <f t="shared" si="1210"/>
        <v>0</v>
      </c>
      <c r="U5968" s="1">
        <f t="shared" si="1211"/>
        <v>0</v>
      </c>
      <c r="V5968" s="1">
        <f t="shared" si="1212"/>
        <v>0</v>
      </c>
    </row>
    <row r="5969" spans="13:22" x14ac:dyDescent="0.25">
      <c r="M5969" s="4">
        <f t="shared" si="1205"/>
        <v>173.1</v>
      </c>
      <c r="N5969" s="4"/>
      <c r="O5969" s="1">
        <f t="shared" si="1206"/>
        <v>173.1</v>
      </c>
      <c r="P5969" s="1">
        <f t="shared" si="1207"/>
        <v>0</v>
      </c>
      <c r="Q5969" s="1" t="str">
        <f t="shared" si="1204"/>
        <v/>
      </c>
      <c r="R5969" s="1" t="str">
        <f t="shared" si="1208"/>
        <v/>
      </c>
      <c r="S5969" s="1">
        <f t="shared" si="1209"/>
        <v>630.90240000000244</v>
      </c>
      <c r="T5969" s="1">
        <f t="shared" si="1210"/>
        <v>0</v>
      </c>
      <c r="U5969" s="1">
        <f t="shared" si="1211"/>
        <v>0</v>
      </c>
      <c r="V5969" s="1">
        <f t="shared" si="1212"/>
        <v>0</v>
      </c>
    </row>
    <row r="5970" spans="13:22" x14ac:dyDescent="0.25">
      <c r="M5970" s="4">
        <f t="shared" si="1205"/>
        <v>173.1</v>
      </c>
      <c r="N5970" s="4"/>
      <c r="O5970" s="1">
        <f t="shared" si="1206"/>
        <v>173.1</v>
      </c>
      <c r="P5970" s="1">
        <f t="shared" si="1207"/>
        <v>0</v>
      </c>
      <c r="Q5970" s="1" t="str">
        <f t="shared" si="1204"/>
        <v/>
      </c>
      <c r="R5970" s="1" t="str">
        <f t="shared" si="1208"/>
        <v/>
      </c>
      <c r="S5970" s="1">
        <f t="shared" si="1209"/>
        <v>630.90240000000244</v>
      </c>
      <c r="T5970" s="1">
        <f t="shared" si="1210"/>
        <v>0</v>
      </c>
      <c r="U5970" s="1">
        <f t="shared" si="1211"/>
        <v>0</v>
      </c>
      <c r="V5970" s="1">
        <f t="shared" si="1212"/>
        <v>0</v>
      </c>
    </row>
    <row r="5971" spans="13:22" x14ac:dyDescent="0.25">
      <c r="M5971" s="4">
        <f t="shared" si="1205"/>
        <v>173.1</v>
      </c>
      <c r="N5971" s="4"/>
      <c r="O5971" s="1">
        <f t="shared" si="1206"/>
        <v>173.1</v>
      </c>
      <c r="P5971" s="1">
        <f t="shared" si="1207"/>
        <v>0</v>
      </c>
      <c r="Q5971" s="1" t="str">
        <f t="shared" si="1204"/>
        <v/>
      </c>
      <c r="R5971" s="1" t="str">
        <f t="shared" si="1208"/>
        <v/>
      </c>
      <c r="S5971" s="1">
        <f t="shared" si="1209"/>
        <v>630.90240000000244</v>
      </c>
      <c r="T5971" s="1">
        <f t="shared" si="1210"/>
        <v>0</v>
      </c>
      <c r="U5971" s="1">
        <f t="shared" si="1211"/>
        <v>0</v>
      </c>
      <c r="V5971" s="1">
        <f t="shared" si="1212"/>
        <v>0</v>
      </c>
    </row>
    <row r="5972" spans="13:22" x14ac:dyDescent="0.25">
      <c r="M5972" s="4">
        <f t="shared" si="1205"/>
        <v>173.1</v>
      </c>
      <c r="N5972" s="4"/>
      <c r="O5972" s="1">
        <f t="shared" si="1206"/>
        <v>173.1</v>
      </c>
      <c r="P5972" s="1">
        <f t="shared" si="1207"/>
        <v>0</v>
      </c>
      <c r="Q5972" s="1" t="str">
        <f t="shared" si="1204"/>
        <v/>
      </c>
      <c r="R5972" s="1" t="str">
        <f t="shared" si="1208"/>
        <v/>
      </c>
      <c r="S5972" s="1">
        <f t="shared" si="1209"/>
        <v>630.90240000000244</v>
      </c>
      <c r="T5972" s="1">
        <f t="shared" si="1210"/>
        <v>0</v>
      </c>
      <c r="U5972" s="1">
        <f t="shared" si="1211"/>
        <v>0</v>
      </c>
      <c r="V5972" s="1">
        <f t="shared" si="1212"/>
        <v>0</v>
      </c>
    </row>
    <row r="5973" spans="13:22" x14ac:dyDescent="0.25">
      <c r="M5973" s="4">
        <f t="shared" si="1205"/>
        <v>173.1</v>
      </c>
      <c r="N5973" s="4"/>
      <c r="O5973" s="1">
        <f t="shared" si="1206"/>
        <v>173.1</v>
      </c>
      <c r="P5973" s="1">
        <f t="shared" si="1207"/>
        <v>0</v>
      </c>
      <c r="Q5973" s="1" t="str">
        <f t="shared" si="1204"/>
        <v/>
      </c>
      <c r="R5973" s="1" t="str">
        <f t="shared" si="1208"/>
        <v/>
      </c>
      <c r="S5973" s="1">
        <f t="shared" si="1209"/>
        <v>630.90240000000244</v>
      </c>
      <c r="T5973" s="1">
        <f t="shared" si="1210"/>
        <v>0</v>
      </c>
      <c r="U5973" s="1">
        <f t="shared" si="1211"/>
        <v>0</v>
      </c>
      <c r="V5973" s="1">
        <f t="shared" si="1212"/>
        <v>0</v>
      </c>
    </row>
    <row r="5974" spans="13:22" x14ac:dyDescent="0.25">
      <c r="M5974" s="4">
        <f t="shared" si="1205"/>
        <v>173.1</v>
      </c>
      <c r="N5974" s="4"/>
      <c r="O5974" s="1">
        <f t="shared" si="1206"/>
        <v>173.1</v>
      </c>
      <c r="P5974" s="1">
        <f t="shared" si="1207"/>
        <v>0</v>
      </c>
      <c r="Q5974" s="1" t="str">
        <f t="shared" si="1204"/>
        <v/>
      </c>
      <c r="R5974" s="1" t="str">
        <f t="shared" si="1208"/>
        <v/>
      </c>
      <c r="S5974" s="1">
        <f t="shared" si="1209"/>
        <v>630.90240000000244</v>
      </c>
      <c r="T5974" s="1">
        <f t="shared" si="1210"/>
        <v>0</v>
      </c>
      <c r="U5974" s="1">
        <f t="shared" si="1211"/>
        <v>0</v>
      </c>
      <c r="V5974" s="1">
        <f t="shared" si="1212"/>
        <v>0</v>
      </c>
    </row>
    <row r="5975" spans="13:22" x14ac:dyDescent="0.25">
      <c r="M5975" s="4">
        <f t="shared" si="1205"/>
        <v>173.1</v>
      </c>
      <c r="N5975" s="4"/>
      <c r="O5975" s="1">
        <f t="shared" si="1206"/>
        <v>173.1</v>
      </c>
      <c r="P5975" s="1">
        <f t="shared" si="1207"/>
        <v>0</v>
      </c>
      <c r="Q5975" s="1" t="str">
        <f t="shared" si="1204"/>
        <v/>
      </c>
      <c r="R5975" s="1" t="str">
        <f t="shared" si="1208"/>
        <v/>
      </c>
      <c r="S5975" s="1">
        <f t="shared" si="1209"/>
        <v>630.90240000000244</v>
      </c>
      <c r="T5975" s="1">
        <f t="shared" si="1210"/>
        <v>0</v>
      </c>
      <c r="U5975" s="1">
        <f t="shared" si="1211"/>
        <v>0</v>
      </c>
      <c r="V5975" s="1">
        <f t="shared" si="1212"/>
        <v>0</v>
      </c>
    </row>
    <row r="5976" spans="13:22" x14ac:dyDescent="0.25">
      <c r="M5976" s="4">
        <f t="shared" si="1205"/>
        <v>173.1</v>
      </c>
      <c r="N5976" s="4"/>
      <c r="O5976" s="1">
        <f t="shared" si="1206"/>
        <v>173.1</v>
      </c>
      <c r="P5976" s="1">
        <f t="shared" si="1207"/>
        <v>0</v>
      </c>
      <c r="Q5976" s="1" t="str">
        <f t="shared" si="1204"/>
        <v/>
      </c>
      <c r="R5976" s="1" t="str">
        <f t="shared" si="1208"/>
        <v/>
      </c>
      <c r="S5976" s="1">
        <f t="shared" si="1209"/>
        <v>630.90240000000244</v>
      </c>
      <c r="T5976" s="1">
        <f t="shared" si="1210"/>
        <v>0</v>
      </c>
      <c r="U5976" s="1">
        <f t="shared" si="1211"/>
        <v>0</v>
      </c>
      <c r="V5976" s="1">
        <f t="shared" si="1212"/>
        <v>0</v>
      </c>
    </row>
    <row r="5977" spans="13:22" x14ac:dyDescent="0.25">
      <c r="M5977" s="4">
        <f t="shared" si="1205"/>
        <v>173.1</v>
      </c>
      <c r="N5977" s="4"/>
      <c r="O5977" s="1">
        <f t="shared" si="1206"/>
        <v>173.1</v>
      </c>
      <c r="P5977" s="1">
        <f t="shared" si="1207"/>
        <v>0</v>
      </c>
      <c r="Q5977" s="1" t="str">
        <f t="shared" si="1204"/>
        <v/>
      </c>
      <c r="R5977" s="1" t="str">
        <f t="shared" si="1208"/>
        <v/>
      </c>
      <c r="S5977" s="1">
        <f t="shared" si="1209"/>
        <v>630.90240000000244</v>
      </c>
      <c r="T5977" s="1">
        <f t="shared" si="1210"/>
        <v>0</v>
      </c>
      <c r="U5977" s="1">
        <f t="shared" si="1211"/>
        <v>0</v>
      </c>
      <c r="V5977" s="1">
        <f t="shared" si="1212"/>
        <v>0</v>
      </c>
    </row>
    <row r="5978" spans="13:22" x14ac:dyDescent="0.25">
      <c r="M5978" s="4">
        <f t="shared" si="1205"/>
        <v>173.1</v>
      </c>
      <c r="N5978" s="4"/>
      <c r="O5978" s="1">
        <f t="shared" si="1206"/>
        <v>173.1</v>
      </c>
      <c r="P5978" s="1">
        <f t="shared" si="1207"/>
        <v>0</v>
      </c>
      <c r="Q5978" s="1" t="str">
        <f t="shared" si="1204"/>
        <v/>
      </c>
      <c r="R5978" s="1" t="str">
        <f t="shared" si="1208"/>
        <v/>
      </c>
      <c r="S5978" s="1">
        <f t="shared" si="1209"/>
        <v>630.90240000000244</v>
      </c>
      <c r="T5978" s="1">
        <f t="shared" si="1210"/>
        <v>0</v>
      </c>
      <c r="U5978" s="1">
        <f t="shared" si="1211"/>
        <v>0</v>
      </c>
      <c r="V5978" s="1">
        <f t="shared" si="1212"/>
        <v>0</v>
      </c>
    </row>
    <row r="5979" spans="13:22" x14ac:dyDescent="0.25">
      <c r="M5979" s="4">
        <f t="shared" si="1205"/>
        <v>173.1</v>
      </c>
      <c r="N5979" s="4"/>
      <c r="O5979" s="1">
        <f t="shared" si="1206"/>
        <v>173.1</v>
      </c>
      <c r="P5979" s="1">
        <f t="shared" si="1207"/>
        <v>0</v>
      </c>
      <c r="Q5979" s="1" t="str">
        <f t="shared" si="1204"/>
        <v/>
      </c>
      <c r="R5979" s="1" t="str">
        <f t="shared" si="1208"/>
        <v/>
      </c>
      <c r="S5979" s="1">
        <f t="shared" si="1209"/>
        <v>630.90240000000244</v>
      </c>
      <c r="T5979" s="1">
        <f t="shared" si="1210"/>
        <v>0</v>
      </c>
      <c r="U5979" s="1">
        <f t="shared" si="1211"/>
        <v>0</v>
      </c>
      <c r="V5979" s="1">
        <f t="shared" si="1212"/>
        <v>0</v>
      </c>
    </row>
    <row r="5980" spans="13:22" x14ac:dyDescent="0.25">
      <c r="M5980" s="4">
        <f t="shared" si="1205"/>
        <v>173.1</v>
      </c>
      <c r="N5980" s="4"/>
      <c r="O5980" s="1">
        <f t="shared" si="1206"/>
        <v>173.1</v>
      </c>
      <c r="P5980" s="1">
        <f t="shared" si="1207"/>
        <v>0</v>
      </c>
      <c r="Q5980" s="1" t="str">
        <f t="shared" si="1204"/>
        <v/>
      </c>
      <c r="R5980" s="1" t="str">
        <f t="shared" si="1208"/>
        <v/>
      </c>
      <c r="S5980" s="1">
        <f t="shared" si="1209"/>
        <v>630.90240000000244</v>
      </c>
      <c r="T5980" s="1">
        <f t="shared" si="1210"/>
        <v>0</v>
      </c>
      <c r="U5980" s="1">
        <f t="shared" si="1211"/>
        <v>0</v>
      </c>
      <c r="V5980" s="1">
        <f t="shared" si="1212"/>
        <v>0</v>
      </c>
    </row>
    <row r="5981" spans="13:22" x14ac:dyDescent="0.25">
      <c r="M5981" s="4">
        <f t="shared" si="1205"/>
        <v>173.1</v>
      </c>
      <c r="N5981" s="4"/>
      <c r="O5981" s="1">
        <f t="shared" si="1206"/>
        <v>173.1</v>
      </c>
      <c r="P5981" s="1">
        <f t="shared" si="1207"/>
        <v>0</v>
      </c>
      <c r="Q5981" s="1" t="str">
        <f t="shared" si="1204"/>
        <v/>
      </c>
      <c r="R5981" s="1" t="str">
        <f t="shared" si="1208"/>
        <v/>
      </c>
      <c r="S5981" s="1">
        <f t="shared" si="1209"/>
        <v>630.90240000000244</v>
      </c>
      <c r="T5981" s="1">
        <f t="shared" si="1210"/>
        <v>0</v>
      </c>
      <c r="U5981" s="1">
        <f t="shared" si="1211"/>
        <v>0</v>
      </c>
      <c r="V5981" s="1">
        <f t="shared" si="1212"/>
        <v>0</v>
      </c>
    </row>
    <row r="5982" spans="13:22" x14ac:dyDescent="0.25">
      <c r="M5982" s="4">
        <f t="shared" si="1205"/>
        <v>173.1</v>
      </c>
      <c r="N5982" s="4"/>
      <c r="O5982" s="1">
        <f t="shared" si="1206"/>
        <v>173.1</v>
      </c>
      <c r="P5982" s="1">
        <f t="shared" si="1207"/>
        <v>0</v>
      </c>
      <c r="Q5982" s="1" t="str">
        <f t="shared" si="1204"/>
        <v/>
      </c>
      <c r="R5982" s="1" t="str">
        <f t="shared" si="1208"/>
        <v/>
      </c>
      <c r="S5982" s="1">
        <f t="shared" si="1209"/>
        <v>630.90240000000244</v>
      </c>
      <c r="T5982" s="1">
        <f t="shared" si="1210"/>
        <v>0</v>
      </c>
      <c r="U5982" s="1">
        <f t="shared" si="1211"/>
        <v>0</v>
      </c>
      <c r="V5982" s="1">
        <f t="shared" si="1212"/>
        <v>0</v>
      </c>
    </row>
    <row r="5983" spans="13:22" x14ac:dyDescent="0.25">
      <c r="M5983" s="4">
        <f t="shared" si="1205"/>
        <v>173.1</v>
      </c>
      <c r="N5983" s="4"/>
      <c r="O5983" s="1">
        <f t="shared" si="1206"/>
        <v>173.1</v>
      </c>
      <c r="P5983" s="1">
        <f t="shared" si="1207"/>
        <v>0</v>
      </c>
      <c r="Q5983" s="1" t="str">
        <f t="shared" si="1204"/>
        <v/>
      </c>
      <c r="R5983" s="1" t="str">
        <f t="shared" si="1208"/>
        <v/>
      </c>
      <c r="S5983" s="1">
        <f t="shared" si="1209"/>
        <v>630.90240000000244</v>
      </c>
      <c r="T5983" s="1">
        <f t="shared" si="1210"/>
        <v>0</v>
      </c>
      <c r="U5983" s="1">
        <f t="shared" si="1211"/>
        <v>0</v>
      </c>
      <c r="V5983" s="1">
        <f t="shared" si="1212"/>
        <v>0</v>
      </c>
    </row>
    <row r="5984" spans="13:22" x14ac:dyDescent="0.25">
      <c r="M5984" s="4">
        <f t="shared" si="1205"/>
        <v>173.1</v>
      </c>
      <c r="N5984" s="4"/>
      <c r="O5984" s="1">
        <f t="shared" si="1206"/>
        <v>173.1</v>
      </c>
      <c r="P5984" s="1">
        <f t="shared" si="1207"/>
        <v>0</v>
      </c>
      <c r="Q5984" s="1" t="str">
        <f t="shared" si="1204"/>
        <v/>
      </c>
      <c r="R5984" s="1" t="str">
        <f t="shared" si="1208"/>
        <v/>
      </c>
      <c r="S5984" s="1">
        <f t="shared" si="1209"/>
        <v>630.90240000000244</v>
      </c>
      <c r="T5984" s="1">
        <f t="shared" si="1210"/>
        <v>0</v>
      </c>
      <c r="U5984" s="1">
        <f t="shared" si="1211"/>
        <v>0</v>
      </c>
      <c r="V5984" s="1">
        <f t="shared" si="1212"/>
        <v>0</v>
      </c>
    </row>
    <row r="5985" spans="13:22" x14ac:dyDescent="0.25">
      <c r="M5985" s="4">
        <f t="shared" si="1205"/>
        <v>173.1</v>
      </c>
      <c r="N5985" s="4"/>
      <c r="O5985" s="1">
        <f t="shared" si="1206"/>
        <v>173.1</v>
      </c>
      <c r="P5985" s="1">
        <f t="shared" si="1207"/>
        <v>0</v>
      </c>
      <c r="Q5985" s="1" t="str">
        <f t="shared" si="1204"/>
        <v/>
      </c>
      <c r="R5985" s="1" t="str">
        <f t="shared" si="1208"/>
        <v/>
      </c>
      <c r="S5985" s="1">
        <f t="shared" si="1209"/>
        <v>630.90240000000244</v>
      </c>
      <c r="T5985" s="1">
        <f t="shared" si="1210"/>
        <v>0</v>
      </c>
      <c r="U5985" s="1">
        <f t="shared" si="1211"/>
        <v>0</v>
      </c>
      <c r="V5985" s="1">
        <f t="shared" si="1212"/>
        <v>0</v>
      </c>
    </row>
    <row r="5986" spans="13:22" x14ac:dyDescent="0.25">
      <c r="M5986" s="4">
        <f t="shared" si="1205"/>
        <v>173.1</v>
      </c>
      <c r="N5986" s="4"/>
      <c r="O5986" s="1">
        <f t="shared" si="1206"/>
        <v>173.1</v>
      </c>
      <c r="P5986" s="1">
        <f t="shared" si="1207"/>
        <v>0</v>
      </c>
      <c r="Q5986" s="1" t="str">
        <f t="shared" si="1204"/>
        <v/>
      </c>
      <c r="R5986" s="1" t="str">
        <f t="shared" si="1208"/>
        <v/>
      </c>
      <c r="S5986" s="1">
        <f t="shared" si="1209"/>
        <v>630.90240000000244</v>
      </c>
      <c r="T5986" s="1">
        <f t="shared" si="1210"/>
        <v>0</v>
      </c>
      <c r="U5986" s="1">
        <f t="shared" si="1211"/>
        <v>0</v>
      </c>
      <c r="V5986" s="1">
        <f t="shared" si="1212"/>
        <v>0</v>
      </c>
    </row>
    <row r="5987" spans="13:22" x14ac:dyDescent="0.25">
      <c r="M5987" s="4">
        <f t="shared" si="1205"/>
        <v>173.1</v>
      </c>
      <c r="N5987" s="4"/>
      <c r="O5987" s="1">
        <f t="shared" si="1206"/>
        <v>173.1</v>
      </c>
      <c r="P5987" s="1">
        <f t="shared" si="1207"/>
        <v>0</v>
      </c>
      <c r="Q5987" s="1" t="str">
        <f t="shared" si="1204"/>
        <v/>
      </c>
      <c r="R5987" s="1" t="str">
        <f t="shared" si="1208"/>
        <v/>
      </c>
      <c r="S5987" s="1">
        <f t="shared" si="1209"/>
        <v>630.90240000000244</v>
      </c>
      <c r="T5987" s="1">
        <f t="shared" si="1210"/>
        <v>0</v>
      </c>
      <c r="U5987" s="1">
        <f t="shared" si="1211"/>
        <v>0</v>
      </c>
      <c r="V5987" s="1">
        <f t="shared" si="1212"/>
        <v>0</v>
      </c>
    </row>
    <row r="5988" spans="13:22" x14ac:dyDescent="0.25">
      <c r="M5988" s="4">
        <f t="shared" si="1205"/>
        <v>173.1</v>
      </c>
      <c r="N5988" s="4"/>
      <c r="O5988" s="1">
        <f t="shared" si="1206"/>
        <v>173.1</v>
      </c>
      <c r="P5988" s="1">
        <f t="shared" si="1207"/>
        <v>0</v>
      </c>
      <c r="Q5988" s="1" t="str">
        <f t="shared" si="1204"/>
        <v/>
      </c>
      <c r="R5988" s="1" t="str">
        <f t="shared" si="1208"/>
        <v/>
      </c>
      <c r="S5988" s="1">
        <f t="shared" si="1209"/>
        <v>630.90240000000244</v>
      </c>
      <c r="T5988" s="1">
        <f t="shared" si="1210"/>
        <v>0</v>
      </c>
      <c r="U5988" s="1">
        <f t="shared" si="1211"/>
        <v>0</v>
      </c>
      <c r="V5988" s="1">
        <f t="shared" si="1212"/>
        <v>0</v>
      </c>
    </row>
    <row r="5989" spans="13:22" x14ac:dyDescent="0.25">
      <c r="M5989" s="4">
        <f t="shared" si="1205"/>
        <v>173.1</v>
      </c>
      <c r="N5989" s="4"/>
      <c r="O5989" s="1">
        <f t="shared" si="1206"/>
        <v>173.1</v>
      </c>
      <c r="P5989" s="1">
        <f t="shared" si="1207"/>
        <v>0</v>
      </c>
      <c r="Q5989" s="1" t="str">
        <f t="shared" si="1204"/>
        <v/>
      </c>
      <c r="R5989" s="1" t="str">
        <f t="shared" si="1208"/>
        <v/>
      </c>
      <c r="S5989" s="1">
        <f t="shared" si="1209"/>
        <v>630.90240000000244</v>
      </c>
      <c r="T5989" s="1">
        <f t="shared" si="1210"/>
        <v>0</v>
      </c>
      <c r="U5989" s="1">
        <f t="shared" si="1211"/>
        <v>0</v>
      </c>
      <c r="V5989" s="1">
        <f t="shared" si="1212"/>
        <v>0</v>
      </c>
    </row>
    <row r="5990" spans="13:22" x14ac:dyDescent="0.25">
      <c r="M5990" s="4">
        <f t="shared" si="1205"/>
        <v>173.1</v>
      </c>
      <c r="N5990" s="4"/>
      <c r="O5990" s="1">
        <f t="shared" si="1206"/>
        <v>173.1</v>
      </c>
      <c r="P5990" s="1">
        <f t="shared" si="1207"/>
        <v>0</v>
      </c>
      <c r="Q5990" s="1" t="str">
        <f t="shared" si="1204"/>
        <v/>
      </c>
      <c r="R5990" s="1" t="str">
        <f t="shared" si="1208"/>
        <v/>
      </c>
      <c r="S5990" s="1">
        <f t="shared" si="1209"/>
        <v>630.90240000000244</v>
      </c>
      <c r="T5990" s="1">
        <f t="shared" si="1210"/>
        <v>0</v>
      </c>
      <c r="U5990" s="1">
        <f t="shared" si="1211"/>
        <v>0</v>
      </c>
      <c r="V5990" s="1">
        <f t="shared" si="1212"/>
        <v>0</v>
      </c>
    </row>
    <row r="5991" spans="13:22" x14ac:dyDescent="0.25">
      <c r="M5991" s="4">
        <f t="shared" si="1205"/>
        <v>173.1</v>
      </c>
      <c r="N5991" s="4"/>
      <c r="O5991" s="1">
        <f t="shared" si="1206"/>
        <v>173.1</v>
      </c>
      <c r="P5991" s="1">
        <f t="shared" si="1207"/>
        <v>0</v>
      </c>
      <c r="Q5991" s="1" t="str">
        <f t="shared" si="1204"/>
        <v/>
      </c>
      <c r="R5991" s="1" t="str">
        <f t="shared" si="1208"/>
        <v/>
      </c>
      <c r="S5991" s="1">
        <f t="shared" si="1209"/>
        <v>630.90240000000244</v>
      </c>
      <c r="T5991" s="1">
        <f t="shared" si="1210"/>
        <v>0</v>
      </c>
      <c r="U5991" s="1">
        <f t="shared" si="1211"/>
        <v>0</v>
      </c>
      <c r="V5991" s="1">
        <f t="shared" si="1212"/>
        <v>0</v>
      </c>
    </row>
    <row r="5992" spans="13:22" x14ac:dyDescent="0.25">
      <c r="M5992" s="4">
        <f t="shared" si="1205"/>
        <v>173.1</v>
      </c>
      <c r="N5992" s="4"/>
      <c r="O5992" s="1">
        <f t="shared" si="1206"/>
        <v>173.1</v>
      </c>
      <c r="P5992" s="1">
        <f t="shared" si="1207"/>
        <v>0</v>
      </c>
      <c r="Q5992" s="1" t="str">
        <f t="shared" si="1204"/>
        <v/>
      </c>
      <c r="R5992" s="1" t="str">
        <f t="shared" si="1208"/>
        <v/>
      </c>
      <c r="S5992" s="1">
        <f t="shared" si="1209"/>
        <v>630.90240000000244</v>
      </c>
      <c r="T5992" s="1">
        <f t="shared" si="1210"/>
        <v>0</v>
      </c>
      <c r="U5992" s="1">
        <f t="shared" si="1211"/>
        <v>0</v>
      </c>
      <c r="V5992" s="1">
        <f t="shared" si="1212"/>
        <v>0</v>
      </c>
    </row>
    <row r="5993" spans="13:22" x14ac:dyDescent="0.25">
      <c r="M5993" s="4">
        <f t="shared" si="1205"/>
        <v>173.1</v>
      </c>
      <c r="N5993" s="4"/>
      <c r="O5993" s="1">
        <f t="shared" si="1206"/>
        <v>173.1</v>
      </c>
      <c r="P5993" s="1">
        <f t="shared" si="1207"/>
        <v>0</v>
      </c>
      <c r="Q5993" s="1" t="str">
        <f t="shared" si="1204"/>
        <v/>
      </c>
      <c r="R5993" s="1" t="str">
        <f t="shared" si="1208"/>
        <v/>
      </c>
      <c r="S5993" s="1">
        <f t="shared" si="1209"/>
        <v>630.90240000000244</v>
      </c>
      <c r="T5993" s="1">
        <f t="shared" si="1210"/>
        <v>0</v>
      </c>
      <c r="U5993" s="1">
        <f t="shared" si="1211"/>
        <v>0</v>
      </c>
      <c r="V5993" s="1">
        <f t="shared" si="1212"/>
        <v>0</v>
      </c>
    </row>
    <row r="5994" spans="13:22" x14ac:dyDescent="0.25">
      <c r="M5994" s="4">
        <f t="shared" si="1205"/>
        <v>173.1</v>
      </c>
      <c r="N5994" s="4"/>
      <c r="O5994" s="1">
        <f t="shared" si="1206"/>
        <v>173.1</v>
      </c>
      <c r="P5994" s="1">
        <f t="shared" si="1207"/>
        <v>0</v>
      </c>
      <c r="Q5994" s="1" t="str">
        <f t="shared" si="1204"/>
        <v/>
      </c>
      <c r="R5994" s="1" t="str">
        <f t="shared" si="1208"/>
        <v/>
      </c>
      <c r="S5994" s="1">
        <f t="shared" si="1209"/>
        <v>630.90240000000244</v>
      </c>
      <c r="T5994" s="1">
        <f t="shared" si="1210"/>
        <v>0</v>
      </c>
      <c r="U5994" s="1">
        <f t="shared" si="1211"/>
        <v>0</v>
      </c>
      <c r="V5994" s="1">
        <f t="shared" si="1212"/>
        <v>0</v>
      </c>
    </row>
    <row r="5995" spans="13:22" x14ac:dyDescent="0.25">
      <c r="M5995" s="4">
        <f t="shared" si="1205"/>
        <v>173.1</v>
      </c>
      <c r="N5995" s="4"/>
      <c r="O5995" s="1">
        <f t="shared" si="1206"/>
        <v>173.1</v>
      </c>
      <c r="P5995" s="1">
        <f t="shared" si="1207"/>
        <v>0</v>
      </c>
      <c r="Q5995" s="1" t="str">
        <f t="shared" si="1204"/>
        <v/>
      </c>
      <c r="R5995" s="1" t="str">
        <f t="shared" si="1208"/>
        <v/>
      </c>
      <c r="S5995" s="1">
        <f t="shared" si="1209"/>
        <v>630.90240000000244</v>
      </c>
      <c r="T5995" s="1">
        <f t="shared" si="1210"/>
        <v>0</v>
      </c>
      <c r="U5995" s="1">
        <f t="shared" si="1211"/>
        <v>0</v>
      </c>
      <c r="V5995" s="1">
        <f t="shared" si="1212"/>
        <v>0</v>
      </c>
    </row>
    <row r="5996" spans="13:22" x14ac:dyDescent="0.25">
      <c r="M5996" s="4">
        <f t="shared" si="1205"/>
        <v>173.1</v>
      </c>
      <c r="N5996" s="4"/>
      <c r="O5996" s="1">
        <f t="shared" si="1206"/>
        <v>173.1</v>
      </c>
      <c r="P5996" s="1">
        <f t="shared" si="1207"/>
        <v>0</v>
      </c>
      <c r="Q5996" s="1" t="str">
        <f t="shared" si="1204"/>
        <v/>
      </c>
      <c r="R5996" s="1" t="str">
        <f t="shared" si="1208"/>
        <v/>
      </c>
      <c r="S5996" s="1">
        <f t="shared" si="1209"/>
        <v>630.90240000000244</v>
      </c>
      <c r="T5996" s="1">
        <f t="shared" si="1210"/>
        <v>0</v>
      </c>
      <c r="U5996" s="1">
        <f t="shared" si="1211"/>
        <v>0</v>
      </c>
      <c r="V5996" s="1">
        <f t="shared" si="1212"/>
        <v>0</v>
      </c>
    </row>
    <row r="5997" spans="13:22" x14ac:dyDescent="0.25">
      <c r="M5997" s="4">
        <f t="shared" si="1205"/>
        <v>173.1</v>
      </c>
      <c r="N5997" s="4"/>
      <c r="O5997" s="1">
        <f t="shared" si="1206"/>
        <v>173.1</v>
      </c>
      <c r="P5997" s="1">
        <f t="shared" si="1207"/>
        <v>0</v>
      </c>
      <c r="Q5997" s="1" t="str">
        <f t="shared" si="1204"/>
        <v/>
      </c>
      <c r="R5997" s="1" t="str">
        <f t="shared" si="1208"/>
        <v/>
      </c>
      <c r="S5997" s="1">
        <f t="shared" si="1209"/>
        <v>630.90240000000244</v>
      </c>
      <c r="T5997" s="1">
        <f t="shared" si="1210"/>
        <v>0</v>
      </c>
      <c r="U5997" s="1">
        <f t="shared" si="1211"/>
        <v>0</v>
      </c>
      <c r="V5997" s="1">
        <f t="shared" si="1212"/>
        <v>0</v>
      </c>
    </row>
    <row r="5998" spans="13:22" x14ac:dyDescent="0.25">
      <c r="M5998" s="4">
        <f t="shared" si="1205"/>
        <v>173.1</v>
      </c>
      <c r="N5998" s="4"/>
      <c r="O5998" s="1">
        <f t="shared" si="1206"/>
        <v>173.1</v>
      </c>
      <c r="P5998" s="1">
        <f t="shared" si="1207"/>
        <v>0</v>
      </c>
      <c r="Q5998" s="1" t="str">
        <f t="shared" si="1204"/>
        <v/>
      </c>
      <c r="R5998" s="1" t="str">
        <f t="shared" si="1208"/>
        <v/>
      </c>
      <c r="S5998" s="1">
        <f t="shared" si="1209"/>
        <v>630.90240000000244</v>
      </c>
      <c r="T5998" s="1">
        <f t="shared" si="1210"/>
        <v>0</v>
      </c>
      <c r="U5998" s="1">
        <f t="shared" si="1211"/>
        <v>0</v>
      </c>
      <c r="V5998" s="1">
        <f t="shared" si="1212"/>
        <v>0</v>
      </c>
    </row>
    <row r="5999" spans="13:22" x14ac:dyDescent="0.25">
      <c r="M5999" s="4">
        <f t="shared" si="1205"/>
        <v>173.1</v>
      </c>
      <c r="N5999" s="4"/>
      <c r="O5999" s="1">
        <f t="shared" si="1206"/>
        <v>173.1</v>
      </c>
      <c r="P5999" s="1">
        <f t="shared" si="1207"/>
        <v>0</v>
      </c>
      <c r="Q5999" s="1" t="str">
        <f t="shared" si="1204"/>
        <v/>
      </c>
      <c r="R5999" s="1" t="str">
        <f t="shared" si="1208"/>
        <v/>
      </c>
      <c r="S5999" s="1">
        <f t="shared" si="1209"/>
        <v>630.90240000000244</v>
      </c>
      <c r="T5999" s="1">
        <f t="shared" si="1210"/>
        <v>0</v>
      </c>
      <c r="U5999" s="1">
        <f t="shared" si="1211"/>
        <v>0</v>
      </c>
      <c r="V5999" s="1">
        <f t="shared" si="1212"/>
        <v>0</v>
      </c>
    </row>
    <row r="6000" spans="13:22" x14ac:dyDescent="0.25">
      <c r="M6000" s="4">
        <f t="shared" si="1205"/>
        <v>173.1</v>
      </c>
      <c r="N6000" s="4"/>
      <c r="O6000" s="1">
        <f t="shared" si="1206"/>
        <v>173.1</v>
      </c>
      <c r="P6000" s="1">
        <f t="shared" si="1207"/>
        <v>0</v>
      </c>
      <c r="Q6000" s="1" t="str">
        <f t="shared" si="1204"/>
        <v/>
      </c>
      <c r="R6000" s="1" t="str">
        <f t="shared" si="1208"/>
        <v/>
      </c>
      <c r="S6000" s="1">
        <f t="shared" si="1209"/>
        <v>630.90240000000244</v>
      </c>
      <c r="T6000" s="1">
        <f t="shared" si="1210"/>
        <v>0</v>
      </c>
      <c r="U6000" s="1">
        <f t="shared" si="1211"/>
        <v>0</v>
      </c>
      <c r="V6000" s="1">
        <f t="shared" si="1212"/>
        <v>0</v>
      </c>
    </row>
    <row r="6001" spans="13:22" x14ac:dyDescent="0.25">
      <c r="M6001" s="4">
        <f t="shared" si="1205"/>
        <v>173.1</v>
      </c>
      <c r="N6001" s="4"/>
      <c r="O6001" s="1">
        <f t="shared" si="1206"/>
        <v>173.1</v>
      </c>
      <c r="P6001" s="1">
        <f t="shared" si="1207"/>
        <v>0</v>
      </c>
      <c r="Q6001" s="1" t="str">
        <f t="shared" si="1204"/>
        <v/>
      </c>
      <c r="R6001" s="1" t="str">
        <f t="shared" si="1208"/>
        <v/>
      </c>
      <c r="S6001" s="1">
        <f t="shared" si="1209"/>
        <v>630.90240000000244</v>
      </c>
      <c r="T6001" s="1">
        <f t="shared" si="1210"/>
        <v>0</v>
      </c>
      <c r="U6001" s="1">
        <f t="shared" si="1211"/>
        <v>0</v>
      </c>
      <c r="V6001" s="1">
        <f t="shared" si="1212"/>
        <v>0</v>
      </c>
    </row>
    <row r="6002" spans="13:22" x14ac:dyDescent="0.25">
      <c r="M6002" s="4">
        <f t="shared" si="1205"/>
        <v>173.1</v>
      </c>
      <c r="N6002" s="4"/>
      <c r="O6002" s="1">
        <f t="shared" si="1206"/>
        <v>173.1</v>
      </c>
      <c r="P6002" s="1">
        <f t="shared" si="1207"/>
        <v>0</v>
      </c>
      <c r="Q6002" s="1" t="str">
        <f t="shared" ref="Q6002:Q6011" si="1213">IF(H6002&lt;&gt;"",IF(H6002=H6001,"",H6002),IF(H6000="","",MAX(H6001,Q6001)))</f>
        <v/>
      </c>
      <c r="R6002" s="1" t="str">
        <f t="shared" si="1208"/>
        <v/>
      </c>
      <c r="S6002" s="1">
        <f t="shared" si="1209"/>
        <v>630.90240000000244</v>
      </c>
      <c r="T6002" s="1">
        <f t="shared" si="1210"/>
        <v>0</v>
      </c>
      <c r="U6002" s="1">
        <f t="shared" si="1211"/>
        <v>0</v>
      </c>
      <c r="V6002" s="1">
        <f t="shared" si="1212"/>
        <v>0</v>
      </c>
    </row>
    <row r="6003" spans="13:22" x14ac:dyDescent="0.25">
      <c r="M6003" s="4">
        <f t="shared" si="1205"/>
        <v>173.1</v>
      </c>
      <c r="N6003" s="4"/>
      <c r="O6003" s="1">
        <f t="shared" si="1206"/>
        <v>173.1</v>
      </c>
      <c r="P6003" s="1">
        <f t="shared" si="1207"/>
        <v>0</v>
      </c>
      <c r="Q6003" s="1" t="str">
        <f t="shared" si="1213"/>
        <v/>
      </c>
      <c r="R6003" s="1" t="str">
        <f t="shared" si="1208"/>
        <v/>
      </c>
      <c r="S6003" s="1">
        <f t="shared" si="1209"/>
        <v>630.90240000000244</v>
      </c>
      <c r="T6003" s="1">
        <f t="shared" si="1210"/>
        <v>0</v>
      </c>
      <c r="U6003" s="1">
        <f t="shared" si="1211"/>
        <v>0</v>
      </c>
      <c r="V6003" s="1">
        <f t="shared" si="1212"/>
        <v>0</v>
      </c>
    </row>
    <row r="6004" spans="13:22" x14ac:dyDescent="0.25">
      <c r="M6004" s="4">
        <f t="shared" si="1205"/>
        <v>173.1</v>
      </c>
      <c r="N6004" s="4"/>
      <c r="O6004" s="1">
        <f t="shared" si="1206"/>
        <v>173.1</v>
      </c>
      <c r="P6004" s="1">
        <f t="shared" si="1207"/>
        <v>0</v>
      </c>
      <c r="Q6004" s="1" t="str">
        <f t="shared" si="1213"/>
        <v/>
      </c>
      <c r="R6004" s="1" t="str">
        <f t="shared" si="1208"/>
        <v/>
      </c>
      <c r="S6004" s="1">
        <f t="shared" si="1209"/>
        <v>630.90240000000244</v>
      </c>
      <c r="T6004" s="1">
        <f t="shared" si="1210"/>
        <v>0</v>
      </c>
      <c r="U6004" s="1">
        <f t="shared" si="1211"/>
        <v>0</v>
      </c>
      <c r="V6004" s="1">
        <f t="shared" si="1212"/>
        <v>0</v>
      </c>
    </row>
    <row r="6005" spans="13:22" x14ac:dyDescent="0.25">
      <c r="M6005" s="4">
        <f t="shared" si="1205"/>
        <v>173.1</v>
      </c>
      <c r="N6005" s="4"/>
      <c r="O6005" s="1">
        <f t="shared" si="1206"/>
        <v>173.1</v>
      </c>
      <c r="P6005" s="1">
        <f t="shared" si="1207"/>
        <v>0</v>
      </c>
      <c r="Q6005" s="1" t="str">
        <f t="shared" si="1213"/>
        <v/>
      </c>
      <c r="R6005" s="1" t="str">
        <f t="shared" si="1208"/>
        <v/>
      </c>
      <c r="S6005" s="1">
        <f t="shared" si="1209"/>
        <v>630.90240000000244</v>
      </c>
      <c r="T6005" s="1">
        <f t="shared" si="1210"/>
        <v>0</v>
      </c>
      <c r="U6005" s="1">
        <f t="shared" si="1211"/>
        <v>0</v>
      </c>
      <c r="V6005" s="1">
        <f t="shared" si="1212"/>
        <v>0</v>
      </c>
    </row>
    <row r="6006" spans="13:22" x14ac:dyDescent="0.25">
      <c r="M6006" s="4">
        <f t="shared" si="1205"/>
        <v>173.1</v>
      </c>
      <c r="N6006" s="4"/>
      <c r="O6006" s="1">
        <f t="shared" si="1206"/>
        <v>173.1</v>
      </c>
      <c r="P6006" s="1">
        <f t="shared" si="1207"/>
        <v>0</v>
      </c>
      <c r="Q6006" s="1" t="str">
        <f t="shared" si="1213"/>
        <v/>
      </c>
      <c r="R6006" s="1" t="str">
        <f t="shared" si="1208"/>
        <v/>
      </c>
      <c r="S6006" s="1">
        <f t="shared" si="1209"/>
        <v>630.90240000000244</v>
      </c>
      <c r="T6006" s="1">
        <f t="shared" si="1210"/>
        <v>0</v>
      </c>
      <c r="U6006" s="1">
        <f t="shared" si="1211"/>
        <v>0</v>
      </c>
      <c r="V6006" s="1">
        <f t="shared" si="1212"/>
        <v>0</v>
      </c>
    </row>
    <row r="6007" spans="13:22" x14ac:dyDescent="0.25">
      <c r="M6007" s="4">
        <f t="shared" si="1205"/>
        <v>173.1</v>
      </c>
      <c r="N6007" s="4"/>
      <c r="O6007" s="1">
        <f t="shared" si="1206"/>
        <v>173.1</v>
      </c>
      <c r="P6007" s="1">
        <f t="shared" si="1207"/>
        <v>0</v>
      </c>
      <c r="Q6007" s="1" t="str">
        <f t="shared" si="1213"/>
        <v/>
      </c>
      <c r="R6007" s="1" t="str">
        <f t="shared" si="1208"/>
        <v/>
      </c>
      <c r="S6007" s="1">
        <f t="shared" si="1209"/>
        <v>630.90240000000244</v>
      </c>
      <c r="T6007" s="1">
        <f t="shared" si="1210"/>
        <v>0</v>
      </c>
      <c r="U6007" s="1">
        <f t="shared" si="1211"/>
        <v>0</v>
      </c>
      <c r="V6007" s="1">
        <f t="shared" si="1212"/>
        <v>0</v>
      </c>
    </row>
    <row r="6008" spans="13:22" x14ac:dyDescent="0.25">
      <c r="M6008" s="4">
        <f t="shared" si="1205"/>
        <v>173.1</v>
      </c>
      <c r="N6008" s="4"/>
      <c r="O6008" s="1">
        <f t="shared" si="1206"/>
        <v>173.1</v>
      </c>
      <c r="P6008" s="1">
        <f t="shared" si="1207"/>
        <v>0</v>
      </c>
      <c r="Q6008" s="1" t="str">
        <f t="shared" si="1213"/>
        <v/>
      </c>
      <c r="R6008" s="1" t="str">
        <f t="shared" si="1208"/>
        <v/>
      </c>
      <c r="S6008" s="1">
        <f t="shared" si="1209"/>
        <v>630.90240000000244</v>
      </c>
      <c r="T6008" s="1">
        <f t="shared" si="1210"/>
        <v>0</v>
      </c>
      <c r="U6008" s="1">
        <f t="shared" si="1211"/>
        <v>0</v>
      </c>
      <c r="V6008" s="1">
        <f t="shared" si="1212"/>
        <v>0</v>
      </c>
    </row>
    <row r="6009" spans="13:22" x14ac:dyDescent="0.25">
      <c r="M6009" s="4">
        <f t="shared" si="1205"/>
        <v>173.1</v>
      </c>
      <c r="N6009" s="4"/>
      <c r="O6009" s="1">
        <f t="shared" si="1206"/>
        <v>173.1</v>
      </c>
      <c r="P6009" s="1">
        <f t="shared" si="1207"/>
        <v>0</v>
      </c>
      <c r="Q6009" s="1" t="str">
        <f t="shared" si="1213"/>
        <v/>
      </c>
      <c r="R6009" s="1" t="str">
        <f t="shared" si="1208"/>
        <v/>
      </c>
      <c r="S6009" s="1">
        <f t="shared" si="1209"/>
        <v>630.90240000000244</v>
      </c>
      <c r="T6009" s="1">
        <f t="shared" si="1210"/>
        <v>0</v>
      </c>
      <c r="U6009" s="1">
        <f t="shared" si="1211"/>
        <v>0</v>
      </c>
      <c r="V6009" s="1">
        <f t="shared" si="1212"/>
        <v>0</v>
      </c>
    </row>
    <row r="6010" spans="13:22" x14ac:dyDescent="0.25">
      <c r="M6010" s="4">
        <f t="shared" si="1205"/>
        <v>173.1</v>
      </c>
      <c r="N6010" s="4"/>
      <c r="O6010" s="1">
        <f t="shared" si="1206"/>
        <v>173.1</v>
      </c>
      <c r="P6010" s="1">
        <f t="shared" si="1207"/>
        <v>0</v>
      </c>
      <c r="Q6010" s="1" t="str">
        <f t="shared" si="1213"/>
        <v/>
      </c>
      <c r="R6010" s="1" t="str">
        <f t="shared" si="1208"/>
        <v/>
      </c>
      <c r="S6010" s="1">
        <f t="shared" si="1209"/>
        <v>630.90240000000244</v>
      </c>
      <c r="T6010" s="1">
        <f t="shared" si="1210"/>
        <v>0</v>
      </c>
      <c r="U6010" s="1">
        <f t="shared" si="1211"/>
        <v>0</v>
      </c>
      <c r="V6010" s="1">
        <f t="shared" si="1212"/>
        <v>0</v>
      </c>
    </row>
    <row r="6011" spans="13:22" x14ac:dyDescent="0.25">
      <c r="M6011" s="4">
        <f t="shared" si="1205"/>
        <v>173.1</v>
      </c>
      <c r="N6011" s="4"/>
      <c r="O6011" s="1">
        <f t="shared" si="1206"/>
        <v>173.1</v>
      </c>
      <c r="P6011" s="1">
        <f t="shared" si="1207"/>
        <v>0</v>
      </c>
      <c r="Q6011" s="1" t="str">
        <f t="shared" si="1213"/>
        <v/>
      </c>
      <c r="R6011" s="1" t="str">
        <f t="shared" si="1208"/>
        <v/>
      </c>
      <c r="S6011" s="1">
        <f t="shared" si="1209"/>
        <v>630.90240000000244</v>
      </c>
      <c r="T6011" s="1">
        <f t="shared" si="1210"/>
        <v>0</v>
      </c>
      <c r="U6011" s="1">
        <f t="shared" si="1211"/>
        <v>0</v>
      </c>
      <c r="V6011" s="1">
        <f t="shared" si="1212"/>
        <v>0</v>
      </c>
    </row>
  </sheetData>
  <autoFilter ref="N1:Q6011"/>
  <sortState ref="B166:K888">
    <sortCondition descending="1" ref="D166:D888"/>
  </sortState>
  <mergeCells count="6">
    <mergeCell ref="AC115:AC126"/>
    <mergeCell ref="AD115:AD120"/>
    <mergeCell ref="AD121:AD126"/>
    <mergeCell ref="AC127:AC138"/>
    <mergeCell ref="AD127:AD132"/>
    <mergeCell ref="AD133:AD138"/>
  </mergeCells>
  <pageMargins left="0.7" right="0.7" top="0.75" bottom="0.75" header="0.3" footer="0.3"/>
  <pageSetup orientation="portrait" horizontalDpi="1200" verticalDpi="1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DA8885F96561F4B9CFD0B24700488BB" ma:contentTypeVersion="11" ma:contentTypeDescription="Create a new document." ma:contentTypeScope="" ma:versionID="39843a46cab802df76b2c3d49a996d74">
  <xsd:schema xmlns:xsd="http://www.w3.org/2001/XMLSchema" xmlns:xs="http://www.w3.org/2001/XMLSchema" xmlns:p="http://schemas.microsoft.com/office/2006/metadata/properties" xmlns:ns2="0ecaa662-ce87-4231-b96f-f5f50f704205" xmlns:ns3="8c9036ba-8ff6-4827-9930-f1ba7e08b8c5" targetNamespace="http://schemas.microsoft.com/office/2006/metadata/properties" ma:root="true" ma:fieldsID="ad66cf98d261d1a3ce196d5a954fa20e" ns2:_="" ns3:_="">
    <xsd:import namespace="0ecaa662-ce87-4231-b96f-f5f50f704205"/>
    <xsd:import namespace="8c9036ba-8ff6-4827-9930-f1ba7e08b8c5"/>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caa662-ce87-4231-b96f-f5f50f7042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83de6858-8a92-4ea2-93bf-f9910da23fa2"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c9036ba-8ff6-4827-9930-f1ba7e08b8c5"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a56c0532-7425-4ae3-84d4-5f593c9d3495}" ma:internalName="TaxCatchAll" ma:showField="CatchAllData" ma:web="8c9036ba-8ff6-4827-9930-f1ba7e08b8c5">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4CCE1E-23FA-4F8D-92D0-0811AB94F787}"/>
</file>

<file path=customXml/itemProps2.xml><?xml version="1.0" encoding="utf-8"?>
<ds:datastoreItem xmlns:ds="http://schemas.openxmlformats.org/officeDocument/2006/customXml" ds:itemID="{4F6731B7-9A85-4E9B-9A26-0A583101391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Readme</vt:lpstr>
      <vt:lpstr>Track Data</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Tyler.Dick</dc:creator>
  <cp:lastModifiedBy>TranSys</cp:lastModifiedBy>
  <dcterms:created xsi:type="dcterms:W3CDTF">2013-11-22T02:49:44Z</dcterms:created>
  <dcterms:modified xsi:type="dcterms:W3CDTF">2015-11-03T15:49:06Z</dcterms:modified>
</cp:coreProperties>
</file>