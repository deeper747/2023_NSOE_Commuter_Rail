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wendywen/Downloads/"/>
    </mc:Choice>
  </mc:AlternateContent>
  <xr:revisionPtr revIDLastSave="0" documentId="13_ncr:1_{166C9A47-6A1C-B240-8094-8066CD411142}" xr6:coauthVersionLast="47" xr6:coauthVersionMax="47" xr10:uidLastSave="{00000000-0000-0000-0000-000000000000}"/>
  <bookViews>
    <workbookView xWindow="0" yWindow="500" windowWidth="26340" windowHeight="14280" xr2:uid="{0BECCAE7-D689-9946-A331-139335298515}"/>
  </bookViews>
  <sheets>
    <sheet name="Summary" sheetId="1" r:id="rId1"/>
    <sheet name="Rail car" sheetId="2" r:id="rId2"/>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 i="1" l="1"/>
  <c r="J2" i="1" l="1"/>
  <c r="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tc={2D65F76B-299B-6447-8F36-D684967F028A}</author>
    <author>tc={1D17A259-5320-7749-8B93-F8F8D09F5400}</author>
    <author>tc={6EE498AF-916A-E44B-A739-2C6B56138FE4}</author>
    <author>tc={F03131F5-05D4-0F48-8DF2-CA800EF21A93}</author>
    <author>tc={60D7A378-D3AF-2242-A914-AB77B60C54CD}</author>
    <author>tc={114E5257-5669-ED42-991A-19D7AAF7C82A}</author>
    <author>tc={5B2B88BB-BEBC-0446-AA3C-9F8CB01B09F8}</author>
    <author>tc={C375D7BE-75B6-6E4B-A63D-A5B2A81A1698}</author>
    <author>Wendy Wen</author>
    <author>tc={D42E76C0-5DF7-D949-9852-2AE9248C2779}</author>
  </authors>
  <commentList>
    <comment ref="F1" authorId="0" shapeId="0" xr:uid="{2D65F76B-299B-6447-8F36-D684967F028A}">
      <text>
        <t>[Threaded comment]
Your version of Excel allows you to read this threaded comment; however, any edits to it will get removed if the file is opened in a newer version of Excel. Learn more: https://go.microsoft.com/fwlink/?linkid=870924
Comment:
    P42DC will be replaced on long-distance service by 125 Siemens ALC-42 Charger locomotives between 2021 and 2024, but will remain in service on shorter corridor trains.
Reply:
    https://web.archive.org/web/20210126125526/https://media.amtrak.com/2018/12/amtrak-to-improve-national-network-with-new-locomotives/</t>
      </text>
    </comment>
    <comment ref="I1" authorId="1" shapeId="0" xr:uid="{1D17A259-5320-7749-8B93-F8F8D09F5400}">
      <text>
        <t>[Threaded comment]
Your version of Excel allows you to read this threaded comment; however, any edits to it will get removed if the file is opened in a newer version of Excel. Learn more: https://go.microsoft.com/fwlink/?linkid=870924
Comment:
    P42DC will be replaced on long-distance service by 125 Siemens ALC-42 Charger locomotives between 2021 and 2024, but will remain in service on shorter corridor trains.
Reply:
    https://web.archive.org/web/20210126125526/https://media.amtrak.com/2018/12/amtrak-to-improve-national-network-with-new-locomotives/</t>
      </text>
    </comment>
    <comment ref="M1" authorId="2" shapeId="0" xr:uid="{6EE498AF-916A-E44B-A739-2C6B56138FE4}">
      <text>
        <t>[Threaded comment]
Your version of Excel allows you to read this threaded comment; however, any edits to it will get removed if the file is opened in a newer version of Excel. Learn more: https://go.microsoft.com/fwlink/?linkid=870924
Comment:
    See “Rail car” sheet for car type</t>
      </text>
    </comment>
    <comment ref="G2" authorId="3" shapeId="0" xr:uid="{F03131F5-05D4-0F48-8DF2-CA800EF21A93}">
      <text>
        <t>[Threaded comment]
Your version of Excel allows you to read this threaded comment; however, any edits to it will get removed if the file is opened in a newer version of Excel. Learn more: https://go.microsoft.com/fwlink/?linkid=870924
Comment:
    https://trains-and-locomotives.fandom.com/wiki/EMD_F59PH</t>
      </text>
    </comment>
    <comment ref="J2" authorId="4" shapeId="0" xr:uid="{60D7A378-D3AF-2242-A914-AB77B60C54CD}">
      <text>
        <t>[Threaded comment]
Your version of Excel allows you to read this threaded comment; however, any edits to it will get removed if the file is opened in a newer version of Excel. Learn more: https://go.microsoft.com/fwlink/?linkid=870924
Comment:
    https://trains-and-locomotives.fandom.com/wiki/EMD_F59PH</t>
      </text>
    </comment>
    <comment ref="G3" authorId="5" shapeId="0" xr:uid="{114E5257-5669-ED42-991A-19D7AAF7C82A}">
      <text>
        <t>[Threaded comment]
Your version of Excel allows you to read this threaded comment; however, any edits to it will get removed if the file is opened in a newer version of Excel. Learn more: https://go.microsoft.com/fwlink/?linkid=870924
Comment:
    https://en.wikipedia.org/wiki/GE_Genesis</t>
      </text>
    </comment>
    <comment ref="J3" authorId="6" shapeId="0" xr:uid="{5B2B88BB-BEBC-0446-AA3C-9F8CB01B09F8}">
      <text>
        <t>[Threaded comment]
Your version of Excel allows you to read this threaded comment; however, any edits to it will get removed if the file is opened in a newer version of Excel. Learn more: https://go.microsoft.com/fwlink/?linkid=870924
Comment:
    https://en.wikipedia.org/wiki/Siemens_Charger</t>
      </text>
    </comment>
    <comment ref="A8" authorId="7" shapeId="0" xr:uid="{C375D7BE-75B6-6E4B-A63D-A5B2A81A1698}">
      <text>
        <t>[Threaded comment]
Your version of Excel allows you to read this threaded comment; however, any edits to it will get removed if the file is opened in a newer version of Excel. Learn more: https://go.microsoft.com/fwlink/?linkid=870924
Comment:
    The COASTER began in 1995 as a means of added
connectivity within San Diego County providing train
service north and south between Oceanside and
downtown San Diego. More than 190 trains operate
each week taking passengers along the coastal corridor.
Reply:
    https://gonctd.com/wp-content/uploads/2022/12/COASTER-Fact-Sheet-December-2022.pdf</t>
      </text>
    </comment>
    <comment ref="N8" authorId="8" shapeId="0" xr:uid="{E5941ABF-9BA5-4AF2-924C-A7C64916B239}">
      <text>
        <r>
          <rPr>
            <sz val="11"/>
            <color theme="1"/>
            <rFont val="Aptos Narrow"/>
            <family val="2"/>
            <scheme val="minor"/>
          </rPr>
          <t>Wendy Wen:
seated+standee</t>
        </r>
      </text>
    </comment>
    <comment ref="O8" authorId="9" shapeId="0" xr:uid="{D42E76C0-5DF7-D949-9852-2AE9248C2779}">
      <text>
        <t>[Threaded comment]
Your version of Excel allows you to read this threaded comment; however, any edits to it will get removed if the file is opened in a newer version of Excel. Learn more: https://go.microsoft.com/fwlink/?linkid=870924
Comment:
    Coach: https://transittoronto.ca/regional/2507.shtml
Reply:
    Coach: https://timesofsandiego.com/business/2020/07/16/bombardier-signs-contract-with-nctd-for-the-supply-of-bilevel-commuter-rail-cars/
Reply:
    Coaster: https://www.trains.com/trn/news-reviews/news-wire/retired-coaster-commuter-engines-moved-to-anaheim/
Reply:
    Coaster: https://gonctd.com/wp-content/uploads/2022/12/COASTER-Fact-Sheet-December-2022.pdf
Reply:
    Locomotive: https://en.wikipedia.org/wiki/Siemens_Charger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tc={5E4782E1-D7BB-2D4D-924E-8950D0F46DEF}</author>
    <author>tc={5B19F013-B3DD-6641-8D6C-02F28BCEB634}</author>
    <author>tc={4160F0AB-67B7-7C42-BB66-63D1FFA53BBF}</author>
    <author>tc={8EA76CAF-007E-3442-A35D-BD3AA962C518}</author>
    <author>tc={663768A2-307E-134C-B750-ABAC0DDF4907}</author>
    <author>tc={8CFF7373-1CAD-114D-BAE8-64E88CEBE43D}</author>
  </authors>
  <commentList>
    <comment ref="A2" authorId="0" shapeId="0" xr:uid="{5E4782E1-D7BB-2D4D-924E-8950D0F46DEF}">
      <text>
        <t>[Threaded comment]
Your version of Excel allows you to read this threaded comment; however, any edits to it will get removed if the file is opened in a newer version of Excel. Learn more: https://go.microsoft.com/fwlink/?linkid=870924
Comment:
    https://en.wikipedia.org/wiki/Amfleet</t>
      </text>
    </comment>
    <comment ref="D6" authorId="1" shapeId="0" xr:uid="{5B19F013-B3DD-6641-8D6C-02F28BCEB634}">
      <text>
        <t>[Threaded comment]
Your version of Excel allows you to read this threaded comment; however, any edits to it will get removed if the file is opened in a newer version of Excel. Learn more: https://go.microsoft.com/fwlink/?linkid=870924
Comment:
    https://en.wikipedia.org/wiki/Amfleet</t>
      </text>
    </comment>
    <comment ref="A15" authorId="2" shapeId="0" xr:uid="{4160F0AB-67B7-7C42-BB66-63D1FFA53BBF}">
      <text>
        <t>[Threaded comment]
Your version of Excel allows you to read this threaded comment; however, any edits to it will get removed if the file is opened in a newer version of Excel. Learn more: https://go.microsoft.com/fwlink/?linkid=870924
Comment:
    https://en.wikipedia.org/wiki/Viewliner</t>
      </text>
    </comment>
    <comment ref="F16" authorId="3" shapeId="0" xr:uid="{8EA76CAF-007E-3442-A35D-BD3AA962C518}">
      <text>
        <t>[Threaded comment]
Your version of Excel allows you to read this threaded comment; however, any edits to it will get removed if the file is opened in a newer version of Excel. Learn more: https://go.microsoft.com/fwlink/?linkid=870924
Comment:
    https://en.wikipedia.org/wiki/Viewliner</t>
      </text>
    </comment>
    <comment ref="F19" authorId="4" shapeId="0" xr:uid="{663768A2-307E-134C-B750-ABAC0DDF4907}">
      <text>
        <t>[Threaded comment]
Your version of Excel allows you to read this threaded comment; however, any edits to it will get removed if the file is opened in a newer version of Excel. Learn more: https://go.microsoft.com/fwlink/?linkid=870924
Comment:
    https://en.wikipedia.org/wiki/Viewliner</t>
      </text>
    </comment>
    <comment ref="F24" authorId="5" shapeId="0" xr:uid="{8CFF7373-1CAD-114D-BAE8-64E88CEBE43D}">
      <text>
        <t>[Threaded comment]
Your version of Excel allows you to read this threaded comment; however, any edits to it will get removed if the file is opened in a newer version of Excel. Learn more: https://go.microsoft.com/fwlink/?linkid=870924
Comment:
    https://transittoronto.ca/regional/2507.shtml</t>
      </text>
    </comment>
  </commentList>
</comments>
</file>

<file path=xl/sharedStrings.xml><?xml version="1.0" encoding="utf-8"?>
<sst xmlns="http://schemas.openxmlformats.org/spreadsheetml/2006/main" count="148" uniqueCount="70">
  <si>
    <t>Train service</t>
  </si>
  <si>
    <t>Train number</t>
  </si>
  <si>
    <t>Operator</t>
  </si>
  <si>
    <t>Type</t>
  </si>
  <si>
    <t>Power type</t>
  </si>
  <si>
    <t>Locomotive 1</t>
  </si>
  <si>
    <t>Locomotive weight 1 (kg)</t>
  </si>
  <si>
    <t>locomotive front area 1 (m^2)</t>
  </si>
  <si>
    <t>Locomotive 2</t>
  </si>
  <si>
    <t>Locomotive weight 2 (kg)</t>
  </si>
  <si>
    <t>locomotive front area 2 (m^2)</t>
  </si>
  <si>
    <t>Locomotive number per train</t>
  </si>
  <si>
    <t>Railcar number</t>
  </si>
  <si>
    <t>Average total capacity</t>
  </si>
  <si>
    <t>Reference</t>
  </si>
  <si>
    <t>Piedmont</t>
  </si>
  <si>
    <t>71-78</t>
  </si>
  <si>
    <t>Amtrak</t>
  </si>
  <si>
    <t>Intercity</t>
  </si>
  <si>
    <t>Diesel-electric</t>
  </si>
  <si>
    <t>EMD F59PH</t>
  </si>
  <si>
    <t>EMD F59PHI</t>
  </si>
  <si>
    <t>1 or 2</t>
  </si>
  <si>
    <t>3 or 5</t>
  </si>
  <si>
    <t>https://reasonrail.blogspot.com/2014/10/average-number-of-seats-per-amtrak-train.html</t>
  </si>
  <si>
    <t>Carolinian</t>
  </si>
  <si>
    <t>79 &amp; 80</t>
  </si>
  <si>
    <t>Diesel–electric</t>
  </si>
  <si>
    <t>P42DC</t>
  </si>
  <si>
    <t>ALC-42 Charger</t>
  </si>
  <si>
    <t>Crescent</t>
  </si>
  <si>
    <t>19 &amp; 20</t>
  </si>
  <si>
    <t>Palmetto</t>
  </si>
  <si>
    <t>89 &amp; 90</t>
  </si>
  <si>
    <t>8 or 7</t>
  </si>
  <si>
    <t>Silver Star</t>
  </si>
  <si>
    <t>91 &amp; 92</t>
  </si>
  <si>
    <t>Silver Meteor</t>
  </si>
  <si>
    <t>97 &amp; 98</t>
  </si>
  <si>
    <t>Coaster</t>
  </si>
  <si>
    <t>/</t>
  </si>
  <si>
    <t>North County Transit District</t>
  </si>
  <si>
    <t>Commuter</t>
  </si>
  <si>
    <t>Siemens SC-44 Charger</t>
  </si>
  <si>
    <t>Type_1</t>
  </si>
  <si>
    <t>Type_2</t>
  </si>
  <si>
    <t>Type_3</t>
  </si>
  <si>
    <t>Car weight 1 (kg)</t>
  </si>
  <si>
    <t>Car weight 2 (kg)</t>
  </si>
  <si>
    <t>Capacity per car</t>
  </si>
  <si>
    <t>Amfleet</t>
  </si>
  <si>
    <t>https://www.amtraktrains.com/threads/car-weights.7774/</t>
  </si>
  <si>
    <t>Amfleet I</t>
  </si>
  <si>
    <t>Amfleet I : 104,000 - 114,000 lbs</t>
  </si>
  <si>
    <t>Coach</t>
  </si>
  <si>
    <t>Amfleet II: 107,000 - 112,000 lbs</t>
  </si>
  <si>
    <t>Business</t>
  </si>
  <si>
    <t>Viewliner: 136,000 lbs</t>
  </si>
  <si>
    <t>Café</t>
  </si>
  <si>
    <t>Lounge</t>
  </si>
  <si>
    <t>Sleeping</t>
  </si>
  <si>
    <t>Amfleet II</t>
  </si>
  <si>
    <t>Viewliner</t>
  </si>
  <si>
    <t>Viewliner I</t>
  </si>
  <si>
    <t>Baggage</t>
  </si>
  <si>
    <t>Dining</t>
  </si>
  <si>
    <t>Viewliner II</t>
  </si>
  <si>
    <t>Heritage</t>
  </si>
  <si>
    <t>BiLevel</t>
  </si>
  <si>
    <t>LINKS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</si>
</sst>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i/>
      <sz val="11"/>
      <color theme="1"/>
      <name val="Aptos Narrow"/>
      <family val="2"/>
      <scheme val="minor"/>
    </font>
    <font>
      <u/>
      <sz val="11"/>
      <color theme="10"/>
      <name val="Aptos Narrow"/>
      <family val="2"/>
      <scheme val="minor"/>
    </font>
    <font>
      <b/>
      <sz val="11"/>
      <color theme="1"/>
      <name val="Aptos Narrow"/>
      <scheme val="minor"/>
    </font>
    <font>
      <b/>
      <sz val="11"/>
      <name val="Aptos Narrow"/>
      <scheme val="minor"/>
    </font>
    <font>
      <sz val="11"/>
      <color theme="1"/>
      <name val="Aptos Narrow"/>
      <scheme val="minor"/>
    </font>
    <font>
      <i/>
      <sz val="11"/>
      <color theme="1"/>
      <name val="Aptos Narrow"/>
      <scheme val="minor"/>
    </font>
    <font>
      <sz val="10"/>
      <color theme="1"/>
      <name val="Aptos Narrow"/>
      <scheme val="minor"/>
    </font>
    <font>
      <u/>
      <sz val="11"/>
      <color theme="10"/>
      <name val="Aptos Narrow"/>
      <scheme val="minor"/>
    </font>
  </fonts>
  <fills count="5">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0" fillId="0" borderId="0" xfId="0" applyAlignment="1">
      <alignment vertical="center"/>
    </xf>
    <xf numFmtId="0" fontId="3" fillId="0" borderId="0" xfId="1"/>
    <xf numFmtId="0" fontId="0" fillId="0" borderId="0" xfId="0" applyAlignment="1">
      <alignment horizontal="left"/>
    </xf>
    <xf numFmtId="0" fontId="1" fillId="0" borderId="0" xfId="0" applyFont="1"/>
    <xf numFmtId="0" fontId="2" fillId="0" borderId="0" xfId="0" applyFont="1"/>
    <xf numFmtId="0" fontId="2" fillId="0" borderId="0" xfId="0" applyFont="1" applyAlignment="1">
      <alignment horizontal="left"/>
    </xf>
    <xf numFmtId="0" fontId="1" fillId="3" borderId="0" xfId="0" applyFont="1" applyFill="1" applyAlignment="1">
      <alignment horizontal="left" vertical="center"/>
    </xf>
    <xf numFmtId="0" fontId="1" fillId="2" borderId="0" xfId="0" applyFont="1" applyFill="1" applyAlignment="1">
      <alignment horizontal="left" vertical="center"/>
    </xf>
    <xf numFmtId="0" fontId="1" fillId="4" borderId="0" xfId="0" applyFont="1" applyFill="1" applyAlignment="1">
      <alignment vertical="center"/>
    </xf>
    <xf numFmtId="0" fontId="4" fillId="0" borderId="0" xfId="0" applyFont="1" applyAlignment="1">
      <alignment vertical="center" wrapText="1"/>
    </xf>
    <xf numFmtId="0" fontId="4" fillId="2" borderId="0" xfId="0" applyFont="1" applyFill="1" applyAlignment="1">
      <alignment vertical="center" wrapText="1"/>
    </xf>
    <xf numFmtId="0" fontId="4" fillId="4" borderId="0" xfId="0" applyFont="1" applyFill="1" applyAlignment="1">
      <alignment vertical="center" wrapText="1"/>
    </xf>
    <xf numFmtId="0" fontId="5" fillId="4" borderId="0" xfId="0" applyFont="1" applyFill="1" applyAlignment="1">
      <alignment vertical="center" wrapText="1"/>
    </xf>
    <xf numFmtId="0" fontId="4" fillId="3" borderId="0" xfId="0" applyFont="1" applyFill="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pplyAlignment="1">
      <alignment horizontal="right" vertical="center" wrapText="1"/>
    </xf>
    <xf numFmtId="1" fontId="6" fillId="0" borderId="0" xfId="0" applyNumberFormat="1" applyFont="1" applyAlignment="1">
      <alignment vertical="center" wrapText="1"/>
    </xf>
    <xf numFmtId="49" fontId="6" fillId="0" borderId="0" xfId="0" applyNumberFormat="1" applyFont="1" applyAlignment="1">
      <alignment horizontal="right" vertical="center" wrapText="1"/>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1" applyFont="1" applyAlignment="1">
      <alignment vertical="center"/>
    </xf>
    <xf numFmtId="0" fontId="3" fillId="0" borderId="0" xfId="1" applyAlignment="1">
      <alignment vertical="center"/>
    </xf>
    <xf numFmtId="2" fontId="6" fillId="0" borderId="0" xfId="0" applyNumberFormat="1" applyFont="1" applyAlignment="1">
      <alignment horizontal="right" vertical="center" wrapText="1"/>
    </xf>
    <xf numFmtId="0" fontId="3" fillId="0" borderId="0" xfId="1" applyAlignment="1">
      <alignment horizontal="center" vertical="center" wrapText="1"/>
    </xf>
    <xf numFmtId="0" fontId="6"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Wendy Wen" id="{E14C5B64-8A59-BA43-9BED-1E1AF4DBFF10}" userId="S::xw162@duke.edu::17afc0e5-2dba-4a6d-8719-371b0f7632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 dT="2023-11-11T02:55:38.74" personId="{E14C5B64-8A59-BA43-9BED-1E1AF4DBFF10}" id="{2D65F76B-299B-6447-8F36-D684967F028A}">
    <text>P42DC will be replaced on long-distance service by 125 Siemens ALC-42 Charger locomotives between 2021 and 2024, but will remain in service on shorter corridor trains.</text>
  </threadedComment>
  <threadedComment ref="F1" dT="2023-11-11T02:56:51.69" personId="{E14C5B64-8A59-BA43-9BED-1E1AF4DBFF10}" id="{870B1F1A-F6DD-2741-A2E2-62F2D654698C}" parentId="{2D65F76B-299B-6447-8F36-D684967F028A}">
    <text>https://web.archive.org/web/20210126125526/https://media.amtrak.com/2018/12/amtrak-to-improve-national-network-with-new-locomotives/</text>
    <extLst>
      <x:ext xmlns:xltc2="http://schemas.microsoft.com/office/spreadsheetml/2020/threadedcomments2" uri="{F7C98A9C-CBB3-438F-8F68-D28B6AF4A901}">
        <xltc2:checksum>1576239195</xltc2:checksum>
        <xltc2:hyperlink startIndex="0" length="132" url="https://web.archive.org/web/20210126125526/https://media.amtrak.com/2018/12/amtrak-to-improve-national-network-with-new-locomotives/"/>
      </x:ext>
    </extLst>
  </threadedComment>
  <threadedComment ref="I1" dT="2023-11-11T02:55:38.74" personId="{E14C5B64-8A59-BA43-9BED-1E1AF4DBFF10}" id="{1D17A259-5320-7749-8B93-F8F8D09F5400}">
    <text>P42DC will be replaced on long-distance service by 125 Siemens ALC-42 Charger locomotives between 2021 and 2024, but will remain in service on shorter corridor trains.</text>
  </threadedComment>
  <threadedComment ref="I1" dT="2023-11-11T02:56:51.69" personId="{E14C5B64-8A59-BA43-9BED-1E1AF4DBFF10}" id="{265AFF88-179F-D244-ADE2-2419A56FC302}" parentId="{1D17A259-5320-7749-8B93-F8F8D09F5400}">
    <text>https://web.archive.org/web/20210126125526/https://media.amtrak.com/2018/12/amtrak-to-improve-national-network-with-new-locomotives/</text>
    <extLst>
      <x:ext xmlns:xltc2="http://schemas.microsoft.com/office/spreadsheetml/2020/threadedcomments2" uri="{F7C98A9C-CBB3-438F-8F68-D28B6AF4A901}">
        <xltc2:checksum>1576239195</xltc2:checksum>
        <xltc2:hyperlink startIndex="0" length="132" url="https://web.archive.org/web/20210126125526/https://media.amtrak.com/2018/12/amtrak-to-improve-national-network-with-new-locomotives/"/>
      </x:ext>
    </extLst>
  </threadedComment>
  <threadedComment ref="M1" dT="2024-03-13T19:38:20.00" personId="{E14C5B64-8A59-BA43-9BED-1E1AF4DBFF10}" id="{6EE498AF-916A-E44B-A739-2C6B56138FE4}">
    <text>See “Rail car” sheet for car type</text>
  </threadedComment>
  <threadedComment ref="G2" dT="2023-11-12T18:45:26.61" personId="{E14C5B64-8A59-BA43-9BED-1E1AF4DBFF10}" id="{F03131F5-05D4-0F48-8DF2-CA800EF21A93}">
    <text>https://trains-and-locomotives.fandom.com/wiki/EMD_F59PH</text>
    <extLst>
      <x:ext xmlns:xltc2="http://schemas.microsoft.com/office/spreadsheetml/2020/threadedcomments2" uri="{F7C98A9C-CBB3-438F-8F68-D28B6AF4A901}">
        <xltc2:checksum>2618327315</xltc2:checksum>
        <xltc2:hyperlink startIndex="0" length="56" url="https://trains-and-locomotives.fandom.com/wiki/EMD_F59PH"/>
      </x:ext>
    </extLst>
  </threadedComment>
  <threadedComment ref="J2" dT="2023-11-12T18:45:34.58" personId="{E14C5B64-8A59-BA43-9BED-1E1AF4DBFF10}" id="{60D7A378-D3AF-2242-A914-AB77B60C54CD}">
    <text>https://trains-and-locomotives.fandom.com/wiki/EMD_F59PH</text>
    <extLst>
      <x:ext xmlns:xltc2="http://schemas.microsoft.com/office/spreadsheetml/2020/threadedcomments2" uri="{F7C98A9C-CBB3-438F-8F68-D28B6AF4A901}">
        <xltc2:checksum>2618327315</xltc2:checksum>
        <xltc2:hyperlink startIndex="0" length="56" url="https://trains-and-locomotives.fandom.com/wiki/EMD_F59PH"/>
      </x:ext>
    </extLst>
  </threadedComment>
  <threadedComment ref="G3" dT="2023-11-11T04:19:23.89" personId="{E14C5B64-8A59-BA43-9BED-1E1AF4DBFF10}" id="{114E5257-5669-ED42-991A-19D7AAF7C82A}">
    <text>https://en.wikipedia.org/wiki/GE_Genesis</text>
    <extLst>
      <x:ext xmlns:xltc2="http://schemas.microsoft.com/office/spreadsheetml/2020/threadedcomments2" uri="{F7C98A9C-CBB3-438F-8F68-D28B6AF4A901}">
        <xltc2:checksum>1297202401</xltc2:checksum>
        <xltc2:hyperlink startIndex="0" length="40" url="https://en.wikipedia.org/wiki/GE_Genesis"/>
      </x:ext>
    </extLst>
  </threadedComment>
  <threadedComment ref="J3" dT="2023-11-11T04:19:51.38" personId="{E14C5B64-8A59-BA43-9BED-1E1AF4DBFF10}" id="{5B2B88BB-BEBC-0446-AA3C-9F8CB01B09F8}">
    <text>https://en.wikipedia.org/wiki/Siemens_Charger</text>
    <extLst>
      <x:ext xmlns:xltc2="http://schemas.microsoft.com/office/spreadsheetml/2020/threadedcomments2" uri="{F7C98A9C-CBB3-438F-8F68-D28B6AF4A901}">
        <xltc2:checksum>218896426</xltc2:checksum>
        <xltc2:hyperlink startIndex="0" length="45" url="https://en.wikipedia.org/wiki/Siemens_Charger"/>
      </x:ext>
    </extLst>
  </threadedComment>
  <threadedComment ref="A8" dT="2024-03-13T18:58:40.26" personId="{E14C5B64-8A59-BA43-9BED-1E1AF4DBFF10}" id="{C375D7BE-75B6-6E4B-A63D-A5B2A81A1698}">
    <text>The COASTER began in 1995 as a means of added
connectivity within San Diego County providing train
service north and south between Oceanside and
downtown San Diego. More than 190 trains operate
each week taking passengers along the coastal corridor.</text>
  </threadedComment>
  <threadedComment ref="A8" dT="2024-03-13T18:59:02.20" personId="{E14C5B64-8A59-BA43-9BED-1E1AF4DBFF10}" id="{313FC367-407D-AB4E-B801-67DC64587D8C}" parentId="{C375D7BE-75B6-6E4B-A63D-A5B2A81A1698}">
    <text>https://gonctd.com/wp-content/uploads/2022/12/COASTER-Fact-Sheet-December-2022.pdf</text>
    <extLst>
      <x:ext xmlns:xltc2="http://schemas.microsoft.com/office/spreadsheetml/2020/threadedcomments2" uri="{F7C98A9C-CBB3-438F-8F68-D28B6AF4A901}">
        <xltc2:checksum>1533277129</xltc2:checksum>
        <xltc2:hyperlink startIndex="0" length="82" url="https://gonctd.com/wp-content/uploads/2022/12/COASTER-Fact-Sheet-December-2022.pdf"/>
      </x:ext>
    </extLst>
  </threadedComment>
  <threadedComment ref="O8" dT="2024-03-13T20:05:16.49" personId="{E14C5B64-8A59-BA43-9BED-1E1AF4DBFF10}" id="{D42E76C0-5DF7-D949-9852-2AE9248C2779}">
    <text>Coach: https://transittoronto.ca/regional/2507.shtml</text>
    <extLst>
      <x:ext xmlns:xltc2="http://schemas.microsoft.com/office/spreadsheetml/2020/threadedcomments2" uri="{F7C98A9C-CBB3-438F-8F68-D28B6AF4A901}">
        <xltc2:checksum>484695580</xltc2:checksum>
        <xltc2:hyperlink startIndex="7" length="45" url="https://transittoronto.ca/regional/2507.shtml"/>
      </x:ext>
    </extLst>
  </threadedComment>
  <threadedComment ref="O8" dT="2024-03-13T20:05:24.66" personId="{E14C5B64-8A59-BA43-9BED-1E1AF4DBFF10}" id="{360D9ECF-50EC-3045-A43B-ED588414AFB7}" parentId="{D42E76C0-5DF7-D949-9852-2AE9248C2779}">
    <text>Coach: https://timesofsandiego.com/business/2020/07/16/bombardier-signs-contract-with-nctd-for-the-supply-of-bilevel-commuter-rail-cars/</text>
    <extLst>
      <x:ext xmlns:xltc2="http://schemas.microsoft.com/office/spreadsheetml/2020/threadedcomments2" uri="{F7C98A9C-CBB3-438F-8F68-D28B6AF4A901}">
        <xltc2:checksum>1808504157</xltc2:checksum>
        <xltc2:hyperlink startIndex="7" length="129" url="https://timesofsandiego.com/business/2020/07/16/bombardier-signs-contract-with-nctd-for-the-supply-of-bilevel-commuter-rail-cars/"/>
      </x:ext>
    </extLst>
  </threadedComment>
  <threadedComment ref="O8" dT="2024-03-13T20:05:33.52" personId="{E14C5B64-8A59-BA43-9BED-1E1AF4DBFF10}" id="{C71C8C9D-9794-9542-9280-7CAC5D170B64}" parentId="{D42E76C0-5DF7-D949-9852-2AE9248C2779}">
    <text>Coaster: https://www.trains.com/trn/news-reviews/news-wire/retired-coaster-commuter-engines-moved-to-anaheim/</text>
    <extLst>
      <x:ext xmlns:xltc2="http://schemas.microsoft.com/office/spreadsheetml/2020/threadedcomments2" uri="{F7C98A9C-CBB3-438F-8F68-D28B6AF4A901}">
        <xltc2:checksum>1366171335</xltc2:checksum>
        <xltc2:hyperlink startIndex="9" length="100" url="https://www.trains.com/trn/news-reviews/news-wire/retired-coaster-commuter-engines-moved-to-anaheim/"/>
      </x:ext>
    </extLst>
  </threadedComment>
  <threadedComment ref="O8" dT="2024-03-13T20:05:47.45" personId="{E14C5B64-8A59-BA43-9BED-1E1AF4DBFF10}" id="{37585258-5DE0-8E4F-B265-BF442ACC9F9E}" parentId="{D42E76C0-5DF7-D949-9852-2AE9248C2779}">
    <text>Coaster: https://gonctd.com/wp-content/uploads/2022/12/COASTER-Fact-Sheet-December-2022.pdf</text>
    <extLst>
      <x:ext xmlns:xltc2="http://schemas.microsoft.com/office/spreadsheetml/2020/threadedcomments2" uri="{F7C98A9C-CBB3-438F-8F68-D28B6AF4A901}">
        <xltc2:checksum>1775701673</xltc2:checksum>
        <xltc2:hyperlink startIndex="9" length="82" url="https://gonctd.com/wp-content/uploads/2022/12/COASTER-Fact-Sheet-December-2022.pdf"/>
      </x:ext>
    </extLst>
  </threadedComment>
  <threadedComment ref="O8" dT="2024-03-13T20:05:59.98" personId="{E14C5B64-8A59-BA43-9BED-1E1AF4DBFF10}" id="{D49AFA29-375A-C44F-9A86-88AE6A35A4C3}" parentId="{D42E76C0-5DF7-D949-9852-2AE9248C2779}">
    <text>Locomotive: https://en.wikipedia.org/wiki/Siemens_Charger</text>
    <extLst>
      <x:ext xmlns:xltc2="http://schemas.microsoft.com/office/spreadsheetml/2020/threadedcomments2" uri="{F7C98A9C-CBB3-438F-8F68-D28B6AF4A901}">
        <xltc2:checksum>384036477</xltc2:checksum>
        <xltc2:hyperlink startIndex="12" length="45" url="https://en.wikipedia.org/wiki/Siemens_Charger"/>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2" dT="2023-11-10T20:27:31.36" personId="{E14C5B64-8A59-BA43-9BED-1E1AF4DBFF10}" id="{5E4782E1-D7BB-2D4D-924E-8950D0F46DEF}">
    <text>https://en.wikipedia.org/wiki/Amfleet</text>
    <extLst>
      <x:ext xmlns:xltc2="http://schemas.microsoft.com/office/spreadsheetml/2020/threadedcomments2" uri="{F7C98A9C-CBB3-438F-8F68-D28B6AF4A901}">
        <xltc2:checksum>2755903443</xltc2:checksum>
        <xltc2:hyperlink startIndex="0" length="37" url="https://en.wikipedia.org/wiki/Amfleet"/>
      </x:ext>
    </extLst>
  </threadedComment>
  <threadedComment ref="D6" dT="2023-11-10T20:27:17.51" personId="{E14C5B64-8A59-BA43-9BED-1E1AF4DBFF10}" id="{5B19F013-B3DD-6641-8D6C-02F28BCEB634}">
    <text>https://en.wikipedia.org/wiki/Amfleet</text>
    <extLst>
      <x:ext xmlns:xltc2="http://schemas.microsoft.com/office/spreadsheetml/2020/threadedcomments2" uri="{F7C98A9C-CBB3-438F-8F68-D28B6AF4A901}">
        <xltc2:checksum>2755903443</xltc2:checksum>
        <xltc2:hyperlink startIndex="0" length="37" url="https://en.wikipedia.org/wiki/Amfleet"/>
      </x:ext>
    </extLst>
  </threadedComment>
  <threadedComment ref="A15" dT="2023-11-10T20:28:13.81" personId="{E14C5B64-8A59-BA43-9BED-1E1AF4DBFF10}" id="{4160F0AB-67B7-7C42-BB66-63D1FFA53BBF}">
    <text>https://en.wikipedia.org/wiki/Viewliner</text>
    <extLst>
      <x:ext xmlns:xltc2="http://schemas.microsoft.com/office/spreadsheetml/2020/threadedcomments2" uri="{F7C98A9C-CBB3-438F-8F68-D28B6AF4A901}">
        <xltc2:checksum>231548600</xltc2:checksum>
        <xltc2:hyperlink startIndex="0" length="39" url="https://en.wikipedia.org/wiki/Viewliner"/>
      </x:ext>
    </extLst>
  </threadedComment>
  <threadedComment ref="F16" dT="2023-11-10T20:44:04.99" personId="{E14C5B64-8A59-BA43-9BED-1E1AF4DBFF10}" id="{8EA76CAF-007E-3442-A35D-BD3AA962C518}">
    <text>https://en.wikipedia.org/wiki/Viewliner</text>
    <extLst>
      <x:ext xmlns:xltc2="http://schemas.microsoft.com/office/spreadsheetml/2020/threadedcomments2" uri="{F7C98A9C-CBB3-438F-8F68-D28B6AF4A901}">
        <xltc2:checksum>231548600</xltc2:checksum>
        <xltc2:hyperlink startIndex="0" length="39" url="https://en.wikipedia.org/wiki/Viewliner"/>
      </x:ext>
    </extLst>
  </threadedComment>
  <threadedComment ref="F19" dT="2023-11-10T20:44:10.67" personId="{E14C5B64-8A59-BA43-9BED-1E1AF4DBFF10}" id="{663768A2-307E-134C-B750-ABAC0DDF4907}">
    <text>https://en.wikipedia.org/wiki/Viewliner</text>
    <extLst>
      <x:ext xmlns:xltc2="http://schemas.microsoft.com/office/spreadsheetml/2020/threadedcomments2" uri="{F7C98A9C-CBB3-438F-8F68-D28B6AF4A901}">
        <xltc2:checksum>231548600</xltc2:checksum>
        <xltc2:hyperlink startIndex="0" length="39" url="https://en.wikipedia.org/wiki/Viewliner"/>
      </x:ext>
    </extLst>
  </threadedComment>
  <threadedComment ref="F24" dT="2024-03-13T20:01:38.39" personId="{E14C5B64-8A59-BA43-9BED-1E1AF4DBFF10}" id="{8CFF7373-1CAD-114D-BAE8-64E88CEBE43D}">
    <text>https://transittoronto.ca/regional/2507.shtml</text>
    <extLst>
      <x:ext xmlns:xltc2="http://schemas.microsoft.com/office/spreadsheetml/2020/threadedcomments2" uri="{F7C98A9C-CBB3-438F-8F68-D28B6AF4A901}">
        <xltc2:checksum>3136874816</xltc2:checksum>
        <xltc2:hyperlink startIndex="0" length="45" url="https://transittoronto.ca/regional/2507.shtml"/>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reasonrail.blogspot.com/2014/10/average-number-of-seats-per-amtrak-train.html" TargetMode="Externa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www.amtraktrains.com/threads/car-weights.7774/" TargetMode="Externa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EADC-4AEC-3E47-8C3E-4557D3E4782C}">
  <dimension ref="A1:AG10"/>
  <sheetViews>
    <sheetView tabSelected="1" zoomScale="140" zoomScaleNormal="140" workbookViewId="0">
      <pane xSplit="1" topLeftCell="B1" activePane="topRight" state="frozen"/>
      <selection pane="topRight" activeCell="O12" sqref="O12"/>
    </sheetView>
  </sheetViews>
  <sheetFormatPr baseColWidth="10" defaultColWidth="10.83203125" defaultRowHeight="15" x14ac:dyDescent="0.2"/>
  <cols>
    <col min="1" max="2" width="10.83203125" style="15"/>
    <col min="3" max="3" width="14.83203125" style="15" customWidth="1"/>
    <col min="4" max="4" width="9.33203125" style="15" customWidth="1"/>
    <col min="5" max="5" width="19.1640625" style="15" customWidth="1"/>
    <col min="6" max="6" width="18.6640625" style="15" bestFit="1" customWidth="1"/>
    <col min="7" max="7" width="11.1640625" style="15" customWidth="1"/>
    <col min="8" max="8" width="13.5" style="15" customWidth="1"/>
    <col min="9" max="9" width="14" style="15" customWidth="1"/>
    <col min="10" max="10" width="10.83203125" style="15" customWidth="1"/>
    <col min="11" max="11" width="13.5" style="15" customWidth="1"/>
    <col min="12" max="12" width="13.6640625" style="15" customWidth="1"/>
    <col min="13" max="13" width="12" style="15" customWidth="1"/>
    <col min="14" max="14" width="10.83203125" style="15"/>
    <col min="15" max="15" width="17.33203125" style="15" customWidth="1"/>
    <col min="16" max="16" width="10.83203125" style="1"/>
    <col min="17" max="16384" width="10.83203125" style="15"/>
  </cols>
  <sheetData>
    <row r="1" spans="1:33" ht="30" customHeight="1" x14ac:dyDescent="0.2">
      <c r="A1" s="14" t="s">
        <v>0</v>
      </c>
      <c r="B1" s="14" t="s">
        <v>1</v>
      </c>
      <c r="C1" s="14" t="s">
        <v>2</v>
      </c>
      <c r="D1" s="14" t="s">
        <v>3</v>
      </c>
      <c r="E1" s="12" t="s">
        <v>4</v>
      </c>
      <c r="F1" s="12" t="s">
        <v>5</v>
      </c>
      <c r="G1" s="13" t="s">
        <v>6</v>
      </c>
      <c r="H1" s="12" t="s">
        <v>7</v>
      </c>
      <c r="I1" s="12" t="s">
        <v>8</v>
      </c>
      <c r="J1" s="13" t="s">
        <v>9</v>
      </c>
      <c r="K1" s="12" t="s">
        <v>10</v>
      </c>
      <c r="L1" s="12" t="s">
        <v>11</v>
      </c>
      <c r="M1" s="11" t="s">
        <v>12</v>
      </c>
      <c r="N1" s="11" t="s">
        <v>13</v>
      </c>
      <c r="O1" s="10" t="s">
        <v>14</v>
      </c>
    </row>
    <row r="2" spans="1:33" ht="15" customHeight="1" x14ac:dyDescent="0.2">
      <c r="A2" s="16" t="s">
        <v>15</v>
      </c>
      <c r="B2" s="15" t="s">
        <v>16</v>
      </c>
      <c r="C2" s="15" t="s">
        <v>17</v>
      </c>
      <c r="D2" s="15" t="s">
        <v>18</v>
      </c>
      <c r="E2" s="15" t="s">
        <v>19</v>
      </c>
      <c r="F2" s="15" t="s">
        <v>20</v>
      </c>
      <c r="G2" s="18">
        <f>260000/2.205</f>
        <v>117913.83219954648</v>
      </c>
      <c r="I2" s="15" t="s">
        <v>21</v>
      </c>
      <c r="J2" s="18">
        <f>268000/2.205</f>
        <v>121541.95011337868</v>
      </c>
      <c r="L2" s="25" t="s">
        <v>22</v>
      </c>
      <c r="M2" s="17" t="s">
        <v>23</v>
      </c>
      <c r="N2" s="17">
        <v>159</v>
      </c>
      <c r="O2" s="26" t="s">
        <v>24</v>
      </c>
    </row>
    <row r="3" spans="1:33" ht="15" customHeight="1" x14ac:dyDescent="0.2">
      <c r="A3" s="16" t="s">
        <v>25</v>
      </c>
      <c r="B3" s="15" t="s">
        <v>26</v>
      </c>
      <c r="C3" s="15" t="s">
        <v>17</v>
      </c>
      <c r="D3" s="15" t="s">
        <v>18</v>
      </c>
      <c r="E3" s="15" t="s">
        <v>27</v>
      </c>
      <c r="F3" s="15" t="s">
        <v>28</v>
      </c>
      <c r="G3" s="15">
        <v>121672</v>
      </c>
      <c r="I3" s="15" t="s">
        <v>29</v>
      </c>
      <c r="J3" s="15">
        <v>120000</v>
      </c>
      <c r="L3" s="15">
        <v>1</v>
      </c>
      <c r="M3" s="15">
        <v>7</v>
      </c>
      <c r="N3" s="17">
        <v>331</v>
      </c>
      <c r="O3" s="27"/>
    </row>
    <row r="4" spans="1:33" ht="16" x14ac:dyDescent="0.2">
      <c r="A4" s="16" t="s">
        <v>30</v>
      </c>
      <c r="B4" s="15" t="s">
        <v>31</v>
      </c>
      <c r="C4" s="15" t="s">
        <v>17</v>
      </c>
      <c r="D4" s="15" t="s">
        <v>18</v>
      </c>
      <c r="E4" s="15" t="s">
        <v>27</v>
      </c>
      <c r="F4" s="15" t="s">
        <v>28</v>
      </c>
      <c r="G4" s="15">
        <v>121672</v>
      </c>
      <c r="I4" s="15" t="s">
        <v>29</v>
      </c>
      <c r="J4" s="15">
        <v>120000</v>
      </c>
      <c r="L4" s="15">
        <v>2</v>
      </c>
      <c r="M4" s="15">
        <v>9</v>
      </c>
      <c r="N4" s="15">
        <v>303</v>
      </c>
      <c r="O4" s="27"/>
    </row>
    <row r="5" spans="1:33" ht="15" customHeight="1" x14ac:dyDescent="0.2">
      <c r="A5" s="16" t="s">
        <v>32</v>
      </c>
      <c r="B5" s="15" t="s">
        <v>33</v>
      </c>
      <c r="C5" s="15" t="s">
        <v>17</v>
      </c>
      <c r="D5" s="15" t="s">
        <v>18</v>
      </c>
      <c r="E5" s="15" t="s">
        <v>27</v>
      </c>
      <c r="F5" s="15" t="s">
        <v>28</v>
      </c>
      <c r="G5" s="15">
        <v>121672</v>
      </c>
      <c r="I5" s="15" t="s">
        <v>29</v>
      </c>
      <c r="J5" s="15">
        <v>120000</v>
      </c>
      <c r="L5" s="15">
        <v>1</v>
      </c>
      <c r="M5" s="19" t="s">
        <v>34</v>
      </c>
      <c r="N5" s="17">
        <v>319</v>
      </c>
      <c r="O5" s="27"/>
    </row>
    <row r="6" spans="1:33" ht="16" x14ac:dyDescent="0.2">
      <c r="A6" s="16" t="s">
        <v>35</v>
      </c>
      <c r="B6" s="15" t="s">
        <v>36</v>
      </c>
      <c r="C6" s="15" t="s">
        <v>17</v>
      </c>
      <c r="D6" s="15" t="s">
        <v>18</v>
      </c>
      <c r="E6" s="15" t="s">
        <v>27</v>
      </c>
      <c r="F6" s="15" t="s">
        <v>28</v>
      </c>
      <c r="G6" s="15">
        <v>121672</v>
      </c>
      <c r="I6" s="15" t="s">
        <v>29</v>
      </c>
      <c r="J6" s="15">
        <v>120000</v>
      </c>
      <c r="L6" s="15">
        <v>1</v>
      </c>
      <c r="M6" s="15">
        <v>8</v>
      </c>
      <c r="N6" s="15">
        <v>307</v>
      </c>
      <c r="O6" s="27"/>
    </row>
    <row r="7" spans="1:33" ht="43.5" customHeight="1" x14ac:dyDescent="0.2">
      <c r="A7" s="16" t="s">
        <v>37</v>
      </c>
      <c r="B7" s="15" t="s">
        <v>38</v>
      </c>
      <c r="C7" s="15" t="s">
        <v>17</v>
      </c>
      <c r="D7" s="15" t="s">
        <v>18</v>
      </c>
      <c r="E7" s="15" t="s">
        <v>27</v>
      </c>
      <c r="F7" s="15" t="s">
        <v>28</v>
      </c>
      <c r="G7" s="15">
        <v>121672</v>
      </c>
      <c r="I7" s="15" t="s">
        <v>29</v>
      </c>
      <c r="J7" s="15">
        <v>120000</v>
      </c>
      <c r="L7" s="15">
        <v>2</v>
      </c>
      <c r="M7" s="15">
        <v>9</v>
      </c>
      <c r="N7" s="15">
        <v>357</v>
      </c>
      <c r="O7" s="27"/>
    </row>
    <row r="8" spans="1:33" ht="32" x14ac:dyDescent="0.2">
      <c r="A8" s="21" t="s">
        <v>39</v>
      </c>
      <c r="B8" s="20" t="s">
        <v>40</v>
      </c>
      <c r="C8" s="15" t="s">
        <v>41</v>
      </c>
      <c r="D8" s="15" t="s">
        <v>42</v>
      </c>
      <c r="E8" s="15" t="s">
        <v>27</v>
      </c>
      <c r="F8" s="20" t="s">
        <v>43</v>
      </c>
      <c r="G8" s="20">
        <v>120000</v>
      </c>
      <c r="H8" s="20"/>
      <c r="I8" s="20"/>
      <c r="J8" s="20"/>
      <c r="K8" s="22"/>
      <c r="L8" s="20">
        <v>1</v>
      </c>
      <c r="M8" s="20">
        <v>4</v>
      </c>
      <c r="N8" s="20">
        <f>M8*'Rail car'!F24</f>
        <v>1700</v>
      </c>
      <c r="O8" s="24" t="s">
        <v>69</v>
      </c>
      <c r="P8" s="24"/>
      <c r="Q8" s="22"/>
      <c r="R8" s="22"/>
      <c r="S8" s="22"/>
      <c r="T8" s="22"/>
      <c r="U8" s="22"/>
      <c r="V8" s="22"/>
      <c r="W8" s="22"/>
      <c r="X8" s="22"/>
      <c r="Y8" s="22"/>
      <c r="Z8" s="22"/>
      <c r="AA8" s="22"/>
      <c r="AB8" s="22"/>
      <c r="AC8" s="22"/>
      <c r="AD8" s="22"/>
      <c r="AE8" s="22"/>
      <c r="AF8" s="22"/>
      <c r="AG8" s="22"/>
    </row>
    <row r="9" spans="1:33" x14ac:dyDescent="0.2">
      <c r="A9" s="21"/>
      <c r="B9" s="22"/>
      <c r="C9" s="20"/>
      <c r="D9" s="20"/>
      <c r="E9" s="20"/>
      <c r="F9" s="22"/>
      <c r="G9" s="20"/>
      <c r="H9" s="23"/>
      <c r="I9" s="22"/>
      <c r="J9" s="20"/>
      <c r="K9" s="23"/>
      <c r="L9" s="22"/>
      <c r="M9" s="20"/>
      <c r="N9" s="20"/>
      <c r="O9" s="24"/>
      <c r="P9" s="24"/>
      <c r="Q9" s="22"/>
      <c r="R9" s="22"/>
      <c r="S9" s="22"/>
      <c r="T9" s="22"/>
      <c r="U9" s="22"/>
      <c r="V9" s="22"/>
      <c r="W9" s="22"/>
      <c r="X9" s="22"/>
      <c r="Y9" s="22"/>
      <c r="Z9" s="22"/>
      <c r="AA9" s="22"/>
      <c r="AB9" s="22"/>
      <c r="AC9" s="22"/>
      <c r="AD9" s="22"/>
      <c r="AE9" s="22"/>
      <c r="AF9" s="22"/>
      <c r="AG9" s="22"/>
    </row>
    <row r="10" spans="1:33" s="20" customFormat="1" x14ac:dyDescent="0.2">
      <c r="H10" s="23"/>
      <c r="J10" s="22"/>
      <c r="K10" s="23"/>
      <c r="N10" s="23"/>
      <c r="O10" s="23"/>
      <c r="Q10" s="22"/>
      <c r="R10" s="22"/>
      <c r="S10" s="22"/>
      <c r="T10" s="22"/>
      <c r="U10" s="22"/>
      <c r="V10" s="22"/>
      <c r="W10" s="22"/>
      <c r="X10" s="22"/>
      <c r="Y10" s="22"/>
      <c r="Z10" s="22"/>
      <c r="AA10" s="22"/>
      <c r="AB10" s="22"/>
      <c r="AC10" s="22"/>
      <c r="AD10" s="22"/>
      <c r="AE10" s="22"/>
      <c r="AF10" s="22"/>
      <c r="AG10" s="22"/>
    </row>
  </sheetData>
  <mergeCells count="1">
    <mergeCell ref="O2:O7"/>
  </mergeCells>
  <hyperlinks>
    <hyperlink ref="O2" r:id="rId1" xr:uid="{DDD6E965-F948-A34D-900E-970C7B7AE872}"/>
  </hyperlinks>
  <pageMargins left="0.7" right="0.7" top="0.75" bottom="0.75" header="0.3" footer="0.3"/>
  <pageSetup orientation="portrait" horizontalDpi="0" verticalDpi="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4FEA-E785-7141-8A7A-E98B18E4E68F}">
  <dimension ref="A1:H24"/>
  <sheetViews>
    <sheetView zoomScale="140" zoomScaleNormal="140" workbookViewId="0">
      <pane ySplit="1" topLeftCell="A2" activePane="bottomLeft" state="frozen"/>
      <selection pane="bottomLeft" activeCell="L13" sqref="L13"/>
    </sheetView>
  </sheetViews>
  <sheetFormatPr baseColWidth="10" defaultColWidth="11.5" defaultRowHeight="15" x14ac:dyDescent="0.2"/>
  <cols>
    <col min="2" max="2" width="10.5" customWidth="1"/>
    <col min="4" max="4" width="15.33203125" style="3" bestFit="1" customWidth="1"/>
    <col min="5" max="5" width="24" style="3" customWidth="1"/>
    <col min="6" max="6" width="12.83203125" style="3" customWidth="1"/>
  </cols>
  <sheetData>
    <row r="1" spans="1:8" s="1" customFormat="1" ht="20" customHeight="1" x14ac:dyDescent="0.2">
      <c r="A1" s="9" t="s">
        <v>44</v>
      </c>
      <c r="B1" s="9" t="s">
        <v>45</v>
      </c>
      <c r="C1" s="9" t="s">
        <v>46</v>
      </c>
      <c r="D1" s="8" t="s">
        <v>47</v>
      </c>
      <c r="E1" s="8" t="s">
        <v>48</v>
      </c>
      <c r="F1" s="7" t="s">
        <v>49</v>
      </c>
    </row>
    <row r="2" spans="1:8" x14ac:dyDescent="0.2">
      <c r="A2" s="4" t="s">
        <v>50</v>
      </c>
      <c r="D2" s="6">
        <v>48000</v>
      </c>
      <c r="E2" s="6">
        <v>51000</v>
      </c>
      <c r="H2" s="2" t="s">
        <v>51</v>
      </c>
    </row>
    <row r="3" spans="1:8" x14ac:dyDescent="0.2">
      <c r="A3" s="4" t="s">
        <v>50</v>
      </c>
      <c r="B3" s="5" t="s">
        <v>52</v>
      </c>
      <c r="D3" s="6">
        <v>47173</v>
      </c>
      <c r="E3" s="6">
        <v>51710</v>
      </c>
      <c r="H3" t="s">
        <v>53</v>
      </c>
    </row>
    <row r="4" spans="1:8" x14ac:dyDescent="0.2">
      <c r="A4" s="4" t="s">
        <v>50</v>
      </c>
      <c r="B4" s="5" t="s">
        <v>52</v>
      </c>
      <c r="C4" t="s">
        <v>54</v>
      </c>
      <c r="F4" s="3">
        <v>72</v>
      </c>
      <c r="H4" t="s">
        <v>55</v>
      </c>
    </row>
    <row r="5" spans="1:8" x14ac:dyDescent="0.2">
      <c r="A5" s="4" t="s">
        <v>50</v>
      </c>
      <c r="B5" s="5" t="s">
        <v>52</v>
      </c>
      <c r="C5" t="s">
        <v>56</v>
      </c>
      <c r="F5" s="3">
        <v>62</v>
      </c>
      <c r="H5" t="s">
        <v>57</v>
      </c>
    </row>
    <row r="6" spans="1:8" x14ac:dyDescent="0.2">
      <c r="A6" s="4" t="s">
        <v>50</v>
      </c>
      <c r="B6" s="5" t="s">
        <v>52</v>
      </c>
      <c r="C6" t="s">
        <v>58</v>
      </c>
      <c r="D6" s="3">
        <v>50000</v>
      </c>
      <c r="F6" s="3" t="s">
        <v>40</v>
      </c>
    </row>
    <row r="7" spans="1:8" x14ac:dyDescent="0.2">
      <c r="A7" s="4" t="s">
        <v>50</v>
      </c>
      <c r="B7" s="5" t="s">
        <v>52</v>
      </c>
      <c r="C7" t="s">
        <v>59</v>
      </c>
      <c r="F7" s="3" t="s">
        <v>40</v>
      </c>
    </row>
    <row r="8" spans="1:8" x14ac:dyDescent="0.2">
      <c r="A8" s="4" t="s">
        <v>50</v>
      </c>
      <c r="B8" s="5" t="s">
        <v>52</v>
      </c>
      <c r="C8" t="s">
        <v>60</v>
      </c>
    </row>
    <row r="9" spans="1:8" x14ac:dyDescent="0.2">
      <c r="A9" s="4" t="s">
        <v>50</v>
      </c>
      <c r="B9" s="5" t="s">
        <v>61</v>
      </c>
      <c r="D9" s="6">
        <v>48543</v>
      </c>
      <c r="E9" s="6">
        <v>50802</v>
      </c>
    </row>
    <row r="10" spans="1:8" x14ac:dyDescent="0.2">
      <c r="A10" s="4" t="s">
        <v>50</v>
      </c>
      <c r="B10" s="5" t="s">
        <v>61</v>
      </c>
      <c r="C10" t="s">
        <v>54</v>
      </c>
      <c r="F10" s="3">
        <v>59</v>
      </c>
    </row>
    <row r="11" spans="1:8" x14ac:dyDescent="0.2">
      <c r="A11" s="4" t="s">
        <v>50</v>
      </c>
      <c r="B11" s="5" t="s">
        <v>61</v>
      </c>
      <c r="C11" t="s">
        <v>56</v>
      </c>
    </row>
    <row r="12" spans="1:8" x14ac:dyDescent="0.2">
      <c r="A12" s="4" t="s">
        <v>50</v>
      </c>
      <c r="B12" s="5" t="s">
        <v>61</v>
      </c>
      <c r="C12" t="s">
        <v>58</v>
      </c>
      <c r="F12" s="3" t="s">
        <v>40</v>
      </c>
    </row>
    <row r="13" spans="1:8" x14ac:dyDescent="0.2">
      <c r="A13" s="4" t="s">
        <v>50</v>
      </c>
      <c r="B13" s="5" t="s">
        <v>61</v>
      </c>
      <c r="C13" t="s">
        <v>59</v>
      </c>
      <c r="F13" s="3" t="s">
        <v>40</v>
      </c>
    </row>
    <row r="14" spans="1:8" x14ac:dyDescent="0.2">
      <c r="A14" s="4" t="s">
        <v>50</v>
      </c>
      <c r="B14" s="5" t="s">
        <v>61</v>
      </c>
      <c r="C14" t="s">
        <v>60</v>
      </c>
    </row>
    <row r="15" spans="1:8" x14ac:dyDescent="0.2">
      <c r="A15" s="4" t="s">
        <v>62</v>
      </c>
      <c r="B15" s="5"/>
      <c r="D15" s="6">
        <v>61689</v>
      </c>
    </row>
    <row r="16" spans="1:8" x14ac:dyDescent="0.2">
      <c r="A16" s="4" t="s">
        <v>62</v>
      </c>
      <c r="B16" s="5" t="s">
        <v>63</v>
      </c>
      <c r="C16" t="s">
        <v>60</v>
      </c>
      <c r="F16" s="3">
        <v>30</v>
      </c>
    </row>
    <row r="17" spans="1:6" x14ac:dyDescent="0.2">
      <c r="A17" s="4" t="s">
        <v>62</v>
      </c>
      <c r="B17" s="5" t="s">
        <v>63</v>
      </c>
      <c r="C17" t="s">
        <v>64</v>
      </c>
      <c r="F17" s="3" t="s">
        <v>40</v>
      </c>
    </row>
    <row r="18" spans="1:6" x14ac:dyDescent="0.2">
      <c r="A18" s="4" t="s">
        <v>62</v>
      </c>
      <c r="B18" s="5" t="s">
        <v>63</v>
      </c>
      <c r="C18" t="s">
        <v>65</v>
      </c>
      <c r="F18" s="3" t="s">
        <v>40</v>
      </c>
    </row>
    <row r="19" spans="1:6" x14ac:dyDescent="0.2">
      <c r="A19" s="4" t="s">
        <v>62</v>
      </c>
      <c r="B19" s="5" t="s">
        <v>66</v>
      </c>
      <c r="C19" t="s">
        <v>60</v>
      </c>
      <c r="F19" s="3">
        <v>28</v>
      </c>
    </row>
    <row r="20" spans="1:6" x14ac:dyDescent="0.2">
      <c r="A20" s="4" t="s">
        <v>62</v>
      </c>
      <c r="B20" s="5" t="s">
        <v>66</v>
      </c>
      <c r="C20" t="s">
        <v>64</v>
      </c>
      <c r="F20" s="3" t="s">
        <v>40</v>
      </c>
    </row>
    <row r="21" spans="1:6" x14ac:dyDescent="0.2">
      <c r="A21" s="4" t="s">
        <v>62</v>
      </c>
      <c r="B21" s="5" t="s">
        <v>66</v>
      </c>
      <c r="C21" t="s">
        <v>65</v>
      </c>
      <c r="F21" s="3" t="s">
        <v>40</v>
      </c>
    </row>
    <row r="22" spans="1:6" x14ac:dyDescent="0.2">
      <c r="A22" s="4" t="s">
        <v>67</v>
      </c>
      <c r="C22" t="s">
        <v>64</v>
      </c>
      <c r="F22" s="3" t="s">
        <v>40</v>
      </c>
    </row>
    <row r="23" spans="1:6" x14ac:dyDescent="0.2">
      <c r="A23" s="4" t="s">
        <v>67</v>
      </c>
      <c r="C23" t="s">
        <v>65</v>
      </c>
      <c r="F23" s="3" t="s">
        <v>40</v>
      </c>
    </row>
    <row r="24" spans="1:6" x14ac:dyDescent="0.2">
      <c r="A24" s="4" t="s">
        <v>68</v>
      </c>
      <c r="C24" t="s">
        <v>54</v>
      </c>
      <c r="D24" s="3">
        <v>50000</v>
      </c>
      <c r="F24" s="3">
        <v>425</v>
      </c>
    </row>
  </sheetData>
  <hyperlinks>
    <hyperlink ref="H2" r:id="rId1" xr:uid="{18F2C0F5-DE4C-B64E-9DFF-544A862DCA8E}"/>
  </hyperlinks>
  <pageMargins left="0.7" right="0.7" top="0.75" bottom="0.75" header="0.3" footer="0.3"/>
  <pageSetup orientation="portrait" horizontalDpi="0" verticalDpi="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A8885F96561F4B9CFD0B24700488BB" ma:contentTypeVersion="12" ma:contentTypeDescription="Create a new document." ma:contentTypeScope="" ma:versionID="681b7fa5a787601798332e11490d3166">
  <xsd:schema xmlns:xsd="http://www.w3.org/2001/XMLSchema" xmlns:xs="http://www.w3.org/2001/XMLSchema" xmlns:p="http://schemas.microsoft.com/office/2006/metadata/properties" xmlns:ns2="0ecaa662-ce87-4231-b96f-f5f50f704205" xmlns:ns3="8c9036ba-8ff6-4827-9930-f1ba7e08b8c5" targetNamespace="http://schemas.microsoft.com/office/2006/metadata/properties" ma:root="true" ma:fieldsID="ea73588dbc9f4f102dd0bf5f245f6a65" ns2:_="" ns3:_="">
    <xsd:import namespace="0ecaa662-ce87-4231-b96f-f5f50f704205"/>
    <xsd:import namespace="8c9036ba-8ff6-4827-9930-f1ba7e08b8c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caa662-ce87-4231-b96f-f5f50f7042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3de6858-8a92-4ea2-93bf-f9910da23fa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9036ba-8ff6-4827-9930-f1ba7e08b8c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56c0532-7425-4ae3-84d4-5f593c9d3495}" ma:internalName="TaxCatchAll" ma:showField="CatchAllData" ma:web="8c9036ba-8ff6-4827-9930-f1ba7e08b8c5">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ecaa662-ce87-4231-b96f-f5f50f704205">
      <Terms xmlns="http://schemas.microsoft.com/office/infopath/2007/PartnerControls"/>
    </lcf76f155ced4ddcb4097134ff3c332f>
    <TaxCatchAll xmlns="8c9036ba-8ff6-4827-9930-f1ba7e08b8c5" xsi:nil="true"/>
  </documentManagement>
</p:properties>
</file>

<file path=customXml/itemProps1.xml><?xml version="1.0" encoding="utf-8"?>
<ds:datastoreItem xmlns:ds="http://schemas.openxmlformats.org/officeDocument/2006/customXml" ds:itemID="{30A9FFFC-01AF-4870-9708-5BB12736C9AF}">
  <ds:schemaRefs>
    <ds:schemaRef ds:uri="http://schemas.microsoft.com/sharepoint/v3/contenttype/forms"/>
  </ds:schemaRefs>
</ds:datastoreItem>
</file>

<file path=customXml/itemProps2.xml><?xml version="1.0" encoding="utf-8"?>
<ds:datastoreItem xmlns:ds="http://schemas.openxmlformats.org/officeDocument/2006/customXml" ds:itemID="{1633C254-4B0F-4FF6-A704-854146D19F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caa662-ce87-4231-b96f-f5f50f704205"/>
    <ds:schemaRef ds:uri="8c9036ba-8ff6-4827-9930-f1ba7e08b8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580560-5C44-4F4D-A42E-1BBF379B0503}">
  <ds:schemaRefs>
    <ds:schemaRef ds:uri="http://schemas.microsoft.com/office/2006/metadata/properties"/>
    <ds:schemaRef ds:uri="http://schemas.microsoft.com/office/infopath/2007/PartnerControls"/>
    <ds:schemaRef ds:uri="0ecaa662-ce87-4231-b96f-f5f50f704205"/>
    <ds:schemaRef ds:uri="8c9036ba-8ff6-4827-9930-f1ba7e08b8c5"/>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Rail 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Wen</dc:creator>
  <cp:keywords/>
  <dc:description/>
  <cp:lastModifiedBy>Wendy Wen</cp:lastModifiedBy>
  <cp:revision/>
  <dcterms:created xsi:type="dcterms:W3CDTF">2024-03-13T18:47:23Z</dcterms:created>
  <dcterms:modified xsi:type="dcterms:W3CDTF">2024-03-15T02:10:15Z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0x010100ADA8885F96561F4B9CFD0B24700488BB</vt:lpwstr>
  </property>
  <property fmtid="{D5CDD505-2E9C-101B-9397-08002B2CF9AE}" pid="3" name="MediaServiceImageTags">
    <vt:lpwstr/>
  </property>
</Properties>
</file>